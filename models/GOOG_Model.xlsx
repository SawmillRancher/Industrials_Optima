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8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  <font>
      <name val="Calibri"/>
      <color rgb="FF0000FF"/>
      <sz val="11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7" fontId="46" fillId="0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6" fontId="46" fillId="0" borderId="0" pivotButton="0" quotePrefix="0" xfId="0"/>
    <xf numFmtId="167" fontId="46" fillId="0" borderId="0" pivotButton="0" quotePrefix="0" xfId="0"/>
    <xf numFmtId="176" fontId="17" fillId="0" borderId="0" pivotButton="0" quotePrefix="0" xfId="0"/>
    <xf numFmtId="167" fontId="48" fillId="6" borderId="2" applyAlignment="1" pivotButton="0" quotePrefix="0" xfId="0">
      <alignment horizontal="right"/>
    </xf>
    <xf numFmtId="167" fontId="48" fillId="0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0" fontId="46" fillId="0" borderId="0" applyAlignment="1" pivotButton="0" quotePrefix="0" xfId="0">
      <alignment horizontal="right"/>
    </xf>
    <xf numFmtId="167" fontId="41" fillId="2" borderId="0" pivotButton="0" quotePrefix="0" xfId="0"/>
    <xf numFmtId="167" fontId="51" fillId="2" borderId="0" applyAlignment="1" pivotButton="0" quotePrefix="0" xfId="0">
      <alignment horizontal="right"/>
    </xf>
    <xf numFmtId="173" fontId="51" fillId="2" borderId="0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166" fontId="51" fillId="2" borderId="0" applyAlignment="1" pivotButton="0" quotePrefix="0" xfId="0">
      <alignment horizontal="right"/>
    </xf>
    <xf numFmtId="0" fontId="51" fillId="2" borderId="0" applyAlignment="1" pivotButton="0" quotePrefix="0" xfId="0">
      <alignment horizontal="right"/>
    </xf>
    <xf numFmtId="167" fontId="51" fillId="6" borderId="2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51" fillId="2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0" fontId="56" fillId="0" borderId="0" pivotButton="0" quotePrefix="0" xfId="0"/>
    <xf numFmtId="166" fontId="48" fillId="2" borderId="0" applyAlignment="1" pivotButton="0" quotePrefix="0" xfId="0">
      <alignment horizontal="right"/>
    </xf>
    <xf numFmtId="167" fontId="51" fillId="0" borderId="2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0" fontId="45" fillId="2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4" fontId="46" fillId="0" borderId="0" applyAlignment="1" pivotButton="0" quotePrefix="0" xfId="0">
      <alignment horizontal="right"/>
    </xf>
    <xf numFmtId="164" fontId="41" fillId="2" borderId="0" pivotButton="0" quotePrefix="0" xfId="0"/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0" fontId="57" fillId="0" borderId="0" pivotButton="0" quotePrefix="0" xfId="0"/>
    <xf numFmtId="164" fontId="51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8" fontId="41" fillId="0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Revenue Growth: Google Services vs. Google Cloud Contribution, 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Income from Operations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GOOG model</author>
  </authors>
  <commentList>
    <comment ref="CF2" authorId="0" shapeId="0">
      <text>
        <t>Scenario toggle. Choose Bull / Base / Bear. Drives: Q3–Q4/26E revenue-growth and margin shifts and 2H26 buybacks, 2027E–2030E revenue growth by type, Services / Cloud margins, Other Bets losses, Alphabet-level costs, capex, M&amp;A spend and the net-debt target for 2027E+ buybacks (scenario table CN:CR).</t>
      </text>
    </comment>
    <comment ref="B11" authorId="0" shapeId="0">
      <text>
        <t>Source: Forms 10-K / 10-Q (XBRL instance documents of each filing; FY2006–08 from the 10-K text) — revenue note "Disaggregation of revenue" (dimensional facts), latest filing presenting the period (FY2017–18 annual from the FY2019 10-K; 2019 quarters from the 2020 10-Qs). Q4 = FY − (Q1 + Q2 + Q3).</t>
      </text>
    </comment>
    <comment ref="B23" authorId="0" shapeId="0">
      <text>
        <t>Source: Forms 10-K / 10-Q (XBRL instance documents of each filing; FY2006–08 from the 10-K text) — segment note (Google Cloud segment from Q4-20, recast to 2018); revenue type "Google Cloud" for FY2017 and 2019 quarters.</t>
      </text>
    </comment>
    <comment ref="BW23" authorId="0" shapeId="0">
      <text>
        <t>Includes Wiz from 11-Mar-2026 (revenue not disclosed; not stripped from the 1H26 growth used for Q3–Q4/26E).</t>
      </text>
    </comment>
    <comment ref="B42" authorId="0" shapeId="0">
      <text>
        <t>Source: Google / Alphabet earnings releases (Form 8-K Item 2.02, Ex. 99.1) — "Revenues, Traffic Acquisition Costs (TAC) and number of employees" table.</t>
      </text>
    </comment>
    <comment ref="B47" authorId="0" shapeId="0">
      <text>
        <t>Source: Forms 10-K / 10-Q (XBRL instance documents of each filing; FY2006–08 from the 10-K text) — MD&amp;A revenue tables of each period's own 10-Q / 10-K (three-month columns; Q4 = FY − 9M); FY2006–08 from the 10-K text.</t>
      </text>
    </comment>
    <comment ref="B55" authorId="0" shapeId="0">
      <text>
        <t>Source: Forms 10-K / 10-Q (XBRL instance documents of each filing; FY2006–08 from the 10-K text) — segment note "Information about Segments" (operating income by segment, latest filing presenting the period: Google Services / Google Cloud / Other Bets / Alphabet-level from FY2018 annual and Q1-20 quarters).</t>
      </text>
    </comment>
    <comment ref="AM65" authorId="0" shapeId="0">
      <text>
        <t>Performance fees reclassified from operating expenses to other income (expense), net in 2019; 2018 segments recast ($27,524m vs $26,321m operating income as originally reported).</t>
      </text>
    </comment>
    <comment ref="B69" authorId="0" shapeId="0">
      <text>
        <t>Source: Forms 10-K / 10-Q (XBRL instance documents of each filing; FY2006–08 from the 10-K text) — segment notes as first presented (Google / Other Bets FY2015–Q4-20; Google / Motorola Mobile FY2012–13).</t>
      </text>
    </comment>
    <comment ref="B120" authorId="0" shapeId="0">
      <text>
        <t>Source: manual_items.json (items / company_adjusted), each with its Ex. 99.1 URL.</t>
      </text>
    </comment>
    <comment ref="AE120" authorId="0" shapeId="0">
      <text>
        <t>Company items (Q2-17): European Commission fine (Google Shopping), separate income-statement line</t>
      </text>
    </comment>
    <comment ref="AH120" authorId="0" shapeId="0">
      <text>
        <t>Company items (2017): European Commission fine (Google Shopping), separate income-statement line</t>
      </text>
    </comment>
    <comment ref="AJ120" authorId="0" shapeId="0">
      <text>
        <t>Company items (Q2-18): European Commission fine (Android), separate income-statement line</t>
      </text>
    </comment>
    <comment ref="AM120" authorId="0" shapeId="0">
      <text>
        <t>Company items (2018): European Commission fine (Android), separate income-statement line</t>
      </text>
    </comment>
    <comment ref="AN120" authorId="0" shapeId="0">
      <text>
        <t>Company items (Q1-19): European Commission fine (AdSense), separate income-statement line</t>
      </text>
    </comment>
    <comment ref="AR120" authorId="0" shapeId="0">
      <text>
        <t>Company items (2019): European Commission fine (AdSense), separate income-statement line</t>
      </text>
    </comment>
    <comment ref="BT120" authorId="0" shapeId="0">
      <text>
        <t>Company items (Q3-25): European Commission fine (adtech) accrued in general &amp; administrative (release: operating income excluding the EC fine $34,685m vs GAAP $31,228m)</t>
      </text>
    </comment>
    <comment ref="BV120" authorId="0" shapeId="0">
      <text>
        <t>Company items (2025): European Commission fine (adtech) accrued in general &amp; administrative (release: operating income excluding the EC fine $34,685m vs GAAP $31,228m)</t>
      </text>
    </comment>
    <comment ref="BH121" authorId="0" shapeId="0">
      <text>
        <t>Company items (Q1-23): Employee severance and related charges and office space charges (Q1-24 release: Q1-23 operating income excluding these charges $19,973m vs GAAP $17,415m)</t>
      </text>
    </comment>
    <comment ref="BL121" authorId="0" shapeId="0">
      <text>
        <t>Company items (2023): Employee severance and related charges and office space charges (Q1-24 release: Q1-23 operating income excluding these charges $19,973m vs GAAP $17,415m)</t>
      </text>
    </comment>
    <comment ref="BM121" authorId="0" shapeId="0">
      <text>
        <t>Company items (Q1-24): Employee severance and related charges (Q1-24 release: operating income excluding severance and office space charges $26,188m vs GAAP $25,472m)</t>
      </text>
    </comment>
    <comment ref="BQ121" authorId="0" shapeId="0">
      <text>
        <t>Company items (2024): Employee severance and related charges (Q1-24 release: operating income excluding severance and office space charges $26,188m vs GAAP $25,472m)</t>
      </text>
    </comment>
    <comment ref="AG125" authorId="0" shapeId="0">
      <text>
        <t>Company items (Q4-17): Tax Act (TCJA) impact on the provision for income taxes: GAAP $11,038m vs $1,181m excluding the Tax Act (company non-GAAP)</t>
      </text>
    </comment>
    <comment ref="AH125" authorId="0" shapeId="0">
      <text>
        <t>Company items (2017): Tax Act (TCJA) impact on the provision for income taxes: GAAP $11,038m vs $1,181m excluding the Tax Act (company non-GAAP)</t>
      </text>
    </comment>
    <comment ref="B132" authorId="0" shapeId="0">
      <text>
        <t>Source: Forms 10-K / 10-Q (XBRL instance documents of each filing; FY2006–08 from the 10-K text) — consolidated statements of income, as originally reported (Q1–Q3 = 10-Q three months; Q4 = 10-K fiscal year − Q3 10-Q nine months). FY2006–08 from the 10-K text.</t>
      </text>
    </comment>
    <comment ref="I133" authorId="0" shapeId="0">
      <text>
        <t>FY2012–13 cost of revenues tagged by segment only (Google / Motorola) — derived as total costs and expenses − R&amp;D − S&amp;M − G&amp;A.</t>
      </text>
    </comment>
    <comment ref="B144" authorId="0" shapeId="0">
      <text>
        <t>Source: Forms 10-K / 10-Q (XBRL instance documents of each filing; FY2006–08 from the 10-K text) — OI&amp;E note (interest income, interest expense, gains (losses) on equity securities — XBRL EquitySecuritiesFvNiGainLoss from 2018).</t>
      </text>
    </comment>
    <comment ref="F144" authorId="0" shapeId="0">
      <text>
        <t>FY2009 interest income and other, net not tagged in XBRL — derived as income before taxes − income from operations.</t>
      </text>
    </comment>
    <comment ref="T149" authorId="0" shapeId="0">
      <text>
        <t>Q1-15 as originally reported ($3,586m). The Q2-15 10-Q revised income tax for 2008–Q1-15 (Q1-15 $3,515m); quarters are kept as first reported, so Σ 2015 quarters exceeds FY2015 by $71m.</t>
      </text>
    </comment>
    <comment ref="AH149" authorId="0" shapeId="0">
      <text>
        <t>FY2017 includes the $9.9bn Tax Act charge (Q4-17) and the $2.7bn EC fine (Q2-17).</t>
      </text>
    </comment>
    <comment ref="B158" authorId="0" shapeId="0">
      <text>
        <t>Source: Forms 10-K / 10-Q (XBRL instance documents of each filing; FY2006–08 from the 10-K text) — EPS note (Class A + B + C weighted shares; Class A diluted assumes conversion of Class B, + Class C diluted). Split-adjusted by filing date (x40 before 3-Apr-2014; x20 before 15-Jul-2022). Q4 = 4 × FY − Σ Q1–Q3 (derived).</t>
      </text>
    </comment>
    <comment ref="B163" authorId="0" shapeId="0">
      <text>
        <t>Source: Forms 10-K / 10-Q (XBRL instance documents of each filing; FY2006–08 from the 10-K text) — diluted EPS per Class A share (= Class C except Q2-15 / FY2015, when the Class C adjustment payment raised Class C EPS); Q4 from the Q4 release three-month column.</t>
      </text>
    </comment>
    <comment ref="U163" authorId="0" shapeId="0">
      <text>
        <t>Class A EPS $4.93 (pre-split; $0.2465 split-adjusted). Class C EPS was $6.43, including the $522m Class C adjustment payment.</t>
      </text>
    </comment>
    <comment ref="B175" authorId="0" shapeId="0">
      <text>
        <t>Source: Google / Alphabet earnings releases (Form 8-K Item 2.02, Ex. 99.1) — non-GAAP reconciliations "excluding the EC fine" (Q2-17, Q2-18, Q1-19, Q3-25) and "excluding severance and related and office space charges" (Q1-24 release, Q1-23 and Q1-24).</t>
      </text>
    </comment>
    <comment ref="C177" authorId="0" shapeId="0">
      <text>
        <t>Google Inc. / Alphabet published non-GAAP operating income excluding SBC (and in 2008 equity impairments below OI) to the Q4-2016 release.</t>
      </text>
    </comment>
    <comment ref="B217" authorId="0" shapeId="0">
      <text>
        <t>Source: Google / Alphabet earnings releases (Form 8-K Item 2.02, Ex. 99.1) — "Reconciliations of non-GAAP results of operations" (Google Inc. / Alphabet, to the Q4-16 release): excludes stock-based compensation net of tax and discontinued operations.</t>
      </text>
    </comment>
    <comment ref="B246" authorId="0" shapeId="0">
      <text>
        <t>Source: Forms 10-K / 10-Q (XBRL instance documents of each filing; FY2006–08 from the 10-K text) — consolidated statements of cash flows (year to date; discrete quarters derived, Q4 = FY − 9M). Cash includes restricted cash from 2018.</t>
      </text>
    </comment>
    <comment ref="B274" authorId="0" shapeId="0">
      <text>
        <t>Source: Google / Alphabet earnings releases (Form 8-K Item 2.02, Ex. 99.1) — "Reconciliation from net cash provided by operating activities to free cash flow" (quarterly; three-month column).</t>
      </text>
    </comment>
    <comment ref="AA275" authorId="0" shapeId="0">
      <text>
        <t>Known difference: the Q3-16 release FCF ($7,291m) predates the 10-Q cash-flow revision; the 10-Q year-to-date statements give $7,262m. Check reads 0 within that documented $29m.</t>
      </text>
    </comment>
    <comment ref="B303" authorId="0" shapeId="0">
      <text>
        <t>Source: Forms 10-K / 10-Q (XBRL instance documents of each filing; FY2006–08 from the 10-K text) — consolidated balance sheets (period ends); shares outstanding = Class A + B + C (equity note / cover).</t>
      </text>
    </comment>
    <comment ref="O328" authorId="0" shapeId="0">
      <text>
        <t>Q1–Q3 2014 cash-flow statements include Motorola Mobile cash held for sale ($160m).</t>
      </text>
    </comment>
    <comment ref="B341" authorId="0" shapeId="0">
      <text>
        <t>Source: Q2-26 10-Q Note 8 (Wiz, Intersect).</t>
      </text>
    </comment>
    <comment ref="B355" authorId="0" shapeId="0">
      <text>
        <t>Source: Q2-26 10-Q Note 6 (debt); FY2025 10-K debt note (maturities).</t>
      </text>
    </comment>
  </commentList>
</comments>
</file>

<file path=xl/comments/comment2.xml><?xml version="1.0" encoding="utf-8"?>
<comments xmlns="http://schemas.openxmlformats.org/spreadsheetml/2006/main">
  <authors>
    <author>GOOG model</author>
  </authors>
  <commentList>
    <comment ref="N26" authorId="0" shapeId="0">
      <text>
        <t>P/E on adjusted EPS (model definition: excludes equity-security gains, EC fines and the Tax Act). GOOG at $350 trades at ~29x 2026E model adjusted EPS. Exit multiples are assumptions: Base 26x, Bull 30x, Bear 20x applied to 2029E–30E (2028E–30E for Bear), vs the FY2021–25 range of ~18–30x.</t>
      </text>
    </comment>
    <comment ref="P40" authorId="0" shapeId="0">
      <text>
        <t>Snapshot (values) of Model rows 286, 285 and 287 (Share Schedule) with Model!CF2 = Bull / Bear.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R421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width="13" customWidth="1" style="251" min="6" max="6"/>
    <col width="13" customWidth="1" style="251" min="7" max="7"/>
    <col width="13" customWidth="1" style="251" min="8" max="8"/>
    <col width="13" customWidth="1" style="251" min="9" max="9"/>
    <col hidden="1" outlineLevel="1" width="9.5703125" customWidth="1" style="251" min="10" max="10"/>
    <col hidden="1" outlineLevel="1" width="9.5703125" customWidth="1" style="251" min="11" max="11"/>
    <col hidden="1" outlineLevel="1" width="9.5703125" customWidth="1" style="251" min="12" max="12"/>
    <col hidden="1" outlineLevel="1" width="9.5703125" customWidth="1" style="251" min="13" max="13"/>
    <col width="13" customWidth="1" style="251" min="14" max="14"/>
    <col hidden="1" outlineLevel="1" width="9.5703125" customWidth="1" style="251" min="15" max="15"/>
    <col hidden="1" outlineLevel="1" width="9.5703125" customWidth="1" style="251" min="16" max="16"/>
    <col hidden="1" outlineLevel="1" width="9.5703125" customWidth="1" style="251" min="17" max="17"/>
    <col hidden="1" outlineLevel="1" width="9.5703125" customWidth="1" style="251" min="18" max="18"/>
    <col width="13" customWidth="1" style="251" min="19" max="19"/>
    <col hidden="1" outlineLevel="1" width="9.5703125" customWidth="1" style="251" min="20" max="20"/>
    <col hidden="1" outlineLevel="1" width="9.5703125" customWidth="1" style="251" min="21" max="21"/>
    <col hidden="1" outlineLevel="1" width="9.5703125" customWidth="1" style="251" min="22" max="22"/>
    <col hidden="1" outlineLevel="1" width="9.5703125" customWidth="1" style="251" min="23" max="23"/>
    <col width="13" customWidth="1" style="251" min="24" max="24"/>
    <col hidden="1" outlineLevel="1" width="9.5703125" customWidth="1" style="251" min="25" max="25"/>
    <col hidden="1" outlineLevel="1" width="9.5703125" customWidth="1" style="251" min="26" max="26"/>
    <col hidden="1" outlineLevel="1" width="9.5703125" customWidth="1" style="251" min="27" max="27"/>
    <col hidden="1" outlineLevel="1" width="9.5703125" customWidth="1" style="251" min="28" max="28"/>
    <col width="13" customWidth="1" style="251" min="29" max="29"/>
    <col hidden="1" outlineLevel="1" width="9.5703125" customWidth="1" style="251" min="30" max="30"/>
    <col hidden="1" outlineLevel="1" width="9.5703125" customWidth="1" style="251" min="31" max="31"/>
    <col hidden="1" outlineLevel="1" width="9.5703125" customWidth="1" style="251" min="32" max="32"/>
    <col hidden="1" outlineLevel="1" width="9.5703125" customWidth="1" style="251" min="33" max="33"/>
    <col width="13" customWidth="1" style="251" min="34" max="34"/>
    <col hidden="1" outlineLevel="1" width="9.5703125" customWidth="1" style="251" min="35" max="35"/>
    <col hidden="1" outlineLevel="1" width="9.5703125" customWidth="1" style="251" min="36" max="36"/>
    <col hidden="1" outlineLevel="1" width="9.5703125" customWidth="1" style="251" min="37" max="37"/>
    <col hidden="1" outlineLevel="1" width="9.5703125" customWidth="1" style="251" min="38" max="38"/>
    <col width="13" customWidth="1" style="251" min="39" max="39"/>
    <col hidden="1" outlineLevel="1" width="9.5703125" customWidth="1" style="251" min="40" max="40"/>
    <col hidden="1" outlineLevel="1" width="9.5703125" customWidth="1" style="251" min="41" max="41"/>
    <col hidden="1" outlineLevel="1" width="9.5703125" customWidth="1" style="251" min="42" max="42"/>
    <col hidden="1" outlineLevel="1" width="9.5703125" customWidth="1" style="251" min="43" max="43"/>
    <col width="13" customWidth="1" style="251" min="44" max="44"/>
    <col hidden="1" outlineLevel="1" width="9.5703125" customWidth="1" style="251" min="45" max="45"/>
    <col hidden="1" outlineLevel="1" width="9.5703125" customWidth="1" style="251" min="46" max="46"/>
    <col hidden="1" outlineLevel="1" width="9.5703125" customWidth="1" style="251" min="47" max="47"/>
    <col hidden="1" outlineLevel="1" width="9.5703125" customWidth="1" style="251" min="48" max="48"/>
    <col width="13" customWidth="1" style="251" min="49" max="49"/>
    <col hidden="1" outlineLevel="1" width="9.5703125" customWidth="1" style="251" min="50" max="50"/>
    <col hidden="1" outlineLevel="1" width="9.5703125" customWidth="1" style="251" min="51" max="51"/>
    <col hidden="1" outlineLevel="1" width="9.5703125" customWidth="1" style="251" min="52" max="52"/>
    <col hidden="1" outlineLevel="1" width="9.5703125" customWidth="1" style="251" min="53" max="53"/>
    <col width="13" customWidth="1" style="251" min="54" max="54"/>
    <col hidden="1" outlineLevel="1" width="9.5703125" customWidth="1" style="251" min="55" max="55"/>
    <col hidden="1" outlineLevel="1" width="9.5703125" customWidth="1" style="251" min="56" max="56"/>
    <col hidden="1" outlineLevel="1" width="9.5703125" customWidth="1" style="251" min="57" max="57"/>
    <col hidden="1" outlineLevel="1" width="9.5703125" customWidth="1" style="251" min="58" max="58"/>
    <col width="13" customWidth="1" style="251" min="59" max="59"/>
    <col hidden="1" outlineLevel="1" width="9.5703125" customWidth="1" style="251" min="60" max="60"/>
    <col hidden="1" outlineLevel="1" width="9.5703125" customWidth="1" style="251" min="61" max="61"/>
    <col hidden="1" outlineLevel="1" width="9.5703125" customWidth="1" style="251" min="62" max="62"/>
    <col hidden="1" outlineLevel="1" width="9.5703125" customWidth="1" style="251" min="63" max="63"/>
    <col width="13" customWidth="1" style="251" min="64" max="64"/>
    <col hidden="1" outlineLevel="1" width="9.5703125" customWidth="1" style="251" min="65" max="65"/>
    <col hidden="1" outlineLevel="1" width="9.5703125" customWidth="1" style="251" min="66" max="66"/>
    <col hidden="1" outlineLevel="1" width="9.5703125" customWidth="1" style="251" min="67" max="67"/>
    <col hidden="1" outlineLevel="1" width="9.5703125" customWidth="1" style="251" min="68" max="68"/>
    <col width="13" customWidth="1" style="251" min="69" max="69"/>
    <col hidden="1" outlineLevel="1" width="9.5703125" customWidth="1" style="251" min="70" max="70"/>
    <col hidden="1" outlineLevel="1" width="9.5703125" customWidth="1" style="251" min="71" max="71"/>
    <col hidden="1" outlineLevel="1" width="9.5703125" customWidth="1" style="251" min="72" max="72"/>
    <col hidden="1" outlineLevel="1" width="9.5703125" customWidth="1" style="251" min="73" max="73"/>
    <col width="13" customWidth="1" style="251" min="74" max="74"/>
    <col hidden="1" outlineLevel="1" width="9.5703125" customWidth="1" style="251" min="75" max="75"/>
    <col hidden="1" outlineLevel="1" width="9.5703125" customWidth="1" style="251" min="76" max="76"/>
    <col hidden="1" outlineLevel="1" width="11.42578125" customWidth="1" style="251" min="77" max="77"/>
    <col hidden="1" outlineLevel="1" width="11.42578125" customWidth="1" style="251" min="78" max="78"/>
    <col width="14.140625" customWidth="1" style="251" min="79" max="79"/>
    <col width="13" customWidth="1" style="251" min="80" max="80"/>
    <col width="13" customWidth="1" style="251" min="81" max="81"/>
    <col width="13" customWidth="1" style="251" min="82" max="82"/>
    <col width="13" customWidth="1" style="251" min="83" max="83"/>
    <col width="86.85546875" customWidth="1" style="251" min="84" max="84"/>
    <col width="2" customWidth="1" style="251" min="85" max="85"/>
    <col width="14.140625" customWidth="1" style="251" min="86" max="86"/>
    <col width="12.42578125" customWidth="1" style="251" min="87" max="87"/>
    <col width="13.42578125" customWidth="1" style="251" min="88" max="88"/>
    <col width="13" customWidth="1" style="251" min="89" max="89"/>
    <col width="2" customWidth="1" style="251" min="90" max="90"/>
    <col width="6" customWidth="1" style="251" min="91" max="91"/>
    <col width="46" customWidth="1" style="251" min="92" max="92"/>
    <col width="11.5703125" customWidth="1" style="251" min="93" max="93"/>
    <col width="13" customWidth="1" style="251" min="94" max="94"/>
    <col width="13" customWidth="1" style="251" min="95" max="95"/>
    <col width="60" customWidth="1" style="251" min="96" max="96"/>
  </cols>
  <sheetData>
    <row r="1" ht="15" customHeight="1" s="251">
      <c r="CF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Alphabet Inc. (NASDAQ: GOOG) — 3-Statement Financial Model</t>
        </is>
      </c>
      <c r="CF2" s="3" t="inlineStr">
        <is>
          <t>Base</t>
        </is>
      </c>
    </row>
    <row r="3" ht="15" customHeight="1" s="251">
      <c r="B3" s="4" t="inlineStr">
        <is>
          <t>US GAAP as originally reported · USD millions (per-share data in USD; shares in millions, split-adjusted) · Calendar fiscal year · Source: SEC EDGAR only — Google Inc. (CIK 1288776, to Q3-2015) and Alphabet Inc. (CIK 1652044) Forms 10-K / 10-Q (XBRL instance documents), Form 8-K earnings releases (Ex. 99.1); investor-relations releases are the same documents as filed on EDGAR. Capex outlook from the earnings call is UNVERIFIED.</t>
        </is>
      </c>
    </row>
    <row r="4" ht="15" customHeight="1" s="251">
      <c r="B4" s="5" t="inlineStr">
        <is>
          <t>Basis notes: statements as originally reported; revenue types and segments from the latest filing presenting the period (recasts: Cloud split Q4-20, performance fees to OI&amp;E 2019, Google DeepMind to Alphabet-level 2023). Splits: 2-for-1 Class C dividend Apr-2014, 20-for-1 Jul-2022. Disc ops: Motorola Home 2012–13, Motorola Mobile 2014. Deals: Wiz (11-Mar-2026, $29.5bn), Intersect (10-Mar-2026, $5.9bn); GFiber divestiture pending (late 2026). Jun-2026: $30.5bn common + $19.0bn 6.25% mandatory convertible preferred. No company guidance: Q3–Q4/26E from the 1H26 run-rate with scenario shifts.</t>
        </is>
      </c>
    </row>
    <row r="5" ht="15" customHeight="1" s="251">
      <c r="BY5" s="153" t="n"/>
      <c r="BZ5" s="153" t="n"/>
      <c r="CA5" s="153" t="n"/>
      <c r="CB5" s="153" t="n"/>
      <c r="CC5" s="153" t="n"/>
      <c r="CD5" s="153" t="n"/>
      <c r="CE5" s="153" t="n"/>
      <c r="CH5" s="6" t="inlineStr">
        <is>
          <t>Forecast</t>
        </is>
      </c>
      <c r="CI5" s="6" t="inlineStr">
        <is>
          <t>Historical</t>
        </is>
      </c>
      <c r="CJ5" s="6" t="inlineStr">
        <is>
          <t>Historical</t>
        </is>
      </c>
      <c r="CK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2006</v>
      </c>
      <c r="D6" s="8" t="n">
        <v>2007</v>
      </c>
      <c r="E6" s="8" t="n">
        <v>2008</v>
      </c>
      <c r="F6" s="8" t="n">
        <v>2009</v>
      </c>
      <c r="G6" s="8" t="n">
        <v>2010</v>
      </c>
      <c r="H6" s="8" t="n">
        <v>2011</v>
      </c>
      <c r="I6" s="8" t="n">
        <v>2012</v>
      </c>
      <c r="J6" s="8" t="inlineStr">
        <is>
          <t>Q1/13</t>
        </is>
      </c>
      <c r="K6" s="8" t="inlineStr">
        <is>
          <t>Q2/13</t>
        </is>
      </c>
      <c r="L6" s="8" t="inlineStr">
        <is>
          <t>Q3/13</t>
        </is>
      </c>
      <c r="M6" s="8" t="inlineStr">
        <is>
          <t>Q4/13</t>
        </is>
      </c>
      <c r="N6" s="8" t="n">
        <v>2013</v>
      </c>
      <c r="O6" s="8" t="inlineStr">
        <is>
          <t>Q1/14</t>
        </is>
      </c>
      <c r="P6" s="8" t="inlineStr">
        <is>
          <t>Q2/14</t>
        </is>
      </c>
      <c r="Q6" s="8" t="inlineStr">
        <is>
          <t>Q3/14</t>
        </is>
      </c>
      <c r="R6" s="8" t="inlineStr">
        <is>
          <t>Q4/14</t>
        </is>
      </c>
      <c r="S6" s="8" t="n">
        <v>2014</v>
      </c>
      <c r="T6" s="8" t="inlineStr">
        <is>
          <t>Q1/15</t>
        </is>
      </c>
      <c r="U6" s="8" t="inlineStr">
        <is>
          <t>Q2/15</t>
        </is>
      </c>
      <c r="V6" s="8" t="inlineStr">
        <is>
          <t>Q3/15</t>
        </is>
      </c>
      <c r="W6" s="8" t="inlineStr">
        <is>
          <t>Q4/15</t>
        </is>
      </c>
      <c r="X6" s="8" t="n">
        <v>2015</v>
      </c>
      <c r="Y6" s="8" t="inlineStr">
        <is>
          <t>Q1/16</t>
        </is>
      </c>
      <c r="Z6" s="8" t="inlineStr">
        <is>
          <t>Q2/16</t>
        </is>
      </c>
      <c r="AA6" s="8" t="inlineStr">
        <is>
          <t>Q3/16</t>
        </is>
      </c>
      <c r="AB6" s="8" t="inlineStr">
        <is>
          <t>Q4/16</t>
        </is>
      </c>
      <c r="AC6" s="8" t="n">
        <v>2016</v>
      </c>
      <c r="AD6" s="8" t="inlineStr">
        <is>
          <t>Q1/17</t>
        </is>
      </c>
      <c r="AE6" s="8" t="inlineStr">
        <is>
          <t>Q2/17</t>
        </is>
      </c>
      <c r="AF6" s="8" t="inlineStr">
        <is>
          <t>Q3/17</t>
        </is>
      </c>
      <c r="AG6" s="8" t="inlineStr">
        <is>
          <t>Q4/17</t>
        </is>
      </c>
      <c r="AH6" s="8" t="n">
        <v>2017</v>
      </c>
      <c r="AI6" s="8" t="inlineStr">
        <is>
          <t>Q1/18</t>
        </is>
      </c>
      <c r="AJ6" s="8" t="inlineStr">
        <is>
          <t>Q2/18</t>
        </is>
      </c>
      <c r="AK6" s="8" t="inlineStr">
        <is>
          <t>Q3/18</t>
        </is>
      </c>
      <c r="AL6" s="8" t="inlineStr">
        <is>
          <t>Q4/18</t>
        </is>
      </c>
      <c r="AM6" s="8" t="n">
        <v>2018</v>
      </c>
      <c r="AN6" s="8" t="inlineStr">
        <is>
          <t>Q1/19</t>
        </is>
      </c>
      <c r="AO6" s="8" t="inlineStr">
        <is>
          <t>Q2/19</t>
        </is>
      </c>
      <c r="AP6" s="8" t="inlineStr">
        <is>
          <t>Q3/19</t>
        </is>
      </c>
      <c r="AQ6" s="8" t="inlineStr">
        <is>
          <t>Q4/19</t>
        </is>
      </c>
      <c r="AR6" s="8" t="n">
        <v>2019</v>
      </c>
      <c r="AS6" s="8" t="inlineStr">
        <is>
          <t>Q1/20</t>
        </is>
      </c>
      <c r="AT6" s="8" t="inlineStr">
        <is>
          <t>Q2/20</t>
        </is>
      </c>
      <c r="AU6" s="8" t="inlineStr">
        <is>
          <t>Q3/20</t>
        </is>
      </c>
      <c r="AV6" s="8" t="inlineStr">
        <is>
          <t>Q4/20</t>
        </is>
      </c>
      <c r="AW6" s="8" t="n">
        <v>2020</v>
      </c>
      <c r="AX6" s="8" t="inlineStr">
        <is>
          <t>Q1/21</t>
        </is>
      </c>
      <c r="AY6" s="8" t="inlineStr">
        <is>
          <t>Q2/21</t>
        </is>
      </c>
      <c r="AZ6" s="8" t="inlineStr">
        <is>
          <t>Q3/21</t>
        </is>
      </c>
      <c r="BA6" s="8" t="inlineStr">
        <is>
          <t>Q4/21</t>
        </is>
      </c>
      <c r="BB6" s="8" t="n">
        <v>2021</v>
      </c>
      <c r="BC6" s="8" t="inlineStr">
        <is>
          <t>Q1/22</t>
        </is>
      </c>
      <c r="BD6" s="8" t="inlineStr">
        <is>
          <t>Q2/22</t>
        </is>
      </c>
      <c r="BE6" s="8" t="inlineStr">
        <is>
          <t>Q3/22</t>
        </is>
      </c>
      <c r="BF6" s="8" t="inlineStr">
        <is>
          <t>Q4/22</t>
        </is>
      </c>
      <c r="BG6" s="8" t="n">
        <v>2022</v>
      </c>
      <c r="BH6" s="8" t="inlineStr">
        <is>
          <t>Q1/23</t>
        </is>
      </c>
      <c r="BI6" s="8" t="inlineStr">
        <is>
          <t>Q2/23</t>
        </is>
      </c>
      <c r="BJ6" s="8" t="inlineStr">
        <is>
          <t>Q3/23</t>
        </is>
      </c>
      <c r="BK6" s="8" t="inlineStr">
        <is>
          <t>Q4/23</t>
        </is>
      </c>
      <c r="BL6" s="8" t="n">
        <v>2023</v>
      </c>
      <c r="BM6" s="8" t="inlineStr">
        <is>
          <t>Q1/24</t>
        </is>
      </c>
      <c r="BN6" s="8" t="inlineStr">
        <is>
          <t>Q2/24</t>
        </is>
      </c>
      <c r="BO6" s="8" t="inlineStr">
        <is>
          <t>Q3/24</t>
        </is>
      </c>
      <c r="BP6" s="8" t="inlineStr">
        <is>
          <t>Q4/24</t>
        </is>
      </c>
      <c r="BQ6" s="8" t="n">
        <v>2024</v>
      </c>
      <c r="BR6" s="8" t="inlineStr">
        <is>
          <t>Q1/25</t>
        </is>
      </c>
      <c r="BS6" s="8" t="inlineStr">
        <is>
          <t>Q2/25</t>
        </is>
      </c>
      <c r="BT6" s="8" t="inlineStr">
        <is>
          <t>Q3/25</t>
        </is>
      </c>
      <c r="BU6" s="8" t="inlineStr">
        <is>
          <t>Q4/25</t>
        </is>
      </c>
      <c r="BV6" s="8" t="n">
        <v>2025</v>
      </c>
      <c r="BW6" s="8" t="inlineStr">
        <is>
          <t>Q1/26</t>
        </is>
      </c>
      <c r="BX6" s="8" t="inlineStr">
        <is>
          <t>Q2/26</t>
        </is>
      </c>
      <c r="BY6" s="8" t="inlineStr">
        <is>
          <t>Q3/26E</t>
        </is>
      </c>
      <c r="BZ6" s="8" t="inlineStr">
        <is>
          <t>Q4/26E</t>
        </is>
      </c>
      <c r="CA6" s="8" t="inlineStr">
        <is>
          <t>2026E</t>
        </is>
      </c>
      <c r="CB6" s="8" t="inlineStr">
        <is>
          <t>2027E</t>
        </is>
      </c>
      <c r="CC6" s="8" t="inlineStr">
        <is>
          <t>2028E</t>
        </is>
      </c>
      <c r="CD6" s="8" t="inlineStr">
        <is>
          <t>2029E</t>
        </is>
      </c>
      <c r="CE6" s="8" t="inlineStr">
        <is>
          <t>2030E</t>
        </is>
      </c>
      <c r="CF6" s="8" t="inlineStr">
        <is>
          <t>Modelling Notes</t>
        </is>
      </c>
      <c r="CH6" s="6" t="inlineStr">
        <is>
          <t>5Y CAGR</t>
        </is>
      </c>
      <c r="CI6" s="6" t="inlineStr">
        <is>
          <t>5Y CAGR</t>
        </is>
      </c>
      <c r="CJ6" s="6" t="inlineStr">
        <is>
          <t>10Y CAGR</t>
        </is>
      </c>
      <c r="CK6" s="6" t="inlineStr">
        <is>
          <t>19Y CAGR</t>
        </is>
      </c>
    </row>
    <row r="7" ht="15" customHeight="1" s="251">
      <c r="CH7" s="9" t="inlineStr">
        <is>
          <t>25-'30</t>
        </is>
      </c>
      <c r="CI7" s="9" t="inlineStr">
        <is>
          <t>20-'25</t>
        </is>
      </c>
      <c r="CJ7" s="9" t="inlineStr">
        <is>
          <t>15-'25</t>
        </is>
      </c>
      <c r="CK7" s="9" t="inlineStr">
        <is>
          <t>06-'25</t>
        </is>
      </c>
    </row>
    <row r="8" ht="15" customHeight="1" s="251">
      <c r="B8" s="10" t="inlineStr">
        <is>
          <t>REVENUE BUILD — GOOGLE SERVICES (Search · YouTube · Network · Subscriptions/platforms/devices) · GOOGLE CLOUD · OTHER BETS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inlineStr">
        <is>
          <t>REVENUE BUILD — modelling logic (revenue by type → segment revenue → segment operating income → Alphabet-level costs → GAAP P&amp;L)</t>
        </is>
      </c>
    </row>
    <row r="9" ht="15" customHeight="1" s="251">
      <c r="CN9" s="11" t="inlineStr">
        <is>
          <t>SCENARIO INPUT TABLE — driver assumptions per Bull / Base / Bear</t>
        </is>
      </c>
      <c r="CO9" s="12" t="inlineStr">
        <is>
          <t>Bull</t>
        </is>
      </c>
      <c r="CP9" s="12" t="inlineStr">
        <is>
          <t>Base</t>
        </is>
      </c>
      <c r="CQ9" s="12" t="inlineStr">
        <is>
          <t>Bear</t>
        </is>
      </c>
      <c r="CR9" s="13" t="inlineStr">
        <is>
          <t>Bull / Bear = Base + Δ (Δ inputs on each block header). Alphabet gives no revenue / margin / EPS guidance: the Q3–Q4/26E block holds scenario shifts vs the 1H26 run-rate.</t>
        </is>
      </c>
    </row>
    <row r="10" ht="15" customHeight="1" s="251">
      <c r="B10" s="14" t="inlineStr">
        <is>
          <t>Revenues by type (current taxonomy; latest filing presenting the period — annual from FY2017, quarterly from Q1/19)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5" t="inlineStr">
        <is>
          <t>REVENUE TYPES — Q3–Q4/26E: prior-year quarter × (1 + 1H26 y/y growth + scenario shift); 2027E–2030E: scenario levers</t>
        </is>
      </c>
    </row>
    <row r="11" ht="15" customHeight="1" s="251">
      <c r="B11" s="25" t="inlineStr">
        <is>
          <t xml:space="preserve">  Google Search &amp; other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253" t="n">
        <v>69811</v>
      </c>
      <c r="AI11" s="34" t="n"/>
      <c r="AJ11" s="34" t="n"/>
      <c r="AK11" s="34" t="n"/>
      <c r="AL11" s="34" t="n"/>
      <c r="AM11" s="253" t="n">
        <v>85296</v>
      </c>
      <c r="AN11" s="253" t="n">
        <v>22547</v>
      </c>
      <c r="AO11" s="253" t="n">
        <v>23642</v>
      </c>
      <c r="AP11" s="253" t="n">
        <v>24741</v>
      </c>
      <c r="AQ11" s="253" t="n">
        <v>27185</v>
      </c>
      <c r="AR11" s="253" t="n">
        <v>98115</v>
      </c>
      <c r="AS11" s="253" t="n">
        <v>24502</v>
      </c>
      <c r="AT11" s="253" t="n">
        <v>21319</v>
      </c>
      <c r="AU11" s="253" t="n">
        <v>26338</v>
      </c>
      <c r="AV11" s="253" t="n">
        <v>31903</v>
      </c>
      <c r="AW11" s="253" t="n">
        <v>104062</v>
      </c>
      <c r="AX11" s="253" t="n">
        <v>31879</v>
      </c>
      <c r="AY11" s="253" t="n">
        <v>35845</v>
      </c>
      <c r="AZ11" s="253" t="n">
        <v>37926</v>
      </c>
      <c r="BA11" s="253" t="n">
        <v>43301</v>
      </c>
      <c r="BB11" s="253" t="n">
        <v>148951</v>
      </c>
      <c r="BC11" s="253" t="n">
        <v>39618</v>
      </c>
      <c r="BD11" s="253" t="n">
        <v>40689</v>
      </c>
      <c r="BE11" s="253" t="n">
        <v>39539</v>
      </c>
      <c r="BF11" s="253" t="n">
        <v>42604</v>
      </c>
      <c r="BG11" s="253" t="n">
        <v>162450</v>
      </c>
      <c r="BH11" s="253" t="n">
        <v>40359</v>
      </c>
      <c r="BI11" s="253" t="n">
        <v>42628</v>
      </c>
      <c r="BJ11" s="253" t="n">
        <v>44026</v>
      </c>
      <c r="BK11" s="253" t="n">
        <v>48020</v>
      </c>
      <c r="BL11" s="253" t="n">
        <v>175033</v>
      </c>
      <c r="BM11" s="253" t="n">
        <v>46156</v>
      </c>
      <c r="BN11" s="253" t="n">
        <v>48509</v>
      </c>
      <c r="BO11" s="253" t="n">
        <v>49385</v>
      </c>
      <c r="BP11" s="253" t="n">
        <v>54034</v>
      </c>
      <c r="BQ11" s="253" t="n">
        <v>198084</v>
      </c>
      <c r="BR11" s="253" t="n">
        <v>50702</v>
      </c>
      <c r="BS11" s="253" t="n">
        <v>54190</v>
      </c>
      <c r="BT11" s="253" t="n">
        <v>56567</v>
      </c>
      <c r="BU11" s="253" t="n">
        <v>63073</v>
      </c>
      <c r="BV11" s="253" t="n">
        <v>224532</v>
      </c>
      <c r="BW11" s="253" t="n">
        <v>60399</v>
      </c>
      <c r="BX11" s="253" t="n">
        <v>63271</v>
      </c>
      <c r="BY11" s="254">
        <f>BT11*(1+BY12)</f>
        <v>66693.750619685</v>
      </c>
      <c r="BZ11" s="254">
        <f>BU11*(1+BZ12)</f>
        <v>74364.4692636235</v>
      </c>
      <c r="CA11" s="254">
        <f>SUM(BW11:BZ11)</f>
        <v>264728.219883309</v>
      </c>
      <c r="CB11" s="254">
        <f>CA11*(1+CB12)</f>
        <v>293848.324070473</v>
      </c>
      <c r="CC11" s="254">
        <f>CB11*(1+CC12)</f>
        <v>320294.673236815</v>
      </c>
      <c r="CD11" s="254">
        <f>CC11*(1+CD12)</f>
        <v>345918.24709576</v>
      </c>
      <c r="CE11" s="254">
        <f>CD11*(1+CE12)</f>
        <v>370132.524392464</v>
      </c>
      <c r="CF11" s="19" t="inlineStr">
        <is>
          <t>Revenue types per the 10-Q / 10-K revenue note (XBRL; latest filing presenting the period). YouTube ads and Cloud are disclosed from FY2017 (annual) / Q1-19 (quarterly).</t>
        </is>
      </c>
      <c r="CH11" s="20">
        <f>IFERROR((CE11/BV11)^(1/5)-1,"n/m")</f>
        <v>0.105136189629331</v>
      </c>
      <c r="CI11" s="20">
        <f>IFERROR((BV11/AW11)^(1/5)-1,"n/m")</f>
        <v>0.166264926869701</v>
      </c>
      <c r="CJ11" s="20" t="str">
        <f>IFERROR((BV11/X11)^(1/10)-1,"n/m")</f>
        <v>n/m</v>
      </c>
      <c r="CK11" s="20" t="str">
        <f>IFERROR((BV11/C11)^(1/19)-1,"n/m")</f>
        <v>n/m</v>
      </c>
      <c r="CN11" s="15" t="inlineStr">
        <is>
          <t>Q3–Q4/26E outlook — Alphabet gives no revenue, margin or EPS guidance (scenario shifts vs the 1H26 run-rate)</t>
        </is>
      </c>
      <c r="CO11" s="21" t="inlineStr">
        <is>
          <t>Bull</t>
        </is>
      </c>
      <c r="CP11" s="21" t="inlineStr">
        <is>
          <t>Base</t>
        </is>
      </c>
      <c r="CQ11" s="21" t="inlineStr">
        <is>
          <t>Bear</t>
        </is>
      </c>
      <c r="CR11" s="13" t="inlineStr">
        <is>
          <t>Capex outlook 2026 $195–205bn (raised from $180–190bn) is call-only (22-Jul-2026) and UNVERIFIED; the Q2-26 10-Q says only that 2026 technical-infrastructure investment will "significantly increase" vs 2025 (1H26 $80.6bn).</t>
        </is>
      </c>
    </row>
    <row r="12" ht="15" customHeight="1" s="251">
      <c r="B12" s="22" t="inlineStr">
        <is>
          <t xml:space="preserve">    y/y %</t>
        </is>
      </c>
      <c r="C12" s="23" t="n"/>
      <c r="D12" s="255">
        <f>IF(AND(ISNUMBER(D11),ISNUMBER(C11)),IFERROR(D11/C11-1,""),"")</f>
      </c>
      <c r="E12" s="255">
        <f>IF(AND(ISNUMBER(E11),ISNUMBER(D11)),IFERROR(E11/D11-1,""),"")</f>
      </c>
      <c r="F12" s="255">
        <f>IF(AND(ISNUMBER(F11),ISNUMBER(E11)),IFERROR(F11/E11-1,""),"")</f>
      </c>
      <c r="G12" s="255">
        <f>IF(AND(ISNUMBER(G11),ISNUMBER(F11)),IFERROR(G11/F11-1,""),"")</f>
      </c>
      <c r="H12" s="255">
        <f>IF(AND(ISNUMBER(H11),ISNUMBER(G11)),IFERROR(H11/G11-1,""),"")</f>
      </c>
      <c r="I12" s="255">
        <f>IF(AND(ISNUMBER(I11),ISNUMBER(H11)),IFERROR(I11/H11-1,""),"")</f>
      </c>
      <c r="J12" s="23" t="n"/>
      <c r="K12" s="23" t="n"/>
      <c r="L12" s="23" t="n"/>
      <c r="M12" s="23" t="n"/>
      <c r="N12" s="255">
        <f>IF(AND(ISNUMBER(N11),ISNUMBER(I11)),IFERROR(N11/I11-1,""),"")</f>
      </c>
      <c r="O12" s="255">
        <f>IF(AND(ISNUMBER(O11),ISNUMBER(J11)),IFERROR(O11/J11-1,""),"")</f>
      </c>
      <c r="P12" s="255">
        <f>IF(AND(ISNUMBER(P11),ISNUMBER(K11)),IFERROR(P11/K11-1,""),"")</f>
      </c>
      <c r="Q12" s="255">
        <f>IF(AND(ISNUMBER(Q11),ISNUMBER(L11)),IFERROR(Q11/L11-1,""),"")</f>
      </c>
      <c r="R12" s="255">
        <f>IF(AND(ISNUMBER(R11),ISNUMBER(M11)),IFERROR(R11/M11-1,""),"")</f>
      </c>
      <c r="S12" s="255">
        <f>IF(AND(ISNUMBER(S11),ISNUMBER(N11)),IFERROR(S11/N11-1,""),"")</f>
      </c>
      <c r="T12" s="255">
        <f>IF(AND(ISNUMBER(T11),ISNUMBER(O11)),IFERROR(T11/O11-1,""),"")</f>
      </c>
      <c r="U12" s="255">
        <f>IF(AND(ISNUMBER(U11),ISNUMBER(P11)),IFERROR(U11/P11-1,""),"")</f>
      </c>
      <c r="V12" s="255">
        <f>IF(AND(ISNUMBER(V11),ISNUMBER(Q11)),IFERROR(V11/Q11-1,""),"")</f>
      </c>
      <c r="W12" s="255">
        <f>IF(AND(ISNUMBER(W11),ISNUMBER(R11)),IFERROR(W11/R11-1,""),"")</f>
      </c>
      <c r="X12" s="255">
        <f>IF(AND(ISNUMBER(X11),ISNUMBER(S11)),IFERROR(X11/S11-1,""),"")</f>
      </c>
      <c r="Y12" s="255">
        <f>IF(AND(ISNUMBER(Y11),ISNUMBER(T11)),IFERROR(Y11/T11-1,""),"")</f>
      </c>
      <c r="Z12" s="255">
        <f>IF(AND(ISNUMBER(Z11),ISNUMBER(U11)),IFERROR(Z11/U11-1,""),"")</f>
      </c>
      <c r="AA12" s="255">
        <f>IF(AND(ISNUMBER(AA11),ISNUMBER(V11)),IFERROR(AA11/V11-1,""),"")</f>
      </c>
      <c r="AB12" s="255">
        <f>IF(AND(ISNUMBER(AB11),ISNUMBER(W11)),IFERROR(AB11/W11-1,""),"")</f>
      </c>
      <c r="AC12" s="255">
        <f>IF(AND(ISNUMBER(AC11),ISNUMBER(X11)),IFERROR(AC11/X11-1,""),"")</f>
      </c>
      <c r="AD12" s="255">
        <f>IF(AND(ISNUMBER(AD11),ISNUMBER(Y11)),IFERROR(AD11/Y11-1,""),"")</f>
      </c>
      <c r="AE12" s="255">
        <f>IF(AND(ISNUMBER(AE11),ISNUMBER(Z11)),IFERROR(AE11/Z11-1,""),"")</f>
      </c>
      <c r="AF12" s="255">
        <f>IF(AND(ISNUMBER(AF11),ISNUMBER(AA11)),IFERROR(AF11/AA11-1,""),"")</f>
      </c>
      <c r="AG12" s="255">
        <f>IF(AND(ISNUMBER(AG11),ISNUMBER(AB11)),IFERROR(AG11/AB11-1,""),"")</f>
      </c>
      <c r="AH12" s="255">
        <f>IF(AND(ISNUMBER(AH11),ISNUMBER(AC11)),IFERROR(AH11/AC11-1,""),"")</f>
      </c>
      <c r="AI12" s="255">
        <f>IF(AND(ISNUMBER(AI11),ISNUMBER(AD11)),IFERROR(AI11/AD11-1,""),"")</f>
      </c>
      <c r="AJ12" s="255">
        <f>IF(AND(ISNUMBER(AJ11),ISNUMBER(AE11)),IFERROR(AJ11/AE11-1,""),"")</f>
      </c>
      <c r="AK12" s="255">
        <f>IF(AND(ISNUMBER(AK11),ISNUMBER(AF11)),IFERROR(AK11/AF11-1,""),"")</f>
      </c>
      <c r="AL12" s="255">
        <f>IF(AND(ISNUMBER(AL11),ISNUMBER(AG11)),IFERROR(AL11/AG11-1,""),"")</f>
      </c>
      <c r="AM12" s="255">
        <f>IF(AND(ISNUMBER(AM11),ISNUMBER(AH11)),IFERROR(AM11/AH11-1,""),"")</f>
        <v>0.221813181303806</v>
      </c>
      <c r="AN12" s="255">
        <f>IF(AND(ISNUMBER(AN11),ISNUMBER(AI11)),IFERROR(AN11/AI11-1,""),"")</f>
      </c>
      <c r="AO12" s="255">
        <f>IF(AND(ISNUMBER(AO11),ISNUMBER(AJ11)),IFERROR(AO11/AJ11-1,""),"")</f>
      </c>
      <c r="AP12" s="255">
        <f>IF(AND(ISNUMBER(AP11),ISNUMBER(AK11)),IFERROR(AP11/AK11-1,""),"")</f>
      </c>
      <c r="AQ12" s="255">
        <f>IF(AND(ISNUMBER(AQ11),ISNUMBER(AL11)),IFERROR(AQ11/AL11-1,""),"")</f>
      </c>
      <c r="AR12" s="255">
        <f>IF(AND(ISNUMBER(AR11),ISNUMBER(AM11)),IFERROR(AR11/AM11-1,""),"")</f>
        <v>0.15028840742825</v>
      </c>
      <c r="AS12" s="255">
        <f>IF(AND(ISNUMBER(AS11),ISNUMBER(AN11)),IFERROR(AS11/AN11-1,""),"")</f>
        <v>0.0867077659999114</v>
      </c>
      <c r="AT12" s="255">
        <f>IF(AND(ISNUMBER(AT11),ISNUMBER(AO11)),IFERROR(AT11/AO11-1,""),"")</f>
        <v>-0.0982573386346333</v>
      </c>
      <c r="AU12" s="255">
        <f>IF(AND(ISNUMBER(AU11),ISNUMBER(AP11)),IFERROR(AU11/AP11-1,""),"")</f>
        <v>0.0645487247888121</v>
      </c>
      <c r="AV12" s="255">
        <f>IF(AND(ISNUMBER(AV11),ISNUMBER(AQ11)),IFERROR(AV11/AQ11-1,""),"")</f>
        <v>0.173551590950892</v>
      </c>
      <c r="AW12" s="255">
        <f>IF(AND(ISNUMBER(AW11),ISNUMBER(AR11)),IFERROR(AW11/AR11-1,""),"")</f>
        <v>0.0606125465015543</v>
      </c>
      <c r="AX12" s="255">
        <f>IF(AND(ISNUMBER(AX11),ISNUMBER(AS11)),IFERROR(AX11/AS11-1,""),"")</f>
        <v>0.30107746306424</v>
      </c>
      <c r="AY12" s="255">
        <f>IF(AND(ISNUMBER(AY11),ISNUMBER(AT11)),IFERROR(AY11/AT11-1,""),"")</f>
        <v>0.681364041465359</v>
      </c>
      <c r="AZ12" s="255">
        <f>IF(AND(ISNUMBER(AZ11),ISNUMBER(AU11)),IFERROR(AZ11/AU11-1,""),"")</f>
        <v>0.439972663072367</v>
      </c>
      <c r="BA12" s="255">
        <f>IF(AND(ISNUMBER(BA11),ISNUMBER(AV11)),IFERROR(BA11/AV11-1,""),"")</f>
        <v>0.357270476130771</v>
      </c>
      <c r="BB12" s="255">
        <f>IF(AND(ISNUMBER(BB11),ISNUMBER(AW11)),IFERROR(BB11/AW11-1,""),"")</f>
        <v>0.431367838404028</v>
      </c>
      <c r="BC12" s="255">
        <f>IF(AND(ISNUMBER(BC11),ISNUMBER(AX11)),IFERROR(BC11/AX11-1,""),"")</f>
        <v>0.242761692650334</v>
      </c>
      <c r="BD12" s="255">
        <f>IF(AND(ISNUMBER(BD11),ISNUMBER(AY11)),IFERROR(BD11/AY11-1,""),"")</f>
        <v>0.135137397126517</v>
      </c>
      <c r="BE12" s="255">
        <f>IF(AND(ISNUMBER(BE11),ISNUMBER(AZ11)),IFERROR(BE11/AZ11-1,""),"")</f>
        <v>0.042530190370722</v>
      </c>
      <c r="BF12" s="255">
        <f>IF(AND(ISNUMBER(BF11),ISNUMBER(BA11)),IFERROR(BF11/BA11-1,""),"")</f>
        <v>-0.0160966259439735</v>
      </c>
      <c r="BG12" s="255">
        <f>IF(AND(ISNUMBER(BG11),ISNUMBER(BB11)),IFERROR(BG11/BB11-1,""),"")</f>
        <v>0.0906271189854382</v>
      </c>
      <c r="BH12" s="255">
        <f>IF(AND(ISNUMBER(BH11),ISNUMBER(BC11)),IFERROR(BH11/BC11-1,""),"")</f>
        <v>0.0187036195668635</v>
      </c>
      <c r="BI12" s="255">
        <f>IF(AND(ISNUMBER(BI11),ISNUMBER(BD11)),IFERROR(BI11/BD11-1,""),"")</f>
        <v>0.0476541571432083</v>
      </c>
      <c r="BJ12" s="255">
        <f>IF(AND(ISNUMBER(BJ11),ISNUMBER(BE11)),IFERROR(BJ11/BE11-1,""),"")</f>
        <v>0.113482890310832</v>
      </c>
      <c r="BK12" s="255">
        <f>IF(AND(ISNUMBER(BK11),ISNUMBER(BF11)),IFERROR(BK11/BF11-1,""),"")</f>
        <v>0.127124213688856</v>
      </c>
      <c r="BL12" s="255">
        <f>IF(AND(ISNUMBER(BL11),ISNUMBER(BG11)),IFERROR(BL11/BG11-1,""),"")</f>
        <v>0.0774576792859341</v>
      </c>
      <c r="BM12" s="255">
        <f>IF(AND(ISNUMBER(BM11),ISNUMBER(BH11)),IFERROR(BM11/BH11-1,""),"")</f>
        <v>0.143635868083947</v>
      </c>
      <c r="BN12" s="255">
        <f>IF(AND(ISNUMBER(BN11),ISNUMBER(BI11)),IFERROR(BN11/BI11-1,""),"")</f>
        <v>0.137960964624191</v>
      </c>
      <c r="BO12" s="255">
        <f>IF(AND(ISNUMBER(BO11),ISNUMBER(BJ11)),IFERROR(BO11/BJ11-1,""),"")</f>
        <v>0.121723527006769</v>
      </c>
      <c r="BP12" s="255">
        <f>IF(AND(ISNUMBER(BP11),ISNUMBER(BK11)),IFERROR(BP11/BK11-1,""),"")</f>
        <v>0.125239483548522</v>
      </c>
      <c r="BQ12" s="255">
        <f>IF(AND(ISNUMBER(BQ11),ISNUMBER(BL11)),IFERROR(BQ11/BL11-1,""),"")</f>
        <v>0.131695166054401</v>
      </c>
      <c r="BR12" s="255">
        <f>IF(AND(ISNUMBER(BR11),ISNUMBER(BM11)),IFERROR(BR11/BM11-1,""),"")</f>
        <v>0.0984920703700494</v>
      </c>
      <c r="BS12" s="255">
        <f>IF(AND(ISNUMBER(BS11),ISNUMBER(BN11)),IFERROR(BS11/BN11-1,""),"")</f>
        <v>0.11711228844132</v>
      </c>
      <c r="BT12" s="255">
        <f>IF(AND(ISNUMBER(BT11),ISNUMBER(BO11)),IFERROR(BT11/BO11-1,""),"")</f>
        <v>0.145428773919206</v>
      </c>
      <c r="BU12" s="255">
        <f>IF(AND(ISNUMBER(BU11),ISNUMBER(BP11)),IFERROR(BU11/BP11-1,""),"")</f>
        <v>0.167283562201577</v>
      </c>
      <c r="BV12" s="255">
        <f>IF(AND(ISNUMBER(BV11),ISNUMBER(BQ11)),IFERROR(BV11/BQ11-1,""),"")</f>
        <v>0.133519113103532</v>
      </c>
      <c r="BW12" s="255">
        <f>IF(AND(ISNUMBER(BW11),ISNUMBER(BR11)),IFERROR(BW11/BR11-1,""),"")</f>
        <v>0.191254782848803</v>
      </c>
      <c r="BX12" s="255">
        <f>IF(AND(ISNUMBER(BX11),ISNUMBER(BS11)),IFERROR(BX11/BS11-1,""),"")</f>
        <v>0.167577043735006</v>
      </c>
      <c r="BY12" s="256">
        <f>BY13+BY97</f>
        <v>0.179022232391412</v>
      </c>
      <c r="BZ12" s="256">
        <f>BY13+BY97</f>
        <v>0.179022232391412</v>
      </c>
      <c r="CA12" s="256">
        <f>IF(AND(ISNUMBER(CA11),ISNUMBER(BV11)),IFERROR(CA11/BV11-1,""),"")</f>
        <v>0.179022232391412</v>
      </c>
      <c r="CB12" s="256">
        <f>CHOOSE(MATCH($CF$2,{"Bull","Base","Bear"},0),$CO$30,$CP$30,$CQ$30)</f>
        <v>0.11</v>
      </c>
      <c r="CC12" s="256">
        <f>CHOOSE(MATCH($CF$2,{"Bull","Base","Bear"},0),$CO$31,$CP$31,$CQ$31)</f>
        <v>0.09</v>
      </c>
      <c r="CD12" s="256">
        <f>CHOOSE(MATCH($CF$2,{"Bull","Base","Bear"},0),$CO$32,$CP$32,$CQ$32)</f>
        <v>0.08</v>
      </c>
      <c r="CE12" s="256">
        <f>CHOOSE(MATCH($CF$2,{"Bull","Base","Bear"},0),$CO$33,$CP$33,$CQ$33)</f>
        <v>0.07</v>
      </c>
      <c r="CF12" s="153" t="inlineStr">
        <is>
          <t>Q3–Q4/26E: 1H26 y/y growth + scenario shift (Group block). 2027E–2030E: scenario lever (Bull/Base/Bear table →).</t>
        </is>
      </c>
      <c r="CH12" s="37">
        <f>IFERROR(AVERAGE(CA12,CB12,CC12,CD12,CE12),"n/m")</f>
        <v>0.105804446478282</v>
      </c>
      <c r="CI12" s="37">
        <f>IFERROR(AVERAGE(BB12,BG12,BL12,BQ12,BV12),"n/m")</f>
        <v>0.172933383166667</v>
      </c>
      <c r="CJ12" s="37">
        <f>IFERROR(AVERAGE(AC12,AH12,AM12,AR12,AW12,BB12,BG12,BL12,BQ12,BV12),"n/m")</f>
        <v>0.162172631383368</v>
      </c>
      <c r="CK12" s="37">
        <f>IFERROR(AVERAGE(C12,D12,E12,F12,G12,H12,I12,N12,S12,X12,AC12,AH12,AM12,AR12,AW12,BB12,BG12,BL12,BQ12,BV12),"n/m")</f>
        <v>0.162172631383368</v>
      </c>
      <c r="CN12" s="25" t="inlineStr">
        <is>
          <t xml:space="preserve">  Q3–Q4/26E revenue growth shift vs 1H26 y/y (pp; all revenue types)</t>
        </is>
      </c>
      <c r="CO12" s="257" t="n">
        <v>0.02</v>
      </c>
      <c r="CP12" s="257" t="n">
        <v>0</v>
      </c>
      <c r="CQ12" s="257" t="n">
        <v>-0.03</v>
      </c>
      <c r="CR12" s="13" t="inlineStr">
        <is>
          <t>Base = 1H26 y/y run-rate (Search +17.9%, YouTube +11.8%, Network −2.3%, subscriptions +17.2%, Cloud +73% incl. Wiz from 11-Mar-2026). Assumption.</t>
        </is>
      </c>
    </row>
    <row r="13" ht="15" customHeight="1" s="251">
      <c r="B13" s="25" t="inlineStr">
        <is>
          <t xml:space="preserve">    1H26 y/y growth (Q3–Q4/26E driver before scenario shift)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256">
        <f>IFERROR(SUM(BW11:BX11)/SUM(BR11:BS11)-1,0)</f>
        <v>0.179022232391412</v>
      </c>
      <c r="BZ13" s="256">
        <f>IFERROR(SUM(BW11:BX11)/SUM(BR11:BS11)-1,0)</f>
        <v>0.179022232391412</v>
      </c>
      <c r="CA13" s="24" t="n"/>
      <c r="CB13" s="46" t="n"/>
      <c r="CC13" s="46" t="n"/>
      <c r="CD13" s="46" t="n"/>
      <c r="CE13" s="46" t="n"/>
      <c r="CF13" s="19" t="n"/>
      <c r="CN13" s="25" t="inlineStr">
        <is>
          <t xml:space="preserve">  Q3–Q4/26E Services / Cloud operating-margin shift (pp)</t>
        </is>
      </c>
      <c r="CO13" s="257" t="n">
        <v>0.01</v>
      </c>
      <c r="CP13" s="257" t="n">
        <v>0</v>
      </c>
      <c r="CQ13" s="257" t="n">
        <v>-0.015</v>
      </c>
      <c r="CR13" s="13" t="inlineStr">
        <is>
          <t>Base = Q2-26 margins (Services with last year's sequential seasonality). Bear reflects leased third-party data-centre capacity in Q3 (call, unverified).</t>
        </is>
      </c>
    </row>
    <row r="14" ht="15" customHeight="1" s="251">
      <c r="B14" s="25" t="inlineStr">
        <is>
          <t xml:space="preserve">  YouTube ads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253" t="n">
        <v>8150</v>
      </c>
      <c r="AI14" s="34" t="n"/>
      <c r="AJ14" s="34" t="n"/>
      <c r="AK14" s="34" t="n"/>
      <c r="AL14" s="34" t="n"/>
      <c r="AM14" s="253" t="n">
        <v>11155</v>
      </c>
      <c r="AN14" s="253" t="n">
        <v>3025</v>
      </c>
      <c r="AO14" s="253" t="n">
        <v>3603</v>
      </c>
      <c r="AP14" s="253" t="n">
        <v>3804</v>
      </c>
      <c r="AQ14" s="253" t="n">
        <v>4717</v>
      </c>
      <c r="AR14" s="253" t="n">
        <v>15149</v>
      </c>
      <c r="AS14" s="253" t="n">
        <v>4038</v>
      </c>
      <c r="AT14" s="253" t="n">
        <v>3812</v>
      </c>
      <c r="AU14" s="253" t="n">
        <v>5037</v>
      </c>
      <c r="AV14" s="253" t="n">
        <v>6885</v>
      </c>
      <c r="AW14" s="253" t="n">
        <v>19772</v>
      </c>
      <c r="AX14" s="253" t="n">
        <v>6005</v>
      </c>
      <c r="AY14" s="253" t="n">
        <v>7002</v>
      </c>
      <c r="AZ14" s="253" t="n">
        <v>7205</v>
      </c>
      <c r="BA14" s="253" t="n">
        <v>8633</v>
      </c>
      <c r="BB14" s="253" t="n">
        <v>28845</v>
      </c>
      <c r="BC14" s="253" t="n">
        <v>6869</v>
      </c>
      <c r="BD14" s="253" t="n">
        <v>7340</v>
      </c>
      <c r="BE14" s="253" t="n">
        <v>7071</v>
      </c>
      <c r="BF14" s="253" t="n">
        <v>7963</v>
      </c>
      <c r="BG14" s="253" t="n">
        <v>29243</v>
      </c>
      <c r="BH14" s="253" t="n">
        <v>6693</v>
      </c>
      <c r="BI14" s="253" t="n">
        <v>7665</v>
      </c>
      <c r="BJ14" s="253" t="n">
        <v>7952</v>
      </c>
      <c r="BK14" s="253" t="n">
        <v>9200</v>
      </c>
      <c r="BL14" s="253" t="n">
        <v>31510</v>
      </c>
      <c r="BM14" s="253" t="n">
        <v>8090</v>
      </c>
      <c r="BN14" s="253" t="n">
        <v>8663</v>
      </c>
      <c r="BO14" s="253" t="n">
        <v>8921</v>
      </c>
      <c r="BP14" s="253" t="n">
        <v>10473</v>
      </c>
      <c r="BQ14" s="253" t="n">
        <v>36147</v>
      </c>
      <c r="BR14" s="253" t="n">
        <v>8927</v>
      </c>
      <c r="BS14" s="253" t="n">
        <v>9796</v>
      </c>
      <c r="BT14" s="253" t="n">
        <v>10261</v>
      </c>
      <c r="BU14" s="253" t="n">
        <v>11383</v>
      </c>
      <c r="BV14" s="253" t="n">
        <v>40367</v>
      </c>
      <c r="BW14" s="253" t="n">
        <v>9883</v>
      </c>
      <c r="BX14" s="253" t="n">
        <v>11055</v>
      </c>
      <c r="BY14" s="254">
        <f>BT14*(1+BY15)</f>
        <v>11474.9141697378</v>
      </c>
      <c r="BZ14" s="254">
        <f>BU14*(1+BZ15)</f>
        <v>12729.6509106447</v>
      </c>
      <c r="CA14" s="254">
        <f>SUM(BW14:BZ14)</f>
        <v>45142.5650803824</v>
      </c>
      <c r="CB14" s="254">
        <f>CA14*(1+CB15)</f>
        <v>50108.2472392245</v>
      </c>
      <c r="CC14" s="254">
        <f>CB14*(1+CC15)</f>
        <v>55119.0719631469</v>
      </c>
      <c r="CD14" s="254">
        <f>CC14*(1+CD15)</f>
        <v>60079.7884398302</v>
      </c>
      <c r="CE14" s="254">
        <f>CD14*(1+CE15)</f>
        <v>64886.1715150166</v>
      </c>
      <c r="CF14" s="19" t="n"/>
      <c r="CH14" s="20">
        <f>IFERROR((CE14/BV14)^(1/5)-1,"n/m")</f>
        <v>0.0995757037791119</v>
      </c>
      <c r="CI14" s="20">
        <f>IFERROR((BV14/AW14)^(1/5)-1,"n/m")</f>
        <v>0.153440441924424</v>
      </c>
      <c r="CJ14" s="20" t="str">
        <f>IFERROR((BV14/X14)^(1/10)-1,"n/m")</f>
        <v>n/m</v>
      </c>
      <c r="CK14" s="20" t="str">
        <f>IFERROR((BV14/C14)^(1/19)-1,"n/m")</f>
        <v>n/m</v>
      </c>
      <c r="CN14" s="25" t="inlineStr">
        <is>
          <t xml:space="preserve">  2H26E share repurchases ($m)</t>
        </is>
      </c>
      <c r="CO14" s="258" t="n">
        <v>5000</v>
      </c>
      <c r="CP14" s="258" t="n">
        <v>0</v>
      </c>
      <c r="CQ14" s="258" t="n">
        <v>0</v>
      </c>
      <c r="CR14" s="13" t="inlineStr">
        <is>
          <t>No repurchases in 1H26 after the Jun-2026 equity raise; $69.5bn authorization remaining.</t>
        </is>
      </c>
    </row>
    <row r="15" ht="15" customHeight="1" s="251">
      <c r="B15" s="22" t="inlineStr">
        <is>
          <t xml:space="preserve">    y/y %</t>
        </is>
      </c>
      <c r="C15" s="23" t="n"/>
      <c r="D15" s="255">
        <f>IF(AND(ISNUMBER(D14),ISNUMBER(C14)),IFERROR(D14/C14-1,""),"")</f>
      </c>
      <c r="E15" s="255">
        <f>IF(AND(ISNUMBER(E14),ISNUMBER(D14)),IFERROR(E14/D14-1,""),"")</f>
      </c>
      <c r="F15" s="255">
        <f>IF(AND(ISNUMBER(F14),ISNUMBER(E14)),IFERROR(F14/E14-1,""),"")</f>
      </c>
      <c r="G15" s="255">
        <f>IF(AND(ISNUMBER(G14),ISNUMBER(F14)),IFERROR(G14/F14-1,""),"")</f>
      </c>
      <c r="H15" s="255">
        <f>IF(AND(ISNUMBER(H14),ISNUMBER(G14)),IFERROR(H14/G14-1,""),"")</f>
      </c>
      <c r="I15" s="255">
        <f>IF(AND(ISNUMBER(I14),ISNUMBER(H14)),IFERROR(I14/H14-1,""),"")</f>
      </c>
      <c r="J15" s="23" t="n"/>
      <c r="K15" s="23" t="n"/>
      <c r="L15" s="23" t="n"/>
      <c r="M15" s="23" t="n"/>
      <c r="N15" s="255">
        <f>IF(AND(ISNUMBER(N14),ISNUMBER(I14)),IFERROR(N14/I14-1,""),"")</f>
      </c>
      <c r="O15" s="255">
        <f>IF(AND(ISNUMBER(O14),ISNUMBER(J14)),IFERROR(O14/J14-1,""),"")</f>
      </c>
      <c r="P15" s="255">
        <f>IF(AND(ISNUMBER(P14),ISNUMBER(K14)),IFERROR(P14/K14-1,""),"")</f>
      </c>
      <c r="Q15" s="255">
        <f>IF(AND(ISNUMBER(Q14),ISNUMBER(L14)),IFERROR(Q14/L14-1,""),"")</f>
      </c>
      <c r="R15" s="255">
        <f>IF(AND(ISNUMBER(R14),ISNUMBER(M14)),IFERROR(R14/M14-1,""),"")</f>
      </c>
      <c r="S15" s="255">
        <f>IF(AND(ISNUMBER(S14),ISNUMBER(N14)),IFERROR(S14/N14-1,""),"")</f>
      </c>
      <c r="T15" s="255">
        <f>IF(AND(ISNUMBER(T14),ISNUMBER(O14)),IFERROR(T14/O14-1,""),"")</f>
      </c>
      <c r="U15" s="255">
        <f>IF(AND(ISNUMBER(U14),ISNUMBER(P14)),IFERROR(U14/P14-1,""),"")</f>
      </c>
      <c r="V15" s="255">
        <f>IF(AND(ISNUMBER(V14),ISNUMBER(Q14)),IFERROR(V14/Q14-1,""),"")</f>
      </c>
      <c r="W15" s="255">
        <f>IF(AND(ISNUMBER(W14),ISNUMBER(R14)),IFERROR(W14/R14-1,""),"")</f>
      </c>
      <c r="X15" s="255">
        <f>IF(AND(ISNUMBER(X14),ISNUMBER(S14)),IFERROR(X14/S14-1,""),"")</f>
      </c>
      <c r="Y15" s="255">
        <f>IF(AND(ISNUMBER(Y14),ISNUMBER(T14)),IFERROR(Y14/T14-1,""),"")</f>
      </c>
      <c r="Z15" s="255">
        <f>IF(AND(ISNUMBER(Z14),ISNUMBER(U14)),IFERROR(Z14/U14-1,""),"")</f>
      </c>
      <c r="AA15" s="255">
        <f>IF(AND(ISNUMBER(AA14),ISNUMBER(V14)),IFERROR(AA14/V14-1,""),"")</f>
      </c>
      <c r="AB15" s="255">
        <f>IF(AND(ISNUMBER(AB14),ISNUMBER(W14)),IFERROR(AB14/W14-1,""),"")</f>
      </c>
      <c r="AC15" s="255">
        <f>IF(AND(ISNUMBER(AC14),ISNUMBER(X14)),IFERROR(AC14/X14-1,""),"")</f>
      </c>
      <c r="AD15" s="255">
        <f>IF(AND(ISNUMBER(AD14),ISNUMBER(Y14)),IFERROR(AD14/Y14-1,""),"")</f>
      </c>
      <c r="AE15" s="255">
        <f>IF(AND(ISNUMBER(AE14),ISNUMBER(Z14)),IFERROR(AE14/Z14-1,""),"")</f>
      </c>
      <c r="AF15" s="255">
        <f>IF(AND(ISNUMBER(AF14),ISNUMBER(AA14)),IFERROR(AF14/AA14-1,""),"")</f>
      </c>
      <c r="AG15" s="255">
        <f>IF(AND(ISNUMBER(AG14),ISNUMBER(AB14)),IFERROR(AG14/AB14-1,""),"")</f>
      </c>
      <c r="AH15" s="255">
        <f>IF(AND(ISNUMBER(AH14),ISNUMBER(AC14)),IFERROR(AH14/AC14-1,""),"")</f>
      </c>
      <c r="AI15" s="255">
        <f>IF(AND(ISNUMBER(AI14),ISNUMBER(AD14)),IFERROR(AI14/AD14-1,""),"")</f>
      </c>
      <c r="AJ15" s="255">
        <f>IF(AND(ISNUMBER(AJ14),ISNUMBER(AE14)),IFERROR(AJ14/AE14-1,""),"")</f>
      </c>
      <c r="AK15" s="255">
        <f>IF(AND(ISNUMBER(AK14),ISNUMBER(AF14)),IFERROR(AK14/AF14-1,""),"")</f>
      </c>
      <c r="AL15" s="255">
        <f>IF(AND(ISNUMBER(AL14),ISNUMBER(AG14)),IFERROR(AL14/AG14-1,""),"")</f>
      </c>
      <c r="AM15" s="255">
        <f>IF(AND(ISNUMBER(AM14),ISNUMBER(AH14)),IFERROR(AM14/AH14-1,""),"")</f>
        <v>0.368711656441718</v>
      </c>
      <c r="AN15" s="255">
        <f>IF(AND(ISNUMBER(AN14),ISNUMBER(AI14)),IFERROR(AN14/AI14-1,""),"")</f>
      </c>
      <c r="AO15" s="255">
        <f>IF(AND(ISNUMBER(AO14),ISNUMBER(AJ14)),IFERROR(AO14/AJ14-1,""),"")</f>
      </c>
      <c r="AP15" s="255">
        <f>IF(AND(ISNUMBER(AP14),ISNUMBER(AK14)),IFERROR(AP14/AK14-1,""),"")</f>
      </c>
      <c r="AQ15" s="255">
        <f>IF(AND(ISNUMBER(AQ14),ISNUMBER(AL14)),IFERROR(AQ14/AL14-1,""),"")</f>
      </c>
      <c r="AR15" s="255">
        <f>IF(AND(ISNUMBER(AR14),ISNUMBER(AM14)),IFERROR(AR14/AM14-1,""),"")</f>
        <v>0.358045719408337</v>
      </c>
      <c r="AS15" s="255">
        <f>IF(AND(ISNUMBER(AS14),ISNUMBER(AN14)),IFERROR(AS14/AN14-1,""),"")</f>
        <v>0.334876033057851</v>
      </c>
      <c r="AT15" s="255">
        <f>IF(AND(ISNUMBER(AT14),ISNUMBER(AO14)),IFERROR(AT14/AO14-1,""),"")</f>
        <v>0.0580072162087149</v>
      </c>
      <c r="AU15" s="255">
        <f>IF(AND(ISNUMBER(AU14),ISNUMBER(AP14)),IFERROR(AU14/AP14-1,""),"")</f>
        <v>0.324132492113565</v>
      </c>
      <c r="AV15" s="255">
        <f>IF(AND(ISNUMBER(AV14),ISNUMBER(AQ14)),IFERROR(AV14/AQ14-1,""),"")</f>
        <v>0.459614161543354</v>
      </c>
      <c r="AW15" s="255">
        <f>IF(AND(ISNUMBER(AW14),ISNUMBER(AR14)),IFERROR(AW14/AR14-1,""),"")</f>
        <v>0.305168657997228</v>
      </c>
      <c r="AX15" s="255">
        <f>IF(AND(ISNUMBER(AX14),ISNUMBER(AS14)),IFERROR(AX14/AS14-1,""),"")</f>
        <v>0.487122337790986</v>
      </c>
      <c r="AY15" s="255">
        <f>IF(AND(ISNUMBER(AY14),ISNUMBER(AT14)),IFERROR(AY14/AT14-1,""),"")</f>
        <v>0.836831059811123</v>
      </c>
      <c r="AZ15" s="255">
        <f>IF(AND(ISNUMBER(AZ14),ISNUMBER(AU14)),IFERROR(AZ14/AU14-1,""),"")</f>
        <v>0.430414929521541</v>
      </c>
      <c r="BA15" s="255">
        <f>IF(AND(ISNUMBER(BA14),ISNUMBER(AV14)),IFERROR(BA14/AV14-1,""),"")</f>
        <v>0.253885257806826</v>
      </c>
      <c r="BB15" s="255">
        <f>IF(AND(ISNUMBER(BB14),ISNUMBER(AW14)),IFERROR(BB14/AW14-1,""),"")</f>
        <v>0.458881246206757</v>
      </c>
      <c r="BC15" s="255">
        <f>IF(AND(ISNUMBER(BC14),ISNUMBER(AX14)),IFERROR(BC14/AX14-1,""),"")</f>
        <v>0.143880099916736</v>
      </c>
      <c r="BD15" s="255">
        <f>IF(AND(ISNUMBER(BD14),ISNUMBER(AY14)),IFERROR(BD14/AY14-1,""),"")</f>
        <v>0.048271922307912</v>
      </c>
      <c r="BE15" s="255">
        <f>IF(AND(ISNUMBER(BE14),ISNUMBER(AZ14)),IFERROR(BE14/AZ14-1,""),"")</f>
        <v>-0.0185981956974324</v>
      </c>
      <c r="BF15" s="255">
        <f>IF(AND(ISNUMBER(BF14),ISNUMBER(BA14)),IFERROR(BF14/BA14-1,""),"")</f>
        <v>-0.0776091740993861</v>
      </c>
      <c r="BG15" s="255">
        <f>IF(AND(ISNUMBER(BG14),ISNUMBER(BB14)),IFERROR(BG14/BB14-1,""),"")</f>
        <v>0.0137978852487433</v>
      </c>
      <c r="BH15" s="255">
        <f>IF(AND(ISNUMBER(BH14),ISNUMBER(BC14)),IFERROR(BH14/BC14-1,""),"")</f>
        <v>-0.0256223613335275</v>
      </c>
      <c r="BI15" s="255">
        <f>IF(AND(ISNUMBER(BI14),ISNUMBER(BD14)),IFERROR(BI14/BD14-1,""),"")</f>
        <v>0.0442779291553133</v>
      </c>
      <c r="BJ15" s="255">
        <f>IF(AND(ISNUMBER(BJ14),ISNUMBER(BE14)),IFERROR(BJ14/BE14-1,""),"")</f>
        <v>0.124593409701598</v>
      </c>
      <c r="BK15" s="255">
        <f>IF(AND(ISNUMBER(BK14),ISNUMBER(BF14)),IFERROR(BK14/BF14-1,""),"")</f>
        <v>0.155343463518774</v>
      </c>
      <c r="BL15" s="255">
        <f>IF(AND(ISNUMBER(BL14),ISNUMBER(BG14)),IFERROR(BL14/BG14-1,""),"")</f>
        <v>0.077522825975447</v>
      </c>
      <c r="BM15" s="255">
        <f>IF(AND(ISNUMBER(BM14),ISNUMBER(BH14)),IFERROR(BM14/BH14-1,""),"")</f>
        <v>0.208725534140146</v>
      </c>
      <c r="BN15" s="255">
        <f>IF(AND(ISNUMBER(BN14),ISNUMBER(BI14)),IFERROR(BN14/BI14-1,""),"")</f>
        <v>0.130202217873451</v>
      </c>
      <c r="BO15" s="255">
        <f>IF(AND(ISNUMBER(BO14),ISNUMBER(BJ14)),IFERROR(BO14/BJ14-1,""),"")</f>
        <v>0.121856136820925</v>
      </c>
      <c r="BP15" s="255">
        <f>IF(AND(ISNUMBER(BP14),ISNUMBER(BK14)),IFERROR(BP14/BK14-1,""),"")</f>
        <v>0.138369565217391</v>
      </c>
      <c r="BQ15" s="255">
        <f>IF(AND(ISNUMBER(BQ14),ISNUMBER(BL14)),IFERROR(BQ14/BL14-1,""),"")</f>
        <v>0.147159631862901</v>
      </c>
      <c r="BR15" s="255">
        <f>IF(AND(ISNUMBER(BR14),ISNUMBER(BM14)),IFERROR(BR14/BM14-1,""),"")</f>
        <v>0.103461063040791</v>
      </c>
      <c r="BS15" s="255">
        <f>IF(AND(ISNUMBER(BS14),ISNUMBER(BN14)),IFERROR(BS14/BN14-1,""),"")</f>
        <v>0.130786101812305</v>
      </c>
      <c r="BT15" s="255">
        <f>IF(AND(ISNUMBER(BT14),ISNUMBER(BO14)),IFERROR(BT14/BO14-1,""),"")</f>
        <v>0.150207375854725</v>
      </c>
      <c r="BU15" s="255">
        <f>IF(AND(ISNUMBER(BU14),ISNUMBER(BP14)),IFERROR(BU14/BP14-1,""),"")</f>
        <v>0.0868900983481333</v>
      </c>
      <c r="BV15" s="255">
        <f>IF(AND(ISNUMBER(BV14),ISNUMBER(BQ14)),IFERROR(BV14/BQ14-1,""),"")</f>
        <v>0.116745511384071</v>
      </c>
      <c r="BW15" s="255">
        <f>IF(AND(ISNUMBER(BW14),ISNUMBER(BR14)),IFERROR(BW14/BR14-1,""),"")</f>
        <v>0.107090847989246</v>
      </c>
      <c r="BX15" s="255">
        <f>IF(AND(ISNUMBER(BX14),ISNUMBER(BS14)),IFERROR(BX14/BS14-1,""),"")</f>
        <v>0.128521845651286</v>
      </c>
      <c r="BY15" s="256">
        <f>BY16+BY97</f>
        <v>0.118303690647866</v>
      </c>
      <c r="BZ15" s="256">
        <f>BY16+BY97</f>
        <v>0.118303690647866</v>
      </c>
      <c r="CA15" s="256">
        <f>IF(AND(ISNUMBER(CA14),ISNUMBER(BV14)),IFERROR(CA14/BV14-1,""),"")</f>
        <v>0.118303690647866</v>
      </c>
      <c r="CB15" s="256">
        <f>CHOOSE(MATCH($CF$2,{"Bull","Base","Bear"},0),$CO$35,$CP$35,$CQ$35)</f>
        <v>0.11</v>
      </c>
      <c r="CC15" s="256">
        <f>CHOOSE(MATCH($CF$2,{"Bull","Base","Bear"},0),$CO$36,$CP$36,$CQ$36)</f>
        <v>0.1</v>
      </c>
      <c r="CD15" s="256">
        <f>CHOOSE(MATCH($CF$2,{"Bull","Base","Bear"},0),$CO$37,$CP$37,$CQ$37)</f>
        <v>0.09</v>
      </c>
      <c r="CE15" s="256">
        <f>CHOOSE(MATCH($CF$2,{"Bull","Base","Bear"},0),$CO$38,$CP$38,$CQ$38)</f>
        <v>0.08</v>
      </c>
      <c r="CF15" s="153" t="n"/>
      <c r="CH15" s="37">
        <f>IFERROR(AVERAGE(CA15,CB15,CC15,CD15,CE15),"n/m")</f>
        <v>0.0996607381295733</v>
      </c>
      <c r="CI15" s="37">
        <f>IFERROR(AVERAGE(BB15,BG15,BL15,BQ15,BV15),"n/m")</f>
        <v>0.162821420135584</v>
      </c>
      <c r="CJ15" s="37">
        <f>IFERROR(AVERAGE(AC15,AH15,AM15,AR15,AW15,BB15,BG15,BL15,BQ15,BV15),"n/m")</f>
        <v>0.23075414181565</v>
      </c>
      <c r="CK15" s="37">
        <f>IFERROR(AVERAGE(C15,D15,E15,F15,G15,H15,I15,N15,S15,X15,AC15,AH15,AM15,AR15,AW15,BB15,BG15,BL15,BQ15,BV15),"n/m")</f>
        <v>0.23075414181565</v>
      </c>
    </row>
    <row r="16" ht="15" customHeight="1" s="251">
      <c r="B16" s="25" t="inlineStr">
        <is>
          <t xml:space="preserve">    1H26 y/y growth (Q3–Q4/26E driver before scenario shift)</t>
        </is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6" t="n"/>
      <c r="BL16" s="36" t="n"/>
      <c r="BM16" s="36" t="n"/>
      <c r="BN16" s="36" t="n"/>
      <c r="BO16" s="36" t="n"/>
      <c r="BP16" s="36" t="n"/>
      <c r="BQ16" s="36" t="n"/>
      <c r="BR16" s="36" t="n"/>
      <c r="BS16" s="36" t="n"/>
      <c r="BT16" s="36" t="n"/>
      <c r="BU16" s="36" t="n"/>
      <c r="BV16" s="36" t="n"/>
      <c r="BW16" s="36" t="n"/>
      <c r="BX16" s="36" t="n"/>
      <c r="BY16" s="256">
        <f>IFERROR(SUM(BW14:BX14)/SUM(BR14:BS14)-1,0)</f>
        <v>0.118303690647866</v>
      </c>
      <c r="BZ16" s="256">
        <f>IFERROR(SUM(BW14:BX14)/SUM(BR14:BS14)-1,0)</f>
        <v>0.118303690647866</v>
      </c>
      <c r="CA16" s="24" t="n"/>
      <c r="CB16" s="46" t="n"/>
      <c r="CC16" s="46" t="n"/>
      <c r="CD16" s="46" t="n"/>
      <c r="CE16" s="46" t="n"/>
      <c r="CF16" s="19" t="n"/>
      <c r="CN16" s="15" t="inlineStr">
        <is>
          <t>Q3–Q4/26E point estimates (all cases)</t>
        </is>
      </c>
      <c r="CO16" s="21" t="n"/>
      <c r="CP16" s="21" t="n"/>
      <c r="CQ16" s="21" t="n"/>
    </row>
    <row r="17" ht="15" customHeight="1" s="251">
      <c r="B17" s="25" t="inlineStr">
        <is>
          <t xml:space="preserve">  Google Network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253" t="n">
        <v>17616</v>
      </c>
      <c r="AI17" s="34" t="n"/>
      <c r="AJ17" s="34" t="n"/>
      <c r="AK17" s="34" t="n"/>
      <c r="AL17" s="34" t="n"/>
      <c r="AM17" s="253" t="n">
        <v>20010</v>
      </c>
      <c r="AN17" s="253" t="n">
        <v>5015</v>
      </c>
      <c r="AO17" s="253" t="n">
        <v>5249</v>
      </c>
      <c r="AP17" s="253" t="n">
        <v>5251</v>
      </c>
      <c r="AQ17" s="253" t="n">
        <v>6032</v>
      </c>
      <c r="AR17" s="253" t="n">
        <v>21547</v>
      </c>
      <c r="AS17" s="253" t="n">
        <v>5223</v>
      </c>
      <c r="AT17" s="253" t="n">
        <v>4736</v>
      </c>
      <c r="AU17" s="253" t="n">
        <v>5720</v>
      </c>
      <c r="AV17" s="253" t="n">
        <v>7411</v>
      </c>
      <c r="AW17" s="253" t="n">
        <v>23090</v>
      </c>
      <c r="AX17" s="253" t="n">
        <v>6800</v>
      </c>
      <c r="AY17" s="253" t="n">
        <v>7597</v>
      </c>
      <c r="AZ17" s="253" t="n">
        <v>7999</v>
      </c>
      <c r="BA17" s="253" t="n">
        <v>9305</v>
      </c>
      <c r="BB17" s="253" t="n">
        <v>31701</v>
      </c>
      <c r="BC17" s="253" t="n">
        <v>8174</v>
      </c>
      <c r="BD17" s="253" t="n">
        <v>8259</v>
      </c>
      <c r="BE17" s="253" t="n">
        <v>7872</v>
      </c>
      <c r="BF17" s="253" t="n">
        <v>8475</v>
      </c>
      <c r="BG17" s="253" t="n">
        <v>32780</v>
      </c>
      <c r="BH17" s="253" t="n">
        <v>7496</v>
      </c>
      <c r="BI17" s="253" t="n">
        <v>7850</v>
      </c>
      <c r="BJ17" s="253" t="n">
        <v>7669</v>
      </c>
      <c r="BK17" s="253" t="n">
        <v>8297</v>
      </c>
      <c r="BL17" s="253" t="n">
        <v>31312</v>
      </c>
      <c r="BM17" s="253" t="n">
        <v>7413</v>
      </c>
      <c r="BN17" s="253" t="n">
        <v>7444</v>
      </c>
      <c r="BO17" s="253" t="n">
        <v>7548</v>
      </c>
      <c r="BP17" s="253" t="n">
        <v>7954</v>
      </c>
      <c r="BQ17" s="253" t="n">
        <v>30359</v>
      </c>
      <c r="BR17" s="253" t="n">
        <v>7256</v>
      </c>
      <c r="BS17" s="253" t="n">
        <v>7354</v>
      </c>
      <c r="BT17" s="253" t="n">
        <v>7354</v>
      </c>
      <c r="BU17" s="253" t="n">
        <v>7828</v>
      </c>
      <c r="BV17" s="253" t="n">
        <v>29792</v>
      </c>
      <c r="BW17" s="253" t="n">
        <v>6971</v>
      </c>
      <c r="BX17" s="253" t="n">
        <v>7303</v>
      </c>
      <c r="BY17" s="254">
        <f>BT17*(1+BY18)</f>
        <v>7184.87310061602</v>
      </c>
      <c r="BZ17" s="254">
        <f>BU17*(1+BZ18)</f>
        <v>7647.97207392197</v>
      </c>
      <c r="CA17" s="254">
        <f>SUM(BW17:BZ17)</f>
        <v>29106.845174538</v>
      </c>
      <c r="CB17" s="254">
        <f>CA17*(1+CB18)</f>
        <v>28233.6398193018</v>
      </c>
      <c r="CC17" s="254">
        <f>CB17*(1+CC18)</f>
        <v>27386.6306247228</v>
      </c>
      <c r="CD17" s="254">
        <f>CC17*(1+CD18)</f>
        <v>26565.0317059811</v>
      </c>
      <c r="CE17" s="254">
        <f>CD17*(1+CE18)</f>
        <v>25768.0807548017</v>
      </c>
      <c r="CF17" s="19" t="n"/>
      <c r="CH17" s="20">
        <f>IFERROR((CE17/BV17)^(1/5)-1,"n/m")</f>
        <v>-0.0286036155052358</v>
      </c>
      <c r="CI17" s="20">
        <f>IFERROR((BV17/AW17)^(1/5)-1,"n/m")</f>
        <v>0.0522892779394932</v>
      </c>
      <c r="CJ17" s="20" t="str">
        <f>IFERROR((BV17/X17)^(1/10)-1,"n/m")</f>
        <v>n/m</v>
      </c>
      <c r="CK17" s="20" t="str">
        <f>IFERROR((BV17/C17)^(1/19)-1,"n/m")</f>
        <v>n/m</v>
      </c>
      <c r="CN17" s="25" t="inlineStr">
        <is>
          <t xml:space="preserve">  Optional FY26 revenue target ($m; blank = driver-based)</t>
        </is>
      </c>
      <c r="CP17" s="258" t="n"/>
      <c r="CR17" s="13" t="inlineStr">
        <is>
          <t>Blank by default (no company guidance). Enter a value (e.g. consensus) to solve the 2H revenue shift to it.</t>
        </is>
      </c>
    </row>
    <row r="18" ht="15" customHeight="1" s="251">
      <c r="B18" s="22" t="inlineStr">
        <is>
          <t xml:space="preserve">    y/y %</t>
        </is>
      </c>
      <c r="C18" s="23" t="n"/>
      <c r="D18" s="255">
        <f>IF(AND(ISNUMBER(D17),ISNUMBER(C17)),IFERROR(D17/C17-1,""),"")</f>
      </c>
      <c r="E18" s="255">
        <f>IF(AND(ISNUMBER(E17),ISNUMBER(D17)),IFERROR(E17/D17-1,""),"")</f>
      </c>
      <c r="F18" s="255">
        <f>IF(AND(ISNUMBER(F17),ISNUMBER(E17)),IFERROR(F17/E17-1,""),"")</f>
      </c>
      <c r="G18" s="255">
        <f>IF(AND(ISNUMBER(G17),ISNUMBER(F17)),IFERROR(G17/F17-1,""),"")</f>
      </c>
      <c r="H18" s="255">
        <f>IF(AND(ISNUMBER(H17),ISNUMBER(G17)),IFERROR(H17/G17-1,""),"")</f>
      </c>
      <c r="I18" s="255">
        <f>IF(AND(ISNUMBER(I17),ISNUMBER(H17)),IFERROR(I17/H17-1,""),"")</f>
      </c>
      <c r="J18" s="23" t="n"/>
      <c r="K18" s="23" t="n"/>
      <c r="L18" s="23" t="n"/>
      <c r="M18" s="23" t="n"/>
      <c r="N18" s="255">
        <f>IF(AND(ISNUMBER(N17),ISNUMBER(I17)),IFERROR(N17/I17-1,""),"")</f>
      </c>
      <c r="O18" s="255">
        <f>IF(AND(ISNUMBER(O17),ISNUMBER(J17)),IFERROR(O17/J17-1,""),"")</f>
      </c>
      <c r="P18" s="255">
        <f>IF(AND(ISNUMBER(P17),ISNUMBER(K17)),IFERROR(P17/K17-1,""),"")</f>
      </c>
      <c r="Q18" s="255">
        <f>IF(AND(ISNUMBER(Q17),ISNUMBER(L17)),IFERROR(Q17/L17-1,""),"")</f>
      </c>
      <c r="R18" s="255">
        <f>IF(AND(ISNUMBER(R17),ISNUMBER(M17)),IFERROR(R17/M17-1,""),"")</f>
      </c>
      <c r="S18" s="255">
        <f>IF(AND(ISNUMBER(S17),ISNUMBER(N17)),IFERROR(S17/N17-1,""),"")</f>
      </c>
      <c r="T18" s="255">
        <f>IF(AND(ISNUMBER(T17),ISNUMBER(O17)),IFERROR(T17/O17-1,""),"")</f>
      </c>
      <c r="U18" s="255">
        <f>IF(AND(ISNUMBER(U17),ISNUMBER(P17)),IFERROR(U17/P17-1,""),"")</f>
      </c>
      <c r="V18" s="255">
        <f>IF(AND(ISNUMBER(V17),ISNUMBER(Q17)),IFERROR(V17/Q17-1,""),"")</f>
      </c>
      <c r="W18" s="255">
        <f>IF(AND(ISNUMBER(W17),ISNUMBER(R17)),IFERROR(W17/R17-1,""),"")</f>
      </c>
      <c r="X18" s="255">
        <f>IF(AND(ISNUMBER(X17),ISNUMBER(S17)),IFERROR(X17/S17-1,""),"")</f>
      </c>
      <c r="Y18" s="255">
        <f>IF(AND(ISNUMBER(Y17),ISNUMBER(T17)),IFERROR(Y17/T17-1,""),"")</f>
      </c>
      <c r="Z18" s="255">
        <f>IF(AND(ISNUMBER(Z17),ISNUMBER(U17)),IFERROR(Z17/U17-1,""),"")</f>
      </c>
      <c r="AA18" s="255">
        <f>IF(AND(ISNUMBER(AA17),ISNUMBER(V17)),IFERROR(AA17/V17-1,""),"")</f>
      </c>
      <c r="AB18" s="255">
        <f>IF(AND(ISNUMBER(AB17),ISNUMBER(W17)),IFERROR(AB17/W17-1,""),"")</f>
      </c>
      <c r="AC18" s="255">
        <f>IF(AND(ISNUMBER(AC17),ISNUMBER(X17)),IFERROR(AC17/X17-1,""),"")</f>
      </c>
      <c r="AD18" s="255">
        <f>IF(AND(ISNUMBER(AD17),ISNUMBER(Y17)),IFERROR(AD17/Y17-1,""),"")</f>
      </c>
      <c r="AE18" s="255">
        <f>IF(AND(ISNUMBER(AE17),ISNUMBER(Z17)),IFERROR(AE17/Z17-1,""),"")</f>
      </c>
      <c r="AF18" s="255">
        <f>IF(AND(ISNUMBER(AF17),ISNUMBER(AA17)),IFERROR(AF17/AA17-1,""),"")</f>
      </c>
      <c r="AG18" s="255">
        <f>IF(AND(ISNUMBER(AG17),ISNUMBER(AB17)),IFERROR(AG17/AB17-1,""),"")</f>
      </c>
      <c r="AH18" s="255">
        <f>IF(AND(ISNUMBER(AH17),ISNUMBER(AC17)),IFERROR(AH17/AC17-1,""),"")</f>
      </c>
      <c r="AI18" s="255">
        <f>IF(AND(ISNUMBER(AI17),ISNUMBER(AD17)),IFERROR(AI17/AD17-1,""),"")</f>
      </c>
      <c r="AJ18" s="255">
        <f>IF(AND(ISNUMBER(AJ17),ISNUMBER(AE17)),IFERROR(AJ17/AE17-1,""),"")</f>
      </c>
      <c r="AK18" s="255">
        <f>IF(AND(ISNUMBER(AK17),ISNUMBER(AF17)),IFERROR(AK17/AF17-1,""),"")</f>
      </c>
      <c r="AL18" s="255">
        <f>IF(AND(ISNUMBER(AL17),ISNUMBER(AG17)),IFERROR(AL17/AG17-1,""),"")</f>
      </c>
      <c r="AM18" s="255">
        <f>IF(AND(ISNUMBER(AM17),ISNUMBER(AH17)),IFERROR(AM17/AH17-1,""),"")</f>
        <v>0.135899182561308</v>
      </c>
      <c r="AN18" s="255">
        <f>IF(AND(ISNUMBER(AN17),ISNUMBER(AI17)),IFERROR(AN17/AI17-1,""),"")</f>
      </c>
      <c r="AO18" s="255">
        <f>IF(AND(ISNUMBER(AO17),ISNUMBER(AJ17)),IFERROR(AO17/AJ17-1,""),"")</f>
      </c>
      <c r="AP18" s="255">
        <f>IF(AND(ISNUMBER(AP17),ISNUMBER(AK17)),IFERROR(AP17/AK17-1,""),"")</f>
      </c>
      <c r="AQ18" s="255">
        <f>IF(AND(ISNUMBER(AQ17),ISNUMBER(AL17)),IFERROR(AQ17/AL17-1,""),"")</f>
      </c>
      <c r="AR18" s="255">
        <f>IF(AND(ISNUMBER(AR17),ISNUMBER(AM17)),IFERROR(AR17/AM17-1,""),"")</f>
        <v>0.0768115942028986</v>
      </c>
      <c r="AS18" s="255">
        <f>IF(AND(ISNUMBER(AS17),ISNUMBER(AN17)),IFERROR(AS17/AN17-1,""),"")</f>
        <v>0.0414755732801595</v>
      </c>
      <c r="AT18" s="255">
        <f>IF(AND(ISNUMBER(AT17),ISNUMBER(AO17)),IFERROR(AT17/AO17-1,""),"")</f>
        <v>-0.0977329015050485</v>
      </c>
      <c r="AU18" s="255">
        <f>IF(AND(ISNUMBER(AU17),ISNUMBER(AP17)),IFERROR(AU17/AP17-1,""),"")</f>
        <v>0.089316320700819</v>
      </c>
      <c r="AV18" s="255">
        <f>IF(AND(ISNUMBER(AV17),ISNUMBER(AQ17)),IFERROR(AV17/AQ17-1,""),"")</f>
        <v>0.228614058355438</v>
      </c>
      <c r="AW18" s="255">
        <f>IF(AND(ISNUMBER(AW17),ISNUMBER(AR17)),IFERROR(AW17/AR17-1,""),"")</f>
        <v>0.0716108971086462</v>
      </c>
      <c r="AX18" s="255">
        <f>IF(AND(ISNUMBER(AX17),ISNUMBER(AS17)),IFERROR(AX17/AS17-1,""),"")</f>
        <v>0.301933754547195</v>
      </c>
      <c r="AY18" s="255">
        <f>IF(AND(ISNUMBER(AY17),ISNUMBER(AT17)),IFERROR(AY17/AT17-1,""),"")</f>
        <v>0.604096283783784</v>
      </c>
      <c r="AZ18" s="255">
        <f>IF(AND(ISNUMBER(AZ17),ISNUMBER(AU17)),IFERROR(AZ17/AU17-1,""),"")</f>
        <v>0.398426573426574</v>
      </c>
      <c r="BA18" s="255">
        <f>IF(AND(ISNUMBER(BA17),ISNUMBER(AV17)),IFERROR(BA17/AV17-1,""),"")</f>
        <v>0.255566050465524</v>
      </c>
      <c r="BB18" s="255">
        <f>IF(AND(ISNUMBER(BB17),ISNUMBER(AW17)),IFERROR(BB17/AW17-1,""),"")</f>
        <v>0.372932005197055</v>
      </c>
      <c r="BC18" s="255">
        <f>IF(AND(ISNUMBER(BC17),ISNUMBER(AX17)),IFERROR(BC17/AX17-1,""),"")</f>
        <v>0.202058823529412</v>
      </c>
      <c r="BD18" s="255">
        <f>IF(AND(ISNUMBER(BD17),ISNUMBER(AY17)),IFERROR(BD17/AY17-1,""),"")</f>
        <v>0.0871396603922601</v>
      </c>
      <c r="BE18" s="255">
        <f>IF(AND(ISNUMBER(BE17),ISNUMBER(AZ17)),IFERROR(BE17/AZ17-1,""),"")</f>
        <v>-0.0158769846230779</v>
      </c>
      <c r="BF18" s="255">
        <f>IF(AND(ISNUMBER(BF17),ISNUMBER(BA17)),IFERROR(BF17/BA17-1,""),"")</f>
        <v>-0.0891993551853842</v>
      </c>
      <c r="BG18" s="255">
        <f>IF(AND(ISNUMBER(BG17),ISNUMBER(BB17)),IFERROR(BG17/BB17-1,""),"")</f>
        <v>0.0340367811740954</v>
      </c>
      <c r="BH18" s="255">
        <f>IF(AND(ISNUMBER(BH17),ISNUMBER(BC17)),IFERROR(BH17/BC17-1,""),"")</f>
        <v>-0.0829459261071691</v>
      </c>
      <c r="BI18" s="255">
        <f>IF(AND(ISNUMBER(BI17),ISNUMBER(BD17)),IFERROR(BI17/BD17-1,""),"")</f>
        <v>-0.0495217338660855</v>
      </c>
      <c r="BJ18" s="255">
        <f>IF(AND(ISNUMBER(BJ17),ISNUMBER(BE17)),IFERROR(BJ17/BE17-1,""),"")</f>
        <v>-0.0257876016260162</v>
      </c>
      <c r="BK18" s="255">
        <f>IF(AND(ISNUMBER(BK17),ISNUMBER(BF17)),IFERROR(BK17/BF17-1,""),"")</f>
        <v>-0.0210029498525074</v>
      </c>
      <c r="BL18" s="255">
        <f>IF(AND(ISNUMBER(BL17),ISNUMBER(BG17)),IFERROR(BL17/BG17-1,""),"")</f>
        <v>-0.0447834045149481</v>
      </c>
      <c r="BM18" s="255">
        <f>IF(AND(ISNUMBER(BM17),ISNUMBER(BH17)),IFERROR(BM17/BH17-1,""),"")</f>
        <v>-0.0110725720384205</v>
      </c>
      <c r="BN18" s="255">
        <f>IF(AND(ISNUMBER(BN17),ISNUMBER(BI17)),IFERROR(BN17/BI17-1,""),"")</f>
        <v>-0.05171974522293</v>
      </c>
      <c r="BO18" s="255">
        <f>IF(AND(ISNUMBER(BO17),ISNUMBER(BJ17)),IFERROR(BO17/BJ17-1,""),"")</f>
        <v>-0.0157778067544661</v>
      </c>
      <c r="BP18" s="255">
        <f>IF(AND(ISNUMBER(BP17),ISNUMBER(BK17)),IFERROR(BP17/BK17-1,""),"")</f>
        <v>-0.0413402434614921</v>
      </c>
      <c r="BQ18" s="255">
        <f>IF(AND(ISNUMBER(BQ17),ISNUMBER(BL17)),IFERROR(BQ17/BL17-1,""),"")</f>
        <v>-0.0304356157383751</v>
      </c>
      <c r="BR18" s="255">
        <f>IF(AND(ISNUMBER(BR17),ISNUMBER(BM17)),IFERROR(BR17/BM17-1,""),"")</f>
        <v>-0.021179009847565</v>
      </c>
      <c r="BS18" s="255">
        <f>IF(AND(ISNUMBER(BS17),ISNUMBER(BN17)),IFERROR(BS17/BN17-1,""),"")</f>
        <v>-0.0120902740462118</v>
      </c>
      <c r="BT18" s="255">
        <f>IF(AND(ISNUMBER(BT17),ISNUMBER(BO17)),IFERROR(BT17/BO17-1,""),"")</f>
        <v>-0.0257021727609963</v>
      </c>
      <c r="BU18" s="255">
        <f>IF(AND(ISNUMBER(BU17),ISNUMBER(BP17)),IFERROR(BU17/BP17-1,""),"")</f>
        <v>-0.015841086245914</v>
      </c>
      <c r="BV18" s="255">
        <f>IF(AND(ISNUMBER(BV17),ISNUMBER(BQ17)),IFERROR(BV17/BQ17-1,""),"")</f>
        <v>-0.0186765044961955</v>
      </c>
      <c r="BW18" s="255">
        <f>IF(AND(ISNUMBER(BW17),ISNUMBER(BR17)),IFERROR(BW17/BR17-1,""),"")</f>
        <v>-0.0392778390297685</v>
      </c>
      <c r="BX18" s="255">
        <f>IF(AND(ISNUMBER(BX17),ISNUMBER(BS17)),IFERROR(BX17/BS17-1,""),"")</f>
        <v>-0.00693500135980418</v>
      </c>
      <c r="BY18" s="256">
        <f>BY19+BY97</f>
        <v>-0.0229979466119097</v>
      </c>
      <c r="BZ18" s="256">
        <f>BY19+BY97</f>
        <v>-0.0229979466119097</v>
      </c>
      <c r="CA18" s="256">
        <f>IF(AND(ISNUMBER(CA17),ISNUMBER(BV17)),IFERROR(CA17/BV17-1,""),"")</f>
        <v>-0.0229979466119097</v>
      </c>
      <c r="CB18" s="256">
        <f>CHOOSE(MATCH($CF$2,{"Bull","Base","Bear"},0),$CO$40,$CP$40,$CQ$40)</f>
        <v>-0.03</v>
      </c>
      <c r="CC18" s="256">
        <f>CHOOSE(MATCH($CF$2,{"Bull","Base","Bear"},0),$CO$41,$CP$41,$CQ$41)</f>
        <v>-0.03</v>
      </c>
      <c r="CD18" s="256">
        <f>CHOOSE(MATCH($CF$2,{"Bull","Base","Bear"},0),$CO$42,$CP$42,$CQ$42)</f>
        <v>-0.03</v>
      </c>
      <c r="CE18" s="256">
        <f>CHOOSE(MATCH($CF$2,{"Bull","Base","Bear"},0),$CO$43,$CP$43,$CQ$43)</f>
        <v>-0.03</v>
      </c>
      <c r="CF18" s="153" t="n"/>
      <c r="CH18" s="37">
        <f>IFERROR(AVERAGE(CA18,CB18,CC18,CD18,CE18),"n/m")</f>
        <v>-0.0285995893223819</v>
      </c>
      <c r="CI18" s="37">
        <f>IFERROR(AVERAGE(BB18,BG18,BL18,BQ18,BV18),"n/m")</f>
        <v>0.0626146523243264</v>
      </c>
      <c r="CJ18" s="37">
        <f>IFERROR(AVERAGE(AC18,AH18,AM18,AR18,AW18,BB18,BG18,BL18,BQ18,BV18),"n/m")</f>
        <v>0.0746743669368106</v>
      </c>
      <c r="CK18" s="37">
        <f>IFERROR(AVERAGE(C18,D18,E18,F18,G18,H18,I18,N18,S18,X18,AC18,AH18,AM18,AR18,AW18,BB18,BG18,BL18,BQ18,BV18),"n/m")</f>
        <v>0.0746743669368106</v>
      </c>
      <c r="CN18" s="25" t="inlineStr">
        <is>
          <t xml:space="preserve">  FY26 capital expenditures ($m) — UNVERIFIED call guidance mid-point</t>
        </is>
      </c>
      <c r="CP18" s="258" t="n">
        <v>200000</v>
      </c>
      <c r="CR18" s="13" t="inlineStr">
        <is>
          <t>UNVERIFIED - Q2-2026 earnings call (CFO), reported by secondary sources (w.media, Nasdaq/Motley Fool); not in any EDGAR filing. The Q2-26 10-Q states only that 2026 investment in technical infrastructure will 'significantly increase, relative to 2025'.</t>
        </is>
      </c>
    </row>
    <row r="19" ht="15" customHeight="1" s="251">
      <c r="B19" s="25" t="inlineStr">
        <is>
          <t xml:space="preserve">    1H26 y/y growth (Q3–Q4/26E driver before scenario shift)</t>
        </is>
      </c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  <c r="BI19" s="36" t="n"/>
      <c r="BJ19" s="36" t="n"/>
      <c r="BK19" s="36" t="n"/>
      <c r="BL19" s="36" t="n"/>
      <c r="BM19" s="36" t="n"/>
      <c r="BN19" s="36" t="n"/>
      <c r="BO19" s="36" t="n"/>
      <c r="BP19" s="36" t="n"/>
      <c r="BQ19" s="36" t="n"/>
      <c r="BR19" s="36" t="n"/>
      <c r="BS19" s="36" t="n"/>
      <c r="BT19" s="36" t="n"/>
      <c r="BU19" s="36" t="n"/>
      <c r="BV19" s="36" t="n"/>
      <c r="BW19" s="36" t="n"/>
      <c r="BX19" s="36" t="n"/>
      <c r="BY19" s="256">
        <f>IFERROR(SUM(BW17:BX17)/SUM(BR17:BS17)-1,0)</f>
        <v>-0.0229979466119097</v>
      </c>
      <c r="BZ19" s="256">
        <f>IFERROR(SUM(BW17:BX17)/SUM(BR17:BS17)-1,0)</f>
        <v>-0.0229979466119097</v>
      </c>
      <c r="CA19" s="24" t="n"/>
      <c r="CB19" s="46" t="n"/>
      <c r="CC19" s="46" t="n"/>
      <c r="CD19" s="46" t="n"/>
      <c r="CE19" s="46" t="n"/>
      <c r="CF19" s="19" t="n"/>
      <c r="CN19" s="25" t="inlineStr">
        <is>
          <t xml:space="preserve">  Q3–Q4/26E depreciation, sequential growth</t>
        </is>
      </c>
      <c r="CP19" s="257" t="n">
        <v>0.096</v>
      </c>
      <c r="CR19" s="13" t="inlineStr">
        <is>
          <t>Q2/Q1-26 +9.6% ($7,104m vs $6,482m); capex ramp.</t>
        </is>
      </c>
    </row>
    <row r="20" ht="15" customHeight="1" s="251">
      <c r="B20" s="25" t="inlineStr">
        <is>
          <t xml:space="preserve">  Google subscriptions, platforms &amp; devices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253" t="n">
        <v>10914</v>
      </c>
      <c r="AI20" s="34" t="n"/>
      <c r="AJ20" s="34" t="n"/>
      <c r="AK20" s="34" t="n"/>
      <c r="AL20" s="34" t="n"/>
      <c r="AM20" s="253" t="n">
        <v>14063</v>
      </c>
      <c r="AN20" s="253" t="n">
        <v>3620</v>
      </c>
      <c r="AO20" s="253" t="n">
        <v>4080</v>
      </c>
      <c r="AP20" s="253" t="n">
        <v>4050</v>
      </c>
      <c r="AQ20" s="253" t="n">
        <v>5264</v>
      </c>
      <c r="AR20" s="253" t="n">
        <v>17014</v>
      </c>
      <c r="AS20" s="253" t="n">
        <v>4435</v>
      </c>
      <c r="AT20" s="253" t="n">
        <v>5124</v>
      </c>
      <c r="AU20" s="253" t="n">
        <v>5478</v>
      </c>
      <c r="AV20" s="253" t="n">
        <v>6674</v>
      </c>
      <c r="AW20" s="253" t="n">
        <v>21711</v>
      </c>
      <c r="AX20" s="253" t="n">
        <v>6494</v>
      </c>
      <c r="AY20" s="253" t="n">
        <v>6623</v>
      </c>
      <c r="AZ20" s="253" t="n">
        <v>6754</v>
      </c>
      <c r="BA20" s="253" t="n">
        <v>8161</v>
      </c>
      <c r="BB20" s="253" t="n">
        <v>28032</v>
      </c>
      <c r="BC20" s="253" t="n">
        <v>6811</v>
      </c>
      <c r="BD20" s="253" t="n">
        <v>6553</v>
      </c>
      <c r="BE20" s="253" t="n">
        <v>6895</v>
      </c>
      <c r="BF20" s="253" t="n">
        <v>8796</v>
      </c>
      <c r="BG20" s="253" t="n">
        <v>29055</v>
      </c>
      <c r="BH20" s="253" t="n">
        <v>7413</v>
      </c>
      <c r="BI20" s="253" t="n">
        <v>8142</v>
      </c>
      <c r="BJ20" s="253" t="n">
        <v>8339</v>
      </c>
      <c r="BK20" s="253" t="n">
        <v>10794</v>
      </c>
      <c r="BL20" s="253" t="n">
        <v>34688</v>
      </c>
      <c r="BM20" s="253" t="n">
        <v>8739</v>
      </c>
      <c r="BN20" s="253" t="n">
        <v>9312</v>
      </c>
      <c r="BO20" s="253" t="n">
        <v>10656</v>
      </c>
      <c r="BP20" s="253" t="n">
        <v>11633</v>
      </c>
      <c r="BQ20" s="253" t="n">
        <v>40340</v>
      </c>
      <c r="BR20" s="253" t="n">
        <v>10379</v>
      </c>
      <c r="BS20" s="253" t="n">
        <v>11203</v>
      </c>
      <c r="BT20" s="253" t="n">
        <v>12870</v>
      </c>
      <c r="BU20" s="253" t="n">
        <v>13578</v>
      </c>
      <c r="BV20" s="253" t="n">
        <v>48030</v>
      </c>
      <c r="BW20" s="253" t="n">
        <v>12384</v>
      </c>
      <c r="BX20" s="253" t="n">
        <v>12911</v>
      </c>
      <c r="BY20" s="254">
        <f>BT20*(1+BY21)</f>
        <v>15084.1743119266</v>
      </c>
      <c r="BZ20" s="254">
        <f>BU20*(1+BZ21)</f>
        <v>15913.97970531</v>
      </c>
      <c r="CA20" s="254">
        <f>SUM(BW20:BZ20)</f>
        <v>56293.1540172366</v>
      </c>
      <c r="CB20" s="254">
        <f>CA20*(1+CB21)</f>
        <v>64174.1955796497</v>
      </c>
      <c r="CC20" s="254">
        <f>CB20*(1+CC21)</f>
        <v>71875.0990492077</v>
      </c>
      <c r="CD20" s="254">
        <f>CC20*(1+CD21)</f>
        <v>79781.3599446205</v>
      </c>
      <c r="CE20" s="254">
        <f>CD20*(1+CE21)</f>
        <v>87759.4959390826</v>
      </c>
      <c r="CF20" s="19" t="inlineStr">
        <is>
          <t>"Google other" to Q4-23, renamed "Google subscriptions, platforms, and devices" from Q1-24 (no recast).</t>
        </is>
      </c>
      <c r="CH20" s="20">
        <f>IFERROR((CE20/BV20)^(1/5)-1,"n/m")</f>
        <v>0.12812261829346</v>
      </c>
      <c r="CI20" s="20">
        <f>IFERROR((BV20/AW20)^(1/5)-1,"n/m")</f>
        <v>0.172105089829432</v>
      </c>
      <c r="CJ20" s="20" t="str">
        <f>IFERROR((BV20/X20)^(1/10)-1,"n/m")</f>
        <v>n/m</v>
      </c>
      <c r="CK20" s="20" t="str">
        <f>IFERROR((BV20/C20)^(1/19)-1,"n/m")</f>
        <v>n/m</v>
      </c>
      <c r="CN20" s="25" t="inlineStr">
        <is>
          <t xml:space="preserve">  Q3–Q4/26E amortization of intangibles ($m per quarter)</t>
        </is>
      </c>
      <c r="CP20" s="258" t="n">
        <v>370</v>
      </c>
      <c r="CR20" s="13" t="inlineStr">
        <is>
          <t>Q2-26 $367m (Wiz intangibles from Mar-2026).</t>
        </is>
      </c>
    </row>
    <row r="21" ht="15" customHeight="1" s="251">
      <c r="B21" s="22" t="inlineStr">
        <is>
          <t xml:space="preserve">    y/y %</t>
        </is>
      </c>
      <c r="C21" s="23" t="n"/>
      <c r="D21" s="255">
        <f>IF(AND(ISNUMBER(D20),ISNUMBER(C20)),IFERROR(D20/C20-1,""),"")</f>
      </c>
      <c r="E21" s="255">
        <f>IF(AND(ISNUMBER(E20),ISNUMBER(D20)),IFERROR(E20/D20-1,""),"")</f>
      </c>
      <c r="F21" s="255">
        <f>IF(AND(ISNUMBER(F20),ISNUMBER(E20)),IFERROR(F20/E20-1,""),"")</f>
      </c>
      <c r="G21" s="255">
        <f>IF(AND(ISNUMBER(G20),ISNUMBER(F20)),IFERROR(G20/F20-1,""),"")</f>
      </c>
      <c r="H21" s="255">
        <f>IF(AND(ISNUMBER(H20),ISNUMBER(G20)),IFERROR(H20/G20-1,""),"")</f>
      </c>
      <c r="I21" s="255">
        <f>IF(AND(ISNUMBER(I20),ISNUMBER(H20)),IFERROR(I20/H20-1,""),"")</f>
      </c>
      <c r="J21" s="23" t="n"/>
      <c r="K21" s="23" t="n"/>
      <c r="L21" s="23" t="n"/>
      <c r="M21" s="23" t="n"/>
      <c r="N21" s="255">
        <f>IF(AND(ISNUMBER(N20),ISNUMBER(I20)),IFERROR(N20/I20-1,""),"")</f>
      </c>
      <c r="O21" s="255">
        <f>IF(AND(ISNUMBER(O20),ISNUMBER(J20)),IFERROR(O20/J20-1,""),"")</f>
      </c>
      <c r="P21" s="255">
        <f>IF(AND(ISNUMBER(P20),ISNUMBER(K20)),IFERROR(P20/K20-1,""),"")</f>
      </c>
      <c r="Q21" s="255">
        <f>IF(AND(ISNUMBER(Q20),ISNUMBER(L20)),IFERROR(Q20/L20-1,""),"")</f>
      </c>
      <c r="R21" s="255">
        <f>IF(AND(ISNUMBER(R20),ISNUMBER(M20)),IFERROR(R20/M20-1,""),"")</f>
      </c>
      <c r="S21" s="255">
        <f>IF(AND(ISNUMBER(S20),ISNUMBER(N20)),IFERROR(S20/N20-1,""),"")</f>
      </c>
      <c r="T21" s="255">
        <f>IF(AND(ISNUMBER(T20),ISNUMBER(O20)),IFERROR(T20/O20-1,""),"")</f>
      </c>
      <c r="U21" s="255">
        <f>IF(AND(ISNUMBER(U20),ISNUMBER(P20)),IFERROR(U20/P20-1,""),"")</f>
      </c>
      <c r="V21" s="255">
        <f>IF(AND(ISNUMBER(V20),ISNUMBER(Q20)),IFERROR(V20/Q20-1,""),"")</f>
      </c>
      <c r="W21" s="255">
        <f>IF(AND(ISNUMBER(W20),ISNUMBER(R20)),IFERROR(W20/R20-1,""),"")</f>
      </c>
      <c r="X21" s="255">
        <f>IF(AND(ISNUMBER(X20),ISNUMBER(S20)),IFERROR(X20/S20-1,""),"")</f>
      </c>
      <c r="Y21" s="255">
        <f>IF(AND(ISNUMBER(Y20),ISNUMBER(T20)),IFERROR(Y20/T20-1,""),"")</f>
      </c>
      <c r="Z21" s="255">
        <f>IF(AND(ISNUMBER(Z20),ISNUMBER(U20)),IFERROR(Z20/U20-1,""),"")</f>
      </c>
      <c r="AA21" s="255">
        <f>IF(AND(ISNUMBER(AA20),ISNUMBER(V20)),IFERROR(AA20/V20-1,""),"")</f>
      </c>
      <c r="AB21" s="255">
        <f>IF(AND(ISNUMBER(AB20),ISNUMBER(W20)),IFERROR(AB20/W20-1,""),"")</f>
      </c>
      <c r="AC21" s="255">
        <f>IF(AND(ISNUMBER(AC20),ISNUMBER(X20)),IFERROR(AC20/X20-1,""),"")</f>
      </c>
      <c r="AD21" s="255">
        <f>IF(AND(ISNUMBER(AD20),ISNUMBER(Y20)),IFERROR(AD20/Y20-1,""),"")</f>
      </c>
      <c r="AE21" s="255">
        <f>IF(AND(ISNUMBER(AE20),ISNUMBER(Z20)),IFERROR(AE20/Z20-1,""),"")</f>
      </c>
      <c r="AF21" s="255">
        <f>IF(AND(ISNUMBER(AF20),ISNUMBER(AA20)),IFERROR(AF20/AA20-1,""),"")</f>
      </c>
      <c r="AG21" s="255">
        <f>IF(AND(ISNUMBER(AG20),ISNUMBER(AB20)),IFERROR(AG20/AB20-1,""),"")</f>
      </c>
      <c r="AH21" s="255">
        <f>IF(AND(ISNUMBER(AH20),ISNUMBER(AC20)),IFERROR(AH20/AC20-1,""),"")</f>
      </c>
      <c r="AI21" s="255">
        <f>IF(AND(ISNUMBER(AI20),ISNUMBER(AD20)),IFERROR(AI20/AD20-1,""),"")</f>
      </c>
      <c r="AJ21" s="255">
        <f>IF(AND(ISNUMBER(AJ20),ISNUMBER(AE20)),IFERROR(AJ20/AE20-1,""),"")</f>
      </c>
      <c r="AK21" s="255">
        <f>IF(AND(ISNUMBER(AK20),ISNUMBER(AF20)),IFERROR(AK20/AF20-1,""),"")</f>
      </c>
      <c r="AL21" s="255">
        <f>IF(AND(ISNUMBER(AL20),ISNUMBER(AG20)),IFERROR(AL20/AG20-1,""),"")</f>
      </c>
      <c r="AM21" s="255">
        <f>IF(AND(ISNUMBER(AM20),ISNUMBER(AH20)),IFERROR(AM20/AH20-1,""),"")</f>
        <v>0.288528495510354</v>
      </c>
      <c r="AN21" s="255">
        <f>IF(AND(ISNUMBER(AN20),ISNUMBER(AI20)),IFERROR(AN20/AI20-1,""),"")</f>
      </c>
      <c r="AO21" s="255">
        <f>IF(AND(ISNUMBER(AO20),ISNUMBER(AJ20)),IFERROR(AO20/AJ20-1,""),"")</f>
      </c>
      <c r="AP21" s="255">
        <f>IF(AND(ISNUMBER(AP20),ISNUMBER(AK20)),IFERROR(AP20/AK20-1,""),"")</f>
      </c>
      <c r="AQ21" s="255">
        <f>IF(AND(ISNUMBER(AQ20),ISNUMBER(AL20)),IFERROR(AQ20/AL20-1,""),"")</f>
      </c>
      <c r="AR21" s="255">
        <f>IF(AND(ISNUMBER(AR20),ISNUMBER(AM20)),IFERROR(AR20/AM20-1,""),"")</f>
        <v>0.209841427860343</v>
      </c>
      <c r="AS21" s="255">
        <f>IF(AND(ISNUMBER(AS20),ISNUMBER(AN20)),IFERROR(AS20/AN20-1,""),"")</f>
        <v>0.225138121546961</v>
      </c>
      <c r="AT21" s="255">
        <f>IF(AND(ISNUMBER(AT20),ISNUMBER(AO20)),IFERROR(AT20/AO20-1,""),"")</f>
        <v>0.255882352941176</v>
      </c>
      <c r="AU21" s="255">
        <f>IF(AND(ISNUMBER(AU20),ISNUMBER(AP20)),IFERROR(AU20/AP20-1,""),"")</f>
        <v>0.352592592592593</v>
      </c>
      <c r="AV21" s="255">
        <f>IF(AND(ISNUMBER(AV20),ISNUMBER(AQ20)),IFERROR(AV20/AQ20-1,""),"")</f>
        <v>0.267857142857143</v>
      </c>
      <c r="AW21" s="255">
        <f>IF(AND(ISNUMBER(AW20),ISNUMBER(AR20)),IFERROR(AW20/AR20-1,""),"")</f>
        <v>0.276066768543552</v>
      </c>
      <c r="AX21" s="255">
        <f>IF(AND(ISNUMBER(AX20),ISNUMBER(AS20)),IFERROR(AX20/AS20-1,""),"")</f>
        <v>0.464261555806088</v>
      </c>
      <c r="AY21" s="255">
        <f>IF(AND(ISNUMBER(AY20),ISNUMBER(AT20)),IFERROR(AY20/AT20-1,""),"")</f>
        <v>0.292544886807182</v>
      </c>
      <c r="AZ21" s="255">
        <f>IF(AND(ISNUMBER(AZ20),ISNUMBER(AU20)),IFERROR(AZ20/AU20-1,""),"")</f>
        <v>0.232931726907631</v>
      </c>
      <c r="BA21" s="255">
        <f>IF(AND(ISNUMBER(BA20),ISNUMBER(AV20)),IFERROR(BA20/AV20-1,""),"")</f>
        <v>0.222804914593947</v>
      </c>
      <c r="BB21" s="255">
        <f>IF(AND(ISNUMBER(BB20),ISNUMBER(AW20)),IFERROR(BB20/AW20-1,""),"")</f>
        <v>0.291142738703883</v>
      </c>
      <c r="BC21" s="255">
        <f>IF(AND(ISNUMBER(BC20),ISNUMBER(AX20)),IFERROR(BC20/AX20-1,""),"")</f>
        <v>0.0488142901139514</v>
      </c>
      <c r="BD21" s="255">
        <f>IF(AND(ISNUMBER(BD20),ISNUMBER(AY20)),IFERROR(BD20/AY20-1,""),"")</f>
        <v>-0.0105692284463235</v>
      </c>
      <c r="BE21" s="255">
        <f>IF(AND(ISNUMBER(BE20),ISNUMBER(AZ20)),IFERROR(BE20/AZ20-1,""),"")</f>
        <v>0.0208765176191887</v>
      </c>
      <c r="BF21" s="255">
        <f>IF(AND(ISNUMBER(BF20),ISNUMBER(BA20)),IFERROR(BF20/BA20-1,""),"")</f>
        <v>0.0778090920230363</v>
      </c>
      <c r="BG21" s="255">
        <f>IF(AND(ISNUMBER(BG20),ISNUMBER(BB20)),IFERROR(BG20/BB20-1,""),"")</f>
        <v>0.0364940068493151</v>
      </c>
      <c r="BH21" s="255">
        <f>IF(AND(ISNUMBER(BH20),ISNUMBER(BC20)),IFERROR(BH20/BC20-1,""),"")</f>
        <v>0.0883864337101747</v>
      </c>
      <c r="BI21" s="255">
        <f>IF(AND(ISNUMBER(BI20),ISNUMBER(BD20)),IFERROR(BI20/BD20-1,""),"")</f>
        <v>0.242484358309171</v>
      </c>
      <c r="BJ21" s="255">
        <f>IF(AND(ISNUMBER(BJ20),ISNUMBER(BE20)),IFERROR(BJ20/BE20-1,""),"")</f>
        <v>0.209427121102248</v>
      </c>
      <c r="BK21" s="255">
        <f>IF(AND(ISNUMBER(BK20),ISNUMBER(BF20)),IFERROR(BK20/BF20-1,""),"")</f>
        <v>0.227148703956344</v>
      </c>
      <c r="BL21" s="255">
        <f>IF(AND(ISNUMBER(BL20),ISNUMBER(BG20)),IFERROR(BL20/BG20-1,""),"")</f>
        <v>0.193873687833419</v>
      </c>
      <c r="BM21" s="255">
        <f>IF(AND(ISNUMBER(BM20),ISNUMBER(BH20)),IFERROR(BM20/BH20-1,""),"")</f>
        <v>0.178874949413193</v>
      </c>
      <c r="BN21" s="255">
        <f>IF(AND(ISNUMBER(BN20),ISNUMBER(BI20)),IFERROR(BN20/BI20-1,""),"")</f>
        <v>0.143699336772292</v>
      </c>
      <c r="BO21" s="255">
        <f>IF(AND(ISNUMBER(BO20),ISNUMBER(BJ20)),IFERROR(BO20/BJ20-1,""),"")</f>
        <v>0.277851061278331</v>
      </c>
      <c r="BP21" s="255">
        <f>IF(AND(ISNUMBER(BP20),ISNUMBER(BK20)),IFERROR(BP20/BK20-1,""),"")</f>
        <v>0.077728367611636</v>
      </c>
      <c r="BQ21" s="255">
        <f>IF(AND(ISNUMBER(BQ20),ISNUMBER(BL20)),IFERROR(BQ20/BL20-1,""),"")</f>
        <v>0.162938191881919</v>
      </c>
      <c r="BR21" s="255">
        <f>IF(AND(ISNUMBER(BR20),ISNUMBER(BM20)),IFERROR(BR20/BM20-1,""),"")</f>
        <v>0.187664492504863</v>
      </c>
      <c r="BS21" s="255">
        <f>IF(AND(ISNUMBER(BS20),ISNUMBER(BN20)),IFERROR(BS20/BN20-1,""),"")</f>
        <v>0.203071305841924</v>
      </c>
      <c r="BT21" s="255">
        <f>IF(AND(ISNUMBER(BT20),ISNUMBER(BO20)),IFERROR(BT20/BO20-1,""),"")</f>
        <v>0.20777027027027</v>
      </c>
      <c r="BU21" s="255">
        <f>IF(AND(ISNUMBER(BU20),ISNUMBER(BP20)),IFERROR(BU20/BP20-1,""),"")</f>
        <v>0.167196767815697</v>
      </c>
      <c r="BV21" s="255">
        <f>IF(AND(ISNUMBER(BV20),ISNUMBER(BQ20)),IFERROR(BV20/BQ20-1,""),"")</f>
        <v>0.190629647992068</v>
      </c>
      <c r="BW21" s="255">
        <f>IF(AND(ISNUMBER(BW20),ISNUMBER(BR20)),IFERROR(BW20/BR20-1,""),"")</f>
        <v>0.193178533577416</v>
      </c>
      <c r="BX21" s="255">
        <f>IF(AND(ISNUMBER(BX20),ISNUMBER(BS20)),IFERROR(BX20/BS20-1,""),"")</f>
        <v>0.15245916272427</v>
      </c>
      <c r="BY21" s="256">
        <f>BY22+BY97</f>
        <v>0.172041516078213</v>
      </c>
      <c r="BZ21" s="256">
        <f>BY22+BY97</f>
        <v>0.172041516078213</v>
      </c>
      <c r="CA21" s="256">
        <f>IF(AND(ISNUMBER(CA20),ISNUMBER(BV20)),IFERROR(CA20/BV20-1,""),"")</f>
        <v>0.172041516078213</v>
      </c>
      <c r="CB21" s="256">
        <f>CHOOSE(MATCH($CF$2,{"Bull","Base","Bear"},0),$CO$45,$CP$45,$CQ$45)</f>
        <v>0.14</v>
      </c>
      <c r="CC21" s="256">
        <f>CHOOSE(MATCH($CF$2,{"Bull","Base","Bear"},0),$CO$46,$CP$46,$CQ$46)</f>
        <v>0.12</v>
      </c>
      <c r="CD21" s="256">
        <f>CHOOSE(MATCH($CF$2,{"Bull","Base","Bear"},0),$CO$47,$CP$47,$CQ$47)</f>
        <v>0.11</v>
      </c>
      <c r="CE21" s="256">
        <f>CHOOSE(MATCH($CF$2,{"Bull","Base","Bear"},0),$CO$48,$CP$48,$CQ$48)</f>
        <v>0.1</v>
      </c>
      <c r="CF21" s="153" t="n"/>
      <c r="CH21" s="37">
        <f>IFERROR(AVERAGE(CA21,CB21,CC21,CD21,CE21),"n/m")</f>
        <v>0.128408303215643</v>
      </c>
      <c r="CI21" s="37">
        <f>IFERROR(AVERAGE(BB21,BG21,BL21,BQ21,BV21),"n/m")</f>
        <v>0.175015654652121</v>
      </c>
      <c r="CJ21" s="37">
        <f>IFERROR(AVERAGE(AC21,AH21,AM21,AR21,AW21,BB21,BG21,BL21,BQ21,BV21),"n/m")</f>
        <v>0.206189370646857</v>
      </c>
      <c r="CK21" s="37">
        <f>IFERROR(AVERAGE(C21,D21,E21,F21,G21,H21,I21,N21,S21,X21,AC21,AH21,AM21,AR21,AW21,BB21,BG21,BL21,BQ21,BV21),"n/m")</f>
        <v>0.206189370646857</v>
      </c>
      <c r="CN21" s="25" t="inlineStr">
        <is>
          <t xml:space="preserve">  Q3–Q4/26E effective tax rate</t>
        </is>
      </c>
      <c r="CP21" s="257" t="n">
        <v>0.18</v>
      </c>
      <c r="CR21" s="13" t="inlineStr">
        <is>
          <t>1H26 19.1% incl. tax on equity-security gains; FY2025 16.8%.</t>
        </is>
      </c>
    </row>
    <row r="22" ht="15" customHeight="1" s="251">
      <c r="B22" s="25" t="inlineStr">
        <is>
          <t xml:space="preserve">    1H26 y/y growth (Q3–Q4/26E driver before scenario shift)</t>
        </is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  <c r="BE22" s="36" t="n"/>
      <c r="BF22" s="36" t="n"/>
      <c r="BG22" s="36" t="n"/>
      <c r="BH22" s="36" t="n"/>
      <c r="BI22" s="36" t="n"/>
      <c r="BJ22" s="36" t="n"/>
      <c r="BK22" s="36" t="n"/>
      <c r="BL22" s="36" t="n"/>
      <c r="BM22" s="36" t="n"/>
      <c r="BN22" s="36" t="n"/>
      <c r="BO22" s="36" t="n"/>
      <c r="BP22" s="36" t="n"/>
      <c r="BQ22" s="36" t="n"/>
      <c r="BR22" s="36" t="n"/>
      <c r="BS22" s="36" t="n"/>
      <c r="BT22" s="36" t="n"/>
      <c r="BU22" s="36" t="n"/>
      <c r="BV22" s="36" t="n"/>
      <c r="BW22" s="36" t="n"/>
      <c r="BX22" s="36" t="n"/>
      <c r="BY22" s="256">
        <f>IFERROR(SUM(BW20:BX20)/SUM(BR20:BS20)-1,0)</f>
        <v>0.172041516078213</v>
      </c>
      <c r="BZ22" s="256">
        <f>IFERROR(SUM(BW20:BX20)/SUM(BR20:BS20)-1,0)</f>
        <v>0.172041516078213</v>
      </c>
      <c r="CA22" s="24" t="n"/>
      <c r="CB22" s="46" t="n"/>
      <c r="CC22" s="46" t="n"/>
      <c r="CD22" s="46" t="n"/>
      <c r="CE22" s="46" t="n"/>
      <c r="CF22" s="19" t="n"/>
      <c r="CN22" s="25" t="inlineStr">
        <is>
          <t xml:space="preserve">  Q3–Q4/26E interest yield on cash + marketable securities (annual)</t>
        </is>
      </c>
      <c r="CP22" s="257" t="n">
        <v>0.033</v>
      </c>
      <c r="CR22" s="13" t="inlineStr">
        <is>
          <t>Q2-26 $1,430m on ~$185bn average cash and securities (~3.1%); $242.5bn at 30-Jun-2026.</t>
        </is>
      </c>
    </row>
    <row r="23" ht="15" customHeight="1" s="251">
      <c r="B23" s="25" t="inlineStr">
        <is>
          <t xml:space="preserve">  Google Cloud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253" t="n">
        <v>4056</v>
      </c>
      <c r="AI23" s="34" t="n"/>
      <c r="AJ23" s="34" t="n"/>
      <c r="AK23" s="34" t="n"/>
      <c r="AL23" s="34" t="n"/>
      <c r="AM23" s="253" t="n">
        <v>5838</v>
      </c>
      <c r="AN23" s="253" t="n">
        <v>1825</v>
      </c>
      <c r="AO23" s="253" t="n">
        <v>2100</v>
      </c>
      <c r="AP23" s="253" t="n">
        <v>2379</v>
      </c>
      <c r="AQ23" s="253" t="n">
        <v>2614</v>
      </c>
      <c r="AR23" s="253" t="n">
        <v>8918</v>
      </c>
      <c r="AS23" s="253" t="n">
        <v>2777</v>
      </c>
      <c r="AT23" s="253" t="n">
        <v>3007</v>
      </c>
      <c r="AU23" s="253" t="n">
        <v>3444</v>
      </c>
      <c r="AV23" s="253" t="n">
        <v>3831</v>
      </c>
      <c r="AW23" s="253" t="n">
        <v>13059</v>
      </c>
      <c r="AX23" s="253" t="n">
        <v>4047</v>
      </c>
      <c r="AY23" s="253" t="n">
        <v>4628</v>
      </c>
      <c r="AZ23" s="253" t="n">
        <v>4990</v>
      </c>
      <c r="BA23" s="253" t="n">
        <v>5541</v>
      </c>
      <c r="BB23" s="253" t="n">
        <v>19206</v>
      </c>
      <c r="BC23" s="253" t="n">
        <v>5821</v>
      </c>
      <c r="BD23" s="253" t="n">
        <v>6276</v>
      </c>
      <c r="BE23" s="253" t="n">
        <v>6868</v>
      </c>
      <c r="BF23" s="253" t="n">
        <v>7315</v>
      </c>
      <c r="BG23" s="253" t="n">
        <v>26280</v>
      </c>
      <c r="BH23" s="253" t="n">
        <v>7454</v>
      </c>
      <c r="BI23" s="253" t="n">
        <v>8031</v>
      </c>
      <c r="BJ23" s="253" t="n">
        <v>8411</v>
      </c>
      <c r="BK23" s="253" t="n">
        <v>9192</v>
      </c>
      <c r="BL23" s="253" t="n">
        <v>33088</v>
      </c>
      <c r="BM23" s="253" t="n">
        <v>9574</v>
      </c>
      <c r="BN23" s="253" t="n">
        <v>10347</v>
      </c>
      <c r="BO23" s="253" t="n">
        <v>11353</v>
      </c>
      <c r="BP23" s="253" t="n">
        <v>11955</v>
      </c>
      <c r="BQ23" s="253" t="n">
        <v>43229</v>
      </c>
      <c r="BR23" s="253" t="n">
        <v>12260</v>
      </c>
      <c r="BS23" s="253" t="n">
        <v>13624</v>
      </c>
      <c r="BT23" s="253" t="n">
        <v>15157</v>
      </c>
      <c r="BU23" s="253" t="n">
        <v>17664</v>
      </c>
      <c r="BV23" s="253" t="n">
        <v>58705</v>
      </c>
      <c r="BW23" s="253" t="n">
        <v>20028</v>
      </c>
      <c r="BX23" s="253" t="n">
        <v>24768</v>
      </c>
      <c r="BY23" s="254">
        <f>BT23*(1+BY24)</f>
        <v>26231.3773759852</v>
      </c>
      <c r="BZ23" s="254">
        <f>BU23*(1+BZ24)</f>
        <v>30570.1029207232</v>
      </c>
      <c r="CA23" s="254">
        <f>SUM(BW23:BZ23)</f>
        <v>101597.480296708</v>
      </c>
      <c r="CB23" s="254">
        <f>CA23*(1+CB24)</f>
        <v>147316.346430227</v>
      </c>
      <c r="CC23" s="254">
        <f>CB23*(1+CC24)</f>
        <v>194457.5772879</v>
      </c>
      <c r="CD23" s="254">
        <f>CC23*(1+CD24)</f>
        <v>243071.971609875</v>
      </c>
      <c r="CE23" s="254">
        <f>CD23*(1+CE24)</f>
        <v>291686.36593185</v>
      </c>
      <c r="CF23" s="19" t="inlineStr">
        <is>
          <t>Google Cloud segment revenues (from Q4-20; earlier the Google Cloud revenue type, incl. in the Google segment). Includes Wiz from 11-Mar-2026.</t>
        </is>
      </c>
      <c r="CH23" s="20">
        <f>IFERROR((CE23/BV23)^(1/5)-1,"n/m")</f>
        <v>0.377996794970582</v>
      </c>
      <c r="CI23" s="20">
        <f>IFERROR((BV23/AW23)^(1/5)-1,"n/m")</f>
        <v>0.350681757007377</v>
      </c>
      <c r="CJ23" s="20" t="str">
        <f>IFERROR((BV23/X23)^(1/10)-1,"n/m")</f>
        <v>n/m</v>
      </c>
      <c r="CK23" s="20" t="str">
        <f>IFERROR((BV23/C23)^(1/19)-1,"n/m")</f>
        <v>n/m</v>
      </c>
      <c r="CN23" s="25" t="inlineStr">
        <is>
          <t xml:space="preserve">  Q3–Q4/26E interest expense ($m per quarter)</t>
        </is>
      </c>
      <c r="CP23" s="258" t="n">
        <v>1150</v>
      </c>
      <c r="CR23" s="13" t="inlineStr">
        <is>
          <t>Q2-26 $1,278m (net of $363m capitalized interest); ~$100bn of debt at ~4.0% weighted coupon.</t>
        </is>
      </c>
    </row>
    <row r="24" ht="15" customHeight="1" s="251">
      <c r="B24" s="22" t="inlineStr">
        <is>
          <t xml:space="preserve">    y/y %</t>
        </is>
      </c>
      <c r="C24" s="23" t="n"/>
      <c r="D24" s="255">
        <f>IF(AND(ISNUMBER(D23),ISNUMBER(C23)),IFERROR(D23/C23-1,""),"")</f>
      </c>
      <c r="E24" s="255">
        <f>IF(AND(ISNUMBER(E23),ISNUMBER(D23)),IFERROR(E23/D23-1,""),"")</f>
      </c>
      <c r="F24" s="255">
        <f>IF(AND(ISNUMBER(F23),ISNUMBER(E23)),IFERROR(F23/E23-1,""),"")</f>
      </c>
      <c r="G24" s="255">
        <f>IF(AND(ISNUMBER(G23),ISNUMBER(F23)),IFERROR(G23/F23-1,""),"")</f>
      </c>
      <c r="H24" s="255">
        <f>IF(AND(ISNUMBER(H23),ISNUMBER(G23)),IFERROR(H23/G23-1,""),"")</f>
      </c>
      <c r="I24" s="255">
        <f>IF(AND(ISNUMBER(I23),ISNUMBER(H23)),IFERROR(I23/H23-1,""),"")</f>
      </c>
      <c r="J24" s="23" t="n"/>
      <c r="K24" s="23" t="n"/>
      <c r="L24" s="23" t="n"/>
      <c r="M24" s="23" t="n"/>
      <c r="N24" s="255">
        <f>IF(AND(ISNUMBER(N23),ISNUMBER(I23)),IFERROR(N23/I23-1,""),"")</f>
      </c>
      <c r="O24" s="255">
        <f>IF(AND(ISNUMBER(O23),ISNUMBER(J23)),IFERROR(O23/J23-1,""),"")</f>
      </c>
      <c r="P24" s="255">
        <f>IF(AND(ISNUMBER(P23),ISNUMBER(K23)),IFERROR(P23/K23-1,""),"")</f>
      </c>
      <c r="Q24" s="255">
        <f>IF(AND(ISNUMBER(Q23),ISNUMBER(L23)),IFERROR(Q23/L23-1,""),"")</f>
      </c>
      <c r="R24" s="255">
        <f>IF(AND(ISNUMBER(R23),ISNUMBER(M23)),IFERROR(R23/M23-1,""),"")</f>
      </c>
      <c r="S24" s="255">
        <f>IF(AND(ISNUMBER(S23),ISNUMBER(N23)),IFERROR(S23/N23-1,""),"")</f>
      </c>
      <c r="T24" s="255">
        <f>IF(AND(ISNUMBER(T23),ISNUMBER(O23)),IFERROR(T23/O23-1,""),"")</f>
      </c>
      <c r="U24" s="255">
        <f>IF(AND(ISNUMBER(U23),ISNUMBER(P23)),IFERROR(U23/P23-1,""),"")</f>
      </c>
      <c r="V24" s="255">
        <f>IF(AND(ISNUMBER(V23),ISNUMBER(Q23)),IFERROR(V23/Q23-1,""),"")</f>
      </c>
      <c r="W24" s="255">
        <f>IF(AND(ISNUMBER(W23),ISNUMBER(R23)),IFERROR(W23/R23-1,""),"")</f>
      </c>
      <c r="X24" s="255">
        <f>IF(AND(ISNUMBER(X23),ISNUMBER(S23)),IFERROR(X23/S23-1,""),"")</f>
      </c>
      <c r="Y24" s="255">
        <f>IF(AND(ISNUMBER(Y23),ISNUMBER(T23)),IFERROR(Y23/T23-1,""),"")</f>
      </c>
      <c r="Z24" s="255">
        <f>IF(AND(ISNUMBER(Z23),ISNUMBER(U23)),IFERROR(Z23/U23-1,""),"")</f>
      </c>
      <c r="AA24" s="255">
        <f>IF(AND(ISNUMBER(AA23),ISNUMBER(V23)),IFERROR(AA23/V23-1,""),"")</f>
      </c>
      <c r="AB24" s="255">
        <f>IF(AND(ISNUMBER(AB23),ISNUMBER(W23)),IFERROR(AB23/W23-1,""),"")</f>
      </c>
      <c r="AC24" s="255">
        <f>IF(AND(ISNUMBER(AC23),ISNUMBER(X23)),IFERROR(AC23/X23-1,""),"")</f>
      </c>
      <c r="AD24" s="255">
        <f>IF(AND(ISNUMBER(AD23),ISNUMBER(Y23)),IFERROR(AD23/Y23-1,""),"")</f>
      </c>
      <c r="AE24" s="255">
        <f>IF(AND(ISNUMBER(AE23),ISNUMBER(Z23)),IFERROR(AE23/Z23-1,""),"")</f>
      </c>
      <c r="AF24" s="255">
        <f>IF(AND(ISNUMBER(AF23),ISNUMBER(AA23)),IFERROR(AF23/AA23-1,""),"")</f>
      </c>
      <c r="AG24" s="255">
        <f>IF(AND(ISNUMBER(AG23),ISNUMBER(AB23)),IFERROR(AG23/AB23-1,""),"")</f>
      </c>
      <c r="AH24" s="255">
        <f>IF(AND(ISNUMBER(AH23),ISNUMBER(AC23)),IFERROR(AH23/AC23-1,""),"")</f>
      </c>
      <c r="AI24" s="255">
        <f>IF(AND(ISNUMBER(AI23),ISNUMBER(AD23)),IFERROR(AI23/AD23-1,""),"")</f>
      </c>
      <c r="AJ24" s="255">
        <f>IF(AND(ISNUMBER(AJ23),ISNUMBER(AE23)),IFERROR(AJ23/AE23-1,""),"")</f>
      </c>
      <c r="AK24" s="255">
        <f>IF(AND(ISNUMBER(AK23),ISNUMBER(AF23)),IFERROR(AK23/AF23-1,""),"")</f>
      </c>
      <c r="AL24" s="255">
        <f>IF(AND(ISNUMBER(AL23),ISNUMBER(AG23)),IFERROR(AL23/AG23-1,""),"")</f>
      </c>
      <c r="AM24" s="255">
        <f>IF(AND(ISNUMBER(AM23),ISNUMBER(AH23)),IFERROR(AM23/AH23-1,""),"")</f>
        <v>0.439349112426036</v>
      </c>
      <c r="AN24" s="255">
        <f>IF(AND(ISNUMBER(AN23),ISNUMBER(AI23)),IFERROR(AN23/AI23-1,""),"")</f>
      </c>
      <c r="AO24" s="255">
        <f>IF(AND(ISNUMBER(AO23),ISNUMBER(AJ23)),IFERROR(AO23/AJ23-1,""),"")</f>
      </c>
      <c r="AP24" s="255">
        <f>IF(AND(ISNUMBER(AP23),ISNUMBER(AK23)),IFERROR(AP23/AK23-1,""),"")</f>
      </c>
      <c r="AQ24" s="255">
        <f>IF(AND(ISNUMBER(AQ23),ISNUMBER(AL23)),IFERROR(AQ23/AL23-1,""),"")</f>
      </c>
      <c r="AR24" s="255">
        <f>IF(AND(ISNUMBER(AR23),ISNUMBER(AM23)),IFERROR(AR23/AM23-1,""),"")</f>
        <v>0.52757793764988</v>
      </c>
      <c r="AS24" s="255">
        <f>IF(AND(ISNUMBER(AS23),ISNUMBER(AN23)),IFERROR(AS23/AN23-1,""),"")</f>
        <v>0.521643835616438</v>
      </c>
      <c r="AT24" s="255">
        <f>IF(AND(ISNUMBER(AT23),ISNUMBER(AO23)),IFERROR(AT23/AO23-1,""),"")</f>
        <v>0.431904761904762</v>
      </c>
      <c r="AU24" s="255">
        <f>IF(AND(ISNUMBER(AU23),ISNUMBER(AP23)),IFERROR(AU23/AP23-1,""),"")</f>
        <v>0.447667087011349</v>
      </c>
      <c r="AV24" s="255">
        <f>IF(AND(ISNUMBER(AV23),ISNUMBER(AQ23)),IFERROR(AV23/AQ23-1,""),"")</f>
        <v>0.465570007651109</v>
      </c>
      <c r="AW24" s="255">
        <f>IF(AND(ISNUMBER(AW23),ISNUMBER(AR23)),IFERROR(AW23/AR23-1,""),"")</f>
        <v>0.464341780668311</v>
      </c>
      <c r="AX24" s="255">
        <f>IF(AND(ISNUMBER(AX23),ISNUMBER(AS23)),IFERROR(AX23/AS23-1,""),"")</f>
        <v>0.457328051854519</v>
      </c>
      <c r="AY24" s="255">
        <f>IF(AND(ISNUMBER(AY23),ISNUMBER(AT23)),IFERROR(AY23/AT23-1,""),"")</f>
        <v>0.539075490522115</v>
      </c>
      <c r="AZ24" s="255">
        <f>IF(AND(ISNUMBER(AZ23),ISNUMBER(AU23)),IFERROR(AZ23/AU23-1,""),"")</f>
        <v>0.448896631823461</v>
      </c>
      <c r="BA24" s="255">
        <f>IF(AND(ISNUMBER(BA23),ISNUMBER(AV23)),IFERROR(BA23/AV23-1,""),"")</f>
        <v>0.446358653093187</v>
      </c>
      <c r="BB24" s="255">
        <f>IF(AND(ISNUMBER(BB23),ISNUMBER(AW23)),IFERROR(BB23/AW23-1,""),"")</f>
        <v>0.470709855272226</v>
      </c>
      <c r="BC24" s="255">
        <f>IF(AND(ISNUMBER(BC23),ISNUMBER(AX23)),IFERROR(BC23/AX23-1,""),"")</f>
        <v>0.438349394613294</v>
      </c>
      <c r="BD24" s="255">
        <f>IF(AND(ISNUMBER(BD23),ISNUMBER(AY23)),IFERROR(BD23/AY23-1,""),"")</f>
        <v>0.35609334485739</v>
      </c>
      <c r="BE24" s="255">
        <f>IF(AND(ISNUMBER(BE23),ISNUMBER(AZ23)),IFERROR(BE23/AZ23-1,""),"")</f>
        <v>0.376352705410822</v>
      </c>
      <c r="BF24" s="255">
        <f>IF(AND(ISNUMBER(BF23),ISNUMBER(BA23)),IFERROR(BF23/BA23-1,""),"")</f>
        <v>0.320158816098177</v>
      </c>
      <c r="BG24" s="255">
        <f>IF(AND(ISNUMBER(BG23),ISNUMBER(BB23)),IFERROR(BG23/BB23-1,""),"")</f>
        <v>0.368322399250234</v>
      </c>
      <c r="BH24" s="255">
        <f>IF(AND(ISNUMBER(BH23),ISNUMBER(BC23)),IFERROR(BH23/BC23-1,""),"")</f>
        <v>0.28053599037966</v>
      </c>
      <c r="BI24" s="255">
        <f>IF(AND(ISNUMBER(BI23),ISNUMBER(BD23)),IFERROR(BI23/BD23-1,""),"")</f>
        <v>0.279636711281071</v>
      </c>
      <c r="BJ24" s="255">
        <f>IF(AND(ISNUMBER(BJ23),ISNUMBER(BE23)),IFERROR(BJ23/BE23-1,""),"")</f>
        <v>0.22466511357018</v>
      </c>
      <c r="BK24" s="255">
        <f>IF(AND(ISNUMBER(BK23),ISNUMBER(BF23)),IFERROR(BK23/BF23-1,""),"")</f>
        <v>0.256596035543404</v>
      </c>
      <c r="BL24" s="255">
        <f>IF(AND(ISNUMBER(BL23),ISNUMBER(BG23)),IFERROR(BL23/BG23-1,""),"")</f>
        <v>0.259056316590563</v>
      </c>
      <c r="BM24" s="255">
        <f>IF(AND(ISNUMBER(BM23),ISNUMBER(BH23)),IFERROR(BM23/BH23-1,""),"")</f>
        <v>0.2844110544674</v>
      </c>
      <c r="BN24" s="255">
        <f>IF(AND(ISNUMBER(BN23),ISNUMBER(BI23)),IFERROR(BN23/BI23-1,""),"")</f>
        <v>0.288382517743743</v>
      </c>
      <c r="BO24" s="255">
        <f>IF(AND(ISNUMBER(BO23),ISNUMBER(BJ23)),IFERROR(BO23/BJ23-1,""),"")</f>
        <v>0.34978004993461</v>
      </c>
      <c r="BP24" s="255">
        <f>IF(AND(ISNUMBER(BP23),ISNUMBER(BK23)),IFERROR(BP23/BK23-1,""),"")</f>
        <v>0.300587467362924</v>
      </c>
      <c r="BQ24" s="255">
        <f>IF(AND(ISNUMBER(BQ23),ISNUMBER(BL23)),IFERROR(BQ23/BL23-1,""),"")</f>
        <v>0.306485735009671</v>
      </c>
      <c r="BR24" s="255">
        <f>IF(AND(ISNUMBER(BR23),ISNUMBER(BM23)),IFERROR(BR23/BM23-1,""),"")</f>
        <v>0.280551493628577</v>
      </c>
      <c r="BS24" s="255">
        <f>IF(AND(ISNUMBER(BS23),ISNUMBER(BN23)),IFERROR(BS23/BN23-1,""),"")</f>
        <v>0.316710157533585</v>
      </c>
      <c r="BT24" s="255">
        <f>IF(AND(ISNUMBER(BT23),ISNUMBER(BO23)),IFERROR(BT23/BO23-1,""),"")</f>
        <v>0.335065621421651</v>
      </c>
      <c r="BU24" s="255">
        <f>IF(AND(ISNUMBER(BU23),ISNUMBER(BP23)),IFERROR(BU23/BP23-1,""),"")</f>
        <v>0.477540777917189</v>
      </c>
      <c r="BV24" s="255">
        <f>IF(AND(ISNUMBER(BV23),ISNUMBER(BQ23)),IFERROR(BV23/BQ23-1,""),"")</f>
        <v>0.358000416387148</v>
      </c>
      <c r="BW24" s="255">
        <f>IF(AND(ISNUMBER(BW23),ISNUMBER(BR23)),IFERROR(BW23/BR23-1,""),"")</f>
        <v>0.633605220228385</v>
      </c>
      <c r="BX24" s="255">
        <f>IF(AND(ISNUMBER(BX23),ISNUMBER(BS23)),IFERROR(BX23/BS23-1,""),"")</f>
        <v>0.817968291250734</v>
      </c>
      <c r="BY24" s="256">
        <f>BY25+BY97</f>
        <v>0.730644413537321</v>
      </c>
      <c r="BZ24" s="256">
        <f>BY25+BY97</f>
        <v>0.730644413537321</v>
      </c>
      <c r="CA24" s="256">
        <f>IF(AND(ISNUMBER(CA23),ISNUMBER(BV23)),IFERROR(CA23/BV23-1,""),"")</f>
        <v>0.73064441353732</v>
      </c>
      <c r="CB24" s="256">
        <f>CHOOSE(MATCH($CF$2,{"Bull","Base","Bear"},0),$CO$50,$CP$50,$CQ$50)</f>
        <v>0.45</v>
      </c>
      <c r="CC24" s="256">
        <f>CHOOSE(MATCH($CF$2,{"Bull","Base","Bear"},0),$CO$51,$CP$51,$CQ$51)</f>
        <v>0.32</v>
      </c>
      <c r="CD24" s="256">
        <f>CHOOSE(MATCH($CF$2,{"Bull","Base","Bear"},0),$CO$52,$CP$52,$CQ$52)</f>
        <v>0.25</v>
      </c>
      <c r="CE24" s="256">
        <f>CHOOSE(MATCH($CF$2,{"Bull","Base","Bear"},0),$CO$53,$CP$53,$CQ$53)</f>
        <v>0.2</v>
      </c>
      <c r="CF24" s="153" t="n"/>
      <c r="CH24" s="37">
        <f>IFERROR(AVERAGE(CA24,CB24,CC24,CD24,CE24),"n/m")</f>
        <v>0.390128882707464</v>
      </c>
      <c r="CI24" s="37">
        <f>IFERROR(AVERAGE(BB24,BG24,BL24,BQ24,BV24),"n/m")</f>
        <v>0.352514944501968</v>
      </c>
      <c r="CJ24" s="37">
        <f>IFERROR(AVERAGE(AC24,AH24,AM24,AR24,AW24,BB24,BG24,BL24,BQ24,BV24),"n/m")</f>
        <v>0.399230444156759</v>
      </c>
      <c r="CK24" s="37">
        <f>IFERROR(AVERAGE(C24,D24,E24,F24,G24,H24,I24,N24,S24,X24,AC24,AH24,AM24,AR24,AW24,BB24,BG24,BL24,BQ24,BV24),"n/m")</f>
        <v>0.399230444156759</v>
      </c>
      <c r="CN24" s="25" t="inlineStr">
        <is>
          <t xml:space="preserve">  Q3–Q4/26E preferred dividends accrued ($m per quarter)</t>
        </is>
      </c>
      <c r="CP24" s="258" t="n">
        <v>296.875</v>
      </c>
      <c r="CR24" s="13" t="inlineStr">
        <is>
          <t>6.25% × $19.0bn liquidation preference ÷ 4.</t>
        </is>
      </c>
    </row>
    <row r="25" ht="15" customHeight="1" s="251">
      <c r="B25" s="25" t="inlineStr">
        <is>
          <t xml:space="preserve">    1H26 y/y growth (Q3–Q4/26E driver before scenario shift)</t>
        </is>
      </c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  <c r="BI25" s="36" t="n"/>
      <c r="BJ25" s="36" t="n"/>
      <c r="BK25" s="36" t="n"/>
      <c r="BL25" s="36" t="n"/>
      <c r="BM25" s="36" t="n"/>
      <c r="BN25" s="36" t="n"/>
      <c r="BO25" s="36" t="n"/>
      <c r="BP25" s="36" t="n"/>
      <c r="BQ25" s="36" t="n"/>
      <c r="BR25" s="36" t="n"/>
      <c r="BS25" s="36" t="n"/>
      <c r="BT25" s="36" t="n"/>
      <c r="BU25" s="36" t="n"/>
      <c r="BV25" s="36" t="n"/>
      <c r="BW25" s="36" t="n"/>
      <c r="BX25" s="36" t="n"/>
      <c r="BY25" s="256">
        <f>IFERROR(SUM(BW23:BX23)/SUM(BR23:BS23)-1,0)</f>
        <v>0.730644413537321</v>
      </c>
      <c r="BZ25" s="256">
        <f>IFERROR(SUM(BW23:BX23)/SUM(BR23:BS23)-1,0)</f>
        <v>0.730644413537321</v>
      </c>
      <c r="CA25" s="24" t="n"/>
      <c r="CB25" s="46" t="n"/>
      <c r="CC25" s="46" t="n"/>
      <c r="CD25" s="46" t="n"/>
      <c r="CE25" s="46" t="n"/>
      <c r="CF25" s="19" t="n"/>
      <c r="CN25" s="25" t="inlineStr">
        <is>
          <t xml:space="preserve">  2H26E deferred income taxes ($m)</t>
        </is>
      </c>
      <c r="CP25" s="258" t="n">
        <v>0</v>
      </c>
      <c r="CR25" s="13" t="inlineStr">
        <is>
          <t>Not forecast (assumption).</t>
        </is>
      </c>
    </row>
    <row r="26" ht="15" customHeight="1" s="251">
      <c r="B26" s="25" t="inlineStr">
        <is>
          <t xml:space="preserve">  Other Bets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253" t="n">
        <v>12</v>
      </c>
      <c r="O26" s="34" t="n"/>
      <c r="P26" s="34" t="n"/>
      <c r="Q26" s="34" t="n"/>
      <c r="R26" s="34" t="n"/>
      <c r="S26" s="253" t="n">
        <v>327</v>
      </c>
      <c r="T26" s="253" t="n">
        <v>80</v>
      </c>
      <c r="U26" s="253" t="n">
        <v>74</v>
      </c>
      <c r="V26" s="253" t="n">
        <v>141</v>
      </c>
      <c r="W26" s="253" t="n">
        <v>150</v>
      </c>
      <c r="X26" s="253" t="n">
        <v>445</v>
      </c>
      <c r="Y26" s="253" t="n">
        <v>165</v>
      </c>
      <c r="Z26" s="253" t="n">
        <v>185</v>
      </c>
      <c r="AA26" s="253" t="n">
        <v>197</v>
      </c>
      <c r="AB26" s="253" t="n">
        <v>-259</v>
      </c>
      <c r="AC26" s="253" t="n">
        <v>288</v>
      </c>
      <c r="AD26" s="253" t="n">
        <v>132</v>
      </c>
      <c r="AE26" s="253" t="n">
        <v>97</v>
      </c>
      <c r="AF26" s="253" t="n">
        <v>117</v>
      </c>
      <c r="AG26" s="253" t="n">
        <v>131</v>
      </c>
      <c r="AH26" s="253" t="n">
        <v>477</v>
      </c>
      <c r="AI26" s="253" t="n">
        <v>150</v>
      </c>
      <c r="AJ26" s="253" t="n">
        <v>145</v>
      </c>
      <c r="AK26" s="253" t="n">
        <v>146</v>
      </c>
      <c r="AL26" s="253" t="n">
        <v>154</v>
      </c>
      <c r="AM26" s="253" t="n">
        <v>595</v>
      </c>
      <c r="AN26" s="253" t="n">
        <v>170</v>
      </c>
      <c r="AO26" s="253" t="n">
        <v>162</v>
      </c>
      <c r="AP26" s="253" t="n">
        <v>155</v>
      </c>
      <c r="AQ26" s="253" t="n">
        <v>172</v>
      </c>
      <c r="AR26" s="253" t="n">
        <v>659</v>
      </c>
      <c r="AS26" s="253" t="n">
        <v>135</v>
      </c>
      <c r="AT26" s="253" t="n">
        <v>148</v>
      </c>
      <c r="AU26" s="253" t="n">
        <v>178</v>
      </c>
      <c r="AV26" s="253" t="n">
        <v>196</v>
      </c>
      <c r="AW26" s="253" t="n">
        <v>657</v>
      </c>
      <c r="AX26" s="253" t="n">
        <v>198</v>
      </c>
      <c r="AY26" s="253" t="n">
        <v>192</v>
      </c>
      <c r="AZ26" s="253" t="n">
        <v>182</v>
      </c>
      <c r="BA26" s="253" t="n">
        <v>181</v>
      </c>
      <c r="BB26" s="253" t="n">
        <v>753</v>
      </c>
      <c r="BC26" s="253" t="n">
        <v>440</v>
      </c>
      <c r="BD26" s="253" t="n">
        <v>193</v>
      </c>
      <c r="BE26" s="253" t="n">
        <v>209</v>
      </c>
      <c r="BF26" s="253" t="n">
        <v>226</v>
      </c>
      <c r="BG26" s="253" t="n">
        <v>1068</v>
      </c>
      <c r="BH26" s="253" t="n">
        <v>288</v>
      </c>
      <c r="BI26" s="253" t="n">
        <v>285</v>
      </c>
      <c r="BJ26" s="253" t="n">
        <v>297</v>
      </c>
      <c r="BK26" s="253" t="n">
        <v>657</v>
      </c>
      <c r="BL26" s="253" t="n">
        <v>1527</v>
      </c>
      <c r="BM26" s="253" t="n">
        <v>495</v>
      </c>
      <c r="BN26" s="253" t="n">
        <v>365</v>
      </c>
      <c r="BO26" s="253" t="n">
        <v>388</v>
      </c>
      <c r="BP26" s="253" t="n">
        <v>400</v>
      </c>
      <c r="BQ26" s="253" t="n">
        <v>1648</v>
      </c>
      <c r="BR26" s="253" t="n">
        <v>450</v>
      </c>
      <c r="BS26" s="253" t="n">
        <v>373</v>
      </c>
      <c r="BT26" s="253" t="n">
        <v>344</v>
      </c>
      <c r="BU26" s="253" t="n">
        <v>370</v>
      </c>
      <c r="BV26" s="253" t="n">
        <v>1537</v>
      </c>
      <c r="BW26" s="253" t="n">
        <v>411</v>
      </c>
      <c r="BX26" s="253" t="n">
        <v>382</v>
      </c>
      <c r="BY26" s="254">
        <f>BT26*(1+BY27)</f>
        <v>331.460510328068</v>
      </c>
      <c r="BZ26" s="254">
        <f>BU26*(1+BZ27)</f>
        <v>356.512758201701</v>
      </c>
      <c r="CA26" s="254">
        <f>SUM(BW26:BZ26)</f>
        <v>1480.97326852977</v>
      </c>
      <c r="CB26" s="254">
        <f>CA26*(1+CB27)</f>
        <v>1036.68128797084</v>
      </c>
      <c r="CC26" s="254">
        <f>CB26*(1+CC27)</f>
        <v>1295.85160996355</v>
      </c>
      <c r="CD26" s="254">
        <f>CC26*(1+CD27)</f>
        <v>1619.81451245443</v>
      </c>
      <c r="CE26" s="254">
        <f>CD26*(1+CE27)</f>
        <v>2024.76814056804</v>
      </c>
      <c r="CF26" s="19" t="inlineStr">
        <is>
          <t>Other Bets segment revenues (from FY2015; recast basis where presented).</t>
        </is>
      </c>
    </row>
    <row r="27" ht="15" customHeight="1" s="251">
      <c r="B27" s="22" t="inlineStr">
        <is>
          <t xml:space="preserve">    y/y %</t>
        </is>
      </c>
      <c r="C27" s="23" t="n"/>
      <c r="D27" s="255">
        <f>IF(AND(ISNUMBER(D26),ISNUMBER(C26)),IFERROR(D26/C26-1,""),"")</f>
      </c>
      <c r="E27" s="255">
        <f>IF(AND(ISNUMBER(E26),ISNUMBER(D26)),IFERROR(E26/D26-1,""),"")</f>
      </c>
      <c r="F27" s="255">
        <f>IF(AND(ISNUMBER(F26),ISNUMBER(E26)),IFERROR(F26/E26-1,""),"")</f>
      </c>
      <c r="G27" s="255">
        <f>IF(AND(ISNUMBER(G26),ISNUMBER(F26)),IFERROR(G26/F26-1,""),"")</f>
      </c>
      <c r="H27" s="255">
        <f>IF(AND(ISNUMBER(H26),ISNUMBER(G26)),IFERROR(H26/G26-1,""),"")</f>
      </c>
      <c r="I27" s="255">
        <f>IF(AND(ISNUMBER(I26),ISNUMBER(H26)),IFERROR(I26/H26-1,""),"")</f>
      </c>
      <c r="J27" s="23" t="n"/>
      <c r="K27" s="23" t="n"/>
      <c r="L27" s="23" t="n"/>
      <c r="M27" s="23" t="n"/>
      <c r="N27" s="255">
        <f>IF(AND(ISNUMBER(N26),ISNUMBER(I26)),IFERROR(N26/I26-1,""),"")</f>
      </c>
      <c r="O27" s="255">
        <f>IF(AND(ISNUMBER(O26),ISNUMBER(J26)),IFERROR(O26/J26-1,""),"")</f>
      </c>
      <c r="P27" s="255">
        <f>IF(AND(ISNUMBER(P26),ISNUMBER(K26)),IFERROR(P26/K26-1,""),"")</f>
      </c>
      <c r="Q27" s="255">
        <f>IF(AND(ISNUMBER(Q26),ISNUMBER(L26)),IFERROR(Q26/L26-1,""),"")</f>
      </c>
      <c r="R27" s="255">
        <f>IF(AND(ISNUMBER(R26),ISNUMBER(M26)),IFERROR(R26/M26-1,""),"")</f>
      </c>
      <c r="S27" s="255">
        <f>IF(AND(ISNUMBER(S26),ISNUMBER(N26)),IFERROR(S26/N26-1,""),"")</f>
        <v>26.25</v>
      </c>
      <c r="T27" s="255">
        <f>IF(AND(ISNUMBER(T26),ISNUMBER(O26)),IFERROR(T26/O26-1,""),"")</f>
      </c>
      <c r="U27" s="255">
        <f>IF(AND(ISNUMBER(U26),ISNUMBER(P26)),IFERROR(U26/P26-1,""),"")</f>
      </c>
      <c r="V27" s="255">
        <f>IF(AND(ISNUMBER(V26),ISNUMBER(Q26)),IFERROR(V26/Q26-1,""),"")</f>
      </c>
      <c r="W27" s="255">
        <f>IF(AND(ISNUMBER(W26),ISNUMBER(R26)),IFERROR(W26/R26-1,""),"")</f>
      </c>
      <c r="X27" s="255">
        <f>IF(AND(ISNUMBER(X26),ISNUMBER(S26)),IFERROR(X26/S26-1,""),"")</f>
        <v>0.36085626911315</v>
      </c>
      <c r="Y27" s="255">
        <f>IF(AND(ISNUMBER(Y26),ISNUMBER(T26)),IFERROR(Y26/T26-1,""),"")</f>
        <v>1.0625</v>
      </c>
      <c r="Z27" s="255">
        <f>IF(AND(ISNUMBER(Z26),ISNUMBER(U26)),IFERROR(Z26/U26-1,""),"")</f>
        <v>1.5</v>
      </c>
      <c r="AA27" s="255">
        <f>IF(AND(ISNUMBER(AA26),ISNUMBER(V26)),IFERROR(AA26/V26-1,""),"")</f>
        <v>0.397163120567376</v>
      </c>
      <c r="AB27" s="255">
        <f>IF(AND(ISNUMBER(AB26),ISNUMBER(W26)),IFERROR(AB26/W26-1,""),"")</f>
        <v>-2.72666666666667</v>
      </c>
      <c r="AC27" s="255">
        <f>IF(AND(ISNUMBER(AC26),ISNUMBER(X26)),IFERROR(AC26/X26-1,""),"")</f>
        <v>-0.352808988764045</v>
      </c>
      <c r="AD27" s="255">
        <f>IF(AND(ISNUMBER(AD26),ISNUMBER(Y26)),IFERROR(AD26/Y26-1,""),"")</f>
        <v>-0.2</v>
      </c>
      <c r="AE27" s="255">
        <f>IF(AND(ISNUMBER(AE26),ISNUMBER(Z26)),IFERROR(AE26/Z26-1,""),"")</f>
        <v>-0.475675675675676</v>
      </c>
      <c r="AF27" s="255">
        <f>IF(AND(ISNUMBER(AF26),ISNUMBER(AA26)),IFERROR(AF26/AA26-1,""),"")</f>
        <v>-0.406091370558376</v>
      </c>
      <c r="AG27" s="255">
        <f>IF(AND(ISNUMBER(AG26),ISNUMBER(AB26)),IFERROR(AG26/AB26-1,""),"")</f>
        <v>-1.50579150579151</v>
      </c>
      <c r="AH27" s="255">
        <f>IF(AND(ISNUMBER(AH26),ISNUMBER(AC26)),IFERROR(AH26/AC26-1,""),"")</f>
        <v>0.65625</v>
      </c>
      <c r="AI27" s="255">
        <f>IF(AND(ISNUMBER(AI26),ISNUMBER(AD26)),IFERROR(AI26/AD26-1,""),"")</f>
        <v>0.136363636363636</v>
      </c>
      <c r="AJ27" s="255">
        <f>IF(AND(ISNUMBER(AJ26),ISNUMBER(AE26)),IFERROR(AJ26/AE26-1,""),"")</f>
        <v>0.494845360824742</v>
      </c>
      <c r="AK27" s="255">
        <f>IF(AND(ISNUMBER(AK26),ISNUMBER(AF26)),IFERROR(AK26/AF26-1,""),"")</f>
        <v>0.247863247863248</v>
      </c>
      <c r="AL27" s="255">
        <f>IF(AND(ISNUMBER(AL26),ISNUMBER(AG26)),IFERROR(AL26/AG26-1,""),"")</f>
        <v>0.175572519083969</v>
      </c>
      <c r="AM27" s="255">
        <f>IF(AND(ISNUMBER(AM26),ISNUMBER(AH26)),IFERROR(AM26/AH26-1,""),"")</f>
        <v>0.247379454926625</v>
      </c>
      <c r="AN27" s="255">
        <f>IF(AND(ISNUMBER(AN26),ISNUMBER(AI26)),IFERROR(AN26/AI26-1,""),"")</f>
        <v>0.133333333333333</v>
      </c>
      <c r="AO27" s="255">
        <f>IF(AND(ISNUMBER(AO26),ISNUMBER(AJ26)),IFERROR(AO26/AJ26-1,""),"")</f>
        <v>0.117241379310345</v>
      </c>
      <c r="AP27" s="255">
        <f>IF(AND(ISNUMBER(AP26),ISNUMBER(AK26)),IFERROR(AP26/AK26-1,""),"")</f>
        <v>0.0616438356164384</v>
      </c>
      <c r="AQ27" s="255">
        <f>IF(AND(ISNUMBER(AQ26),ISNUMBER(AL26)),IFERROR(AQ26/AL26-1,""),"")</f>
        <v>0.116883116883117</v>
      </c>
      <c r="AR27" s="255">
        <f>IF(AND(ISNUMBER(AR26),ISNUMBER(AM26)),IFERROR(AR26/AM26-1,""),"")</f>
        <v>0.107563025210084</v>
      </c>
      <c r="AS27" s="255">
        <f>IF(AND(ISNUMBER(AS26),ISNUMBER(AN26)),IFERROR(AS26/AN26-1,""),"")</f>
        <v>-0.205882352941177</v>
      </c>
      <c r="AT27" s="255">
        <f>IF(AND(ISNUMBER(AT26),ISNUMBER(AO26)),IFERROR(AT26/AO26-1,""),"")</f>
        <v>-0.0864197530864198</v>
      </c>
      <c r="AU27" s="255">
        <f>IF(AND(ISNUMBER(AU26),ISNUMBER(AP26)),IFERROR(AU26/AP26-1,""),"")</f>
        <v>0.148387096774194</v>
      </c>
      <c r="AV27" s="255">
        <f>IF(AND(ISNUMBER(AV26),ISNUMBER(AQ26)),IFERROR(AV26/AQ26-1,""),"")</f>
        <v>0.13953488372093</v>
      </c>
      <c r="AW27" s="255">
        <f>IF(AND(ISNUMBER(AW26),ISNUMBER(AR26)),IFERROR(AW26/AR26-1,""),"")</f>
        <v>-0.00303490136570561</v>
      </c>
      <c r="AX27" s="255">
        <f>IF(AND(ISNUMBER(AX26),ISNUMBER(AS26)),IFERROR(AX26/AS26-1,""),"")</f>
        <v>0.466666666666667</v>
      </c>
      <c r="AY27" s="255">
        <f>IF(AND(ISNUMBER(AY26),ISNUMBER(AT26)),IFERROR(AY26/AT26-1,""),"")</f>
        <v>0.297297297297297</v>
      </c>
      <c r="AZ27" s="255">
        <f>IF(AND(ISNUMBER(AZ26),ISNUMBER(AU26)),IFERROR(AZ26/AU26-1,""),"")</f>
        <v>0.0224719101123596</v>
      </c>
      <c r="BA27" s="255">
        <f>IF(AND(ISNUMBER(BA26),ISNUMBER(AV26)),IFERROR(BA26/AV26-1,""),"")</f>
        <v>-0.076530612244898</v>
      </c>
      <c r="BB27" s="255">
        <f>IF(AND(ISNUMBER(BB26),ISNUMBER(AW26)),IFERROR(BB26/AW26-1,""),"")</f>
        <v>0.146118721461187</v>
      </c>
      <c r="BC27" s="255">
        <f>IF(AND(ISNUMBER(BC26),ISNUMBER(AX26)),IFERROR(BC26/AX26-1,""),"")</f>
        <v>1.22222222222222</v>
      </c>
      <c r="BD27" s="255">
        <f>IF(AND(ISNUMBER(BD26),ISNUMBER(AY26)),IFERROR(BD26/AY26-1,""),"")</f>
        <v>0.00520833333333326</v>
      </c>
      <c r="BE27" s="255">
        <f>IF(AND(ISNUMBER(BE26),ISNUMBER(AZ26)),IFERROR(BE26/AZ26-1,""),"")</f>
        <v>0.148351648351648</v>
      </c>
      <c r="BF27" s="255">
        <f>IF(AND(ISNUMBER(BF26),ISNUMBER(BA26)),IFERROR(BF26/BA26-1,""),"")</f>
        <v>0.248618784530387</v>
      </c>
      <c r="BG27" s="255">
        <f>IF(AND(ISNUMBER(BG26),ISNUMBER(BB26)),IFERROR(BG26/BB26-1,""),"")</f>
        <v>0.418326693227092</v>
      </c>
      <c r="BH27" s="255">
        <f>IF(AND(ISNUMBER(BH26),ISNUMBER(BC26)),IFERROR(BH26/BC26-1,""),"")</f>
        <v>-0.345454545454545</v>
      </c>
      <c r="BI27" s="255">
        <f>IF(AND(ISNUMBER(BI26),ISNUMBER(BD26)),IFERROR(BI26/BD26-1,""),"")</f>
        <v>0.476683937823834</v>
      </c>
      <c r="BJ27" s="255">
        <f>IF(AND(ISNUMBER(BJ26),ISNUMBER(BE26)),IFERROR(BJ26/BE26-1,""),"")</f>
        <v>0.421052631578947</v>
      </c>
      <c r="BK27" s="255">
        <f>IF(AND(ISNUMBER(BK26),ISNUMBER(BF26)),IFERROR(BK26/BF26-1,""),"")</f>
        <v>1.9070796460177</v>
      </c>
      <c r="BL27" s="255">
        <f>IF(AND(ISNUMBER(BL26),ISNUMBER(BG26)),IFERROR(BL26/BG26-1,""),"")</f>
        <v>0.429775280898876</v>
      </c>
      <c r="BM27" s="255">
        <f>IF(AND(ISNUMBER(BM26),ISNUMBER(BH26)),IFERROR(BM26/BH26-1,""),"")</f>
        <v>0.71875</v>
      </c>
      <c r="BN27" s="255">
        <f>IF(AND(ISNUMBER(BN26),ISNUMBER(BI26)),IFERROR(BN26/BI26-1,""),"")</f>
        <v>0.280701754385965</v>
      </c>
      <c r="BO27" s="255">
        <f>IF(AND(ISNUMBER(BO26),ISNUMBER(BJ26)),IFERROR(BO26/BJ26-1,""),"")</f>
        <v>0.306397306397306</v>
      </c>
      <c r="BP27" s="255">
        <f>IF(AND(ISNUMBER(BP26),ISNUMBER(BK26)),IFERROR(BP26/BK26-1,""),"")</f>
        <v>-0.39117199391172</v>
      </c>
      <c r="BQ27" s="255">
        <f>IF(AND(ISNUMBER(BQ26),ISNUMBER(BL26)),IFERROR(BQ26/BL26-1,""),"")</f>
        <v>0.0792403405370006</v>
      </c>
      <c r="BR27" s="255">
        <f>IF(AND(ISNUMBER(BR26),ISNUMBER(BM26)),IFERROR(BR26/BM26-1,""),"")</f>
        <v>-0.0909090909090909</v>
      </c>
      <c r="BS27" s="255">
        <f>IF(AND(ISNUMBER(BS26),ISNUMBER(BN26)),IFERROR(BS26/BN26-1,""),"")</f>
        <v>0.021917808219178</v>
      </c>
      <c r="BT27" s="255">
        <f>IF(AND(ISNUMBER(BT26),ISNUMBER(BO26)),IFERROR(BT26/BO26-1,""),"")</f>
        <v>-0.11340206185567</v>
      </c>
      <c r="BU27" s="255">
        <f>IF(AND(ISNUMBER(BU26),ISNUMBER(BP26)),IFERROR(BU26/BP26-1,""),"")</f>
        <v>-0.075</v>
      </c>
      <c r="BV27" s="255">
        <f>IF(AND(ISNUMBER(BV26),ISNUMBER(BQ26)),IFERROR(BV26/BQ26-1,""),"")</f>
        <v>-0.0673543689320388</v>
      </c>
      <c r="BW27" s="255">
        <f>IF(AND(ISNUMBER(BW26),ISNUMBER(BR26)),IFERROR(BW26/BR26-1,""),"")</f>
        <v>-0.0866666666666667</v>
      </c>
      <c r="BX27" s="255">
        <f>IF(AND(ISNUMBER(BX26),ISNUMBER(BS26)),IFERROR(BX26/BS26-1,""),"")</f>
        <v>0.0241286863270778</v>
      </c>
      <c r="BY27" s="256">
        <f>BY28+BY97</f>
        <v>-0.0364520048602673</v>
      </c>
      <c r="BZ27" s="256">
        <f>BY28+BY97</f>
        <v>-0.0364520048602673</v>
      </c>
      <c r="CA27" s="256">
        <f>IF(AND(ISNUMBER(CA26),ISNUMBER(BV26)),IFERROR(CA26/BV26-1,""),"")</f>
        <v>-0.0364520048602673</v>
      </c>
      <c r="CB27" s="256">
        <f>CHOOSE(MATCH($CF$2,{"Bull","Base","Bear"},0),$CO$55,$CP$55,$CQ$55)</f>
        <v>-0.3</v>
      </c>
      <c r="CC27" s="256">
        <f>CHOOSE(MATCH($CF$2,{"Bull","Base","Bear"},0),$CO$56,$CP$56,$CQ$56)</f>
        <v>0.25</v>
      </c>
      <c r="CD27" s="256">
        <f>CHOOSE(MATCH($CF$2,{"Bull","Base","Bear"},0),$CO$57,$CP$57,$CQ$57)</f>
        <v>0.25</v>
      </c>
      <c r="CE27" s="256">
        <f>CHOOSE(MATCH($CF$2,{"Bull","Base","Bear"},0),$CO$58,$CP$58,$CQ$58)</f>
        <v>0.25</v>
      </c>
      <c r="CF27" s="153" t="n"/>
      <c r="CN27" s="25" t="inlineStr">
        <is>
          <t xml:space="preserve">  Target net debt / adjusted EBITDA (x; negative = net-cash floor) — buyback plug 2027E+</t>
        </is>
      </c>
      <c r="CO27" s="259" t="n">
        <v>-0.1</v>
      </c>
      <c r="CP27" s="259" t="n">
        <v>-0.25</v>
      </c>
      <c r="CQ27" s="259" t="n">
        <v>-0.4</v>
      </c>
      <c r="CR27" s="13" t="inlineStr">
        <is>
          <t>Alphabet is net cash ($142bn at 30-Jun-2026 after the $49.6bn equity raise; $100bn of debt vs $242bn of cash and marketable securities). Negative target = net-cash floor: buybacks return liquidity above |x| × adjusted EBITDA. Bull −0.10x (more buybacks), Base −0.25x, Bear −0.40x (assumption).</t>
        </is>
      </c>
    </row>
    <row r="28" ht="15" customHeight="1" s="251">
      <c r="B28" s="25" t="inlineStr">
        <is>
          <t xml:space="preserve">    1H26 y/y growth (Q3–Q4/26E driver before scenario shift)</t>
        </is>
      </c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  <c r="AU28" s="36" t="n"/>
      <c r="AV28" s="36" t="n"/>
      <c r="AW28" s="36" t="n"/>
      <c r="AX28" s="36" t="n"/>
      <c r="AY28" s="36" t="n"/>
      <c r="AZ28" s="36" t="n"/>
      <c r="BA28" s="36" t="n"/>
      <c r="BB28" s="36" t="n"/>
      <c r="BC28" s="36" t="n"/>
      <c r="BD28" s="36" t="n"/>
      <c r="BE28" s="36" t="n"/>
      <c r="BF28" s="36" t="n"/>
      <c r="BG28" s="36" t="n"/>
      <c r="BH28" s="36" t="n"/>
      <c r="BI28" s="36" t="n"/>
      <c r="BJ28" s="36" t="n"/>
      <c r="BK28" s="36" t="n"/>
      <c r="BL28" s="36" t="n"/>
      <c r="BM28" s="36" t="n"/>
      <c r="BN28" s="36" t="n"/>
      <c r="BO28" s="36" t="n"/>
      <c r="BP28" s="36" t="n"/>
      <c r="BQ28" s="36" t="n"/>
      <c r="BR28" s="36" t="n"/>
      <c r="BS28" s="36" t="n"/>
      <c r="BT28" s="36" t="n"/>
      <c r="BU28" s="36" t="n"/>
      <c r="BV28" s="36" t="n"/>
      <c r="BW28" s="36" t="n"/>
      <c r="BX28" s="36" t="n"/>
      <c r="BY28" s="256">
        <f>IFERROR(SUM(BW26:BX26)/SUM(BR26:BS26)-1,0)</f>
        <v>-0.0364520048602673</v>
      </c>
      <c r="BZ28" s="256">
        <f>IFERROR(SUM(BW26:BX26)/SUM(BR26:BS26)-1,0)</f>
        <v>-0.0364520048602673</v>
      </c>
      <c r="CA28" s="24" t="n"/>
      <c r="CB28" s="46" t="n"/>
      <c r="CC28" s="46" t="n"/>
      <c r="CD28" s="46" t="n"/>
      <c r="CE28" s="46" t="n"/>
      <c r="CF28" s="19" t="n"/>
    </row>
    <row r="29" ht="15" customHeight="1" s="251">
      <c r="B29" s="25" t="inlineStr">
        <is>
          <t xml:space="preserve">  Hedging gains (losses) (not allocated to segments; derived = revenues − segment revenues)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253" t="n">
        <v>-138</v>
      </c>
      <c r="AN29" s="34" t="n"/>
      <c r="AO29" s="34" t="n"/>
      <c r="AP29" s="34" t="n"/>
      <c r="AQ29" s="34" t="n"/>
      <c r="AR29" s="253" t="n">
        <v>455</v>
      </c>
      <c r="AS29" s="253" t="n">
        <v>49</v>
      </c>
      <c r="AT29" s="253" t="n">
        <v>151</v>
      </c>
      <c r="AU29" s="253" t="n">
        <v>-22</v>
      </c>
      <c r="AV29" s="253" t="n">
        <v>-2</v>
      </c>
      <c r="AW29" s="253" t="n">
        <v>176</v>
      </c>
      <c r="AX29" s="253" t="n">
        <v>-109</v>
      </c>
      <c r="AY29" s="253" t="n">
        <v>-7</v>
      </c>
      <c r="AZ29" s="253" t="n">
        <v>62</v>
      </c>
      <c r="BA29" s="253" t="n">
        <v>203</v>
      </c>
      <c r="BB29" s="253" t="n">
        <v>149</v>
      </c>
      <c r="BC29" s="253" t="n">
        <v>278</v>
      </c>
      <c r="BD29" s="253" t="n">
        <v>375</v>
      </c>
      <c r="BE29" s="253" t="n">
        <v>638</v>
      </c>
      <c r="BF29" s="253" t="n">
        <v>669</v>
      </c>
      <c r="BG29" s="253" t="n">
        <v>1960</v>
      </c>
      <c r="BH29" s="253" t="n">
        <v>84</v>
      </c>
      <c r="BI29" s="253" t="n">
        <v>3</v>
      </c>
      <c r="BJ29" s="253" t="n">
        <v>-1</v>
      </c>
      <c r="BK29" s="253" t="n">
        <v>150</v>
      </c>
      <c r="BL29" s="253" t="n">
        <v>236</v>
      </c>
      <c r="BM29" s="253" t="n">
        <v>72</v>
      </c>
      <c r="BN29" s="253" t="n">
        <v>102</v>
      </c>
      <c r="BO29" s="253" t="n">
        <v>17</v>
      </c>
      <c r="BP29" s="253" t="n">
        <v>20</v>
      </c>
      <c r="BQ29" s="253" t="n">
        <v>211</v>
      </c>
      <c r="BR29" s="253" t="n">
        <v>260</v>
      </c>
      <c r="BS29" s="253" t="n">
        <v>-112</v>
      </c>
      <c r="BT29" s="253" t="n">
        <v>-207</v>
      </c>
      <c r="BU29" s="253" t="n">
        <v>-67</v>
      </c>
      <c r="BV29" s="253" t="n">
        <v>-127</v>
      </c>
      <c r="BW29" s="253" t="n">
        <v>-180</v>
      </c>
      <c r="BX29" s="253" t="n">
        <v>106</v>
      </c>
      <c r="BY29" s="254">
        <f>0</f>
        <v>0</v>
      </c>
      <c r="BZ29" s="254">
        <f>0</f>
        <v>0</v>
      </c>
      <c r="CA29" s="254">
        <f>SUM(BW29:BZ29)</f>
        <v>-74</v>
      </c>
      <c r="CB29" s="254">
        <f>0</f>
        <v>0</v>
      </c>
      <c r="CC29" s="254">
        <f>0</f>
        <v>0</v>
      </c>
      <c r="CD29" s="254">
        <f>0</f>
        <v>0</v>
      </c>
      <c r="CE29" s="254">
        <f>0</f>
        <v>0</v>
      </c>
      <c r="CF29" s="19" t="inlineStr">
        <is>
          <t>Cash-flow hedging gains / losses recorded in revenues (Alphabet-level). Forecast nil.</t>
        </is>
      </c>
      <c r="CN29" s="15" t="inlineStr">
        <is>
          <t>SEARCH (Google Search &amp; other y/y)</t>
        </is>
      </c>
      <c r="CO29" s="41" t="n">
        <v>0.02</v>
      </c>
      <c r="CP29" s="21" t="inlineStr">
        <is>
          <t>Δ →</t>
        </is>
      </c>
      <c r="CQ29" s="41" t="n">
        <v>-0.04</v>
      </c>
      <c r="CR29" s="13" t="inlineStr">
        <is>
          <t>1H26 +17.9% (FY2025 +13.4%, FY2024 +13.2%); AI Overviews / AI Mode monetisation vs competition from AI assistants. Assumption.</t>
        </is>
      </c>
    </row>
    <row r="30" ht="15" customHeight="1" s="251">
      <c r="B30" s="25" t="inlineStr">
        <is>
          <t xml:space="preserve">  Revenues not split on the current taxonomy / basis differences (derived)</t>
        </is>
      </c>
      <c r="C30" s="211">
        <f>IF(ISNUMBER(C132),C132-(N(C11)+N(C14)+N(C17)+N(C20)+N(C23)+N(C26)+N(C29)),"")</f>
        <v>10604.917</v>
      </c>
      <c r="D30" s="211">
        <f>IF(ISNUMBER(D132),D132-(N(D11)+N(D14)+N(D17)+N(D20)+N(D23)+N(D26)+N(D29)),"")</f>
        <v>16593.986</v>
      </c>
      <c r="E30" s="211">
        <f>IF(ISNUMBER(E132),E132-(N(E11)+N(E14)+N(E17)+N(E20)+N(E23)+N(E26)+N(E29)),"")</f>
        <v>21795.55</v>
      </c>
      <c r="F30" s="211">
        <f>IF(ISNUMBER(F132),F132-(N(F11)+N(F14)+N(F17)+N(F20)+N(F23)+N(F26)+N(F29)),"")</f>
        <v>23650.563</v>
      </c>
      <c r="G30" s="211">
        <f>IF(ISNUMBER(G132),G132-(N(G11)+N(G14)+N(G17)+N(G20)+N(G23)+N(G26)+N(G29)),"")</f>
        <v>29321</v>
      </c>
      <c r="H30" s="211">
        <f>IF(ISNUMBER(H132),H132-(N(H11)+N(H14)+N(H17)+N(H20)+N(H23)+N(H26)+N(H29)),"")</f>
        <v>37905</v>
      </c>
      <c r="I30" s="211">
        <f>IF(ISNUMBER(I132),I132-(N(I11)+N(I14)+N(I17)+N(I20)+N(I23)+N(I26)+N(I29)),"")</f>
        <v>50175</v>
      </c>
      <c r="J30" s="211">
        <f>IF(ISNUMBER(J132),J132-(N(J11)+N(J14)+N(J17)+N(J20)+N(J23)+N(J26)+N(J29)),"")</f>
        <v>13969</v>
      </c>
      <c r="K30" s="211">
        <f>IF(ISNUMBER(K132),K132-(N(K11)+N(K14)+N(K17)+N(K20)+N(K23)+N(K26)+N(K29)),"")</f>
        <v>14105</v>
      </c>
      <c r="L30" s="211">
        <f>IF(ISNUMBER(L132),L132-(N(L11)+N(L14)+N(L17)+N(L20)+N(L23)+N(L26)+N(L29)),"")</f>
        <v>14893</v>
      </c>
      <c r="M30" s="211">
        <f>IF(ISNUMBER(M132),M132-(N(M11)+N(M14)+N(M17)+N(M20)+N(M23)+N(M26)+N(M29)),"")</f>
        <v>16858</v>
      </c>
      <c r="N30" s="211">
        <f>IF(ISNUMBER(N132),N132-(N(N11)+N(N14)+N(N17)+N(N20)+N(N23)+N(N26)+N(N29)),"")</f>
        <v>59813</v>
      </c>
      <c r="O30" s="211">
        <f>IF(ISNUMBER(O132),O132-(N(O11)+N(O14)+N(O17)+N(O20)+N(O23)+N(O26)+N(O29)),"")</f>
        <v>15420</v>
      </c>
      <c r="P30" s="211">
        <f>IF(ISNUMBER(P132),P132-(N(P11)+N(P14)+N(P17)+N(P20)+N(P23)+N(P26)+N(P29)),"")</f>
        <v>15955</v>
      </c>
      <c r="Q30" s="211">
        <f>IF(ISNUMBER(Q132),Q132-(N(Q11)+N(Q14)+N(Q17)+N(Q20)+N(Q23)+N(Q26)+N(Q29)),"")</f>
        <v>16523</v>
      </c>
      <c r="R30" s="211">
        <f>IF(ISNUMBER(R132),R132-(N(R11)+N(R14)+N(R17)+N(R20)+N(R23)+N(R26)+N(R29)),"")</f>
        <v>18103</v>
      </c>
      <c r="S30" s="211">
        <f>IF(ISNUMBER(S132),S132-(N(S11)+N(S14)+N(S17)+N(S20)+N(S23)+N(S26)+N(S29)),"")</f>
        <v>65674</v>
      </c>
      <c r="T30" s="211">
        <f>IF(ISNUMBER(T132),T132-(N(T11)+N(T14)+N(T17)+N(T20)+N(T23)+N(T26)+N(T29)),"")</f>
        <v>17178</v>
      </c>
      <c r="U30" s="211">
        <f>IF(ISNUMBER(U132),U132-(N(U11)+N(U14)+N(U17)+N(U20)+N(U23)+N(U26)+N(U29)),"")</f>
        <v>17653</v>
      </c>
      <c r="V30" s="211">
        <f>IF(ISNUMBER(V132),V132-(N(V11)+N(V14)+N(V17)+N(V20)+N(V23)+N(V26)+N(V29)),"")</f>
        <v>18534</v>
      </c>
      <c r="W30" s="211">
        <f>IF(ISNUMBER(W132),W132-(N(W11)+N(W14)+N(W17)+N(W20)+N(W23)+N(W26)+N(W29)),"")</f>
        <v>21179</v>
      </c>
      <c r="X30" s="211">
        <f>IF(ISNUMBER(X132),X132-(N(X11)+N(X14)+N(X17)+N(X20)+N(X23)+N(X26)+N(X29)),"")</f>
        <v>74544</v>
      </c>
      <c r="Y30" s="211">
        <f>IF(ISNUMBER(Y132),Y132-(N(Y11)+N(Y14)+N(Y17)+N(Y20)+N(Y23)+N(Y26)+N(Y29)),"")</f>
        <v>20092</v>
      </c>
      <c r="Z30" s="211">
        <f>IF(ISNUMBER(Z132),Z132-(N(Z11)+N(Z14)+N(Z17)+N(Z20)+N(Z23)+N(Z26)+N(Z29)),"")</f>
        <v>21315</v>
      </c>
      <c r="AA30" s="211">
        <f>IF(ISNUMBER(AA132),AA132-(N(AA11)+N(AA14)+N(AA17)+N(AA20)+N(AA23)+N(AA26)+N(AA29)),"")</f>
        <v>22254</v>
      </c>
      <c r="AB30" s="211">
        <f>IF(ISNUMBER(AB132),AB132-(N(AB11)+N(AB14)+N(AB17)+N(AB20)+N(AB23)+N(AB26)+N(AB29)),"")</f>
        <v>26323</v>
      </c>
      <c r="AC30" s="211">
        <f>IF(ISNUMBER(AC132),AC132-(N(AC11)+N(AC14)+N(AC17)+N(AC20)+N(AC23)+N(AC26)+N(AC29)),"")</f>
        <v>89984</v>
      </c>
      <c r="AD30" s="211">
        <f>IF(ISNUMBER(AD132),AD132-(N(AD11)+N(AD14)+N(AD17)+N(AD20)+N(AD23)+N(AD26)+N(AD29)),"")</f>
        <v>24618</v>
      </c>
      <c r="AE30" s="211">
        <f>IF(ISNUMBER(AE132),AE132-(N(AE11)+N(AE14)+N(AE17)+N(AE20)+N(AE23)+N(AE26)+N(AE29)),"")</f>
        <v>25913</v>
      </c>
      <c r="AF30" s="211">
        <f>IF(ISNUMBER(AF132),AF132-(N(AF11)+N(AF14)+N(AF17)+N(AF20)+N(AF23)+N(AF26)+N(AF29)),"")</f>
        <v>27655</v>
      </c>
      <c r="AG30" s="211">
        <f>IF(ISNUMBER(AG132),AG132-(N(AG11)+N(AG14)+N(AG17)+N(AG20)+N(AG23)+N(AG26)+N(AG29)),"")</f>
        <v>32192</v>
      </c>
      <c r="AH30" s="211">
        <f>IF(ISNUMBER(AH132),AH132-(N(AH11)+N(AH14)+N(AH17)+N(AH20)+N(AH23)+N(AH26)+N(AH29)),"")</f>
        <v>-169</v>
      </c>
      <c r="AI30" s="211">
        <f>IF(ISNUMBER(AI132),AI132-(N(AI11)+N(AI14)+N(AI17)+N(AI20)+N(AI23)+N(AI26)+N(AI29)),"")</f>
        <v>30996</v>
      </c>
      <c r="AJ30" s="211">
        <f>IF(ISNUMBER(AJ132),AJ132-(N(AJ11)+N(AJ14)+N(AJ17)+N(AJ20)+N(AJ23)+N(AJ26)+N(AJ29)),"")</f>
        <v>32512</v>
      </c>
      <c r="AK30" s="211">
        <f>IF(ISNUMBER(AK132),AK132-(N(AK11)+N(AK14)+N(AK17)+N(AK20)+N(AK23)+N(AK26)+N(AK29)),"")</f>
        <v>33594</v>
      </c>
      <c r="AL30" s="211">
        <f>IF(ISNUMBER(AL132),AL132-(N(AL11)+N(AL14)+N(AL17)+N(AL20)+N(AL23)+N(AL26)+N(AL29)),"")</f>
        <v>39122</v>
      </c>
      <c r="AM30" s="211">
        <f>IF(ISNUMBER(AM132),AM132-(N(AM11)+N(AM14)+N(AM17)+N(AM20)+N(AM23)+N(AM26)+N(AM29)),"")</f>
        <v>0</v>
      </c>
      <c r="AN30" s="211">
        <f>IF(ISNUMBER(AN132),AN132-(N(AN11)+N(AN14)+N(AN17)+N(AN20)+N(AN23)+N(AN26)+N(AN29)),"")</f>
        <v>137</v>
      </c>
      <c r="AO30" s="211">
        <f>IF(ISNUMBER(AO132),AO132-(N(AO11)+N(AO14)+N(AO17)+N(AO20)+N(AO23)+N(AO26)+N(AO29)),"")</f>
        <v>108</v>
      </c>
      <c r="AP30" s="211">
        <f>IF(ISNUMBER(AP132),AP132-(N(AP11)+N(AP14)+N(AP17)+N(AP20)+N(AP23)+N(AP26)+N(AP29)),"")</f>
        <v>119</v>
      </c>
      <c r="AQ30" s="211">
        <f>IF(ISNUMBER(AQ132),AQ132-(N(AQ11)+N(AQ14)+N(AQ17)+N(AQ20)+N(AQ23)+N(AQ26)+N(AQ29)),"")</f>
        <v>91</v>
      </c>
      <c r="AR30" s="211">
        <f>IF(ISNUMBER(AR132),AR132-(N(AR11)+N(AR14)+N(AR17)+N(AR20)+N(AR23)+N(AR26)+N(AR29)),"")</f>
        <v>0</v>
      </c>
      <c r="AS30" s="211">
        <f>IF(ISNUMBER(AS132),AS132-(N(AS11)+N(AS14)+N(AS17)+N(AS20)+N(AS23)+N(AS26)+N(AS29)),"")</f>
        <v>0</v>
      </c>
      <c r="AT30" s="211">
        <f>IF(ISNUMBER(AT132),AT132-(N(AT11)+N(AT14)+N(AT17)+N(AT20)+N(AT23)+N(AT26)+N(AT29)),"")</f>
        <v>0</v>
      </c>
      <c r="AU30" s="211">
        <f>IF(ISNUMBER(AU132),AU132-(N(AU11)+N(AU14)+N(AU17)+N(AU20)+N(AU23)+N(AU26)+N(AU29)),"")</f>
        <v>0</v>
      </c>
      <c r="AV30" s="211">
        <f>IF(ISNUMBER(AV132),AV132-(N(AV11)+N(AV14)+N(AV17)+N(AV20)+N(AV23)+N(AV26)+N(AV29)),"")</f>
        <v>0</v>
      </c>
      <c r="AW30" s="211">
        <f>IF(ISNUMBER(AW132),AW132-(N(AW11)+N(AW14)+N(AW17)+N(AW20)+N(AW23)+N(AW26)+N(AW29)),"")</f>
        <v>0</v>
      </c>
      <c r="AX30" s="211">
        <f>IF(ISNUMBER(AX132),AX132-(N(AX11)+N(AX14)+N(AX17)+N(AX20)+N(AX23)+N(AX26)+N(AX29)),"")</f>
        <v>0</v>
      </c>
      <c r="AY30" s="211">
        <f>IF(ISNUMBER(AY132),AY132-(N(AY11)+N(AY14)+N(AY17)+N(AY20)+N(AY23)+N(AY26)+N(AY29)),"")</f>
        <v>0</v>
      </c>
      <c r="AZ30" s="211">
        <f>IF(ISNUMBER(AZ132),AZ132-(N(AZ11)+N(AZ14)+N(AZ17)+N(AZ20)+N(AZ23)+N(AZ26)+N(AZ29)),"")</f>
        <v>0</v>
      </c>
      <c r="BA30" s="211">
        <f>IF(ISNUMBER(BA132),BA132-(N(BA11)+N(BA14)+N(BA17)+N(BA20)+N(BA23)+N(BA26)+N(BA29)),"")</f>
        <v>0</v>
      </c>
      <c r="BB30" s="211">
        <f>IF(ISNUMBER(BB132),BB132-(N(BB11)+N(BB14)+N(BB17)+N(BB20)+N(BB23)+N(BB26)+N(BB29)),"")</f>
        <v>0</v>
      </c>
      <c r="BC30" s="211">
        <f>IF(ISNUMBER(BC132),BC132-(N(BC11)+N(BC14)+N(BC17)+N(BC20)+N(BC23)+N(BC26)+N(BC29)),"")</f>
        <v>0</v>
      </c>
      <c r="BD30" s="211">
        <f>IF(ISNUMBER(BD132),BD132-(N(BD11)+N(BD14)+N(BD17)+N(BD20)+N(BD23)+N(BD26)+N(BD29)),"")</f>
        <v>0</v>
      </c>
      <c r="BE30" s="211">
        <f>IF(ISNUMBER(BE132),BE132-(N(BE11)+N(BE14)+N(BE17)+N(BE20)+N(BE23)+N(BE26)+N(BE29)),"")</f>
        <v>0</v>
      </c>
      <c r="BF30" s="211">
        <f>IF(ISNUMBER(BF132),BF132-(N(BF11)+N(BF14)+N(BF17)+N(BF20)+N(BF23)+N(BF26)+N(BF29)),"")</f>
        <v>0</v>
      </c>
      <c r="BG30" s="211">
        <f>IF(ISNUMBER(BG132),BG132-(N(BG11)+N(BG14)+N(BG17)+N(BG20)+N(BG23)+N(BG26)+N(BG29)),"")</f>
        <v>0</v>
      </c>
      <c r="BH30" s="211">
        <f>IF(ISNUMBER(BH132),BH132-(N(BH11)+N(BH14)+N(BH17)+N(BH20)+N(BH23)+N(BH26)+N(BH29)),"")</f>
        <v>0</v>
      </c>
      <c r="BI30" s="211">
        <f>IF(ISNUMBER(BI132),BI132-(N(BI11)+N(BI14)+N(BI17)+N(BI20)+N(BI23)+N(BI26)+N(BI29)),"")</f>
        <v>0</v>
      </c>
      <c r="BJ30" s="211">
        <f>IF(ISNUMBER(BJ132),BJ132-(N(BJ11)+N(BJ14)+N(BJ17)+N(BJ20)+N(BJ23)+N(BJ26)+N(BJ29)),"")</f>
        <v>0</v>
      </c>
      <c r="BK30" s="211">
        <f>IF(ISNUMBER(BK132),BK132-(N(BK11)+N(BK14)+N(BK17)+N(BK20)+N(BK23)+N(BK26)+N(BK29)),"")</f>
        <v>0</v>
      </c>
      <c r="BL30" s="211">
        <f>IF(ISNUMBER(BL132),BL132-(N(BL11)+N(BL14)+N(BL17)+N(BL20)+N(BL23)+N(BL26)+N(BL29)),"")</f>
        <v>0</v>
      </c>
      <c r="BM30" s="211">
        <f>IF(ISNUMBER(BM132),BM132-(N(BM11)+N(BM14)+N(BM17)+N(BM20)+N(BM23)+N(BM26)+N(BM29)),"")</f>
        <v>0</v>
      </c>
      <c r="BN30" s="211">
        <f>IF(ISNUMBER(BN132),BN132-(N(BN11)+N(BN14)+N(BN17)+N(BN20)+N(BN23)+N(BN26)+N(BN29)),"")</f>
        <v>0</v>
      </c>
      <c r="BO30" s="211">
        <f>IF(ISNUMBER(BO132),BO132-(N(BO11)+N(BO14)+N(BO17)+N(BO20)+N(BO23)+N(BO26)+N(BO29)),"")</f>
        <v>0</v>
      </c>
      <c r="BP30" s="211">
        <f>IF(ISNUMBER(BP132),BP132-(N(BP11)+N(BP14)+N(BP17)+N(BP20)+N(BP23)+N(BP26)+N(BP29)),"")</f>
        <v>0</v>
      </c>
      <c r="BQ30" s="211">
        <f>IF(ISNUMBER(BQ132),BQ132-(N(BQ11)+N(BQ14)+N(BQ17)+N(BQ20)+N(BQ23)+N(BQ26)+N(BQ29)),"")</f>
        <v>0</v>
      </c>
      <c r="BR30" s="211">
        <f>IF(ISNUMBER(BR132),BR132-(N(BR11)+N(BR14)+N(BR17)+N(BR20)+N(BR23)+N(BR26)+N(BR29)),"")</f>
        <v>0</v>
      </c>
      <c r="BS30" s="211">
        <f>IF(ISNUMBER(BS132),BS132-(N(BS11)+N(BS14)+N(BS17)+N(BS20)+N(BS23)+N(BS26)+N(BS29)),"")</f>
        <v>0</v>
      </c>
      <c r="BT30" s="211">
        <f>IF(ISNUMBER(BT132),BT132-(N(BT11)+N(BT14)+N(BT17)+N(BT20)+N(BT23)+N(BT26)+N(BT29)),"")</f>
        <v>0</v>
      </c>
      <c r="BU30" s="211">
        <f>IF(ISNUMBER(BU132),BU132-(N(BU11)+N(BU14)+N(BU17)+N(BU20)+N(BU23)+N(BU26)+N(BU29)),"")</f>
        <v>0</v>
      </c>
      <c r="BV30" s="211">
        <f>IF(ISNUMBER(BV132),BV132-(N(BV11)+N(BV14)+N(BV17)+N(BV20)+N(BV23)+N(BV26)+N(BV29)),"")</f>
        <v>0</v>
      </c>
      <c r="BW30" s="211">
        <f>IF(ISNUMBER(BW132),BW132-(N(BW11)+N(BW14)+N(BW17)+N(BW20)+N(BW23)+N(BW26)+N(BW29)),"")</f>
        <v>0</v>
      </c>
      <c r="BX30" s="211">
        <f>IF(ISNUMBER(BX132),BX132-(N(BX11)+N(BX14)+N(BX17)+N(BX20)+N(BX23)+N(BX26)+N(BX29)),"")</f>
        <v>0</v>
      </c>
      <c r="BY30" s="254">
        <f>0</f>
        <v>0</v>
      </c>
      <c r="BZ30" s="254">
        <f>0</f>
        <v>0</v>
      </c>
      <c r="CA30" s="254">
        <f>SUM(BW30:BZ30)</f>
        <v>0</v>
      </c>
      <c r="CB30" s="254">
        <f>0</f>
        <v>0</v>
      </c>
      <c r="CC30" s="254">
        <f>0</f>
        <v>0</v>
      </c>
      <c r="CD30" s="254">
        <f>0</f>
        <v>0</v>
      </c>
      <c r="CE30" s="254">
        <f>0</f>
        <v>0</v>
      </c>
      <c r="CF30" s="19" t="inlineStr">
        <is>
          <t>Consolidated revenues (as originally reported) − Σ revenue types (latest filing presenting the period). Equals total revenues before FY2017 / Q1-19 (legacy split in the memo block below); Other Bets before FY2015.</t>
        </is>
      </c>
      <c r="CN30" s="25" t="inlineStr">
        <is>
          <t xml:space="preserve">  2027E</t>
        </is>
      </c>
      <c r="CO30" s="33">
        <f>CP30+$CO$29</f>
        <v>0.13</v>
      </c>
      <c r="CP30" s="42" t="n">
        <v>0.11</v>
      </c>
      <c r="CQ30" s="33">
        <f>CP30+$CQ$29</f>
        <v>0.07</v>
      </c>
    </row>
    <row r="31" ht="15" customHeight="1" s="251">
      <c r="B31" s="55" t="inlineStr">
        <is>
          <t>Total revenues (revenue build)</t>
        </is>
      </c>
      <c r="C31" s="260">
        <f>IF(ISNUMBER(C132),N(C11)+N(C14)+N(C17)+N(C20)+N(C23)+N(C26)+N(C29)+N(C30),"")</f>
        <v>10604.917</v>
      </c>
      <c r="D31" s="260">
        <f>IF(ISNUMBER(D132),N(D11)+N(D14)+N(D17)+N(D20)+N(D23)+N(D26)+N(D29)+N(D30),"")</f>
        <v>16593.986</v>
      </c>
      <c r="E31" s="260">
        <f>IF(ISNUMBER(E132),N(E11)+N(E14)+N(E17)+N(E20)+N(E23)+N(E26)+N(E29)+N(E30),"")</f>
        <v>21795.55</v>
      </c>
      <c r="F31" s="260">
        <f>IF(ISNUMBER(F132),N(F11)+N(F14)+N(F17)+N(F20)+N(F23)+N(F26)+N(F29)+N(F30),"")</f>
        <v>23650.563</v>
      </c>
      <c r="G31" s="260">
        <f>IF(ISNUMBER(G132),N(G11)+N(G14)+N(G17)+N(G20)+N(G23)+N(G26)+N(G29)+N(G30),"")</f>
        <v>29321</v>
      </c>
      <c r="H31" s="260">
        <f>IF(ISNUMBER(H132),N(H11)+N(H14)+N(H17)+N(H20)+N(H23)+N(H26)+N(H29)+N(H30),"")</f>
        <v>37905</v>
      </c>
      <c r="I31" s="260">
        <f>IF(ISNUMBER(I132),N(I11)+N(I14)+N(I17)+N(I20)+N(I23)+N(I26)+N(I29)+N(I30),"")</f>
        <v>50175</v>
      </c>
      <c r="J31" s="260">
        <f>IF(ISNUMBER(J132),N(J11)+N(J14)+N(J17)+N(J20)+N(J23)+N(J26)+N(J29)+N(J30),"")</f>
        <v>13969</v>
      </c>
      <c r="K31" s="260">
        <f>IF(ISNUMBER(K132),N(K11)+N(K14)+N(K17)+N(K20)+N(K23)+N(K26)+N(K29)+N(K30),"")</f>
        <v>14105</v>
      </c>
      <c r="L31" s="260">
        <f>IF(ISNUMBER(L132),N(L11)+N(L14)+N(L17)+N(L20)+N(L23)+N(L26)+N(L29)+N(L30),"")</f>
        <v>14893</v>
      </c>
      <c r="M31" s="260">
        <f>IF(ISNUMBER(M132),N(M11)+N(M14)+N(M17)+N(M20)+N(M23)+N(M26)+N(M29)+N(M30),"")</f>
        <v>16858</v>
      </c>
      <c r="N31" s="260">
        <f>IF(ISNUMBER(N132),N(N11)+N(N14)+N(N17)+N(N20)+N(N23)+N(N26)+N(N29)+N(N30),"")</f>
        <v>59825</v>
      </c>
      <c r="O31" s="260">
        <f>IF(ISNUMBER(O132),N(O11)+N(O14)+N(O17)+N(O20)+N(O23)+N(O26)+N(O29)+N(O30),"")</f>
        <v>15420</v>
      </c>
      <c r="P31" s="260">
        <f>IF(ISNUMBER(P132),N(P11)+N(P14)+N(P17)+N(P20)+N(P23)+N(P26)+N(P29)+N(P30),"")</f>
        <v>15955</v>
      </c>
      <c r="Q31" s="260">
        <f>IF(ISNUMBER(Q132),N(Q11)+N(Q14)+N(Q17)+N(Q20)+N(Q23)+N(Q26)+N(Q29)+N(Q30),"")</f>
        <v>16523</v>
      </c>
      <c r="R31" s="260">
        <f>IF(ISNUMBER(R132),N(R11)+N(R14)+N(R17)+N(R20)+N(R23)+N(R26)+N(R29)+N(R30),"")</f>
        <v>18103</v>
      </c>
      <c r="S31" s="260">
        <f>IF(ISNUMBER(S132),N(S11)+N(S14)+N(S17)+N(S20)+N(S23)+N(S26)+N(S29)+N(S30),"")</f>
        <v>66001</v>
      </c>
      <c r="T31" s="260">
        <f>IF(ISNUMBER(T132),N(T11)+N(T14)+N(T17)+N(T20)+N(T23)+N(T26)+N(T29)+N(T30),"")</f>
        <v>17258</v>
      </c>
      <c r="U31" s="260">
        <f>IF(ISNUMBER(U132),N(U11)+N(U14)+N(U17)+N(U20)+N(U23)+N(U26)+N(U29)+N(U30),"")</f>
        <v>17727</v>
      </c>
      <c r="V31" s="260">
        <f>IF(ISNUMBER(V132),N(V11)+N(V14)+N(V17)+N(V20)+N(V23)+N(V26)+N(V29)+N(V30),"")</f>
        <v>18675</v>
      </c>
      <c r="W31" s="260">
        <f>IF(ISNUMBER(W132),N(W11)+N(W14)+N(W17)+N(W20)+N(W23)+N(W26)+N(W29)+N(W30),"")</f>
        <v>21329</v>
      </c>
      <c r="X31" s="260">
        <f>IF(ISNUMBER(X132),N(X11)+N(X14)+N(X17)+N(X20)+N(X23)+N(X26)+N(X29)+N(X30),"")</f>
        <v>74989</v>
      </c>
      <c r="Y31" s="260">
        <f>IF(ISNUMBER(Y132),N(Y11)+N(Y14)+N(Y17)+N(Y20)+N(Y23)+N(Y26)+N(Y29)+N(Y30),"")</f>
        <v>20257</v>
      </c>
      <c r="Z31" s="260">
        <f>IF(ISNUMBER(Z132),N(Z11)+N(Z14)+N(Z17)+N(Z20)+N(Z23)+N(Z26)+N(Z29)+N(Z30),"")</f>
        <v>21500</v>
      </c>
      <c r="AA31" s="260">
        <f>IF(ISNUMBER(AA132),N(AA11)+N(AA14)+N(AA17)+N(AA20)+N(AA23)+N(AA26)+N(AA29)+N(AA30),"")</f>
        <v>22451</v>
      </c>
      <c r="AB31" s="260">
        <f>IF(ISNUMBER(AB132),N(AB11)+N(AB14)+N(AB17)+N(AB20)+N(AB23)+N(AB26)+N(AB29)+N(AB30),"")</f>
        <v>26064</v>
      </c>
      <c r="AC31" s="260">
        <f>IF(ISNUMBER(AC132),N(AC11)+N(AC14)+N(AC17)+N(AC20)+N(AC23)+N(AC26)+N(AC29)+N(AC30),"")</f>
        <v>90272</v>
      </c>
      <c r="AD31" s="260">
        <f>IF(ISNUMBER(AD132),N(AD11)+N(AD14)+N(AD17)+N(AD20)+N(AD23)+N(AD26)+N(AD29)+N(AD30),"")</f>
        <v>24750</v>
      </c>
      <c r="AE31" s="260">
        <f>IF(ISNUMBER(AE132),N(AE11)+N(AE14)+N(AE17)+N(AE20)+N(AE23)+N(AE26)+N(AE29)+N(AE30),"")</f>
        <v>26010</v>
      </c>
      <c r="AF31" s="260">
        <f>IF(ISNUMBER(AF132),N(AF11)+N(AF14)+N(AF17)+N(AF20)+N(AF23)+N(AF26)+N(AF29)+N(AF30),"")</f>
        <v>27772</v>
      </c>
      <c r="AG31" s="260">
        <f>IF(ISNUMBER(AG132),N(AG11)+N(AG14)+N(AG17)+N(AG20)+N(AG23)+N(AG26)+N(AG29)+N(AG30),"")</f>
        <v>32323</v>
      </c>
      <c r="AH31" s="260">
        <f>IF(ISNUMBER(AH132),N(AH11)+N(AH14)+N(AH17)+N(AH20)+N(AH23)+N(AH26)+N(AH29)+N(AH30),"")</f>
        <v>110855</v>
      </c>
      <c r="AI31" s="260">
        <f>IF(ISNUMBER(AI132),N(AI11)+N(AI14)+N(AI17)+N(AI20)+N(AI23)+N(AI26)+N(AI29)+N(AI30),"")</f>
        <v>31146</v>
      </c>
      <c r="AJ31" s="260">
        <f>IF(ISNUMBER(AJ132),N(AJ11)+N(AJ14)+N(AJ17)+N(AJ20)+N(AJ23)+N(AJ26)+N(AJ29)+N(AJ30),"")</f>
        <v>32657</v>
      </c>
      <c r="AK31" s="260">
        <f>IF(ISNUMBER(AK132),N(AK11)+N(AK14)+N(AK17)+N(AK20)+N(AK23)+N(AK26)+N(AK29)+N(AK30),"")</f>
        <v>33740</v>
      </c>
      <c r="AL31" s="260">
        <f>IF(ISNUMBER(AL132),N(AL11)+N(AL14)+N(AL17)+N(AL20)+N(AL23)+N(AL26)+N(AL29)+N(AL30),"")</f>
        <v>39276</v>
      </c>
      <c r="AM31" s="260">
        <f>IF(ISNUMBER(AM132),N(AM11)+N(AM14)+N(AM17)+N(AM20)+N(AM23)+N(AM26)+N(AM29)+N(AM30),"")</f>
        <v>136819</v>
      </c>
      <c r="AN31" s="260">
        <f>IF(ISNUMBER(AN132),N(AN11)+N(AN14)+N(AN17)+N(AN20)+N(AN23)+N(AN26)+N(AN29)+N(AN30),"")</f>
        <v>36339</v>
      </c>
      <c r="AO31" s="260">
        <f>IF(ISNUMBER(AO132),N(AO11)+N(AO14)+N(AO17)+N(AO20)+N(AO23)+N(AO26)+N(AO29)+N(AO30),"")</f>
        <v>38944</v>
      </c>
      <c r="AP31" s="260">
        <f>IF(ISNUMBER(AP132),N(AP11)+N(AP14)+N(AP17)+N(AP20)+N(AP23)+N(AP26)+N(AP29)+N(AP30),"")</f>
        <v>40499</v>
      </c>
      <c r="AQ31" s="260">
        <f>IF(ISNUMBER(AQ132),N(AQ11)+N(AQ14)+N(AQ17)+N(AQ20)+N(AQ23)+N(AQ26)+N(AQ29)+N(AQ30),"")</f>
        <v>46075</v>
      </c>
      <c r="AR31" s="260">
        <f>IF(ISNUMBER(AR132),N(AR11)+N(AR14)+N(AR17)+N(AR20)+N(AR23)+N(AR26)+N(AR29)+N(AR30),"")</f>
        <v>161857</v>
      </c>
      <c r="AS31" s="260">
        <f>IF(ISNUMBER(AS132),N(AS11)+N(AS14)+N(AS17)+N(AS20)+N(AS23)+N(AS26)+N(AS29)+N(AS30),"")</f>
        <v>41159</v>
      </c>
      <c r="AT31" s="260">
        <f>IF(ISNUMBER(AT132),N(AT11)+N(AT14)+N(AT17)+N(AT20)+N(AT23)+N(AT26)+N(AT29)+N(AT30),"")</f>
        <v>38297</v>
      </c>
      <c r="AU31" s="260">
        <f>IF(ISNUMBER(AU132),N(AU11)+N(AU14)+N(AU17)+N(AU20)+N(AU23)+N(AU26)+N(AU29)+N(AU30),"")</f>
        <v>46173</v>
      </c>
      <c r="AV31" s="260">
        <f>IF(ISNUMBER(AV132),N(AV11)+N(AV14)+N(AV17)+N(AV20)+N(AV23)+N(AV26)+N(AV29)+N(AV30),"")</f>
        <v>56898</v>
      </c>
      <c r="AW31" s="260">
        <f>IF(ISNUMBER(AW132),N(AW11)+N(AW14)+N(AW17)+N(AW20)+N(AW23)+N(AW26)+N(AW29)+N(AW30),"")</f>
        <v>182527</v>
      </c>
      <c r="AX31" s="260">
        <f>IF(ISNUMBER(AX132),N(AX11)+N(AX14)+N(AX17)+N(AX20)+N(AX23)+N(AX26)+N(AX29)+N(AX30),"")</f>
        <v>55314</v>
      </c>
      <c r="AY31" s="260">
        <f>IF(ISNUMBER(AY132),N(AY11)+N(AY14)+N(AY17)+N(AY20)+N(AY23)+N(AY26)+N(AY29)+N(AY30),"")</f>
        <v>61880</v>
      </c>
      <c r="AZ31" s="260">
        <f>IF(ISNUMBER(AZ132),N(AZ11)+N(AZ14)+N(AZ17)+N(AZ20)+N(AZ23)+N(AZ26)+N(AZ29)+N(AZ30),"")</f>
        <v>65118</v>
      </c>
      <c r="BA31" s="260">
        <f>IF(ISNUMBER(BA132),N(BA11)+N(BA14)+N(BA17)+N(BA20)+N(BA23)+N(BA26)+N(BA29)+N(BA30),"")</f>
        <v>75325</v>
      </c>
      <c r="BB31" s="260">
        <f>IF(ISNUMBER(BB132),N(BB11)+N(BB14)+N(BB17)+N(BB20)+N(BB23)+N(BB26)+N(BB29)+N(BB30),"")</f>
        <v>257637</v>
      </c>
      <c r="BC31" s="260">
        <f>IF(ISNUMBER(BC132),N(BC11)+N(BC14)+N(BC17)+N(BC20)+N(BC23)+N(BC26)+N(BC29)+N(BC30),"")</f>
        <v>68011</v>
      </c>
      <c r="BD31" s="260">
        <f>IF(ISNUMBER(BD132),N(BD11)+N(BD14)+N(BD17)+N(BD20)+N(BD23)+N(BD26)+N(BD29)+N(BD30),"")</f>
        <v>69685</v>
      </c>
      <c r="BE31" s="260">
        <f>IF(ISNUMBER(BE132),N(BE11)+N(BE14)+N(BE17)+N(BE20)+N(BE23)+N(BE26)+N(BE29)+N(BE30),"")</f>
        <v>69092</v>
      </c>
      <c r="BF31" s="260">
        <f>IF(ISNUMBER(BF132),N(BF11)+N(BF14)+N(BF17)+N(BF20)+N(BF23)+N(BF26)+N(BF29)+N(BF30),"")</f>
        <v>76048</v>
      </c>
      <c r="BG31" s="260">
        <f>IF(ISNUMBER(BG132),N(BG11)+N(BG14)+N(BG17)+N(BG20)+N(BG23)+N(BG26)+N(BG29)+N(BG30),"")</f>
        <v>282836</v>
      </c>
      <c r="BH31" s="260">
        <f>IF(ISNUMBER(BH132),N(BH11)+N(BH14)+N(BH17)+N(BH20)+N(BH23)+N(BH26)+N(BH29)+N(BH30),"")</f>
        <v>69787</v>
      </c>
      <c r="BI31" s="260">
        <f>IF(ISNUMBER(BI132),N(BI11)+N(BI14)+N(BI17)+N(BI20)+N(BI23)+N(BI26)+N(BI29)+N(BI30),"")</f>
        <v>74604</v>
      </c>
      <c r="BJ31" s="260">
        <f>IF(ISNUMBER(BJ132),N(BJ11)+N(BJ14)+N(BJ17)+N(BJ20)+N(BJ23)+N(BJ26)+N(BJ29)+N(BJ30),"")</f>
        <v>76693</v>
      </c>
      <c r="BK31" s="260">
        <f>IF(ISNUMBER(BK132),N(BK11)+N(BK14)+N(BK17)+N(BK20)+N(BK23)+N(BK26)+N(BK29)+N(BK30),"")</f>
        <v>86310</v>
      </c>
      <c r="BL31" s="260">
        <f>IF(ISNUMBER(BL132),N(BL11)+N(BL14)+N(BL17)+N(BL20)+N(BL23)+N(BL26)+N(BL29)+N(BL30),"")</f>
        <v>307394</v>
      </c>
      <c r="BM31" s="260">
        <f>IF(ISNUMBER(BM132),N(BM11)+N(BM14)+N(BM17)+N(BM20)+N(BM23)+N(BM26)+N(BM29)+N(BM30),"")</f>
        <v>80539</v>
      </c>
      <c r="BN31" s="260">
        <f>IF(ISNUMBER(BN132),N(BN11)+N(BN14)+N(BN17)+N(BN20)+N(BN23)+N(BN26)+N(BN29)+N(BN30),"")</f>
        <v>84742</v>
      </c>
      <c r="BO31" s="260">
        <f>IF(ISNUMBER(BO132),N(BO11)+N(BO14)+N(BO17)+N(BO20)+N(BO23)+N(BO26)+N(BO29)+N(BO30),"")</f>
        <v>88268</v>
      </c>
      <c r="BP31" s="260">
        <f>IF(ISNUMBER(BP132),N(BP11)+N(BP14)+N(BP17)+N(BP20)+N(BP23)+N(BP26)+N(BP29)+N(BP30),"")</f>
        <v>96469</v>
      </c>
      <c r="BQ31" s="260">
        <f>IF(ISNUMBER(BQ132),N(BQ11)+N(BQ14)+N(BQ17)+N(BQ20)+N(BQ23)+N(BQ26)+N(BQ29)+N(BQ30),"")</f>
        <v>350018</v>
      </c>
      <c r="BR31" s="260">
        <f>IF(ISNUMBER(BR132),N(BR11)+N(BR14)+N(BR17)+N(BR20)+N(BR23)+N(BR26)+N(BR29)+N(BR30),"")</f>
        <v>90234</v>
      </c>
      <c r="BS31" s="260">
        <f>IF(ISNUMBER(BS132),N(BS11)+N(BS14)+N(BS17)+N(BS20)+N(BS23)+N(BS26)+N(BS29)+N(BS30),"")</f>
        <v>96428</v>
      </c>
      <c r="BT31" s="260">
        <f>IF(ISNUMBER(BT132),N(BT11)+N(BT14)+N(BT17)+N(BT20)+N(BT23)+N(BT26)+N(BT29)+N(BT30),"")</f>
        <v>102346</v>
      </c>
      <c r="BU31" s="260">
        <f>IF(ISNUMBER(BU132),N(BU11)+N(BU14)+N(BU17)+N(BU20)+N(BU23)+N(BU26)+N(BU29)+N(BU30),"")</f>
        <v>113829</v>
      </c>
      <c r="BV31" s="260">
        <f>IF(ISNUMBER(BV132),N(BV11)+N(BV14)+N(BV17)+N(BV20)+N(BV23)+N(BV26)+N(BV29)+N(BV30),"")</f>
        <v>402836</v>
      </c>
      <c r="BW31" s="260">
        <f>IF(ISNUMBER(BW132),N(BW11)+N(BW14)+N(BW17)+N(BW20)+N(BW23)+N(BW26)+N(BW29)+N(BW30),"")</f>
        <v>109896</v>
      </c>
      <c r="BX31" s="260">
        <f>IF(ISNUMBER(BX132),N(BX11)+N(BX14)+N(BX17)+N(BX20)+N(BX23)+N(BX26)+N(BX29)+N(BX30),"")</f>
        <v>119796</v>
      </c>
      <c r="BY31" s="260">
        <f>N(BY11)+N(BY14)+N(BY17)+N(BY20)+N(BY23)+N(BY26)+N(BY29)</f>
        <v>127000.550088279</v>
      </c>
      <c r="BZ31" s="260">
        <f>N(BZ11)+N(BZ14)+N(BZ17)+N(BZ20)+N(BZ23)+N(BZ26)+N(BZ29)</f>
        <v>141582.687632425</v>
      </c>
      <c r="CA31" s="260">
        <f>N(CA11)+N(CA14)+N(CA17)+N(CA20)+N(CA23)+N(CA26)+N(CA29)</f>
        <v>498275.237720704</v>
      </c>
      <c r="CB31" s="260">
        <f>N(CB11)+N(CB14)+N(CB17)+N(CB20)+N(CB23)+N(CB26)+N(CB29)</f>
        <v>584717.434426847</v>
      </c>
      <c r="CC31" s="260">
        <f>N(CC11)+N(CC14)+N(CC17)+N(CC20)+N(CC23)+N(CC26)+N(CC29)</f>
        <v>670428.903771756</v>
      </c>
      <c r="CD31" s="260">
        <f>N(CD11)+N(CD14)+N(CD17)+N(CD20)+N(CD23)+N(CD26)+N(CD29)</f>
        <v>757036.213308521</v>
      </c>
      <c r="CE31" s="260">
        <f>N(CE11)+N(CE14)+N(CE17)+N(CE20)+N(CE23)+N(CE26)+N(CE29)</f>
        <v>842257.406673782</v>
      </c>
      <c r="CF31" s="153" t="n"/>
      <c r="CH31" s="20">
        <f>IFERROR((CE31/BV31)^(1/5)-1,"n/m")</f>
        <v>0.158946298548808</v>
      </c>
      <c r="CI31" s="20">
        <f>IFERROR((BV31/AW31)^(1/5)-1,"n/m")</f>
        <v>0.171548390771357</v>
      </c>
      <c r="CJ31" s="20">
        <f>IFERROR((BV31/X31)^(1/10)-1,"n/m")</f>
        <v>0.183077163118221</v>
      </c>
      <c r="CK31" s="20">
        <f>IFERROR((BV31/C31)^(1/19)-1,"n/m")</f>
        <v>0.210982723799194</v>
      </c>
      <c r="CN31" s="25" t="inlineStr">
        <is>
          <t xml:space="preserve">  2028E</t>
        </is>
      </c>
      <c r="CO31" s="33">
        <f>CP31+$CO$29</f>
        <v>0.11</v>
      </c>
      <c r="CP31" s="42" t="n">
        <v>0.09</v>
      </c>
      <c r="CQ31" s="33">
        <f>CP31+$CQ$29</f>
        <v>0.05</v>
      </c>
    </row>
    <row r="32" ht="15" customHeight="1" s="251">
      <c r="B32" s="22" t="inlineStr">
        <is>
          <t xml:space="preserve">  Total revenues y/y %</t>
        </is>
      </c>
      <c r="C32" s="23" t="n"/>
      <c r="D32" s="255">
        <f>IF(AND(ISNUMBER(D31),ISNUMBER(C31)),IFERROR(D31/C31-1,""),"")</f>
        <v>0.564744542555119</v>
      </c>
      <c r="E32" s="255">
        <f>IF(AND(ISNUMBER(E31),ISNUMBER(D31)),IFERROR(E31/D31-1,""),"")</f>
        <v>0.313460792361763</v>
      </c>
      <c r="F32" s="255">
        <f>IF(AND(ISNUMBER(F31),ISNUMBER(E31)),IFERROR(F31/E31-1,""),"")</f>
        <v>0.0851097127624676</v>
      </c>
      <c r="G32" s="255">
        <f>IF(AND(ISNUMBER(G31),ISNUMBER(F31)),IFERROR(G31/F31-1,""),"")</f>
        <v>0.239759070428894</v>
      </c>
      <c r="H32" s="255">
        <f>IF(AND(ISNUMBER(H31),ISNUMBER(G31)),IFERROR(H31/G31-1,""),"")</f>
        <v>0.292759455680229</v>
      </c>
      <c r="I32" s="255">
        <f>IF(AND(ISNUMBER(I31),ISNUMBER(H31)),IFERROR(I31/H31-1,""),"")</f>
        <v>0.323703996834191</v>
      </c>
      <c r="J32" s="23" t="n"/>
      <c r="K32" s="23" t="n"/>
      <c r="L32" s="23" t="n"/>
      <c r="M32" s="23" t="n"/>
      <c r="N32" s="255">
        <f>IF(AND(ISNUMBER(N31),ISNUMBER(I31)),IFERROR(N31/I31-1,""),"")</f>
        <v>0.192326856003986</v>
      </c>
      <c r="O32" s="255">
        <f>IF(AND(ISNUMBER(O31),ISNUMBER(J31)),IFERROR(O31/J31-1,""),"")</f>
        <v>0.103872861335815</v>
      </c>
      <c r="P32" s="255">
        <f>IF(AND(ISNUMBER(P31),ISNUMBER(K31)),IFERROR(P31/K31-1,""),"")</f>
        <v>0.131159163417228</v>
      </c>
      <c r="Q32" s="255">
        <f>IF(AND(ISNUMBER(Q31),ISNUMBER(L31)),IFERROR(Q31/L31-1,""),"")</f>
        <v>0.109447391391929</v>
      </c>
      <c r="R32" s="255">
        <f>IF(AND(ISNUMBER(R31),ISNUMBER(M31)),IFERROR(R31/M31-1,""),"")</f>
        <v>0.0738521770079488</v>
      </c>
      <c r="S32" s="255">
        <f>IF(AND(ISNUMBER(S31),ISNUMBER(N31)),IFERROR(S31/N31-1,""),"")</f>
        <v>0.103234433765148</v>
      </c>
      <c r="T32" s="255">
        <f>IF(AND(ISNUMBER(T31),ISNUMBER(O31)),IFERROR(T31/O31-1,""),"")</f>
        <v>0.119195849546044</v>
      </c>
      <c r="U32" s="255">
        <f>IF(AND(ISNUMBER(U31),ISNUMBER(P31)),IFERROR(U31/P31-1,""),"")</f>
        <v>0.111062362895644</v>
      </c>
      <c r="V32" s="255">
        <f>IF(AND(ISNUMBER(V31),ISNUMBER(Q31)),IFERROR(V31/Q31-1,""),"")</f>
        <v>0.130242692005084</v>
      </c>
      <c r="W32" s="255">
        <f>IF(AND(ISNUMBER(W31),ISNUMBER(R31)),IFERROR(W31/R31-1,""),"")</f>
        <v>0.178202507871623</v>
      </c>
      <c r="X32" s="255">
        <f>IF(AND(ISNUMBER(X31),ISNUMBER(S31)),IFERROR(X31/S31-1,""),"")</f>
        <v>0.136179754852199</v>
      </c>
      <c r="Y32" s="255">
        <f>IF(AND(ISNUMBER(Y31),ISNUMBER(T31)),IFERROR(Y31/T31-1,""),"")</f>
        <v>0.17377448139993</v>
      </c>
      <c r="Z32" s="255">
        <f>IF(AND(ISNUMBER(Z31),ISNUMBER(U31)),IFERROR(Z31/U31-1,""),"")</f>
        <v>0.212839171884696</v>
      </c>
      <c r="AA32" s="255">
        <f>IF(AND(ISNUMBER(AA31),ISNUMBER(V31)),IFERROR(AA31/V31-1,""),"")</f>
        <v>0.202195448460509</v>
      </c>
      <c r="AB32" s="255">
        <f>IF(AND(ISNUMBER(AB31),ISNUMBER(W31)),IFERROR(AB31/W31-1,""),"")</f>
        <v>0.22199821838811</v>
      </c>
      <c r="AC32" s="255">
        <f>IF(AND(ISNUMBER(AC31),ISNUMBER(X31)),IFERROR(AC31/X31-1,""),"")</f>
        <v>0.203803224472923</v>
      </c>
      <c r="AD32" s="255">
        <f>IF(AND(ISNUMBER(AD31),ISNUMBER(Y31)),IFERROR(AD31/Y31-1,""),"")</f>
        <v>0.221799871649306</v>
      </c>
      <c r="AE32" s="255">
        <f>IF(AND(ISNUMBER(AE31),ISNUMBER(Z31)),IFERROR(AE31/Z31-1,""),"")</f>
        <v>0.209767441860465</v>
      </c>
      <c r="AF32" s="255">
        <f>IF(AND(ISNUMBER(AF31),ISNUMBER(AA31)),IFERROR(AF31/AA31-1,""),"")</f>
        <v>0.237005033183377</v>
      </c>
      <c r="AG32" s="255">
        <f>IF(AND(ISNUMBER(AG31),ISNUMBER(AB31)),IFERROR(AG31/AB31-1,""),"")</f>
        <v>0.240139656230816</v>
      </c>
      <c r="AH32" s="255">
        <f>IF(AND(ISNUMBER(AH31),ISNUMBER(AC31)),IFERROR(AH31/AC31-1,""),"")</f>
        <v>0.228010900389933</v>
      </c>
      <c r="AI32" s="255">
        <f>IF(AND(ISNUMBER(AI31),ISNUMBER(AD31)),IFERROR(AI31/AD31-1,""),"")</f>
        <v>0.258424242424242</v>
      </c>
      <c r="AJ32" s="255">
        <f>IF(AND(ISNUMBER(AJ31),ISNUMBER(AE31)),IFERROR(AJ31/AE31-1,""),"")</f>
        <v>0.255555555555556</v>
      </c>
      <c r="AK32" s="255">
        <f>IF(AND(ISNUMBER(AK31),ISNUMBER(AF31)),IFERROR(AK31/AF31-1,""),"")</f>
        <v>0.214892697681118</v>
      </c>
      <c r="AL32" s="255">
        <f>IF(AND(ISNUMBER(AL31),ISNUMBER(AG31)),IFERROR(AL31/AG31-1,""),"")</f>
        <v>0.215109983603007</v>
      </c>
      <c r="AM32" s="255">
        <f>IF(AND(ISNUMBER(AM31),ISNUMBER(AH31)),IFERROR(AM31/AH31-1,""),"")</f>
        <v>0.23421586757476</v>
      </c>
      <c r="AN32" s="255">
        <f>IF(AND(ISNUMBER(AN31),ISNUMBER(AI31)),IFERROR(AN31/AI31-1,""),"")</f>
        <v>0.166730880369871</v>
      </c>
      <c r="AO32" s="255">
        <f>IF(AND(ISNUMBER(AO31),ISNUMBER(AJ31)),IFERROR(AO31/AJ31-1,""),"")</f>
        <v>0.192516152739076</v>
      </c>
      <c r="AP32" s="255">
        <f>IF(AND(ISNUMBER(AP31),ISNUMBER(AK31)),IFERROR(AP31/AK31-1,""),"")</f>
        <v>0.200326022525193</v>
      </c>
      <c r="AQ32" s="255">
        <f>IF(AND(ISNUMBER(AQ31),ISNUMBER(AL31)),IFERROR(AQ31/AL31-1,""),"")</f>
        <v>0.173108259496894</v>
      </c>
      <c r="AR32" s="255">
        <f>IF(AND(ISNUMBER(AR31),ISNUMBER(AM31)),IFERROR(AR31/AM31-1,""),"")</f>
        <v>0.183000898997946</v>
      </c>
      <c r="AS32" s="255">
        <f>IF(AND(ISNUMBER(AS31),ISNUMBER(AN31)),IFERROR(AS31/AN31-1,""),"")</f>
        <v>0.132639863507526</v>
      </c>
      <c r="AT32" s="255">
        <f>IF(AND(ISNUMBER(AT31),ISNUMBER(AO31)),IFERROR(AT31/AO31-1,""),"")</f>
        <v>-0.0166135990139688</v>
      </c>
      <c r="AU32" s="255">
        <f>IF(AND(ISNUMBER(AU31),ISNUMBER(AP31)),IFERROR(AU31/AP31-1,""),"")</f>
        <v>0.14010222474629</v>
      </c>
      <c r="AV32" s="255">
        <f>IF(AND(ISNUMBER(AV31),ISNUMBER(AQ31)),IFERROR(AV31/AQ31-1,""),"")</f>
        <v>0.234899620184482</v>
      </c>
      <c r="AW32" s="255">
        <f>IF(AND(ISNUMBER(AW31),ISNUMBER(AR31)),IFERROR(AW31/AR31-1,""),"")</f>
        <v>0.127705320128261</v>
      </c>
      <c r="AX32" s="255">
        <f>IF(AND(ISNUMBER(AX31),ISNUMBER(AS31)),IFERROR(AX31/AS31-1,""),"")</f>
        <v>0.343910201899949</v>
      </c>
      <c r="AY32" s="255">
        <f>IF(AND(ISNUMBER(AY31),ISNUMBER(AT31)),IFERROR(AY31/AT31-1,""),"")</f>
        <v>0.61579235971486</v>
      </c>
      <c r="AZ32" s="255">
        <f>IF(AND(ISNUMBER(AZ31),ISNUMBER(AU31)),IFERROR(AZ31/AU31-1,""),"")</f>
        <v>0.410304723539731</v>
      </c>
      <c r="BA32" s="255">
        <f>IF(AND(ISNUMBER(BA31),ISNUMBER(AV31)),IFERROR(BA31/AV31-1,""),"")</f>
        <v>0.323860241133256</v>
      </c>
      <c r="BB32" s="255">
        <f>IF(AND(ISNUMBER(BB31),ISNUMBER(AW31)),IFERROR(BB31/AW31-1,""),"")</f>
        <v>0.411500764270492</v>
      </c>
      <c r="BC32" s="255">
        <f>IF(AND(ISNUMBER(BC31),ISNUMBER(AX31)),IFERROR(BC31/AX31-1,""),"")</f>
        <v>0.229544057562281</v>
      </c>
      <c r="BD32" s="255">
        <f>IF(AND(ISNUMBER(BD31),ISNUMBER(AY31)),IFERROR(BD31/AY31-1,""),"")</f>
        <v>0.126131221719457</v>
      </c>
      <c r="BE32" s="255">
        <f>IF(AND(ISNUMBER(BE31),ISNUMBER(AZ31)),IFERROR(BE31/AZ31-1,""),"")</f>
        <v>0.0610276728400749</v>
      </c>
      <c r="BF32" s="255">
        <f>IF(AND(ISNUMBER(BF31),ISNUMBER(BA31)),IFERROR(BF31/BA31-1,""),"")</f>
        <v>0.00959840690341851</v>
      </c>
      <c r="BG32" s="255">
        <f>IF(AND(ISNUMBER(BG31),ISNUMBER(BB31)),IFERROR(BG31/BB31-1,""),"")</f>
        <v>0.0978081564371578</v>
      </c>
      <c r="BH32" s="255">
        <f>IF(AND(ISNUMBER(BH31),ISNUMBER(BC31)),IFERROR(BH31/BC31-1,""),"")</f>
        <v>0.0261134228286601</v>
      </c>
      <c r="BI32" s="255">
        <f>IF(AND(ISNUMBER(BI31),ISNUMBER(BD31)),IFERROR(BI31/BD31-1,""),"")</f>
        <v>0.0705890794288584</v>
      </c>
      <c r="BJ32" s="255">
        <f>IF(AND(ISNUMBER(BJ31),ISNUMBER(BE31)),IFERROR(BJ31/BE31-1,""),"")</f>
        <v>0.110012736641</v>
      </c>
      <c r="BK32" s="255">
        <f>IF(AND(ISNUMBER(BK31),ISNUMBER(BF31)),IFERROR(BK31/BF31-1,""),"")</f>
        <v>0.134941089837997</v>
      </c>
      <c r="BL32" s="255">
        <f>IF(AND(ISNUMBER(BL31),ISNUMBER(BG31)),IFERROR(BL31/BG31-1,""),"")</f>
        <v>0.0868277022726951</v>
      </c>
      <c r="BM32" s="255">
        <f>IF(AND(ISNUMBER(BM31),ISNUMBER(BH31)),IFERROR(BM31/BH31-1,""),"")</f>
        <v>0.154068809377105</v>
      </c>
      <c r="BN32" s="255">
        <f>IF(AND(ISNUMBER(BN31),ISNUMBER(BI31)),IFERROR(BN31/BI31-1,""),"")</f>
        <v>0.135890836952442</v>
      </c>
      <c r="BO32" s="255">
        <f>IF(AND(ISNUMBER(BO31),ISNUMBER(BJ31)),IFERROR(BO31/BJ31-1,""),"")</f>
        <v>0.150926420924987</v>
      </c>
      <c r="BP32" s="255">
        <f>IF(AND(ISNUMBER(BP31),ISNUMBER(BK31)),IFERROR(BP31/BK31-1,""),"")</f>
        <v>0.11770362646275</v>
      </c>
      <c r="BQ32" s="255">
        <f>IF(AND(ISNUMBER(BQ31),ISNUMBER(BL31)),IFERROR(BQ31/BL31-1,""),"")</f>
        <v>0.138662433229016</v>
      </c>
      <c r="BR32" s="255">
        <f>IF(AND(ISNUMBER(BR31),ISNUMBER(BM31)),IFERROR(BR31/BM31-1,""),"")</f>
        <v>0.120376463576652</v>
      </c>
      <c r="BS32" s="255">
        <f>IF(AND(ISNUMBER(BS31),ISNUMBER(BN31)),IFERROR(BS31/BN31-1,""),"")</f>
        <v>0.137900922800972</v>
      </c>
      <c r="BT32" s="255">
        <f>IF(AND(ISNUMBER(BT31),ISNUMBER(BO31)),IFERROR(BT31/BO31-1,""),"")</f>
        <v>0.159491548466035</v>
      </c>
      <c r="BU32" s="255">
        <f>IF(AND(ISNUMBER(BU31),ISNUMBER(BP31)),IFERROR(BU31/BP31-1,""),"")</f>
        <v>0.179954182172511</v>
      </c>
      <c r="BV32" s="255">
        <f>IF(AND(ISNUMBER(BV31),ISNUMBER(BQ31)),IFERROR(BV31/BQ31-1,""),"")</f>
        <v>0.150900810815444</v>
      </c>
      <c r="BW32" s="255">
        <f>IF(AND(ISNUMBER(BW31),ISNUMBER(BR31)),IFERROR(BW31/BR31-1,""),"")</f>
        <v>0.217900126338187</v>
      </c>
      <c r="BX32" s="255">
        <f>IF(AND(ISNUMBER(BX31),ISNUMBER(BS31)),IFERROR(BX31/BS31-1,""),"")</f>
        <v>0.242336250881487</v>
      </c>
      <c r="BY32" s="256">
        <f>IF(AND(ISNUMBER(BY31),ISNUMBER(BT31)),IFERROR(BY31/BT31-1,""),"")</f>
        <v>0.240894124716927</v>
      </c>
      <c r="BZ32" s="256">
        <f>IF(AND(ISNUMBER(BZ31),ISNUMBER(BU31)),IFERROR(BZ31/BU31-1,""),"")</f>
        <v>0.243819128977897</v>
      </c>
      <c r="CA32" s="256">
        <f>IF(AND(ISNUMBER(CA31),ISNUMBER(BV31)),IFERROR(CA31/BV31-1,""),"")</f>
        <v>0.23691834324813</v>
      </c>
      <c r="CB32" s="256">
        <f>IF(AND(ISNUMBER(CB31),ISNUMBER(CA31)),IFERROR(CB31/CA31-1,""),"")</f>
        <v>0.173482826683425</v>
      </c>
      <c r="CC32" s="256">
        <f>IF(AND(ISNUMBER(CC31),ISNUMBER(CB31)),IFERROR(CC31/CB31-1,""),"")</f>
        <v>0.146586135966556</v>
      </c>
      <c r="CD32" s="256">
        <f>IF(AND(ISNUMBER(CD31),ISNUMBER(CC31)),IFERROR(CD31/CC31-1,""),"")</f>
        <v>0.129181944646961</v>
      </c>
      <c r="CE32" s="256">
        <f>IF(AND(ISNUMBER(CE31),ISNUMBER(CD31)),IFERROR(CE31/CD31-1,""),"")</f>
        <v>0.112572148950198</v>
      </c>
      <c r="CF32" s="153" t="n"/>
      <c r="CH32" s="37">
        <f>IFERROR(AVERAGE(CA32,CB32,CC32,CD32,CE32),"n/m")</f>
        <v>0.159748279899054</v>
      </c>
      <c r="CI32" s="37">
        <f>IFERROR(AVERAGE(BB32,BG32,BL32,BQ32,BV32),"n/m")</f>
        <v>0.177139973404961</v>
      </c>
      <c r="CJ32" s="37">
        <f>IFERROR(AVERAGE(AC32,AH32,AM32,AR32,AW32,BB32,BG32,BL32,BQ32,BV32),"n/m")</f>
        <v>0.186243607858863</v>
      </c>
      <c r="CK32" s="37">
        <f>IFERROR(AVERAGE(C32,D32,E32,F32,G32,H32,I32,N32,S32,X32,AC32,AH32,AM32,AR32,AW32,BB32,BG32,BL32,BQ32,BV32),"n/m")</f>
        <v>0.216511299675401</v>
      </c>
      <c r="CN32" s="25" t="inlineStr">
        <is>
          <t xml:space="preserve">  2029E</t>
        </is>
      </c>
      <c r="CO32" s="33">
        <f>CP32+$CO$29</f>
        <v>0.1</v>
      </c>
      <c r="CP32" s="42" t="n">
        <v>0.08</v>
      </c>
      <c r="CQ32" s="33">
        <f>CP32+$CQ$29</f>
        <v>0.04</v>
      </c>
    </row>
    <row r="33" ht="15" customHeight="1" s="251">
      <c r="B33" s="16" t="inlineStr">
        <is>
          <t xml:space="preserve">  Google Services revenues (Σ Search, YouTube, Network, subscriptions/platforms/devices)</t>
        </is>
      </c>
      <c r="C33" s="261">
        <f>IF(ISNUMBER(C11),C11+C14+C17+C20,"")</f>
      </c>
      <c r="D33" s="261">
        <f>IF(ISNUMBER(D11),D11+D14+D17+D20,"")</f>
      </c>
      <c r="E33" s="261">
        <f>IF(ISNUMBER(E11),E11+E14+E17+E20,"")</f>
      </c>
      <c r="F33" s="261">
        <f>IF(ISNUMBER(F11),F11+F14+F17+F20,"")</f>
      </c>
      <c r="G33" s="261">
        <f>IF(ISNUMBER(G11),G11+G14+G17+G20,"")</f>
      </c>
      <c r="H33" s="261">
        <f>IF(ISNUMBER(H11),H11+H14+H17+H20,"")</f>
      </c>
      <c r="I33" s="261">
        <f>IF(ISNUMBER(I11),I11+I14+I17+I20,"")</f>
      </c>
      <c r="J33" s="261">
        <f>IF(ISNUMBER(J11),J11+J14+J17+J20,"")</f>
      </c>
      <c r="K33" s="261">
        <f>IF(ISNUMBER(K11),K11+K14+K17+K20,"")</f>
      </c>
      <c r="L33" s="261">
        <f>IF(ISNUMBER(L11),L11+L14+L17+L20,"")</f>
      </c>
      <c r="M33" s="261">
        <f>IF(ISNUMBER(M11),M11+M14+M17+M20,"")</f>
      </c>
      <c r="N33" s="261">
        <f>IF(ISNUMBER(N11),N11+N14+N17+N20,"")</f>
      </c>
      <c r="O33" s="261">
        <f>IF(ISNUMBER(O11),O11+O14+O17+O20,"")</f>
      </c>
      <c r="P33" s="261">
        <f>IF(ISNUMBER(P11),P11+P14+P17+P20,"")</f>
      </c>
      <c r="Q33" s="261">
        <f>IF(ISNUMBER(Q11),Q11+Q14+Q17+Q20,"")</f>
      </c>
      <c r="R33" s="261">
        <f>IF(ISNUMBER(R11),R11+R14+R17+R20,"")</f>
      </c>
      <c r="S33" s="261">
        <f>IF(ISNUMBER(S11),S11+S14+S17+S20,"")</f>
      </c>
      <c r="T33" s="261">
        <f>IF(ISNUMBER(T11),T11+T14+T17+T20,"")</f>
      </c>
      <c r="U33" s="261">
        <f>IF(ISNUMBER(U11),U11+U14+U17+U20,"")</f>
      </c>
      <c r="V33" s="261">
        <f>IF(ISNUMBER(V11),V11+V14+V17+V20,"")</f>
      </c>
      <c r="W33" s="261">
        <f>IF(ISNUMBER(W11),W11+W14+W17+W20,"")</f>
      </c>
      <c r="X33" s="261">
        <f>IF(ISNUMBER(X11),X11+X14+X17+X20,"")</f>
      </c>
      <c r="Y33" s="261">
        <f>IF(ISNUMBER(Y11),Y11+Y14+Y17+Y20,"")</f>
      </c>
      <c r="Z33" s="261">
        <f>IF(ISNUMBER(Z11),Z11+Z14+Z17+Z20,"")</f>
      </c>
      <c r="AA33" s="261">
        <f>IF(ISNUMBER(AA11),AA11+AA14+AA17+AA20,"")</f>
      </c>
      <c r="AB33" s="261">
        <f>IF(ISNUMBER(AB11),AB11+AB14+AB17+AB20,"")</f>
      </c>
      <c r="AC33" s="261">
        <f>IF(ISNUMBER(AC11),AC11+AC14+AC17+AC20,"")</f>
      </c>
      <c r="AD33" s="261">
        <f>IF(ISNUMBER(AD11),AD11+AD14+AD17+AD20,"")</f>
      </c>
      <c r="AE33" s="261">
        <f>IF(ISNUMBER(AE11),AE11+AE14+AE17+AE20,"")</f>
      </c>
      <c r="AF33" s="261">
        <f>IF(ISNUMBER(AF11),AF11+AF14+AF17+AF20,"")</f>
      </c>
      <c r="AG33" s="261">
        <f>IF(ISNUMBER(AG11),AG11+AG14+AG17+AG20,"")</f>
      </c>
      <c r="AH33" s="261">
        <f>IF(ISNUMBER(AH11),AH11+AH14+AH17+AH20,"")</f>
        <v>106491</v>
      </c>
      <c r="AI33" s="261">
        <f>IF(ISNUMBER(AI11),AI11+AI14+AI17+AI20,"")</f>
      </c>
      <c r="AJ33" s="261">
        <f>IF(ISNUMBER(AJ11),AJ11+AJ14+AJ17+AJ20,"")</f>
      </c>
      <c r="AK33" s="261">
        <f>IF(ISNUMBER(AK11),AK11+AK14+AK17+AK20,"")</f>
      </c>
      <c r="AL33" s="261">
        <f>IF(ISNUMBER(AL11),AL11+AL14+AL17+AL20,"")</f>
      </c>
      <c r="AM33" s="261">
        <f>IF(ISNUMBER(AM11),AM11+AM14+AM17+AM20,"")</f>
        <v>130524</v>
      </c>
      <c r="AN33" s="261">
        <f>IF(ISNUMBER(AN11),AN11+AN14+AN17+AN20,"")</f>
        <v>34207</v>
      </c>
      <c r="AO33" s="261">
        <f>IF(ISNUMBER(AO11),AO11+AO14+AO17+AO20,"")</f>
        <v>36574</v>
      </c>
      <c r="AP33" s="261">
        <f>IF(ISNUMBER(AP11),AP11+AP14+AP17+AP20,"")</f>
        <v>37846</v>
      </c>
      <c r="AQ33" s="261">
        <f>IF(ISNUMBER(AQ11),AQ11+AQ14+AQ17+AQ20,"")</f>
        <v>43198</v>
      </c>
      <c r="AR33" s="261">
        <f>IF(ISNUMBER(AR11),AR11+AR14+AR17+AR20,"")</f>
        <v>151825</v>
      </c>
      <c r="AS33" s="261">
        <f>IF(ISNUMBER(AS11),AS11+AS14+AS17+AS20,"")</f>
        <v>38198</v>
      </c>
      <c r="AT33" s="261">
        <f>IF(ISNUMBER(AT11),AT11+AT14+AT17+AT20,"")</f>
        <v>34991</v>
      </c>
      <c r="AU33" s="261">
        <f>IF(ISNUMBER(AU11),AU11+AU14+AU17+AU20,"")</f>
        <v>42573</v>
      </c>
      <c r="AV33" s="261">
        <f>IF(ISNUMBER(AV11),AV11+AV14+AV17+AV20,"")</f>
        <v>52873</v>
      </c>
      <c r="AW33" s="261">
        <f>IF(ISNUMBER(AW11),AW11+AW14+AW17+AW20,"")</f>
        <v>168635</v>
      </c>
      <c r="AX33" s="261">
        <f>IF(ISNUMBER(AX11),AX11+AX14+AX17+AX20,"")</f>
        <v>51178</v>
      </c>
      <c r="AY33" s="261">
        <f>IF(ISNUMBER(AY11),AY11+AY14+AY17+AY20,"")</f>
        <v>57067</v>
      </c>
      <c r="AZ33" s="261">
        <f>IF(ISNUMBER(AZ11),AZ11+AZ14+AZ17+AZ20,"")</f>
        <v>59884</v>
      </c>
      <c r="BA33" s="261">
        <f>IF(ISNUMBER(BA11),BA11+BA14+BA17+BA20,"")</f>
        <v>69400</v>
      </c>
      <c r="BB33" s="261">
        <f>IF(ISNUMBER(BB11),BB11+BB14+BB17+BB20,"")</f>
        <v>237529</v>
      </c>
      <c r="BC33" s="261">
        <f>IF(ISNUMBER(BC11),BC11+BC14+BC17+BC20,"")</f>
        <v>61472</v>
      </c>
      <c r="BD33" s="261">
        <f>IF(ISNUMBER(BD11),BD11+BD14+BD17+BD20,"")</f>
        <v>62841</v>
      </c>
      <c r="BE33" s="261">
        <f>IF(ISNUMBER(BE11),BE11+BE14+BE17+BE20,"")</f>
        <v>61377</v>
      </c>
      <c r="BF33" s="261">
        <f>IF(ISNUMBER(BF11),BF11+BF14+BF17+BF20,"")</f>
        <v>67838</v>
      </c>
      <c r="BG33" s="261">
        <f>IF(ISNUMBER(BG11),BG11+BG14+BG17+BG20,"")</f>
        <v>253528</v>
      </c>
      <c r="BH33" s="261">
        <f>IF(ISNUMBER(BH11),BH11+BH14+BH17+BH20,"")</f>
        <v>61961</v>
      </c>
      <c r="BI33" s="261">
        <f>IF(ISNUMBER(BI11),BI11+BI14+BI17+BI20,"")</f>
        <v>66285</v>
      </c>
      <c r="BJ33" s="261">
        <f>IF(ISNUMBER(BJ11),BJ11+BJ14+BJ17+BJ20,"")</f>
        <v>67986</v>
      </c>
      <c r="BK33" s="261">
        <f>IF(ISNUMBER(BK11),BK11+BK14+BK17+BK20,"")</f>
        <v>76311</v>
      </c>
      <c r="BL33" s="261">
        <f>IF(ISNUMBER(BL11),BL11+BL14+BL17+BL20,"")</f>
        <v>272543</v>
      </c>
      <c r="BM33" s="261">
        <f>IF(ISNUMBER(BM11),BM11+BM14+BM17+BM20,"")</f>
        <v>70398</v>
      </c>
      <c r="BN33" s="261">
        <f>IF(ISNUMBER(BN11),BN11+BN14+BN17+BN20,"")</f>
        <v>73928</v>
      </c>
      <c r="BO33" s="261">
        <f>IF(ISNUMBER(BO11),BO11+BO14+BO17+BO20,"")</f>
        <v>76510</v>
      </c>
      <c r="BP33" s="261">
        <f>IF(ISNUMBER(BP11),BP11+BP14+BP17+BP20,"")</f>
        <v>84094</v>
      </c>
      <c r="BQ33" s="261">
        <f>IF(ISNUMBER(BQ11),BQ11+BQ14+BQ17+BQ20,"")</f>
        <v>304930</v>
      </c>
      <c r="BR33" s="261">
        <f>IF(ISNUMBER(BR11),BR11+BR14+BR17+BR20,"")</f>
        <v>77264</v>
      </c>
      <c r="BS33" s="261">
        <f>IF(ISNUMBER(BS11),BS11+BS14+BS17+BS20,"")</f>
        <v>82543</v>
      </c>
      <c r="BT33" s="261">
        <f>IF(ISNUMBER(BT11),BT11+BT14+BT17+BT20,"")</f>
        <v>87052</v>
      </c>
      <c r="BU33" s="261">
        <f>IF(ISNUMBER(BU11),BU11+BU14+BU17+BU20,"")</f>
        <v>95862</v>
      </c>
      <c r="BV33" s="261">
        <f>IF(ISNUMBER(BV11),BV11+BV14+BV17+BV20,"")</f>
        <v>342721</v>
      </c>
      <c r="BW33" s="261">
        <f>IF(ISNUMBER(BW11),BW11+BW14+BW17+BW20,"")</f>
        <v>89637</v>
      </c>
      <c r="BX33" s="261">
        <f>IF(ISNUMBER(BX11),BX11+BX14+BX17+BX20,"")</f>
        <v>94540</v>
      </c>
      <c r="BY33" s="262">
        <f>IF(ISNUMBER(BY11),BY11+BY14+BY17+BY20,"")</f>
        <v>100437.712201965</v>
      </c>
      <c r="BZ33" s="262">
        <f>IF(ISNUMBER(BZ11),BZ11+BZ14+BZ17+BZ20,"")</f>
        <v>110656.0719535</v>
      </c>
      <c r="CA33" s="262">
        <f>IF(ISNUMBER(CA11),CA11+CA14+CA17+CA20,"")</f>
        <v>395270.784155466</v>
      </c>
      <c r="CB33" s="262">
        <f>IF(ISNUMBER(CB11),CB11+CB14+CB17+CB20,"")</f>
        <v>436364.406708649</v>
      </c>
      <c r="CC33" s="262">
        <f>IF(ISNUMBER(CC11),CC11+CC14+CC17+CC20,"")</f>
        <v>474675.474873893</v>
      </c>
      <c r="CD33" s="262">
        <f>IF(ISNUMBER(CD11),CD11+CD14+CD17+CD20,"")</f>
        <v>512344.427186192</v>
      </c>
      <c r="CE33" s="262">
        <f>IF(ISNUMBER(CE11),CE11+CE14+CE17+CE20,"")</f>
        <v>548546.272601365</v>
      </c>
      <c r="CF33" s="153" t="n"/>
      <c r="CH33" s="20">
        <f>IFERROR((CE33/BV33)^(1/5)-1,"n/m")</f>
        <v>0.0986377317391043</v>
      </c>
      <c r="CI33" s="20">
        <f>IFERROR((BV33/AW33)^(1/5)-1,"n/m")</f>
        <v>0.152387662008531</v>
      </c>
      <c r="CJ33" s="20" t="str">
        <f>IFERROR((BV33/X33)^(1/10)-1,"n/m")</f>
        <v>n/m</v>
      </c>
      <c r="CK33" s="20" t="str">
        <f>IFERROR((BV33/C33)^(1/19)-1,"n/m")</f>
        <v>n/m</v>
      </c>
      <c r="CN33" s="25" t="inlineStr">
        <is>
          <t xml:space="preserve">  2030E</t>
        </is>
      </c>
      <c r="CO33" s="33">
        <f>CP33+$CO$29</f>
        <v>0.09</v>
      </c>
      <c r="CP33" s="42" t="n">
        <v>0.07000000000000001</v>
      </c>
      <c r="CQ33" s="33">
        <f>CP33+$CQ$29</f>
        <v>0.03</v>
      </c>
    </row>
    <row r="34" ht="15" customHeight="1" s="251">
      <c r="B34" s="22" t="inlineStr">
        <is>
          <t xml:space="preserve">    Google Services y/y %</t>
        </is>
      </c>
      <c r="C34" s="23" t="n"/>
      <c r="D34" s="255">
        <f>IF(AND(ISNUMBER(D33),ISNUMBER(C33)),IFERROR(D33/C33-1,""),"")</f>
      </c>
      <c r="E34" s="255">
        <f>IF(AND(ISNUMBER(E33),ISNUMBER(D33)),IFERROR(E33/D33-1,""),"")</f>
      </c>
      <c r="F34" s="255">
        <f>IF(AND(ISNUMBER(F33),ISNUMBER(E33)),IFERROR(F33/E33-1,""),"")</f>
      </c>
      <c r="G34" s="255">
        <f>IF(AND(ISNUMBER(G33),ISNUMBER(F33)),IFERROR(G33/F33-1,""),"")</f>
      </c>
      <c r="H34" s="255">
        <f>IF(AND(ISNUMBER(H33),ISNUMBER(G33)),IFERROR(H33/G33-1,""),"")</f>
      </c>
      <c r="I34" s="255">
        <f>IF(AND(ISNUMBER(I33),ISNUMBER(H33)),IFERROR(I33/H33-1,""),"")</f>
      </c>
      <c r="J34" s="23" t="n"/>
      <c r="K34" s="23" t="n"/>
      <c r="L34" s="23" t="n"/>
      <c r="M34" s="23" t="n"/>
      <c r="N34" s="255">
        <f>IF(AND(ISNUMBER(N33),ISNUMBER(I33)),IFERROR(N33/I33-1,""),"")</f>
      </c>
      <c r="O34" s="255">
        <f>IF(AND(ISNUMBER(O33),ISNUMBER(J33)),IFERROR(O33/J33-1,""),"")</f>
      </c>
      <c r="P34" s="255">
        <f>IF(AND(ISNUMBER(P33),ISNUMBER(K33)),IFERROR(P33/K33-1,""),"")</f>
      </c>
      <c r="Q34" s="255">
        <f>IF(AND(ISNUMBER(Q33),ISNUMBER(L33)),IFERROR(Q33/L33-1,""),"")</f>
      </c>
      <c r="R34" s="255">
        <f>IF(AND(ISNUMBER(R33),ISNUMBER(M33)),IFERROR(R33/M33-1,""),"")</f>
      </c>
      <c r="S34" s="255">
        <f>IF(AND(ISNUMBER(S33),ISNUMBER(N33)),IFERROR(S33/N33-1,""),"")</f>
      </c>
      <c r="T34" s="255">
        <f>IF(AND(ISNUMBER(T33),ISNUMBER(O33)),IFERROR(T33/O33-1,""),"")</f>
      </c>
      <c r="U34" s="255">
        <f>IF(AND(ISNUMBER(U33),ISNUMBER(P33)),IFERROR(U33/P33-1,""),"")</f>
      </c>
      <c r="V34" s="255">
        <f>IF(AND(ISNUMBER(V33),ISNUMBER(Q33)),IFERROR(V33/Q33-1,""),"")</f>
      </c>
      <c r="W34" s="255">
        <f>IF(AND(ISNUMBER(W33),ISNUMBER(R33)),IFERROR(W33/R33-1,""),"")</f>
      </c>
      <c r="X34" s="255">
        <f>IF(AND(ISNUMBER(X33),ISNUMBER(S33)),IFERROR(X33/S33-1,""),"")</f>
      </c>
      <c r="Y34" s="255">
        <f>IF(AND(ISNUMBER(Y33),ISNUMBER(T33)),IFERROR(Y33/T33-1,""),"")</f>
      </c>
      <c r="Z34" s="255">
        <f>IF(AND(ISNUMBER(Z33),ISNUMBER(U33)),IFERROR(Z33/U33-1,""),"")</f>
      </c>
      <c r="AA34" s="255">
        <f>IF(AND(ISNUMBER(AA33),ISNUMBER(V33)),IFERROR(AA33/V33-1,""),"")</f>
      </c>
      <c r="AB34" s="255">
        <f>IF(AND(ISNUMBER(AB33),ISNUMBER(W33)),IFERROR(AB33/W33-1,""),"")</f>
      </c>
      <c r="AC34" s="255">
        <f>IF(AND(ISNUMBER(AC33),ISNUMBER(X33)),IFERROR(AC33/X33-1,""),"")</f>
      </c>
      <c r="AD34" s="255">
        <f>IF(AND(ISNUMBER(AD33),ISNUMBER(Y33)),IFERROR(AD33/Y33-1,""),"")</f>
      </c>
      <c r="AE34" s="255">
        <f>IF(AND(ISNUMBER(AE33),ISNUMBER(Z33)),IFERROR(AE33/Z33-1,""),"")</f>
      </c>
      <c r="AF34" s="255">
        <f>IF(AND(ISNUMBER(AF33),ISNUMBER(AA33)),IFERROR(AF33/AA33-1,""),"")</f>
      </c>
      <c r="AG34" s="255">
        <f>IF(AND(ISNUMBER(AG33),ISNUMBER(AB33)),IFERROR(AG33/AB33-1,""),"")</f>
      </c>
      <c r="AH34" s="255">
        <f>IF(AND(ISNUMBER(AH33),ISNUMBER(AC33)),IFERROR(AH33/AC33-1,""),"")</f>
      </c>
      <c r="AI34" s="255">
        <f>IF(AND(ISNUMBER(AI33),ISNUMBER(AD33)),IFERROR(AI33/AD33-1,""),"")</f>
      </c>
      <c r="AJ34" s="255">
        <f>IF(AND(ISNUMBER(AJ33),ISNUMBER(AE33)),IFERROR(AJ33/AE33-1,""),"")</f>
      </c>
      <c r="AK34" s="255">
        <f>IF(AND(ISNUMBER(AK33),ISNUMBER(AF33)),IFERROR(AK33/AF33-1,""),"")</f>
      </c>
      <c r="AL34" s="255">
        <f>IF(AND(ISNUMBER(AL33),ISNUMBER(AG33)),IFERROR(AL33/AG33-1,""),"")</f>
      </c>
      <c r="AM34" s="255">
        <f>IF(AND(ISNUMBER(AM33),ISNUMBER(AH33)),IFERROR(AM33/AH33-1,""),"")</f>
        <v>0.225681043468462</v>
      </c>
      <c r="AN34" s="255">
        <f>IF(AND(ISNUMBER(AN33),ISNUMBER(AI33)),IFERROR(AN33/AI33-1,""),"")</f>
      </c>
      <c r="AO34" s="255">
        <f>IF(AND(ISNUMBER(AO33),ISNUMBER(AJ33)),IFERROR(AO33/AJ33-1,""),"")</f>
      </c>
      <c r="AP34" s="255">
        <f>IF(AND(ISNUMBER(AP33),ISNUMBER(AK33)),IFERROR(AP33/AK33-1,""),"")</f>
      </c>
      <c r="AQ34" s="255">
        <f>IF(AND(ISNUMBER(AQ33),ISNUMBER(AL33)),IFERROR(AQ33/AL33-1,""),"")</f>
      </c>
      <c r="AR34" s="255">
        <f>IF(AND(ISNUMBER(AR33),ISNUMBER(AM33)),IFERROR(AR33/AM33-1,""),"")</f>
        <v>0.163196040574913</v>
      </c>
      <c r="AS34" s="255">
        <f>IF(AND(ISNUMBER(AS33),ISNUMBER(AN33)),IFERROR(AS33/AN33-1,""),"")</f>
        <v>0.116672026193469</v>
      </c>
      <c r="AT34" s="255">
        <f>IF(AND(ISNUMBER(AT33),ISNUMBER(AO33)),IFERROR(AT33/AO33-1,""),"")</f>
        <v>-0.0432821129764314</v>
      </c>
      <c r="AU34" s="255">
        <f>IF(AND(ISNUMBER(AU33),ISNUMBER(AP33)),IFERROR(AU33/AP33-1,""),"")</f>
        <v>0.124900914231359</v>
      </c>
      <c r="AV34" s="255">
        <f>IF(AND(ISNUMBER(AV33),ISNUMBER(AQ33)),IFERROR(AV33/AQ33-1,""),"")</f>
        <v>0.223968702254734</v>
      </c>
      <c r="AW34" s="255">
        <f>IF(AND(ISNUMBER(AW33),ISNUMBER(AR33)),IFERROR(AW33/AR33-1,""),"")</f>
        <v>0.110719578462045</v>
      </c>
      <c r="AX34" s="255">
        <f>IF(AND(ISNUMBER(AX33),ISNUMBER(AS33)),IFERROR(AX33/AS33-1,""),"")</f>
        <v>0.339808366930206</v>
      </c>
      <c r="AY34" s="255">
        <f>IF(AND(ISNUMBER(AY33),ISNUMBER(AT33)),IFERROR(AY33/AT33-1,""),"")</f>
        <v>0.630905089880255</v>
      </c>
      <c r="AZ34" s="255">
        <f>IF(AND(ISNUMBER(AZ33),ISNUMBER(AU33)),IFERROR(AZ33/AU33-1,""),"")</f>
        <v>0.40661921875367</v>
      </c>
      <c r="BA34" s="255">
        <f>IF(AND(ISNUMBER(BA33),ISNUMBER(AV33)),IFERROR(BA33/AV33-1,""),"")</f>
        <v>0.312579199213209</v>
      </c>
      <c r="BB34" s="255">
        <f>IF(AND(ISNUMBER(BB33),ISNUMBER(AW33)),IFERROR(BB33/AW33-1,""),"")</f>
        <v>0.408539152607703</v>
      </c>
      <c r="BC34" s="255">
        <f>IF(AND(ISNUMBER(BC33),ISNUMBER(AX33)),IFERROR(BC33/AX33-1,""),"")</f>
        <v>0.20114111532299</v>
      </c>
      <c r="BD34" s="255">
        <f>IF(AND(ISNUMBER(BD33),ISNUMBER(AY33)),IFERROR(BD33/AY33-1,""),"")</f>
        <v>0.101179315541381</v>
      </c>
      <c r="BE34" s="255">
        <f>IF(AND(ISNUMBER(BE33),ISNUMBER(AZ33)),IFERROR(BE33/AZ33-1,""),"")</f>
        <v>0.0249315342996459</v>
      </c>
      <c r="BF34" s="255">
        <f>IF(AND(ISNUMBER(BF33),ISNUMBER(BA33)),IFERROR(BF33/BA33-1,""),"")</f>
        <v>-0.022507204610951</v>
      </c>
      <c r="BG34" s="255">
        <f>IF(AND(ISNUMBER(BG33),ISNUMBER(BB33)),IFERROR(BG33/BB33-1,""),"")</f>
        <v>0.0673559860059192</v>
      </c>
      <c r="BH34" s="255">
        <f>IF(AND(ISNUMBER(BH33),ISNUMBER(BC33)),IFERROR(BH33/BC33-1,""),"")</f>
        <v>0.00795484122852685</v>
      </c>
      <c r="BI34" s="255">
        <f>IF(AND(ISNUMBER(BI33),ISNUMBER(BD33)),IFERROR(BI33/BD33-1,""),"")</f>
        <v>0.0548049840072564</v>
      </c>
      <c r="BJ34" s="255">
        <f>IF(AND(ISNUMBER(BJ33),ISNUMBER(BE33)),IFERROR(BJ33/BE33-1,""),"")</f>
        <v>0.107678772178503</v>
      </c>
      <c r="BK34" s="255">
        <f>IF(AND(ISNUMBER(BK33),ISNUMBER(BF33)),IFERROR(BK33/BF33-1,""),"")</f>
        <v>0.124900498245821</v>
      </c>
      <c r="BL34" s="255">
        <f>IF(AND(ISNUMBER(BL33),ISNUMBER(BG33)),IFERROR(BL33/BG33-1,""),"")</f>
        <v>0.0750015777350037</v>
      </c>
      <c r="BM34" s="255">
        <f>IF(AND(ISNUMBER(BM33),ISNUMBER(BH33)),IFERROR(BM33/BH33-1,""),"")</f>
        <v>0.136166298155291</v>
      </c>
      <c r="BN34" s="255">
        <f>IF(AND(ISNUMBER(BN33),ISNUMBER(BI33)),IFERROR(BN33/BI33-1,""),"")</f>
        <v>0.115305121822433</v>
      </c>
      <c r="BO34" s="255">
        <f>IF(AND(ISNUMBER(BO33),ISNUMBER(BJ33)),IFERROR(BO33/BJ33-1,""),"")</f>
        <v>0.125378754449446</v>
      </c>
      <c r="BP34" s="255">
        <f>IF(AND(ISNUMBER(BP33),ISNUMBER(BK33)),IFERROR(BP33/BK33-1,""),"")</f>
        <v>0.101990538716568</v>
      </c>
      <c r="BQ34" s="255">
        <f>IF(AND(ISNUMBER(BQ33),ISNUMBER(BL33)),IFERROR(BQ33/BL33-1,""),"")</f>
        <v>0.118832624576672</v>
      </c>
      <c r="BR34" s="255">
        <f>IF(AND(ISNUMBER(BR33),ISNUMBER(BM33)),IFERROR(BR33/BM33-1,""),"")</f>
        <v>0.0975311798630643</v>
      </c>
      <c r="BS34" s="255">
        <f>IF(AND(ISNUMBER(BS33),ISNUMBER(BN33)),IFERROR(BS33/BN33-1,""),"")</f>
        <v>0.11653230169895</v>
      </c>
      <c r="BT34" s="255">
        <f>IF(AND(ISNUMBER(BT33),ISNUMBER(BO33)),IFERROR(BT33/BO33-1,""),"")</f>
        <v>0.137785910338518</v>
      </c>
      <c r="BU34" s="255">
        <f>IF(AND(ISNUMBER(BU33),ISNUMBER(BP33)),IFERROR(BU33/BP33-1,""),"")</f>
        <v>0.139938640093229</v>
      </c>
      <c r="BV34" s="255">
        <f>IF(AND(ISNUMBER(BV33),ISNUMBER(BQ33)),IFERROR(BV33/BQ33-1,""),"")</f>
        <v>0.123933361755157</v>
      </c>
      <c r="BW34" s="255">
        <f>IF(AND(ISNUMBER(BW33),ISNUMBER(BR33)),IFERROR(BW33/BR33-1,""),"")</f>
        <v>0.160139262787327</v>
      </c>
      <c r="BX34" s="255">
        <f>IF(AND(ISNUMBER(BX33),ISNUMBER(BS33)),IFERROR(BX33/BS33-1,""),"")</f>
        <v>0.145342427583199</v>
      </c>
      <c r="BY34" s="256">
        <f>IF(AND(ISNUMBER(BY33),ISNUMBER(BT33)),IFERROR(BY33/BT33-1,""),"")</f>
        <v>0.153766854316562</v>
      </c>
      <c r="BZ34" s="256">
        <f>IF(AND(ISNUMBER(BZ33),ISNUMBER(BU33)),IFERROR(BZ33/BU33-1,""),"")</f>
        <v>0.154326760901089</v>
      </c>
      <c r="CA34" s="256">
        <f>IF(AND(ISNUMBER(CA33),ISNUMBER(BV33)),IFERROR(CA33/BV33-1,""),"")</f>
        <v>0.153331089006701</v>
      </c>
      <c r="CB34" s="256">
        <f>IF(AND(ISNUMBER(CB33),ISNUMBER(CA33)),IFERROR(CB33/CA33-1,""),"")</f>
        <v>0.103963217623037</v>
      </c>
      <c r="CC34" s="256">
        <f>IF(AND(ISNUMBER(CC33),ISNUMBER(CB33)),IFERROR(CC33/CB33-1,""),"")</f>
        <v>0.0877960428858338</v>
      </c>
      <c r="CD34" s="256">
        <f>IF(AND(ISNUMBER(CD33),ISNUMBER(CC33)),IFERROR(CD33/CC33-1,""),"")</f>
        <v>0.0793572752464349</v>
      </c>
      <c r="CE34" s="256">
        <f>IF(AND(ISNUMBER(CE33),ISNUMBER(CD33)),IFERROR(CE33/CD33-1,""),"")</f>
        <v>0.0706591962246836</v>
      </c>
      <c r="CF34" s="153" t="n"/>
      <c r="CN34" s="15" t="inlineStr">
        <is>
          <t>YOUTUBE (YouTube ads y/y)</t>
        </is>
      </c>
      <c r="CO34" s="41" t="n">
        <v>0.02</v>
      </c>
      <c r="CP34" s="21" t="inlineStr">
        <is>
          <t>Δ →</t>
        </is>
      </c>
      <c r="CQ34" s="41" t="n">
        <v>-0.04</v>
      </c>
      <c r="CR34" s="13" t="inlineStr">
        <is>
          <t>1H26 +11.8% (FY2025 +11.7%). Assumption.</t>
        </is>
      </c>
    </row>
    <row r="35" ht="15" customHeight="1" s="251">
      <c r="B35" s="156" t="inlineStr">
        <is>
          <t xml:space="preserve">  Memo: Google Services segment revenues as reported (segment note)</t>
        </is>
      </c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253" t="n">
        <v>130524</v>
      </c>
      <c r="AN35" s="34" t="n"/>
      <c r="AO35" s="34" t="n"/>
      <c r="AP35" s="34" t="n"/>
      <c r="AQ35" s="34" t="n"/>
      <c r="AR35" s="253" t="n">
        <v>151825</v>
      </c>
      <c r="AS35" s="253" t="n">
        <v>38198</v>
      </c>
      <c r="AT35" s="253" t="n">
        <v>34991</v>
      </c>
      <c r="AU35" s="253" t="n">
        <v>42573</v>
      </c>
      <c r="AV35" s="253" t="n">
        <v>52873</v>
      </c>
      <c r="AW35" s="253" t="n">
        <v>168635</v>
      </c>
      <c r="AX35" s="253" t="n">
        <v>51178</v>
      </c>
      <c r="AY35" s="253" t="n">
        <v>57067</v>
      </c>
      <c r="AZ35" s="253" t="n">
        <v>59884</v>
      </c>
      <c r="BA35" s="253" t="n">
        <v>69400</v>
      </c>
      <c r="BB35" s="253" t="n">
        <v>237529</v>
      </c>
      <c r="BC35" s="253" t="n">
        <v>61472</v>
      </c>
      <c r="BD35" s="253" t="n">
        <v>62841</v>
      </c>
      <c r="BE35" s="253" t="n">
        <v>61377</v>
      </c>
      <c r="BF35" s="253" t="n">
        <v>67838</v>
      </c>
      <c r="BG35" s="253" t="n">
        <v>253528</v>
      </c>
      <c r="BH35" s="253" t="n">
        <v>61961</v>
      </c>
      <c r="BI35" s="253" t="n">
        <v>66285</v>
      </c>
      <c r="BJ35" s="253" t="n">
        <v>67986</v>
      </c>
      <c r="BK35" s="253" t="n">
        <v>76311</v>
      </c>
      <c r="BL35" s="253" t="n">
        <v>272543</v>
      </c>
      <c r="BM35" s="253" t="n">
        <v>70398</v>
      </c>
      <c r="BN35" s="253" t="n">
        <v>73928</v>
      </c>
      <c r="BO35" s="253" t="n">
        <v>76510</v>
      </c>
      <c r="BP35" s="253" t="n">
        <v>84094</v>
      </c>
      <c r="BQ35" s="253" t="n">
        <v>304930</v>
      </c>
      <c r="BR35" s="253" t="n">
        <v>77264</v>
      </c>
      <c r="BS35" s="253" t="n">
        <v>82543</v>
      </c>
      <c r="BT35" s="253" t="n">
        <v>87052</v>
      </c>
      <c r="BU35" s="253" t="n">
        <v>95862</v>
      </c>
      <c r="BV35" s="253" t="n">
        <v>342721</v>
      </c>
      <c r="BW35" s="253" t="n">
        <v>89637</v>
      </c>
      <c r="BX35" s="253" t="n">
        <v>94540</v>
      </c>
      <c r="BY35" s="153" t="n"/>
      <c r="BZ35" s="153" t="n"/>
      <c r="CA35" s="153" t="n"/>
      <c r="CB35" s="153" t="n"/>
      <c r="CC35" s="153" t="n"/>
      <c r="CD35" s="153" t="n"/>
      <c r="CE35" s="153" t="n"/>
      <c r="CF35" s="153" t="n"/>
      <c r="CN35" s="25" t="inlineStr">
        <is>
          <t xml:space="preserve">  2027E</t>
        </is>
      </c>
      <c r="CO35" s="33">
        <f>CP35+$CO$34</f>
        <v>0.13</v>
      </c>
      <c r="CP35" s="42" t="n">
        <v>0.11</v>
      </c>
      <c r="CQ35" s="33">
        <f>CP35+$CQ$34</f>
        <v>0.07</v>
      </c>
    </row>
    <row r="36" ht="15" customHeight="1" s="251">
      <c r="B36" s="57" t="inlineStr">
        <is>
          <t xml:space="preserve">  Check: revenue types vs Google Services segment revenues (should be 0)</t>
        </is>
      </c>
      <c r="C36" s="211">
        <f>IF(AND(ISNUMBER(C33),ISNUMBER(C35)),IF(ABS(C33-C35)&lt;=1,0,ROUND(C33-C35,0)),"")</f>
      </c>
      <c r="D36" s="211">
        <f>IF(AND(ISNUMBER(D33),ISNUMBER(D35)),IF(ABS(D33-D35)&lt;=1,0,ROUND(D33-D35,0)),"")</f>
      </c>
      <c r="E36" s="211">
        <f>IF(AND(ISNUMBER(E33),ISNUMBER(E35)),IF(ABS(E33-E35)&lt;=1,0,ROUND(E33-E35,0)),"")</f>
      </c>
      <c r="F36" s="211">
        <f>IF(AND(ISNUMBER(F33),ISNUMBER(F35)),IF(ABS(F33-F35)&lt;=1,0,ROUND(F33-F35,0)),"")</f>
      </c>
      <c r="G36" s="211">
        <f>IF(AND(ISNUMBER(G33),ISNUMBER(G35)),IF(ABS(G33-G35)&lt;=1,0,ROUND(G33-G35,0)),"")</f>
      </c>
      <c r="H36" s="211">
        <f>IF(AND(ISNUMBER(H33),ISNUMBER(H35)),IF(ABS(H33-H35)&lt;=1,0,ROUND(H33-H35,0)),"")</f>
      </c>
      <c r="I36" s="211">
        <f>IF(AND(ISNUMBER(I33),ISNUMBER(I35)),IF(ABS(I33-I35)&lt;=1,0,ROUND(I33-I35,0)),"")</f>
      </c>
      <c r="J36" s="211">
        <f>IF(AND(ISNUMBER(J33),ISNUMBER(J35)),IF(ABS(J33-J35)&lt;=1,0,ROUND(J33-J35,0)),"")</f>
      </c>
      <c r="K36" s="211">
        <f>IF(AND(ISNUMBER(K33),ISNUMBER(K35)),IF(ABS(K33-K35)&lt;=1,0,ROUND(K33-K35,0)),"")</f>
      </c>
      <c r="L36" s="211">
        <f>IF(AND(ISNUMBER(L33),ISNUMBER(L35)),IF(ABS(L33-L35)&lt;=1,0,ROUND(L33-L35,0)),"")</f>
      </c>
      <c r="M36" s="211">
        <f>IF(AND(ISNUMBER(M33),ISNUMBER(M35)),IF(ABS(M33-M35)&lt;=1,0,ROUND(M33-M35,0)),"")</f>
      </c>
      <c r="N36" s="211">
        <f>IF(AND(ISNUMBER(N33),ISNUMBER(N35)),IF(ABS(N33-N35)&lt;=1,0,ROUND(N33-N35,0)),"")</f>
      </c>
      <c r="O36" s="211">
        <f>IF(AND(ISNUMBER(O33),ISNUMBER(O35)),IF(ABS(O33-O35)&lt;=1,0,ROUND(O33-O35,0)),"")</f>
      </c>
      <c r="P36" s="211">
        <f>IF(AND(ISNUMBER(P33),ISNUMBER(P35)),IF(ABS(P33-P35)&lt;=1,0,ROUND(P33-P35,0)),"")</f>
      </c>
      <c r="Q36" s="211">
        <f>IF(AND(ISNUMBER(Q33),ISNUMBER(Q35)),IF(ABS(Q33-Q35)&lt;=1,0,ROUND(Q33-Q35,0)),"")</f>
      </c>
      <c r="R36" s="211">
        <f>IF(AND(ISNUMBER(R33),ISNUMBER(R35)),IF(ABS(R33-R35)&lt;=1,0,ROUND(R33-R35,0)),"")</f>
      </c>
      <c r="S36" s="211">
        <f>IF(AND(ISNUMBER(S33),ISNUMBER(S35)),IF(ABS(S33-S35)&lt;=1,0,ROUND(S33-S35,0)),"")</f>
      </c>
      <c r="T36" s="211">
        <f>IF(AND(ISNUMBER(T33),ISNUMBER(T35)),IF(ABS(T33-T35)&lt;=1,0,ROUND(T33-T35,0)),"")</f>
      </c>
      <c r="U36" s="211">
        <f>IF(AND(ISNUMBER(U33),ISNUMBER(U35)),IF(ABS(U33-U35)&lt;=1,0,ROUND(U33-U35,0)),"")</f>
      </c>
      <c r="V36" s="211">
        <f>IF(AND(ISNUMBER(V33),ISNUMBER(V35)),IF(ABS(V33-V35)&lt;=1,0,ROUND(V33-V35,0)),"")</f>
      </c>
      <c r="W36" s="211">
        <f>IF(AND(ISNUMBER(W33),ISNUMBER(W35)),IF(ABS(W33-W35)&lt;=1,0,ROUND(W33-W35,0)),"")</f>
      </c>
      <c r="X36" s="211">
        <f>IF(AND(ISNUMBER(X33),ISNUMBER(X35)),IF(ABS(X33-X35)&lt;=1,0,ROUND(X33-X35,0)),"")</f>
      </c>
      <c r="Y36" s="211">
        <f>IF(AND(ISNUMBER(Y33),ISNUMBER(Y35)),IF(ABS(Y33-Y35)&lt;=1,0,ROUND(Y33-Y35,0)),"")</f>
      </c>
      <c r="Z36" s="211">
        <f>IF(AND(ISNUMBER(Z33),ISNUMBER(Z35)),IF(ABS(Z33-Z35)&lt;=1,0,ROUND(Z33-Z35,0)),"")</f>
      </c>
      <c r="AA36" s="211">
        <f>IF(AND(ISNUMBER(AA33),ISNUMBER(AA35)),IF(ABS(AA33-AA35)&lt;=1,0,ROUND(AA33-AA35,0)),"")</f>
      </c>
      <c r="AB36" s="211">
        <f>IF(AND(ISNUMBER(AB33),ISNUMBER(AB35)),IF(ABS(AB33-AB35)&lt;=1,0,ROUND(AB33-AB35,0)),"")</f>
      </c>
      <c r="AC36" s="211">
        <f>IF(AND(ISNUMBER(AC33),ISNUMBER(AC35)),IF(ABS(AC33-AC35)&lt;=1,0,ROUND(AC33-AC35,0)),"")</f>
      </c>
      <c r="AD36" s="211">
        <f>IF(AND(ISNUMBER(AD33),ISNUMBER(AD35)),IF(ABS(AD33-AD35)&lt;=1,0,ROUND(AD33-AD35,0)),"")</f>
      </c>
      <c r="AE36" s="211">
        <f>IF(AND(ISNUMBER(AE33),ISNUMBER(AE35)),IF(ABS(AE33-AE35)&lt;=1,0,ROUND(AE33-AE35,0)),"")</f>
      </c>
      <c r="AF36" s="211">
        <f>IF(AND(ISNUMBER(AF33),ISNUMBER(AF35)),IF(ABS(AF33-AF35)&lt;=1,0,ROUND(AF33-AF35,0)),"")</f>
      </c>
      <c r="AG36" s="211">
        <f>IF(AND(ISNUMBER(AG33),ISNUMBER(AG35)),IF(ABS(AG33-AG35)&lt;=1,0,ROUND(AG33-AG35,0)),"")</f>
      </c>
      <c r="AH36" s="211">
        <f>IF(AND(ISNUMBER(AH33),ISNUMBER(AH35)),IF(ABS(AH33-AH35)&lt;=1,0,ROUND(AH33-AH35,0)),"")</f>
      </c>
      <c r="AI36" s="211">
        <f>IF(AND(ISNUMBER(AI33),ISNUMBER(AI35)),IF(ABS(AI33-AI35)&lt;=1,0,ROUND(AI33-AI35,0)),"")</f>
      </c>
      <c r="AJ36" s="211">
        <f>IF(AND(ISNUMBER(AJ33),ISNUMBER(AJ35)),IF(ABS(AJ33-AJ35)&lt;=1,0,ROUND(AJ33-AJ35,0)),"")</f>
      </c>
      <c r="AK36" s="211">
        <f>IF(AND(ISNUMBER(AK33),ISNUMBER(AK35)),IF(ABS(AK33-AK35)&lt;=1,0,ROUND(AK33-AK35,0)),"")</f>
      </c>
      <c r="AL36" s="211">
        <f>IF(AND(ISNUMBER(AL33),ISNUMBER(AL35)),IF(ABS(AL33-AL35)&lt;=1,0,ROUND(AL33-AL35,0)),"")</f>
      </c>
      <c r="AM36" s="211">
        <f>IF(AND(ISNUMBER(AM33),ISNUMBER(AM35)),IF(ABS(AM33-AM35)&lt;=1,0,ROUND(AM33-AM35,0)),"")</f>
        <v>0</v>
      </c>
      <c r="AN36" s="211">
        <f>IF(AND(ISNUMBER(AN33),ISNUMBER(AN35)),IF(ABS(AN33-AN35)&lt;=1,0,ROUND(AN33-AN35,0)),"")</f>
      </c>
      <c r="AO36" s="211">
        <f>IF(AND(ISNUMBER(AO33),ISNUMBER(AO35)),IF(ABS(AO33-AO35)&lt;=1,0,ROUND(AO33-AO35,0)),"")</f>
      </c>
      <c r="AP36" s="211">
        <f>IF(AND(ISNUMBER(AP33),ISNUMBER(AP35)),IF(ABS(AP33-AP35)&lt;=1,0,ROUND(AP33-AP35,0)),"")</f>
      </c>
      <c r="AQ36" s="211">
        <f>IF(AND(ISNUMBER(AQ33),ISNUMBER(AQ35)),IF(ABS(AQ33-AQ35)&lt;=1,0,ROUND(AQ33-AQ35,0)),"")</f>
      </c>
      <c r="AR36" s="211">
        <f>IF(AND(ISNUMBER(AR33),ISNUMBER(AR35)),IF(ABS(AR33-AR35)&lt;=1,0,ROUND(AR33-AR35,0)),"")</f>
        <v>0</v>
      </c>
      <c r="AS36" s="211">
        <f>IF(AND(ISNUMBER(AS33),ISNUMBER(AS35)),IF(ABS(AS33-AS35)&lt;=1,0,ROUND(AS33-AS35,0)),"")</f>
        <v>0</v>
      </c>
      <c r="AT36" s="211">
        <f>IF(AND(ISNUMBER(AT33),ISNUMBER(AT35)),IF(ABS(AT33-AT35)&lt;=1,0,ROUND(AT33-AT35,0)),"")</f>
        <v>0</v>
      </c>
      <c r="AU36" s="211">
        <f>IF(AND(ISNUMBER(AU33),ISNUMBER(AU35)),IF(ABS(AU33-AU35)&lt;=1,0,ROUND(AU33-AU35,0)),"")</f>
        <v>0</v>
      </c>
      <c r="AV36" s="211">
        <f>IF(AND(ISNUMBER(AV33),ISNUMBER(AV35)),IF(ABS(AV33-AV35)&lt;=1,0,ROUND(AV33-AV35,0)),"")</f>
        <v>0</v>
      </c>
      <c r="AW36" s="211">
        <f>IF(AND(ISNUMBER(AW33),ISNUMBER(AW35)),IF(ABS(AW33-AW35)&lt;=1,0,ROUND(AW33-AW35,0)),"")</f>
        <v>0</v>
      </c>
      <c r="AX36" s="211">
        <f>IF(AND(ISNUMBER(AX33),ISNUMBER(AX35)),IF(ABS(AX33-AX35)&lt;=1,0,ROUND(AX33-AX35,0)),"")</f>
        <v>0</v>
      </c>
      <c r="AY36" s="211">
        <f>IF(AND(ISNUMBER(AY33),ISNUMBER(AY35)),IF(ABS(AY33-AY35)&lt;=1,0,ROUND(AY33-AY35,0)),"")</f>
        <v>0</v>
      </c>
      <c r="AZ36" s="211">
        <f>IF(AND(ISNUMBER(AZ33),ISNUMBER(AZ35)),IF(ABS(AZ33-AZ35)&lt;=1,0,ROUND(AZ33-AZ35,0)),"")</f>
        <v>0</v>
      </c>
      <c r="BA36" s="211">
        <f>IF(AND(ISNUMBER(BA33),ISNUMBER(BA35)),IF(ABS(BA33-BA35)&lt;=1,0,ROUND(BA33-BA35,0)),"")</f>
        <v>0</v>
      </c>
      <c r="BB36" s="211">
        <f>IF(AND(ISNUMBER(BB33),ISNUMBER(BB35)),IF(ABS(BB33-BB35)&lt;=1,0,ROUND(BB33-BB35,0)),"")</f>
        <v>0</v>
      </c>
      <c r="BC36" s="211">
        <f>IF(AND(ISNUMBER(BC33),ISNUMBER(BC35)),IF(ABS(BC33-BC35)&lt;=1,0,ROUND(BC33-BC35,0)),"")</f>
        <v>0</v>
      </c>
      <c r="BD36" s="211">
        <f>IF(AND(ISNUMBER(BD33),ISNUMBER(BD35)),IF(ABS(BD33-BD35)&lt;=1,0,ROUND(BD33-BD35,0)),"")</f>
        <v>0</v>
      </c>
      <c r="BE36" s="211">
        <f>IF(AND(ISNUMBER(BE33),ISNUMBER(BE35)),IF(ABS(BE33-BE35)&lt;=1,0,ROUND(BE33-BE35,0)),"")</f>
        <v>0</v>
      </c>
      <c r="BF36" s="211">
        <f>IF(AND(ISNUMBER(BF33),ISNUMBER(BF35)),IF(ABS(BF33-BF35)&lt;=1,0,ROUND(BF33-BF35,0)),"")</f>
        <v>0</v>
      </c>
      <c r="BG36" s="211">
        <f>IF(AND(ISNUMBER(BG33),ISNUMBER(BG35)),IF(ABS(BG33-BG35)&lt;=1,0,ROUND(BG33-BG35,0)),"")</f>
        <v>0</v>
      </c>
      <c r="BH36" s="211">
        <f>IF(AND(ISNUMBER(BH33),ISNUMBER(BH35)),IF(ABS(BH33-BH35)&lt;=1,0,ROUND(BH33-BH35,0)),"")</f>
        <v>0</v>
      </c>
      <c r="BI36" s="211">
        <f>IF(AND(ISNUMBER(BI33),ISNUMBER(BI35)),IF(ABS(BI33-BI35)&lt;=1,0,ROUND(BI33-BI35,0)),"")</f>
        <v>0</v>
      </c>
      <c r="BJ36" s="211">
        <f>IF(AND(ISNUMBER(BJ33),ISNUMBER(BJ35)),IF(ABS(BJ33-BJ35)&lt;=1,0,ROUND(BJ33-BJ35,0)),"")</f>
        <v>0</v>
      </c>
      <c r="BK36" s="211">
        <f>IF(AND(ISNUMBER(BK33),ISNUMBER(BK35)),IF(ABS(BK33-BK35)&lt;=1,0,ROUND(BK33-BK35,0)),"")</f>
        <v>0</v>
      </c>
      <c r="BL36" s="211">
        <f>IF(AND(ISNUMBER(BL33),ISNUMBER(BL35)),IF(ABS(BL33-BL35)&lt;=1,0,ROUND(BL33-BL35,0)),"")</f>
        <v>0</v>
      </c>
      <c r="BM36" s="211">
        <f>IF(AND(ISNUMBER(BM33),ISNUMBER(BM35)),IF(ABS(BM33-BM35)&lt;=1,0,ROUND(BM33-BM35,0)),"")</f>
        <v>0</v>
      </c>
      <c r="BN36" s="211">
        <f>IF(AND(ISNUMBER(BN33),ISNUMBER(BN35)),IF(ABS(BN33-BN35)&lt;=1,0,ROUND(BN33-BN35,0)),"")</f>
        <v>0</v>
      </c>
      <c r="BO36" s="211">
        <f>IF(AND(ISNUMBER(BO33),ISNUMBER(BO35)),IF(ABS(BO33-BO35)&lt;=1,0,ROUND(BO33-BO35,0)),"")</f>
        <v>0</v>
      </c>
      <c r="BP36" s="211">
        <f>IF(AND(ISNUMBER(BP33),ISNUMBER(BP35)),IF(ABS(BP33-BP35)&lt;=1,0,ROUND(BP33-BP35,0)),"")</f>
        <v>0</v>
      </c>
      <c r="BQ36" s="211">
        <f>IF(AND(ISNUMBER(BQ33),ISNUMBER(BQ35)),IF(ABS(BQ33-BQ35)&lt;=1,0,ROUND(BQ33-BQ35,0)),"")</f>
        <v>0</v>
      </c>
      <c r="BR36" s="211">
        <f>IF(AND(ISNUMBER(BR33),ISNUMBER(BR35)),IF(ABS(BR33-BR35)&lt;=1,0,ROUND(BR33-BR35,0)),"")</f>
        <v>0</v>
      </c>
      <c r="BS36" s="211">
        <f>IF(AND(ISNUMBER(BS33),ISNUMBER(BS35)),IF(ABS(BS33-BS35)&lt;=1,0,ROUND(BS33-BS35,0)),"")</f>
        <v>0</v>
      </c>
      <c r="BT36" s="211">
        <f>IF(AND(ISNUMBER(BT33),ISNUMBER(BT35)),IF(ABS(BT33-BT35)&lt;=1,0,ROUND(BT33-BT35,0)),"")</f>
        <v>0</v>
      </c>
      <c r="BU36" s="211">
        <f>IF(AND(ISNUMBER(BU33),ISNUMBER(BU35)),IF(ABS(BU33-BU35)&lt;=1,0,ROUND(BU33-BU35,0)),"")</f>
        <v>0</v>
      </c>
      <c r="BV36" s="211">
        <f>IF(AND(ISNUMBER(BV33),ISNUMBER(BV35)),IF(ABS(BV33-BV35)&lt;=1,0,ROUND(BV33-BV35,0)),"")</f>
        <v>0</v>
      </c>
      <c r="BW36" s="211">
        <f>IF(AND(ISNUMBER(BW33),ISNUMBER(BW35)),IF(ABS(BW33-BW35)&lt;=1,0,ROUND(BW33-BW35,0)),"")</f>
        <v>0</v>
      </c>
      <c r="BX36" s="211">
        <f>IF(AND(ISNUMBER(BX33),ISNUMBER(BX35)),IF(ABS(BX33-BX35)&lt;=1,0,ROUND(BX33-BX35,0)),"")</f>
        <v>0</v>
      </c>
      <c r="BY36" s="153" t="n"/>
      <c r="BZ36" s="153" t="n"/>
      <c r="CA36" s="153" t="n"/>
      <c r="CB36" s="153" t="n"/>
      <c r="CC36" s="153" t="n"/>
      <c r="CD36" s="153" t="n"/>
      <c r="CE36" s="153" t="n"/>
      <c r="CF36" s="153" t="n"/>
      <c r="CN36" s="25" t="inlineStr">
        <is>
          <t xml:space="preserve">  2028E</t>
        </is>
      </c>
      <c r="CO36" s="33">
        <f>CP36+$CO$34</f>
        <v>0.12</v>
      </c>
      <c r="CP36" s="42" t="n">
        <v>0.1</v>
      </c>
      <c r="CQ36" s="33">
        <f>CP36+$CQ$34</f>
        <v>0.06</v>
      </c>
    </row>
    <row r="37" ht="15" customHeight="1" s="251">
      <c r="B37" s="25" t="inlineStr">
        <is>
          <t xml:space="preserve">  Google advertising (Search + YouTube + Network)</t>
        </is>
      </c>
      <c r="C37" s="211">
        <f>IF(ISNUMBER(C11),C11+C14+C17,"")</f>
      </c>
      <c r="D37" s="211">
        <f>IF(ISNUMBER(D11),D11+D14+D17,"")</f>
      </c>
      <c r="E37" s="211">
        <f>IF(ISNUMBER(E11),E11+E14+E17,"")</f>
      </c>
      <c r="F37" s="211">
        <f>IF(ISNUMBER(F11),F11+F14+F17,"")</f>
      </c>
      <c r="G37" s="211">
        <f>IF(ISNUMBER(G11),G11+G14+G17,"")</f>
      </c>
      <c r="H37" s="211">
        <f>IF(ISNUMBER(H11),H11+H14+H17,"")</f>
      </c>
      <c r="I37" s="211">
        <f>IF(ISNUMBER(I11),I11+I14+I17,"")</f>
      </c>
      <c r="J37" s="211">
        <f>IF(ISNUMBER(J11),J11+J14+J17,"")</f>
      </c>
      <c r="K37" s="211">
        <f>IF(ISNUMBER(K11),K11+K14+K17,"")</f>
      </c>
      <c r="L37" s="211">
        <f>IF(ISNUMBER(L11),L11+L14+L17,"")</f>
      </c>
      <c r="M37" s="211">
        <f>IF(ISNUMBER(M11),M11+M14+M17,"")</f>
      </c>
      <c r="N37" s="211">
        <f>IF(ISNUMBER(N11),N11+N14+N17,"")</f>
      </c>
      <c r="O37" s="211">
        <f>IF(ISNUMBER(O11),O11+O14+O17,"")</f>
      </c>
      <c r="P37" s="211">
        <f>IF(ISNUMBER(P11),P11+P14+P17,"")</f>
      </c>
      <c r="Q37" s="211">
        <f>IF(ISNUMBER(Q11),Q11+Q14+Q17,"")</f>
      </c>
      <c r="R37" s="211">
        <f>IF(ISNUMBER(R11),R11+R14+R17,"")</f>
      </c>
      <c r="S37" s="211">
        <f>IF(ISNUMBER(S11),S11+S14+S17,"")</f>
      </c>
      <c r="T37" s="211">
        <f>IF(ISNUMBER(T11),T11+T14+T17,"")</f>
      </c>
      <c r="U37" s="211">
        <f>IF(ISNUMBER(U11),U11+U14+U17,"")</f>
      </c>
      <c r="V37" s="211">
        <f>IF(ISNUMBER(V11),V11+V14+V17,"")</f>
      </c>
      <c r="W37" s="211">
        <f>IF(ISNUMBER(W11),W11+W14+W17,"")</f>
      </c>
      <c r="X37" s="211">
        <f>IF(ISNUMBER(X11),X11+X14+X17,"")</f>
      </c>
      <c r="Y37" s="211">
        <f>IF(ISNUMBER(Y11),Y11+Y14+Y17,"")</f>
      </c>
      <c r="Z37" s="211">
        <f>IF(ISNUMBER(Z11),Z11+Z14+Z17,"")</f>
      </c>
      <c r="AA37" s="211">
        <f>IF(ISNUMBER(AA11),AA11+AA14+AA17,"")</f>
      </c>
      <c r="AB37" s="211">
        <f>IF(ISNUMBER(AB11),AB11+AB14+AB17,"")</f>
      </c>
      <c r="AC37" s="211">
        <f>IF(ISNUMBER(AC11),AC11+AC14+AC17,"")</f>
      </c>
      <c r="AD37" s="211">
        <f>IF(ISNUMBER(AD11),AD11+AD14+AD17,"")</f>
      </c>
      <c r="AE37" s="211">
        <f>IF(ISNUMBER(AE11),AE11+AE14+AE17,"")</f>
      </c>
      <c r="AF37" s="211">
        <f>IF(ISNUMBER(AF11),AF11+AF14+AF17,"")</f>
      </c>
      <c r="AG37" s="211">
        <f>IF(ISNUMBER(AG11),AG11+AG14+AG17,"")</f>
      </c>
      <c r="AH37" s="211">
        <f>IF(ISNUMBER(AH11),AH11+AH14+AH17,"")</f>
        <v>95577</v>
      </c>
      <c r="AI37" s="211">
        <f>IF(ISNUMBER(AI11),AI11+AI14+AI17,"")</f>
      </c>
      <c r="AJ37" s="211">
        <f>IF(ISNUMBER(AJ11),AJ11+AJ14+AJ17,"")</f>
      </c>
      <c r="AK37" s="211">
        <f>IF(ISNUMBER(AK11),AK11+AK14+AK17,"")</f>
      </c>
      <c r="AL37" s="211">
        <f>IF(ISNUMBER(AL11),AL11+AL14+AL17,"")</f>
      </c>
      <c r="AM37" s="211">
        <f>IF(ISNUMBER(AM11),AM11+AM14+AM17,"")</f>
        <v>116461</v>
      </c>
      <c r="AN37" s="211">
        <f>IF(ISNUMBER(AN11),AN11+AN14+AN17,"")</f>
        <v>30587</v>
      </c>
      <c r="AO37" s="211">
        <f>IF(ISNUMBER(AO11),AO11+AO14+AO17,"")</f>
        <v>32494</v>
      </c>
      <c r="AP37" s="211">
        <f>IF(ISNUMBER(AP11),AP11+AP14+AP17,"")</f>
        <v>33796</v>
      </c>
      <c r="AQ37" s="211">
        <f>IF(ISNUMBER(AQ11),AQ11+AQ14+AQ17,"")</f>
        <v>37934</v>
      </c>
      <c r="AR37" s="211">
        <f>IF(ISNUMBER(AR11),AR11+AR14+AR17,"")</f>
        <v>134811</v>
      </c>
      <c r="AS37" s="211">
        <f>IF(ISNUMBER(AS11),AS11+AS14+AS17,"")</f>
        <v>33763</v>
      </c>
      <c r="AT37" s="211">
        <f>IF(ISNUMBER(AT11),AT11+AT14+AT17,"")</f>
        <v>29867</v>
      </c>
      <c r="AU37" s="211">
        <f>IF(ISNUMBER(AU11),AU11+AU14+AU17,"")</f>
        <v>37095</v>
      </c>
      <c r="AV37" s="211">
        <f>IF(ISNUMBER(AV11),AV11+AV14+AV17,"")</f>
        <v>46199</v>
      </c>
      <c r="AW37" s="211">
        <f>IF(ISNUMBER(AW11),AW11+AW14+AW17,"")</f>
        <v>146924</v>
      </c>
      <c r="AX37" s="211">
        <f>IF(ISNUMBER(AX11),AX11+AX14+AX17,"")</f>
        <v>44684</v>
      </c>
      <c r="AY37" s="211">
        <f>IF(ISNUMBER(AY11),AY11+AY14+AY17,"")</f>
        <v>50444</v>
      </c>
      <c r="AZ37" s="211">
        <f>IF(ISNUMBER(AZ11),AZ11+AZ14+AZ17,"")</f>
        <v>53130</v>
      </c>
      <c r="BA37" s="211">
        <f>IF(ISNUMBER(BA11),BA11+BA14+BA17,"")</f>
        <v>61239</v>
      </c>
      <c r="BB37" s="211">
        <f>IF(ISNUMBER(BB11),BB11+BB14+BB17,"")</f>
        <v>209497</v>
      </c>
      <c r="BC37" s="211">
        <f>IF(ISNUMBER(BC11),BC11+BC14+BC17,"")</f>
        <v>54661</v>
      </c>
      <c r="BD37" s="211">
        <f>IF(ISNUMBER(BD11),BD11+BD14+BD17,"")</f>
        <v>56288</v>
      </c>
      <c r="BE37" s="211">
        <f>IF(ISNUMBER(BE11),BE11+BE14+BE17,"")</f>
        <v>54482</v>
      </c>
      <c r="BF37" s="211">
        <f>IF(ISNUMBER(BF11),BF11+BF14+BF17,"")</f>
        <v>59042</v>
      </c>
      <c r="BG37" s="211">
        <f>IF(ISNUMBER(BG11),BG11+BG14+BG17,"")</f>
        <v>224473</v>
      </c>
      <c r="BH37" s="211">
        <f>IF(ISNUMBER(BH11),BH11+BH14+BH17,"")</f>
        <v>54548</v>
      </c>
      <c r="BI37" s="211">
        <f>IF(ISNUMBER(BI11),BI11+BI14+BI17,"")</f>
        <v>58143</v>
      </c>
      <c r="BJ37" s="211">
        <f>IF(ISNUMBER(BJ11),BJ11+BJ14+BJ17,"")</f>
        <v>59647</v>
      </c>
      <c r="BK37" s="211">
        <f>IF(ISNUMBER(BK11),BK11+BK14+BK17,"")</f>
        <v>65517</v>
      </c>
      <c r="BL37" s="211">
        <f>IF(ISNUMBER(BL11),BL11+BL14+BL17,"")</f>
        <v>237855</v>
      </c>
      <c r="BM37" s="211">
        <f>IF(ISNUMBER(BM11),BM11+BM14+BM17,"")</f>
        <v>61659</v>
      </c>
      <c r="BN37" s="211">
        <f>IF(ISNUMBER(BN11),BN11+BN14+BN17,"")</f>
        <v>64616</v>
      </c>
      <c r="BO37" s="211">
        <f>IF(ISNUMBER(BO11),BO11+BO14+BO17,"")</f>
        <v>65854</v>
      </c>
      <c r="BP37" s="211">
        <f>IF(ISNUMBER(BP11),BP11+BP14+BP17,"")</f>
        <v>72461</v>
      </c>
      <c r="BQ37" s="211">
        <f>IF(ISNUMBER(BQ11),BQ11+BQ14+BQ17,"")</f>
        <v>264590</v>
      </c>
      <c r="BR37" s="211">
        <f>IF(ISNUMBER(BR11),BR11+BR14+BR17,"")</f>
        <v>66885</v>
      </c>
      <c r="BS37" s="211">
        <f>IF(ISNUMBER(BS11),BS11+BS14+BS17,"")</f>
        <v>71340</v>
      </c>
      <c r="BT37" s="211">
        <f>IF(ISNUMBER(BT11),BT11+BT14+BT17,"")</f>
        <v>74182</v>
      </c>
      <c r="BU37" s="211">
        <f>IF(ISNUMBER(BU11),BU11+BU14+BU17,"")</f>
        <v>82284</v>
      </c>
      <c r="BV37" s="211">
        <f>IF(ISNUMBER(BV11),BV11+BV14+BV17,"")</f>
        <v>294691</v>
      </c>
      <c r="BW37" s="211">
        <f>IF(ISNUMBER(BW11),BW11+BW14+BW17,"")</f>
        <v>77253</v>
      </c>
      <c r="BX37" s="211">
        <f>IF(ISNUMBER(BX11),BX11+BX14+BX17,"")</f>
        <v>81629</v>
      </c>
      <c r="BY37" s="254">
        <f>IF(ISNUMBER(BY11),BY11+BY14+BY17,"")</f>
        <v>85353.5378900388</v>
      </c>
      <c r="BZ37" s="254">
        <f>IF(ISNUMBER(BZ11),BZ11+BZ14+BZ17,"")</f>
        <v>94742.0922481902</v>
      </c>
      <c r="CA37" s="254">
        <f>IF(ISNUMBER(CA11),CA11+CA14+CA17,"")</f>
        <v>338977.630138229</v>
      </c>
      <c r="CB37" s="254">
        <f>IF(ISNUMBER(CB11),CB11+CB14+CB17,"")</f>
        <v>372190.211128999</v>
      </c>
      <c r="CC37" s="254">
        <f>IF(ISNUMBER(CC11),CC11+CC14+CC17,"")</f>
        <v>402800.375824685</v>
      </c>
      <c r="CD37" s="254">
        <f>IF(ISNUMBER(CD11),CD11+CD14+CD17,"")</f>
        <v>432563.067241572</v>
      </c>
      <c r="CE37" s="254">
        <f>IF(ISNUMBER(CE11),CE11+CE14+CE17,"")</f>
        <v>460786.776662282</v>
      </c>
      <c r="CF37" s="19" t="n"/>
      <c r="CH37" s="20">
        <f>IFERROR((CE37/BV37)^(1/5)-1,"n/m")</f>
        <v>0.0935197393996983</v>
      </c>
      <c r="CI37" s="20">
        <f>IFERROR((BV37/AW37)^(1/5)-1,"n/m")</f>
        <v>0.149356684069468</v>
      </c>
      <c r="CJ37" s="20" t="str">
        <f>IFERROR((BV37/X37)^(1/10)-1,"n/m")</f>
        <v>n/m</v>
      </c>
      <c r="CK37" s="20" t="str">
        <f>IFERROR((BV37/C37)^(1/19)-1,"n/m")</f>
        <v>n/m</v>
      </c>
      <c r="CN37" s="25" t="inlineStr">
        <is>
          <t xml:space="preserve">  2029E</t>
        </is>
      </c>
      <c r="CO37" s="33">
        <f>CP37+$CO$34</f>
        <v>0.11</v>
      </c>
      <c r="CP37" s="42" t="n">
        <v>0.09</v>
      </c>
      <c r="CQ37" s="33">
        <f>CP37+$CQ$34</f>
        <v>0.05</v>
      </c>
    </row>
    <row r="38" ht="15" customHeight="1" s="251">
      <c r="B38" s="25" t="inlineStr">
        <is>
          <t xml:space="preserve">  Google Cloud % of total revenues</t>
        </is>
      </c>
      <c r="C38" s="215">
        <f>IF(AND(ISNUMBER(C23),ISNUMBER(C132)),IFERROR(C23/C132,""),"")</f>
      </c>
      <c r="D38" s="215">
        <f>IF(AND(ISNUMBER(D23),ISNUMBER(D132)),IFERROR(D23/D132,""),"")</f>
      </c>
      <c r="E38" s="215">
        <f>IF(AND(ISNUMBER(E23),ISNUMBER(E132)),IFERROR(E23/E132,""),"")</f>
      </c>
      <c r="F38" s="215">
        <f>IF(AND(ISNUMBER(F23),ISNUMBER(F132)),IFERROR(F23/F132,""),"")</f>
      </c>
      <c r="G38" s="215">
        <f>IF(AND(ISNUMBER(G23),ISNUMBER(G132)),IFERROR(G23/G132,""),"")</f>
      </c>
      <c r="H38" s="215">
        <f>IF(AND(ISNUMBER(H23),ISNUMBER(H132)),IFERROR(H23/H132,""),"")</f>
      </c>
      <c r="I38" s="215">
        <f>IF(AND(ISNUMBER(I23),ISNUMBER(I132)),IFERROR(I23/I132,""),"")</f>
      </c>
      <c r="J38" s="215">
        <f>IF(AND(ISNUMBER(J23),ISNUMBER(J132)),IFERROR(J23/J132,""),"")</f>
      </c>
      <c r="K38" s="215">
        <f>IF(AND(ISNUMBER(K23),ISNUMBER(K132)),IFERROR(K23/K132,""),"")</f>
      </c>
      <c r="L38" s="215">
        <f>IF(AND(ISNUMBER(L23),ISNUMBER(L132)),IFERROR(L23/L132,""),"")</f>
      </c>
      <c r="M38" s="215">
        <f>IF(AND(ISNUMBER(M23),ISNUMBER(M132)),IFERROR(M23/M132,""),"")</f>
      </c>
      <c r="N38" s="215">
        <f>IF(AND(ISNUMBER(N23),ISNUMBER(N132)),IFERROR(N23/N132,""),"")</f>
      </c>
      <c r="O38" s="215">
        <f>IF(AND(ISNUMBER(O23),ISNUMBER(O132)),IFERROR(O23/O132,""),"")</f>
      </c>
      <c r="P38" s="215">
        <f>IF(AND(ISNUMBER(P23),ISNUMBER(P132)),IFERROR(P23/P132,""),"")</f>
      </c>
      <c r="Q38" s="215">
        <f>IF(AND(ISNUMBER(Q23),ISNUMBER(Q132)),IFERROR(Q23/Q132,""),"")</f>
      </c>
      <c r="R38" s="215">
        <f>IF(AND(ISNUMBER(R23),ISNUMBER(R132)),IFERROR(R23/R132,""),"")</f>
      </c>
      <c r="S38" s="215">
        <f>IF(AND(ISNUMBER(S23),ISNUMBER(S132)),IFERROR(S23/S132,""),"")</f>
      </c>
      <c r="T38" s="215">
        <f>IF(AND(ISNUMBER(T23),ISNUMBER(T132)),IFERROR(T23/T132,""),"")</f>
      </c>
      <c r="U38" s="215">
        <f>IF(AND(ISNUMBER(U23),ISNUMBER(U132)),IFERROR(U23/U132,""),"")</f>
      </c>
      <c r="V38" s="215">
        <f>IF(AND(ISNUMBER(V23),ISNUMBER(V132)),IFERROR(V23/V132,""),"")</f>
      </c>
      <c r="W38" s="215">
        <f>IF(AND(ISNUMBER(W23),ISNUMBER(W132)),IFERROR(W23/W132,""),"")</f>
      </c>
      <c r="X38" s="215">
        <f>IF(AND(ISNUMBER(X23),ISNUMBER(X132)),IFERROR(X23/X132,""),"")</f>
      </c>
      <c r="Y38" s="215">
        <f>IF(AND(ISNUMBER(Y23),ISNUMBER(Y132)),IFERROR(Y23/Y132,""),"")</f>
      </c>
      <c r="Z38" s="215">
        <f>IF(AND(ISNUMBER(Z23),ISNUMBER(Z132)),IFERROR(Z23/Z132,""),"")</f>
      </c>
      <c r="AA38" s="215">
        <f>IF(AND(ISNUMBER(AA23),ISNUMBER(AA132)),IFERROR(AA23/AA132,""),"")</f>
      </c>
      <c r="AB38" s="215">
        <f>IF(AND(ISNUMBER(AB23),ISNUMBER(AB132)),IFERROR(AB23/AB132,""),"")</f>
      </c>
      <c r="AC38" s="215">
        <f>IF(AND(ISNUMBER(AC23),ISNUMBER(AC132)),IFERROR(AC23/AC132,""),"")</f>
      </c>
      <c r="AD38" s="215">
        <f>IF(AND(ISNUMBER(AD23),ISNUMBER(AD132)),IFERROR(AD23/AD132,""),"")</f>
      </c>
      <c r="AE38" s="215">
        <f>IF(AND(ISNUMBER(AE23),ISNUMBER(AE132)),IFERROR(AE23/AE132,""),"")</f>
      </c>
      <c r="AF38" s="215">
        <f>IF(AND(ISNUMBER(AF23),ISNUMBER(AF132)),IFERROR(AF23/AF132,""),"")</f>
      </c>
      <c r="AG38" s="215">
        <f>IF(AND(ISNUMBER(AG23),ISNUMBER(AG132)),IFERROR(AG23/AG132,""),"")</f>
      </c>
      <c r="AH38" s="215">
        <f>IF(AND(ISNUMBER(AH23),ISNUMBER(AH132)),IFERROR(AH23/AH132,""),"")</f>
        <v>0.0365883361147445</v>
      </c>
      <c r="AI38" s="215">
        <f>IF(AND(ISNUMBER(AI23),ISNUMBER(AI132)),IFERROR(AI23/AI132,""),"")</f>
      </c>
      <c r="AJ38" s="215">
        <f>IF(AND(ISNUMBER(AJ23),ISNUMBER(AJ132)),IFERROR(AJ23/AJ132,""),"")</f>
      </c>
      <c r="AK38" s="215">
        <f>IF(AND(ISNUMBER(AK23),ISNUMBER(AK132)),IFERROR(AK23/AK132,""),"")</f>
      </c>
      <c r="AL38" s="215">
        <f>IF(AND(ISNUMBER(AL23),ISNUMBER(AL132)),IFERROR(AL23/AL132,""),"")</f>
      </c>
      <c r="AM38" s="215">
        <f>IF(AND(ISNUMBER(AM23),ISNUMBER(AM132)),IFERROR(AM23/AM132,""),"")</f>
        <v>0.0426695122753419</v>
      </c>
      <c r="AN38" s="215">
        <f>IF(AND(ISNUMBER(AN23),ISNUMBER(AN132)),IFERROR(AN23/AN132,""),"")</f>
        <v>0.0502215250832439</v>
      </c>
      <c r="AO38" s="215">
        <f>IF(AND(ISNUMBER(AO23),ISNUMBER(AO132)),IFERROR(AO23/AO132,""),"")</f>
        <v>0.053923582580115</v>
      </c>
      <c r="AP38" s="215">
        <f>IF(AND(ISNUMBER(AP23),ISNUMBER(AP132)),IFERROR(AP23/AP132,""),"")</f>
        <v>0.058742191165214</v>
      </c>
      <c r="AQ38" s="215">
        <f>IF(AND(ISNUMBER(AQ23),ISNUMBER(AQ132)),IFERROR(AQ23/AQ132,""),"")</f>
        <v>0.0567335865436788</v>
      </c>
      <c r="AR38" s="215">
        <f>IF(AND(ISNUMBER(AR23),ISNUMBER(AR132)),IFERROR(AR23/AR132,""),"")</f>
        <v>0.0550980186213757</v>
      </c>
      <c r="AS38" s="215">
        <f>IF(AND(ISNUMBER(AS23),ISNUMBER(AS132)),IFERROR(AS23/AS132,""),"")</f>
        <v>0.0674700551519716</v>
      </c>
      <c r="AT38" s="215">
        <f>IF(AND(ISNUMBER(AT23),ISNUMBER(AT132)),IFERROR(AT23/AT132,""),"")</f>
        <v>0.0785178995743792</v>
      </c>
      <c r="AU38" s="215">
        <f>IF(AND(ISNUMBER(AU23),ISNUMBER(AU132)),IFERROR(AU23/AU132,""),"")</f>
        <v>0.0745890455460984</v>
      </c>
      <c r="AV38" s="215">
        <f>IF(AND(ISNUMBER(AV23),ISNUMBER(AV132)),IFERROR(AV23/AV132,""),"")</f>
        <v>0.0673310133923864</v>
      </c>
      <c r="AW38" s="215">
        <f>IF(AND(ISNUMBER(AW23),ISNUMBER(AW132)),IFERROR(AW23/AW132,""),"")</f>
        <v>0.0715455795580928</v>
      </c>
      <c r="AX38" s="215">
        <f>IF(AND(ISNUMBER(AX23),ISNUMBER(AX132)),IFERROR(AX23/AX132,""),"")</f>
        <v>0.073164117583252</v>
      </c>
      <c r="AY38" s="215">
        <f>IF(AND(ISNUMBER(AY23),ISNUMBER(AY132)),IFERROR(AY23/AY132,""),"")</f>
        <v>0.0747899159663866</v>
      </c>
      <c r="AZ38" s="215">
        <f>IF(AND(ISNUMBER(AZ23),ISNUMBER(AZ132)),IFERROR(AZ23/AZ132,""),"")</f>
        <v>0.0766301176326054</v>
      </c>
      <c r="BA38" s="215">
        <f>IF(AND(ISNUMBER(BA23),ISNUMBER(BA132)),IFERROR(BA23/BA132,""),"")</f>
        <v>0.0735612346498507</v>
      </c>
      <c r="BB38" s="215">
        <f>IF(AND(ISNUMBER(BB23),ISNUMBER(BB132)),IFERROR(BB23/BB132,""),"")</f>
        <v>0.0745467460030974</v>
      </c>
      <c r="BC38" s="215">
        <f>IF(AND(ISNUMBER(BC23),ISNUMBER(BC132)),IFERROR(BC23/BC132,""),"")</f>
        <v>0.0855890958815486</v>
      </c>
      <c r="BD38" s="215">
        <f>IF(AND(ISNUMBER(BD23),ISNUMBER(BD132)),IFERROR(BD23/BD132,""),"")</f>
        <v>0.0900624237640812</v>
      </c>
      <c r="BE38" s="215">
        <f>IF(AND(ISNUMBER(BE23),ISNUMBER(BE132)),IFERROR(BE23/BE132,""),"")</f>
        <v>0.0994036936258901</v>
      </c>
      <c r="BF38" s="215">
        <f>IF(AND(ISNUMBER(BF23),ISNUMBER(BF132)),IFERROR(BF23/BF132,""),"")</f>
        <v>0.0961892488954345</v>
      </c>
      <c r="BG38" s="215">
        <f>IF(AND(ISNUMBER(BG23),ISNUMBER(BG132)),IFERROR(BG23/BG132,""),"")</f>
        <v>0.0929160361481565</v>
      </c>
      <c r="BH38" s="215">
        <f>IF(AND(ISNUMBER(BH23),ISNUMBER(BH132)),IFERROR(BH23/BH132,""),"")</f>
        <v>0.106810724060355</v>
      </c>
      <c r="BI38" s="215">
        <f>IF(AND(ISNUMBER(BI23),ISNUMBER(BI132)),IFERROR(BI23/BI132,""),"")</f>
        <v>0.107648383464694</v>
      </c>
      <c r="BJ38" s="215">
        <f>IF(AND(ISNUMBER(BJ23),ISNUMBER(BJ132)),IFERROR(BJ23/BJ132,""),"")</f>
        <v>0.109671026038882</v>
      </c>
      <c r="BK38" s="215">
        <f>IF(AND(ISNUMBER(BK23),ISNUMBER(BK132)),IFERROR(BK23/BK132,""),"")</f>
        <v>0.106499826207855</v>
      </c>
      <c r="BL38" s="215">
        <f>IF(AND(ISNUMBER(BL23),ISNUMBER(BL132)),IFERROR(BL23/BL132,""),"")</f>
        <v>0.107640357326428</v>
      </c>
      <c r="BM38" s="215">
        <f>IF(AND(ISNUMBER(BM23),ISNUMBER(BM132)),IFERROR(BM23/BM132,""),"")</f>
        <v>0.118874085846608</v>
      </c>
      <c r="BN38" s="215">
        <f>IF(AND(ISNUMBER(BN23),ISNUMBER(BN132)),IFERROR(BN23/BN132,""),"")</f>
        <v>0.122100021240943</v>
      </c>
      <c r="BO38" s="215">
        <f>IF(AND(ISNUMBER(BO23),ISNUMBER(BO132)),IFERROR(BO23/BO132,""),"")</f>
        <v>0.128619658313319</v>
      </c>
      <c r="BP38" s="215">
        <f>IF(AND(ISNUMBER(BP23),ISNUMBER(BP132)),IFERROR(BP23/BP132,""),"")</f>
        <v>0.123925820729975</v>
      </c>
      <c r="BQ38" s="215">
        <f>IF(AND(ISNUMBER(BQ23),ISNUMBER(BQ132)),IFERROR(BQ23/BQ132,""),"")</f>
        <v>0.12350507688176</v>
      </c>
      <c r="BR38" s="215">
        <f>IF(AND(ISNUMBER(BR23),ISNUMBER(BR132)),IFERROR(BR23/BR132,""),"")</f>
        <v>0.135868962918634</v>
      </c>
      <c r="BS38" s="215">
        <f>IF(AND(ISNUMBER(BS23),ISNUMBER(BS132)),IFERROR(BS23/BS132,""),"")</f>
        <v>0.141286763180819</v>
      </c>
      <c r="BT38" s="215">
        <f>IF(AND(ISNUMBER(BT23),ISNUMBER(BT132)),IFERROR(BT23/BT132,""),"")</f>
        <v>0.148095675453853</v>
      </c>
      <c r="BU38" s="215">
        <f>IF(AND(ISNUMBER(BU23),ISNUMBER(BU132)),IFERROR(BU23/BU132,""),"")</f>
        <v>0.155180138628996</v>
      </c>
      <c r="BV38" s="215">
        <f>IF(AND(ISNUMBER(BV23),ISNUMBER(BV132)),IFERROR(BV23/BV132,""),"")</f>
        <v>0.14572927940899</v>
      </c>
      <c r="BW38" s="215">
        <f>IF(AND(ISNUMBER(BW23),ISNUMBER(BW132)),IFERROR(BW23/BW132,""),"")</f>
        <v>0.182245031666303</v>
      </c>
      <c r="BX38" s="215">
        <f>IF(AND(ISNUMBER(BX23),ISNUMBER(BX132)),IFERROR(BX23/BX132,""),"")</f>
        <v>0.20675147751177</v>
      </c>
      <c r="BY38" s="256">
        <f>IF(AND(ISNUMBER(BY23),ISNUMBER(BY132)),IFERROR(BY23/BY132,""),"")</f>
        <v>0.20654538391961</v>
      </c>
      <c r="BZ38" s="256">
        <f>IF(AND(ISNUMBER(BZ23),ISNUMBER(BZ132)),IFERROR(BZ23/BZ132,""),"")</f>
        <v>0.215916955892862</v>
      </c>
      <c r="CA38" s="256">
        <f>IF(AND(ISNUMBER(CA23),ISNUMBER(CA132)),IFERROR(CA23/CA132,""),"")</f>
        <v>0.203898312830983</v>
      </c>
      <c r="CB38" s="256">
        <f>IF(AND(ISNUMBER(CB23),ISNUMBER(CB132)),IFERROR(CB23/CB132,""),"")</f>
        <v>0.251872714875992</v>
      </c>
      <c r="CC38" s="256">
        <f>IF(AND(ISNUMBER(CC23),ISNUMBER(CC132)),IFERROR(CC23/CC132,""),"")</f>
        <v>0.28981895930075</v>
      </c>
      <c r="CD38" s="256">
        <f>IF(AND(ISNUMBER(CD23),ISNUMBER(CD132)),IFERROR(CD23/CD132,""),"")</f>
        <v>0.320671385587076</v>
      </c>
      <c r="CE38" s="256">
        <f>IF(AND(ISNUMBER(CE23),ISNUMBER(CE132)),IFERROR(CE23/CE132,""),"")</f>
        <v>0.345698778692817</v>
      </c>
      <c r="CF38" s="153" t="n"/>
      <c r="CH38" s="37">
        <f>IFERROR(AVERAGE(CA38,CB38,CC38,CD38,CE38),"n/m")</f>
        <v>0.282392030257523</v>
      </c>
      <c r="CI38" s="37">
        <f>IFERROR(AVERAGE(BB38,BG38,BL38,BQ38,BV38),"n/m")</f>
        <v>0.108867499153687</v>
      </c>
      <c r="CJ38" s="37">
        <f>IFERROR(AVERAGE(AC38,AH38,AM38,AR38,AW38,BB38,BG38,BL38,BQ38,BV38),"n/m")</f>
        <v>0.0833598824819986</v>
      </c>
      <c r="CK38" s="37">
        <f>IFERROR(AVERAGE(C38,D38,E38,F38,G38,H38,I38,N38,S38,X38,AC38,AH38,AM38,AR38,AW38,BB38,BG38,BL38,BQ38,BV38),"n/m")</f>
        <v>0.0833598824819986</v>
      </c>
      <c r="CN38" s="25" t="inlineStr">
        <is>
          <t xml:space="preserve">  2030E</t>
        </is>
      </c>
      <c r="CO38" s="33">
        <f>CP38+$CO$34</f>
        <v>0.1</v>
      </c>
      <c r="CP38" s="42" t="n">
        <v>0.08</v>
      </c>
      <c r="CQ38" s="33">
        <f>CP38+$CQ$34</f>
        <v>0.04</v>
      </c>
    </row>
    <row r="39" ht="15" customHeight="1" s="251">
      <c r="B39" s="22" t="inlineStr">
        <is>
          <t xml:space="preserve">  Contribution to revenue growth — Google Services (pp)</t>
        </is>
      </c>
      <c r="C39" s="23" t="n"/>
      <c r="D39" s="255">
        <f>IFERROR((D33-C33)/C132,"")</f>
      </c>
      <c r="E39" s="255">
        <f>IFERROR((E33-D33)/D132,"")</f>
      </c>
      <c r="F39" s="255">
        <f>IFERROR((F33-E33)/E132,"")</f>
      </c>
      <c r="G39" s="255">
        <f>IFERROR((G33-F33)/F132,"")</f>
      </c>
      <c r="H39" s="255">
        <f>IFERROR((H33-G33)/G132,"")</f>
      </c>
      <c r="I39" s="255">
        <f>IFERROR((I33-H33)/H132,"")</f>
      </c>
      <c r="J39" s="23" t="n"/>
      <c r="K39" s="23" t="n"/>
      <c r="L39" s="23" t="n"/>
      <c r="M39" s="23" t="n"/>
      <c r="N39" s="255">
        <f>IFERROR((N33-I33)/I132,"")</f>
      </c>
      <c r="O39" s="255">
        <f>IFERROR((O33-J33)/J132,"")</f>
      </c>
      <c r="P39" s="255">
        <f>IFERROR((P33-K33)/K132,"")</f>
      </c>
      <c r="Q39" s="255">
        <f>IFERROR((Q33-L33)/L132,"")</f>
      </c>
      <c r="R39" s="255">
        <f>IFERROR((R33-M33)/M132,"")</f>
      </c>
      <c r="S39" s="255">
        <f>IFERROR((S33-N33)/N132,"")</f>
      </c>
      <c r="T39" s="255">
        <f>IFERROR((T33-O33)/O132,"")</f>
      </c>
      <c r="U39" s="255">
        <f>IFERROR((U33-P33)/P132,"")</f>
      </c>
      <c r="V39" s="255">
        <f>IFERROR((V33-Q33)/Q132,"")</f>
      </c>
      <c r="W39" s="255">
        <f>IFERROR((W33-R33)/R132,"")</f>
      </c>
      <c r="X39" s="255">
        <f>IFERROR((X33-S33)/S132,"")</f>
      </c>
      <c r="Y39" s="255">
        <f>IFERROR((Y33-T33)/T132,"")</f>
      </c>
      <c r="Z39" s="255">
        <f>IFERROR((Z33-U33)/U132,"")</f>
      </c>
      <c r="AA39" s="255">
        <f>IFERROR((AA33-V33)/V132,"")</f>
      </c>
      <c r="AB39" s="255">
        <f>IFERROR((AB33-W33)/W132,"")</f>
      </c>
      <c r="AC39" s="255">
        <f>IFERROR((AC33-X33)/X132,"")</f>
      </c>
      <c r="AD39" s="255">
        <f>IFERROR((AD33-Y33)/Y132,"")</f>
      </c>
      <c r="AE39" s="255">
        <f>IFERROR((AE33-Z33)/Z132,"")</f>
      </c>
      <c r="AF39" s="255">
        <f>IFERROR((AF33-AA33)/AA132,"")</f>
      </c>
      <c r="AG39" s="255">
        <f>IFERROR((AG33-AB33)/AB132,"")</f>
      </c>
      <c r="AH39" s="255">
        <f>IFERROR((AH33-AC33)/AC132,"")</f>
      </c>
      <c r="AI39" s="255">
        <f>IFERROR((AI33-AD33)/AD132,"")</f>
      </c>
      <c r="AJ39" s="255">
        <f>IFERROR((AJ33-AE33)/AE132,"")</f>
      </c>
      <c r="AK39" s="255">
        <f>IFERROR((AK33-AF33)/AF132,"")</f>
      </c>
      <c r="AL39" s="255">
        <f>IFERROR((AL33-AG33)/AG132,"")</f>
      </c>
      <c r="AM39" s="255">
        <f>IFERROR((AM33-AH33)/AH132,"")</f>
        <v>0.216796716431374</v>
      </c>
      <c r="AN39" s="255">
        <f>IFERROR((AN33-AI33)/AI132,"")</f>
      </c>
      <c r="AO39" s="255">
        <f>IFERROR((AO33-AJ33)/AJ132,"")</f>
      </c>
      <c r="AP39" s="255">
        <f>IFERROR((AP33-AK33)/AK132,"")</f>
      </c>
      <c r="AQ39" s="255">
        <f>IFERROR((AQ33-AL33)/AL132,"")</f>
      </c>
      <c r="AR39" s="255">
        <f>IFERROR((AR33-AM33)/AM132,"")</f>
        <v>0.155687441071781</v>
      </c>
      <c r="AS39" s="255">
        <f>IFERROR((AS33-AN33)/AN132,"")</f>
        <v>0.109826907729987</v>
      </c>
      <c r="AT39" s="255">
        <f>IFERROR((AT33-AO33)/AO132,"")</f>
        <v>-0.0406481101068201</v>
      </c>
      <c r="AU39" s="255">
        <f>IFERROR((AU33-AP33)/AP132,"")</f>
        <v>0.116718931331638</v>
      </c>
      <c r="AV39" s="255">
        <f>IFERROR((AV33-AQ33)/AQ132,"")</f>
        <v>0.209983722192078</v>
      </c>
      <c r="AW39" s="255">
        <f>IFERROR((AW33-AR33)/AR132,"")</f>
        <v>0.103857108435224</v>
      </c>
      <c r="AX39" s="255">
        <f>IFERROR((AX33-AS33)/AS132,"")</f>
        <v>0.315362375179183</v>
      </c>
      <c r="AY39" s="255">
        <f>IFERROR((AY33-AT33)/AT132,"")</f>
        <v>0.576442018957099</v>
      </c>
      <c r="AZ39" s="255">
        <f>IFERROR((AZ33-AU33)/AU132,"")</f>
        <v>0.374916076494921</v>
      </c>
      <c r="BA39" s="255">
        <f>IFERROR((BA33-AV33)/AV132,"")</f>
        <v>0.290467151745228</v>
      </c>
      <c r="BB39" s="255">
        <f>IFERROR((BB33-AW33)/AW132,"")</f>
        <v>0.377445528606727</v>
      </c>
      <c r="BC39" s="255">
        <f>IFERROR((BC33-AX33)/AX132,"")</f>
        <v>0.186101167877933</v>
      </c>
      <c r="BD39" s="255">
        <f>IFERROR((BD33-AY33)/AY132,"")</f>
        <v>0.0933096315449257</v>
      </c>
      <c r="BE39" s="255">
        <f>IFERROR((BE33-AZ33)/AZ132,"")</f>
        <v>0.0229276083417795</v>
      </c>
      <c r="BF39" s="255">
        <f>IFERROR((BF33-BA33)/BA132,"")</f>
        <v>-0.0207368071689346</v>
      </c>
      <c r="BG39" s="255">
        <f>IFERROR((BG33-BB33)/BB132,"")</f>
        <v>0.0620989997554699</v>
      </c>
      <c r="BH39" s="255">
        <f>IFERROR((BH33-BC33)/BC132,"")</f>
        <v>0.0071900133801885</v>
      </c>
      <c r="BI39" s="255">
        <f>IFERROR((BI33-BD33)/BD132,"")</f>
        <v>0.0494224008036163</v>
      </c>
      <c r="BJ39" s="255">
        <f>IFERROR((BJ33-BE33)/BE132,"")</f>
        <v>0.0956550686041799</v>
      </c>
      <c r="BK39" s="255">
        <f>IFERROR((BK33-BF33)/BF132,"")</f>
        <v>0.111416473806017</v>
      </c>
      <c r="BL39" s="255">
        <f>IFERROR((BL33-BG33)/BG132,"")</f>
        <v>0.0672297727304869</v>
      </c>
      <c r="BM39" s="255">
        <f>IFERROR((BM33-BH33)/BH132,"")</f>
        <v>0.120896442030751</v>
      </c>
      <c r="BN39" s="255">
        <f>IFERROR((BN33-BI33)/BI132,"")</f>
        <v>0.102447589941558</v>
      </c>
      <c r="BO39" s="255">
        <f>IFERROR((BO33-BJ33)/BJ132,"")</f>
        <v>0.1111444329991</v>
      </c>
      <c r="BP39" s="255">
        <f>IFERROR((BP33-BK33)/BK132,"")</f>
        <v>0.0901749507588924</v>
      </c>
      <c r="BQ39" s="255">
        <f>IFERROR((BQ33-BL33)/BL132,"")</f>
        <v>0.105359896419579</v>
      </c>
      <c r="BR39" s="255">
        <f>IFERROR((BR33-BM33)/BM132,"")</f>
        <v>0.08525062392133</v>
      </c>
      <c r="BS39" s="255">
        <f>IFERROR((BS33-BN33)/BN132,"")</f>
        <v>0.101661513771211</v>
      </c>
      <c r="BT39" s="255">
        <f>IFERROR((BT33-BO33)/BO132,"")</f>
        <v>0.11943173063851</v>
      </c>
      <c r="BU39" s="255">
        <f>IFERROR((BU33-BP33)/BP132,"")</f>
        <v>0.12198737418238</v>
      </c>
      <c r="BV39" s="255">
        <f>IFERROR((BV33-BQ33)/BQ132,"")</f>
        <v>0.107968733036587</v>
      </c>
      <c r="BW39" s="255">
        <f>IFERROR((BW33-BR33)/BR132,"")</f>
        <v>0.13712126249529</v>
      </c>
      <c r="BX39" s="255">
        <f>IFERROR((BX33-BS33)/BS132,"")</f>
        <v>0.1244140706019</v>
      </c>
      <c r="BY39" s="256">
        <f>IFERROR((BY33-BT33)/BT132,"")</f>
        <v>0.13078881638721</v>
      </c>
      <c r="BZ39" s="256">
        <f>IFERROR((BZ33-BU33)/BU132,"")</f>
        <v>0.129967512264011</v>
      </c>
      <c r="CA39" s="256">
        <f>IFERROR((CA33-BV33)/BV132,"")</f>
        <v>0.130449572916685</v>
      </c>
      <c r="CB39" s="256">
        <f>IFERROR((CB33-CA33)/CA132,"")</f>
        <v>0.0824717333760365</v>
      </c>
      <c r="CC39" s="256">
        <f>IFERROR((CC33-CB33)/CB132,"")</f>
        <v>0.0655019825186164</v>
      </c>
      <c r="CD39" s="256">
        <f>IFERROR((CD33-CC33)/CC132,"")</f>
        <v>0.0561416876079715</v>
      </c>
      <c r="CE39" s="256">
        <f>IFERROR((CE33-CD33)/CD132,"")</f>
        <v>0.047759089018805</v>
      </c>
      <c r="CF39" s="153" t="n"/>
      <c r="CN39" s="15" t="inlineStr">
        <is>
          <t>NETWORK (Google Network y/y)</t>
        </is>
      </c>
      <c r="CO39" s="41" t="n">
        <v>0.02</v>
      </c>
      <c r="CP39" s="21" t="inlineStr">
        <is>
          <t>Δ →</t>
        </is>
      </c>
      <c r="CQ39" s="41" t="n">
        <v>-0.03</v>
      </c>
      <c r="CR39" s="13" t="inlineStr">
        <is>
          <t>1H26 −2.3% (FY2025 −1.9%, FY2024 −3.0%): structural decline. Assumption.</t>
        </is>
      </c>
    </row>
    <row r="40" ht="15" customHeight="1" s="251">
      <c r="B40" s="22" t="inlineStr">
        <is>
          <t xml:space="preserve">  Contribution to revenue growth — Google Cloud (pp)</t>
        </is>
      </c>
      <c r="C40" s="23" t="n"/>
      <c r="D40" s="255">
        <f>IFERROR((D23-C23)/C132,"")</f>
        <v>0</v>
      </c>
      <c r="E40" s="255">
        <f>IFERROR((E23-D23)/D132,"")</f>
        <v>0</v>
      </c>
      <c r="F40" s="255">
        <f>IFERROR((F23-E23)/E132,"")</f>
        <v>0</v>
      </c>
      <c r="G40" s="255">
        <f>IFERROR((G23-F23)/F132,"")</f>
        <v>0</v>
      </c>
      <c r="H40" s="255">
        <f>IFERROR((H23-G23)/G132,"")</f>
        <v>0</v>
      </c>
      <c r="I40" s="255">
        <f>IFERROR((I23-H23)/H132,"")</f>
        <v>0</v>
      </c>
      <c r="J40" s="23" t="n"/>
      <c r="K40" s="23" t="n"/>
      <c r="L40" s="23" t="n"/>
      <c r="M40" s="23" t="n"/>
      <c r="N40" s="255">
        <f>IFERROR((N23-I23)/I132,"")</f>
        <v>0</v>
      </c>
      <c r="O40" s="255">
        <f>IFERROR((O23-J23)/J132,"")</f>
        <v>0</v>
      </c>
      <c r="P40" s="255">
        <f>IFERROR((P23-K23)/K132,"")</f>
        <v>0</v>
      </c>
      <c r="Q40" s="255">
        <f>IFERROR((Q23-L23)/L132,"")</f>
        <v>0</v>
      </c>
      <c r="R40" s="255">
        <f>IFERROR((R23-M23)/M132,"")</f>
        <v>0</v>
      </c>
      <c r="S40" s="255">
        <f>IFERROR((S23-N23)/N132,"")</f>
        <v>0</v>
      </c>
      <c r="T40" s="255">
        <f>IFERROR((T23-O23)/O132,"")</f>
        <v>0</v>
      </c>
      <c r="U40" s="255">
        <f>IFERROR((U23-P23)/P132,"")</f>
        <v>0</v>
      </c>
      <c r="V40" s="255">
        <f>IFERROR((V23-Q23)/Q132,"")</f>
        <v>0</v>
      </c>
      <c r="W40" s="255">
        <f>IFERROR((W23-R23)/R132,"")</f>
        <v>0</v>
      </c>
      <c r="X40" s="255">
        <f>IFERROR((X23-S23)/S132,"")</f>
        <v>0</v>
      </c>
      <c r="Y40" s="255">
        <f>IFERROR((Y23-T23)/T132,"")</f>
        <v>0</v>
      </c>
      <c r="Z40" s="255">
        <f>IFERROR((Z23-U23)/U132,"")</f>
        <v>0</v>
      </c>
      <c r="AA40" s="255">
        <f>IFERROR((AA23-V23)/V132,"")</f>
        <v>0</v>
      </c>
      <c r="AB40" s="255">
        <f>IFERROR((AB23-W23)/W132,"")</f>
        <v>0</v>
      </c>
      <c r="AC40" s="255">
        <f>IFERROR((AC23-X23)/X132,"")</f>
        <v>0</v>
      </c>
      <c r="AD40" s="255">
        <f>IFERROR((AD23-Y23)/Y132,"")</f>
        <v>0</v>
      </c>
      <c r="AE40" s="255">
        <f>IFERROR((AE23-Z23)/Z132,"")</f>
        <v>0</v>
      </c>
      <c r="AF40" s="255">
        <f>IFERROR((AF23-AA23)/AA132,"")</f>
        <v>0</v>
      </c>
      <c r="AG40" s="255">
        <f>IFERROR((AG23-AB23)/AB132,"")</f>
        <v>0</v>
      </c>
      <c r="AH40" s="255">
        <f>IFERROR((AH23-AC23)/AC132,"")</f>
        <v>0.0449308755760369</v>
      </c>
      <c r="AI40" s="255">
        <f>IFERROR((AI23-AD23)/AD132,"")</f>
        <v>0</v>
      </c>
      <c r="AJ40" s="255">
        <f>IFERROR((AJ23-AE23)/AE132,"")</f>
        <v>0</v>
      </c>
      <c r="AK40" s="255">
        <f>IFERROR((AK23-AF23)/AF132,"")</f>
        <v>0</v>
      </c>
      <c r="AL40" s="255">
        <f>IFERROR((AL23-AG23)/AG132,"")</f>
        <v>0</v>
      </c>
      <c r="AM40" s="255">
        <f>IFERROR((AM23-AH23)/AH132,"")</f>
        <v>0.0160750529971585</v>
      </c>
      <c r="AN40" s="255">
        <f>IFERROR((AN23-AI23)/AI132,"")</f>
        <v>0.0585950041738907</v>
      </c>
      <c r="AO40" s="255">
        <f>IFERROR((AO23-AJ23)/AJ132,"")</f>
        <v>0.0643047432403466</v>
      </c>
      <c r="AP40" s="255">
        <f>IFERROR((AP23-AK23)/AK132,"")</f>
        <v>0.0705097806757558</v>
      </c>
      <c r="AQ40" s="255">
        <f>IFERROR((AQ23-AL23)/AL132,"")</f>
        <v>0.0665546389652714</v>
      </c>
      <c r="AR40" s="255">
        <f>IFERROR((AR23-AM23)/AM132,"")</f>
        <v>0.0225114932867511</v>
      </c>
      <c r="AS40" s="255">
        <f>IFERROR((AS23-AN23)/AN132,"")</f>
        <v>0.0261977489749305</v>
      </c>
      <c r="AT40" s="255">
        <f>IFERROR((AT23-AO23)/AO132,"")</f>
        <v>0.0232898520953164</v>
      </c>
      <c r="AU40" s="255">
        <f>IFERROR((AU23-AP23)/AP132,"")</f>
        <v>0.0262969456035952</v>
      </c>
      <c r="AV40" s="255">
        <f>IFERROR((AV23-AQ23)/AQ132,"")</f>
        <v>0.0264134563212154</v>
      </c>
      <c r="AW40" s="255">
        <f>IFERROR((AW23-AR23)/AR132,"")</f>
        <v>0.0255843120779453</v>
      </c>
      <c r="AX40" s="255">
        <f>IFERROR((AX23-AS23)/AS132,"")</f>
        <v>0.0308559488811682</v>
      </c>
      <c r="AY40" s="255">
        <f>IFERROR((AY23-AT23)/AT132,"")</f>
        <v>0.0423270752278246</v>
      </c>
      <c r="AZ40" s="255">
        <f>IFERROR((AZ23-AU23)/AU132,"")</f>
        <v>0.0334827713165703</v>
      </c>
      <c r="BA40" s="255">
        <f>IFERROR((BA23-AV23)/AV132,"")</f>
        <v>0.0300537804492249</v>
      </c>
      <c r="BB40" s="255">
        <f>IFERROR((BB23-AW23)/AW132,"")</f>
        <v>0.0336772093991574</v>
      </c>
      <c r="BC40" s="255">
        <f>IFERROR((BC23-AX23)/AX132,"")</f>
        <v>0.0320714466500344</v>
      </c>
      <c r="BD40" s="255">
        <f>IFERROR((BD23-AY23)/AY132,"")</f>
        <v>0.0266321913380737</v>
      </c>
      <c r="BE40" s="255">
        <f>IFERROR((BE23-AZ23)/AZ132,"")</f>
        <v>0.0288399520869806</v>
      </c>
      <c r="BF40" s="255">
        <f>IFERROR((BF23-BA23)/BA132,"")</f>
        <v>0.0235512777962164</v>
      </c>
      <c r="BG40" s="255">
        <f>IFERROR((BG23-BB23)/BB132,"")</f>
        <v>0.0274572363441586</v>
      </c>
      <c r="BH40" s="255">
        <f>IFERROR((BH23-BC23)/BC132,"")</f>
        <v>0.0240108217788299</v>
      </c>
      <c r="BI40" s="255">
        <f>IFERROR((BI23-BD23)/BD132,"")</f>
        <v>0.0251847599913898</v>
      </c>
      <c r="BJ40" s="255">
        <f>IFERROR((BJ23-BE23)/BE132,"")</f>
        <v>0.022332542117756</v>
      </c>
      <c r="BK40" s="255">
        <f>IFERROR((BK23-BF23)/BF132,"")</f>
        <v>0.0246817799284662</v>
      </c>
      <c r="BL40" s="255">
        <f>IFERROR((BL23-BG23)/BG132,"")</f>
        <v>0.0240704860767371</v>
      </c>
      <c r="BM40" s="255">
        <f>IFERROR((BM23-BH23)/BH132,"")</f>
        <v>0.0303781506584321</v>
      </c>
      <c r="BN40" s="255">
        <f>IFERROR((BN23-BI23)/BI132,"")</f>
        <v>0.0310439118545922</v>
      </c>
      <c r="BO40" s="255">
        <f>IFERROR((BO23-BJ23)/BJ132,"")</f>
        <v>0.0383607369642601</v>
      </c>
      <c r="BP40" s="255">
        <f>IFERROR((BP23-BK23)/BK132,"")</f>
        <v>0.0320125130344108</v>
      </c>
      <c r="BQ40" s="255">
        <f>IFERROR((BQ23-BL23)/BL132,"")</f>
        <v>0.0329902340318939</v>
      </c>
      <c r="BR40" s="255">
        <f>IFERROR((BR23-BM23)/BM132,"")</f>
        <v>0.0333503023379977</v>
      </c>
      <c r="BS40" s="255">
        <f>IFERROR((BS23-BN23)/BN132,"")</f>
        <v>0.0386703169620731</v>
      </c>
      <c r="BT40" s="255">
        <f>IFERROR((BT23-BO23)/BO132,"")</f>
        <v>0.0430960257397925</v>
      </c>
      <c r="BU40" s="255">
        <f>IFERROR((BU23-BP23)/BP132,"")</f>
        <v>0.0591796328354186</v>
      </c>
      <c r="BV40" s="255">
        <f>IFERROR((BV23-BQ23)/BQ132,"")</f>
        <v>0.0442148689495969</v>
      </c>
      <c r="BW40" s="255">
        <f>IFERROR((BW23-BR23)/BR132,"")</f>
        <v>0.0860872841722632</v>
      </c>
      <c r="BX40" s="255">
        <f>IFERROR((BX23-BS23)/BS132,"")</f>
        <v>0.115568092255362</v>
      </c>
      <c r="BY40" s="256">
        <f>IFERROR((BY23-BT23)/BT132,"")</f>
        <v>0.108205277939393</v>
      </c>
      <c r="BZ40" s="256">
        <f>IFERROR((BZ23-BU23)/BU132,"")</f>
        <v>0.113381501381223</v>
      </c>
      <c r="CA40" s="256">
        <f>IFERROR((CA23-BV23)/BV132,"")</f>
        <v>0.106476283888998</v>
      </c>
      <c r="CB40" s="256">
        <f>IFERROR((CB23-CA23)/CA132,"")</f>
        <v>0.0917542407739423</v>
      </c>
      <c r="CC40" s="256">
        <f>IFERROR((CC23-CB23)/CB132,"")</f>
        <v>0.0805992687603173</v>
      </c>
      <c r="CD40" s="256">
        <f>IFERROR((CD23-CC23)/CC132,"")</f>
        <v>0.0724547398251874</v>
      </c>
      <c r="CE40" s="256">
        <f>IFERROR((CE23-CD23)/CD132,"")</f>
        <v>0.0641342771174152</v>
      </c>
      <c r="CF40" s="153" t="n"/>
      <c r="CN40" s="25" t="inlineStr">
        <is>
          <t xml:space="preserve">  2027E</t>
        </is>
      </c>
      <c r="CO40" s="33">
        <f>CP40+$CO$39</f>
        <v>-0.01</v>
      </c>
      <c r="CP40" s="42" t="n">
        <v>-0.03</v>
      </c>
      <c r="CQ40" s="33">
        <f>CP40+$CQ$39</f>
        <v>-0.06</v>
      </c>
    </row>
    <row r="41" ht="15" customHeight="1" s="251">
      <c r="B41" s="25" t="inlineStr">
        <is>
          <t xml:space="preserve">  Operating KPIs:</t>
        </is>
      </c>
      <c r="CF41" s="153" t="n"/>
      <c r="CN41" s="25" t="inlineStr">
        <is>
          <t xml:space="preserve">  2028E</t>
        </is>
      </c>
      <c r="CO41" s="33">
        <f>CP41+$CO$39</f>
        <v>-0.01</v>
      </c>
      <c r="CP41" s="42" t="n">
        <v>-0.03</v>
      </c>
      <c r="CQ41" s="33">
        <f>CP41+$CQ$39</f>
        <v>-0.06</v>
      </c>
    </row>
    <row r="42" ht="15" customHeight="1" s="251">
      <c r="B42" s="156" t="inlineStr">
        <is>
          <t xml:space="preserve">  Traffic acquisition costs (TAC; release)</t>
        </is>
      </c>
      <c r="C42" s="34" t="n"/>
      <c r="D42" s="34" t="n"/>
      <c r="E42" s="34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4" t="n"/>
      <c r="S42" s="34" t="n"/>
      <c r="T42" s="253" t="n">
        <v>3345</v>
      </c>
      <c r="U42" s="253" t="n">
        <v>3377</v>
      </c>
      <c r="V42" s="253" t="n">
        <v>3566</v>
      </c>
      <c r="W42" s="253" t="n">
        <v>4055</v>
      </c>
      <c r="X42" s="253" t="n">
        <v>14343</v>
      </c>
      <c r="Y42" s="253" t="n">
        <v>3788</v>
      </c>
      <c r="Z42" s="253" t="n">
        <v>3975</v>
      </c>
      <c r="AA42" s="253" t="n">
        <v>4182</v>
      </c>
      <c r="AB42" s="253" t="n">
        <v>4848</v>
      </c>
      <c r="AC42" s="253" t="n">
        <v>16793</v>
      </c>
      <c r="AD42" s="253" t="n">
        <v>4629</v>
      </c>
      <c r="AE42" s="253" t="n">
        <v>5091</v>
      </c>
      <c r="AF42" s="253" t="n">
        <v>5502</v>
      </c>
      <c r="AG42" s="253" t="n">
        <v>6450</v>
      </c>
      <c r="AH42" s="253" t="n">
        <v>21672</v>
      </c>
      <c r="AI42" s="253" t="n">
        <v>6288</v>
      </c>
      <c r="AJ42" s="253" t="n">
        <v>6420</v>
      </c>
      <c r="AK42" s="253" t="n">
        <v>6582</v>
      </c>
      <c r="AL42" s="253" t="n">
        <v>7436</v>
      </c>
      <c r="AM42" s="253" t="n">
        <v>26726</v>
      </c>
      <c r="AN42" s="253" t="n">
        <v>6860</v>
      </c>
      <c r="AO42" s="253" t="n">
        <v>7238</v>
      </c>
      <c r="AP42" s="253" t="n">
        <v>7490</v>
      </c>
      <c r="AQ42" s="253" t="n">
        <v>8501</v>
      </c>
      <c r="AR42" s="253" t="n">
        <v>30089</v>
      </c>
      <c r="AS42" s="253" t="n">
        <v>7452</v>
      </c>
      <c r="AT42" s="253" t="n">
        <v>6694</v>
      </c>
      <c r="AU42" s="253" t="n">
        <v>8166</v>
      </c>
      <c r="AV42" s="253" t="n">
        <v>10466</v>
      </c>
      <c r="AW42" s="253" t="n">
        <v>32778</v>
      </c>
      <c r="AX42" s="253" t="n">
        <v>9712</v>
      </c>
      <c r="AY42" s="253" t="n">
        <v>10929</v>
      </c>
      <c r="AZ42" s="253" t="n">
        <v>11498</v>
      </c>
      <c r="BA42" s="253" t="n">
        <v>13427</v>
      </c>
      <c r="BB42" s="253" t="n">
        <v>45566</v>
      </c>
      <c r="BC42" s="253" t="n">
        <v>11990</v>
      </c>
      <c r="BD42" s="253" t="n">
        <v>12214</v>
      </c>
      <c r="BE42" s="253" t="n">
        <v>11826</v>
      </c>
      <c r="BF42" s="253" t="n">
        <v>12925</v>
      </c>
      <c r="BG42" s="253" t="n">
        <v>48955</v>
      </c>
      <c r="BH42" s="253" t="n">
        <v>11721</v>
      </c>
      <c r="BI42" s="253" t="n">
        <v>12537</v>
      </c>
      <c r="BJ42" s="253" t="n">
        <v>12642</v>
      </c>
      <c r="BK42" s="253" t="n">
        <v>13986</v>
      </c>
      <c r="BL42" s="253" t="n">
        <v>50886</v>
      </c>
      <c r="BM42" s="253" t="n">
        <v>12946</v>
      </c>
      <c r="BN42" s="253" t="n">
        <v>13387</v>
      </c>
      <c r="BO42" s="253" t="n">
        <v>13719</v>
      </c>
      <c r="BP42" s="253" t="n">
        <v>14848</v>
      </c>
      <c r="BQ42" s="253" t="n">
        <v>54900</v>
      </c>
      <c r="BR42" s="253" t="n">
        <v>13748</v>
      </c>
      <c r="BS42" s="253" t="n">
        <v>14705</v>
      </c>
      <c r="BT42" s="253" t="n">
        <v>14876</v>
      </c>
      <c r="BU42" s="253" t="n">
        <v>16597</v>
      </c>
      <c r="BV42" s="253" t="n">
        <v>59926</v>
      </c>
      <c r="BW42" s="253" t="n">
        <v>15228</v>
      </c>
      <c r="BX42" s="253" t="n">
        <v>16179</v>
      </c>
      <c r="BY42" s="153" t="n"/>
      <c r="BZ42" s="153" t="n"/>
      <c r="CA42" s="153" t="n"/>
      <c r="CB42" s="153" t="n"/>
      <c r="CC42" s="153" t="n"/>
      <c r="CD42" s="153" t="n"/>
      <c r="CE42" s="153" t="n"/>
      <c r="CF42" s="153" t="inlineStr">
        <is>
          <t>Total TAC from the earnings releases (annual = Σ quarters). TAC is inside cost of revenues and Google Services costs.</t>
        </is>
      </c>
      <c r="CH42" s="20">
        <f>IFERROR((CE42/BV42)^(1/5)-1,"n/m")</f>
        <v>-1</v>
      </c>
      <c r="CI42" s="20">
        <f>IFERROR((BV42/AW42)^(1/5)-1,"n/m")</f>
        <v>0.128253184025456</v>
      </c>
      <c r="CJ42" s="20">
        <f>IFERROR((BV42/X42)^(1/10)-1,"n/m")</f>
        <v>0.153712316953581</v>
      </c>
      <c r="CK42" s="20" t="str">
        <f>IFERROR((BV42/C42)^(1/19)-1,"n/m")</f>
        <v>n/m</v>
      </c>
      <c r="CN42" s="25" t="inlineStr">
        <is>
          <t xml:space="preserve">  2029E</t>
        </is>
      </c>
      <c r="CO42" s="33">
        <f>CP42+$CO$39</f>
        <v>-0.01</v>
      </c>
      <c r="CP42" s="42" t="n">
        <v>-0.03</v>
      </c>
      <c r="CQ42" s="33">
        <f>CP42+$CQ$39</f>
        <v>-0.06</v>
      </c>
    </row>
    <row r="43" ht="15" customHeight="1" s="251">
      <c r="B43" s="25" t="inlineStr">
        <is>
          <t xml:space="preserve">  TAC % of Google advertising revenues</t>
        </is>
      </c>
      <c r="C43" s="215">
        <f>IF(AND(ISNUMBER(C42),ISNUMBER(C37)),IFERROR(C42/C37,""),"")</f>
      </c>
      <c r="D43" s="215">
        <f>IF(AND(ISNUMBER(D42),ISNUMBER(D37)),IFERROR(D42/D37,""),"")</f>
      </c>
      <c r="E43" s="215">
        <f>IF(AND(ISNUMBER(E42),ISNUMBER(E37)),IFERROR(E42/E37,""),"")</f>
      </c>
      <c r="F43" s="215">
        <f>IF(AND(ISNUMBER(F42),ISNUMBER(F37)),IFERROR(F42/F37,""),"")</f>
      </c>
      <c r="G43" s="215">
        <f>IF(AND(ISNUMBER(G42),ISNUMBER(G37)),IFERROR(G42/G37,""),"")</f>
      </c>
      <c r="H43" s="215">
        <f>IF(AND(ISNUMBER(H42),ISNUMBER(H37)),IFERROR(H42/H37,""),"")</f>
      </c>
      <c r="I43" s="215">
        <f>IF(AND(ISNUMBER(I42),ISNUMBER(I37)),IFERROR(I42/I37,""),"")</f>
      </c>
      <c r="J43" s="215">
        <f>IF(AND(ISNUMBER(J42),ISNUMBER(J37)),IFERROR(J42/J37,""),"")</f>
      </c>
      <c r="K43" s="215">
        <f>IF(AND(ISNUMBER(K42),ISNUMBER(K37)),IFERROR(K42/K37,""),"")</f>
      </c>
      <c r="L43" s="215">
        <f>IF(AND(ISNUMBER(L42),ISNUMBER(L37)),IFERROR(L42/L37,""),"")</f>
      </c>
      <c r="M43" s="215">
        <f>IF(AND(ISNUMBER(M42),ISNUMBER(M37)),IFERROR(M42/M37,""),"")</f>
      </c>
      <c r="N43" s="215">
        <f>IF(AND(ISNUMBER(N42),ISNUMBER(N37)),IFERROR(N42/N37,""),"")</f>
      </c>
      <c r="O43" s="215">
        <f>IF(AND(ISNUMBER(O42),ISNUMBER(O37)),IFERROR(O42/O37,""),"")</f>
      </c>
      <c r="P43" s="215">
        <f>IF(AND(ISNUMBER(P42),ISNUMBER(P37)),IFERROR(P42/P37,""),"")</f>
      </c>
      <c r="Q43" s="215">
        <f>IF(AND(ISNUMBER(Q42),ISNUMBER(Q37)),IFERROR(Q42/Q37,""),"")</f>
      </c>
      <c r="R43" s="215">
        <f>IF(AND(ISNUMBER(R42),ISNUMBER(R37)),IFERROR(R42/R37,""),"")</f>
      </c>
      <c r="S43" s="215">
        <f>IF(AND(ISNUMBER(S42),ISNUMBER(S37)),IFERROR(S42/S37,""),"")</f>
      </c>
      <c r="T43" s="215">
        <f>IF(AND(ISNUMBER(T42),ISNUMBER(T37)),IFERROR(T42/T37,""),"")</f>
      </c>
      <c r="U43" s="215">
        <f>IF(AND(ISNUMBER(U42),ISNUMBER(U37)),IFERROR(U42/U37,""),"")</f>
      </c>
      <c r="V43" s="215">
        <f>IF(AND(ISNUMBER(V42),ISNUMBER(V37)),IFERROR(V42/V37,""),"")</f>
      </c>
      <c r="W43" s="215">
        <f>IF(AND(ISNUMBER(W42),ISNUMBER(W37)),IFERROR(W42/W37,""),"")</f>
      </c>
      <c r="X43" s="215">
        <f>IF(AND(ISNUMBER(X42),ISNUMBER(X37)),IFERROR(X42/X37,""),"")</f>
      </c>
      <c r="Y43" s="215">
        <f>IF(AND(ISNUMBER(Y42),ISNUMBER(Y37)),IFERROR(Y42/Y37,""),"")</f>
      </c>
      <c r="Z43" s="215">
        <f>IF(AND(ISNUMBER(Z42),ISNUMBER(Z37)),IFERROR(Z42/Z37,""),"")</f>
      </c>
      <c r="AA43" s="215">
        <f>IF(AND(ISNUMBER(AA42),ISNUMBER(AA37)),IFERROR(AA42/AA37,""),"")</f>
      </c>
      <c r="AB43" s="215">
        <f>IF(AND(ISNUMBER(AB42),ISNUMBER(AB37)),IFERROR(AB42/AB37,""),"")</f>
      </c>
      <c r="AC43" s="215">
        <f>IF(AND(ISNUMBER(AC42),ISNUMBER(AC37)),IFERROR(AC42/AC37,""),"")</f>
      </c>
      <c r="AD43" s="215">
        <f>IF(AND(ISNUMBER(AD42),ISNUMBER(AD37)),IFERROR(AD42/AD37,""),"")</f>
      </c>
      <c r="AE43" s="215">
        <f>IF(AND(ISNUMBER(AE42),ISNUMBER(AE37)),IFERROR(AE42/AE37,""),"")</f>
      </c>
      <c r="AF43" s="215">
        <f>IF(AND(ISNUMBER(AF42),ISNUMBER(AF37)),IFERROR(AF42/AF37,""),"")</f>
      </c>
      <c r="AG43" s="215">
        <f>IF(AND(ISNUMBER(AG42),ISNUMBER(AG37)),IFERROR(AG42/AG37,""),"")</f>
      </c>
      <c r="AH43" s="215">
        <f>IF(AND(ISNUMBER(AH42),ISNUMBER(AH37)),IFERROR(AH42/AH37,""),"")</f>
        <v>0.226749113280392</v>
      </c>
      <c r="AI43" s="215">
        <f>IF(AND(ISNUMBER(AI42),ISNUMBER(AI37)),IFERROR(AI42/AI37,""),"")</f>
      </c>
      <c r="AJ43" s="215">
        <f>IF(AND(ISNUMBER(AJ42),ISNUMBER(AJ37)),IFERROR(AJ42/AJ37,""),"")</f>
      </c>
      <c r="AK43" s="215">
        <f>IF(AND(ISNUMBER(AK42),ISNUMBER(AK37)),IFERROR(AK42/AK37,""),"")</f>
      </c>
      <c r="AL43" s="215">
        <f>IF(AND(ISNUMBER(AL42),ISNUMBER(AL37)),IFERROR(AL42/AL37,""),"")</f>
      </c>
      <c r="AM43" s="215">
        <f>IF(AND(ISNUMBER(AM42),ISNUMBER(AM37)),IFERROR(AM42/AM37,""),"")</f>
        <v>0.229484548475455</v>
      </c>
      <c r="AN43" s="215">
        <f>IF(AND(ISNUMBER(AN42),ISNUMBER(AN37)),IFERROR(AN42/AN37,""),"")</f>
        <v>0.224278288161637</v>
      </c>
      <c r="AO43" s="215">
        <f>IF(AND(ISNUMBER(AO42),ISNUMBER(AO37)),IFERROR(AO42/AO37,""),"")</f>
        <v>0.222748815165877</v>
      </c>
      <c r="AP43" s="215">
        <f>IF(AND(ISNUMBER(AP42),ISNUMBER(AP37)),IFERROR(AP42/AP37,""),"")</f>
        <v>0.22162386081193</v>
      </c>
      <c r="AQ43" s="215">
        <f>IF(AND(ISNUMBER(AQ42),ISNUMBER(AQ37)),IFERROR(AQ42/AQ37,""),"")</f>
        <v>0.224099752201192</v>
      </c>
      <c r="AR43" s="215">
        <f>IF(AND(ISNUMBER(AR42),ISNUMBER(AR37)),IFERROR(AR42/AR37,""),"")</f>
        <v>0.223193953015703</v>
      </c>
      <c r="AS43" s="215">
        <f>IF(AND(ISNUMBER(AS42),ISNUMBER(AS37)),IFERROR(AS42/AS37,""),"")</f>
        <v>0.220714983858069</v>
      </c>
      <c r="AT43" s="215">
        <f>IF(AND(ISNUMBER(AT42),ISNUMBER(AT37)),IFERROR(AT42/AT37,""),"")</f>
        <v>0.224126962868718</v>
      </c>
      <c r="AU43" s="215">
        <f>IF(AND(ISNUMBER(AU42),ISNUMBER(AU37)),IFERROR(AU42/AU37,""),"")</f>
        <v>0.220137484836231</v>
      </c>
      <c r="AV43" s="215">
        <f>IF(AND(ISNUMBER(AV42),ISNUMBER(AV37)),IFERROR(AV42/AV37,""),"")</f>
        <v>0.226541700036797</v>
      </c>
      <c r="AW43" s="215">
        <f>IF(AND(ISNUMBER(AW42),ISNUMBER(AW37)),IFERROR(AW42/AW37,""),"")</f>
        <v>0.223094933434973</v>
      </c>
      <c r="AX43" s="215">
        <f>IF(AND(ISNUMBER(AX42),ISNUMBER(AX37)),IFERROR(AX42/AX37,""),"")</f>
        <v>0.217348491630114</v>
      </c>
      <c r="AY43" s="215">
        <f>IF(AND(ISNUMBER(AY42),ISNUMBER(AY37)),IFERROR(AY42/AY37,""),"")</f>
        <v>0.21665609388629</v>
      </c>
      <c r="AZ43" s="215">
        <f>IF(AND(ISNUMBER(AZ42),ISNUMBER(AZ37)),IFERROR(AZ42/AZ37,""),"")</f>
        <v>0.216412572934312</v>
      </c>
      <c r="BA43" s="215">
        <f>IF(AND(ISNUMBER(BA42),ISNUMBER(BA37)),IFERROR(BA42/BA37,""),"")</f>
        <v>0.21925570306504</v>
      </c>
      <c r="BB43" s="215">
        <f>IF(AND(ISNUMBER(BB42),ISNUMBER(BB37)),IFERROR(BB42/BB37,""),"")</f>
        <v>0.217501921268562</v>
      </c>
      <c r="BC43" s="215">
        <f>IF(AND(ISNUMBER(BC42),ISNUMBER(BC37)),IFERROR(BC42/BC37,""),"")</f>
        <v>0.219352006000622</v>
      </c>
      <c r="BD43" s="215">
        <f>IF(AND(ISNUMBER(BD42),ISNUMBER(BD37)),IFERROR(BD42/BD37,""),"")</f>
        <v>0.2169911881751</v>
      </c>
      <c r="BE43" s="215">
        <f>IF(AND(ISNUMBER(BE42),ISNUMBER(BE37)),IFERROR(BE42/BE37,""),"")</f>
        <v>0.21706251606035</v>
      </c>
      <c r="BF43" s="215">
        <f>IF(AND(ISNUMBER(BF42),ISNUMBER(BF37)),IFERROR(BF42/BF37,""),"")</f>
        <v>0.218911960976932</v>
      </c>
      <c r="BG43" s="215">
        <f>IF(AND(ISNUMBER(BG42),ISNUMBER(BG37)),IFERROR(BG42/BG37,""),"")</f>
        <v>0.218088589719031</v>
      </c>
      <c r="BH43" s="215">
        <f>IF(AND(ISNUMBER(BH42),ISNUMBER(BH37)),IFERROR(BH42/BH37,""),"")</f>
        <v>0.214874972501283</v>
      </c>
      <c r="BI43" s="215">
        <f>IF(AND(ISNUMBER(BI42),ISNUMBER(BI37)),IFERROR(BI42/BI37,""),"")</f>
        <v>0.215623548836489</v>
      </c>
      <c r="BJ43" s="215">
        <f>IF(AND(ISNUMBER(BJ42),ISNUMBER(BJ37)),IFERROR(BJ42/BJ37,""),"")</f>
        <v>0.211946954582795</v>
      </c>
      <c r="BK43" s="215">
        <f>IF(AND(ISNUMBER(BK42),ISNUMBER(BK37)),IFERROR(BK42/BK37,""),"")</f>
        <v>0.213471312789047</v>
      </c>
      <c r="BL43" s="215">
        <f>IF(AND(ISNUMBER(BL42),ISNUMBER(BL37)),IFERROR(BL42/BL37,""),"")</f>
        <v>0.213937062496059</v>
      </c>
      <c r="BM43" s="215">
        <f>IF(AND(ISNUMBER(BM42),ISNUMBER(BM37)),IFERROR(BM42/BM37,""),"")</f>
        <v>0.209961238424237</v>
      </c>
      <c r="BN43" s="215">
        <f>IF(AND(ISNUMBER(BN42),ISNUMBER(BN37)),IFERROR(BN42/BN37,""),"")</f>
        <v>0.207177788782964</v>
      </c>
      <c r="BO43" s="215">
        <f>IF(AND(ISNUMBER(BO42),ISNUMBER(BO37)),IFERROR(BO42/BO37,""),"")</f>
        <v>0.208324475354572</v>
      </c>
      <c r="BP43" s="215">
        <f>IF(AND(ISNUMBER(BP42),ISNUMBER(BP37)),IFERROR(BP42/BP37,""),"")</f>
        <v>0.204910227570693</v>
      </c>
      <c r="BQ43" s="215">
        <f>IF(AND(ISNUMBER(BQ42),ISNUMBER(BQ37)),IFERROR(BQ42/BQ37,""),"")</f>
        <v>0.207490834876602</v>
      </c>
      <c r="BR43" s="215">
        <f>IF(AND(ISNUMBER(BR42),ISNUMBER(BR37)),IFERROR(BR42/BR37,""),"")</f>
        <v>0.205546834118263</v>
      </c>
      <c r="BS43" s="215">
        <f>IF(AND(ISNUMBER(BS42),ISNUMBER(BS37)),IFERROR(BS42/BS37,""),"")</f>
        <v>0.206125595738716</v>
      </c>
      <c r="BT43" s="215">
        <f>IF(AND(ISNUMBER(BT42),ISNUMBER(BT37)),IFERROR(BT42/BT37,""),"")</f>
        <v>0.200533822221024</v>
      </c>
      <c r="BU43" s="215">
        <f>IF(AND(ISNUMBER(BU42),ISNUMBER(BU37)),IFERROR(BU42/BU37,""),"")</f>
        <v>0.201703854941422</v>
      </c>
      <c r="BV43" s="215">
        <f>IF(AND(ISNUMBER(BV42),ISNUMBER(BV37)),IFERROR(BV42/BV37,""),"")</f>
        <v>0.203351985639195</v>
      </c>
      <c r="BW43" s="215">
        <f>IF(AND(ISNUMBER(BW42),ISNUMBER(BW37)),IFERROR(BW42/BW37,""),"")</f>
        <v>0.197118558502582</v>
      </c>
      <c r="BX43" s="215">
        <f>IF(AND(ISNUMBER(BX42),ISNUMBER(BX37)),IFERROR(BX42/BX37,""),"")</f>
        <v>0.198201619522474</v>
      </c>
      <c r="BY43" s="24" t="n"/>
      <c r="BZ43" s="24" t="n"/>
      <c r="CA43" s="24" t="n"/>
      <c r="CB43" s="24" t="n"/>
      <c r="CC43" s="24" t="n"/>
      <c r="CD43" s="24" t="n"/>
      <c r="CE43" s="24" t="n"/>
      <c r="CF43" s="153" t="n"/>
      <c r="CH43" s="37" t="str">
        <f>IFERROR(AVERAGE(CA43,CB43,CC43,CD43,CE43),"n/m")</f>
        <v>n/m</v>
      </c>
      <c r="CI43" s="37">
        <f>IFERROR(AVERAGE(BB43,BG43,BL43,BQ43,BV43),"n/m")</f>
        <v>0.21207407879989</v>
      </c>
      <c r="CJ43" s="37">
        <f>IFERROR(AVERAGE(AC43,AH43,AM43,AR43,AW43,BB43,BG43,BL43,BQ43,BV43),"n/m")</f>
        <v>0.218099215800664</v>
      </c>
      <c r="CK43" s="37">
        <f>IFERROR(AVERAGE(C43,D43,E43,F43,G43,H43,I43,N43,S43,X43,AC43,AH43,AM43,AR43,AW43,BB43,BG43,BL43,BQ43,BV43),"n/m")</f>
        <v>0.218099215800664</v>
      </c>
      <c r="CN43" s="25" t="inlineStr">
        <is>
          <t xml:space="preserve">  2030E</t>
        </is>
      </c>
      <c r="CO43" s="33">
        <f>CP43+$CO$39</f>
        <v>-0.01</v>
      </c>
      <c r="CP43" s="42" t="n">
        <v>-0.03</v>
      </c>
      <c r="CQ43" s="33">
        <f>CP43+$CQ$39</f>
        <v>-0.06</v>
      </c>
    </row>
    <row r="44" ht="15" customHeight="1" s="251">
      <c r="B44" s="156" t="inlineStr">
        <is>
          <t xml:space="preserve">  Revenue backlog — remaining performance obligations (period end; Google Cloud ~99%)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4" t="n"/>
      <c r="AB44" s="34" t="n"/>
      <c r="AC44" s="34" t="n"/>
      <c r="AD44" s="34" t="n"/>
      <c r="AE44" s="34" t="n"/>
      <c r="AF44" s="34" t="n"/>
      <c r="AG44" s="34" t="n"/>
      <c r="AH44" s="34" t="n"/>
      <c r="AI44" s="34" t="n"/>
      <c r="AJ44" s="34" t="n"/>
      <c r="AK44" s="34" t="n"/>
      <c r="AL44" s="34" t="n"/>
      <c r="AM44" s="34" t="n"/>
      <c r="AN44" s="34" t="n"/>
      <c r="AO44" s="34" t="n"/>
      <c r="AP44" s="34" t="n"/>
      <c r="AQ44" s="34" t="n"/>
      <c r="AR44" s="253" t="n">
        <v>11400</v>
      </c>
      <c r="AS44" s="253" t="n">
        <v>12800</v>
      </c>
      <c r="AT44" s="253" t="n">
        <v>14800</v>
      </c>
      <c r="AU44" s="253" t="n">
        <v>19000</v>
      </c>
      <c r="AV44" s="34" t="n"/>
      <c r="AW44" s="253" t="n">
        <v>29800</v>
      </c>
      <c r="AX44" s="253" t="n">
        <v>30700</v>
      </c>
      <c r="AY44" s="253" t="n">
        <v>35300</v>
      </c>
      <c r="AZ44" s="253" t="n">
        <v>37100</v>
      </c>
      <c r="BA44" s="34" t="n"/>
      <c r="BB44" s="253" t="n">
        <v>51000</v>
      </c>
      <c r="BC44" s="253" t="n">
        <v>50500</v>
      </c>
      <c r="BD44" s="253" t="n">
        <v>51200</v>
      </c>
      <c r="BE44" s="253" t="n">
        <v>52400</v>
      </c>
      <c r="BF44" s="34" t="n"/>
      <c r="BG44" s="253" t="n">
        <v>64300</v>
      </c>
      <c r="BH44" s="253" t="n">
        <v>61700</v>
      </c>
      <c r="BI44" s="253" t="n">
        <v>60600</v>
      </c>
      <c r="BJ44" s="253" t="n">
        <v>64900</v>
      </c>
      <c r="BK44" s="34" t="n"/>
      <c r="BL44" s="253" t="n">
        <v>74100</v>
      </c>
      <c r="BM44" s="253" t="n">
        <v>72500</v>
      </c>
      <c r="BN44" s="253" t="n">
        <v>78800</v>
      </c>
      <c r="BO44" s="253" t="n">
        <v>86800</v>
      </c>
      <c r="BP44" s="34" t="n"/>
      <c r="BQ44" s="253" t="n">
        <v>93200</v>
      </c>
      <c r="BR44" s="253" t="n">
        <v>92400</v>
      </c>
      <c r="BS44" s="253" t="n">
        <v>108200</v>
      </c>
      <c r="BT44" s="253" t="n">
        <v>157700</v>
      </c>
      <c r="BU44" s="34" t="n"/>
      <c r="BV44" s="253" t="n">
        <v>242800</v>
      </c>
      <c r="BW44" s="253" t="n">
        <v>467600</v>
      </c>
      <c r="BX44" s="253" t="n">
        <v>519500</v>
      </c>
      <c r="BY44" s="153" t="n"/>
      <c r="BZ44" s="153" t="n"/>
      <c r="CA44" s="153" t="n"/>
      <c r="CB44" s="153" t="n"/>
      <c r="CC44" s="153" t="n"/>
      <c r="CD44" s="153" t="n"/>
      <c r="CE44" s="153" t="n"/>
      <c r="CF44" s="153" t="inlineStr">
        <is>
          <t>10-Q / 10-K revenue note (XBRL RevenueRemainingPerformanceObligation); Google Cloud $513.9bn of $519.5bn at 30-Jun-2026, about half recognised within 24 months.</t>
        </is>
      </c>
      <c r="CN44" s="15" t="inlineStr">
        <is>
          <t>SUBS (subscriptions, platforms &amp; devices y/y)</t>
        </is>
      </c>
      <c r="CO44" s="41" t="n">
        <v>0.02</v>
      </c>
      <c r="CP44" s="21" t="inlineStr">
        <is>
          <t>Δ →</t>
        </is>
      </c>
      <c r="CQ44" s="41" t="n">
        <v>-0.04</v>
      </c>
      <c r="CR44" s="13" t="inlineStr">
        <is>
          <t>1H26 +17.2% (FY2025 +19.1%): YouTube subscriptions, Google One / AI plans, Play. Assumption.</t>
        </is>
      </c>
    </row>
    <row r="45" ht="15" customHeight="1" s="251">
      <c r="B45" s="156" t="inlineStr">
        <is>
          <t xml:space="preserve">  Employees (period end; release)</t>
        </is>
      </c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  <c r="AA45" s="34" t="n"/>
      <c r="AB45" s="34" t="n"/>
      <c r="AC45" s="34" t="n"/>
      <c r="AD45" s="34" t="n"/>
      <c r="AE45" s="34" t="n"/>
      <c r="AF45" s="34" t="n"/>
      <c r="AG45" s="263" t="n">
        <v>80110</v>
      </c>
      <c r="AH45" s="263" t="n">
        <v>80110</v>
      </c>
      <c r="AI45" s="263" t="n">
        <v>85050</v>
      </c>
      <c r="AJ45" s="263" t="n">
        <v>89058</v>
      </c>
      <c r="AK45" s="263" t="n">
        <v>94372</v>
      </c>
      <c r="AL45" s="263" t="n">
        <v>98771</v>
      </c>
      <c r="AM45" s="263" t="n">
        <v>98771</v>
      </c>
      <c r="AN45" s="263" t="n">
        <v>103459</v>
      </c>
      <c r="AO45" s="263" t="n">
        <v>107646</v>
      </c>
      <c r="AP45" s="263" t="n">
        <v>114096</v>
      </c>
      <c r="AQ45" s="263" t="n">
        <v>118899</v>
      </c>
      <c r="AR45" s="263" t="n">
        <v>118899</v>
      </c>
      <c r="AS45" s="263" t="n">
        <v>123048</v>
      </c>
      <c r="AT45" s="263" t="n">
        <v>127498</v>
      </c>
      <c r="AU45" s="263" t="n">
        <v>132121</v>
      </c>
      <c r="AV45" s="263" t="n">
        <v>135301</v>
      </c>
      <c r="AW45" s="263" t="n">
        <v>135301</v>
      </c>
      <c r="AX45" s="263" t="n">
        <v>139995</v>
      </c>
      <c r="AY45" s="263" t="n">
        <v>144056</v>
      </c>
      <c r="AZ45" s="263" t="n">
        <v>150028</v>
      </c>
      <c r="BA45" s="263" t="n">
        <v>156500</v>
      </c>
      <c r="BB45" s="263" t="n">
        <v>156500</v>
      </c>
      <c r="BC45" s="263" t="n">
        <v>163906</v>
      </c>
      <c r="BD45" s="263" t="n">
        <v>174014</v>
      </c>
      <c r="BE45" s="263" t="n">
        <v>186779</v>
      </c>
      <c r="BF45" s="263" t="n">
        <v>190234</v>
      </c>
      <c r="BG45" s="263" t="n">
        <v>190234</v>
      </c>
      <c r="BH45" s="263" t="n">
        <v>190711</v>
      </c>
      <c r="BI45" s="263" t="n">
        <v>181798</v>
      </c>
      <c r="BJ45" s="263" t="n">
        <v>182381</v>
      </c>
      <c r="BK45" s="263" t="n">
        <v>182502</v>
      </c>
      <c r="BL45" s="263" t="n">
        <v>182502</v>
      </c>
      <c r="BM45" s="263" t="n">
        <v>180895</v>
      </c>
      <c r="BN45" s="263" t="n">
        <v>179582</v>
      </c>
      <c r="BO45" s="263" t="n">
        <v>181269</v>
      </c>
      <c r="BP45" s="263" t="n">
        <v>183323</v>
      </c>
      <c r="BQ45" s="263" t="n">
        <v>183323</v>
      </c>
      <c r="BR45" s="263" t="n">
        <v>185719</v>
      </c>
      <c r="BS45" s="263" t="n">
        <v>187103</v>
      </c>
      <c r="BT45" s="263" t="n">
        <v>190167</v>
      </c>
      <c r="BU45" s="263" t="n">
        <v>190820</v>
      </c>
      <c r="BV45" s="263" t="n">
        <v>190820</v>
      </c>
      <c r="BW45" s="263" t="n">
        <v>194668</v>
      </c>
      <c r="BX45" s="263" t="n">
        <v>198933</v>
      </c>
      <c r="BY45" s="153" t="n"/>
      <c r="BZ45" s="153" t="n"/>
      <c r="CA45" s="153" t="n"/>
      <c r="CB45" s="153" t="n"/>
      <c r="CC45" s="153" t="n"/>
      <c r="CD45" s="153" t="n"/>
      <c r="CE45" s="153" t="n"/>
      <c r="CF45" s="153" t="n"/>
      <c r="CH45" s="20">
        <f>IFERROR((CE45/BV45)^(1/5)-1,"n/m")</f>
        <v>-1</v>
      </c>
      <c r="CI45" s="20">
        <f>IFERROR((BV45/AW45)^(1/5)-1,"n/m")</f>
        <v>0.0711852330135863</v>
      </c>
      <c r="CJ45" s="20" t="str">
        <f>IFERROR((BV45/X45)^(1/10)-1,"n/m")</f>
        <v>n/m</v>
      </c>
      <c r="CK45" s="20" t="str">
        <f>IFERROR((BV45/C45)^(1/19)-1,"n/m")</f>
        <v>n/m</v>
      </c>
      <c r="CN45" s="25" t="inlineStr">
        <is>
          <t xml:space="preserve">  2027E</t>
        </is>
      </c>
      <c r="CO45" s="33">
        <f>CP45+$CO$44</f>
        <v>0.16</v>
      </c>
      <c r="CP45" s="42" t="n">
        <v>0.14</v>
      </c>
      <c r="CQ45" s="33">
        <f>CP45+$CQ$44</f>
        <v>0.1</v>
      </c>
    </row>
    <row r="46" ht="15" customHeight="1" s="251">
      <c r="B46" s="25" t="inlineStr">
        <is>
          <t xml:space="preserve">  Legacy revenue split, as first reported (Google websites / properties incl. YouTube; Network members; other incl. Cloud, Play, hardware; Motorola Mobile 2012–13):</t>
        </is>
      </c>
      <c r="CF46" s="153" t="n"/>
      <c r="CN46" s="25" t="inlineStr">
        <is>
          <t xml:space="preserve">  2028E</t>
        </is>
      </c>
      <c r="CO46" s="33">
        <f>CP46+$CO$44</f>
        <v>0.14</v>
      </c>
      <c r="CP46" s="42" t="n">
        <v>0.12</v>
      </c>
      <c r="CQ46" s="33">
        <f>CP46+$CQ$44</f>
        <v>0.08</v>
      </c>
    </row>
    <row r="47" ht="15" customHeight="1" s="251">
      <c r="B47" s="156" t="inlineStr">
        <is>
          <t xml:space="preserve">    Google websites / properties</t>
        </is>
      </c>
      <c r="C47" s="253" t="n">
        <v>6332.797</v>
      </c>
      <c r="D47" s="253" t="n">
        <v>10624.7</v>
      </c>
      <c r="E47" s="253" t="n">
        <v>14413.8</v>
      </c>
      <c r="F47" s="253" t="n">
        <v>15722.486</v>
      </c>
      <c r="G47" s="253" t="n">
        <v>19444</v>
      </c>
      <c r="H47" s="253" t="n">
        <v>26145</v>
      </c>
      <c r="I47" s="253" t="n">
        <v>31221</v>
      </c>
      <c r="J47" s="253" t="n">
        <v>8640</v>
      </c>
      <c r="K47" s="253" t="n">
        <v>8868</v>
      </c>
      <c r="L47" s="253" t="n">
        <v>9394</v>
      </c>
      <c r="M47" s="253" t="n">
        <v>10551</v>
      </c>
      <c r="N47" s="253" t="n">
        <v>37453</v>
      </c>
      <c r="O47" s="253" t="n">
        <v>10469</v>
      </c>
      <c r="P47" s="253" t="n">
        <v>10935</v>
      </c>
      <c r="Q47" s="253" t="n">
        <v>11252</v>
      </c>
      <c r="R47" s="253" t="n">
        <v>12429</v>
      </c>
      <c r="S47" s="253" t="n">
        <v>45085</v>
      </c>
      <c r="T47" s="253" t="n">
        <v>11932</v>
      </c>
      <c r="U47" s="253" t="n">
        <v>12402</v>
      </c>
      <c r="V47" s="253" t="n">
        <v>13087</v>
      </c>
      <c r="W47" s="253" t="n">
        <v>14936</v>
      </c>
      <c r="X47" s="253" t="n">
        <v>52357</v>
      </c>
      <c r="Y47" s="253" t="n">
        <v>14328</v>
      </c>
      <c r="Z47" s="253" t="n">
        <v>15400</v>
      </c>
      <c r="AA47" s="253" t="n">
        <v>16089</v>
      </c>
      <c r="AB47" s="253" t="n">
        <v>17968</v>
      </c>
      <c r="AC47" s="253" t="n">
        <v>63785</v>
      </c>
      <c r="AD47" s="253" t="n">
        <v>17403</v>
      </c>
      <c r="AE47" s="253" t="n">
        <v>18425</v>
      </c>
      <c r="AF47" s="253" t="n">
        <v>19723</v>
      </c>
      <c r="AG47" s="253" t="n">
        <v>22237</v>
      </c>
      <c r="AH47" s="253" t="n">
        <v>77788</v>
      </c>
      <c r="AI47" s="253" t="n">
        <v>21998</v>
      </c>
      <c r="AJ47" s="253" t="n">
        <v>23262</v>
      </c>
      <c r="AK47" s="253" t="n">
        <v>24054</v>
      </c>
      <c r="AL47" s="253" t="n">
        <v>27022</v>
      </c>
      <c r="AM47" s="253" t="n">
        <v>96336</v>
      </c>
      <c r="AN47" s="253" t="n">
        <v>25682</v>
      </c>
      <c r="AO47" s="253" t="n">
        <v>27335</v>
      </c>
      <c r="AP47" s="253" t="n">
        <v>28647</v>
      </c>
      <c r="AQ47" s="253" t="n">
        <v>31600</v>
      </c>
      <c r="AR47" s="253" t="n">
        <v>113264</v>
      </c>
      <c r="AS47" s="253" t="n">
        <v>28540</v>
      </c>
      <c r="AT47" s="253" t="n">
        <v>25131</v>
      </c>
      <c r="AU47" s="253" t="n">
        <v>31375</v>
      </c>
      <c r="AV47" s="34" t="n"/>
      <c r="AW47" s="34" t="n"/>
      <c r="AX47" s="34" t="n"/>
      <c r="AY47" s="34" t="n"/>
      <c r="AZ47" s="34" t="n"/>
      <c r="BA47" s="34" t="n"/>
      <c r="BB47" s="34" t="n"/>
      <c r="BC47" s="34" t="n"/>
      <c r="BD47" s="34" t="n"/>
      <c r="BE47" s="34" t="n"/>
      <c r="BF47" s="34" t="n"/>
      <c r="BG47" s="34" t="n"/>
      <c r="BH47" s="34" t="n"/>
      <c r="BI47" s="34" t="n"/>
      <c r="BJ47" s="34" t="n"/>
      <c r="BK47" s="34" t="n"/>
      <c r="BL47" s="34" t="n"/>
      <c r="BM47" s="34" t="n"/>
      <c r="BN47" s="34" t="n"/>
      <c r="BO47" s="34" t="n"/>
      <c r="BP47" s="34" t="n"/>
      <c r="BQ47" s="34" t="n"/>
      <c r="BR47" s="34" t="n"/>
      <c r="BS47" s="34" t="n"/>
      <c r="BT47" s="34" t="n"/>
      <c r="BU47" s="34" t="n"/>
      <c r="BV47" s="34" t="n"/>
      <c r="BW47" s="34" t="n"/>
      <c r="BX47" s="34" t="n"/>
      <c r="BY47" s="153" t="n"/>
      <c r="BZ47" s="153" t="n"/>
      <c r="CA47" s="153" t="n"/>
      <c r="CB47" s="153" t="n"/>
      <c r="CC47" s="153" t="n"/>
      <c r="CD47" s="153" t="n"/>
      <c r="CE47" s="153" t="n"/>
      <c r="CF47" s="153" t="n"/>
      <c r="CN47" s="25" t="inlineStr">
        <is>
          <t xml:space="preserve">  2029E</t>
        </is>
      </c>
      <c r="CO47" s="33">
        <f>CP47+$CO$44</f>
        <v>0.13</v>
      </c>
      <c r="CP47" s="42" t="n">
        <v>0.11</v>
      </c>
      <c r="CQ47" s="33">
        <f>CP47+$CQ$44</f>
        <v>0.07</v>
      </c>
    </row>
    <row r="48" ht="15" customHeight="1" s="251">
      <c r="B48" s="156" t="inlineStr">
        <is>
          <t xml:space="preserve">    Google Network Members' websites / properties</t>
        </is>
      </c>
      <c r="C48" s="253" t="n">
        <v>4159.831</v>
      </c>
      <c r="D48" s="253" t="n">
        <v>5787.9</v>
      </c>
      <c r="E48" s="253" t="n">
        <v>6714.7</v>
      </c>
      <c r="F48" s="253" t="n">
        <v>7166.318</v>
      </c>
      <c r="G48" s="253" t="n">
        <v>8792</v>
      </c>
      <c r="H48" s="253" t="n">
        <v>10386</v>
      </c>
      <c r="I48" s="253" t="n">
        <v>12465</v>
      </c>
      <c r="J48" s="253" t="n">
        <v>3262</v>
      </c>
      <c r="K48" s="253" t="n">
        <v>3193</v>
      </c>
      <c r="L48" s="253" t="n">
        <v>3148</v>
      </c>
      <c r="M48" s="253" t="n">
        <v>3522</v>
      </c>
      <c r="N48" s="253" t="n">
        <v>13125</v>
      </c>
      <c r="O48" s="253" t="n">
        <v>3397</v>
      </c>
      <c r="P48" s="253" t="n">
        <v>3424</v>
      </c>
      <c r="Q48" s="253" t="n">
        <v>3430</v>
      </c>
      <c r="R48" s="253" t="n">
        <v>3720</v>
      </c>
      <c r="S48" s="253" t="n">
        <v>13971</v>
      </c>
      <c r="T48" s="253" t="n">
        <v>3576</v>
      </c>
      <c r="U48" s="253" t="n">
        <v>3621</v>
      </c>
      <c r="V48" s="253" t="n">
        <v>3694</v>
      </c>
      <c r="W48" s="253" t="n">
        <v>4142</v>
      </c>
      <c r="X48" s="253" t="n">
        <v>15033</v>
      </c>
      <c r="Y48" s="253" t="n">
        <v>3692</v>
      </c>
      <c r="Z48" s="253" t="n">
        <v>3743</v>
      </c>
      <c r="AA48" s="253" t="n">
        <v>3732</v>
      </c>
      <c r="AB48" s="253" t="n">
        <v>4431</v>
      </c>
      <c r="AC48" s="253" t="n">
        <v>15598</v>
      </c>
      <c r="AD48" s="253" t="n">
        <v>4008</v>
      </c>
      <c r="AE48" s="253" t="n">
        <v>4247</v>
      </c>
      <c r="AF48" s="253" t="n">
        <v>4342</v>
      </c>
      <c r="AG48" s="253" t="n">
        <v>4990</v>
      </c>
      <c r="AH48" s="253" t="n">
        <v>17587</v>
      </c>
      <c r="AI48" s="253" t="n">
        <v>4644</v>
      </c>
      <c r="AJ48" s="253" t="n">
        <v>4825</v>
      </c>
      <c r="AK48" s="253" t="n">
        <v>4900</v>
      </c>
      <c r="AL48" s="253" t="n">
        <v>5613</v>
      </c>
      <c r="AM48" s="253" t="n">
        <v>19982</v>
      </c>
      <c r="AN48" s="253" t="n">
        <v>5038</v>
      </c>
      <c r="AO48" s="253" t="n">
        <v>5266</v>
      </c>
      <c r="AP48" s="253" t="n">
        <v>5269</v>
      </c>
      <c r="AQ48" s="253" t="n">
        <v>5974</v>
      </c>
      <c r="AR48" s="253" t="n">
        <v>21547</v>
      </c>
      <c r="AS48" s="253" t="n">
        <v>5223</v>
      </c>
      <c r="AT48" s="253" t="n">
        <v>4736</v>
      </c>
      <c r="AU48" s="253" t="n">
        <v>5720</v>
      </c>
      <c r="AV48" s="253" t="n">
        <v>7411</v>
      </c>
      <c r="AW48" s="253" t="n">
        <v>23090</v>
      </c>
      <c r="AX48" s="34" t="n"/>
      <c r="AY48" s="34" t="n"/>
      <c r="AZ48" s="34" t="n"/>
      <c r="BA48" s="34" t="n"/>
      <c r="BB48" s="34" t="n"/>
      <c r="BC48" s="34" t="n"/>
      <c r="BD48" s="34" t="n"/>
      <c r="BE48" s="34" t="n"/>
      <c r="BF48" s="34" t="n"/>
      <c r="BG48" s="34" t="n"/>
      <c r="BH48" s="34" t="n"/>
      <c r="BI48" s="34" t="n"/>
      <c r="BJ48" s="34" t="n"/>
      <c r="BK48" s="34" t="n"/>
      <c r="BL48" s="34" t="n"/>
      <c r="BM48" s="34" t="n"/>
      <c r="BN48" s="34" t="n"/>
      <c r="BO48" s="34" t="n"/>
      <c r="BP48" s="34" t="n"/>
      <c r="BQ48" s="34" t="n"/>
      <c r="BR48" s="34" t="n"/>
      <c r="BS48" s="34" t="n"/>
      <c r="BT48" s="34" t="n"/>
      <c r="BU48" s="34" t="n"/>
      <c r="BV48" s="34" t="n"/>
      <c r="BW48" s="34" t="n"/>
      <c r="BX48" s="34" t="n"/>
      <c r="BY48" s="153" t="n"/>
      <c r="BZ48" s="153" t="n"/>
      <c r="CA48" s="153" t="n"/>
      <c r="CB48" s="153" t="n"/>
      <c r="CC48" s="153" t="n"/>
      <c r="CD48" s="153" t="n"/>
      <c r="CE48" s="153" t="n"/>
      <c r="CF48" s="153" t="n"/>
      <c r="CN48" s="25" t="inlineStr">
        <is>
          <t xml:space="preserve">  2030E</t>
        </is>
      </c>
      <c r="CO48" s="33">
        <f>CP48+$CO$44</f>
        <v>0.12</v>
      </c>
      <c r="CP48" s="42" t="n">
        <v>0.1</v>
      </c>
      <c r="CQ48" s="33">
        <f>CP48+$CQ$44</f>
        <v>0.06</v>
      </c>
    </row>
    <row r="49" ht="15" customHeight="1" s="251">
      <c r="B49" s="156" t="inlineStr">
        <is>
          <t xml:space="preserve">    Other revenues (licensing, Cloud, Play, hardware)</t>
        </is>
      </c>
      <c r="C49" s="253" t="n">
        <v>112.289</v>
      </c>
      <c r="D49" s="253" t="n">
        <v>181.4</v>
      </c>
      <c r="E49" s="253" t="n">
        <v>667.1</v>
      </c>
      <c r="F49" s="253" t="n">
        <v>761.759</v>
      </c>
      <c r="G49" s="253" t="n">
        <v>1085</v>
      </c>
      <c r="H49" s="253" t="n">
        <v>1374</v>
      </c>
      <c r="I49" s="253" t="n">
        <v>2353</v>
      </c>
      <c r="J49" s="253" t="n">
        <v>1049</v>
      </c>
      <c r="K49" s="253" t="n">
        <v>1046</v>
      </c>
      <c r="L49" s="253" t="n">
        <v>1230</v>
      </c>
      <c r="M49" s="253" t="n">
        <v>1647</v>
      </c>
      <c r="N49" s="253" t="n">
        <v>4972</v>
      </c>
      <c r="O49" s="253" t="n">
        <v>1554</v>
      </c>
      <c r="P49" s="253" t="n">
        <v>1596</v>
      </c>
      <c r="Q49" s="253" t="n">
        <v>1841</v>
      </c>
      <c r="R49" s="253" t="n">
        <v>1954</v>
      </c>
      <c r="S49" s="253" t="n">
        <v>6945</v>
      </c>
      <c r="T49" s="253" t="n">
        <v>1750</v>
      </c>
      <c r="U49" s="253" t="n">
        <v>1704</v>
      </c>
      <c r="V49" s="253" t="n">
        <v>1894</v>
      </c>
      <c r="W49" s="253" t="n">
        <v>1803</v>
      </c>
      <c r="X49" s="253" t="n">
        <v>7151</v>
      </c>
      <c r="Y49" s="253" t="n">
        <v>2071</v>
      </c>
      <c r="Z49" s="253" t="n">
        <v>2172</v>
      </c>
      <c r="AA49" s="253" t="n">
        <v>2433</v>
      </c>
      <c r="AB49" s="253" t="n">
        <v>3404</v>
      </c>
      <c r="AC49" s="253" t="n">
        <v>10080</v>
      </c>
      <c r="AD49" s="253" t="n">
        <v>3095</v>
      </c>
      <c r="AE49" s="253" t="n">
        <v>3090</v>
      </c>
      <c r="AF49" s="253" t="n">
        <v>3405</v>
      </c>
      <c r="AG49" s="253" t="n">
        <v>4687</v>
      </c>
      <c r="AH49" s="253" t="n">
        <v>14277</v>
      </c>
      <c r="AI49" s="253" t="n">
        <v>4354</v>
      </c>
      <c r="AJ49" s="253" t="n">
        <v>4425</v>
      </c>
      <c r="AK49" s="253" t="n">
        <v>4640</v>
      </c>
      <c r="AL49" s="253" t="n">
        <v>6487</v>
      </c>
      <c r="AM49" s="253" t="n">
        <v>19906</v>
      </c>
      <c r="AN49" s="253" t="n">
        <v>5449</v>
      </c>
      <c r="AO49" s="253" t="n">
        <v>6181</v>
      </c>
      <c r="AP49" s="253" t="n">
        <v>6428</v>
      </c>
      <c r="AQ49" s="34" t="n"/>
      <c r="AR49" s="34" t="n"/>
      <c r="AS49" s="34" t="n"/>
      <c r="AT49" s="34" t="n"/>
      <c r="AU49" s="34" t="n"/>
      <c r="AV49" s="34" t="n"/>
      <c r="AW49" s="34" t="n"/>
      <c r="AX49" s="34" t="n"/>
      <c r="AY49" s="34" t="n"/>
      <c r="AZ49" s="34" t="n"/>
      <c r="BA49" s="34" t="n"/>
      <c r="BB49" s="34" t="n"/>
      <c r="BC49" s="34" t="n"/>
      <c r="BD49" s="34" t="n"/>
      <c r="BE49" s="34" t="n"/>
      <c r="BF49" s="34" t="n"/>
      <c r="BG49" s="34" t="n"/>
      <c r="BH49" s="34" t="n"/>
      <c r="BI49" s="34" t="n"/>
      <c r="BJ49" s="34" t="n"/>
      <c r="BK49" s="34" t="n"/>
      <c r="BL49" s="34" t="n"/>
      <c r="BM49" s="34" t="n"/>
      <c r="BN49" s="34" t="n"/>
      <c r="BO49" s="34" t="n"/>
      <c r="BP49" s="34" t="n"/>
      <c r="BQ49" s="34" t="n"/>
      <c r="BR49" s="34" t="n"/>
      <c r="BS49" s="34" t="n"/>
      <c r="BT49" s="34" t="n"/>
      <c r="BU49" s="34" t="n"/>
      <c r="BV49" s="34" t="n"/>
      <c r="BW49" s="34" t="n"/>
      <c r="BX49" s="34" t="n"/>
      <c r="BY49" s="153" t="n"/>
      <c r="BZ49" s="153" t="n"/>
      <c r="CA49" s="153" t="n"/>
      <c r="CB49" s="153" t="n"/>
      <c r="CC49" s="153" t="n"/>
      <c r="CD49" s="153" t="n"/>
      <c r="CE49" s="153" t="n"/>
      <c r="CF49" s="153" t="n"/>
      <c r="CN49" s="15" t="inlineStr">
        <is>
          <t>CLOUD (Google Cloud y/y)</t>
        </is>
      </c>
      <c r="CO49" s="41" t="n">
        <v>0.08</v>
      </c>
      <c r="CP49" s="21" t="inlineStr">
        <is>
          <t>Δ →</t>
        </is>
      </c>
      <c r="CQ49" s="41" t="n">
        <v>-0.12</v>
      </c>
      <c r="CR49" s="13" t="inlineStr">
        <is>
          <t>1H26 +73% (Q2-26 +82%; Wiz from 11-Mar-2026; TPU system sales); backlog $513.9bn at 30-Jun-2026 (about half within 24 months) vs FY2025 revenue $58.7bn. Capacity-constrained. Assumption.</t>
        </is>
      </c>
    </row>
    <row r="50" ht="15" customHeight="1" s="251">
      <c r="B50" s="156" t="inlineStr">
        <is>
          <t xml:space="preserve">    Motorola Mobile (hardware and other)</t>
        </is>
      </c>
      <c r="C50" s="34" t="n"/>
      <c r="D50" s="34" t="n"/>
      <c r="E50" s="34" t="n"/>
      <c r="F50" s="34" t="n"/>
      <c r="G50" s="34" t="n"/>
      <c r="H50" s="34" t="n"/>
      <c r="I50" s="253" t="n">
        <v>4136</v>
      </c>
      <c r="J50" s="253" t="n">
        <v>1018</v>
      </c>
      <c r="K50" s="253" t="n">
        <v>998</v>
      </c>
      <c r="L50" s="253" t="n">
        <v>1139</v>
      </c>
      <c r="M50" s="253" t="n">
        <v>618</v>
      </c>
      <c r="N50" s="253" t="n">
        <v>3773</v>
      </c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 t="n"/>
      <c r="AF50" s="34" t="n"/>
      <c r="AG50" s="34" t="n"/>
      <c r="AH50" s="34" t="n"/>
      <c r="AI50" s="34" t="n"/>
      <c r="AJ50" s="34" t="n"/>
      <c r="AK50" s="34" t="n"/>
      <c r="AL50" s="34" t="n"/>
      <c r="AM50" s="34" t="n"/>
      <c r="AN50" s="34" t="n"/>
      <c r="AO50" s="34" t="n"/>
      <c r="AP50" s="34" t="n"/>
      <c r="AQ50" s="34" t="n"/>
      <c r="AR50" s="34" t="n"/>
      <c r="AS50" s="34" t="n"/>
      <c r="AT50" s="34" t="n"/>
      <c r="AU50" s="34" t="n"/>
      <c r="AV50" s="34" t="n"/>
      <c r="AW50" s="34" t="n"/>
      <c r="AX50" s="34" t="n"/>
      <c r="AY50" s="34" t="n"/>
      <c r="AZ50" s="34" t="n"/>
      <c r="BA50" s="34" t="n"/>
      <c r="BB50" s="34" t="n"/>
      <c r="BC50" s="34" t="n"/>
      <c r="BD50" s="34" t="n"/>
      <c r="BE50" s="34" t="n"/>
      <c r="BF50" s="34" t="n"/>
      <c r="BG50" s="34" t="n"/>
      <c r="BH50" s="34" t="n"/>
      <c r="BI50" s="34" t="n"/>
      <c r="BJ50" s="34" t="n"/>
      <c r="BK50" s="34" t="n"/>
      <c r="BL50" s="34" t="n"/>
      <c r="BM50" s="34" t="n"/>
      <c r="BN50" s="34" t="n"/>
      <c r="BO50" s="34" t="n"/>
      <c r="BP50" s="34" t="n"/>
      <c r="BQ50" s="34" t="n"/>
      <c r="BR50" s="34" t="n"/>
      <c r="BS50" s="34" t="n"/>
      <c r="BT50" s="34" t="n"/>
      <c r="BU50" s="34" t="n"/>
      <c r="BV50" s="34" t="n"/>
      <c r="BW50" s="34" t="n"/>
      <c r="BX50" s="34" t="n"/>
      <c r="BY50" s="153" t="n"/>
      <c r="BZ50" s="153" t="n"/>
      <c r="CA50" s="153" t="n"/>
      <c r="CB50" s="153" t="n"/>
      <c r="CC50" s="153" t="n"/>
      <c r="CD50" s="153" t="n"/>
      <c r="CE50" s="153" t="n"/>
      <c r="CF50" s="153" t="n"/>
      <c r="CN50" s="25" t="inlineStr">
        <is>
          <t xml:space="preserve">  2027E</t>
        </is>
      </c>
      <c r="CO50" s="33">
        <f>CP50+$CO$49</f>
        <v>0.53</v>
      </c>
      <c r="CP50" s="42" t="n">
        <v>0.45</v>
      </c>
      <c r="CQ50" s="33">
        <f>CP50+$CQ$49</f>
        <v>0.33</v>
      </c>
    </row>
    <row r="51" ht="15" customHeight="1" s="251">
      <c r="B51" s="156" t="inlineStr">
        <is>
          <t xml:space="preserve">    Other Bets revenues</t>
        </is>
      </c>
      <c r="C51" s="34" t="n"/>
      <c r="D51" s="34" t="n"/>
      <c r="E51" s="34" t="n"/>
      <c r="F51" s="34" t="n"/>
      <c r="G51" s="34" t="n"/>
      <c r="H51" s="34" t="n"/>
      <c r="I51" s="34" t="n"/>
      <c r="J51" s="34" t="n"/>
      <c r="K51" s="34" t="n"/>
      <c r="L51" s="34" t="n"/>
      <c r="M51" s="34" t="n"/>
      <c r="N51" s="34" t="n"/>
      <c r="O51" s="34" t="n"/>
      <c r="P51" s="34" t="n"/>
      <c r="Q51" s="34" t="n"/>
      <c r="R51" s="34" t="n"/>
      <c r="S51" s="34" t="n"/>
      <c r="T51" s="34" t="n"/>
      <c r="U51" s="34" t="n"/>
      <c r="V51" s="34" t="n"/>
      <c r="W51" s="34" t="n"/>
      <c r="X51" s="253" t="n">
        <v>448</v>
      </c>
      <c r="Y51" s="253" t="n">
        <v>166</v>
      </c>
      <c r="Z51" s="253" t="n">
        <v>185</v>
      </c>
      <c r="AA51" s="253" t="n">
        <v>197</v>
      </c>
      <c r="AB51" s="253" t="n">
        <v>261</v>
      </c>
      <c r="AC51" s="253" t="n">
        <v>809</v>
      </c>
      <c r="AD51" s="253" t="n">
        <v>244</v>
      </c>
      <c r="AE51" s="253" t="n">
        <v>248</v>
      </c>
      <c r="AF51" s="253" t="n">
        <v>302</v>
      </c>
      <c r="AG51" s="253" t="n">
        <v>409</v>
      </c>
      <c r="AH51" s="253" t="n">
        <v>1203</v>
      </c>
      <c r="AI51" s="253" t="n">
        <v>150</v>
      </c>
      <c r="AJ51" s="253" t="n">
        <v>145</v>
      </c>
      <c r="AK51" s="253" t="n">
        <v>146</v>
      </c>
      <c r="AL51" s="253" t="n">
        <v>154</v>
      </c>
      <c r="AM51" s="253" t="n">
        <v>595</v>
      </c>
      <c r="AN51" s="253" t="n">
        <v>170</v>
      </c>
      <c r="AO51" s="253" t="n">
        <v>162</v>
      </c>
      <c r="AP51" s="253" t="n">
        <v>155</v>
      </c>
      <c r="AQ51" s="253" t="n">
        <v>172</v>
      </c>
      <c r="AR51" s="253" t="n">
        <v>659</v>
      </c>
      <c r="AS51" s="253" t="n">
        <v>135</v>
      </c>
      <c r="AT51" s="253" t="n">
        <v>148</v>
      </c>
      <c r="AU51" s="253" t="n">
        <v>178</v>
      </c>
      <c r="AV51" s="34" t="n"/>
      <c r="AW51" s="34" t="n"/>
      <c r="AX51" s="34" t="n"/>
      <c r="AY51" s="34" t="n"/>
      <c r="AZ51" s="34" t="n"/>
      <c r="BA51" s="34" t="n"/>
      <c r="BB51" s="34" t="n"/>
      <c r="BC51" s="34" t="n"/>
      <c r="BD51" s="34" t="n"/>
      <c r="BE51" s="34" t="n"/>
      <c r="BF51" s="34" t="n"/>
      <c r="BG51" s="34" t="n"/>
      <c r="BH51" s="34" t="n"/>
      <c r="BI51" s="34" t="n"/>
      <c r="BJ51" s="34" t="n"/>
      <c r="BK51" s="34" t="n"/>
      <c r="BL51" s="34" t="n"/>
      <c r="BM51" s="34" t="n"/>
      <c r="BN51" s="34" t="n"/>
      <c r="BO51" s="34" t="n"/>
      <c r="BP51" s="34" t="n"/>
      <c r="BQ51" s="34" t="n"/>
      <c r="BR51" s="34" t="n"/>
      <c r="BS51" s="34" t="n"/>
      <c r="BT51" s="34" t="n"/>
      <c r="BU51" s="34" t="n"/>
      <c r="BV51" s="34" t="n"/>
      <c r="BW51" s="34" t="n"/>
      <c r="BX51" s="34" t="n"/>
      <c r="BY51" s="153" t="n"/>
      <c r="BZ51" s="153" t="n"/>
      <c r="CA51" s="153" t="n"/>
      <c r="CB51" s="153" t="n"/>
      <c r="CC51" s="153" t="n"/>
      <c r="CD51" s="153" t="n"/>
      <c r="CE51" s="153" t="n"/>
      <c r="CF51" s="153" t="n"/>
      <c r="CN51" s="25" t="inlineStr">
        <is>
          <t xml:space="preserve">  2028E</t>
        </is>
      </c>
      <c r="CO51" s="33">
        <f>CP51+$CO$49</f>
        <v>0.4</v>
      </c>
      <c r="CP51" s="42" t="n">
        <v>0.32</v>
      </c>
      <c r="CQ51" s="33">
        <f>CP51+$CQ$49</f>
        <v>0.2</v>
      </c>
    </row>
    <row r="52" ht="15" customHeight="1" s="251">
      <c r="B52" s="156" t="inlineStr">
        <is>
          <t xml:space="preserve">    Not split / basis differences (derived; FY2013 Motorola after the Home disposal, Other Bets in 2015 quarters)</t>
        </is>
      </c>
      <c r="C52" s="211">
        <f>IF(ISNUMBER(C47),C132-(N(C47)+N(C48)+N(C49)+N(C50)+N(C51)),"")</f>
        <v>0</v>
      </c>
      <c r="D52" s="211">
        <f>IF(ISNUMBER(D47),D132-(N(D47)+N(D48)+N(D49)+N(D50)+N(D51)),"")</f>
        <v>-0.0139999999992142</v>
      </c>
      <c r="E52" s="211">
        <f>IF(ISNUMBER(E47),E132-(N(E47)+N(E48)+N(E49)+N(E50)+N(E51)),"")</f>
        <v>-0.0499999999992724</v>
      </c>
      <c r="F52" s="211">
        <f>IF(ISNUMBER(F47),F132-(N(F47)+N(F48)+N(F49)+N(F50)+N(F51)),"")</f>
        <v>0</v>
      </c>
      <c r="G52" s="211">
        <f>IF(ISNUMBER(G47),G132-(N(G47)+N(G48)+N(G49)+N(G50)+N(G51)),"")</f>
        <v>0</v>
      </c>
      <c r="H52" s="211">
        <f>IF(ISNUMBER(H47),H132-(N(H47)+N(H48)+N(H49)+N(H50)+N(H51)),"")</f>
        <v>0</v>
      </c>
      <c r="I52" s="211">
        <f>IF(ISNUMBER(I47),I132-(N(I47)+N(I48)+N(I49)+N(I50)+N(I51)),"")</f>
        <v>0</v>
      </c>
      <c r="J52" s="211">
        <f>IF(ISNUMBER(J47),J132-(N(J47)+N(J48)+N(J49)+N(J50)+N(J51)),"")</f>
        <v>0</v>
      </c>
      <c r="K52" s="211">
        <f>IF(ISNUMBER(K47),K132-(N(K47)+N(K48)+N(K49)+N(K50)+N(K51)),"")</f>
        <v>0</v>
      </c>
      <c r="L52" s="211">
        <f>IF(ISNUMBER(L47),L132-(N(L47)+N(L48)+N(L49)+N(L50)+N(L51)),"")</f>
        <v>-18</v>
      </c>
      <c r="M52" s="211">
        <f>IF(ISNUMBER(M47),M132-(N(M47)+N(M48)+N(M49)+N(M50)+N(M51)),"")</f>
        <v>520</v>
      </c>
      <c r="N52" s="211">
        <f>IF(ISNUMBER(N47),N132-(N(N47)+N(N48)+N(N49)+N(N50)+N(N51)),"")</f>
        <v>502</v>
      </c>
      <c r="O52" s="211">
        <f>IF(ISNUMBER(O47),O132-(N(O47)+N(O48)+N(O49)+N(O50)+N(O51)),"")</f>
        <v>0</v>
      </c>
      <c r="P52" s="211">
        <f>IF(ISNUMBER(P47),P132-(N(P47)+N(P48)+N(P49)+N(P50)+N(P51)),"")</f>
        <v>0</v>
      </c>
      <c r="Q52" s="211">
        <f>IF(ISNUMBER(Q47),Q132-(N(Q47)+N(Q48)+N(Q49)+N(Q50)+N(Q51)),"")</f>
        <v>0</v>
      </c>
      <c r="R52" s="211">
        <f>IF(ISNUMBER(R47),R132-(N(R47)+N(R48)+N(R49)+N(R50)+N(R51)),"")</f>
        <v>0</v>
      </c>
      <c r="S52" s="211">
        <f>IF(ISNUMBER(S47),S132-(N(S47)+N(S48)+N(S49)+N(S50)+N(S51)),"")</f>
        <v>0</v>
      </c>
      <c r="T52" s="211">
        <f>IF(ISNUMBER(T47),T132-(N(T47)+N(T48)+N(T49)+N(T50)+N(T51)),"")</f>
        <v>0</v>
      </c>
      <c r="U52" s="211">
        <f>IF(ISNUMBER(U47),U132-(N(U47)+N(U48)+N(U49)+N(U50)+N(U51)),"")</f>
        <v>0</v>
      </c>
      <c r="V52" s="211">
        <f>IF(ISNUMBER(V47),V132-(N(V47)+N(V48)+N(V49)+N(V50)+N(V51)),"")</f>
        <v>0</v>
      </c>
      <c r="W52" s="211">
        <f>IF(ISNUMBER(W47),W132-(N(W47)+N(W48)+N(W49)+N(W50)+N(W51)),"")</f>
        <v>448</v>
      </c>
      <c r="X52" s="211">
        <f>IF(ISNUMBER(X47),X132-(N(X47)+N(X48)+N(X49)+N(X50)+N(X51)),"")</f>
        <v>0</v>
      </c>
      <c r="Y52" s="211">
        <f>IF(ISNUMBER(Y47),Y132-(N(Y47)+N(Y48)+N(Y49)+N(Y50)+N(Y51)),"")</f>
        <v>0</v>
      </c>
      <c r="Z52" s="211">
        <f>IF(ISNUMBER(Z47),Z132-(N(Z47)+N(Z48)+N(Z49)+N(Z50)+N(Z51)),"")</f>
        <v>0</v>
      </c>
      <c r="AA52" s="211">
        <f>IF(ISNUMBER(AA47),AA132-(N(AA47)+N(AA48)+N(AA49)+N(AA50)+N(AA51)),"")</f>
        <v>0</v>
      </c>
      <c r="AB52" s="211">
        <f>IF(ISNUMBER(AB47),AB132-(N(AB47)+N(AB48)+N(AB49)+N(AB50)+N(AB51)),"")</f>
        <v>0</v>
      </c>
      <c r="AC52" s="211">
        <f>IF(ISNUMBER(AC47),AC132-(N(AC47)+N(AC48)+N(AC49)+N(AC50)+N(AC51)),"")</f>
        <v>0</v>
      </c>
      <c r="AD52" s="211">
        <f>IF(ISNUMBER(AD47),AD132-(N(AD47)+N(AD48)+N(AD49)+N(AD50)+N(AD51)),"")</f>
        <v>0</v>
      </c>
      <c r="AE52" s="211">
        <f>IF(ISNUMBER(AE47),AE132-(N(AE47)+N(AE48)+N(AE49)+N(AE50)+N(AE51)),"")</f>
        <v>0</v>
      </c>
      <c r="AF52" s="211">
        <f>IF(ISNUMBER(AF47),AF132-(N(AF47)+N(AF48)+N(AF49)+N(AF50)+N(AF51)),"")</f>
        <v>0</v>
      </c>
      <c r="AG52" s="211">
        <f>IF(ISNUMBER(AG47),AG132-(N(AG47)+N(AG48)+N(AG49)+N(AG50)+N(AG51)),"")</f>
        <v>0</v>
      </c>
      <c r="AH52" s="211">
        <f>IF(ISNUMBER(AH47),AH132-(N(AH47)+N(AH48)+N(AH49)+N(AH50)+N(AH51)),"")</f>
        <v>0</v>
      </c>
      <c r="AI52" s="211">
        <f>IF(ISNUMBER(AI47),AI132-(N(AI47)+N(AI48)+N(AI49)+N(AI50)+N(AI51)),"")</f>
        <v>0</v>
      </c>
      <c r="AJ52" s="211">
        <f>IF(ISNUMBER(AJ47),AJ132-(N(AJ47)+N(AJ48)+N(AJ49)+N(AJ50)+N(AJ51)),"")</f>
        <v>0</v>
      </c>
      <c r="AK52" s="211">
        <f>IF(ISNUMBER(AK47),AK132-(N(AK47)+N(AK48)+N(AK49)+N(AK50)+N(AK51)),"")</f>
        <v>0</v>
      </c>
      <c r="AL52" s="211">
        <f>IF(ISNUMBER(AL47),AL132-(N(AL47)+N(AL48)+N(AL49)+N(AL50)+N(AL51)),"")</f>
        <v>0</v>
      </c>
      <c r="AM52" s="211">
        <f>IF(ISNUMBER(AM47),AM132-(N(AM47)+N(AM48)+N(AM49)+N(AM50)+N(AM51)),"")</f>
        <v>0</v>
      </c>
      <c r="AN52" s="211">
        <f>IF(ISNUMBER(AN47),AN132-(N(AN47)+N(AN48)+N(AN49)+N(AN50)+N(AN51)),"")</f>
        <v>0</v>
      </c>
      <c r="AO52" s="211">
        <f>IF(ISNUMBER(AO47),AO132-(N(AO47)+N(AO48)+N(AO49)+N(AO50)+N(AO51)),"")</f>
        <v>0</v>
      </c>
      <c r="AP52" s="211">
        <f>IF(ISNUMBER(AP47),AP132-(N(AP47)+N(AP48)+N(AP49)+N(AP50)+N(AP51)),"")</f>
        <v>0</v>
      </c>
      <c r="AQ52" s="211">
        <f>IF(ISNUMBER(AQ47),AQ132-(N(AQ47)+N(AQ48)+N(AQ49)+N(AQ50)+N(AQ51)),"")</f>
        <v>8329</v>
      </c>
      <c r="AR52" s="211">
        <f>IF(ISNUMBER(AR47),AR132-(N(AR47)+N(AR48)+N(AR49)+N(AR50)+N(AR51)),"")</f>
        <v>26387</v>
      </c>
      <c r="AS52" s="211">
        <f>IF(ISNUMBER(AS47),AS132-(N(AS47)+N(AS48)+N(AS49)+N(AS50)+N(AS51)),"")</f>
        <v>7261</v>
      </c>
      <c r="AT52" s="211">
        <f>IF(ISNUMBER(AT47),AT132-(N(AT47)+N(AT48)+N(AT49)+N(AT50)+N(AT51)),"")</f>
        <v>8282</v>
      </c>
      <c r="AU52" s="211">
        <f>IF(ISNUMBER(AU47),AU132-(N(AU47)+N(AU48)+N(AU49)+N(AU50)+N(AU51)),"")</f>
        <v>8900</v>
      </c>
      <c r="AV52" s="211">
        <f>IF(ISNUMBER(AV47),AV132-(N(AV47)+N(AV48)+N(AV49)+N(AV50)+N(AV51)),"")</f>
      </c>
      <c r="AW52" s="211">
        <f>IF(ISNUMBER(AW47),AW132-(N(AW47)+N(AW48)+N(AW49)+N(AW50)+N(AW51)),"")</f>
      </c>
      <c r="AX52" s="211">
        <f>IF(ISNUMBER(AX47),AX132-(N(AX47)+N(AX48)+N(AX49)+N(AX50)+N(AX51)),"")</f>
      </c>
      <c r="AY52" s="211">
        <f>IF(ISNUMBER(AY47),AY132-(N(AY47)+N(AY48)+N(AY49)+N(AY50)+N(AY51)),"")</f>
      </c>
      <c r="AZ52" s="211">
        <f>IF(ISNUMBER(AZ47),AZ132-(N(AZ47)+N(AZ48)+N(AZ49)+N(AZ50)+N(AZ51)),"")</f>
      </c>
      <c r="BA52" s="211">
        <f>IF(ISNUMBER(BA47),BA132-(N(BA47)+N(BA48)+N(BA49)+N(BA50)+N(BA51)),"")</f>
      </c>
      <c r="BB52" s="211">
        <f>IF(ISNUMBER(BB47),BB132-(N(BB47)+N(BB48)+N(BB49)+N(BB50)+N(BB51)),"")</f>
      </c>
      <c r="BC52" s="211">
        <f>IF(ISNUMBER(BC47),BC132-(N(BC47)+N(BC48)+N(BC49)+N(BC50)+N(BC51)),"")</f>
      </c>
      <c r="BD52" s="211">
        <f>IF(ISNUMBER(BD47),BD132-(N(BD47)+N(BD48)+N(BD49)+N(BD50)+N(BD51)),"")</f>
      </c>
      <c r="BE52" s="211">
        <f>IF(ISNUMBER(BE47),BE132-(N(BE47)+N(BE48)+N(BE49)+N(BE50)+N(BE51)),"")</f>
      </c>
      <c r="BF52" s="211">
        <f>IF(ISNUMBER(BF47),BF132-(N(BF47)+N(BF48)+N(BF49)+N(BF50)+N(BF51)),"")</f>
      </c>
      <c r="BG52" s="211">
        <f>IF(ISNUMBER(BG47),BG132-(N(BG47)+N(BG48)+N(BG49)+N(BG50)+N(BG51)),"")</f>
      </c>
      <c r="BH52" s="211">
        <f>IF(ISNUMBER(BH47),BH132-(N(BH47)+N(BH48)+N(BH49)+N(BH50)+N(BH51)),"")</f>
      </c>
      <c r="BI52" s="211">
        <f>IF(ISNUMBER(BI47),BI132-(N(BI47)+N(BI48)+N(BI49)+N(BI50)+N(BI51)),"")</f>
      </c>
      <c r="BJ52" s="211">
        <f>IF(ISNUMBER(BJ47),BJ132-(N(BJ47)+N(BJ48)+N(BJ49)+N(BJ50)+N(BJ51)),"")</f>
      </c>
      <c r="BK52" s="211">
        <f>IF(ISNUMBER(BK47),BK132-(N(BK47)+N(BK48)+N(BK49)+N(BK50)+N(BK51)),"")</f>
      </c>
      <c r="BL52" s="211">
        <f>IF(ISNUMBER(BL47),BL132-(N(BL47)+N(BL48)+N(BL49)+N(BL50)+N(BL51)),"")</f>
      </c>
      <c r="BM52" s="211">
        <f>IF(ISNUMBER(BM47),BM132-(N(BM47)+N(BM48)+N(BM49)+N(BM50)+N(BM51)),"")</f>
      </c>
      <c r="BN52" s="211">
        <f>IF(ISNUMBER(BN47),BN132-(N(BN47)+N(BN48)+N(BN49)+N(BN50)+N(BN51)),"")</f>
      </c>
      <c r="BO52" s="211">
        <f>IF(ISNUMBER(BO47),BO132-(N(BO47)+N(BO48)+N(BO49)+N(BO50)+N(BO51)),"")</f>
      </c>
      <c r="BP52" s="211">
        <f>IF(ISNUMBER(BP47),BP132-(N(BP47)+N(BP48)+N(BP49)+N(BP50)+N(BP51)),"")</f>
      </c>
      <c r="BQ52" s="211">
        <f>IF(ISNUMBER(BQ47),BQ132-(N(BQ47)+N(BQ48)+N(BQ49)+N(BQ50)+N(BQ51)),"")</f>
      </c>
      <c r="BR52" s="211">
        <f>IF(ISNUMBER(BR47),BR132-(N(BR47)+N(BR48)+N(BR49)+N(BR50)+N(BR51)),"")</f>
      </c>
      <c r="BS52" s="211">
        <f>IF(ISNUMBER(BS47),BS132-(N(BS47)+N(BS48)+N(BS49)+N(BS50)+N(BS51)),"")</f>
      </c>
      <c r="BT52" s="211">
        <f>IF(ISNUMBER(BT47),BT132-(N(BT47)+N(BT48)+N(BT49)+N(BT50)+N(BT51)),"")</f>
      </c>
      <c r="BU52" s="211">
        <f>IF(ISNUMBER(BU47),BU132-(N(BU47)+N(BU48)+N(BU49)+N(BU50)+N(BU51)),"")</f>
      </c>
      <c r="BV52" s="211">
        <f>IF(ISNUMBER(BV47),BV132-(N(BV47)+N(BV48)+N(BV49)+N(BV50)+N(BV51)),"")</f>
      </c>
      <c r="BW52" s="211">
        <f>IF(ISNUMBER(BW47),BW132-(N(BW47)+N(BW48)+N(BW49)+N(BW50)+N(BW51)),"")</f>
      </c>
      <c r="BX52" s="211">
        <f>IF(ISNUMBER(BX47),BX132-(N(BX47)+N(BX48)+N(BX49)+N(BX50)+N(BX51)),"")</f>
      </c>
      <c r="BY52" s="35" t="n"/>
      <c r="BZ52" s="35" t="n"/>
      <c r="CA52" s="35" t="n"/>
      <c r="CB52" s="35" t="n"/>
      <c r="CC52" s="35" t="n"/>
      <c r="CD52" s="35" t="n"/>
      <c r="CE52" s="35" t="n"/>
      <c r="CF52" s="153" t="n"/>
      <c r="CN52" s="25" t="inlineStr">
        <is>
          <t xml:space="preserve">  2029E</t>
        </is>
      </c>
      <c r="CO52" s="33">
        <f>CP52+$CO$49</f>
        <v>0.33</v>
      </c>
      <c r="CP52" s="42" t="n">
        <v>0.25</v>
      </c>
      <c r="CQ52" s="33">
        <f>CP52+$CQ$49</f>
        <v>0.13</v>
      </c>
    </row>
    <row r="53" ht="15" customHeight="1" s="251">
      <c r="CN53" s="25" t="inlineStr">
        <is>
          <t xml:space="preserve">  2030E</t>
        </is>
      </c>
      <c r="CO53" s="33">
        <f>CP53+$CO$49</f>
        <v>0.28</v>
      </c>
      <c r="CP53" s="42" t="n">
        <v>0.2</v>
      </c>
      <c r="CQ53" s="33">
        <f>CP53+$CQ$49</f>
        <v>0.08</v>
      </c>
    </row>
    <row r="54" collapsed="1" ht="15" customHeight="1" s="251">
      <c r="B54" s="14" t="inlineStr">
        <is>
          <t>Segment operating income (company measure; latest filing presenting the period — annual from FY2018, quarterly from Q1/20)</t>
        </is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  <c r="BP54" s="14" t="n"/>
      <c r="BQ54" s="14" t="n"/>
      <c r="BR54" s="14" t="n"/>
      <c r="BS54" s="14" t="n"/>
      <c r="BT54" s="14" t="n"/>
      <c r="BU54" s="14" t="n"/>
      <c r="BV54" s="14" t="n"/>
      <c r="BW54" s="14" t="n"/>
      <c r="BX54" s="14" t="n"/>
      <c r="BY54" s="14" t="n"/>
      <c r="BZ54" s="14" t="n"/>
      <c r="CA54" s="14" t="n"/>
      <c r="CB54" s="14" t="n"/>
      <c r="CC54" s="14" t="n"/>
      <c r="CD54" s="14" t="n"/>
      <c r="CE54" s="14" t="n"/>
      <c r="CF54" s="15" t="inlineStr">
        <is>
          <t>SEGMENTS — Q3–Q4/26E margins: last actual quarter + sequential seasonality (Services) / held (Cloud) + scenario shift; 2027E+: scenario levers</t>
        </is>
      </c>
      <c r="CN54" s="15" t="inlineStr">
        <is>
          <t>OB (Other Bets revenues y/y)</t>
        </is>
      </c>
      <c r="CO54" s="41" t="n">
        <v>0.1</v>
      </c>
      <c r="CP54" s="21" t="inlineStr">
        <is>
          <t>Δ →</t>
        </is>
      </c>
      <c r="CQ54" s="41" t="n">
        <v>-0.1</v>
      </c>
      <c r="CR54" s="13" t="inlineStr">
        <is>
          <t>GFiber (internet services; revenue not disclosed) deconsolidated at its late-2026 closing → 2027E −30% (assumption); Waymo growth thereafter.</t>
        </is>
      </c>
    </row>
    <row r="55" ht="15" customHeight="1" s="251">
      <c r="B55" s="25" t="inlineStr">
        <is>
          <t xml:space="preserve">  Google Services operating income</t>
        </is>
      </c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  <c r="AA55" s="34" t="n"/>
      <c r="AB55" s="34" t="n"/>
      <c r="AC55" s="34" t="n"/>
      <c r="AD55" s="34" t="n"/>
      <c r="AE55" s="34" t="n"/>
      <c r="AF55" s="34" t="n"/>
      <c r="AG55" s="34" t="n"/>
      <c r="AH55" s="34" t="n"/>
      <c r="AI55" s="34" t="n"/>
      <c r="AJ55" s="34" t="n"/>
      <c r="AK55" s="34" t="n"/>
      <c r="AL55" s="34" t="n"/>
      <c r="AM55" s="253" t="n">
        <v>43137</v>
      </c>
      <c r="AN55" s="34" t="n"/>
      <c r="AO55" s="34" t="n"/>
      <c r="AP55" s="34" t="n"/>
      <c r="AQ55" s="34" t="n"/>
      <c r="AR55" s="253" t="n">
        <v>48999</v>
      </c>
      <c r="AS55" s="253" t="n">
        <v>11548</v>
      </c>
      <c r="AT55" s="253" t="n">
        <v>9539</v>
      </c>
      <c r="AU55" s="253" t="n">
        <v>14453</v>
      </c>
      <c r="AV55" s="253" t="n">
        <v>19066</v>
      </c>
      <c r="AW55" s="253" t="n">
        <v>54606</v>
      </c>
      <c r="AX55" s="253" t="n">
        <v>19546</v>
      </c>
      <c r="AY55" s="253" t="n">
        <v>22343</v>
      </c>
      <c r="AZ55" s="253" t="n">
        <v>23973</v>
      </c>
      <c r="BA55" s="253" t="n">
        <v>22270</v>
      </c>
      <c r="BB55" s="253" t="n">
        <v>88132</v>
      </c>
      <c r="BC55" s="253" t="n">
        <v>21973</v>
      </c>
      <c r="BD55" s="253" t="n">
        <v>21621</v>
      </c>
      <c r="BE55" s="253" t="n">
        <v>18883</v>
      </c>
      <c r="BF55" s="253" t="n">
        <v>20222</v>
      </c>
      <c r="BG55" s="253" t="n">
        <v>82699</v>
      </c>
      <c r="BH55" s="253" t="n">
        <v>21737</v>
      </c>
      <c r="BI55" s="253" t="n">
        <v>23454</v>
      </c>
      <c r="BJ55" s="253" t="n">
        <v>23937</v>
      </c>
      <c r="BK55" s="253" t="n">
        <v>26730</v>
      </c>
      <c r="BL55" s="253" t="n">
        <v>95858</v>
      </c>
      <c r="BM55" s="253" t="n">
        <v>27897</v>
      </c>
      <c r="BN55" s="253" t="n">
        <v>29674</v>
      </c>
      <c r="BO55" s="253" t="n">
        <v>30856</v>
      </c>
      <c r="BP55" s="253" t="n">
        <v>32836</v>
      </c>
      <c r="BQ55" s="253" t="n">
        <v>121263</v>
      </c>
      <c r="BR55" s="253" t="n">
        <v>32682</v>
      </c>
      <c r="BS55" s="253" t="n">
        <v>33063</v>
      </c>
      <c r="BT55" s="253" t="n">
        <v>33527</v>
      </c>
      <c r="BU55" s="253" t="n">
        <v>40132</v>
      </c>
      <c r="BV55" s="253" t="n">
        <v>139404</v>
      </c>
      <c r="BW55" s="253" t="n">
        <v>40589</v>
      </c>
      <c r="BX55" s="253" t="n">
        <v>39544</v>
      </c>
      <c r="BY55" s="254">
        <f>BY33*BY56</f>
        <v>40462.4104746223</v>
      </c>
      <c r="BZ55" s="254">
        <f>BZ33*BZ56</f>
        <v>48286.6118860927</v>
      </c>
      <c r="CA55" s="254">
        <f>SUM(BW55:BZ55)</f>
        <v>168882.022360715</v>
      </c>
      <c r="CB55" s="254">
        <f>CB33*CB56</f>
        <v>183273.050817632</v>
      </c>
      <c r="CC55" s="254">
        <f>CC33*CC56</f>
        <v>192243.567323927</v>
      </c>
      <c r="CD55" s="254">
        <f>CD33*CD56</f>
        <v>202376.048738546</v>
      </c>
      <c r="CE55" s="254">
        <f>CE33*CE56</f>
        <v>211190.314951525</v>
      </c>
      <c r="CF55" s="19" t="n"/>
      <c r="CH55" s="20">
        <f>IFERROR((CE55/BV55)^(1/5)-1,"n/m")</f>
        <v>0.0866251497670871</v>
      </c>
      <c r="CI55" s="20">
        <f>IFERROR((BV55/AW55)^(1/5)-1,"n/m")</f>
        <v>0.206165699856054</v>
      </c>
      <c r="CJ55" s="20" t="str">
        <f>IFERROR((BV55/X55)^(1/10)-1,"n/m")</f>
        <v>n/m</v>
      </c>
      <c r="CK55" s="20" t="str">
        <f>IFERROR((BV55/C55)^(1/19)-1,"n/m")</f>
        <v>n/m</v>
      </c>
      <c r="CN55" s="25" t="inlineStr">
        <is>
          <t xml:space="preserve">  2027E</t>
        </is>
      </c>
      <c r="CO55" s="33">
        <f>CP55+$CO$54</f>
        <v>-0.2</v>
      </c>
      <c r="CP55" s="42" t="n">
        <v>-0.3</v>
      </c>
      <c r="CQ55" s="33">
        <f>CP55+$CQ$54</f>
        <v>-0.4</v>
      </c>
    </row>
    <row r="56" ht="15" customHeight="1" s="251">
      <c r="B56" s="25" t="inlineStr">
        <is>
          <t xml:space="preserve">    Google Services operating margin %</t>
        </is>
      </c>
      <c r="C56" s="215">
        <f>IF(AND(ISNUMBER(C55),ISNUMBER(C33)),IFERROR(C55/C33,""),"")</f>
      </c>
      <c r="D56" s="215">
        <f>IF(AND(ISNUMBER(D55),ISNUMBER(D33)),IFERROR(D55/D33,""),"")</f>
      </c>
      <c r="E56" s="215">
        <f>IF(AND(ISNUMBER(E55),ISNUMBER(E33)),IFERROR(E55/E33,""),"")</f>
      </c>
      <c r="F56" s="215">
        <f>IF(AND(ISNUMBER(F55),ISNUMBER(F33)),IFERROR(F55/F33,""),"")</f>
      </c>
      <c r="G56" s="215">
        <f>IF(AND(ISNUMBER(G55),ISNUMBER(G33)),IFERROR(G55/G33,""),"")</f>
      </c>
      <c r="H56" s="215">
        <f>IF(AND(ISNUMBER(H55),ISNUMBER(H33)),IFERROR(H55/H33,""),"")</f>
      </c>
      <c r="I56" s="215">
        <f>IF(AND(ISNUMBER(I55),ISNUMBER(I33)),IFERROR(I55/I33,""),"")</f>
      </c>
      <c r="J56" s="215">
        <f>IF(AND(ISNUMBER(J55),ISNUMBER(J33)),IFERROR(J55/J33,""),"")</f>
      </c>
      <c r="K56" s="215">
        <f>IF(AND(ISNUMBER(K55),ISNUMBER(K33)),IFERROR(K55/K33,""),"")</f>
      </c>
      <c r="L56" s="215">
        <f>IF(AND(ISNUMBER(L55),ISNUMBER(L33)),IFERROR(L55/L33,""),"")</f>
      </c>
      <c r="M56" s="215">
        <f>IF(AND(ISNUMBER(M55),ISNUMBER(M33)),IFERROR(M55/M33,""),"")</f>
      </c>
      <c r="N56" s="215">
        <f>IF(AND(ISNUMBER(N55),ISNUMBER(N33)),IFERROR(N55/N33,""),"")</f>
      </c>
      <c r="O56" s="215">
        <f>IF(AND(ISNUMBER(O55),ISNUMBER(O33)),IFERROR(O55/O33,""),"")</f>
      </c>
      <c r="P56" s="215">
        <f>IF(AND(ISNUMBER(P55),ISNUMBER(P33)),IFERROR(P55/P33,""),"")</f>
      </c>
      <c r="Q56" s="215">
        <f>IF(AND(ISNUMBER(Q55),ISNUMBER(Q33)),IFERROR(Q55/Q33,""),"")</f>
      </c>
      <c r="R56" s="215">
        <f>IF(AND(ISNUMBER(R55),ISNUMBER(R33)),IFERROR(R55/R33,""),"")</f>
      </c>
      <c r="S56" s="215">
        <f>IF(AND(ISNUMBER(S55),ISNUMBER(S33)),IFERROR(S55/S33,""),"")</f>
      </c>
      <c r="T56" s="215">
        <f>IF(AND(ISNUMBER(T55),ISNUMBER(T33)),IFERROR(T55/T33,""),"")</f>
      </c>
      <c r="U56" s="215">
        <f>IF(AND(ISNUMBER(U55),ISNUMBER(U33)),IFERROR(U55/U33,""),"")</f>
      </c>
      <c r="V56" s="215">
        <f>IF(AND(ISNUMBER(V55),ISNUMBER(V33)),IFERROR(V55/V33,""),"")</f>
      </c>
      <c r="W56" s="215">
        <f>IF(AND(ISNUMBER(W55),ISNUMBER(W33)),IFERROR(W55/W33,""),"")</f>
      </c>
      <c r="X56" s="215">
        <f>IF(AND(ISNUMBER(X55),ISNUMBER(X33)),IFERROR(X55/X33,""),"")</f>
      </c>
      <c r="Y56" s="215">
        <f>IF(AND(ISNUMBER(Y55),ISNUMBER(Y33)),IFERROR(Y55/Y33,""),"")</f>
      </c>
      <c r="Z56" s="215">
        <f>IF(AND(ISNUMBER(Z55),ISNUMBER(Z33)),IFERROR(Z55/Z33,""),"")</f>
      </c>
      <c r="AA56" s="215">
        <f>IF(AND(ISNUMBER(AA55),ISNUMBER(AA33)),IFERROR(AA55/AA33,""),"")</f>
      </c>
      <c r="AB56" s="215">
        <f>IF(AND(ISNUMBER(AB55),ISNUMBER(AB33)),IFERROR(AB55/AB33,""),"")</f>
      </c>
      <c r="AC56" s="215">
        <f>IF(AND(ISNUMBER(AC55),ISNUMBER(AC33)),IFERROR(AC55/AC33,""),"")</f>
      </c>
      <c r="AD56" s="215">
        <f>IF(AND(ISNUMBER(AD55),ISNUMBER(AD33)),IFERROR(AD55/AD33,""),"")</f>
      </c>
      <c r="AE56" s="215">
        <f>IF(AND(ISNUMBER(AE55),ISNUMBER(AE33)),IFERROR(AE55/AE33,""),"")</f>
      </c>
      <c r="AF56" s="215">
        <f>IF(AND(ISNUMBER(AF55),ISNUMBER(AF33)),IFERROR(AF55/AF33,""),"")</f>
      </c>
      <c r="AG56" s="215">
        <f>IF(AND(ISNUMBER(AG55),ISNUMBER(AG33)),IFERROR(AG55/AG33,""),"")</f>
      </c>
      <c r="AH56" s="215">
        <f>IF(AND(ISNUMBER(AH55),ISNUMBER(AH33)),IFERROR(AH55/AH33,""),"")</f>
      </c>
      <c r="AI56" s="215">
        <f>IF(AND(ISNUMBER(AI55),ISNUMBER(AI33)),IFERROR(AI55/AI33,""),"")</f>
      </c>
      <c r="AJ56" s="215">
        <f>IF(AND(ISNUMBER(AJ55),ISNUMBER(AJ33)),IFERROR(AJ55/AJ33,""),"")</f>
      </c>
      <c r="AK56" s="215">
        <f>IF(AND(ISNUMBER(AK55),ISNUMBER(AK33)),IFERROR(AK55/AK33,""),"")</f>
      </c>
      <c r="AL56" s="215">
        <f>IF(AND(ISNUMBER(AL55),ISNUMBER(AL33)),IFERROR(AL55/AL33,""),"")</f>
      </c>
      <c r="AM56" s="215">
        <f>IF(AND(ISNUMBER(AM55),ISNUMBER(AM33)),IFERROR(AM55/AM33,""),"")</f>
        <v>0.330490944194171</v>
      </c>
      <c r="AN56" s="215">
        <f>IF(AND(ISNUMBER(AN55),ISNUMBER(AN33)),IFERROR(AN55/AN33,""),"")</f>
      </c>
      <c r="AO56" s="215">
        <f>IF(AND(ISNUMBER(AO55),ISNUMBER(AO33)),IFERROR(AO55/AO33,""),"")</f>
      </c>
      <c r="AP56" s="215">
        <f>IF(AND(ISNUMBER(AP55),ISNUMBER(AP33)),IFERROR(AP55/AP33,""),"")</f>
      </c>
      <c r="AQ56" s="215">
        <f>IF(AND(ISNUMBER(AQ55),ISNUMBER(AQ33)),IFERROR(AQ55/AQ33,""),"")</f>
      </c>
      <c r="AR56" s="215">
        <f>IF(AND(ISNUMBER(AR55),ISNUMBER(AR33)),IFERROR(AR55/AR33,""),"")</f>
        <v>0.32273341017619</v>
      </c>
      <c r="AS56" s="215">
        <f>IF(AND(ISNUMBER(AS55),ISNUMBER(AS33)),IFERROR(AS55/AS33,""),"")</f>
        <v>0.302319493167182</v>
      </c>
      <c r="AT56" s="215">
        <f>IF(AND(ISNUMBER(AT55),ISNUMBER(AT33)),IFERROR(AT55/AT33,""),"")</f>
        <v>0.272612957617673</v>
      </c>
      <c r="AU56" s="215">
        <f>IF(AND(ISNUMBER(AU55),ISNUMBER(AU33)),IFERROR(AU55/AU33,""),"")</f>
        <v>0.339487468583374</v>
      </c>
      <c r="AV56" s="215">
        <f>IF(AND(ISNUMBER(AV55),ISNUMBER(AV33)),IFERROR(AV55/AV33,""),"")</f>
        <v>0.360599928129669</v>
      </c>
      <c r="AW56" s="215">
        <f>IF(AND(ISNUMBER(AW55),ISNUMBER(AW33)),IFERROR(AW55/AW33,""),"")</f>
        <v>0.323811782844605</v>
      </c>
      <c r="AX56" s="215">
        <f>IF(AND(ISNUMBER(AX55),ISNUMBER(AX33)),IFERROR(AX55/AX33,""),"")</f>
        <v>0.381921919574817</v>
      </c>
      <c r="AY56" s="215">
        <f>IF(AND(ISNUMBER(AY55),ISNUMBER(AY33)),IFERROR(AY55/AY33,""),"")</f>
        <v>0.391522245781275</v>
      </c>
      <c r="AZ56" s="215">
        <f>IF(AND(ISNUMBER(AZ55),ISNUMBER(AZ33)),IFERROR(AZ55/AZ33,""),"")</f>
        <v>0.400323959655334</v>
      </c>
      <c r="BA56" s="215">
        <f>IF(AND(ISNUMBER(BA55),ISNUMBER(BA33)),IFERROR(BA55/BA33,""),"")</f>
        <v>0.320893371757925</v>
      </c>
      <c r="BB56" s="215">
        <f>IF(AND(ISNUMBER(BB55),ISNUMBER(BB33)),IFERROR(BB55/BB33,""),"")</f>
        <v>0.371036799717087</v>
      </c>
      <c r="BC56" s="215">
        <f>IF(AND(ISNUMBER(BC55),ISNUMBER(BC33)),IFERROR(BC55/BC33,""),"")</f>
        <v>0.357447293076523</v>
      </c>
      <c r="BD56" s="215">
        <f>IF(AND(ISNUMBER(BD55),ISNUMBER(BD33)),IFERROR(BD55/BD33,""),"")</f>
        <v>0.344058815104788</v>
      </c>
      <c r="BE56" s="215">
        <f>IF(AND(ISNUMBER(BE55),ISNUMBER(BE33)),IFERROR(BE55/BE33,""),"")</f>
        <v>0.307655962331166</v>
      </c>
      <c r="BF56" s="215">
        <f>IF(AND(ISNUMBER(BF55),ISNUMBER(BF33)),IFERROR(BF55/BF33,""),"")</f>
        <v>0.298092514519886</v>
      </c>
      <c r="BG56" s="215">
        <f>IF(AND(ISNUMBER(BG55),ISNUMBER(BG33)),IFERROR(BG55/BG33,""),"")</f>
        <v>0.326192767662743</v>
      </c>
      <c r="BH56" s="215">
        <f>IF(AND(ISNUMBER(BH55),ISNUMBER(BH33)),IFERROR(BH55/BH33,""),"")</f>
        <v>0.350817449686093</v>
      </c>
      <c r="BI56" s="215">
        <f>IF(AND(ISNUMBER(BI55),ISNUMBER(BI33)),IFERROR(BI55/BI33,""),"")</f>
        <v>0.353835709436524</v>
      </c>
      <c r="BJ56" s="215">
        <f>IF(AND(ISNUMBER(BJ55),ISNUMBER(BJ33)),IFERROR(BJ55/BJ33,""),"")</f>
        <v>0.352087194422381</v>
      </c>
      <c r="BK56" s="215">
        <f>IF(AND(ISNUMBER(BK55),ISNUMBER(BK33)),IFERROR(BK55/BK33,""),"")</f>
        <v>0.35027715532492</v>
      </c>
      <c r="BL56" s="215">
        <f>IF(AND(ISNUMBER(BL55),ISNUMBER(BL33)),IFERROR(BL55/BL33,""),"")</f>
        <v>0.351716976770638</v>
      </c>
      <c r="BM56" s="215">
        <f>IF(AND(ISNUMBER(BM55),ISNUMBER(BM33)),IFERROR(BM55/BM33,""),"")</f>
        <v>0.39627546237109</v>
      </c>
      <c r="BN56" s="215">
        <f>IF(AND(ISNUMBER(BN55),ISNUMBER(BN33)),IFERROR(BN55/BN33,""),"")</f>
        <v>0.401390542149118</v>
      </c>
      <c r="BO56" s="215">
        <f>IF(AND(ISNUMBER(BO55),ISNUMBER(BO33)),IFERROR(BO55/BO33,""),"")</f>
        <v>0.403293687099726</v>
      </c>
      <c r="BP56" s="215">
        <f>IF(AND(ISNUMBER(BP55),ISNUMBER(BP33)),IFERROR(BP55/BP33,""),"")</f>
        <v>0.390467809831855</v>
      </c>
      <c r="BQ56" s="215">
        <f>IF(AND(ISNUMBER(BQ55),ISNUMBER(BQ33)),IFERROR(BQ55/BQ33,""),"")</f>
        <v>0.397674876201095</v>
      </c>
      <c r="BR56" s="215">
        <f>IF(AND(ISNUMBER(BR55),ISNUMBER(BR33)),IFERROR(BR55/BR33,""),"")</f>
        <v>0.422991302547111</v>
      </c>
      <c r="BS56" s="215">
        <f>IF(AND(ISNUMBER(BS55),ISNUMBER(BS33)),IFERROR(BS55/BS33,""),"")</f>
        <v>0.400554862314188</v>
      </c>
      <c r="BT56" s="215">
        <f>IF(AND(ISNUMBER(BT55),ISNUMBER(BT33)),IFERROR(BT55/BT33,""),"")</f>
        <v>0.385137618894454</v>
      </c>
      <c r="BU56" s="215">
        <f>IF(AND(ISNUMBER(BU55),ISNUMBER(BU33)),IFERROR(BU55/BU33,""),"")</f>
        <v>0.418643466649976</v>
      </c>
      <c r="BV56" s="215">
        <f>IF(AND(ISNUMBER(BV55),ISNUMBER(BV33)),IFERROR(BV55/BV33,""),"")</f>
        <v>0.406756516233321</v>
      </c>
      <c r="BW56" s="215">
        <f>IF(AND(ISNUMBER(BW55),ISNUMBER(BW33)),IFERROR(BW55/BW33,""),"")</f>
        <v>0.452815243705166</v>
      </c>
      <c r="BX56" s="215">
        <f>IF(AND(ISNUMBER(BX55),ISNUMBER(BX33)),IFERROR(BX55/BX33,""),"")</f>
        <v>0.418277977575629</v>
      </c>
      <c r="BY56" s="256">
        <f>BY57+BY102</f>
        <v>0.402860734155896</v>
      </c>
      <c r="BZ56" s="256">
        <f>BZ57+BY102</f>
        <v>0.436366581911418</v>
      </c>
      <c r="CA56" s="256">
        <f>IF(AND(ISNUMBER(CA55),ISNUMBER(CA33)),IFERROR(CA55/CA33,""),"")</f>
        <v>0.427256526741656</v>
      </c>
      <c r="CB56" s="256">
        <f>CHOOSE(MATCH($CF$2,{"Bull","Base","Bear"},0),$CO$60,$CP$60,$CQ$60)</f>
        <v>0.42</v>
      </c>
      <c r="CC56" s="256">
        <f>CHOOSE(MATCH($CF$2,{"Bull","Base","Bear"},0),$CO$61,$CP$61,$CQ$61)</f>
        <v>0.405</v>
      </c>
      <c r="CD56" s="256">
        <f>CHOOSE(MATCH($CF$2,{"Bull","Base","Bear"},0),$CO$62,$CP$62,$CQ$62)</f>
        <v>0.395</v>
      </c>
      <c r="CE56" s="256">
        <f>CHOOSE(MATCH($CF$2,{"Bull","Base","Bear"},0),$CO$63,$CP$63,$CQ$63)</f>
        <v>0.385</v>
      </c>
      <c r="CF56" s="153" t="n"/>
      <c r="CH56" s="37">
        <f>IFERROR(AVERAGE(CA56,CB56,CC56,CD56,CE56),"n/m")</f>
        <v>0.406451305348331</v>
      </c>
      <c r="CI56" s="37">
        <f>IFERROR(AVERAGE(BB56,BG56,BL56,BQ56,BV56),"n/m")</f>
        <v>0.370675587316977</v>
      </c>
      <c r="CJ56" s="37">
        <f>IFERROR(AVERAGE(AC56,AH56,AM56,AR56,AW56,BB56,BG56,BL56,BQ56,BV56),"n/m")</f>
        <v>0.353801759224981</v>
      </c>
      <c r="CK56" s="37">
        <f>IFERROR(AVERAGE(C56,D56,E56,F56,G56,H56,I56,N56,S56,X56,AC56,AH56,AM56,AR56,AW56,BB56,BG56,BL56,BQ56,BV56),"n/m")</f>
        <v>0.353801759224981</v>
      </c>
      <c r="CN56" s="25" t="inlineStr">
        <is>
          <t xml:space="preserve">  2028E</t>
        </is>
      </c>
      <c r="CO56" s="33">
        <f>CP56+$CO$54</f>
        <v>0.35</v>
      </c>
      <c r="CP56" s="42" t="n">
        <v>0.25</v>
      </c>
      <c r="CQ56" s="33">
        <f>CP56+$CQ$54</f>
        <v>0.15</v>
      </c>
    </row>
    <row r="57" ht="15" customHeight="1" s="251">
      <c r="B57" s="25" t="inlineStr">
        <is>
          <t xml:space="preserve">    Q3–Q4/26E margin before scenario shift (prior quarter + last year's sequential change)</t>
        </is>
      </c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  <c r="AU57" s="36" t="n"/>
      <c r="AV57" s="36" t="n"/>
      <c r="AW57" s="36" t="n"/>
      <c r="AX57" s="36" t="n"/>
      <c r="AY57" s="36" t="n"/>
      <c r="AZ57" s="36" t="n"/>
      <c r="BA57" s="36" t="n"/>
      <c r="BB57" s="36" t="n"/>
      <c r="BC57" s="36" t="n"/>
      <c r="BD57" s="36" t="n"/>
      <c r="BE57" s="36" t="n"/>
      <c r="BF57" s="36" t="n"/>
      <c r="BG57" s="36" t="n"/>
      <c r="BH57" s="36" t="n"/>
      <c r="BI57" s="36" t="n"/>
      <c r="BJ57" s="36" t="n"/>
      <c r="BK57" s="36" t="n"/>
      <c r="BL57" s="36" t="n"/>
      <c r="BM57" s="36" t="n"/>
      <c r="BN57" s="36" t="n"/>
      <c r="BO57" s="36" t="n"/>
      <c r="BP57" s="36" t="n"/>
      <c r="BQ57" s="36" t="n"/>
      <c r="BR57" s="36" t="n"/>
      <c r="BS57" s="36" t="n"/>
      <c r="BT57" s="36" t="n"/>
      <c r="BU57" s="36" t="n"/>
      <c r="BV57" s="36" t="n"/>
      <c r="BW57" s="36" t="n"/>
      <c r="BX57" s="36" t="n"/>
      <c r="BY57" s="256">
        <f>BX56+(BT56-BS56)</f>
        <v>0.402860734155896</v>
      </c>
      <c r="BZ57" s="256">
        <f>BY57+(BU56-BT56)</f>
        <v>0.436366581911418</v>
      </c>
      <c r="CA57" s="24" t="n"/>
      <c r="CB57" s="46" t="n"/>
      <c r="CC57" s="46" t="n"/>
      <c r="CD57" s="46" t="n"/>
      <c r="CE57" s="46" t="n"/>
      <c r="CF57" s="19" t="inlineStr">
        <is>
          <t>Q3E = Q2-26 margin + (Q3-25 − Q2-25); Q4E = Q3E + (Q4-25 − Q3-25): sequential seasonality of the prior year (ODFL approach).</t>
        </is>
      </c>
      <c r="CN57" s="25" t="inlineStr">
        <is>
          <t xml:space="preserve">  2029E</t>
        </is>
      </c>
      <c r="CO57" s="33">
        <f>CP57+$CO$54</f>
        <v>0.35</v>
      </c>
      <c r="CP57" s="42" t="n">
        <v>0.25</v>
      </c>
      <c r="CQ57" s="33">
        <f>CP57+$CQ$54</f>
        <v>0.15</v>
      </c>
    </row>
    <row r="58" ht="15" customHeight="1" s="251">
      <c r="B58" s="25" t="inlineStr">
        <is>
          <t xml:space="preserve">  Google Cloud operating income</t>
        </is>
      </c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  <c r="AA58" s="34" t="n"/>
      <c r="AB58" s="34" t="n"/>
      <c r="AC58" s="34" t="n"/>
      <c r="AD58" s="34" t="n"/>
      <c r="AE58" s="34" t="n"/>
      <c r="AF58" s="34" t="n"/>
      <c r="AG58" s="34" t="n"/>
      <c r="AH58" s="34" t="n"/>
      <c r="AI58" s="34" t="n"/>
      <c r="AJ58" s="34" t="n"/>
      <c r="AK58" s="34" t="n"/>
      <c r="AL58" s="34" t="n"/>
      <c r="AM58" s="253" t="n">
        <v>-4348</v>
      </c>
      <c r="AN58" s="34" t="n"/>
      <c r="AO58" s="34" t="n"/>
      <c r="AP58" s="34" t="n"/>
      <c r="AQ58" s="34" t="n"/>
      <c r="AR58" s="253" t="n">
        <v>-4645</v>
      </c>
      <c r="AS58" s="253" t="n">
        <v>-1730</v>
      </c>
      <c r="AT58" s="253" t="n">
        <v>-1426</v>
      </c>
      <c r="AU58" s="253" t="n">
        <v>-1208</v>
      </c>
      <c r="AV58" s="253" t="n">
        <v>-1243</v>
      </c>
      <c r="AW58" s="253" t="n">
        <v>-5607</v>
      </c>
      <c r="AX58" s="253" t="n">
        <v>-974</v>
      </c>
      <c r="AY58" s="253" t="n">
        <v>-591</v>
      </c>
      <c r="AZ58" s="253" t="n">
        <v>-644</v>
      </c>
      <c r="BA58" s="253" t="n">
        <v>-73</v>
      </c>
      <c r="BB58" s="253" t="n">
        <v>-2282</v>
      </c>
      <c r="BC58" s="253" t="n">
        <v>-706</v>
      </c>
      <c r="BD58" s="253" t="n">
        <v>-590</v>
      </c>
      <c r="BE58" s="253" t="n">
        <v>-440</v>
      </c>
      <c r="BF58" s="253" t="n">
        <v>-186</v>
      </c>
      <c r="BG58" s="253" t="n">
        <v>-1922</v>
      </c>
      <c r="BH58" s="253" t="n">
        <v>191</v>
      </c>
      <c r="BI58" s="253" t="n">
        <v>395</v>
      </c>
      <c r="BJ58" s="253" t="n">
        <v>266</v>
      </c>
      <c r="BK58" s="253" t="n">
        <v>864</v>
      </c>
      <c r="BL58" s="253" t="n">
        <v>1716</v>
      </c>
      <c r="BM58" s="253" t="n">
        <v>900</v>
      </c>
      <c r="BN58" s="253" t="n">
        <v>1172</v>
      </c>
      <c r="BO58" s="253" t="n">
        <v>1947</v>
      </c>
      <c r="BP58" s="253" t="n">
        <v>2093</v>
      </c>
      <c r="BQ58" s="253" t="n">
        <v>6112</v>
      </c>
      <c r="BR58" s="253" t="n">
        <v>2177</v>
      </c>
      <c r="BS58" s="253" t="n">
        <v>2826</v>
      </c>
      <c r="BT58" s="253" t="n">
        <v>3594</v>
      </c>
      <c r="BU58" s="253" t="n">
        <v>5313</v>
      </c>
      <c r="BV58" s="253" t="n">
        <v>13910</v>
      </c>
      <c r="BW58" s="253" t="n">
        <v>6598</v>
      </c>
      <c r="BX58" s="253" t="n">
        <v>8814</v>
      </c>
      <c r="BY58" s="254">
        <f>BY23*BY59</f>
        <v>9334.76098966139</v>
      </c>
      <c r="BZ58" s="254">
        <f>BZ23*BZ59</f>
        <v>10878.7502884066</v>
      </c>
      <c r="CA58" s="254">
        <f>SUM(BW58:BZ58)</f>
        <v>35625.511278068</v>
      </c>
      <c r="CB58" s="254">
        <f>CB23*CB59</f>
        <v>48614.394321975</v>
      </c>
      <c r="CC58" s="254">
        <f>CC23*CC59</f>
        <v>62226.424732128</v>
      </c>
      <c r="CD58" s="254">
        <f>CD23*CD59</f>
        <v>77783.0309151599</v>
      </c>
      <c r="CE58" s="254">
        <f>CE23*CE59</f>
        <v>93339.6370981919</v>
      </c>
      <c r="CF58" s="19" t="n"/>
      <c r="CN58" s="25" t="inlineStr">
        <is>
          <t xml:space="preserve">  2030E</t>
        </is>
      </c>
      <c r="CO58" s="33">
        <f>CP58+$CO$54</f>
        <v>0.35</v>
      </c>
      <c r="CP58" s="42" t="n">
        <v>0.25</v>
      </c>
      <c r="CQ58" s="33">
        <f>CP58+$CQ$54</f>
        <v>0.15</v>
      </c>
    </row>
    <row r="59" ht="15" customHeight="1" s="251">
      <c r="B59" s="25" t="inlineStr">
        <is>
          <t xml:space="preserve">    Google Cloud operating margin %</t>
        </is>
      </c>
      <c r="C59" s="215">
        <f>IF(AND(ISNUMBER(C58),ISNUMBER(C23)),IFERROR(C58/C23,""),"")</f>
      </c>
      <c r="D59" s="215">
        <f>IF(AND(ISNUMBER(D58),ISNUMBER(D23)),IFERROR(D58/D23,""),"")</f>
      </c>
      <c r="E59" s="215">
        <f>IF(AND(ISNUMBER(E58),ISNUMBER(E23)),IFERROR(E58/E23,""),"")</f>
      </c>
      <c r="F59" s="215">
        <f>IF(AND(ISNUMBER(F58),ISNUMBER(F23)),IFERROR(F58/F23,""),"")</f>
      </c>
      <c r="G59" s="215">
        <f>IF(AND(ISNUMBER(G58),ISNUMBER(G23)),IFERROR(G58/G23,""),"")</f>
      </c>
      <c r="H59" s="215">
        <f>IF(AND(ISNUMBER(H58),ISNUMBER(H23)),IFERROR(H58/H23,""),"")</f>
      </c>
      <c r="I59" s="215">
        <f>IF(AND(ISNUMBER(I58),ISNUMBER(I23)),IFERROR(I58/I23,""),"")</f>
      </c>
      <c r="J59" s="215">
        <f>IF(AND(ISNUMBER(J58),ISNUMBER(J23)),IFERROR(J58/J23,""),"")</f>
      </c>
      <c r="K59" s="215">
        <f>IF(AND(ISNUMBER(K58),ISNUMBER(K23)),IFERROR(K58/K23,""),"")</f>
      </c>
      <c r="L59" s="215">
        <f>IF(AND(ISNUMBER(L58),ISNUMBER(L23)),IFERROR(L58/L23,""),"")</f>
      </c>
      <c r="M59" s="215">
        <f>IF(AND(ISNUMBER(M58),ISNUMBER(M23)),IFERROR(M58/M23,""),"")</f>
      </c>
      <c r="N59" s="215">
        <f>IF(AND(ISNUMBER(N58),ISNUMBER(N23)),IFERROR(N58/N23,""),"")</f>
      </c>
      <c r="O59" s="215">
        <f>IF(AND(ISNUMBER(O58),ISNUMBER(O23)),IFERROR(O58/O23,""),"")</f>
      </c>
      <c r="P59" s="215">
        <f>IF(AND(ISNUMBER(P58),ISNUMBER(P23)),IFERROR(P58/P23,""),"")</f>
      </c>
      <c r="Q59" s="215">
        <f>IF(AND(ISNUMBER(Q58),ISNUMBER(Q23)),IFERROR(Q58/Q23,""),"")</f>
      </c>
      <c r="R59" s="215">
        <f>IF(AND(ISNUMBER(R58),ISNUMBER(R23)),IFERROR(R58/R23,""),"")</f>
      </c>
      <c r="S59" s="215">
        <f>IF(AND(ISNUMBER(S58),ISNUMBER(S23)),IFERROR(S58/S23,""),"")</f>
      </c>
      <c r="T59" s="215">
        <f>IF(AND(ISNUMBER(T58),ISNUMBER(T23)),IFERROR(T58/T23,""),"")</f>
      </c>
      <c r="U59" s="215">
        <f>IF(AND(ISNUMBER(U58),ISNUMBER(U23)),IFERROR(U58/U23,""),"")</f>
      </c>
      <c r="V59" s="215">
        <f>IF(AND(ISNUMBER(V58),ISNUMBER(V23)),IFERROR(V58/V23,""),"")</f>
      </c>
      <c r="W59" s="215">
        <f>IF(AND(ISNUMBER(W58),ISNUMBER(W23)),IFERROR(W58/W23,""),"")</f>
      </c>
      <c r="X59" s="215">
        <f>IF(AND(ISNUMBER(X58),ISNUMBER(X23)),IFERROR(X58/X23,""),"")</f>
      </c>
      <c r="Y59" s="215">
        <f>IF(AND(ISNUMBER(Y58),ISNUMBER(Y23)),IFERROR(Y58/Y23,""),"")</f>
      </c>
      <c r="Z59" s="215">
        <f>IF(AND(ISNUMBER(Z58),ISNUMBER(Z23)),IFERROR(Z58/Z23,""),"")</f>
      </c>
      <c r="AA59" s="215">
        <f>IF(AND(ISNUMBER(AA58),ISNUMBER(AA23)),IFERROR(AA58/AA23,""),"")</f>
      </c>
      <c r="AB59" s="215">
        <f>IF(AND(ISNUMBER(AB58),ISNUMBER(AB23)),IFERROR(AB58/AB23,""),"")</f>
      </c>
      <c r="AC59" s="215">
        <f>IF(AND(ISNUMBER(AC58),ISNUMBER(AC23)),IFERROR(AC58/AC23,""),"")</f>
      </c>
      <c r="AD59" s="215">
        <f>IF(AND(ISNUMBER(AD58),ISNUMBER(AD23)),IFERROR(AD58/AD23,""),"")</f>
      </c>
      <c r="AE59" s="215">
        <f>IF(AND(ISNUMBER(AE58),ISNUMBER(AE23)),IFERROR(AE58/AE23,""),"")</f>
      </c>
      <c r="AF59" s="215">
        <f>IF(AND(ISNUMBER(AF58),ISNUMBER(AF23)),IFERROR(AF58/AF23,""),"")</f>
      </c>
      <c r="AG59" s="215">
        <f>IF(AND(ISNUMBER(AG58),ISNUMBER(AG23)),IFERROR(AG58/AG23,""),"")</f>
      </c>
      <c r="AH59" s="215">
        <f>IF(AND(ISNUMBER(AH58),ISNUMBER(AH23)),IFERROR(AH58/AH23,""),"")</f>
      </c>
      <c r="AI59" s="215">
        <f>IF(AND(ISNUMBER(AI58),ISNUMBER(AI23)),IFERROR(AI58/AI23,""),"")</f>
      </c>
      <c r="AJ59" s="215">
        <f>IF(AND(ISNUMBER(AJ58),ISNUMBER(AJ23)),IFERROR(AJ58/AJ23,""),"")</f>
      </c>
      <c r="AK59" s="215">
        <f>IF(AND(ISNUMBER(AK58),ISNUMBER(AK23)),IFERROR(AK58/AK23,""),"")</f>
      </c>
      <c r="AL59" s="215">
        <f>IF(AND(ISNUMBER(AL58),ISNUMBER(AL23)),IFERROR(AL58/AL23,""),"")</f>
      </c>
      <c r="AM59" s="215">
        <f>IF(AND(ISNUMBER(AM58),ISNUMBER(AM23)),IFERROR(AM58/AM23,""),"")</f>
        <v>-0.744775608084961</v>
      </c>
      <c r="AN59" s="215">
        <f>IF(AND(ISNUMBER(AN58),ISNUMBER(AN23)),IFERROR(AN58/AN23,""),"")</f>
      </c>
      <c r="AO59" s="215">
        <f>IF(AND(ISNUMBER(AO58),ISNUMBER(AO23)),IFERROR(AO58/AO23,""),"")</f>
      </c>
      <c r="AP59" s="215">
        <f>IF(AND(ISNUMBER(AP58),ISNUMBER(AP23)),IFERROR(AP58/AP23,""),"")</f>
      </c>
      <c r="AQ59" s="215">
        <f>IF(AND(ISNUMBER(AQ58),ISNUMBER(AQ23)),IFERROR(AQ58/AQ23,""),"")</f>
      </c>
      <c r="AR59" s="215">
        <f>IF(AND(ISNUMBER(AR58),ISNUMBER(AR23)),IFERROR(AR58/AR23,""),"")</f>
        <v>-0.520856694326082</v>
      </c>
      <c r="AS59" s="215">
        <f>IF(AND(ISNUMBER(AS58),ISNUMBER(AS23)),IFERROR(AS58/AS23,""),"")</f>
        <v>-0.622974432841196</v>
      </c>
      <c r="AT59" s="215">
        <f>IF(AND(ISNUMBER(AT58),ISNUMBER(AT23)),IFERROR(AT58/AT23,""),"")</f>
        <v>-0.474226804123711</v>
      </c>
      <c r="AU59" s="215">
        <f>IF(AND(ISNUMBER(AU58),ISNUMBER(AU23)),IFERROR(AU58/AU23,""),"")</f>
        <v>-0.35075493612079</v>
      </c>
      <c r="AV59" s="215">
        <f>IF(AND(ISNUMBER(AV58),ISNUMBER(AV23)),IFERROR(AV58/AV23,""),"")</f>
        <v>-0.32445836596189</v>
      </c>
      <c r="AW59" s="215">
        <f>IF(AND(ISNUMBER(AW58),ISNUMBER(AW23)),IFERROR(AW58/AW23,""),"")</f>
        <v>-0.429359062715369</v>
      </c>
      <c r="AX59" s="215">
        <f>IF(AND(ISNUMBER(AX58),ISNUMBER(AX23)),IFERROR(AX58/AX23,""),"")</f>
        <v>-0.240672102792192</v>
      </c>
      <c r="AY59" s="215">
        <f>IF(AND(ISNUMBER(AY58),ISNUMBER(AY23)),IFERROR(AY58/AY23,""),"")</f>
        <v>-0.127700950734659</v>
      </c>
      <c r="AZ59" s="215">
        <f>IF(AND(ISNUMBER(AZ58),ISNUMBER(AZ23)),IFERROR(AZ58/AZ23,""),"")</f>
        <v>-0.129058116232465</v>
      </c>
      <c r="BA59" s="215">
        <f>IF(AND(ISNUMBER(BA58),ISNUMBER(BA23)),IFERROR(BA58/BA23,""),"")</f>
        <v>-0.0131745172351561</v>
      </c>
      <c r="BB59" s="215">
        <f>IF(AND(ISNUMBER(BB58),ISNUMBER(BB23)),IFERROR(BB58/BB23,""),"")</f>
        <v>-0.11881703634281</v>
      </c>
      <c r="BC59" s="215">
        <f>IF(AND(ISNUMBER(BC58),ISNUMBER(BC23)),IFERROR(BC58/BC23,""),"")</f>
        <v>-0.121285002576877</v>
      </c>
      <c r="BD59" s="215">
        <f>IF(AND(ISNUMBER(BD58),ISNUMBER(BD23)),IFERROR(BD58/BD23,""),"")</f>
        <v>-0.0940089228808158</v>
      </c>
      <c r="BE59" s="215">
        <f>IF(AND(ISNUMBER(BE58),ISNUMBER(BE23)),IFERROR(BE58/BE23,""),"")</f>
        <v>-0.064065230052417</v>
      </c>
      <c r="BF59" s="215">
        <f>IF(AND(ISNUMBER(BF58),ISNUMBER(BF23)),IFERROR(BF58/BF23,""),"")</f>
        <v>-0.0254272043745728</v>
      </c>
      <c r="BG59" s="215">
        <f>IF(AND(ISNUMBER(BG58),ISNUMBER(BG23)),IFERROR(BG58/BG23,""),"")</f>
        <v>-0.0731354642313546</v>
      </c>
      <c r="BH59" s="215">
        <f>IF(AND(ISNUMBER(BH58),ISNUMBER(BH23)),IFERROR(BH58/BH23,""),"")</f>
        <v>0.0256238261336195</v>
      </c>
      <c r="BI59" s="215">
        <f>IF(AND(ISNUMBER(BI58),ISNUMBER(BI23)),IFERROR(BI58/BI23,""),"")</f>
        <v>0.0491844104096626</v>
      </c>
      <c r="BJ59" s="215">
        <f>IF(AND(ISNUMBER(BJ58),ISNUMBER(BJ23)),IFERROR(BJ58/BJ23,""),"")</f>
        <v>0.0316252526453454</v>
      </c>
      <c r="BK59" s="215">
        <f>IF(AND(ISNUMBER(BK58),ISNUMBER(BK23)),IFERROR(BK58/BK23,""),"")</f>
        <v>0.0939947780678851</v>
      </c>
      <c r="BL59" s="215">
        <f>IF(AND(ISNUMBER(BL58),ISNUMBER(BL23)),IFERROR(BL58/BL23,""),"")</f>
        <v>0.0518617021276596</v>
      </c>
      <c r="BM59" s="215">
        <f>IF(AND(ISNUMBER(BM58),ISNUMBER(BM23)),IFERROR(BM58/BM23,""),"")</f>
        <v>0.0940045957802382</v>
      </c>
      <c r="BN59" s="215">
        <f>IF(AND(ISNUMBER(BN58),ISNUMBER(BN23)),IFERROR(BN58/BN23,""),"")</f>
        <v>0.11326954672852</v>
      </c>
      <c r="BO59" s="215">
        <f>IF(AND(ISNUMBER(BO58),ISNUMBER(BO23)),IFERROR(BO58/BO23,""),"")</f>
        <v>0.171496520743416</v>
      </c>
      <c r="BP59" s="215">
        <f>IF(AND(ISNUMBER(BP58),ISNUMBER(BP23)),IFERROR(BP58/BP23,""),"")</f>
        <v>0.175073191133417</v>
      </c>
      <c r="BQ59" s="215">
        <f>IF(AND(ISNUMBER(BQ58),ISNUMBER(BQ23)),IFERROR(BQ58/BQ23,""),"")</f>
        <v>0.141386569201231</v>
      </c>
      <c r="BR59" s="215">
        <f>IF(AND(ISNUMBER(BR58),ISNUMBER(BR23)),IFERROR(BR58/BR23,""),"")</f>
        <v>0.177569331158238</v>
      </c>
      <c r="BS59" s="215">
        <f>IF(AND(ISNUMBER(BS58),ISNUMBER(BS23)),IFERROR(BS58/BS23,""),"")</f>
        <v>0.207428068115091</v>
      </c>
      <c r="BT59" s="215">
        <f>IF(AND(ISNUMBER(BT58),ISNUMBER(BT23)),IFERROR(BT58/BT23,""),"")</f>
        <v>0.237118163224913</v>
      </c>
      <c r="BU59" s="215">
        <f>IF(AND(ISNUMBER(BU58),ISNUMBER(BU23)),IFERROR(BU58/BU23,""),"")</f>
        <v>0.30078125</v>
      </c>
      <c r="BV59" s="215">
        <f>IF(AND(ISNUMBER(BV58),ISNUMBER(BV23)),IFERROR(BV58/BV23,""),"")</f>
        <v>0.236947449109957</v>
      </c>
      <c r="BW59" s="215">
        <f>IF(AND(ISNUMBER(BW58),ISNUMBER(BW23)),IFERROR(BW58/BW23,""),"")</f>
        <v>0.32943878570002</v>
      </c>
      <c r="BX59" s="215">
        <f>IF(AND(ISNUMBER(BX58),ISNUMBER(BX23)),IFERROR(BX58/BX23,""),"")</f>
        <v>0.355862403100775</v>
      </c>
      <c r="BY59" s="256">
        <f>BX59+BY102</f>
        <v>0.355862403100775</v>
      </c>
      <c r="BZ59" s="256">
        <f>BX59+BY102</f>
        <v>0.355862403100775</v>
      </c>
      <c r="CA59" s="256">
        <f>IF(AND(ISNUMBER(CA58),ISNUMBER(CA23)),IFERROR(CA58/CA23,""),"")</f>
        <v>0.350653492330973</v>
      </c>
      <c r="CB59" s="256">
        <f>CHOOSE(MATCH($CF$2,{"Bull","Base","Bear"},0),$CO$65,$CP$65,$CQ$65)</f>
        <v>0.33</v>
      </c>
      <c r="CC59" s="256">
        <f>CHOOSE(MATCH($CF$2,{"Bull","Base","Bear"},0),$CO$66,$CP$66,$CQ$66)</f>
        <v>0.32</v>
      </c>
      <c r="CD59" s="256">
        <f>CHOOSE(MATCH($CF$2,{"Bull","Base","Bear"},0),$CO$67,$CP$67,$CQ$67)</f>
        <v>0.32</v>
      </c>
      <c r="CE59" s="256">
        <f>CHOOSE(MATCH($CF$2,{"Bull","Base","Bear"},0),$CO$68,$CP$68,$CQ$68)</f>
        <v>0.32</v>
      </c>
      <c r="CF59" s="153" t="inlineStr">
        <is>
          <t>Q3–Q4/26E: Q2-26 margin held (Cloud margins have risen with scale, not seasonally; management flagged leased third-party data-centre capacity in Q3 — call, unverified) + scenario shift.</t>
        </is>
      </c>
      <c r="CH59" s="37">
        <f>IFERROR(AVERAGE(CA59,CB59,CC59,CD59,CE59),"n/m")</f>
        <v>0.328130698466195</v>
      </c>
      <c r="CI59" s="37">
        <f>IFERROR(AVERAGE(BB59,BG59,BL59,BQ59,BV59),"n/m")</f>
        <v>0.0476486439729365</v>
      </c>
      <c r="CJ59" s="37">
        <f>IFERROR(AVERAGE(AC59,AH59,AM59,AR59,AW59,BB59,BG59,BL59,BQ59,BV59),"n/m")</f>
        <v>-0.182093518157716</v>
      </c>
      <c r="CK59" s="37">
        <f>IFERROR(AVERAGE(C59,D59,E59,F59,G59,H59,I59,N59,S59,X59,AC59,AH59,AM59,AR59,AW59,BB59,BG59,BL59,BQ59,BV59),"n/m")</f>
        <v>-0.182093518157716</v>
      </c>
      <c r="CN59" s="15" t="inlineStr">
        <is>
          <t>SVC_M (Google Services operating margin)</t>
        </is>
      </c>
      <c r="CO59" s="41" t="n">
        <v>0.015</v>
      </c>
      <c r="CP59" s="21" t="inlineStr">
        <is>
          <t>Δ →</t>
        </is>
      </c>
      <c r="CQ59" s="41" t="n">
        <v>-0.025</v>
      </c>
      <c r="CR59" s="13" t="inlineStr">
        <is>
          <t>1H26 43.5% (FY2025 40.7%, FY2024 39.8%). Steps down as allocated AI-infrastructure depreciation rises (model D&amp;A 6% → 14% of revenues 2025–30E on $250–300bn p.a. capex), keeping group adjusted EBITDA margin ~42–44% (1H26 41%). Assumption.</t>
        </is>
      </c>
    </row>
    <row r="60" ht="15" customHeight="1" s="251">
      <c r="B60" s="25" t="inlineStr">
        <is>
          <t xml:space="preserve">    Incremental Google Cloud margin (Δ operating income / Δ revenues)</t>
        </is>
      </c>
      <c r="C60" s="36" t="n"/>
      <c r="D60" s="215">
        <f>IFERROR((D58-C58)/(D23-C23),"")</f>
      </c>
      <c r="E60" s="215">
        <f>IFERROR((E58-D58)/(E23-D23),"")</f>
      </c>
      <c r="F60" s="215">
        <f>IFERROR((F58-E58)/(F23-E23),"")</f>
      </c>
      <c r="G60" s="215">
        <f>IFERROR((G58-F58)/(G23-F23),"")</f>
      </c>
      <c r="H60" s="215">
        <f>IFERROR((H58-G58)/(H23-G23),"")</f>
      </c>
      <c r="I60" s="215">
        <f>IFERROR((I58-H58)/(I23-H23),"")</f>
      </c>
      <c r="J60" s="36" t="n"/>
      <c r="K60" s="36" t="n"/>
      <c r="L60" s="36" t="n"/>
      <c r="M60" s="36" t="n"/>
      <c r="N60" s="215">
        <f>IFERROR((N58-I58)/(N23-I23),"")</f>
      </c>
      <c r="O60" s="215">
        <f>IFERROR((O58-J58)/(O23-J23),"")</f>
      </c>
      <c r="P60" s="215">
        <f>IFERROR((P58-K58)/(P23-K23),"")</f>
      </c>
      <c r="Q60" s="215">
        <f>IFERROR((Q58-L58)/(Q23-L23),"")</f>
      </c>
      <c r="R60" s="215">
        <f>IFERROR((R58-M58)/(R23-M23),"")</f>
      </c>
      <c r="S60" s="215">
        <f>IFERROR((S58-N58)/(S23-N23),"")</f>
      </c>
      <c r="T60" s="215">
        <f>IFERROR((T58-O58)/(T23-O23),"")</f>
      </c>
      <c r="U60" s="215">
        <f>IFERROR((U58-P58)/(U23-P23),"")</f>
      </c>
      <c r="V60" s="215">
        <f>IFERROR((V58-Q58)/(V23-Q23),"")</f>
      </c>
      <c r="W60" s="215">
        <f>IFERROR((W58-R58)/(W23-R23),"")</f>
      </c>
      <c r="X60" s="215">
        <f>IFERROR((X58-S58)/(X23-S23),"")</f>
      </c>
      <c r="Y60" s="215">
        <f>IFERROR((Y58-T58)/(Y23-T23),"")</f>
      </c>
      <c r="Z60" s="215">
        <f>IFERROR((Z58-U58)/(Z23-U23),"")</f>
      </c>
      <c r="AA60" s="215">
        <f>IFERROR((AA58-V58)/(AA23-V23),"")</f>
      </c>
      <c r="AB60" s="215">
        <f>IFERROR((AB58-W58)/(AB23-W23),"")</f>
      </c>
      <c r="AC60" s="215">
        <f>IFERROR((AC58-X58)/(AC23-X23),"")</f>
      </c>
      <c r="AD60" s="215">
        <f>IFERROR((AD58-Y58)/(AD23-Y23),"")</f>
      </c>
      <c r="AE60" s="215">
        <f>IFERROR((AE58-Z58)/(AE23-Z23),"")</f>
      </c>
      <c r="AF60" s="215">
        <f>IFERROR((AF58-AA58)/(AF23-AA23),"")</f>
      </c>
      <c r="AG60" s="215">
        <f>IFERROR((AG58-AB58)/(AG23-AB23),"")</f>
      </c>
      <c r="AH60" s="215">
        <f>IFERROR((AH58-AC58)/(AH23-AC23),"")</f>
        <v>0</v>
      </c>
      <c r="AI60" s="215">
        <f>IFERROR((AI58-AD58)/(AI23-AD23),"")</f>
      </c>
      <c r="AJ60" s="215">
        <f>IFERROR((AJ58-AE58)/(AJ23-AE23),"")</f>
      </c>
      <c r="AK60" s="215">
        <f>IFERROR((AK58-AF58)/(AK23-AF23),"")</f>
      </c>
      <c r="AL60" s="215">
        <f>IFERROR((AL58-AG58)/(AL23-AG23),"")</f>
      </c>
      <c r="AM60" s="215">
        <f>IFERROR((AM58-AH58)/(AM23-AH23),"")</f>
        <v>-2.43995510662177</v>
      </c>
      <c r="AN60" s="215">
        <f>IFERROR((AN58-AI58)/(AN23-AI23),"")</f>
        <v>0</v>
      </c>
      <c r="AO60" s="215">
        <f>IFERROR((AO58-AJ58)/(AO23-AJ23),"")</f>
        <v>0</v>
      </c>
      <c r="AP60" s="215">
        <f>IFERROR((AP58-AK58)/(AP23-AK23),"")</f>
        <v>0</v>
      </c>
      <c r="AQ60" s="215">
        <f>IFERROR((AQ58-AL58)/(AQ23-AL23),"")</f>
        <v>0</v>
      </c>
      <c r="AR60" s="215">
        <f>IFERROR((AR58-AM58)/(AR23-AM23),"")</f>
        <v>-0.0964285714285714</v>
      </c>
      <c r="AS60" s="215">
        <f>IFERROR((AS58-AN58)/(AS23-AN23),"")</f>
        <v>-1.8172268907563</v>
      </c>
      <c r="AT60" s="215">
        <f>IFERROR((AT58-AO58)/(AT23-AO23),"")</f>
        <v>-1.57221609702315</v>
      </c>
      <c r="AU60" s="215">
        <f>IFERROR((AU58-AP58)/(AU23-AP23),"")</f>
        <v>-1.13427230046948</v>
      </c>
      <c r="AV60" s="215">
        <f>IFERROR((AV58-AQ58)/(AV23-AQ23),"")</f>
        <v>-1.02136400986031</v>
      </c>
      <c r="AW60" s="215">
        <f>IFERROR((AW58-AR58)/(AW23-AR23),"")</f>
        <v>-0.232311035981647</v>
      </c>
      <c r="AX60" s="215">
        <f>IFERROR((AX58-AS58)/(AX23-AS23),"")</f>
        <v>0.595275590551181</v>
      </c>
      <c r="AY60" s="215">
        <f>IFERROR((AY58-AT58)/(AY23-AT23),"")</f>
        <v>0.515114127082048</v>
      </c>
      <c r="AZ60" s="215">
        <f>IFERROR((AZ58-AU58)/(AZ23-AU23),"")</f>
        <v>0.364812419146184</v>
      </c>
      <c r="BA60" s="215">
        <f>IFERROR((BA58-AV58)/(BA23-AV23),"")</f>
        <v>0.68421052631579</v>
      </c>
      <c r="BB60" s="215">
        <f>IFERROR((BB58-AW58)/(BB23-AW23),"")</f>
        <v>0.540914267122173</v>
      </c>
      <c r="BC60" s="215">
        <f>IFERROR((BC58-AX58)/(BC23-AX23),"")</f>
        <v>0.151071025930101</v>
      </c>
      <c r="BD60" s="215">
        <f>IFERROR((BD58-AY58)/(BD23-AY23),"")</f>
        <v>0.000606796116504854</v>
      </c>
      <c r="BE60" s="215">
        <f>IFERROR((BE58-AZ58)/(BE23-AZ23),"")</f>
        <v>0.108626198083067</v>
      </c>
      <c r="BF60" s="215">
        <f>IFERROR((BF58-BA58)/(BF23-BA23),"")</f>
        <v>-0.0636978579481398</v>
      </c>
      <c r="BG60" s="215">
        <f>IFERROR((BG58-BB58)/(BG23-BB23),"")</f>
        <v>0.0508905852417303</v>
      </c>
      <c r="BH60" s="215">
        <f>IFERROR((BH58-BC58)/(BH23-BC23),"")</f>
        <v>0.549295774647887</v>
      </c>
      <c r="BI60" s="215">
        <f>IFERROR((BI58-BD58)/(BI23-BD23),"")</f>
        <v>0.561253561253561</v>
      </c>
      <c r="BJ60" s="215">
        <f>IFERROR((BJ58-BE58)/(BJ23-BE23),"")</f>
        <v>0.457550226830849</v>
      </c>
      <c r="BK60" s="215">
        <f>IFERROR((BK58-BF58)/(BK23-BF23),"")</f>
        <v>0.559403303143314</v>
      </c>
      <c r="BL60" s="215">
        <f>IFERROR((BL58-BG58)/(BL23-BG23),"")</f>
        <v>0.534371327849589</v>
      </c>
      <c r="BM60" s="215">
        <f>IFERROR((BM58-BH58)/(BM23-BH23),"")</f>
        <v>0.334433962264151</v>
      </c>
      <c r="BN60" s="215">
        <f>IFERROR((BN58-BI58)/(BN23-BI23),"")</f>
        <v>0.335492227979275</v>
      </c>
      <c r="BO60" s="215">
        <f>IFERROR((BO58-BJ58)/(BO23-BJ23),"")</f>
        <v>0.571380013596193</v>
      </c>
      <c r="BP60" s="215">
        <f>IFERROR((BP58-BK58)/(BP23-BK23),"")</f>
        <v>0.444806369887803</v>
      </c>
      <c r="BQ60" s="215">
        <f>IFERROR((BQ58-BL58)/(BQ23-BL23),"")</f>
        <v>0.433487821713835</v>
      </c>
      <c r="BR60" s="215">
        <f>IFERROR((BR58-BM58)/(BR23-BM23),"")</f>
        <v>0.475428145941921</v>
      </c>
      <c r="BS60" s="215">
        <f>IFERROR((BS58-BN58)/(BS23-BN23),"")</f>
        <v>0.504729935916997</v>
      </c>
      <c r="BT60" s="215">
        <f>IFERROR((BT58-BO58)/(BT23-BO23),"")</f>
        <v>0.432965299684543</v>
      </c>
      <c r="BU60" s="215">
        <f>IFERROR((BU58-BP58)/(BU23-BP23),"")</f>
        <v>0.564021720091084</v>
      </c>
      <c r="BV60" s="215">
        <f>IFERROR((BV58-BQ58)/(BV23-BQ23),"")</f>
        <v>0.503876970793487</v>
      </c>
      <c r="BW60" s="215">
        <f>IFERROR((BW58-BR58)/(BW23-BR23),"")</f>
        <v>0.569129763130793</v>
      </c>
      <c r="BX60" s="215">
        <f>IFERROR((BX58-BS58)/(BX23-BS23),"")</f>
        <v>0.537329504666188</v>
      </c>
      <c r="BY60" s="256">
        <f>IFERROR((BY58-BT58)/(BY23-BT23),"")</f>
        <v>0.518382279631382</v>
      </c>
      <c r="BZ60" s="256">
        <f>IFERROR((BZ58-BU58)/(BZ23-BU23),"")</f>
        <v>0.431249488911925</v>
      </c>
      <c r="CA60" s="256">
        <f>IFERROR((CA58-BV58)/(CA23-BV23),"")</f>
        <v>0.506277816714051</v>
      </c>
      <c r="CB60" s="256">
        <f>IFERROR((CB58-CA58)/(CB23-CA23),"")</f>
        <v>0.284103350375616</v>
      </c>
      <c r="CC60" s="256">
        <f>IFERROR((CC58-CB58)/(CC23-CB23),"")</f>
        <v>0.28875</v>
      </c>
      <c r="CD60" s="256">
        <f>IFERROR((CD58-CC58)/(CD23-CC23),"")</f>
        <v>0.32</v>
      </c>
      <c r="CE60" s="256">
        <f>IFERROR((CE58-CD58)/(CE23-CD23),"")</f>
        <v>0.32</v>
      </c>
      <c r="CF60" s="153" t="n"/>
      <c r="CN60" s="25" t="inlineStr">
        <is>
          <t xml:space="preserve">  2027E</t>
        </is>
      </c>
      <c r="CO60" s="33">
        <f>CP60+$CO$59</f>
        <v>0.435</v>
      </c>
      <c r="CP60" s="42" t="n">
        <v>0.42</v>
      </c>
      <c r="CQ60" s="33">
        <f>CP60+$CQ$59</f>
        <v>0.395</v>
      </c>
    </row>
    <row r="61" ht="15" customHeight="1" s="251">
      <c r="B61" s="25" t="inlineStr">
        <is>
          <t xml:space="preserve">  Other Bets operating income (loss)</t>
        </is>
      </c>
      <c r="C61" s="34" t="n"/>
      <c r="D61" s="34" t="n"/>
      <c r="E61" s="34" t="n"/>
      <c r="F61" s="34" t="n"/>
      <c r="G61" s="34" t="n"/>
      <c r="H61" s="34" t="n"/>
      <c r="I61" s="34" t="n"/>
      <c r="J61" s="34" t="n"/>
      <c r="K61" s="34" t="n"/>
      <c r="L61" s="34" t="n"/>
      <c r="M61" s="34" t="n"/>
      <c r="N61" s="34" t="n"/>
      <c r="O61" s="34" t="n"/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  <c r="AA61" s="34" t="n"/>
      <c r="AB61" s="34" t="n"/>
      <c r="AC61" s="34" t="n"/>
      <c r="AD61" s="34" t="n"/>
      <c r="AE61" s="34" t="n"/>
      <c r="AF61" s="34" t="n"/>
      <c r="AG61" s="34" t="n"/>
      <c r="AH61" s="34" t="n"/>
      <c r="AI61" s="34" t="n"/>
      <c r="AJ61" s="34" t="n"/>
      <c r="AK61" s="34" t="n"/>
      <c r="AL61" s="34" t="n"/>
      <c r="AM61" s="253" t="n">
        <v>-3358</v>
      </c>
      <c r="AN61" s="34" t="n"/>
      <c r="AO61" s="34" t="n"/>
      <c r="AP61" s="34" t="n"/>
      <c r="AQ61" s="34" t="n"/>
      <c r="AR61" s="253" t="n">
        <v>-4824</v>
      </c>
      <c r="AS61" s="253" t="n">
        <v>-1121</v>
      </c>
      <c r="AT61" s="253" t="n">
        <v>-1116</v>
      </c>
      <c r="AU61" s="253" t="n">
        <v>-1103</v>
      </c>
      <c r="AV61" s="253" t="n">
        <v>-1136</v>
      </c>
      <c r="AW61" s="253" t="n">
        <v>-4476</v>
      </c>
      <c r="AX61" s="253" t="n">
        <v>-1145</v>
      </c>
      <c r="AY61" s="253" t="n">
        <v>-1398</v>
      </c>
      <c r="AZ61" s="253" t="n">
        <v>-1288</v>
      </c>
      <c r="BA61" s="253" t="n">
        <v>-220</v>
      </c>
      <c r="BB61" s="253" t="n">
        <v>-4051</v>
      </c>
      <c r="BC61" s="253" t="n">
        <v>-835</v>
      </c>
      <c r="BD61" s="253" t="n">
        <v>-1339</v>
      </c>
      <c r="BE61" s="253" t="n">
        <v>-1225</v>
      </c>
      <c r="BF61" s="253" t="n">
        <v>-1237</v>
      </c>
      <c r="BG61" s="253" t="n">
        <v>-4636</v>
      </c>
      <c r="BH61" s="253" t="n">
        <v>-1225</v>
      </c>
      <c r="BI61" s="253" t="n">
        <v>-813</v>
      </c>
      <c r="BJ61" s="253" t="n">
        <v>-1194</v>
      </c>
      <c r="BK61" s="253" t="n">
        <v>-863</v>
      </c>
      <c r="BL61" s="253" t="n">
        <v>-4095</v>
      </c>
      <c r="BM61" s="253" t="n">
        <v>-1020</v>
      </c>
      <c r="BN61" s="253" t="n">
        <v>-1134</v>
      </c>
      <c r="BO61" s="253" t="n">
        <v>-1116</v>
      </c>
      <c r="BP61" s="253" t="n">
        <v>-1174</v>
      </c>
      <c r="BQ61" s="253" t="n">
        <v>-4444</v>
      </c>
      <c r="BR61" s="253" t="n">
        <v>-1226</v>
      </c>
      <c r="BS61" s="253" t="n">
        <v>-1246</v>
      </c>
      <c r="BT61" s="253" t="n">
        <v>-1426</v>
      </c>
      <c r="BU61" s="253" t="n">
        <v>-3617</v>
      </c>
      <c r="BV61" s="253" t="n">
        <v>-7515</v>
      </c>
      <c r="BW61" s="253" t="n">
        <v>-2100</v>
      </c>
      <c r="BX61" s="253" t="n">
        <v>-1799</v>
      </c>
      <c r="BY61" s="254">
        <f>BX61</f>
        <v>-1799</v>
      </c>
      <c r="BZ61" s="254">
        <f>BY61</f>
        <v>-1799</v>
      </c>
      <c r="CA61" s="254">
        <f>SUM(BW61:BZ61)</f>
        <v>-7497</v>
      </c>
      <c r="CB61" s="254">
        <f>CHOOSE(MATCH($CF$2,{"Bull","Base","Bear"},0),$CO$70,$CP$70,$CQ$70)</f>
        <v>-8000</v>
      </c>
      <c r="CC61" s="254">
        <f>CHOOSE(MATCH($CF$2,{"Bull","Base","Bear"},0),$CO$71,$CP$71,$CQ$71)</f>
        <v>-8500</v>
      </c>
      <c r="CD61" s="254">
        <f>CHOOSE(MATCH($CF$2,{"Bull","Base","Bear"},0),$CO$72,$CP$72,$CQ$72)</f>
        <v>-9000</v>
      </c>
      <c r="CE61" s="254">
        <f>CHOOSE(MATCH($CF$2,{"Bull","Base","Bear"},0),$CO$73,$CP$73,$CQ$73)</f>
        <v>-9000</v>
      </c>
      <c r="CF61" s="19" t="inlineStr">
        <is>
          <t>Q3–Q4/26E: Q2-26 loss held. 2027E+: scenario lever ($m; Waymo scale-up; GFiber deconsolidated at closing).</t>
        </is>
      </c>
      <c r="CN61" s="25" t="inlineStr">
        <is>
          <t xml:space="preserve">  2028E</t>
        </is>
      </c>
      <c r="CO61" s="33">
        <f>CP61+$CO$59</f>
        <v>0.42</v>
      </c>
      <c r="CP61" s="42" t="n">
        <v>0.405</v>
      </c>
      <c r="CQ61" s="33">
        <f>CP61+$CQ$59</f>
        <v>0.38</v>
      </c>
    </row>
    <row r="62" ht="15" customHeight="1" s="251">
      <c r="B62" s="25" t="inlineStr">
        <is>
          <t xml:space="preserve">  Alphabet-level activities (shared AI research &amp; frontier models, corporate costs, fines &amp; settlements, hedging)</t>
        </is>
      </c>
      <c r="C62" s="34" t="n"/>
      <c r="D62" s="34" t="n"/>
      <c r="E62" s="34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  <c r="AA62" s="34" t="n"/>
      <c r="AB62" s="34" t="n"/>
      <c r="AC62" s="34" t="n"/>
      <c r="AD62" s="34" t="n"/>
      <c r="AE62" s="34" t="n"/>
      <c r="AF62" s="34" t="n"/>
      <c r="AG62" s="34" t="n"/>
      <c r="AH62" s="34" t="n"/>
      <c r="AI62" s="34" t="n"/>
      <c r="AJ62" s="34" t="n"/>
      <c r="AK62" s="34" t="n"/>
      <c r="AL62" s="34" t="n"/>
      <c r="AM62" s="253" t="n">
        <v>-7907</v>
      </c>
      <c r="AN62" s="34" t="n"/>
      <c r="AO62" s="34" t="n"/>
      <c r="AP62" s="34" t="n"/>
      <c r="AQ62" s="34" t="n"/>
      <c r="AR62" s="253" t="n">
        <v>-5299</v>
      </c>
      <c r="AS62" s="253" t="n">
        <v>-720</v>
      </c>
      <c r="AT62" s="253" t="n">
        <v>-614</v>
      </c>
      <c r="AU62" s="253" t="n">
        <v>-929</v>
      </c>
      <c r="AV62" s="253" t="n">
        <v>-1036</v>
      </c>
      <c r="AW62" s="253" t="n">
        <v>-3299</v>
      </c>
      <c r="AX62" s="253" t="n">
        <v>-990</v>
      </c>
      <c r="AY62" s="253" t="n">
        <v>-993</v>
      </c>
      <c r="AZ62" s="253" t="n">
        <v>-1010</v>
      </c>
      <c r="BA62" s="253" t="n">
        <v>-92</v>
      </c>
      <c r="BB62" s="253" t="n">
        <v>-3085</v>
      </c>
      <c r="BC62" s="253" t="n">
        <v>-338</v>
      </c>
      <c r="BD62" s="253" t="n">
        <v>-239</v>
      </c>
      <c r="BE62" s="253" t="n">
        <v>-83</v>
      </c>
      <c r="BF62" s="253" t="n">
        <v>-639</v>
      </c>
      <c r="BG62" s="253" t="n">
        <v>-1299</v>
      </c>
      <c r="BH62" s="253" t="n">
        <v>-3288</v>
      </c>
      <c r="BI62" s="253" t="n">
        <v>-1198</v>
      </c>
      <c r="BJ62" s="253" t="n">
        <v>-1666</v>
      </c>
      <c r="BK62" s="253" t="n">
        <v>-3034</v>
      </c>
      <c r="BL62" s="253" t="n">
        <v>-9186</v>
      </c>
      <c r="BM62" s="253" t="n">
        <v>-2305</v>
      </c>
      <c r="BN62" s="253" t="n">
        <v>-2287</v>
      </c>
      <c r="BO62" s="253" t="n">
        <v>-3166</v>
      </c>
      <c r="BP62" s="253" t="n">
        <v>-2783</v>
      </c>
      <c r="BQ62" s="253" t="n">
        <v>-10541</v>
      </c>
      <c r="BR62" s="253" t="n">
        <v>-3027</v>
      </c>
      <c r="BS62" s="253" t="n">
        <v>-3372</v>
      </c>
      <c r="BT62" s="253" t="n">
        <v>-4467</v>
      </c>
      <c r="BU62" s="253" t="n">
        <v>-5894</v>
      </c>
      <c r="BV62" s="253" t="n">
        <v>-16760</v>
      </c>
      <c r="BW62" s="253" t="n">
        <v>-5391</v>
      </c>
      <c r="BX62" s="253" t="n">
        <v>-5789</v>
      </c>
      <c r="BY62" s="254">
        <f>BX62*(1+BY63)</f>
        <v>-6216.3830458171</v>
      </c>
      <c r="BZ62" s="254">
        <f>BY62*(1+BY63)</f>
        <v>-6675.31839217867</v>
      </c>
      <c r="CA62" s="254">
        <f>SUM(BW62:BZ62)</f>
        <v>-24071.7014379958</v>
      </c>
      <c r="CB62" s="254">
        <f>-CB132*CB64</f>
        <v>-29244.2050546757</v>
      </c>
      <c r="CC62" s="254">
        <f>-CC132*CC64</f>
        <v>-33548.1118552545</v>
      </c>
      <c r="CD62" s="254">
        <f>-CD132*CD64</f>
        <v>-36384.458238809</v>
      </c>
      <c r="CE62" s="254">
        <f>-CE132*CE64</f>
        <v>-38812.9020403273</v>
      </c>
      <c r="CF62" s="19" t="inlineStr">
        <is>
          <t>Includes Google DeepMind / general AI model development (from 2023), EC fines and legal settlements, severance and office-space charges, and hedging gains. Q3–Q4/26E: prior quarter × (1 + Q2/Q1-26 sequential growth); 2027E+: % of revenues (scenario lever).</t>
        </is>
      </c>
      <c r="CN62" s="25" t="inlineStr">
        <is>
          <t xml:space="preserve">  2029E</t>
        </is>
      </c>
      <c r="CO62" s="33">
        <f>CP62+$CO$59</f>
        <v>0.41</v>
      </c>
      <c r="CP62" s="42" t="n">
        <v>0.395</v>
      </c>
      <c r="CQ62" s="33">
        <f>CP62+$CQ$59</f>
        <v>0.37</v>
      </c>
    </row>
    <row r="63" ht="15" customHeight="1" s="251">
      <c r="B63" s="25" t="inlineStr">
        <is>
          <t xml:space="preserve">    Q3–Q4/26E sequential growth of Alphabet-level costs (Q2/Q1-26)</t>
        </is>
      </c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  <c r="AU63" s="36" t="n"/>
      <c r="AV63" s="36" t="n"/>
      <c r="AW63" s="36" t="n"/>
      <c r="AX63" s="36" t="n"/>
      <c r="AY63" s="36" t="n"/>
      <c r="AZ63" s="36" t="n"/>
      <c r="BA63" s="36" t="n"/>
      <c r="BB63" s="36" t="n"/>
      <c r="BC63" s="36" t="n"/>
      <c r="BD63" s="36" t="n"/>
      <c r="BE63" s="36" t="n"/>
      <c r="BF63" s="36" t="n"/>
      <c r="BG63" s="36" t="n"/>
      <c r="BH63" s="36" t="n"/>
      <c r="BI63" s="36" t="n"/>
      <c r="BJ63" s="36" t="n"/>
      <c r="BK63" s="36" t="n"/>
      <c r="BL63" s="36" t="n"/>
      <c r="BM63" s="36" t="n"/>
      <c r="BN63" s="36" t="n"/>
      <c r="BO63" s="36" t="n"/>
      <c r="BP63" s="36" t="n"/>
      <c r="BQ63" s="36" t="n"/>
      <c r="BR63" s="36" t="n"/>
      <c r="BS63" s="36" t="n"/>
      <c r="BT63" s="36" t="n"/>
      <c r="BU63" s="36" t="n"/>
      <c r="BV63" s="36" t="n"/>
      <c r="BW63" s="36" t="n"/>
      <c r="BX63" s="36" t="n"/>
      <c r="BY63" s="256">
        <f>IFERROR(BX62/BW62-1,0)</f>
        <v>0.0738267482841772</v>
      </c>
      <c r="BZ63" s="256">
        <f>IFERROR(BX62/BW62-1,0)</f>
        <v>0.0738267482841772</v>
      </c>
      <c r="CA63" s="24" t="n"/>
      <c r="CB63" s="46" t="n"/>
      <c r="CC63" s="46" t="n"/>
      <c r="CD63" s="46" t="n"/>
      <c r="CE63" s="46" t="n"/>
      <c r="CF63" s="19" t="n"/>
      <c r="CN63" s="25" t="inlineStr">
        <is>
          <t xml:space="preserve">  2030E</t>
        </is>
      </c>
      <c r="CO63" s="33">
        <f>CP63+$CO$59</f>
        <v>0.4</v>
      </c>
      <c r="CP63" s="42" t="n">
        <v>0.385</v>
      </c>
      <c r="CQ63" s="33">
        <f>CP63+$CQ$59</f>
        <v>0.36</v>
      </c>
    </row>
    <row r="64" ht="15" customHeight="1" s="251">
      <c r="B64" s="25" t="inlineStr">
        <is>
          <t xml:space="preserve">    Alphabet-level costs % of revenues</t>
        </is>
      </c>
      <c r="C64" s="215">
        <f>IF(ISNUMBER(C62),IFERROR(-C62/C132,""),"")</f>
      </c>
      <c r="D64" s="215">
        <f>IF(ISNUMBER(D62),IFERROR(-D62/D132,""),"")</f>
      </c>
      <c r="E64" s="215">
        <f>IF(ISNUMBER(E62),IFERROR(-E62/E132,""),"")</f>
      </c>
      <c r="F64" s="215">
        <f>IF(ISNUMBER(F62),IFERROR(-F62/F132,""),"")</f>
      </c>
      <c r="G64" s="215">
        <f>IF(ISNUMBER(G62),IFERROR(-G62/G132,""),"")</f>
      </c>
      <c r="H64" s="215">
        <f>IF(ISNUMBER(H62),IFERROR(-H62/H132,""),"")</f>
      </c>
      <c r="I64" s="215">
        <f>IF(ISNUMBER(I62),IFERROR(-I62/I132,""),"")</f>
      </c>
      <c r="J64" s="215">
        <f>IF(ISNUMBER(J62),IFERROR(-J62/J132,""),"")</f>
      </c>
      <c r="K64" s="215">
        <f>IF(ISNUMBER(K62),IFERROR(-K62/K132,""),"")</f>
      </c>
      <c r="L64" s="215">
        <f>IF(ISNUMBER(L62),IFERROR(-L62/L132,""),"")</f>
      </c>
      <c r="M64" s="215">
        <f>IF(ISNUMBER(M62),IFERROR(-M62/M132,""),"")</f>
      </c>
      <c r="N64" s="215">
        <f>IF(ISNUMBER(N62),IFERROR(-N62/N132,""),"")</f>
      </c>
      <c r="O64" s="215">
        <f>IF(ISNUMBER(O62),IFERROR(-O62/O132,""),"")</f>
      </c>
      <c r="P64" s="215">
        <f>IF(ISNUMBER(P62),IFERROR(-P62/P132,""),"")</f>
      </c>
      <c r="Q64" s="215">
        <f>IF(ISNUMBER(Q62),IFERROR(-Q62/Q132,""),"")</f>
      </c>
      <c r="R64" s="215">
        <f>IF(ISNUMBER(R62),IFERROR(-R62/R132,""),"")</f>
      </c>
      <c r="S64" s="215">
        <f>IF(ISNUMBER(S62),IFERROR(-S62/S132,""),"")</f>
      </c>
      <c r="T64" s="215">
        <f>IF(ISNUMBER(T62),IFERROR(-T62/T132,""),"")</f>
      </c>
      <c r="U64" s="215">
        <f>IF(ISNUMBER(U62),IFERROR(-U62/U132,""),"")</f>
      </c>
      <c r="V64" s="215">
        <f>IF(ISNUMBER(V62),IFERROR(-V62/V132,""),"")</f>
      </c>
      <c r="W64" s="215">
        <f>IF(ISNUMBER(W62),IFERROR(-W62/W132,""),"")</f>
      </c>
      <c r="X64" s="215">
        <f>IF(ISNUMBER(X62),IFERROR(-X62/X132,""),"")</f>
      </c>
      <c r="Y64" s="215">
        <f>IF(ISNUMBER(Y62),IFERROR(-Y62/Y132,""),"")</f>
      </c>
      <c r="Z64" s="215">
        <f>IF(ISNUMBER(Z62),IFERROR(-Z62/Z132,""),"")</f>
      </c>
      <c r="AA64" s="215">
        <f>IF(ISNUMBER(AA62),IFERROR(-AA62/AA132,""),"")</f>
      </c>
      <c r="AB64" s="215">
        <f>IF(ISNUMBER(AB62),IFERROR(-AB62/AB132,""),"")</f>
      </c>
      <c r="AC64" s="215">
        <f>IF(ISNUMBER(AC62),IFERROR(-AC62/AC132,""),"")</f>
      </c>
      <c r="AD64" s="215">
        <f>IF(ISNUMBER(AD62),IFERROR(-AD62/AD132,""),"")</f>
      </c>
      <c r="AE64" s="215">
        <f>IF(ISNUMBER(AE62),IFERROR(-AE62/AE132,""),"")</f>
      </c>
      <c r="AF64" s="215">
        <f>IF(ISNUMBER(AF62),IFERROR(-AF62/AF132,""),"")</f>
      </c>
      <c r="AG64" s="215">
        <f>IF(ISNUMBER(AG62),IFERROR(-AG62/AG132,""),"")</f>
      </c>
      <c r="AH64" s="215">
        <f>IF(ISNUMBER(AH62),IFERROR(-AH62/AH132,""),"")</f>
      </c>
      <c r="AI64" s="215">
        <f>IF(ISNUMBER(AI62),IFERROR(-AI62/AI132,""),"")</f>
      </c>
      <c r="AJ64" s="215">
        <f>IF(ISNUMBER(AJ62),IFERROR(-AJ62/AJ132,""),"")</f>
      </c>
      <c r="AK64" s="215">
        <f>IF(ISNUMBER(AK62),IFERROR(-AK62/AK132,""),"")</f>
      </c>
      <c r="AL64" s="215">
        <f>IF(ISNUMBER(AL62),IFERROR(-AL62/AL132,""),"")</f>
      </c>
      <c r="AM64" s="215">
        <f>IF(ISNUMBER(AM62),IFERROR(-AM62/AM132,""),"")</f>
        <v>0.0577916809799809</v>
      </c>
      <c r="AN64" s="215">
        <f>IF(ISNUMBER(AN62),IFERROR(-AN62/AN132,""),"")</f>
      </c>
      <c r="AO64" s="215">
        <f>IF(ISNUMBER(AO62),IFERROR(-AO62/AO132,""),"")</f>
      </c>
      <c r="AP64" s="215">
        <f>IF(ISNUMBER(AP62),IFERROR(-AP62/AP132,""),"")</f>
      </c>
      <c r="AQ64" s="215">
        <f>IF(ISNUMBER(AQ62),IFERROR(-AQ62/AQ132,""),"")</f>
      </c>
      <c r="AR64" s="215">
        <f>IF(ISNUMBER(AR62),IFERROR(-AR62/AR132,""),"")</f>
        <v>0.0327387755858567</v>
      </c>
      <c r="AS64" s="215">
        <f>IF(ISNUMBER(AS62),IFERROR(-AS62/AS132,""),"")</f>
        <v>0.0174931363735756</v>
      </c>
      <c r="AT64" s="215">
        <f>IF(ISNUMBER(AT62),IFERROR(-AT62/AT132,""),"")</f>
        <v>0.0160325874089354</v>
      </c>
      <c r="AU64" s="215">
        <f>IF(ISNUMBER(AU62),IFERROR(-AU62/AU132,""),"")</f>
        <v>0.0201199835401642</v>
      </c>
      <c r="AV64" s="215">
        <f>IF(ISNUMBER(AV62),IFERROR(-AV62/AV132,""),"")</f>
        <v>0.0182080213715772</v>
      </c>
      <c r="AW64" s="215">
        <f>IF(ISNUMBER(AW62),IFERROR(-AW62/AW132,""),"")</f>
        <v>0.0180740383614479</v>
      </c>
      <c r="AX64" s="215">
        <f>IF(ISNUMBER(AX62),IFERROR(-AX62/AX132,""),"")</f>
        <v>0.0178978197201432</v>
      </c>
      <c r="AY64" s="215">
        <f>IF(ISNUMBER(AY62),IFERROR(-AY62/AY132,""),"")</f>
        <v>0.0160471881060116</v>
      </c>
      <c r="AZ64" s="215">
        <f>IF(ISNUMBER(AZ62),IFERROR(-AZ62/AZ132,""),"")</f>
        <v>0.0155103043705274</v>
      </c>
      <c r="BA64" s="215">
        <f>IF(ISNUMBER(BA62),IFERROR(-BA62/BA132,""),"")</f>
        <v>0.00122137404580153</v>
      </c>
      <c r="BB64" s="215">
        <f>IF(ISNUMBER(BB62),IFERROR(-BB62/BB132,""),"")</f>
        <v>0.0119742117785877</v>
      </c>
      <c r="BC64" s="215">
        <f>IF(ISNUMBER(BC62),IFERROR(-BC62/BC132,""),"")</f>
        <v>0.0049697842995986</v>
      </c>
      <c r="BD64" s="215">
        <f>IF(ISNUMBER(BD62),IFERROR(-BD62/BD132,""),"")</f>
        <v>0.0034297194518189</v>
      </c>
      <c r="BE64" s="215">
        <f>IF(ISNUMBER(BE62),IFERROR(-BE62/BE132,""),"")</f>
        <v>0.00120129682162913</v>
      </c>
      <c r="BF64" s="215">
        <f>IF(ISNUMBER(BF62),IFERROR(-BF62/BF132,""),"")</f>
        <v>0.00840258783925942</v>
      </c>
      <c r="BG64" s="215">
        <f>IF(ISNUMBER(BG62),IFERROR(-BG62/BG132,""),"")</f>
        <v>0.00459276754019997</v>
      </c>
      <c r="BH64" s="215">
        <f>IF(ISNUMBER(BH62),IFERROR(-BH62/BH132,""),"")</f>
        <v>0.0471147921532664</v>
      </c>
      <c r="BI64" s="215">
        <f>IF(ISNUMBER(BI62),IFERROR(-BI62/BI132,""),"")</f>
        <v>0.0160581202080317</v>
      </c>
      <c r="BJ64" s="215">
        <f>IF(ISNUMBER(BJ62),IFERROR(-BJ62/BJ132,""),"")</f>
        <v>0.0217229734134797</v>
      </c>
      <c r="BK64" s="215">
        <f>IF(ISNUMBER(BK62),IFERROR(-BK62/BK132,""),"")</f>
        <v>0.035152357780095</v>
      </c>
      <c r="BL64" s="215">
        <f>IF(ISNUMBER(BL62),IFERROR(-BL62/BL132,""),"")</f>
        <v>0.0298834720261293</v>
      </c>
      <c r="BM64" s="215">
        <f>IF(ISNUMBER(BM62),IFERROR(-BM62/BM132,""),"")</f>
        <v>0.0286196749400911</v>
      </c>
      <c r="BN64" s="215">
        <f>IF(ISNUMBER(BN62),IFERROR(-BN62/BN132,""),"")</f>
        <v>0.0269877982582427</v>
      </c>
      <c r="BO64" s="215">
        <f>IF(ISNUMBER(BO62),IFERROR(-BO62/BO132,""),"")</f>
        <v>0.0358680382471564</v>
      </c>
      <c r="BP64" s="215">
        <f>IF(ISNUMBER(BP62),IFERROR(-BP62/BP132,""),"")</f>
        <v>0.0288486456789228</v>
      </c>
      <c r="BQ64" s="215">
        <f>IF(ISNUMBER(BQ62),IFERROR(-BQ62/BQ132,""),"")</f>
        <v>0.0301155940551629</v>
      </c>
      <c r="BR64" s="215">
        <f>IF(ISNUMBER(BR62),IFERROR(-BR62/BR132,""),"")</f>
        <v>0.0335461134383935</v>
      </c>
      <c r="BS64" s="215">
        <f>IF(ISNUMBER(BS62),IFERROR(-BS62/BS132,""),"")</f>
        <v>0.0349690961131622</v>
      </c>
      <c r="BT64" s="215">
        <f>IF(ISNUMBER(BT62),IFERROR(-BT62/BT132,""),"")</f>
        <v>0.0436460633537217</v>
      </c>
      <c r="BU64" s="215">
        <f>IF(ISNUMBER(BU62),IFERROR(-BU62/BU132,""),"")</f>
        <v>0.0517794235212468</v>
      </c>
      <c r="BV64" s="215">
        <f>IF(ISNUMBER(BV62),IFERROR(-BV62/BV132,""),"")</f>
        <v>0.0416050204053262</v>
      </c>
      <c r="BW64" s="215">
        <f>IF(ISNUMBER(BW62),IFERROR(-BW62/BW132,""),"")</f>
        <v>0.0490554706267744</v>
      </c>
      <c r="BX64" s="215">
        <f>IF(ISNUMBER(BX62),IFERROR(-BX62/BX132,""),"")</f>
        <v>0.0483238171558316</v>
      </c>
      <c r="BY64" s="256">
        <f>IF(ISNUMBER(BY62),IFERROR(-BY62/BY132,""),"")</f>
        <v>0.0489476859863683</v>
      </c>
      <c r="BZ64" s="256">
        <f>IF(ISNUMBER(BZ62),IFERROR(-BZ62/BZ132,""),"")</f>
        <v>0.0471478434532125</v>
      </c>
      <c r="CA64" s="256">
        <f>IF(ISNUMBER(CA62),IFERROR(-CA62/CA132,""),"")</f>
        <v>0.0483100495784392</v>
      </c>
      <c r="CB64" s="256">
        <f>CHOOSE(MATCH($CF$2,{"Bull","Base","Bear"},0),$CO$75,$CP$75,$CQ$75)</f>
        <v>0.05</v>
      </c>
      <c r="CC64" s="256">
        <f>CHOOSE(MATCH($CF$2,{"Bull","Base","Bear"},0),$CO$76,$CP$76,$CQ$76)</f>
        <v>0.05</v>
      </c>
      <c r="CD64" s="256">
        <f>CHOOSE(MATCH($CF$2,{"Bull","Base","Bear"},0),$CO$77,$CP$77,$CQ$77)</f>
        <v>0.048</v>
      </c>
      <c r="CE64" s="256">
        <f>CHOOSE(MATCH($CF$2,{"Bull","Base","Bear"},0),$CO$78,$CP$78,$CQ$78)</f>
        <v>0.046</v>
      </c>
      <c r="CF64" s="153" t="n"/>
      <c r="CH64" s="37">
        <f>IFERROR(AVERAGE(CA64,CB64,CC64,CD64,CE64),"n/m")</f>
        <v>0.0484620099156878</v>
      </c>
      <c r="CI64" s="37">
        <f>IFERROR(AVERAGE(BB64,BG64,BL64,BQ64,BV64),"n/m")</f>
        <v>0.0236342131610812</v>
      </c>
      <c r="CJ64" s="37">
        <f>IFERROR(AVERAGE(AC64,AH64,AM64,AR64,AW64,BB64,BG64,BL64,BQ64,BV64),"n/m")</f>
        <v>0.0283469450915864</v>
      </c>
      <c r="CK64" s="37">
        <f>IFERROR(AVERAGE(C64,D64,E64,F64,G64,H64,I64,N64,S64,X64,AC64,AH64,AM64,AR64,AW64,BB64,BG64,BL64,BQ64,BV64),"n/m")</f>
        <v>0.0283469450915864</v>
      </c>
      <c r="CN64" s="15" t="inlineStr">
        <is>
          <t>CLOUD_M (Google Cloud operating margin)</t>
        </is>
      </c>
      <c r="CO64" s="41" t="n">
        <v>0.02</v>
      </c>
      <c r="CP64" s="21" t="inlineStr">
        <is>
          <t>Δ →</t>
        </is>
      </c>
      <c r="CQ64" s="41" t="n">
        <v>-0.05</v>
      </c>
      <c r="CR64" s="13" t="inlineStr">
        <is>
          <t>1H26 34.4%, Q2-26 35.6% (FY2025 23.7%, FY2024 14.1%); depreciation of new capacity, leased third-party data centres and Wiz amortization offset scale. Assumption.</t>
        </is>
      </c>
    </row>
    <row r="65" ht="15" customHeight="1" s="251">
      <c r="B65" s="25" t="inlineStr">
        <is>
          <t xml:space="preserve">  Segment recast / basis difference (consolidated OI as originally reported − Σ segments as recast)</t>
        </is>
      </c>
      <c r="C65" s="211">
        <f>IF(ISNUMBER(C55),C140-(N(C55)+N(C58)+N(C61)+N(C62)),"")</f>
      </c>
      <c r="D65" s="211">
        <f>IF(ISNUMBER(D55),D140-(N(D55)+N(D58)+N(D61)+N(D62)),"")</f>
      </c>
      <c r="E65" s="211">
        <f>IF(ISNUMBER(E55),E140-(N(E55)+N(E58)+N(E61)+N(E62)),"")</f>
      </c>
      <c r="F65" s="211">
        <f>IF(ISNUMBER(F55),F140-(N(F55)+N(F58)+N(F61)+N(F62)),"")</f>
      </c>
      <c r="G65" s="211">
        <f>IF(ISNUMBER(G55),G140-(N(G55)+N(G58)+N(G61)+N(G62)),"")</f>
      </c>
      <c r="H65" s="211">
        <f>IF(ISNUMBER(H55),H140-(N(H55)+N(H58)+N(H61)+N(H62)),"")</f>
      </c>
      <c r="I65" s="211">
        <f>IF(ISNUMBER(I55),I140-(N(I55)+N(I58)+N(I61)+N(I62)),"")</f>
      </c>
      <c r="J65" s="211">
        <f>IF(ISNUMBER(J55),J140-(N(J55)+N(J58)+N(J61)+N(J62)),"")</f>
      </c>
      <c r="K65" s="211">
        <f>IF(ISNUMBER(K55),K140-(N(K55)+N(K58)+N(K61)+N(K62)),"")</f>
      </c>
      <c r="L65" s="211">
        <f>IF(ISNUMBER(L55),L140-(N(L55)+N(L58)+N(L61)+N(L62)),"")</f>
      </c>
      <c r="M65" s="211">
        <f>IF(ISNUMBER(M55),M140-(N(M55)+N(M58)+N(M61)+N(M62)),"")</f>
      </c>
      <c r="N65" s="211">
        <f>IF(ISNUMBER(N55),N140-(N(N55)+N(N58)+N(N61)+N(N62)),"")</f>
      </c>
      <c r="O65" s="211">
        <f>IF(ISNUMBER(O55),O140-(N(O55)+N(O58)+N(O61)+N(O62)),"")</f>
      </c>
      <c r="P65" s="211">
        <f>IF(ISNUMBER(P55),P140-(N(P55)+N(P58)+N(P61)+N(P62)),"")</f>
      </c>
      <c r="Q65" s="211">
        <f>IF(ISNUMBER(Q55),Q140-(N(Q55)+N(Q58)+N(Q61)+N(Q62)),"")</f>
      </c>
      <c r="R65" s="211">
        <f>IF(ISNUMBER(R55),R140-(N(R55)+N(R58)+N(R61)+N(R62)),"")</f>
      </c>
      <c r="S65" s="211">
        <f>IF(ISNUMBER(S55),S140-(N(S55)+N(S58)+N(S61)+N(S62)),"")</f>
      </c>
      <c r="T65" s="211">
        <f>IF(ISNUMBER(T55),T140-(N(T55)+N(T58)+N(T61)+N(T62)),"")</f>
      </c>
      <c r="U65" s="211">
        <f>IF(ISNUMBER(U55),U140-(N(U55)+N(U58)+N(U61)+N(U62)),"")</f>
      </c>
      <c r="V65" s="211">
        <f>IF(ISNUMBER(V55),V140-(N(V55)+N(V58)+N(V61)+N(V62)),"")</f>
      </c>
      <c r="W65" s="211">
        <f>IF(ISNUMBER(W55),W140-(N(W55)+N(W58)+N(W61)+N(W62)),"")</f>
      </c>
      <c r="X65" s="211">
        <f>IF(ISNUMBER(X55),X140-(N(X55)+N(X58)+N(X61)+N(X62)),"")</f>
      </c>
      <c r="Y65" s="211">
        <f>IF(ISNUMBER(Y55),Y140-(N(Y55)+N(Y58)+N(Y61)+N(Y62)),"")</f>
      </c>
      <c r="Z65" s="211">
        <f>IF(ISNUMBER(Z55),Z140-(N(Z55)+N(Z58)+N(Z61)+N(Z62)),"")</f>
      </c>
      <c r="AA65" s="211">
        <f>IF(ISNUMBER(AA55),AA140-(N(AA55)+N(AA58)+N(AA61)+N(AA62)),"")</f>
      </c>
      <c r="AB65" s="211">
        <f>IF(ISNUMBER(AB55),AB140-(N(AB55)+N(AB58)+N(AB61)+N(AB62)),"")</f>
      </c>
      <c r="AC65" s="211">
        <f>IF(ISNUMBER(AC55),AC140-(N(AC55)+N(AC58)+N(AC61)+N(AC62)),"")</f>
      </c>
      <c r="AD65" s="211">
        <f>IF(ISNUMBER(AD55),AD140-(N(AD55)+N(AD58)+N(AD61)+N(AD62)),"")</f>
      </c>
      <c r="AE65" s="211">
        <f>IF(ISNUMBER(AE55),AE140-(N(AE55)+N(AE58)+N(AE61)+N(AE62)),"")</f>
      </c>
      <c r="AF65" s="211">
        <f>IF(ISNUMBER(AF55),AF140-(N(AF55)+N(AF58)+N(AF61)+N(AF62)),"")</f>
      </c>
      <c r="AG65" s="211">
        <f>IF(ISNUMBER(AG55),AG140-(N(AG55)+N(AG58)+N(AG61)+N(AG62)),"")</f>
      </c>
      <c r="AH65" s="211">
        <f>IF(ISNUMBER(AH55),AH140-(N(AH55)+N(AH58)+N(AH61)+N(AH62)),"")</f>
      </c>
      <c r="AI65" s="211">
        <f>IF(ISNUMBER(AI55),AI140-(N(AI55)+N(AI58)+N(AI61)+N(AI62)),"")</f>
      </c>
      <c r="AJ65" s="211">
        <f>IF(ISNUMBER(AJ55),AJ140-(N(AJ55)+N(AJ58)+N(AJ61)+N(AJ62)),"")</f>
      </c>
      <c r="AK65" s="211">
        <f>IF(ISNUMBER(AK55),AK140-(N(AK55)+N(AK58)+N(AK61)+N(AK62)),"")</f>
      </c>
      <c r="AL65" s="211">
        <f>IF(ISNUMBER(AL55),AL140-(N(AL55)+N(AL58)+N(AL61)+N(AL62)),"")</f>
      </c>
      <c r="AM65" s="211">
        <f>IF(ISNUMBER(AM55),AM140-(N(AM55)+N(AM58)+N(AM61)+N(AM62)),"")</f>
        <v>-1203</v>
      </c>
      <c r="AN65" s="211">
        <f>IF(ISNUMBER(AN55),AN140-(N(AN55)+N(AN58)+N(AN61)+N(AN62)),"")</f>
      </c>
      <c r="AO65" s="211">
        <f>IF(ISNUMBER(AO55),AO140-(N(AO55)+N(AO58)+N(AO61)+N(AO62)),"")</f>
      </c>
      <c r="AP65" s="211">
        <f>IF(ISNUMBER(AP55),AP140-(N(AP55)+N(AP58)+N(AP61)+N(AP62)),"")</f>
      </c>
      <c r="AQ65" s="211">
        <f>IF(ISNUMBER(AQ55),AQ140-(N(AQ55)+N(AQ58)+N(AQ61)+N(AQ62)),"")</f>
      </c>
      <c r="AR65" s="211">
        <f>IF(ISNUMBER(AR55),AR140-(N(AR55)+N(AR58)+N(AR61)+N(AR62)),"")</f>
        <v>0</v>
      </c>
      <c r="AS65" s="211">
        <f>IF(ISNUMBER(AS55),AS140-(N(AS55)+N(AS58)+N(AS61)+N(AS62)),"")</f>
        <v>0</v>
      </c>
      <c r="AT65" s="211">
        <f>IF(ISNUMBER(AT55),AT140-(N(AT55)+N(AT58)+N(AT61)+N(AT62)),"")</f>
        <v>0</v>
      </c>
      <c r="AU65" s="211">
        <f>IF(ISNUMBER(AU55),AU140-(N(AU55)+N(AU58)+N(AU61)+N(AU62)),"")</f>
        <v>0</v>
      </c>
      <c r="AV65" s="211">
        <f>IF(ISNUMBER(AV55),AV140-(N(AV55)+N(AV58)+N(AV61)+N(AV62)),"")</f>
        <v>0</v>
      </c>
      <c r="AW65" s="211">
        <f>IF(ISNUMBER(AW55),AW140-(N(AW55)+N(AW58)+N(AW61)+N(AW62)),"")</f>
        <v>0</v>
      </c>
      <c r="AX65" s="211">
        <f>IF(ISNUMBER(AX55),AX140-(N(AX55)+N(AX58)+N(AX61)+N(AX62)),"")</f>
        <v>0</v>
      </c>
      <c r="AY65" s="211">
        <f>IF(ISNUMBER(AY55),AY140-(N(AY55)+N(AY58)+N(AY61)+N(AY62)),"")</f>
        <v>0</v>
      </c>
      <c r="AZ65" s="211">
        <f>IF(ISNUMBER(AZ55),AZ140-(N(AZ55)+N(AZ58)+N(AZ61)+N(AZ62)),"")</f>
        <v>0</v>
      </c>
      <c r="BA65" s="211">
        <f>IF(ISNUMBER(BA55),BA140-(N(BA55)+N(BA58)+N(BA61)+N(BA62)),"")</f>
        <v>0</v>
      </c>
      <c r="BB65" s="211">
        <f>IF(ISNUMBER(BB55),BB140-(N(BB55)+N(BB58)+N(BB61)+N(BB62)),"")</f>
        <v>0</v>
      </c>
      <c r="BC65" s="211">
        <f>IF(ISNUMBER(BC55),BC140-(N(BC55)+N(BC58)+N(BC61)+N(BC62)),"")</f>
        <v>0</v>
      </c>
      <c r="BD65" s="211">
        <f>IF(ISNUMBER(BD55),BD140-(N(BD55)+N(BD58)+N(BD61)+N(BD62)),"")</f>
        <v>0</v>
      </c>
      <c r="BE65" s="211">
        <f>IF(ISNUMBER(BE55),BE140-(N(BE55)+N(BE58)+N(BE61)+N(BE62)),"")</f>
        <v>0</v>
      </c>
      <c r="BF65" s="211">
        <f>IF(ISNUMBER(BF55),BF140-(N(BF55)+N(BF58)+N(BF61)+N(BF62)),"")</f>
        <v>0</v>
      </c>
      <c r="BG65" s="211">
        <f>IF(ISNUMBER(BG55),BG140-(N(BG55)+N(BG58)+N(BG61)+N(BG62)),"")</f>
        <v>0</v>
      </c>
      <c r="BH65" s="211">
        <f>IF(ISNUMBER(BH55),BH140-(N(BH55)+N(BH58)+N(BH61)+N(BH62)),"")</f>
        <v>0</v>
      </c>
      <c r="BI65" s="211">
        <f>IF(ISNUMBER(BI55),BI140-(N(BI55)+N(BI58)+N(BI61)+N(BI62)),"")</f>
        <v>0</v>
      </c>
      <c r="BJ65" s="211">
        <f>IF(ISNUMBER(BJ55),BJ140-(N(BJ55)+N(BJ58)+N(BJ61)+N(BJ62)),"")</f>
        <v>0</v>
      </c>
      <c r="BK65" s="211">
        <f>IF(ISNUMBER(BK55),BK140-(N(BK55)+N(BK58)+N(BK61)+N(BK62)),"")</f>
        <v>0</v>
      </c>
      <c r="BL65" s="211">
        <f>IF(ISNUMBER(BL55),BL140-(N(BL55)+N(BL58)+N(BL61)+N(BL62)),"")</f>
        <v>0</v>
      </c>
      <c r="BM65" s="211">
        <f>IF(ISNUMBER(BM55),BM140-(N(BM55)+N(BM58)+N(BM61)+N(BM62)),"")</f>
        <v>0</v>
      </c>
      <c r="BN65" s="211">
        <f>IF(ISNUMBER(BN55),BN140-(N(BN55)+N(BN58)+N(BN61)+N(BN62)),"")</f>
        <v>0</v>
      </c>
      <c r="BO65" s="211">
        <f>IF(ISNUMBER(BO55),BO140-(N(BO55)+N(BO58)+N(BO61)+N(BO62)),"")</f>
        <v>0</v>
      </c>
      <c r="BP65" s="211">
        <f>IF(ISNUMBER(BP55),BP140-(N(BP55)+N(BP58)+N(BP61)+N(BP62)),"")</f>
        <v>0</v>
      </c>
      <c r="BQ65" s="211">
        <f>IF(ISNUMBER(BQ55),BQ140-(N(BQ55)+N(BQ58)+N(BQ61)+N(BQ62)),"")</f>
        <v>0</v>
      </c>
      <c r="BR65" s="211">
        <f>IF(ISNUMBER(BR55),BR140-(N(BR55)+N(BR58)+N(BR61)+N(BR62)),"")</f>
        <v>0</v>
      </c>
      <c r="BS65" s="211">
        <f>IF(ISNUMBER(BS55),BS140-(N(BS55)+N(BS58)+N(BS61)+N(BS62)),"")</f>
        <v>0</v>
      </c>
      <c r="BT65" s="211">
        <f>IF(ISNUMBER(BT55),BT140-(N(BT55)+N(BT58)+N(BT61)+N(BT62)),"")</f>
        <v>0</v>
      </c>
      <c r="BU65" s="211">
        <f>IF(ISNUMBER(BU55),BU140-(N(BU55)+N(BU58)+N(BU61)+N(BU62)),"")</f>
        <v>0</v>
      </c>
      <c r="BV65" s="211">
        <f>IF(ISNUMBER(BV55),BV140-(N(BV55)+N(BV58)+N(BV61)+N(BV62)),"")</f>
        <v>0</v>
      </c>
      <c r="BW65" s="211">
        <f>IF(ISNUMBER(BW55),BW140-(N(BW55)+N(BW58)+N(BW61)+N(BW62)),"")</f>
        <v>0</v>
      </c>
      <c r="BX65" s="211">
        <f>IF(ISNUMBER(BX55),BX140-(N(BX55)+N(BX58)+N(BX61)+N(BX62)),"")</f>
        <v>0</v>
      </c>
      <c r="BY65" s="254">
        <f>0</f>
        <v>0</v>
      </c>
      <c r="BZ65" s="254">
        <f>0</f>
        <v>0</v>
      </c>
      <c r="CA65" s="254">
        <f>SUM(BW65:BZ65)</f>
        <v>0</v>
      </c>
      <c r="CB65" s="254">
        <f>0</f>
        <v>0</v>
      </c>
      <c r="CC65" s="254">
        <f>0</f>
        <v>0</v>
      </c>
      <c r="CD65" s="254">
        <f>0</f>
        <v>0</v>
      </c>
      <c r="CE65" s="254">
        <f>0</f>
        <v>0</v>
      </c>
      <c r="CF65" s="19" t="inlineStr">
        <is>
          <t>2018: performance fees reclassified from operating expenses to OI&amp;E in 2019 and segments recast ($1,203m); otherwise 0.</t>
        </is>
      </c>
      <c r="CN65" s="25" t="inlineStr">
        <is>
          <t xml:space="preserve">  2027E</t>
        </is>
      </c>
      <c r="CO65" s="33">
        <f>CP65+$CO$64</f>
        <v>0.35</v>
      </c>
      <c r="CP65" s="42" t="n">
        <v>0.33</v>
      </c>
      <c r="CQ65" s="33">
        <f>CP65+$CQ$64</f>
        <v>0.28</v>
      </c>
    </row>
    <row r="66" ht="15" customHeight="1" s="251">
      <c r="B66" s="55" t="inlineStr">
        <is>
          <t>Operating income (segment build)</t>
        </is>
      </c>
      <c r="C66" s="260">
        <f>IF(ISNUMBER(C55),N(C55)+N(C58)+N(C61)+N(C62)+N(C65),"")</f>
      </c>
      <c r="D66" s="260">
        <f>IF(ISNUMBER(D55),N(D55)+N(D58)+N(D61)+N(D62)+N(D65),"")</f>
      </c>
      <c r="E66" s="260">
        <f>IF(ISNUMBER(E55),N(E55)+N(E58)+N(E61)+N(E62)+N(E65),"")</f>
      </c>
      <c r="F66" s="260">
        <f>IF(ISNUMBER(F55),N(F55)+N(F58)+N(F61)+N(F62)+N(F65),"")</f>
      </c>
      <c r="G66" s="260">
        <f>IF(ISNUMBER(G55),N(G55)+N(G58)+N(G61)+N(G62)+N(G65),"")</f>
      </c>
      <c r="H66" s="260">
        <f>IF(ISNUMBER(H55),N(H55)+N(H58)+N(H61)+N(H62)+N(H65),"")</f>
      </c>
      <c r="I66" s="260">
        <f>IF(ISNUMBER(I55),N(I55)+N(I58)+N(I61)+N(I62)+N(I65),"")</f>
      </c>
      <c r="J66" s="260">
        <f>IF(ISNUMBER(J55),N(J55)+N(J58)+N(J61)+N(J62)+N(J65),"")</f>
      </c>
      <c r="K66" s="260">
        <f>IF(ISNUMBER(K55),N(K55)+N(K58)+N(K61)+N(K62)+N(K65),"")</f>
      </c>
      <c r="L66" s="260">
        <f>IF(ISNUMBER(L55),N(L55)+N(L58)+N(L61)+N(L62)+N(L65),"")</f>
      </c>
      <c r="M66" s="260">
        <f>IF(ISNUMBER(M55),N(M55)+N(M58)+N(M61)+N(M62)+N(M65),"")</f>
      </c>
      <c r="N66" s="260">
        <f>IF(ISNUMBER(N55),N(N55)+N(N58)+N(N61)+N(N62)+N(N65),"")</f>
      </c>
      <c r="O66" s="260">
        <f>IF(ISNUMBER(O55),N(O55)+N(O58)+N(O61)+N(O62)+N(O65),"")</f>
      </c>
      <c r="P66" s="260">
        <f>IF(ISNUMBER(P55),N(P55)+N(P58)+N(P61)+N(P62)+N(P65),"")</f>
      </c>
      <c r="Q66" s="260">
        <f>IF(ISNUMBER(Q55),N(Q55)+N(Q58)+N(Q61)+N(Q62)+N(Q65),"")</f>
      </c>
      <c r="R66" s="260">
        <f>IF(ISNUMBER(R55),N(R55)+N(R58)+N(R61)+N(R62)+N(R65),"")</f>
      </c>
      <c r="S66" s="260">
        <f>IF(ISNUMBER(S55),N(S55)+N(S58)+N(S61)+N(S62)+N(S65),"")</f>
      </c>
      <c r="T66" s="260">
        <f>IF(ISNUMBER(T55),N(T55)+N(T58)+N(T61)+N(T62)+N(T65),"")</f>
      </c>
      <c r="U66" s="260">
        <f>IF(ISNUMBER(U55),N(U55)+N(U58)+N(U61)+N(U62)+N(U65),"")</f>
      </c>
      <c r="V66" s="260">
        <f>IF(ISNUMBER(V55),N(V55)+N(V58)+N(V61)+N(V62)+N(V65),"")</f>
      </c>
      <c r="W66" s="260">
        <f>IF(ISNUMBER(W55),N(W55)+N(W58)+N(W61)+N(W62)+N(W65),"")</f>
      </c>
      <c r="X66" s="260">
        <f>IF(ISNUMBER(X55),N(X55)+N(X58)+N(X61)+N(X62)+N(X65),"")</f>
      </c>
      <c r="Y66" s="260">
        <f>IF(ISNUMBER(Y55),N(Y55)+N(Y58)+N(Y61)+N(Y62)+N(Y65),"")</f>
      </c>
      <c r="Z66" s="260">
        <f>IF(ISNUMBER(Z55),N(Z55)+N(Z58)+N(Z61)+N(Z62)+N(Z65),"")</f>
      </c>
      <c r="AA66" s="260">
        <f>IF(ISNUMBER(AA55),N(AA55)+N(AA58)+N(AA61)+N(AA62)+N(AA65),"")</f>
      </c>
      <c r="AB66" s="260">
        <f>IF(ISNUMBER(AB55),N(AB55)+N(AB58)+N(AB61)+N(AB62)+N(AB65),"")</f>
      </c>
      <c r="AC66" s="260">
        <f>IF(ISNUMBER(AC55),N(AC55)+N(AC58)+N(AC61)+N(AC62)+N(AC65),"")</f>
      </c>
      <c r="AD66" s="260">
        <f>IF(ISNUMBER(AD55),N(AD55)+N(AD58)+N(AD61)+N(AD62)+N(AD65),"")</f>
      </c>
      <c r="AE66" s="260">
        <f>IF(ISNUMBER(AE55),N(AE55)+N(AE58)+N(AE61)+N(AE62)+N(AE65),"")</f>
      </c>
      <c r="AF66" s="260">
        <f>IF(ISNUMBER(AF55),N(AF55)+N(AF58)+N(AF61)+N(AF62)+N(AF65),"")</f>
      </c>
      <c r="AG66" s="260">
        <f>IF(ISNUMBER(AG55),N(AG55)+N(AG58)+N(AG61)+N(AG62)+N(AG65),"")</f>
      </c>
      <c r="AH66" s="260">
        <f>IF(ISNUMBER(AH55),N(AH55)+N(AH58)+N(AH61)+N(AH62)+N(AH65),"")</f>
      </c>
      <c r="AI66" s="260">
        <f>IF(ISNUMBER(AI55),N(AI55)+N(AI58)+N(AI61)+N(AI62)+N(AI65),"")</f>
      </c>
      <c r="AJ66" s="260">
        <f>IF(ISNUMBER(AJ55),N(AJ55)+N(AJ58)+N(AJ61)+N(AJ62)+N(AJ65),"")</f>
      </c>
      <c r="AK66" s="260">
        <f>IF(ISNUMBER(AK55),N(AK55)+N(AK58)+N(AK61)+N(AK62)+N(AK65),"")</f>
      </c>
      <c r="AL66" s="260">
        <f>IF(ISNUMBER(AL55),N(AL55)+N(AL58)+N(AL61)+N(AL62)+N(AL65),"")</f>
      </c>
      <c r="AM66" s="260">
        <f>IF(ISNUMBER(AM55),N(AM55)+N(AM58)+N(AM61)+N(AM62)+N(AM65),"")</f>
        <v>26321</v>
      </c>
      <c r="AN66" s="260">
        <f>IF(ISNUMBER(AN55),N(AN55)+N(AN58)+N(AN61)+N(AN62)+N(AN65),"")</f>
      </c>
      <c r="AO66" s="260">
        <f>IF(ISNUMBER(AO55),N(AO55)+N(AO58)+N(AO61)+N(AO62)+N(AO65),"")</f>
      </c>
      <c r="AP66" s="260">
        <f>IF(ISNUMBER(AP55),N(AP55)+N(AP58)+N(AP61)+N(AP62)+N(AP65),"")</f>
      </c>
      <c r="AQ66" s="260">
        <f>IF(ISNUMBER(AQ55),N(AQ55)+N(AQ58)+N(AQ61)+N(AQ62)+N(AQ65),"")</f>
      </c>
      <c r="AR66" s="260">
        <f>IF(ISNUMBER(AR55),N(AR55)+N(AR58)+N(AR61)+N(AR62)+N(AR65),"")</f>
        <v>34231</v>
      </c>
      <c r="AS66" s="260">
        <f>IF(ISNUMBER(AS55),N(AS55)+N(AS58)+N(AS61)+N(AS62)+N(AS65),"")</f>
        <v>7977</v>
      </c>
      <c r="AT66" s="260">
        <f>IF(ISNUMBER(AT55),N(AT55)+N(AT58)+N(AT61)+N(AT62)+N(AT65),"")</f>
        <v>6383</v>
      </c>
      <c r="AU66" s="260">
        <f>IF(ISNUMBER(AU55),N(AU55)+N(AU58)+N(AU61)+N(AU62)+N(AU65),"")</f>
        <v>11213</v>
      </c>
      <c r="AV66" s="260">
        <f>IF(ISNUMBER(AV55),N(AV55)+N(AV58)+N(AV61)+N(AV62)+N(AV65),"")</f>
        <v>15651</v>
      </c>
      <c r="AW66" s="260">
        <f>IF(ISNUMBER(AW55),N(AW55)+N(AW58)+N(AW61)+N(AW62)+N(AW65),"")</f>
        <v>41224</v>
      </c>
      <c r="AX66" s="260">
        <f>IF(ISNUMBER(AX55),N(AX55)+N(AX58)+N(AX61)+N(AX62)+N(AX65),"")</f>
        <v>16437</v>
      </c>
      <c r="AY66" s="260">
        <f>IF(ISNUMBER(AY55),N(AY55)+N(AY58)+N(AY61)+N(AY62)+N(AY65),"")</f>
        <v>19361</v>
      </c>
      <c r="AZ66" s="260">
        <f>IF(ISNUMBER(AZ55),N(AZ55)+N(AZ58)+N(AZ61)+N(AZ62)+N(AZ65),"")</f>
        <v>21031</v>
      </c>
      <c r="BA66" s="260">
        <f>IF(ISNUMBER(BA55),N(BA55)+N(BA58)+N(BA61)+N(BA62)+N(BA65),"")</f>
        <v>21885</v>
      </c>
      <c r="BB66" s="260">
        <f>IF(ISNUMBER(BB55),N(BB55)+N(BB58)+N(BB61)+N(BB62)+N(BB65),"")</f>
        <v>78714</v>
      </c>
      <c r="BC66" s="260">
        <f>IF(ISNUMBER(BC55),N(BC55)+N(BC58)+N(BC61)+N(BC62)+N(BC65),"")</f>
        <v>20094</v>
      </c>
      <c r="BD66" s="260">
        <f>IF(ISNUMBER(BD55),N(BD55)+N(BD58)+N(BD61)+N(BD62)+N(BD65),"")</f>
        <v>19453</v>
      </c>
      <c r="BE66" s="260">
        <f>IF(ISNUMBER(BE55),N(BE55)+N(BE58)+N(BE61)+N(BE62)+N(BE65),"")</f>
        <v>17135</v>
      </c>
      <c r="BF66" s="260">
        <f>IF(ISNUMBER(BF55),N(BF55)+N(BF58)+N(BF61)+N(BF62)+N(BF65),"")</f>
        <v>18160</v>
      </c>
      <c r="BG66" s="260">
        <f>IF(ISNUMBER(BG55),N(BG55)+N(BG58)+N(BG61)+N(BG62)+N(BG65),"")</f>
        <v>74842</v>
      </c>
      <c r="BH66" s="260">
        <f>IF(ISNUMBER(BH55),N(BH55)+N(BH58)+N(BH61)+N(BH62)+N(BH65),"")</f>
        <v>17415</v>
      </c>
      <c r="BI66" s="260">
        <f>IF(ISNUMBER(BI55),N(BI55)+N(BI58)+N(BI61)+N(BI62)+N(BI65),"")</f>
        <v>21838</v>
      </c>
      <c r="BJ66" s="260">
        <f>IF(ISNUMBER(BJ55),N(BJ55)+N(BJ58)+N(BJ61)+N(BJ62)+N(BJ65),"")</f>
        <v>21343</v>
      </c>
      <c r="BK66" s="260">
        <f>IF(ISNUMBER(BK55),N(BK55)+N(BK58)+N(BK61)+N(BK62)+N(BK65),"")</f>
        <v>23697</v>
      </c>
      <c r="BL66" s="260">
        <f>IF(ISNUMBER(BL55),N(BL55)+N(BL58)+N(BL61)+N(BL62)+N(BL65),"")</f>
        <v>84293</v>
      </c>
      <c r="BM66" s="260">
        <f>IF(ISNUMBER(BM55),N(BM55)+N(BM58)+N(BM61)+N(BM62)+N(BM65),"")</f>
        <v>25472</v>
      </c>
      <c r="BN66" s="260">
        <f>IF(ISNUMBER(BN55),N(BN55)+N(BN58)+N(BN61)+N(BN62)+N(BN65),"")</f>
        <v>27425</v>
      </c>
      <c r="BO66" s="260">
        <f>IF(ISNUMBER(BO55),N(BO55)+N(BO58)+N(BO61)+N(BO62)+N(BO65),"")</f>
        <v>28521</v>
      </c>
      <c r="BP66" s="260">
        <f>IF(ISNUMBER(BP55),N(BP55)+N(BP58)+N(BP61)+N(BP62)+N(BP65),"")</f>
        <v>30972</v>
      </c>
      <c r="BQ66" s="260">
        <f>IF(ISNUMBER(BQ55),N(BQ55)+N(BQ58)+N(BQ61)+N(BQ62)+N(BQ65),"")</f>
        <v>112390</v>
      </c>
      <c r="BR66" s="260">
        <f>IF(ISNUMBER(BR55),N(BR55)+N(BR58)+N(BR61)+N(BR62)+N(BR65),"")</f>
        <v>30606</v>
      </c>
      <c r="BS66" s="260">
        <f>IF(ISNUMBER(BS55),N(BS55)+N(BS58)+N(BS61)+N(BS62)+N(BS65),"")</f>
        <v>31271</v>
      </c>
      <c r="BT66" s="260">
        <f>IF(ISNUMBER(BT55),N(BT55)+N(BT58)+N(BT61)+N(BT62)+N(BT65),"")</f>
        <v>31228</v>
      </c>
      <c r="BU66" s="260">
        <f>IF(ISNUMBER(BU55),N(BU55)+N(BU58)+N(BU61)+N(BU62)+N(BU65),"")</f>
        <v>35934</v>
      </c>
      <c r="BV66" s="260">
        <f>IF(ISNUMBER(BV55),N(BV55)+N(BV58)+N(BV61)+N(BV62)+N(BV65),"")</f>
        <v>129039</v>
      </c>
      <c r="BW66" s="260">
        <f>IF(ISNUMBER(BW55),N(BW55)+N(BW58)+N(BW61)+N(BW62)+N(BW65),"")</f>
        <v>39696</v>
      </c>
      <c r="BX66" s="260">
        <f>IF(ISNUMBER(BX55),N(BX55)+N(BX58)+N(BX61)+N(BX62)+N(BX65),"")</f>
        <v>40770</v>
      </c>
      <c r="BY66" s="260">
        <f>IF(ISNUMBER(BY55),N(BY55)+N(BY58)+N(BY61)+N(BY62)+N(BY65),"")</f>
        <v>41781.7884184666</v>
      </c>
      <c r="BZ66" s="260">
        <f>IF(ISNUMBER(BZ55),N(BZ55)+N(BZ58)+N(BZ61)+N(BZ62)+N(BZ65),"")</f>
        <v>50691.0437823207</v>
      </c>
      <c r="CA66" s="260">
        <f>IF(ISNUMBER(CA55),N(CA55)+N(CA58)+N(CA61)+N(CA62)+N(CA65),"")</f>
        <v>172938.832200787</v>
      </c>
      <c r="CB66" s="260">
        <f>IF(ISNUMBER(CB55),N(CB55)+N(CB58)+N(CB61)+N(CB62)+N(CB65),"")</f>
        <v>194643.240084932</v>
      </c>
      <c r="CC66" s="260">
        <f>IF(ISNUMBER(CC55),N(CC55)+N(CC58)+N(CC61)+N(CC62)+N(CC65),"")</f>
        <v>212421.8802008</v>
      </c>
      <c r="CD66" s="260">
        <f>IF(ISNUMBER(CD55),N(CD55)+N(CD58)+N(CD61)+N(CD62)+N(CD65),"")</f>
        <v>234774.621414897</v>
      </c>
      <c r="CE66" s="260">
        <f>IF(ISNUMBER(CE55),N(CE55)+N(CE58)+N(CE61)+N(CE62)+N(CE65),"")</f>
        <v>256717.05000939</v>
      </c>
      <c r="CF66" s="153" t="n"/>
      <c r="CN66" s="25" t="inlineStr">
        <is>
          <t xml:space="preserve">  2028E</t>
        </is>
      </c>
      <c r="CO66" s="33">
        <f>CP66+$CO$64</f>
        <v>0.34</v>
      </c>
      <c r="CP66" s="42" t="n">
        <v>0.32</v>
      </c>
      <c r="CQ66" s="33">
        <f>CP66+$CQ$64</f>
        <v>0.27</v>
      </c>
    </row>
    <row r="67" ht="15" customHeight="1" s="251">
      <c r="B67" s="57" t="inlineStr">
        <is>
          <t xml:space="preserve">  Check: segment build vs consolidated operating income (should be 0)</t>
        </is>
      </c>
      <c r="C67" s="211">
        <f>IF(AND(ISNUMBER(C66),ISNUMBER(C140)),IF(ABS(C66-C140)&lt;=1,0,ROUND(C66-C140,0)),"")</f>
      </c>
      <c r="D67" s="211">
        <f>IF(AND(ISNUMBER(D66),ISNUMBER(D140)),IF(ABS(D66-D140)&lt;=1,0,ROUND(D66-D140,0)),"")</f>
      </c>
      <c r="E67" s="211">
        <f>IF(AND(ISNUMBER(E66),ISNUMBER(E140)),IF(ABS(E66-E140)&lt;=1,0,ROUND(E66-E140,0)),"")</f>
      </c>
      <c r="F67" s="211">
        <f>IF(AND(ISNUMBER(F66),ISNUMBER(F140)),IF(ABS(F66-F140)&lt;=1,0,ROUND(F66-F140,0)),"")</f>
      </c>
      <c r="G67" s="211">
        <f>IF(AND(ISNUMBER(G66),ISNUMBER(G140)),IF(ABS(G66-G140)&lt;=1,0,ROUND(G66-G140,0)),"")</f>
      </c>
      <c r="H67" s="211">
        <f>IF(AND(ISNUMBER(H66),ISNUMBER(H140)),IF(ABS(H66-H140)&lt;=1,0,ROUND(H66-H140,0)),"")</f>
      </c>
      <c r="I67" s="211">
        <f>IF(AND(ISNUMBER(I66),ISNUMBER(I140)),IF(ABS(I66-I140)&lt;=1,0,ROUND(I66-I140,0)),"")</f>
      </c>
      <c r="J67" s="211">
        <f>IF(AND(ISNUMBER(J66),ISNUMBER(J140)),IF(ABS(J66-J140)&lt;=1,0,ROUND(J66-J140,0)),"")</f>
      </c>
      <c r="K67" s="211">
        <f>IF(AND(ISNUMBER(K66),ISNUMBER(K140)),IF(ABS(K66-K140)&lt;=1,0,ROUND(K66-K140,0)),"")</f>
      </c>
      <c r="L67" s="211">
        <f>IF(AND(ISNUMBER(L66),ISNUMBER(L140)),IF(ABS(L66-L140)&lt;=1,0,ROUND(L66-L140,0)),"")</f>
      </c>
      <c r="M67" s="211">
        <f>IF(AND(ISNUMBER(M66),ISNUMBER(M140)),IF(ABS(M66-M140)&lt;=1,0,ROUND(M66-M140,0)),"")</f>
      </c>
      <c r="N67" s="211">
        <f>IF(AND(ISNUMBER(N66),ISNUMBER(N140)),IF(ABS(N66-N140)&lt;=1,0,ROUND(N66-N140,0)),"")</f>
      </c>
      <c r="O67" s="211">
        <f>IF(AND(ISNUMBER(O66),ISNUMBER(O140)),IF(ABS(O66-O140)&lt;=1,0,ROUND(O66-O140,0)),"")</f>
      </c>
      <c r="P67" s="211">
        <f>IF(AND(ISNUMBER(P66),ISNUMBER(P140)),IF(ABS(P66-P140)&lt;=1,0,ROUND(P66-P140,0)),"")</f>
      </c>
      <c r="Q67" s="211">
        <f>IF(AND(ISNUMBER(Q66),ISNUMBER(Q140)),IF(ABS(Q66-Q140)&lt;=1,0,ROUND(Q66-Q140,0)),"")</f>
      </c>
      <c r="R67" s="211">
        <f>IF(AND(ISNUMBER(R66),ISNUMBER(R140)),IF(ABS(R66-R140)&lt;=1,0,ROUND(R66-R140,0)),"")</f>
      </c>
      <c r="S67" s="211">
        <f>IF(AND(ISNUMBER(S66),ISNUMBER(S140)),IF(ABS(S66-S140)&lt;=1,0,ROUND(S66-S140,0)),"")</f>
      </c>
      <c r="T67" s="211">
        <f>IF(AND(ISNUMBER(T66),ISNUMBER(T140)),IF(ABS(T66-T140)&lt;=1,0,ROUND(T66-T140,0)),"")</f>
      </c>
      <c r="U67" s="211">
        <f>IF(AND(ISNUMBER(U66),ISNUMBER(U140)),IF(ABS(U66-U140)&lt;=1,0,ROUND(U66-U140,0)),"")</f>
      </c>
      <c r="V67" s="211">
        <f>IF(AND(ISNUMBER(V66),ISNUMBER(V140)),IF(ABS(V66-V140)&lt;=1,0,ROUND(V66-V140,0)),"")</f>
      </c>
      <c r="W67" s="211">
        <f>IF(AND(ISNUMBER(W66),ISNUMBER(W140)),IF(ABS(W66-W140)&lt;=1,0,ROUND(W66-W140,0)),"")</f>
      </c>
      <c r="X67" s="211">
        <f>IF(AND(ISNUMBER(X66),ISNUMBER(X140)),IF(ABS(X66-X140)&lt;=1,0,ROUND(X66-X140,0)),"")</f>
      </c>
      <c r="Y67" s="211">
        <f>IF(AND(ISNUMBER(Y66),ISNUMBER(Y140)),IF(ABS(Y66-Y140)&lt;=1,0,ROUND(Y66-Y140,0)),"")</f>
      </c>
      <c r="Z67" s="211">
        <f>IF(AND(ISNUMBER(Z66),ISNUMBER(Z140)),IF(ABS(Z66-Z140)&lt;=1,0,ROUND(Z66-Z140,0)),"")</f>
      </c>
      <c r="AA67" s="211">
        <f>IF(AND(ISNUMBER(AA66),ISNUMBER(AA140)),IF(ABS(AA66-AA140)&lt;=1,0,ROUND(AA66-AA140,0)),"")</f>
      </c>
      <c r="AB67" s="211">
        <f>IF(AND(ISNUMBER(AB66),ISNUMBER(AB140)),IF(ABS(AB66-AB140)&lt;=1,0,ROUND(AB66-AB140,0)),"")</f>
      </c>
      <c r="AC67" s="211">
        <f>IF(AND(ISNUMBER(AC66),ISNUMBER(AC140)),IF(ABS(AC66-AC140)&lt;=1,0,ROUND(AC66-AC140,0)),"")</f>
      </c>
      <c r="AD67" s="211">
        <f>IF(AND(ISNUMBER(AD66),ISNUMBER(AD140)),IF(ABS(AD66-AD140)&lt;=1,0,ROUND(AD66-AD140,0)),"")</f>
      </c>
      <c r="AE67" s="211">
        <f>IF(AND(ISNUMBER(AE66),ISNUMBER(AE140)),IF(ABS(AE66-AE140)&lt;=1,0,ROUND(AE66-AE140,0)),"")</f>
      </c>
      <c r="AF67" s="211">
        <f>IF(AND(ISNUMBER(AF66),ISNUMBER(AF140)),IF(ABS(AF66-AF140)&lt;=1,0,ROUND(AF66-AF140,0)),"")</f>
      </c>
      <c r="AG67" s="211">
        <f>IF(AND(ISNUMBER(AG66),ISNUMBER(AG140)),IF(ABS(AG66-AG140)&lt;=1,0,ROUND(AG66-AG140,0)),"")</f>
      </c>
      <c r="AH67" s="211">
        <f>IF(AND(ISNUMBER(AH66),ISNUMBER(AH140)),IF(ABS(AH66-AH140)&lt;=1,0,ROUND(AH66-AH140,0)),"")</f>
      </c>
      <c r="AI67" s="211">
        <f>IF(AND(ISNUMBER(AI66),ISNUMBER(AI140)),IF(ABS(AI66-AI140)&lt;=1,0,ROUND(AI66-AI140,0)),"")</f>
      </c>
      <c r="AJ67" s="211">
        <f>IF(AND(ISNUMBER(AJ66),ISNUMBER(AJ140)),IF(ABS(AJ66-AJ140)&lt;=1,0,ROUND(AJ66-AJ140,0)),"")</f>
      </c>
      <c r="AK67" s="211">
        <f>IF(AND(ISNUMBER(AK66),ISNUMBER(AK140)),IF(ABS(AK66-AK140)&lt;=1,0,ROUND(AK66-AK140,0)),"")</f>
      </c>
      <c r="AL67" s="211">
        <f>IF(AND(ISNUMBER(AL66),ISNUMBER(AL140)),IF(ABS(AL66-AL140)&lt;=1,0,ROUND(AL66-AL140,0)),"")</f>
      </c>
      <c r="AM67" s="211">
        <f>IF(AND(ISNUMBER(AM66),ISNUMBER(AM140)),IF(ABS(AM66-AM140)&lt;=1,0,ROUND(AM66-AM140,0)),"")</f>
        <v>0</v>
      </c>
      <c r="AN67" s="211">
        <f>IF(AND(ISNUMBER(AN66),ISNUMBER(AN140)),IF(ABS(AN66-AN140)&lt;=1,0,ROUND(AN66-AN140,0)),"")</f>
      </c>
      <c r="AO67" s="211">
        <f>IF(AND(ISNUMBER(AO66),ISNUMBER(AO140)),IF(ABS(AO66-AO140)&lt;=1,0,ROUND(AO66-AO140,0)),"")</f>
      </c>
      <c r="AP67" s="211">
        <f>IF(AND(ISNUMBER(AP66),ISNUMBER(AP140)),IF(ABS(AP66-AP140)&lt;=1,0,ROUND(AP66-AP140,0)),"")</f>
      </c>
      <c r="AQ67" s="211">
        <f>IF(AND(ISNUMBER(AQ66),ISNUMBER(AQ140)),IF(ABS(AQ66-AQ140)&lt;=1,0,ROUND(AQ66-AQ140,0)),"")</f>
      </c>
      <c r="AR67" s="211">
        <f>IF(AND(ISNUMBER(AR66),ISNUMBER(AR140)),IF(ABS(AR66-AR140)&lt;=1,0,ROUND(AR66-AR140,0)),"")</f>
        <v>0</v>
      </c>
      <c r="AS67" s="211">
        <f>IF(AND(ISNUMBER(AS66),ISNUMBER(AS140)),IF(ABS(AS66-AS140)&lt;=1,0,ROUND(AS66-AS140,0)),"")</f>
        <v>0</v>
      </c>
      <c r="AT67" s="211">
        <f>IF(AND(ISNUMBER(AT66),ISNUMBER(AT140)),IF(ABS(AT66-AT140)&lt;=1,0,ROUND(AT66-AT140,0)),"")</f>
        <v>0</v>
      </c>
      <c r="AU67" s="211">
        <f>IF(AND(ISNUMBER(AU66),ISNUMBER(AU140)),IF(ABS(AU66-AU140)&lt;=1,0,ROUND(AU66-AU140,0)),"")</f>
        <v>0</v>
      </c>
      <c r="AV67" s="211">
        <f>IF(AND(ISNUMBER(AV66),ISNUMBER(AV140)),IF(ABS(AV66-AV140)&lt;=1,0,ROUND(AV66-AV140,0)),"")</f>
        <v>0</v>
      </c>
      <c r="AW67" s="211">
        <f>IF(AND(ISNUMBER(AW66),ISNUMBER(AW140)),IF(ABS(AW66-AW140)&lt;=1,0,ROUND(AW66-AW140,0)),"")</f>
        <v>0</v>
      </c>
      <c r="AX67" s="211">
        <f>IF(AND(ISNUMBER(AX66),ISNUMBER(AX140)),IF(ABS(AX66-AX140)&lt;=1,0,ROUND(AX66-AX140,0)),"")</f>
        <v>0</v>
      </c>
      <c r="AY67" s="211">
        <f>IF(AND(ISNUMBER(AY66),ISNUMBER(AY140)),IF(ABS(AY66-AY140)&lt;=1,0,ROUND(AY66-AY140,0)),"")</f>
        <v>0</v>
      </c>
      <c r="AZ67" s="211">
        <f>IF(AND(ISNUMBER(AZ66),ISNUMBER(AZ140)),IF(ABS(AZ66-AZ140)&lt;=1,0,ROUND(AZ66-AZ140,0)),"")</f>
        <v>0</v>
      </c>
      <c r="BA67" s="211">
        <f>IF(AND(ISNUMBER(BA66),ISNUMBER(BA140)),IF(ABS(BA66-BA140)&lt;=1,0,ROUND(BA66-BA140,0)),"")</f>
        <v>0</v>
      </c>
      <c r="BB67" s="211">
        <f>IF(AND(ISNUMBER(BB66),ISNUMBER(BB140)),IF(ABS(BB66-BB140)&lt;=1,0,ROUND(BB66-BB140,0)),"")</f>
        <v>0</v>
      </c>
      <c r="BC67" s="211">
        <f>IF(AND(ISNUMBER(BC66),ISNUMBER(BC140)),IF(ABS(BC66-BC140)&lt;=1,0,ROUND(BC66-BC140,0)),"")</f>
        <v>0</v>
      </c>
      <c r="BD67" s="211">
        <f>IF(AND(ISNUMBER(BD66),ISNUMBER(BD140)),IF(ABS(BD66-BD140)&lt;=1,0,ROUND(BD66-BD140,0)),"")</f>
        <v>0</v>
      </c>
      <c r="BE67" s="211">
        <f>IF(AND(ISNUMBER(BE66),ISNUMBER(BE140)),IF(ABS(BE66-BE140)&lt;=1,0,ROUND(BE66-BE140,0)),"")</f>
        <v>0</v>
      </c>
      <c r="BF67" s="211">
        <f>IF(AND(ISNUMBER(BF66),ISNUMBER(BF140)),IF(ABS(BF66-BF140)&lt;=1,0,ROUND(BF66-BF140,0)),"")</f>
        <v>0</v>
      </c>
      <c r="BG67" s="211">
        <f>IF(AND(ISNUMBER(BG66),ISNUMBER(BG140)),IF(ABS(BG66-BG140)&lt;=1,0,ROUND(BG66-BG140,0)),"")</f>
        <v>0</v>
      </c>
      <c r="BH67" s="211">
        <f>IF(AND(ISNUMBER(BH66),ISNUMBER(BH140)),IF(ABS(BH66-BH140)&lt;=1,0,ROUND(BH66-BH140,0)),"")</f>
        <v>0</v>
      </c>
      <c r="BI67" s="211">
        <f>IF(AND(ISNUMBER(BI66),ISNUMBER(BI140)),IF(ABS(BI66-BI140)&lt;=1,0,ROUND(BI66-BI140,0)),"")</f>
        <v>0</v>
      </c>
      <c r="BJ67" s="211">
        <f>IF(AND(ISNUMBER(BJ66),ISNUMBER(BJ140)),IF(ABS(BJ66-BJ140)&lt;=1,0,ROUND(BJ66-BJ140,0)),"")</f>
        <v>0</v>
      </c>
      <c r="BK67" s="211">
        <f>IF(AND(ISNUMBER(BK66),ISNUMBER(BK140)),IF(ABS(BK66-BK140)&lt;=1,0,ROUND(BK66-BK140,0)),"")</f>
        <v>0</v>
      </c>
      <c r="BL67" s="211">
        <f>IF(AND(ISNUMBER(BL66),ISNUMBER(BL140)),IF(ABS(BL66-BL140)&lt;=1,0,ROUND(BL66-BL140,0)),"")</f>
        <v>0</v>
      </c>
      <c r="BM67" s="211">
        <f>IF(AND(ISNUMBER(BM66),ISNUMBER(BM140)),IF(ABS(BM66-BM140)&lt;=1,0,ROUND(BM66-BM140,0)),"")</f>
        <v>0</v>
      </c>
      <c r="BN67" s="211">
        <f>IF(AND(ISNUMBER(BN66),ISNUMBER(BN140)),IF(ABS(BN66-BN140)&lt;=1,0,ROUND(BN66-BN140,0)),"")</f>
        <v>0</v>
      </c>
      <c r="BO67" s="211">
        <f>IF(AND(ISNUMBER(BO66),ISNUMBER(BO140)),IF(ABS(BO66-BO140)&lt;=1,0,ROUND(BO66-BO140,0)),"")</f>
        <v>0</v>
      </c>
      <c r="BP67" s="211">
        <f>IF(AND(ISNUMBER(BP66),ISNUMBER(BP140)),IF(ABS(BP66-BP140)&lt;=1,0,ROUND(BP66-BP140,0)),"")</f>
        <v>0</v>
      </c>
      <c r="BQ67" s="211">
        <f>IF(AND(ISNUMBER(BQ66),ISNUMBER(BQ140)),IF(ABS(BQ66-BQ140)&lt;=1,0,ROUND(BQ66-BQ140,0)),"")</f>
        <v>0</v>
      </c>
      <c r="BR67" s="211">
        <f>IF(AND(ISNUMBER(BR66),ISNUMBER(BR140)),IF(ABS(BR66-BR140)&lt;=1,0,ROUND(BR66-BR140,0)),"")</f>
        <v>0</v>
      </c>
      <c r="BS67" s="211">
        <f>IF(AND(ISNUMBER(BS66),ISNUMBER(BS140)),IF(ABS(BS66-BS140)&lt;=1,0,ROUND(BS66-BS140,0)),"")</f>
        <v>0</v>
      </c>
      <c r="BT67" s="211">
        <f>IF(AND(ISNUMBER(BT66),ISNUMBER(BT140)),IF(ABS(BT66-BT140)&lt;=1,0,ROUND(BT66-BT140,0)),"")</f>
        <v>0</v>
      </c>
      <c r="BU67" s="211">
        <f>IF(AND(ISNUMBER(BU66),ISNUMBER(BU140)),IF(ABS(BU66-BU140)&lt;=1,0,ROUND(BU66-BU140,0)),"")</f>
        <v>0</v>
      </c>
      <c r="BV67" s="211">
        <f>IF(AND(ISNUMBER(BV66),ISNUMBER(BV140)),IF(ABS(BV66-BV140)&lt;=1,0,ROUND(BV66-BV140,0)),"")</f>
        <v>0</v>
      </c>
      <c r="BW67" s="211">
        <f>IF(AND(ISNUMBER(BW66),ISNUMBER(BW140)),IF(ABS(BW66-BW140)&lt;=1,0,ROUND(BW66-BW140,0)),"")</f>
        <v>0</v>
      </c>
      <c r="BX67" s="211">
        <f>IF(AND(ISNUMBER(BX66),ISNUMBER(BX140)),IF(ABS(BX66-BX140)&lt;=1,0,ROUND(BX66-BX140,0)),"")</f>
        <v>0</v>
      </c>
      <c r="BY67" s="264">
        <f>IF(AND(ISNUMBER(BY66),ISNUMBER(BY140)),IF(ABS(BY66-BY140)&lt;=1,0,ROUND(BY66-BY140,0)),"")</f>
        <v>0</v>
      </c>
      <c r="BZ67" s="264">
        <f>IF(AND(ISNUMBER(BZ66),ISNUMBER(BZ140)),IF(ABS(BZ66-BZ140)&lt;=1,0,ROUND(BZ66-BZ140,0)),"")</f>
        <v>0</v>
      </c>
      <c r="CA67" s="264">
        <f>IF(AND(ISNUMBER(CA66),ISNUMBER(CA140)),IF(ABS(CA66-CA140)&lt;=1,0,ROUND(CA66-CA140,0)),"")</f>
        <v>0</v>
      </c>
      <c r="CB67" s="264">
        <f>IF(AND(ISNUMBER(CB66),ISNUMBER(CB140)),IF(ABS(CB66-CB140)&lt;=1,0,ROUND(CB66-CB140,0)),"")</f>
        <v>0</v>
      </c>
      <c r="CC67" s="264">
        <f>IF(AND(ISNUMBER(CC66),ISNUMBER(CC140)),IF(ABS(CC66-CC140)&lt;=1,0,ROUND(CC66-CC140,0)),"")</f>
        <v>0</v>
      </c>
      <c r="CD67" s="264">
        <f>IF(AND(ISNUMBER(CD66),ISNUMBER(CD140)),IF(ABS(CD66-CD140)&lt;=1,0,ROUND(CD66-CD140,0)),"")</f>
        <v>0</v>
      </c>
      <c r="CE67" s="264">
        <f>IF(AND(ISNUMBER(CE66),ISNUMBER(CE140)),IF(ABS(CE66-CE140)&lt;=1,0,ROUND(CE66-CE140,0)),"")</f>
        <v>0</v>
      </c>
      <c r="CF67" s="153" t="n"/>
      <c r="CN67" s="25" t="inlineStr">
        <is>
          <t xml:space="preserve">  2029E</t>
        </is>
      </c>
      <c r="CO67" s="33">
        <f>CP67+$CO$64</f>
        <v>0.34</v>
      </c>
      <c r="CP67" s="42" t="n">
        <v>0.32</v>
      </c>
      <c r="CQ67" s="33">
        <f>CP67+$CQ$64</f>
        <v>0.27</v>
      </c>
    </row>
    <row r="68" ht="15" customHeight="1" s="251">
      <c r="B68" s="25" t="inlineStr">
        <is>
          <t xml:space="preserve">  Legacy segment structures, as reported (memo):</t>
        </is>
      </c>
      <c r="CF68" s="153" t="n"/>
      <c r="CN68" s="25" t="inlineStr">
        <is>
          <t xml:space="preserve">  2030E</t>
        </is>
      </c>
      <c r="CO68" s="33">
        <f>CP68+$CO$64</f>
        <v>0.34</v>
      </c>
      <c r="CP68" s="42" t="n">
        <v>0.32</v>
      </c>
      <c r="CQ68" s="33">
        <f>CP68+$CQ$64</f>
        <v>0.27</v>
      </c>
    </row>
    <row r="69" ht="15" customHeight="1" s="251">
      <c r="B69" s="156" t="inlineStr">
        <is>
          <t xml:space="preserve">    Google segment operating income (2015–2020 basis; incl. Cloud)</t>
        </is>
      </c>
      <c r="C69" s="34" t="n"/>
      <c r="D69" s="34" t="n"/>
      <c r="E69" s="34" t="n"/>
      <c r="F69" s="34" t="n"/>
      <c r="G69" s="253" t="n">
        <v>11757</v>
      </c>
      <c r="H69" s="253" t="n">
        <v>14216</v>
      </c>
      <c r="I69" s="253" t="n">
        <v>16308</v>
      </c>
      <c r="J69" s="253" t="n">
        <v>4403</v>
      </c>
      <c r="K69" s="253" t="n">
        <v>4208</v>
      </c>
      <c r="L69" s="253" t="n">
        <v>4635</v>
      </c>
      <c r="M69" s="253" t="n">
        <v>3014</v>
      </c>
      <c r="N69" s="253" t="n">
        <v>16260</v>
      </c>
      <c r="O69" s="34" t="n"/>
      <c r="P69" s="34" t="n"/>
      <c r="Q69" s="34" t="n"/>
      <c r="R69" s="34" t="n"/>
      <c r="S69" s="253" t="n">
        <v>18965</v>
      </c>
      <c r="T69" s="253" t="n">
        <v>5188</v>
      </c>
      <c r="U69" s="253" t="n">
        <v>5608</v>
      </c>
      <c r="V69" s="253" t="n">
        <v>5807</v>
      </c>
      <c r="W69" s="253" t="n">
        <v>6716</v>
      </c>
      <c r="X69" s="253" t="n">
        <v>23319</v>
      </c>
      <c r="Y69" s="253" t="n">
        <v>6245</v>
      </c>
      <c r="Z69" s="253" t="n">
        <v>6990</v>
      </c>
      <c r="AA69" s="253" t="n">
        <v>6774</v>
      </c>
      <c r="AB69" s="253" t="n">
        <v>7046</v>
      </c>
      <c r="AC69" s="253" t="n">
        <v>27055</v>
      </c>
      <c r="AD69" s="253" t="n">
        <v>7446</v>
      </c>
      <c r="AE69" s="253" t="n">
        <v>7664</v>
      </c>
      <c r="AF69" s="253" t="n">
        <v>8582</v>
      </c>
      <c r="AG69" s="253" t="n">
        <v>8764</v>
      </c>
      <c r="AH69" s="253" t="n">
        <v>32456</v>
      </c>
      <c r="AI69" s="253" t="n">
        <v>8368</v>
      </c>
      <c r="AJ69" s="253" t="n">
        <v>8959</v>
      </c>
      <c r="AK69" s="253" t="n">
        <v>9490</v>
      </c>
      <c r="AL69" s="253" t="n">
        <v>9838</v>
      </c>
      <c r="AM69" s="253" t="n">
        <v>36655</v>
      </c>
      <c r="AN69" s="253" t="n">
        <v>9188</v>
      </c>
      <c r="AO69" s="253" t="n">
        <v>10280</v>
      </c>
      <c r="AP69" s="253" t="n">
        <v>10746</v>
      </c>
      <c r="AQ69" s="253" t="n">
        <v>11459</v>
      </c>
      <c r="AR69" s="253" t="n">
        <v>41673</v>
      </c>
      <c r="AS69" s="253" t="n">
        <v>9270</v>
      </c>
      <c r="AT69" s="253" t="n">
        <v>7572</v>
      </c>
      <c r="AU69" s="253" t="n">
        <v>12589</v>
      </c>
      <c r="AV69" s="34" t="n"/>
      <c r="AW69" s="34" t="n"/>
      <c r="AX69" s="34" t="n"/>
      <c r="AY69" s="34" t="n"/>
      <c r="AZ69" s="34" t="n"/>
      <c r="BA69" s="34" t="n"/>
      <c r="BB69" s="34" t="n"/>
      <c r="BC69" s="34" t="n"/>
      <c r="BD69" s="34" t="n"/>
      <c r="BE69" s="34" t="n"/>
      <c r="BF69" s="34" t="n"/>
      <c r="BG69" s="34" t="n"/>
      <c r="BH69" s="34" t="n"/>
      <c r="BI69" s="34" t="n"/>
      <c r="BJ69" s="34" t="n"/>
      <c r="BK69" s="34" t="n"/>
      <c r="BL69" s="34" t="n"/>
      <c r="BM69" s="34" t="n"/>
      <c r="BN69" s="34" t="n"/>
      <c r="BO69" s="34" t="n"/>
      <c r="BP69" s="34" t="n"/>
      <c r="BQ69" s="34" t="n"/>
      <c r="BR69" s="34" t="n"/>
      <c r="BS69" s="34" t="n"/>
      <c r="BT69" s="34" t="n"/>
      <c r="BU69" s="34" t="n"/>
      <c r="BV69" s="34" t="n"/>
      <c r="BW69" s="34" t="n"/>
      <c r="BX69" s="34" t="n"/>
      <c r="BY69" s="153" t="n"/>
      <c r="BZ69" s="153" t="n"/>
      <c r="CA69" s="153" t="n"/>
      <c r="CB69" s="153" t="n"/>
      <c r="CC69" s="153" t="n"/>
      <c r="CD69" s="153" t="n"/>
      <c r="CE69" s="153" t="n"/>
      <c r="CF69" s="153" t="n"/>
      <c r="CN69" s="15" t="inlineStr">
        <is>
          <t>OB_OI (Other Bets operating income, $m)</t>
        </is>
      </c>
      <c r="CO69" s="50" t="n">
        <v>1000</v>
      </c>
      <c r="CP69" s="21" t="inlineStr">
        <is>
          <t>Δ →</t>
        </is>
      </c>
      <c r="CQ69" s="50" t="n">
        <v>-1500</v>
      </c>
      <c r="CR69" s="13" t="inlineStr">
        <is>
          <t>FY2025 $(7.5)bn, 1H26 $(3.9)bn: Waymo expansion. Assumption.</t>
        </is>
      </c>
    </row>
    <row r="70" ht="15" customHeight="1" s="251">
      <c r="B70" s="156" t="inlineStr">
        <is>
          <t xml:space="preserve">    Other Bets operating loss (2015–2020 basis)</t>
        </is>
      </c>
      <c r="C70" s="34" t="n"/>
      <c r="D70" s="34" t="n"/>
      <c r="E70" s="34" t="n"/>
      <c r="F70" s="34" t="n"/>
      <c r="G70" s="34" t="n"/>
      <c r="H70" s="34" t="n"/>
      <c r="I70" s="34" t="n"/>
      <c r="J70" s="34" t="n"/>
      <c r="K70" s="34" t="n"/>
      <c r="L70" s="34" t="n"/>
      <c r="M70" s="34" t="n"/>
      <c r="N70" s="253" t="n">
        <v>-527</v>
      </c>
      <c r="O70" s="34" t="n"/>
      <c r="P70" s="34" t="n"/>
      <c r="Q70" s="34" t="n"/>
      <c r="R70" s="34" t="n"/>
      <c r="S70" s="253" t="n">
        <v>-1893</v>
      </c>
      <c r="T70" s="253" t="n">
        <v>-633</v>
      </c>
      <c r="U70" s="253" t="n">
        <v>-660</v>
      </c>
      <c r="V70" s="253" t="n">
        <v>-980</v>
      </c>
      <c r="W70" s="253" t="n">
        <v>-1183</v>
      </c>
      <c r="X70" s="253" t="n">
        <v>-3456</v>
      </c>
      <c r="Y70" s="253" t="n">
        <v>-774</v>
      </c>
      <c r="Z70" s="253" t="n">
        <v>-855</v>
      </c>
      <c r="AA70" s="253" t="n">
        <v>-861</v>
      </c>
      <c r="AB70" s="253" t="n">
        <v>-251</v>
      </c>
      <c r="AC70" s="253" t="n">
        <v>-2741</v>
      </c>
      <c r="AD70" s="253" t="n">
        <v>-703</v>
      </c>
      <c r="AE70" s="253" t="n">
        <v>-633</v>
      </c>
      <c r="AF70" s="253" t="n">
        <v>-650</v>
      </c>
      <c r="AG70" s="253" t="n">
        <v>-748</v>
      </c>
      <c r="AH70" s="253" t="n">
        <v>-2734</v>
      </c>
      <c r="AI70" s="253" t="n">
        <v>-571</v>
      </c>
      <c r="AJ70" s="253" t="n">
        <v>-732</v>
      </c>
      <c r="AK70" s="253" t="n">
        <v>-727</v>
      </c>
      <c r="AL70" s="253" t="n">
        <v>-1328</v>
      </c>
      <c r="AM70" s="253" t="n">
        <v>-3358</v>
      </c>
      <c r="AN70" s="253" t="n">
        <v>-868</v>
      </c>
      <c r="AO70" s="253" t="n">
        <v>-989</v>
      </c>
      <c r="AP70" s="253" t="n">
        <v>-941</v>
      </c>
      <c r="AQ70" s="253" t="n">
        <v>-2026</v>
      </c>
      <c r="AR70" s="253" t="n">
        <v>-4824</v>
      </c>
      <c r="AS70" s="253" t="n">
        <v>-1121</v>
      </c>
      <c r="AT70" s="253" t="n">
        <v>-1116</v>
      </c>
      <c r="AU70" s="253" t="n">
        <v>-1103</v>
      </c>
      <c r="AV70" s="34" t="n"/>
      <c r="AW70" s="34" t="n"/>
      <c r="AX70" s="34" t="n"/>
      <c r="AY70" s="34" t="n"/>
      <c r="AZ70" s="34" t="n"/>
      <c r="BA70" s="34" t="n"/>
      <c r="BB70" s="34" t="n"/>
      <c r="BC70" s="34" t="n"/>
      <c r="BD70" s="34" t="n"/>
      <c r="BE70" s="34" t="n"/>
      <c r="BF70" s="34" t="n"/>
      <c r="BG70" s="34" t="n"/>
      <c r="BH70" s="34" t="n"/>
      <c r="BI70" s="34" t="n"/>
      <c r="BJ70" s="34" t="n"/>
      <c r="BK70" s="34" t="n"/>
      <c r="BL70" s="34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153" t="n"/>
      <c r="BZ70" s="153" t="n"/>
      <c r="CA70" s="153" t="n"/>
      <c r="CB70" s="153" t="n"/>
      <c r="CC70" s="153" t="n"/>
      <c r="CD70" s="153" t="n"/>
      <c r="CE70" s="153" t="n"/>
      <c r="CF70" s="153" t="n"/>
      <c r="CN70" s="25" t="inlineStr">
        <is>
          <t xml:space="preserve">  2027E</t>
        </is>
      </c>
      <c r="CO70" s="51">
        <f>CP70+$CO$69</f>
        <v>-7000</v>
      </c>
      <c r="CP70" s="26" t="n">
        <v>-8000</v>
      </c>
      <c r="CQ70" s="51">
        <f>CP70+$CQ$69</f>
        <v>-9500</v>
      </c>
    </row>
    <row r="71" ht="15" customHeight="1" s="251">
      <c r="B71" s="156" t="inlineStr">
        <is>
          <t xml:space="preserve">    Unallocated / Alphabet-level (2015–2020 basis)</t>
        </is>
      </c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253" t="n">
        <v>-330</v>
      </c>
      <c r="O71" s="34" t="n"/>
      <c r="P71" s="34" t="n"/>
      <c r="Q71" s="34" t="n"/>
      <c r="R71" s="34" t="n"/>
      <c r="S71" s="253" t="n">
        <v>-576</v>
      </c>
      <c r="T71" s="253" t="n">
        <v>-108</v>
      </c>
      <c r="U71" s="253" t="n">
        <v>-123</v>
      </c>
      <c r="V71" s="253" t="n">
        <v>-119</v>
      </c>
      <c r="W71" s="253" t="n">
        <v>-153</v>
      </c>
      <c r="X71" s="253" t="n">
        <v>-503</v>
      </c>
      <c r="Y71" s="253" t="n">
        <v>-129</v>
      </c>
      <c r="Z71" s="253" t="n">
        <v>-167</v>
      </c>
      <c r="AA71" s="253" t="n">
        <v>-146</v>
      </c>
      <c r="AB71" s="253" t="n">
        <v>-156</v>
      </c>
      <c r="AC71" s="253" t="n">
        <v>-598</v>
      </c>
      <c r="AD71" s="253" t="n">
        <v>-175</v>
      </c>
      <c r="AE71" s="253" t="n">
        <v>-2899</v>
      </c>
      <c r="AF71" s="253" t="n">
        <v>-150</v>
      </c>
      <c r="AG71" s="253" t="n">
        <v>-320</v>
      </c>
      <c r="AH71" s="253" t="n">
        <v>-3544</v>
      </c>
      <c r="AI71" s="253" t="n">
        <v>-164</v>
      </c>
      <c r="AJ71" s="253" t="n">
        <v>-5182</v>
      </c>
      <c r="AK71" s="253" t="n">
        <v>-138</v>
      </c>
      <c r="AL71" s="253" t="n">
        <v>-289</v>
      </c>
      <c r="AM71" s="253" t="n">
        <v>-5773</v>
      </c>
      <c r="AN71" s="253" t="n">
        <v>-1712</v>
      </c>
      <c r="AO71" s="253" t="n">
        <v>-111</v>
      </c>
      <c r="AP71" s="253" t="n">
        <v>-628</v>
      </c>
      <c r="AQ71" s="253" t="n">
        <v>-167</v>
      </c>
      <c r="AR71" s="253" t="n">
        <v>-2618</v>
      </c>
      <c r="AS71" s="253" t="n">
        <v>-172</v>
      </c>
      <c r="AT71" s="253" t="n">
        <v>-73</v>
      </c>
      <c r="AU71" s="253" t="n">
        <v>-273</v>
      </c>
      <c r="AV71" s="34" t="n"/>
      <c r="AW71" s="34" t="n"/>
      <c r="AX71" s="34" t="n"/>
      <c r="AY71" s="34" t="n"/>
      <c r="AZ71" s="34" t="n"/>
      <c r="BA71" s="34" t="n"/>
      <c r="BB71" s="34" t="n"/>
      <c r="BC71" s="34" t="n"/>
      <c r="BD71" s="34" t="n"/>
      <c r="BE71" s="34" t="n"/>
      <c r="BF71" s="34" t="n"/>
      <c r="BG71" s="34" t="n"/>
      <c r="BH71" s="34" t="n"/>
      <c r="BI71" s="34" t="n"/>
      <c r="BJ71" s="34" t="n"/>
      <c r="BK71" s="34" t="n"/>
      <c r="BL71" s="34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4" t="n"/>
      <c r="BW71" s="34" t="n"/>
      <c r="BX71" s="34" t="n"/>
      <c r="BY71" s="153" t="n"/>
      <c r="BZ71" s="153" t="n"/>
      <c r="CA71" s="153" t="n"/>
      <c r="CB71" s="153" t="n"/>
      <c r="CC71" s="153" t="n"/>
      <c r="CD71" s="153" t="n"/>
      <c r="CE71" s="153" t="n"/>
      <c r="CF71" s="153" t="n"/>
      <c r="CN71" s="25" t="inlineStr">
        <is>
          <t xml:space="preserve">  2028E</t>
        </is>
      </c>
      <c r="CO71" s="51">
        <f>CP71+$CO$69</f>
        <v>-7500</v>
      </c>
      <c r="CP71" s="26" t="n">
        <v>-8500</v>
      </c>
      <c r="CQ71" s="51">
        <f>CP71+$CQ$69</f>
        <v>-10000</v>
      </c>
    </row>
    <row r="72" collapsed="1" ht="15" customHeight="1" s="251">
      <c r="B72" s="156" t="inlineStr">
        <is>
          <t xml:space="preserve">    Motorola Mobile operating loss (2012–2013)</t>
        </is>
      </c>
      <c r="C72" s="34" t="n"/>
      <c r="D72" s="34" t="n"/>
      <c r="E72" s="34" t="n"/>
      <c r="F72" s="34" t="n"/>
      <c r="G72" s="34" t="n"/>
      <c r="H72" s="253" t="n">
        <v>0</v>
      </c>
      <c r="I72" s="253" t="n">
        <v>-393</v>
      </c>
      <c r="J72" s="253" t="n">
        <v>-179</v>
      </c>
      <c r="K72" s="253" t="n">
        <v>-218</v>
      </c>
      <c r="L72" s="253" t="n">
        <v>-248</v>
      </c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  <c r="AA72" s="34" t="n"/>
      <c r="AB72" s="34" t="n"/>
      <c r="AC72" s="34" t="n"/>
      <c r="AD72" s="34" t="n"/>
      <c r="AE72" s="34" t="n"/>
      <c r="AF72" s="34" t="n"/>
      <c r="AG72" s="34" t="n"/>
      <c r="AH72" s="34" t="n"/>
      <c r="AI72" s="34" t="n"/>
      <c r="AJ72" s="34" t="n"/>
      <c r="AK72" s="34" t="n"/>
      <c r="AL72" s="34" t="n"/>
      <c r="AM72" s="34" t="n"/>
      <c r="AN72" s="34" t="n"/>
      <c r="AO72" s="34" t="n"/>
      <c r="AP72" s="34" t="n"/>
      <c r="AQ72" s="34" t="n"/>
      <c r="AR72" s="34" t="n"/>
      <c r="AS72" s="34" t="n"/>
      <c r="AT72" s="34" t="n"/>
      <c r="AU72" s="34" t="n"/>
      <c r="AV72" s="34" t="n"/>
      <c r="AW72" s="34" t="n"/>
      <c r="AX72" s="34" t="n"/>
      <c r="AY72" s="34" t="n"/>
      <c r="AZ72" s="34" t="n"/>
      <c r="BA72" s="34" t="n"/>
      <c r="BB72" s="34" t="n"/>
      <c r="BC72" s="34" t="n"/>
      <c r="BD72" s="34" t="n"/>
      <c r="BE72" s="34" t="n"/>
      <c r="BF72" s="34" t="n"/>
      <c r="BG72" s="34" t="n"/>
      <c r="BH72" s="34" t="n"/>
      <c r="BI72" s="34" t="n"/>
      <c r="BJ72" s="34" t="n"/>
      <c r="BK72" s="34" t="n"/>
      <c r="BL72" s="34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 t="n"/>
      <c r="BV72" s="34" t="n"/>
      <c r="BW72" s="34" t="n"/>
      <c r="BX72" s="34" t="n"/>
      <c r="BY72" s="153" t="n"/>
      <c r="BZ72" s="153" t="n"/>
      <c r="CA72" s="153" t="n"/>
      <c r="CB72" s="153" t="n"/>
      <c r="CC72" s="153" t="n"/>
      <c r="CD72" s="153" t="n"/>
      <c r="CE72" s="153" t="n"/>
      <c r="CF72" s="153" t="n"/>
      <c r="CN72" s="25" t="inlineStr">
        <is>
          <t xml:space="preserve">  2029E</t>
        </is>
      </c>
      <c r="CO72" s="51">
        <f>CP72+$CO$69</f>
        <v>-8000</v>
      </c>
      <c r="CP72" s="26" t="n">
        <v>-9000</v>
      </c>
      <c r="CQ72" s="51">
        <f>CP72+$CQ$69</f>
        <v>-10500</v>
      </c>
    </row>
    <row r="73" ht="15" customHeight="1" s="251">
      <c r="CN73" s="25" t="inlineStr">
        <is>
          <t xml:space="preserve">  2030E</t>
        </is>
      </c>
      <c r="CO73" s="51">
        <f>CP73+$CO$69</f>
        <v>-8000</v>
      </c>
      <c r="CP73" s="26" t="n">
        <v>-9000</v>
      </c>
      <c r="CQ73" s="51">
        <f>CP73+$CQ$69</f>
        <v>-10500</v>
      </c>
    </row>
    <row r="74" ht="15" customHeight="1" s="251">
      <c r="B74" s="14" t="inlineStr">
        <is>
          <t>Future acquisitions (M&amp;A lever — unallocated; deals closed from 2027E)</t>
        </is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  <c r="AH74" s="14" t="n"/>
      <c r="AI74" s="14" t="n"/>
      <c r="AJ74" s="14" t="n"/>
      <c r="AK74" s="14" t="n"/>
      <c r="AL74" s="14" t="n"/>
      <c r="AM74" s="14" t="n"/>
      <c r="AN74" s="14" t="n"/>
      <c r="AO74" s="14" t="n"/>
      <c r="AP74" s="14" t="n"/>
      <c r="AQ74" s="14" t="n"/>
      <c r="AR74" s="14" t="n"/>
      <c r="AS74" s="14" t="n"/>
      <c r="AT74" s="14" t="n"/>
      <c r="AU74" s="14" t="n"/>
      <c r="AV74" s="14" t="n"/>
      <c r="AW74" s="14" t="n"/>
      <c r="AX74" s="14" t="n"/>
      <c r="AY74" s="14" t="n"/>
      <c r="AZ74" s="14" t="n"/>
      <c r="BA74" s="14" t="n"/>
      <c r="BB74" s="14" t="n"/>
      <c r="BC74" s="14" t="n"/>
      <c r="BD74" s="14" t="n"/>
      <c r="BE74" s="14" t="n"/>
      <c r="BF74" s="14" t="n"/>
      <c r="BG74" s="14" t="n"/>
      <c r="BH74" s="14" t="n"/>
      <c r="BI74" s="14" t="n"/>
      <c r="BJ74" s="14" t="n"/>
      <c r="BK74" s="14" t="n"/>
      <c r="BL74" s="14" t="n"/>
      <c r="BM74" s="14" t="n"/>
      <c r="BN74" s="14" t="n"/>
      <c r="BO74" s="14" t="n"/>
      <c r="BP74" s="14" t="n"/>
      <c r="BQ74" s="14" t="n"/>
      <c r="BR74" s="14" t="n"/>
      <c r="BS74" s="14" t="n"/>
      <c r="BT74" s="14" t="n"/>
      <c r="BU74" s="14" t="n"/>
      <c r="BV74" s="14" t="n"/>
      <c r="BW74" s="14" t="n"/>
      <c r="BX74" s="14" t="n"/>
      <c r="BY74" s="14" t="n"/>
      <c r="BZ74" s="14" t="n"/>
      <c r="CA74" s="14" t="n"/>
      <c r="CB74" s="14" t="n"/>
      <c r="CC74" s="14" t="n"/>
      <c r="CD74" s="14" t="n"/>
      <c r="CE74" s="14" t="n"/>
      <c r="CF74" s="15" t="inlineStr">
        <is>
          <t>M&amp;A LEVER — acquired revenue = spend ÷ EV/sales; mid-year convention</t>
        </is>
      </c>
      <c r="CN74" s="15" t="inlineStr">
        <is>
          <t>ALPHA_P (Alphabet-level costs % of revenues)</t>
        </is>
      </c>
      <c r="CO74" s="41" t="n">
        <v>-0.005</v>
      </c>
      <c r="CP74" s="21" t="inlineStr">
        <is>
          <t>Δ →</t>
        </is>
      </c>
      <c r="CQ74" s="41" t="n">
        <v>0.007</v>
      </c>
      <c r="CR74" s="13" t="inlineStr">
        <is>
          <t>FY2025 4.2%, 1H26 4.9%: frontier AI model development (Google DeepMind), corporate costs, fines &amp; settlements. Assumption.</t>
        </is>
      </c>
    </row>
    <row r="75" ht="15" customHeight="1" s="251">
      <c r="B75" s="25" t="inlineStr">
        <is>
          <t xml:space="preserve">  Acquisition spend (USDm, scenario)</t>
        </is>
      </c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  <c r="AA75" s="34" t="n"/>
      <c r="AB75" s="34" t="n"/>
      <c r="AC75" s="34" t="n"/>
      <c r="AD75" s="34" t="n"/>
      <c r="AE75" s="34" t="n"/>
      <c r="AF75" s="34" t="n"/>
      <c r="AG75" s="34" t="n"/>
      <c r="AH75" s="34" t="n"/>
      <c r="AI75" s="34" t="n"/>
      <c r="AJ75" s="34" t="n"/>
      <c r="AK75" s="34" t="n"/>
      <c r="AL75" s="34" t="n"/>
      <c r="AM75" s="34" t="n"/>
      <c r="AN75" s="34" t="n"/>
      <c r="AO75" s="34" t="n"/>
      <c r="AP75" s="34" t="n"/>
      <c r="AQ75" s="34" t="n"/>
      <c r="AR75" s="34" t="n"/>
      <c r="AS75" s="34" t="n"/>
      <c r="AT75" s="34" t="n"/>
      <c r="AU75" s="34" t="n"/>
      <c r="AV75" s="34" t="n"/>
      <c r="AW75" s="34" t="n"/>
      <c r="AX75" s="34" t="n"/>
      <c r="AY75" s="34" t="n"/>
      <c r="AZ75" s="34" t="n"/>
      <c r="BA75" s="34" t="n"/>
      <c r="BB75" s="34" t="n"/>
      <c r="BC75" s="34" t="n"/>
      <c r="BD75" s="34" t="n"/>
      <c r="BE75" s="34" t="n"/>
      <c r="BF75" s="34" t="n"/>
      <c r="BG75" s="34" t="n"/>
      <c r="BH75" s="34" t="n"/>
      <c r="BI75" s="34" t="n"/>
      <c r="BJ75" s="34" t="n"/>
      <c r="BK75" s="34" t="n"/>
      <c r="BL75" s="34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4" t="n"/>
      <c r="BW75" s="34" t="n"/>
      <c r="BX75" s="34" t="n"/>
      <c r="BY75" s="35" t="n"/>
      <c r="BZ75" s="35" t="n"/>
      <c r="CA75" s="265" t="n">
        <v>0</v>
      </c>
      <c r="CB75" s="254">
        <f>MAX(0,CHOOSE(MATCH($CF$2,{"Bull","Base","Bear"},0),$CO$85,$CP$85,$CQ$85))</f>
        <v>5000</v>
      </c>
      <c r="CC75" s="254">
        <f>MAX(0,CHOOSE(MATCH($CF$2,{"Bull","Base","Bear"},0),$CO$86,$CP$86,$CQ$86))</f>
        <v>5000</v>
      </c>
      <c r="CD75" s="254">
        <f>MAX(0,CHOOSE(MATCH($CF$2,{"Bull","Base","Bear"},0),$CO$87,$CP$87,$CQ$87))</f>
        <v>5000</v>
      </c>
      <c r="CE75" s="254">
        <f>MAX(0,CHOOSE(MATCH($CF$2,{"Bull","Base","Bear"},0),$CO$88,$CP$88,$CQ$88))</f>
        <v>5000</v>
      </c>
      <c r="CF75" s="19" t="inlineStr">
        <is>
          <t>Scenario lever M&amp;A_spend (Base $5bn p.a.). Funded from cash / commercial paper (debt schedule).</t>
        </is>
      </c>
      <c r="CN75" s="25" t="inlineStr">
        <is>
          <t xml:space="preserve">  2027E</t>
        </is>
      </c>
      <c r="CO75" s="33">
        <f>CP75+$CO$74</f>
        <v>0.045</v>
      </c>
      <c r="CP75" s="42" t="n">
        <v>0.05</v>
      </c>
      <c r="CQ75" s="33">
        <f>CP75+$CQ$74</f>
        <v>0.057</v>
      </c>
    </row>
    <row r="76" ht="15" customHeight="1" s="251">
      <c r="B76" s="25" t="inlineStr">
        <is>
          <t xml:space="preserve">  Purchase multiple — EV / sales (x)</t>
        </is>
      </c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  <c r="AU76" s="36" t="n"/>
      <c r="AV76" s="36" t="n"/>
      <c r="AW76" s="36" t="n"/>
      <c r="AX76" s="36" t="n"/>
      <c r="AY76" s="36" t="n"/>
      <c r="AZ76" s="36" t="n"/>
      <c r="BA76" s="36" t="n"/>
      <c r="BB76" s="36" t="n"/>
      <c r="BC76" s="36" t="n"/>
      <c r="BD76" s="36" t="n"/>
      <c r="BE76" s="36" t="n"/>
      <c r="BF76" s="36" t="n"/>
      <c r="BG76" s="36" t="n"/>
      <c r="BH76" s="36" t="n"/>
      <c r="BI76" s="36" t="n"/>
      <c r="BJ76" s="36" t="n"/>
      <c r="BK76" s="36" t="n"/>
      <c r="BL76" s="36" t="n"/>
      <c r="BM76" s="36" t="n"/>
      <c r="BN76" s="36" t="n"/>
      <c r="BO76" s="36" t="n"/>
      <c r="BP76" s="36" t="n"/>
      <c r="BQ76" s="36" t="n"/>
      <c r="BR76" s="36" t="n"/>
      <c r="BS76" s="36" t="n"/>
      <c r="BT76" s="36" t="n"/>
      <c r="BU76" s="36" t="n"/>
      <c r="BV76" s="36" t="n"/>
      <c r="BW76" s="36" t="n"/>
      <c r="BX76" s="36" t="n"/>
      <c r="BY76" s="24" t="n"/>
      <c r="BZ76" s="24" t="n"/>
      <c r="CA76" s="266" t="n">
        <v>0</v>
      </c>
      <c r="CB76" s="266" t="n">
        <v>15</v>
      </c>
      <c r="CC76" s="266" t="n">
        <v>15</v>
      </c>
      <c r="CD76" s="266" t="n">
        <v>15</v>
      </c>
      <c r="CE76" s="266" t="n">
        <v>15</v>
      </c>
      <c r="CF76" s="19" t="inlineStr">
        <is>
          <t>Wiz $29.5bn (Mar-2026) at a reported ~$1bn ARR (press, unverified) ≈ 30x; Mandiant $5.4bn (2022). 15x input (assumption).</t>
        </is>
      </c>
      <c r="CN76" s="25" t="inlineStr">
        <is>
          <t xml:space="preserve">  2028E</t>
        </is>
      </c>
      <c r="CO76" s="33">
        <f>CP76+$CO$74</f>
        <v>0.045</v>
      </c>
      <c r="CP76" s="42" t="n">
        <v>0.05</v>
      </c>
      <c r="CQ76" s="33">
        <f>CP76+$CQ$74</f>
        <v>0.057</v>
      </c>
    </row>
    <row r="77" ht="15" customHeight="1" s="251">
      <c r="B77" s="25" t="inlineStr">
        <is>
          <t xml:space="preserve">  Annualised revenue acquired in the year</t>
        </is>
      </c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  <c r="AA77" s="34" t="n"/>
      <c r="AB77" s="34" t="n"/>
      <c r="AC77" s="34" t="n"/>
      <c r="AD77" s="34" t="n"/>
      <c r="AE77" s="34" t="n"/>
      <c r="AF77" s="34" t="n"/>
      <c r="AG77" s="34" t="n"/>
      <c r="AH77" s="34" t="n"/>
      <c r="AI77" s="34" t="n"/>
      <c r="AJ77" s="34" t="n"/>
      <c r="AK77" s="34" t="n"/>
      <c r="AL77" s="34" t="n"/>
      <c r="AM77" s="34" t="n"/>
      <c r="AN77" s="34" t="n"/>
      <c r="AO77" s="34" t="n"/>
      <c r="AP77" s="34" t="n"/>
      <c r="AQ77" s="34" t="n"/>
      <c r="AR77" s="34" t="n"/>
      <c r="AS77" s="34" t="n"/>
      <c r="AT77" s="34" t="n"/>
      <c r="AU77" s="34" t="n"/>
      <c r="AV77" s="34" t="n"/>
      <c r="AW77" s="34" t="n"/>
      <c r="AX77" s="34" t="n"/>
      <c r="AY77" s="34" t="n"/>
      <c r="AZ77" s="34" t="n"/>
      <c r="BA77" s="34" t="n"/>
      <c r="BB77" s="34" t="n"/>
      <c r="BC77" s="34" t="n"/>
      <c r="BD77" s="34" t="n"/>
      <c r="BE77" s="34" t="n"/>
      <c r="BF77" s="34" t="n"/>
      <c r="BG77" s="34" t="n"/>
      <c r="BH77" s="34" t="n"/>
      <c r="BI77" s="34" t="n"/>
      <c r="BJ77" s="34" t="n"/>
      <c r="BK77" s="34" t="n"/>
      <c r="BL77" s="34" t="n"/>
      <c r="BM77" s="34" t="n"/>
      <c r="BN77" s="34" t="n"/>
      <c r="BO77" s="34" t="n"/>
      <c r="BP77" s="34" t="n"/>
      <c r="BQ77" s="34" t="n"/>
      <c r="BR77" s="34" t="n"/>
      <c r="BS77" s="34" t="n"/>
      <c r="BT77" s="34" t="n"/>
      <c r="BU77" s="34" t="n"/>
      <c r="BV77" s="34" t="n"/>
      <c r="BW77" s="34" t="n"/>
      <c r="BX77" s="34" t="n"/>
      <c r="BY77" s="35" t="n"/>
      <c r="BZ77" s="35" t="n"/>
      <c r="CA77" s="265" t="n">
        <v>0</v>
      </c>
      <c r="CB77" s="254">
        <f>IFERROR(CB75/CB76,0)</f>
        <v>333.333333333333</v>
      </c>
      <c r="CC77" s="254">
        <f>IFERROR(CC75/CC76,0)</f>
        <v>333.333333333333</v>
      </c>
      <c r="CD77" s="254">
        <f>IFERROR(CD75/CD76,0)</f>
        <v>333.333333333333</v>
      </c>
      <c r="CE77" s="254">
        <f>IFERROR(CE75/CE76,0)</f>
        <v>333.333333333333</v>
      </c>
      <c r="CF77" s="19" t="n"/>
      <c r="CN77" s="25" t="inlineStr">
        <is>
          <t xml:space="preserve">  2029E</t>
        </is>
      </c>
      <c r="CO77" s="33">
        <f>CP77+$CO$74</f>
        <v>0.043</v>
      </c>
      <c r="CP77" s="42" t="n">
        <v>0.048</v>
      </c>
      <c r="CQ77" s="33">
        <f>CP77+$CQ$74</f>
        <v>0.055</v>
      </c>
    </row>
    <row r="78" ht="15" customHeight="1" s="251">
      <c r="B78" s="16" t="inlineStr">
        <is>
          <t xml:space="preserve">  Revenue from future acquisitions (mid-year; grows with the acquired base at 20%)</t>
        </is>
      </c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  <c r="AA78" s="43" t="n"/>
      <c r="AB78" s="43" t="n"/>
      <c r="AC78" s="43" t="n"/>
      <c r="AD78" s="43" t="n"/>
      <c r="AE78" s="43" t="n"/>
      <c r="AF78" s="43" t="n"/>
      <c r="AG78" s="43" t="n"/>
      <c r="AH78" s="43" t="n"/>
      <c r="AI78" s="43" t="n"/>
      <c r="AJ78" s="43" t="n"/>
      <c r="AK78" s="43" t="n"/>
      <c r="AL78" s="43" t="n"/>
      <c r="AM78" s="43" t="n"/>
      <c r="AN78" s="43" t="n"/>
      <c r="AO78" s="43" t="n"/>
      <c r="AP78" s="43" t="n"/>
      <c r="AQ78" s="43" t="n"/>
      <c r="AR78" s="43" t="n"/>
      <c r="AS78" s="43" t="n"/>
      <c r="AT78" s="43" t="n"/>
      <c r="AU78" s="43" t="n"/>
      <c r="AV78" s="43" t="n"/>
      <c r="AW78" s="43" t="n"/>
      <c r="AX78" s="43" t="n"/>
      <c r="AY78" s="43" t="n"/>
      <c r="AZ78" s="43" t="n"/>
      <c r="BA78" s="43" t="n"/>
      <c r="BB78" s="43" t="n"/>
      <c r="BC78" s="43" t="n"/>
      <c r="BD78" s="43" t="n"/>
      <c r="BE78" s="43" t="n"/>
      <c r="BF78" s="43" t="n"/>
      <c r="BG78" s="43" t="n"/>
      <c r="BH78" s="43" t="n"/>
      <c r="BI78" s="43" t="n"/>
      <c r="BJ78" s="43" t="n"/>
      <c r="BK78" s="43" t="n"/>
      <c r="BL78" s="43" t="n"/>
      <c r="BM78" s="43" t="n"/>
      <c r="BN78" s="43" t="n"/>
      <c r="BO78" s="43" t="n"/>
      <c r="BP78" s="43" t="n"/>
      <c r="BQ78" s="43" t="n"/>
      <c r="BR78" s="43" t="n"/>
      <c r="BS78" s="43" t="n"/>
      <c r="BT78" s="43" t="n"/>
      <c r="BU78" s="43" t="n"/>
      <c r="BV78" s="43" t="n"/>
      <c r="BW78" s="43" t="n"/>
      <c r="BX78" s="43" t="n"/>
      <c r="BY78" s="32" t="n"/>
      <c r="BZ78" s="32" t="n"/>
      <c r="CA78" s="267" t="n">
        <v>0</v>
      </c>
      <c r="CB78" s="262">
        <f>CA78*1.2+0.5*CB77+0.5*CA77</f>
        <v>166.666666666667</v>
      </c>
      <c r="CC78" s="262">
        <f>CB78*1.2+0.5*CC77+0.5*CB77</f>
        <v>533.333333333333</v>
      </c>
      <c r="CD78" s="262">
        <f>CC78*1.2+0.5*CD77+0.5*CC77</f>
        <v>973.333333333333</v>
      </c>
      <c r="CE78" s="262">
        <f>CD78*1.2+0.5*CE77+0.5*CD77</f>
        <v>1501.33333333333</v>
      </c>
      <c r="CF78" s="153" t="n"/>
      <c r="CN78" s="25" t="inlineStr">
        <is>
          <t xml:space="preserve">  2030E</t>
        </is>
      </c>
      <c r="CO78" s="33">
        <f>CP78+$CO$74</f>
        <v>0.041</v>
      </c>
      <c r="CP78" s="42" t="n">
        <v>0.046</v>
      </c>
      <c r="CQ78" s="33">
        <f>CP78+$CQ$74</f>
        <v>0.053</v>
      </c>
    </row>
    <row r="79" ht="15" customHeight="1" s="251">
      <c r="B79" s="25" t="inlineStr">
        <is>
          <t xml:space="preserve">  Operating margin of acquired businesses (after amortization) %</t>
        </is>
      </c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  <c r="AU79" s="36" t="n"/>
      <c r="AV79" s="36" t="n"/>
      <c r="AW79" s="36" t="n"/>
      <c r="AX79" s="36" t="n"/>
      <c r="AY79" s="36" t="n"/>
      <c r="AZ79" s="36" t="n"/>
      <c r="BA79" s="36" t="n"/>
      <c r="BB79" s="36" t="n"/>
      <c r="BC79" s="36" t="n"/>
      <c r="BD79" s="36" t="n"/>
      <c r="BE79" s="36" t="n"/>
      <c r="BF79" s="36" t="n"/>
      <c r="BG79" s="36" t="n"/>
      <c r="BH79" s="36" t="n"/>
      <c r="BI79" s="36" t="n"/>
      <c r="BJ79" s="36" t="n"/>
      <c r="BK79" s="36" t="n"/>
      <c r="BL79" s="36" t="n"/>
      <c r="BM79" s="36" t="n"/>
      <c r="BN79" s="36" t="n"/>
      <c r="BO79" s="36" t="n"/>
      <c r="BP79" s="36" t="n"/>
      <c r="BQ79" s="36" t="n"/>
      <c r="BR79" s="36" t="n"/>
      <c r="BS79" s="36" t="n"/>
      <c r="BT79" s="36" t="n"/>
      <c r="BU79" s="36" t="n"/>
      <c r="BV79" s="36" t="n"/>
      <c r="BW79" s="36" t="n"/>
      <c r="BX79" s="36" t="n"/>
      <c r="BY79" s="24" t="n"/>
      <c r="BZ79" s="24" t="n"/>
      <c r="CA79" s="268" t="n">
        <v>0</v>
      </c>
      <c r="CB79" s="268" t="n">
        <v>0</v>
      </c>
      <c r="CC79" s="268" t="n">
        <v>0</v>
      </c>
      <c r="CD79" s="268" t="n">
        <v>0</v>
      </c>
      <c r="CE79" s="268" t="n">
        <v>0</v>
      </c>
      <c r="CF79" s="19" t="n"/>
      <c r="CN79" s="15" t="inlineStr">
        <is>
          <t>CAPEX (purchases of property &amp; equipment, $m)</t>
        </is>
      </c>
      <c r="CO79" s="50" t="n">
        <v>-10000</v>
      </c>
      <c r="CP79" s="21" t="inlineStr">
        <is>
          <t>Δ →</t>
        </is>
      </c>
      <c r="CQ79" s="50" t="n">
        <v>15000</v>
      </c>
      <c r="CR79" s="13" t="inlineStr">
        <is>
          <t>2026E $200bn (UNVERIFIED call outlook); "increase significantly in 2027" (call, unverified; no figure). Assumption.</t>
        </is>
      </c>
    </row>
    <row r="80" collapsed="1" ht="15" customHeight="1" s="251">
      <c r="B80" s="25" t="inlineStr">
        <is>
          <t xml:space="preserve">  Operating income from future acquisitions</t>
        </is>
      </c>
      <c r="C80" s="34" t="n"/>
      <c r="D80" s="34" t="n"/>
      <c r="E80" s="34" t="n"/>
      <c r="F80" s="34" t="n"/>
      <c r="G80" s="34" t="n"/>
      <c r="H80" s="34" t="n"/>
      <c r="I80" s="34" t="n"/>
      <c r="J80" s="34" t="n"/>
      <c r="K80" s="34" t="n"/>
      <c r="L80" s="34" t="n"/>
      <c r="M80" s="34" t="n"/>
      <c r="N80" s="34" t="n"/>
      <c r="O80" s="34" t="n"/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  <c r="AA80" s="34" t="n"/>
      <c r="AB80" s="34" t="n"/>
      <c r="AC80" s="34" t="n"/>
      <c r="AD80" s="34" t="n"/>
      <c r="AE80" s="34" t="n"/>
      <c r="AF80" s="34" t="n"/>
      <c r="AG80" s="34" t="n"/>
      <c r="AH80" s="34" t="n"/>
      <c r="AI80" s="34" t="n"/>
      <c r="AJ80" s="34" t="n"/>
      <c r="AK80" s="34" t="n"/>
      <c r="AL80" s="34" t="n"/>
      <c r="AM80" s="34" t="n"/>
      <c r="AN80" s="34" t="n"/>
      <c r="AO80" s="34" t="n"/>
      <c r="AP80" s="34" t="n"/>
      <c r="AQ80" s="34" t="n"/>
      <c r="AR80" s="34" t="n"/>
      <c r="AS80" s="34" t="n"/>
      <c r="AT80" s="34" t="n"/>
      <c r="AU80" s="34" t="n"/>
      <c r="AV80" s="34" t="n"/>
      <c r="AW80" s="34" t="n"/>
      <c r="AX80" s="34" t="n"/>
      <c r="AY80" s="34" t="n"/>
      <c r="AZ80" s="34" t="n"/>
      <c r="BA80" s="34" t="n"/>
      <c r="BB80" s="34" t="n"/>
      <c r="BC80" s="34" t="n"/>
      <c r="BD80" s="34" t="n"/>
      <c r="BE80" s="34" t="n"/>
      <c r="BF80" s="34" t="n"/>
      <c r="BG80" s="34" t="n"/>
      <c r="BH80" s="34" t="n"/>
      <c r="BI80" s="34" t="n"/>
      <c r="BJ80" s="34" t="n"/>
      <c r="BK80" s="34" t="n"/>
      <c r="BL80" s="34" t="n"/>
      <c r="BM80" s="34" t="n"/>
      <c r="BN80" s="34" t="n"/>
      <c r="BO80" s="34" t="n"/>
      <c r="BP80" s="34" t="n"/>
      <c r="BQ80" s="34" t="n"/>
      <c r="BR80" s="34" t="n"/>
      <c r="BS80" s="34" t="n"/>
      <c r="BT80" s="34" t="n"/>
      <c r="BU80" s="34" t="n"/>
      <c r="BV80" s="34" t="n"/>
      <c r="BW80" s="34" t="n"/>
      <c r="BX80" s="34" t="n"/>
      <c r="BY80" s="35" t="n"/>
      <c r="BZ80" s="35" t="n"/>
      <c r="CA80" s="265" t="n">
        <v>0</v>
      </c>
      <c r="CB80" s="254">
        <f>CB78*CB79</f>
        <v>0</v>
      </c>
      <c r="CC80" s="254">
        <f>CC78*CC79</f>
        <v>0</v>
      </c>
      <c r="CD80" s="254">
        <f>CD78*CD79</f>
        <v>0</v>
      </c>
      <c r="CE80" s="254">
        <f>CE78*CE79</f>
        <v>0</v>
      </c>
      <c r="CF80" s="19" t="n"/>
      <c r="CN80" s="25" t="inlineStr">
        <is>
          <t xml:space="preserve">  2027E</t>
        </is>
      </c>
      <c r="CO80" s="51">
        <f>MAX(0,CP80+$CO$79)</f>
        <v>240000</v>
      </c>
      <c r="CP80" s="26" t="n">
        <v>250000</v>
      </c>
      <c r="CQ80" s="51">
        <f>MAX(0,CP80+$CQ$79)</f>
        <v>265000</v>
      </c>
    </row>
    <row r="81" ht="15" customHeight="1" s="251">
      <c r="B81" s="25" t="inlineStr">
        <is>
          <t xml:space="preserve">  Acquired intangibles % of spend (Wiz 28%)</t>
        </is>
      </c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  <c r="AU81" s="36" t="n"/>
      <c r="AV81" s="36" t="n"/>
      <c r="AW81" s="36" t="n"/>
      <c r="AX81" s="36" t="n"/>
      <c r="AY81" s="36" t="n"/>
      <c r="AZ81" s="36" t="n"/>
      <c r="BA81" s="36" t="n"/>
      <c r="BB81" s="36" t="n"/>
      <c r="BC81" s="36" t="n"/>
      <c r="BD81" s="36" t="n"/>
      <c r="BE81" s="36" t="n"/>
      <c r="BF81" s="36" t="n"/>
      <c r="BG81" s="36" t="n"/>
      <c r="BH81" s="36" t="n"/>
      <c r="BI81" s="36" t="n"/>
      <c r="BJ81" s="36" t="n"/>
      <c r="BK81" s="36" t="n"/>
      <c r="BL81" s="36" t="n"/>
      <c r="BM81" s="36" t="n"/>
      <c r="BN81" s="36" t="n"/>
      <c r="BO81" s="36" t="n"/>
      <c r="BP81" s="36" t="n"/>
      <c r="BQ81" s="36" t="n"/>
      <c r="BR81" s="36" t="n"/>
      <c r="BS81" s="36" t="n"/>
      <c r="BT81" s="36" t="n"/>
      <c r="BU81" s="36" t="n"/>
      <c r="BV81" s="36" t="n"/>
      <c r="BW81" s="36" t="n"/>
      <c r="BX81" s="36" t="n"/>
      <c r="BY81" s="24" t="n"/>
      <c r="BZ81" s="24" t="n"/>
      <c r="CA81" s="268" t="n">
        <v>0</v>
      </c>
      <c r="CB81" s="268" t="n">
        <v>0.28</v>
      </c>
      <c r="CC81" s="268" t="n">
        <v>0.28</v>
      </c>
      <c r="CD81" s="268" t="n">
        <v>0.28</v>
      </c>
      <c r="CE81" s="268" t="n">
        <v>0.28</v>
      </c>
      <c r="CF81" s="19" t="n"/>
      <c r="CN81" s="25" t="inlineStr">
        <is>
          <t xml:space="preserve">  2028E</t>
        </is>
      </c>
      <c r="CO81" s="51">
        <f>MAX(0,CP81+$CO$79)</f>
        <v>260000</v>
      </c>
      <c r="CP81" s="26" t="n">
        <v>270000</v>
      </c>
      <c r="CQ81" s="51">
        <f>MAX(0,CP81+$CQ$79)</f>
        <v>285000</v>
      </c>
    </row>
    <row r="82" ht="15" customHeight="1" s="251">
      <c r="B82" s="25" t="inlineStr">
        <is>
          <t xml:space="preserve">  Intangible amortization life (years; Wiz 7–10)</t>
        </is>
      </c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  <c r="AU82" s="36" t="n"/>
      <c r="AV82" s="36" t="n"/>
      <c r="AW82" s="36" t="n"/>
      <c r="AX82" s="36" t="n"/>
      <c r="AY82" s="36" t="n"/>
      <c r="AZ82" s="36" t="n"/>
      <c r="BA82" s="36" t="n"/>
      <c r="BB82" s="36" t="n"/>
      <c r="BC82" s="36" t="n"/>
      <c r="BD82" s="36" t="n"/>
      <c r="BE82" s="36" t="n"/>
      <c r="BF82" s="36" t="n"/>
      <c r="BG82" s="36" t="n"/>
      <c r="BH82" s="36" t="n"/>
      <c r="BI82" s="36" t="n"/>
      <c r="BJ82" s="36" t="n"/>
      <c r="BK82" s="36" t="n"/>
      <c r="BL82" s="36" t="n"/>
      <c r="BM82" s="36" t="n"/>
      <c r="BN82" s="36" t="n"/>
      <c r="BO82" s="36" t="n"/>
      <c r="BP82" s="36" t="n"/>
      <c r="BQ82" s="36" t="n"/>
      <c r="BR82" s="36" t="n"/>
      <c r="BS82" s="36" t="n"/>
      <c r="BT82" s="36" t="n"/>
      <c r="BU82" s="36" t="n"/>
      <c r="BV82" s="36" t="n"/>
      <c r="BW82" s="36" t="n"/>
      <c r="BX82" s="36" t="n"/>
      <c r="BY82" s="24" t="n"/>
      <c r="BZ82" s="24" t="n"/>
      <c r="CA82" s="269" t="n">
        <v>0</v>
      </c>
      <c r="CB82" s="269" t="n">
        <v>8</v>
      </c>
      <c r="CC82" s="269" t="n">
        <v>8</v>
      </c>
      <c r="CD82" s="269" t="n">
        <v>8</v>
      </c>
      <c r="CE82" s="269" t="n">
        <v>8</v>
      </c>
      <c r="CF82" s="19" t="n"/>
      <c r="CN82" s="25" t="inlineStr">
        <is>
          <t xml:space="preserve">  2029E</t>
        </is>
      </c>
      <c r="CO82" s="51">
        <f>MAX(0,CP82+$CO$79)</f>
        <v>275000</v>
      </c>
      <c r="CP82" s="26" t="n">
        <v>285000</v>
      </c>
      <c r="CQ82" s="51">
        <f>MAX(0,CP82+$CQ$79)</f>
        <v>300000</v>
      </c>
    </row>
    <row r="83" ht="15" customHeight="1" s="251">
      <c r="B83" s="25" t="inlineStr">
        <is>
          <t xml:space="preserve">  Cumulative acquired intangibles (gross)</t>
        </is>
      </c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34" t="n"/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  <c r="AA83" s="34" t="n"/>
      <c r="AB83" s="34" t="n"/>
      <c r="AC83" s="34" t="n"/>
      <c r="AD83" s="34" t="n"/>
      <c r="AE83" s="34" t="n"/>
      <c r="AF83" s="34" t="n"/>
      <c r="AG83" s="34" t="n"/>
      <c r="AH83" s="34" t="n"/>
      <c r="AI83" s="34" t="n"/>
      <c r="AJ83" s="34" t="n"/>
      <c r="AK83" s="34" t="n"/>
      <c r="AL83" s="34" t="n"/>
      <c r="AM83" s="34" t="n"/>
      <c r="AN83" s="34" t="n"/>
      <c r="AO83" s="34" t="n"/>
      <c r="AP83" s="34" t="n"/>
      <c r="AQ83" s="34" t="n"/>
      <c r="AR83" s="34" t="n"/>
      <c r="AS83" s="34" t="n"/>
      <c r="AT83" s="34" t="n"/>
      <c r="AU83" s="34" t="n"/>
      <c r="AV83" s="34" t="n"/>
      <c r="AW83" s="34" t="n"/>
      <c r="AX83" s="34" t="n"/>
      <c r="AY83" s="34" t="n"/>
      <c r="AZ83" s="34" t="n"/>
      <c r="BA83" s="34" t="n"/>
      <c r="BB83" s="34" t="n"/>
      <c r="BC83" s="34" t="n"/>
      <c r="BD83" s="34" t="n"/>
      <c r="BE83" s="34" t="n"/>
      <c r="BF83" s="34" t="n"/>
      <c r="BG83" s="34" t="n"/>
      <c r="BH83" s="34" t="n"/>
      <c r="BI83" s="34" t="n"/>
      <c r="BJ83" s="34" t="n"/>
      <c r="BK83" s="34" t="n"/>
      <c r="BL83" s="34" t="n"/>
      <c r="BM83" s="34" t="n"/>
      <c r="BN83" s="34" t="n"/>
      <c r="BO83" s="34" t="n"/>
      <c r="BP83" s="34" t="n"/>
      <c r="BQ83" s="34" t="n"/>
      <c r="BR83" s="34" t="n"/>
      <c r="BS83" s="34" t="n"/>
      <c r="BT83" s="34" t="n"/>
      <c r="BU83" s="34" t="n"/>
      <c r="BV83" s="34" t="n"/>
      <c r="BW83" s="34" t="n"/>
      <c r="BX83" s="34" t="n"/>
      <c r="BY83" s="35" t="n"/>
      <c r="BZ83" s="35" t="n"/>
      <c r="CA83" s="265" t="n">
        <v>0</v>
      </c>
      <c r="CB83" s="254">
        <f>CA83+CB75*CB81</f>
        <v>1400</v>
      </c>
      <c r="CC83" s="254">
        <f>CB83+CC75*CC81</f>
        <v>2800</v>
      </c>
      <c r="CD83" s="254">
        <f>CC83+CD75*CD81</f>
        <v>4200</v>
      </c>
      <c r="CE83" s="254">
        <f>CD83+CE75*CE81</f>
        <v>5600</v>
      </c>
      <c r="CF83" s="19" t="n"/>
      <c r="CN83" s="25" t="inlineStr">
        <is>
          <t xml:space="preserve">  2030E</t>
        </is>
      </c>
      <c r="CO83" s="51">
        <f>MAX(0,CP83+$CO$79)</f>
        <v>290000</v>
      </c>
      <c r="CP83" s="26" t="n">
        <v>300000</v>
      </c>
      <c r="CQ83" s="51">
        <f>MAX(0,CP83+$CQ$79)</f>
        <v>315000</v>
      </c>
    </row>
    <row r="84" ht="15" customHeight="1" s="251">
      <c r="B84" s="25" t="inlineStr">
        <is>
          <t xml:space="preserve">  Amortization of future-acquisition intangibles</t>
        </is>
      </c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  <c r="AA84" s="34" t="n"/>
      <c r="AB84" s="34" t="n"/>
      <c r="AC84" s="34" t="n"/>
      <c r="AD84" s="34" t="n"/>
      <c r="AE84" s="34" t="n"/>
      <c r="AF84" s="34" t="n"/>
      <c r="AG84" s="34" t="n"/>
      <c r="AH84" s="34" t="n"/>
      <c r="AI84" s="34" t="n"/>
      <c r="AJ84" s="34" t="n"/>
      <c r="AK84" s="34" t="n"/>
      <c r="AL84" s="34" t="n"/>
      <c r="AM84" s="34" t="n"/>
      <c r="AN84" s="34" t="n"/>
      <c r="AO84" s="34" t="n"/>
      <c r="AP84" s="34" t="n"/>
      <c r="AQ84" s="34" t="n"/>
      <c r="AR84" s="34" t="n"/>
      <c r="AS84" s="34" t="n"/>
      <c r="AT84" s="34" t="n"/>
      <c r="AU84" s="34" t="n"/>
      <c r="AV84" s="34" t="n"/>
      <c r="AW84" s="34" t="n"/>
      <c r="AX84" s="34" t="n"/>
      <c r="AY84" s="34" t="n"/>
      <c r="AZ84" s="34" t="n"/>
      <c r="BA84" s="34" t="n"/>
      <c r="BB84" s="34" t="n"/>
      <c r="BC84" s="34" t="n"/>
      <c r="BD84" s="34" t="n"/>
      <c r="BE84" s="34" t="n"/>
      <c r="BF84" s="34" t="n"/>
      <c r="BG84" s="34" t="n"/>
      <c r="BH84" s="34" t="n"/>
      <c r="BI84" s="34" t="n"/>
      <c r="BJ84" s="34" t="n"/>
      <c r="BK84" s="34" t="n"/>
      <c r="BL84" s="34" t="n"/>
      <c r="BM84" s="34" t="n"/>
      <c r="BN84" s="34" t="n"/>
      <c r="BO84" s="34" t="n"/>
      <c r="BP84" s="34" t="n"/>
      <c r="BQ84" s="34" t="n"/>
      <c r="BR84" s="34" t="n"/>
      <c r="BS84" s="34" t="n"/>
      <c r="BT84" s="34" t="n"/>
      <c r="BU84" s="34" t="n"/>
      <c r="BV84" s="34" t="n"/>
      <c r="BW84" s="34" t="n"/>
      <c r="BX84" s="34" t="n"/>
      <c r="BY84" s="35" t="n"/>
      <c r="BZ84" s="35" t="n"/>
      <c r="CA84" s="265" t="n">
        <v>0</v>
      </c>
      <c r="CB84" s="254">
        <f>IFERROR((CA83+0.5*CB75*CB81)/CB82,0)</f>
        <v>87.5</v>
      </c>
      <c r="CC84" s="254">
        <f>IFERROR((CB83+0.5*CC75*CC81)/CC82,0)</f>
        <v>262.5</v>
      </c>
      <c r="CD84" s="254">
        <f>IFERROR((CC83+0.5*CD75*CD81)/CD82,0)</f>
        <v>437.5</v>
      </c>
      <c r="CE84" s="254">
        <f>IFERROR((CD83+0.5*CE75*CE81)/CE82,0)</f>
        <v>612.5</v>
      </c>
      <c r="CF84" s="19" t="n"/>
      <c r="CN84" s="15" t="inlineStr">
        <is>
          <t>M&amp;A_spend (acquisitions, $m)</t>
        </is>
      </c>
      <c r="CO84" s="50" t="n">
        <v>5000</v>
      </c>
      <c r="CP84" s="21" t="inlineStr">
        <is>
          <t>Δ →</t>
        </is>
      </c>
      <c r="CQ84" s="50" t="n">
        <v>-5000</v>
      </c>
      <c r="CR84" s="13" t="inlineStr">
        <is>
          <t>Wiz $29.5bn and Intersect $5.9bn in 2026; FY2021–25 $0.5–6.3bn p.a. Base $5bn p.a. (assumption).</t>
        </is>
      </c>
    </row>
    <row r="85" ht="15" customHeight="1" s="251">
      <c r="CN85" s="25" t="inlineStr">
        <is>
          <t xml:space="preserve">  2027E</t>
        </is>
      </c>
      <c r="CO85" s="51">
        <f>MAX(0,CP85+$CO$84)</f>
        <v>10000</v>
      </c>
      <c r="CP85" s="26" t="n">
        <v>5000</v>
      </c>
      <c r="CQ85" s="51">
        <f>MAX(0,CP85+$CQ$84)</f>
        <v>0</v>
      </c>
    </row>
    <row r="86" ht="15" customHeight="1" s="251">
      <c r="B86" s="14" t="inlineStr">
        <is>
          <t>Pending divestiture — GFiber (contribution to a new entity; agreement Mar-2026, close expected late 2026; held for sale)</t>
        </is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  <c r="AH86" s="14" t="n"/>
      <c r="AI86" s="14" t="n"/>
      <c r="AJ86" s="14" t="n"/>
      <c r="AK86" s="14" t="n"/>
      <c r="AL86" s="14" t="n"/>
      <c r="AM86" s="14" t="n"/>
      <c r="AN86" s="14" t="n"/>
      <c r="AO86" s="14" t="n"/>
      <c r="AP86" s="14" t="n"/>
      <c r="AQ86" s="14" t="n"/>
      <c r="AR86" s="14" t="n"/>
      <c r="AS86" s="14" t="n"/>
      <c r="AT86" s="14" t="n"/>
      <c r="AU86" s="14" t="n"/>
      <c r="AV86" s="14" t="n"/>
      <c r="AW86" s="14" t="n"/>
      <c r="AX86" s="14" t="n"/>
      <c r="AY86" s="14" t="n"/>
      <c r="AZ86" s="14" t="n"/>
      <c r="BA86" s="14" t="n"/>
      <c r="BB86" s="14" t="n"/>
      <c r="BC86" s="14" t="n"/>
      <c r="BD86" s="14" t="n"/>
      <c r="BE86" s="14" t="n"/>
      <c r="BF86" s="14" t="n"/>
      <c r="BG86" s="14" t="n"/>
      <c r="BH86" s="14" t="n"/>
      <c r="BI86" s="14" t="n"/>
      <c r="BJ86" s="14" t="n"/>
      <c r="BK86" s="14" t="n"/>
      <c r="BL86" s="14" t="n"/>
      <c r="BM86" s="14" t="n"/>
      <c r="BN86" s="14" t="n"/>
      <c r="BO86" s="14" t="n"/>
      <c r="BP86" s="14" t="n"/>
      <c r="BQ86" s="14" t="n"/>
      <c r="BR86" s="14" t="n"/>
      <c r="BS86" s="14" t="n"/>
      <c r="BT86" s="14" t="n"/>
      <c r="BU86" s="14" t="n"/>
      <c r="BV86" s="14" t="n"/>
      <c r="BW86" s="14" t="n"/>
      <c r="BX86" s="14" t="n"/>
      <c r="BY86" s="14" t="n"/>
      <c r="BZ86" s="14" t="n"/>
      <c r="CA86" s="14" t="n"/>
      <c r="CB86" s="14" t="n"/>
      <c r="CC86" s="14" t="n"/>
      <c r="CD86" s="14" t="n"/>
      <c r="CE86" s="14" t="n"/>
      <c r="CF86" s="15" t="inlineStr">
        <is>
          <t>DIVESTITURE — modelled at 31-Dec-2026: $1.5bn cash, $2.0bn note receivable and a 49.99% equity-method interest; no gain assumed</t>
        </is>
      </c>
      <c r="CN86" s="25" t="inlineStr">
        <is>
          <t xml:space="preserve">  2028E</t>
        </is>
      </c>
      <c r="CO86" s="51">
        <f>MAX(0,CP86+$CO$84)</f>
        <v>10000</v>
      </c>
      <c r="CP86" s="26" t="n">
        <v>5000</v>
      </c>
      <c r="CQ86" s="51">
        <f>MAX(0,CP86+$CQ$84)</f>
        <v>0</v>
      </c>
    </row>
    <row r="87" ht="15" customHeight="1" s="251">
      <c r="B87" s="25" t="inlineStr">
        <is>
          <t xml:space="preserve">  Cash proceeds</t>
        </is>
      </c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  <c r="AA87" s="34" t="n"/>
      <c r="AB87" s="34" t="n"/>
      <c r="AC87" s="34" t="n"/>
      <c r="AD87" s="34" t="n"/>
      <c r="AE87" s="34" t="n"/>
      <c r="AF87" s="34" t="n"/>
      <c r="AG87" s="34" t="n"/>
      <c r="AH87" s="34" t="n"/>
      <c r="AI87" s="34" t="n"/>
      <c r="AJ87" s="34" t="n"/>
      <c r="AK87" s="34" t="n"/>
      <c r="AL87" s="34" t="n"/>
      <c r="AM87" s="34" t="n"/>
      <c r="AN87" s="34" t="n"/>
      <c r="AO87" s="34" t="n"/>
      <c r="AP87" s="34" t="n"/>
      <c r="AQ87" s="34" t="n"/>
      <c r="AR87" s="34" t="n"/>
      <c r="AS87" s="34" t="n"/>
      <c r="AT87" s="34" t="n"/>
      <c r="AU87" s="34" t="n"/>
      <c r="AV87" s="34" t="n"/>
      <c r="AW87" s="34" t="n"/>
      <c r="AX87" s="34" t="n"/>
      <c r="AY87" s="34" t="n"/>
      <c r="AZ87" s="34" t="n"/>
      <c r="BA87" s="34" t="n"/>
      <c r="BB87" s="34" t="n"/>
      <c r="BC87" s="34" t="n"/>
      <c r="BD87" s="34" t="n"/>
      <c r="BE87" s="34" t="n"/>
      <c r="BF87" s="34" t="n"/>
      <c r="BG87" s="34" t="n"/>
      <c r="BH87" s="34" t="n"/>
      <c r="BI87" s="34" t="n"/>
      <c r="BJ87" s="34" t="n"/>
      <c r="BK87" s="34" t="n"/>
      <c r="BL87" s="34" t="n"/>
      <c r="BM87" s="34" t="n"/>
      <c r="BN87" s="34" t="n"/>
      <c r="BO87" s="34" t="n"/>
      <c r="BP87" s="34" t="n"/>
      <c r="BQ87" s="34" t="n"/>
      <c r="BR87" s="34" t="n"/>
      <c r="BS87" s="34" t="n"/>
      <c r="BT87" s="34" t="n"/>
      <c r="BU87" s="34" t="n"/>
      <c r="BV87" s="34" t="n"/>
      <c r="BW87" s="34" t="n"/>
      <c r="BX87" s="34" t="n"/>
      <c r="BY87" s="35" t="n"/>
      <c r="BZ87" s="35" t="n"/>
      <c r="CA87" s="265" t="n">
        <v>1500</v>
      </c>
      <c r="CB87" s="265" t="n">
        <v>0</v>
      </c>
      <c r="CC87" s="265" t="n">
        <v>0</v>
      </c>
      <c r="CD87" s="265" t="n">
        <v>0</v>
      </c>
      <c r="CE87" s="265" t="n">
        <v>0</v>
      </c>
      <c r="CF87" s="19" t="inlineStr">
        <is>
          <t>GFiber pending contribution to a new entity (agreement Mar-2026, close expected late 2026): Alphabet to receive $1.5bn cash, a $2.0bn note receivable and a 49.99% equity interest (equity method); held for sale (PP&amp;E $7.1bn in other current assets at 30-Jun-2026). Results stay in Other Bets to closing. Q2-26 10-Q Note 8.</t>
        </is>
      </c>
      <c r="CN87" s="25" t="inlineStr">
        <is>
          <t xml:space="preserve">  2029E</t>
        </is>
      </c>
      <c r="CO87" s="51">
        <f>MAX(0,CP87+$CO$84)</f>
        <v>10000</v>
      </c>
      <c r="CP87" s="26" t="n">
        <v>5000</v>
      </c>
      <c r="CQ87" s="51">
        <f>MAX(0,CP87+$CQ$84)</f>
        <v>0</v>
      </c>
    </row>
    <row r="88" collapsed="1" ht="15" customHeight="1" s="251">
      <c r="B88" s="25" t="inlineStr">
        <is>
          <t xml:space="preserve">  Held-for-sale assets derecognised (property &amp; equipment $7.1bn at 30-Jun-2026)</t>
        </is>
      </c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  <c r="AV88" s="36" t="n"/>
      <c r="AW88" s="36" t="n"/>
      <c r="AX88" s="36" t="n"/>
      <c r="AY88" s="36" t="n"/>
      <c r="AZ88" s="36" t="n"/>
      <c r="BA88" s="36" t="n"/>
      <c r="BB88" s="36" t="n"/>
      <c r="BC88" s="36" t="n"/>
      <c r="BD88" s="36" t="n"/>
      <c r="BE88" s="36" t="n"/>
      <c r="BF88" s="36" t="n"/>
      <c r="BG88" s="36" t="n"/>
      <c r="BH88" s="36" t="n"/>
      <c r="BI88" s="36" t="n"/>
      <c r="BJ88" s="36" t="n"/>
      <c r="BK88" s="36" t="n"/>
      <c r="BL88" s="36" t="n"/>
      <c r="BM88" s="36" t="n"/>
      <c r="BN88" s="36" t="n"/>
      <c r="BO88" s="36" t="n"/>
      <c r="BP88" s="36" t="n"/>
      <c r="BQ88" s="36" t="n"/>
      <c r="BR88" s="36" t="n"/>
      <c r="BS88" s="36" t="n"/>
      <c r="BT88" s="36" t="n"/>
      <c r="BU88" s="36" t="n"/>
      <c r="BV88" s="36" t="n"/>
      <c r="BW88" s="36" t="n"/>
      <c r="BX88" s="36" t="n"/>
      <c r="BY88" s="24" t="n"/>
      <c r="BZ88" s="24" t="n"/>
      <c r="CA88" s="265" t="n">
        <v>7100</v>
      </c>
      <c r="CB88" s="265" t="n">
        <v>0</v>
      </c>
      <c r="CC88" s="265" t="n">
        <v>0</v>
      </c>
      <c r="CD88" s="265" t="n">
        <v>0</v>
      </c>
      <c r="CE88" s="265" t="n">
        <v>0</v>
      </c>
      <c r="CF88" s="19" t="n"/>
      <c r="CN88" s="25" t="inlineStr">
        <is>
          <t xml:space="preserve">  2030E</t>
        </is>
      </c>
      <c r="CO88" s="51">
        <f>MAX(0,CP88+$CO$84)</f>
        <v>10000</v>
      </c>
      <c r="CP88" s="26" t="n">
        <v>5000</v>
      </c>
      <c r="CQ88" s="51">
        <f>MAX(0,CP88+$CQ$84)</f>
        <v>0</v>
      </c>
    </row>
    <row r="89" ht="15" customHeight="1" s="251">
      <c r="B89" s="25" t="inlineStr">
        <is>
          <t xml:space="preserve">  Non-cash consideration recognised (note receivable $2.0bn + equity interest; assumption: carrying value, no gain)</t>
        </is>
      </c>
      <c r="C89" s="34" t="n"/>
      <c r="D89" s="34" t="n"/>
      <c r="E89" s="34" t="n"/>
      <c r="F89" s="34" t="n"/>
      <c r="G89" s="34" t="n"/>
      <c r="H89" s="34" t="n"/>
      <c r="I89" s="34" t="n"/>
      <c r="J89" s="34" t="n"/>
      <c r="K89" s="34" t="n"/>
      <c r="L89" s="34" t="n"/>
      <c r="M89" s="34" t="n"/>
      <c r="N89" s="34" t="n"/>
      <c r="O89" s="34" t="n"/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  <c r="AA89" s="34" t="n"/>
      <c r="AB89" s="34" t="n"/>
      <c r="AC89" s="34" t="n"/>
      <c r="AD89" s="34" t="n"/>
      <c r="AE89" s="34" t="n"/>
      <c r="AF89" s="34" t="n"/>
      <c r="AG89" s="34" t="n"/>
      <c r="AH89" s="34" t="n"/>
      <c r="AI89" s="34" t="n"/>
      <c r="AJ89" s="34" t="n"/>
      <c r="AK89" s="34" t="n"/>
      <c r="AL89" s="34" t="n"/>
      <c r="AM89" s="34" t="n"/>
      <c r="AN89" s="34" t="n"/>
      <c r="AO89" s="34" t="n"/>
      <c r="AP89" s="34" t="n"/>
      <c r="AQ89" s="34" t="n"/>
      <c r="AR89" s="34" t="n"/>
      <c r="AS89" s="34" t="n"/>
      <c r="AT89" s="34" t="n"/>
      <c r="AU89" s="34" t="n"/>
      <c r="AV89" s="34" t="n"/>
      <c r="AW89" s="34" t="n"/>
      <c r="AX89" s="34" t="n"/>
      <c r="AY89" s="34" t="n"/>
      <c r="AZ89" s="34" t="n"/>
      <c r="BA89" s="34" t="n"/>
      <c r="BB89" s="34" t="n"/>
      <c r="BC89" s="34" t="n"/>
      <c r="BD89" s="34" t="n"/>
      <c r="BE89" s="34" t="n"/>
      <c r="BF89" s="34" t="n"/>
      <c r="BG89" s="34" t="n"/>
      <c r="BH89" s="34" t="n"/>
      <c r="BI89" s="34" t="n"/>
      <c r="BJ89" s="34" t="n"/>
      <c r="BK89" s="34" t="n"/>
      <c r="BL89" s="34" t="n"/>
      <c r="BM89" s="34" t="n"/>
      <c r="BN89" s="34" t="n"/>
      <c r="BO89" s="34" t="n"/>
      <c r="BP89" s="34" t="n"/>
      <c r="BQ89" s="34" t="n"/>
      <c r="BR89" s="34" t="n"/>
      <c r="BS89" s="34" t="n"/>
      <c r="BT89" s="34" t="n"/>
      <c r="BU89" s="34" t="n"/>
      <c r="BV89" s="34" t="n"/>
      <c r="BW89" s="34" t="n"/>
      <c r="BX89" s="34" t="n"/>
      <c r="BY89" s="35" t="n"/>
      <c r="BZ89" s="35" t="n"/>
      <c r="CA89" s="254">
        <f>CA88-CA87</f>
        <v>5600</v>
      </c>
      <c r="CB89" s="265" t="n">
        <v>0</v>
      </c>
      <c r="CC89" s="265" t="n">
        <v>0</v>
      </c>
      <c r="CD89" s="265" t="n">
        <v>0</v>
      </c>
      <c r="CE89" s="265" t="n">
        <v>0</v>
      </c>
      <c r="CF89" s="19" t="inlineStr">
        <is>
          <t>The equity interest is assumed to be recognised at the carrying value of the net assets contributed less cash and note (no gain or loss; not disclosed).</t>
        </is>
      </c>
    </row>
    <row r="90" ht="15" customHeight="1" s="251">
      <c r="CN90" s="11" t="n"/>
      <c r="CO90" s="12" t="n"/>
      <c r="CP90" s="12" t="n"/>
      <c r="CQ90" s="12" t="n"/>
      <c r="CR90" s="13" t="n"/>
    </row>
    <row r="91" ht="15" customHeight="1" s="251">
      <c r="B91" s="14" t="inlineStr">
        <is>
          <t>Group total — revenues &amp; operating income (build) · Q3–Q4/26E outlook (no company guidance)</t>
        </is>
      </c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  <c r="AH91" s="14" t="n"/>
      <c r="AI91" s="14" t="n"/>
      <c r="AJ91" s="14" t="n"/>
      <c r="AK91" s="14" t="n"/>
      <c r="AL91" s="14" t="n"/>
      <c r="AM91" s="14" t="n"/>
      <c r="AN91" s="14" t="n"/>
      <c r="AO91" s="14" t="n"/>
      <c r="AP91" s="14" t="n"/>
      <c r="AQ91" s="14" t="n"/>
      <c r="AR91" s="14" t="n"/>
      <c r="AS91" s="14" t="n"/>
      <c r="AT91" s="14" t="n"/>
      <c r="AU91" s="14" t="n"/>
      <c r="AV91" s="14" t="n"/>
      <c r="AW91" s="14" t="n"/>
      <c r="AX91" s="14" t="n"/>
      <c r="AY91" s="14" t="n"/>
      <c r="AZ91" s="14" t="n"/>
      <c r="BA91" s="14" t="n"/>
      <c r="BB91" s="14" t="n"/>
      <c r="BC91" s="14" t="n"/>
      <c r="BD91" s="14" t="n"/>
      <c r="BE91" s="14" t="n"/>
      <c r="BF91" s="14" t="n"/>
      <c r="BG91" s="14" t="n"/>
      <c r="BH91" s="14" t="n"/>
      <c r="BI91" s="14" t="n"/>
      <c r="BJ91" s="14" t="n"/>
      <c r="BK91" s="14" t="n"/>
      <c r="BL91" s="14" t="n"/>
      <c r="BM91" s="14" t="n"/>
      <c r="BN91" s="14" t="n"/>
      <c r="BO91" s="14" t="n"/>
      <c r="BP91" s="14" t="n"/>
      <c r="BQ91" s="14" t="n"/>
      <c r="BR91" s="14" t="n"/>
      <c r="BS91" s="14" t="n"/>
      <c r="BT91" s="14" t="n"/>
      <c r="BU91" s="14" t="n"/>
      <c r="BV91" s="14" t="n"/>
      <c r="BW91" s="14" t="n"/>
      <c r="BX91" s="14" t="n"/>
      <c r="BY91" s="14" t="n"/>
      <c r="BZ91" s="14" t="n"/>
      <c r="CA91" s="14" t="n"/>
      <c r="CB91" s="14" t="n"/>
      <c r="CC91" s="14" t="n"/>
      <c r="CD91" s="14" t="n"/>
      <c r="CE91" s="14" t="n"/>
      <c r="CF91" s="15" t="inlineStr">
        <is>
          <t>GROUP TOTAL — modelling logic</t>
        </is>
      </c>
    </row>
    <row r="92" ht="15" customHeight="1" s="251">
      <c r="B92" s="55" t="inlineStr">
        <is>
          <t>Total revenues (build)</t>
        </is>
      </c>
      <c r="C92" s="260">
        <f>C31</f>
        <v>10604.917</v>
      </c>
      <c r="D92" s="260">
        <f>D31</f>
        <v>16593.986</v>
      </c>
      <c r="E92" s="260">
        <f>E31</f>
        <v>21795.55</v>
      </c>
      <c r="F92" s="260">
        <f>F31</f>
        <v>23650.563</v>
      </c>
      <c r="G92" s="260">
        <f>G31</f>
        <v>29321</v>
      </c>
      <c r="H92" s="260">
        <f>H31</f>
        <v>37905</v>
      </c>
      <c r="I92" s="260">
        <f>I31</f>
        <v>50175</v>
      </c>
      <c r="J92" s="260">
        <f>J31</f>
        <v>13969</v>
      </c>
      <c r="K92" s="260">
        <f>K31</f>
        <v>14105</v>
      </c>
      <c r="L92" s="260">
        <f>L31</f>
        <v>14893</v>
      </c>
      <c r="M92" s="260">
        <f>M31</f>
        <v>16858</v>
      </c>
      <c r="N92" s="260">
        <f>N31</f>
        <v>59825</v>
      </c>
      <c r="O92" s="260">
        <f>O31</f>
        <v>15420</v>
      </c>
      <c r="P92" s="260">
        <f>P31</f>
        <v>15955</v>
      </c>
      <c r="Q92" s="260">
        <f>Q31</f>
        <v>16523</v>
      </c>
      <c r="R92" s="260">
        <f>R31</f>
        <v>18103</v>
      </c>
      <c r="S92" s="260">
        <f>S31</f>
        <v>66001</v>
      </c>
      <c r="T92" s="260">
        <f>T31</f>
        <v>17258</v>
      </c>
      <c r="U92" s="260">
        <f>U31</f>
        <v>17727</v>
      </c>
      <c r="V92" s="260">
        <f>V31</f>
        <v>18675</v>
      </c>
      <c r="W92" s="260">
        <f>W31</f>
        <v>21329</v>
      </c>
      <c r="X92" s="260">
        <f>X31</f>
        <v>74989</v>
      </c>
      <c r="Y92" s="260">
        <f>Y31</f>
        <v>20257</v>
      </c>
      <c r="Z92" s="260">
        <f>Z31</f>
        <v>21500</v>
      </c>
      <c r="AA92" s="260">
        <f>AA31</f>
        <v>22451</v>
      </c>
      <c r="AB92" s="260">
        <f>AB31</f>
        <v>26064</v>
      </c>
      <c r="AC92" s="260">
        <f>AC31</f>
        <v>90272</v>
      </c>
      <c r="AD92" s="260">
        <f>AD31</f>
        <v>24750</v>
      </c>
      <c r="AE92" s="260">
        <f>AE31</f>
        <v>26010</v>
      </c>
      <c r="AF92" s="260">
        <f>AF31</f>
        <v>27772</v>
      </c>
      <c r="AG92" s="260">
        <f>AG31</f>
        <v>32323</v>
      </c>
      <c r="AH92" s="260">
        <f>AH31</f>
        <v>110855</v>
      </c>
      <c r="AI92" s="260">
        <f>AI31</f>
        <v>31146</v>
      </c>
      <c r="AJ92" s="260">
        <f>AJ31</f>
        <v>32657</v>
      </c>
      <c r="AK92" s="260">
        <f>AK31</f>
        <v>33740</v>
      </c>
      <c r="AL92" s="260">
        <f>AL31</f>
        <v>39276</v>
      </c>
      <c r="AM92" s="260">
        <f>AM31</f>
        <v>136819</v>
      </c>
      <c r="AN92" s="260">
        <f>AN31</f>
        <v>36339</v>
      </c>
      <c r="AO92" s="260">
        <f>AO31</f>
        <v>38944</v>
      </c>
      <c r="AP92" s="260">
        <f>AP31</f>
        <v>40499</v>
      </c>
      <c r="AQ92" s="260">
        <f>AQ31</f>
        <v>46075</v>
      </c>
      <c r="AR92" s="260">
        <f>AR31</f>
        <v>161857</v>
      </c>
      <c r="AS92" s="260">
        <f>AS31</f>
        <v>41159</v>
      </c>
      <c r="AT92" s="260">
        <f>AT31</f>
        <v>38297</v>
      </c>
      <c r="AU92" s="260">
        <f>AU31</f>
        <v>46173</v>
      </c>
      <c r="AV92" s="260">
        <f>AV31</f>
        <v>56898</v>
      </c>
      <c r="AW92" s="260">
        <f>AW31</f>
        <v>182527</v>
      </c>
      <c r="AX92" s="260">
        <f>AX31</f>
        <v>55314</v>
      </c>
      <c r="AY92" s="260">
        <f>AY31</f>
        <v>61880</v>
      </c>
      <c r="AZ92" s="260">
        <f>AZ31</f>
        <v>65118</v>
      </c>
      <c r="BA92" s="260">
        <f>BA31</f>
        <v>75325</v>
      </c>
      <c r="BB92" s="260">
        <f>BB31</f>
        <v>257637</v>
      </c>
      <c r="BC92" s="260">
        <f>BC31</f>
        <v>68011</v>
      </c>
      <c r="BD92" s="260">
        <f>BD31</f>
        <v>69685</v>
      </c>
      <c r="BE92" s="260">
        <f>BE31</f>
        <v>69092</v>
      </c>
      <c r="BF92" s="260">
        <f>BF31</f>
        <v>76048</v>
      </c>
      <c r="BG92" s="260">
        <f>BG31</f>
        <v>282836</v>
      </c>
      <c r="BH92" s="260">
        <f>BH31</f>
        <v>69787</v>
      </c>
      <c r="BI92" s="260">
        <f>BI31</f>
        <v>74604</v>
      </c>
      <c r="BJ92" s="260">
        <f>BJ31</f>
        <v>76693</v>
      </c>
      <c r="BK92" s="260">
        <f>BK31</f>
        <v>86310</v>
      </c>
      <c r="BL92" s="260">
        <f>BL31</f>
        <v>307394</v>
      </c>
      <c r="BM92" s="260">
        <f>BM31</f>
        <v>80539</v>
      </c>
      <c r="BN92" s="260">
        <f>BN31</f>
        <v>84742</v>
      </c>
      <c r="BO92" s="260">
        <f>BO31</f>
        <v>88268</v>
      </c>
      <c r="BP92" s="260">
        <f>BP31</f>
        <v>96469</v>
      </c>
      <c r="BQ92" s="260">
        <f>BQ31</f>
        <v>350018</v>
      </c>
      <c r="BR92" s="260">
        <f>BR31</f>
        <v>90234</v>
      </c>
      <c r="BS92" s="260">
        <f>BS31</f>
        <v>96428</v>
      </c>
      <c r="BT92" s="260">
        <f>BT31</f>
        <v>102346</v>
      </c>
      <c r="BU92" s="260">
        <f>BU31</f>
        <v>113829</v>
      </c>
      <c r="BV92" s="260">
        <f>BV31</f>
        <v>402836</v>
      </c>
      <c r="BW92" s="260">
        <f>BW31</f>
        <v>109896</v>
      </c>
      <c r="BX92" s="260">
        <f>BX31</f>
        <v>119796</v>
      </c>
      <c r="BY92" s="260">
        <f>BY31+N(BY78)</f>
        <v>127000.550088279</v>
      </c>
      <c r="BZ92" s="260">
        <f>BZ31+N(BZ78)</f>
        <v>141582.687632425</v>
      </c>
      <c r="CA92" s="260">
        <f>CA31+N(CA78)</f>
        <v>498275.237720704</v>
      </c>
      <c r="CB92" s="260">
        <f>CB31+N(CB78)</f>
        <v>584884.101093513</v>
      </c>
      <c r="CC92" s="260">
        <f>CC31+N(CC78)</f>
        <v>670962.237105089</v>
      </c>
      <c r="CD92" s="260">
        <f>CD31+N(CD78)</f>
        <v>758009.546641855</v>
      </c>
      <c r="CE92" s="260">
        <f>CE31+N(CE78)</f>
        <v>843758.740007116</v>
      </c>
      <c r="CF92" s="153" t="n"/>
      <c r="CH92" s="20">
        <f>IFERROR((CE92/BV92)^(1/5)-1,"n/m")</f>
        <v>0.159359171245032</v>
      </c>
      <c r="CI92" s="20">
        <f>IFERROR((BV92/AW92)^(1/5)-1,"n/m")</f>
        <v>0.171548390771357</v>
      </c>
      <c r="CJ92" s="20">
        <f>IFERROR((BV92/X92)^(1/10)-1,"n/m")</f>
        <v>0.183077163118221</v>
      </c>
      <c r="CK92" s="20">
        <f>IFERROR((BV92/C92)^(1/19)-1,"n/m")</f>
        <v>0.210982723799194</v>
      </c>
    </row>
    <row r="93" ht="15" customHeight="1" s="251">
      <c r="B93" s="22" t="inlineStr">
        <is>
          <t xml:space="preserve">  Revenues y/y %</t>
        </is>
      </c>
      <c r="C93" s="23" t="n"/>
      <c r="D93" s="255">
        <f>IF(AND(ISNUMBER(D92),ISNUMBER(C92)),IFERROR(D92/C92-1,""),"")</f>
        <v>0.564744542555119</v>
      </c>
      <c r="E93" s="255">
        <f>IF(AND(ISNUMBER(E92),ISNUMBER(D92)),IFERROR(E92/D92-1,""),"")</f>
        <v>0.313460792361763</v>
      </c>
      <c r="F93" s="255">
        <f>IF(AND(ISNUMBER(F92),ISNUMBER(E92)),IFERROR(F92/E92-1,""),"")</f>
        <v>0.0851097127624676</v>
      </c>
      <c r="G93" s="255">
        <f>IF(AND(ISNUMBER(G92),ISNUMBER(F92)),IFERROR(G92/F92-1,""),"")</f>
        <v>0.239759070428894</v>
      </c>
      <c r="H93" s="255">
        <f>IF(AND(ISNUMBER(H92),ISNUMBER(G92)),IFERROR(H92/G92-1,""),"")</f>
        <v>0.292759455680229</v>
      </c>
      <c r="I93" s="255">
        <f>IF(AND(ISNUMBER(I92),ISNUMBER(H92)),IFERROR(I92/H92-1,""),"")</f>
        <v>0.323703996834191</v>
      </c>
      <c r="J93" s="23" t="n"/>
      <c r="K93" s="23" t="n"/>
      <c r="L93" s="23" t="n"/>
      <c r="M93" s="23" t="n"/>
      <c r="N93" s="255">
        <f>IF(AND(ISNUMBER(N92),ISNUMBER(I92)),IFERROR(N92/I92-1,""),"")</f>
        <v>0.192326856003986</v>
      </c>
      <c r="O93" s="255">
        <f>IF(AND(ISNUMBER(O92),ISNUMBER(J92)),IFERROR(O92/J92-1,""),"")</f>
        <v>0.103872861335815</v>
      </c>
      <c r="P93" s="255">
        <f>IF(AND(ISNUMBER(P92),ISNUMBER(K92)),IFERROR(P92/K92-1,""),"")</f>
        <v>0.131159163417228</v>
      </c>
      <c r="Q93" s="255">
        <f>IF(AND(ISNUMBER(Q92),ISNUMBER(L92)),IFERROR(Q92/L92-1,""),"")</f>
        <v>0.109447391391929</v>
      </c>
      <c r="R93" s="255">
        <f>IF(AND(ISNUMBER(R92),ISNUMBER(M92)),IFERROR(R92/M92-1,""),"")</f>
        <v>0.0738521770079488</v>
      </c>
      <c r="S93" s="255">
        <f>IF(AND(ISNUMBER(S92),ISNUMBER(N92)),IFERROR(S92/N92-1,""),"")</f>
        <v>0.103234433765148</v>
      </c>
      <c r="T93" s="255">
        <f>IF(AND(ISNUMBER(T92),ISNUMBER(O92)),IFERROR(T92/O92-1,""),"")</f>
        <v>0.119195849546044</v>
      </c>
      <c r="U93" s="255">
        <f>IF(AND(ISNUMBER(U92),ISNUMBER(P92)),IFERROR(U92/P92-1,""),"")</f>
        <v>0.111062362895644</v>
      </c>
      <c r="V93" s="255">
        <f>IF(AND(ISNUMBER(V92),ISNUMBER(Q92)),IFERROR(V92/Q92-1,""),"")</f>
        <v>0.130242692005084</v>
      </c>
      <c r="W93" s="255">
        <f>IF(AND(ISNUMBER(W92),ISNUMBER(R92)),IFERROR(W92/R92-1,""),"")</f>
        <v>0.178202507871623</v>
      </c>
      <c r="X93" s="255">
        <f>IF(AND(ISNUMBER(X92),ISNUMBER(S92)),IFERROR(X92/S92-1,""),"")</f>
        <v>0.136179754852199</v>
      </c>
      <c r="Y93" s="255">
        <f>IF(AND(ISNUMBER(Y92),ISNUMBER(T92)),IFERROR(Y92/T92-1,""),"")</f>
        <v>0.17377448139993</v>
      </c>
      <c r="Z93" s="255">
        <f>IF(AND(ISNUMBER(Z92),ISNUMBER(U92)),IFERROR(Z92/U92-1,""),"")</f>
        <v>0.212839171884696</v>
      </c>
      <c r="AA93" s="255">
        <f>IF(AND(ISNUMBER(AA92),ISNUMBER(V92)),IFERROR(AA92/V92-1,""),"")</f>
        <v>0.202195448460509</v>
      </c>
      <c r="AB93" s="255">
        <f>IF(AND(ISNUMBER(AB92),ISNUMBER(W92)),IFERROR(AB92/W92-1,""),"")</f>
        <v>0.22199821838811</v>
      </c>
      <c r="AC93" s="255">
        <f>IF(AND(ISNUMBER(AC92),ISNUMBER(X92)),IFERROR(AC92/X92-1,""),"")</f>
        <v>0.203803224472923</v>
      </c>
      <c r="AD93" s="255">
        <f>IF(AND(ISNUMBER(AD92),ISNUMBER(Y92)),IFERROR(AD92/Y92-1,""),"")</f>
        <v>0.221799871649306</v>
      </c>
      <c r="AE93" s="255">
        <f>IF(AND(ISNUMBER(AE92),ISNUMBER(Z92)),IFERROR(AE92/Z92-1,""),"")</f>
        <v>0.209767441860465</v>
      </c>
      <c r="AF93" s="255">
        <f>IF(AND(ISNUMBER(AF92),ISNUMBER(AA92)),IFERROR(AF92/AA92-1,""),"")</f>
        <v>0.237005033183377</v>
      </c>
      <c r="AG93" s="255">
        <f>IF(AND(ISNUMBER(AG92),ISNUMBER(AB92)),IFERROR(AG92/AB92-1,""),"")</f>
        <v>0.240139656230816</v>
      </c>
      <c r="AH93" s="255">
        <f>IF(AND(ISNUMBER(AH92),ISNUMBER(AC92)),IFERROR(AH92/AC92-1,""),"")</f>
        <v>0.228010900389933</v>
      </c>
      <c r="AI93" s="255">
        <f>IF(AND(ISNUMBER(AI92),ISNUMBER(AD92)),IFERROR(AI92/AD92-1,""),"")</f>
        <v>0.258424242424242</v>
      </c>
      <c r="AJ93" s="255">
        <f>IF(AND(ISNUMBER(AJ92),ISNUMBER(AE92)),IFERROR(AJ92/AE92-1,""),"")</f>
        <v>0.255555555555556</v>
      </c>
      <c r="AK93" s="255">
        <f>IF(AND(ISNUMBER(AK92),ISNUMBER(AF92)),IFERROR(AK92/AF92-1,""),"")</f>
        <v>0.214892697681118</v>
      </c>
      <c r="AL93" s="255">
        <f>IF(AND(ISNUMBER(AL92),ISNUMBER(AG92)),IFERROR(AL92/AG92-1,""),"")</f>
        <v>0.215109983603007</v>
      </c>
      <c r="AM93" s="255">
        <f>IF(AND(ISNUMBER(AM92),ISNUMBER(AH92)),IFERROR(AM92/AH92-1,""),"")</f>
        <v>0.23421586757476</v>
      </c>
      <c r="AN93" s="255">
        <f>IF(AND(ISNUMBER(AN92),ISNUMBER(AI92)),IFERROR(AN92/AI92-1,""),"")</f>
        <v>0.166730880369871</v>
      </c>
      <c r="AO93" s="255">
        <f>IF(AND(ISNUMBER(AO92),ISNUMBER(AJ92)),IFERROR(AO92/AJ92-1,""),"")</f>
        <v>0.192516152739076</v>
      </c>
      <c r="AP93" s="255">
        <f>IF(AND(ISNUMBER(AP92),ISNUMBER(AK92)),IFERROR(AP92/AK92-1,""),"")</f>
        <v>0.200326022525193</v>
      </c>
      <c r="AQ93" s="255">
        <f>IF(AND(ISNUMBER(AQ92),ISNUMBER(AL92)),IFERROR(AQ92/AL92-1,""),"")</f>
        <v>0.173108259496894</v>
      </c>
      <c r="AR93" s="255">
        <f>IF(AND(ISNUMBER(AR92),ISNUMBER(AM92)),IFERROR(AR92/AM92-1,""),"")</f>
        <v>0.183000898997946</v>
      </c>
      <c r="AS93" s="255">
        <f>IF(AND(ISNUMBER(AS92),ISNUMBER(AN92)),IFERROR(AS92/AN92-1,""),"")</f>
        <v>0.132639863507526</v>
      </c>
      <c r="AT93" s="255">
        <f>IF(AND(ISNUMBER(AT92),ISNUMBER(AO92)),IFERROR(AT92/AO92-1,""),"")</f>
        <v>-0.0166135990139688</v>
      </c>
      <c r="AU93" s="255">
        <f>IF(AND(ISNUMBER(AU92),ISNUMBER(AP92)),IFERROR(AU92/AP92-1,""),"")</f>
        <v>0.14010222474629</v>
      </c>
      <c r="AV93" s="255">
        <f>IF(AND(ISNUMBER(AV92),ISNUMBER(AQ92)),IFERROR(AV92/AQ92-1,""),"")</f>
        <v>0.234899620184482</v>
      </c>
      <c r="AW93" s="255">
        <f>IF(AND(ISNUMBER(AW92),ISNUMBER(AR92)),IFERROR(AW92/AR92-1,""),"")</f>
        <v>0.127705320128261</v>
      </c>
      <c r="AX93" s="255">
        <f>IF(AND(ISNUMBER(AX92),ISNUMBER(AS92)),IFERROR(AX92/AS92-1,""),"")</f>
        <v>0.343910201899949</v>
      </c>
      <c r="AY93" s="255">
        <f>IF(AND(ISNUMBER(AY92),ISNUMBER(AT92)),IFERROR(AY92/AT92-1,""),"")</f>
        <v>0.61579235971486</v>
      </c>
      <c r="AZ93" s="255">
        <f>IF(AND(ISNUMBER(AZ92),ISNUMBER(AU92)),IFERROR(AZ92/AU92-1,""),"")</f>
        <v>0.410304723539731</v>
      </c>
      <c r="BA93" s="255">
        <f>IF(AND(ISNUMBER(BA92),ISNUMBER(AV92)),IFERROR(BA92/AV92-1,""),"")</f>
        <v>0.323860241133256</v>
      </c>
      <c r="BB93" s="255">
        <f>IF(AND(ISNUMBER(BB92),ISNUMBER(AW92)),IFERROR(BB92/AW92-1,""),"")</f>
        <v>0.411500764270492</v>
      </c>
      <c r="BC93" s="255">
        <f>IF(AND(ISNUMBER(BC92),ISNUMBER(AX92)),IFERROR(BC92/AX92-1,""),"")</f>
        <v>0.229544057562281</v>
      </c>
      <c r="BD93" s="255">
        <f>IF(AND(ISNUMBER(BD92),ISNUMBER(AY92)),IFERROR(BD92/AY92-1,""),"")</f>
        <v>0.126131221719457</v>
      </c>
      <c r="BE93" s="255">
        <f>IF(AND(ISNUMBER(BE92),ISNUMBER(AZ92)),IFERROR(BE92/AZ92-1,""),"")</f>
        <v>0.0610276728400749</v>
      </c>
      <c r="BF93" s="255">
        <f>IF(AND(ISNUMBER(BF92),ISNUMBER(BA92)),IFERROR(BF92/BA92-1,""),"")</f>
        <v>0.00959840690341851</v>
      </c>
      <c r="BG93" s="255">
        <f>IF(AND(ISNUMBER(BG92),ISNUMBER(BB92)),IFERROR(BG92/BB92-1,""),"")</f>
        <v>0.0978081564371578</v>
      </c>
      <c r="BH93" s="255">
        <f>IF(AND(ISNUMBER(BH92),ISNUMBER(BC92)),IFERROR(BH92/BC92-1,""),"")</f>
        <v>0.0261134228286601</v>
      </c>
      <c r="BI93" s="255">
        <f>IF(AND(ISNUMBER(BI92),ISNUMBER(BD92)),IFERROR(BI92/BD92-1,""),"")</f>
        <v>0.0705890794288584</v>
      </c>
      <c r="BJ93" s="255">
        <f>IF(AND(ISNUMBER(BJ92),ISNUMBER(BE92)),IFERROR(BJ92/BE92-1,""),"")</f>
        <v>0.110012736641</v>
      </c>
      <c r="BK93" s="255">
        <f>IF(AND(ISNUMBER(BK92),ISNUMBER(BF92)),IFERROR(BK92/BF92-1,""),"")</f>
        <v>0.134941089837997</v>
      </c>
      <c r="BL93" s="255">
        <f>IF(AND(ISNUMBER(BL92),ISNUMBER(BG92)),IFERROR(BL92/BG92-1,""),"")</f>
        <v>0.0868277022726951</v>
      </c>
      <c r="BM93" s="255">
        <f>IF(AND(ISNUMBER(BM92),ISNUMBER(BH92)),IFERROR(BM92/BH92-1,""),"")</f>
        <v>0.154068809377105</v>
      </c>
      <c r="BN93" s="255">
        <f>IF(AND(ISNUMBER(BN92),ISNUMBER(BI92)),IFERROR(BN92/BI92-1,""),"")</f>
        <v>0.135890836952442</v>
      </c>
      <c r="BO93" s="255">
        <f>IF(AND(ISNUMBER(BO92),ISNUMBER(BJ92)),IFERROR(BO92/BJ92-1,""),"")</f>
        <v>0.150926420924987</v>
      </c>
      <c r="BP93" s="255">
        <f>IF(AND(ISNUMBER(BP92),ISNUMBER(BK92)),IFERROR(BP92/BK92-1,""),"")</f>
        <v>0.11770362646275</v>
      </c>
      <c r="BQ93" s="255">
        <f>IF(AND(ISNUMBER(BQ92),ISNUMBER(BL92)),IFERROR(BQ92/BL92-1,""),"")</f>
        <v>0.138662433229016</v>
      </c>
      <c r="BR93" s="255">
        <f>IF(AND(ISNUMBER(BR92),ISNUMBER(BM92)),IFERROR(BR92/BM92-1,""),"")</f>
        <v>0.120376463576652</v>
      </c>
      <c r="BS93" s="255">
        <f>IF(AND(ISNUMBER(BS92),ISNUMBER(BN92)),IFERROR(BS92/BN92-1,""),"")</f>
        <v>0.137900922800972</v>
      </c>
      <c r="BT93" s="255">
        <f>IF(AND(ISNUMBER(BT92),ISNUMBER(BO92)),IFERROR(BT92/BO92-1,""),"")</f>
        <v>0.159491548466035</v>
      </c>
      <c r="BU93" s="255">
        <f>IF(AND(ISNUMBER(BU92),ISNUMBER(BP92)),IFERROR(BU92/BP92-1,""),"")</f>
        <v>0.179954182172511</v>
      </c>
      <c r="BV93" s="255">
        <f>IF(AND(ISNUMBER(BV92),ISNUMBER(BQ92)),IFERROR(BV92/BQ92-1,""),"")</f>
        <v>0.150900810815444</v>
      </c>
      <c r="BW93" s="255">
        <f>IF(AND(ISNUMBER(BW92),ISNUMBER(BR92)),IFERROR(BW92/BR92-1,""),"")</f>
        <v>0.217900126338187</v>
      </c>
      <c r="BX93" s="255">
        <f>IF(AND(ISNUMBER(BX92),ISNUMBER(BS92)),IFERROR(BX92/BS92-1,""),"")</f>
        <v>0.242336250881487</v>
      </c>
      <c r="BY93" s="256">
        <f>IF(AND(ISNUMBER(BY92),ISNUMBER(BT92)),IFERROR(BY92/BT92-1,""),"")</f>
        <v>0.240894124716927</v>
      </c>
      <c r="BZ93" s="256">
        <f>IF(AND(ISNUMBER(BZ92),ISNUMBER(BU92)),IFERROR(BZ92/BU92-1,""),"")</f>
        <v>0.243819128977897</v>
      </c>
      <c r="CA93" s="256">
        <f>IF(AND(ISNUMBER(CA92),ISNUMBER(BV92)),IFERROR(CA92/BV92-1,""),"")</f>
        <v>0.23691834324813</v>
      </c>
      <c r="CB93" s="256">
        <f>IF(AND(ISNUMBER(CB92),ISNUMBER(CA92)),IFERROR(CB92/CA92-1,""),"")</f>
        <v>0.173817313838413</v>
      </c>
      <c r="CC93" s="256">
        <f>IF(AND(ISNUMBER(CC92),ISNUMBER(CB92)),IFERROR(CC92/CB92-1,""),"")</f>
        <v>0.147171270086915</v>
      </c>
      <c r="CD93" s="256">
        <f>IF(AND(ISNUMBER(CD92),ISNUMBER(CC92)),IFERROR(CD92/CC92-1,""),"")</f>
        <v>0.129735035331253</v>
      </c>
      <c r="CE93" s="256">
        <f>IF(AND(ISNUMBER(CE92),ISNUMBER(CD92)),IFERROR(CE92/CD92-1,""),"")</f>
        <v>0.113124160170737</v>
      </c>
      <c r="CF93" s="153" t="n"/>
    </row>
    <row r="94" ht="15" customHeight="1" s="251">
      <c r="B94" s="57" t="inlineStr">
        <is>
          <t xml:space="preserve">  Check: revenue build vs consolidated revenues (should be 0)</t>
        </is>
      </c>
      <c r="C94" s="211">
        <f>IF(ISNUMBER(C92),IF(ABS(C92-C132)&lt;=1,0,ROUND(C92-C132,0)),"")</f>
        <v>0</v>
      </c>
      <c r="D94" s="211">
        <f>IF(ISNUMBER(D92),IF(ABS(D92-D132)&lt;=1,0,ROUND(D92-D132,0)),"")</f>
        <v>0</v>
      </c>
      <c r="E94" s="211">
        <f>IF(ISNUMBER(E92),IF(ABS(E92-E132)&lt;=1,0,ROUND(E92-E132,0)),"")</f>
        <v>0</v>
      </c>
      <c r="F94" s="211">
        <f>IF(ISNUMBER(F92),IF(ABS(F92-F132)&lt;=1,0,ROUND(F92-F132,0)),"")</f>
        <v>0</v>
      </c>
      <c r="G94" s="211">
        <f>IF(ISNUMBER(G92),IF(ABS(G92-G132)&lt;=1,0,ROUND(G92-G132,0)),"")</f>
        <v>0</v>
      </c>
      <c r="H94" s="211">
        <f>IF(ISNUMBER(H92),IF(ABS(H92-H132)&lt;=1,0,ROUND(H92-H132,0)),"")</f>
        <v>0</v>
      </c>
      <c r="I94" s="211">
        <f>IF(ISNUMBER(I92),IF(ABS(I92-I132)&lt;=1,0,ROUND(I92-I132,0)),"")</f>
        <v>0</v>
      </c>
      <c r="J94" s="211">
        <f>IF(ISNUMBER(J92),IF(ABS(J92-J132)&lt;=1,0,ROUND(J92-J132,0)),"")</f>
        <v>0</v>
      </c>
      <c r="K94" s="211">
        <f>IF(ISNUMBER(K92),IF(ABS(K92-K132)&lt;=1,0,ROUND(K92-K132,0)),"")</f>
        <v>0</v>
      </c>
      <c r="L94" s="211">
        <f>IF(ISNUMBER(L92),IF(ABS(L92-L132)&lt;=1,0,ROUND(L92-L132,0)),"")</f>
        <v>0</v>
      </c>
      <c r="M94" s="211">
        <f>IF(ISNUMBER(M92),IF(ABS(M92-M132)&lt;=1,0,ROUND(M92-M132,0)),"")</f>
        <v>0</v>
      </c>
      <c r="N94" s="211">
        <f>IF(ISNUMBER(N92),IF(ABS(N92-N132)&lt;=1,0,ROUND(N92-N132,0)),"")</f>
        <v>0</v>
      </c>
      <c r="O94" s="211">
        <f>IF(ISNUMBER(O92),IF(ABS(O92-O132)&lt;=1,0,ROUND(O92-O132,0)),"")</f>
        <v>0</v>
      </c>
      <c r="P94" s="211">
        <f>IF(ISNUMBER(P92),IF(ABS(P92-P132)&lt;=1,0,ROUND(P92-P132,0)),"")</f>
        <v>0</v>
      </c>
      <c r="Q94" s="211">
        <f>IF(ISNUMBER(Q92),IF(ABS(Q92-Q132)&lt;=1,0,ROUND(Q92-Q132,0)),"")</f>
        <v>0</v>
      </c>
      <c r="R94" s="211">
        <f>IF(ISNUMBER(R92),IF(ABS(R92-R132)&lt;=1,0,ROUND(R92-R132,0)),"")</f>
        <v>0</v>
      </c>
      <c r="S94" s="211">
        <f>IF(ISNUMBER(S92),IF(ABS(S92-S132)&lt;=1,0,ROUND(S92-S132,0)),"")</f>
        <v>0</v>
      </c>
      <c r="T94" s="211">
        <f>IF(ISNUMBER(T92),IF(ABS(T92-T132)&lt;=1,0,ROUND(T92-T132,0)),"")</f>
        <v>0</v>
      </c>
      <c r="U94" s="211">
        <f>IF(ISNUMBER(U92),IF(ABS(U92-U132)&lt;=1,0,ROUND(U92-U132,0)),"")</f>
        <v>0</v>
      </c>
      <c r="V94" s="211">
        <f>IF(ISNUMBER(V92),IF(ABS(V92-V132)&lt;=1,0,ROUND(V92-V132,0)),"")</f>
        <v>0</v>
      </c>
      <c r="W94" s="211">
        <f>IF(ISNUMBER(W92),IF(ABS(W92-W132)&lt;=1,0,ROUND(W92-W132,0)),"")</f>
        <v>0</v>
      </c>
      <c r="X94" s="211">
        <f>IF(ISNUMBER(X92),IF(ABS(X92-X132)&lt;=1,0,ROUND(X92-X132,0)),"")</f>
        <v>0</v>
      </c>
      <c r="Y94" s="211">
        <f>IF(ISNUMBER(Y92),IF(ABS(Y92-Y132)&lt;=1,0,ROUND(Y92-Y132,0)),"")</f>
        <v>0</v>
      </c>
      <c r="Z94" s="211">
        <f>IF(ISNUMBER(Z92),IF(ABS(Z92-Z132)&lt;=1,0,ROUND(Z92-Z132,0)),"")</f>
        <v>0</v>
      </c>
      <c r="AA94" s="211">
        <f>IF(ISNUMBER(AA92),IF(ABS(AA92-AA132)&lt;=1,0,ROUND(AA92-AA132,0)),"")</f>
        <v>0</v>
      </c>
      <c r="AB94" s="211">
        <f>IF(ISNUMBER(AB92),IF(ABS(AB92-AB132)&lt;=1,0,ROUND(AB92-AB132,0)),"")</f>
        <v>0</v>
      </c>
      <c r="AC94" s="211">
        <f>IF(ISNUMBER(AC92),IF(ABS(AC92-AC132)&lt;=1,0,ROUND(AC92-AC132,0)),"")</f>
        <v>0</v>
      </c>
      <c r="AD94" s="211">
        <f>IF(ISNUMBER(AD92),IF(ABS(AD92-AD132)&lt;=1,0,ROUND(AD92-AD132,0)),"")</f>
        <v>0</v>
      </c>
      <c r="AE94" s="211">
        <f>IF(ISNUMBER(AE92),IF(ABS(AE92-AE132)&lt;=1,0,ROUND(AE92-AE132,0)),"")</f>
        <v>0</v>
      </c>
      <c r="AF94" s="211">
        <f>IF(ISNUMBER(AF92),IF(ABS(AF92-AF132)&lt;=1,0,ROUND(AF92-AF132,0)),"")</f>
        <v>0</v>
      </c>
      <c r="AG94" s="211">
        <f>IF(ISNUMBER(AG92),IF(ABS(AG92-AG132)&lt;=1,0,ROUND(AG92-AG132,0)),"")</f>
        <v>0</v>
      </c>
      <c r="AH94" s="211">
        <f>IF(ISNUMBER(AH92),IF(ABS(AH92-AH132)&lt;=1,0,ROUND(AH92-AH132,0)),"")</f>
        <v>0</v>
      </c>
      <c r="AI94" s="211">
        <f>IF(ISNUMBER(AI92),IF(ABS(AI92-AI132)&lt;=1,0,ROUND(AI92-AI132,0)),"")</f>
        <v>0</v>
      </c>
      <c r="AJ94" s="211">
        <f>IF(ISNUMBER(AJ92),IF(ABS(AJ92-AJ132)&lt;=1,0,ROUND(AJ92-AJ132,0)),"")</f>
        <v>0</v>
      </c>
      <c r="AK94" s="211">
        <f>IF(ISNUMBER(AK92),IF(ABS(AK92-AK132)&lt;=1,0,ROUND(AK92-AK132,0)),"")</f>
        <v>0</v>
      </c>
      <c r="AL94" s="211">
        <f>IF(ISNUMBER(AL92),IF(ABS(AL92-AL132)&lt;=1,0,ROUND(AL92-AL132,0)),"")</f>
        <v>0</v>
      </c>
      <c r="AM94" s="211">
        <f>IF(ISNUMBER(AM92),IF(ABS(AM92-AM132)&lt;=1,0,ROUND(AM92-AM132,0)),"")</f>
        <v>0</v>
      </c>
      <c r="AN94" s="211">
        <f>IF(ISNUMBER(AN92),IF(ABS(AN92-AN132)&lt;=1,0,ROUND(AN92-AN132,0)),"")</f>
        <v>0</v>
      </c>
      <c r="AO94" s="211">
        <f>IF(ISNUMBER(AO92),IF(ABS(AO92-AO132)&lt;=1,0,ROUND(AO92-AO132,0)),"")</f>
        <v>0</v>
      </c>
      <c r="AP94" s="211">
        <f>IF(ISNUMBER(AP92),IF(ABS(AP92-AP132)&lt;=1,0,ROUND(AP92-AP132,0)),"")</f>
        <v>0</v>
      </c>
      <c r="AQ94" s="211">
        <f>IF(ISNUMBER(AQ92),IF(ABS(AQ92-AQ132)&lt;=1,0,ROUND(AQ92-AQ132,0)),"")</f>
        <v>0</v>
      </c>
      <c r="AR94" s="211">
        <f>IF(ISNUMBER(AR92),IF(ABS(AR92-AR132)&lt;=1,0,ROUND(AR92-AR132,0)),"")</f>
        <v>0</v>
      </c>
      <c r="AS94" s="211">
        <f>IF(ISNUMBER(AS92),IF(ABS(AS92-AS132)&lt;=1,0,ROUND(AS92-AS132,0)),"")</f>
        <v>0</v>
      </c>
      <c r="AT94" s="211">
        <f>IF(ISNUMBER(AT92),IF(ABS(AT92-AT132)&lt;=1,0,ROUND(AT92-AT132,0)),"")</f>
        <v>0</v>
      </c>
      <c r="AU94" s="211">
        <f>IF(ISNUMBER(AU92),IF(ABS(AU92-AU132)&lt;=1,0,ROUND(AU92-AU132,0)),"")</f>
        <v>0</v>
      </c>
      <c r="AV94" s="211">
        <f>IF(ISNUMBER(AV92),IF(ABS(AV92-AV132)&lt;=1,0,ROUND(AV92-AV132,0)),"")</f>
        <v>0</v>
      </c>
      <c r="AW94" s="211">
        <f>IF(ISNUMBER(AW92),IF(ABS(AW92-AW132)&lt;=1,0,ROUND(AW92-AW132,0)),"")</f>
        <v>0</v>
      </c>
      <c r="AX94" s="211">
        <f>IF(ISNUMBER(AX92),IF(ABS(AX92-AX132)&lt;=1,0,ROUND(AX92-AX132,0)),"")</f>
        <v>0</v>
      </c>
      <c r="AY94" s="211">
        <f>IF(ISNUMBER(AY92),IF(ABS(AY92-AY132)&lt;=1,0,ROUND(AY92-AY132,0)),"")</f>
        <v>0</v>
      </c>
      <c r="AZ94" s="211">
        <f>IF(ISNUMBER(AZ92),IF(ABS(AZ92-AZ132)&lt;=1,0,ROUND(AZ92-AZ132,0)),"")</f>
        <v>0</v>
      </c>
      <c r="BA94" s="211">
        <f>IF(ISNUMBER(BA92),IF(ABS(BA92-BA132)&lt;=1,0,ROUND(BA92-BA132,0)),"")</f>
        <v>0</v>
      </c>
      <c r="BB94" s="211">
        <f>IF(ISNUMBER(BB92),IF(ABS(BB92-BB132)&lt;=1,0,ROUND(BB92-BB132,0)),"")</f>
        <v>0</v>
      </c>
      <c r="BC94" s="211">
        <f>IF(ISNUMBER(BC92),IF(ABS(BC92-BC132)&lt;=1,0,ROUND(BC92-BC132,0)),"")</f>
        <v>0</v>
      </c>
      <c r="BD94" s="211">
        <f>IF(ISNUMBER(BD92),IF(ABS(BD92-BD132)&lt;=1,0,ROUND(BD92-BD132,0)),"")</f>
        <v>0</v>
      </c>
      <c r="BE94" s="211">
        <f>IF(ISNUMBER(BE92),IF(ABS(BE92-BE132)&lt;=1,0,ROUND(BE92-BE132,0)),"")</f>
        <v>0</v>
      </c>
      <c r="BF94" s="211">
        <f>IF(ISNUMBER(BF92),IF(ABS(BF92-BF132)&lt;=1,0,ROUND(BF92-BF132,0)),"")</f>
        <v>0</v>
      </c>
      <c r="BG94" s="211">
        <f>IF(ISNUMBER(BG92),IF(ABS(BG92-BG132)&lt;=1,0,ROUND(BG92-BG132,0)),"")</f>
        <v>0</v>
      </c>
      <c r="BH94" s="211">
        <f>IF(ISNUMBER(BH92),IF(ABS(BH92-BH132)&lt;=1,0,ROUND(BH92-BH132,0)),"")</f>
        <v>0</v>
      </c>
      <c r="BI94" s="211">
        <f>IF(ISNUMBER(BI92),IF(ABS(BI92-BI132)&lt;=1,0,ROUND(BI92-BI132,0)),"")</f>
        <v>0</v>
      </c>
      <c r="BJ94" s="211">
        <f>IF(ISNUMBER(BJ92),IF(ABS(BJ92-BJ132)&lt;=1,0,ROUND(BJ92-BJ132,0)),"")</f>
        <v>0</v>
      </c>
      <c r="BK94" s="211">
        <f>IF(ISNUMBER(BK92),IF(ABS(BK92-BK132)&lt;=1,0,ROUND(BK92-BK132,0)),"")</f>
        <v>0</v>
      </c>
      <c r="BL94" s="211">
        <f>IF(ISNUMBER(BL92),IF(ABS(BL92-BL132)&lt;=1,0,ROUND(BL92-BL132,0)),"")</f>
        <v>0</v>
      </c>
      <c r="BM94" s="211">
        <f>IF(ISNUMBER(BM92),IF(ABS(BM92-BM132)&lt;=1,0,ROUND(BM92-BM132,0)),"")</f>
        <v>0</v>
      </c>
      <c r="BN94" s="211">
        <f>IF(ISNUMBER(BN92),IF(ABS(BN92-BN132)&lt;=1,0,ROUND(BN92-BN132,0)),"")</f>
        <v>0</v>
      </c>
      <c r="BO94" s="211">
        <f>IF(ISNUMBER(BO92),IF(ABS(BO92-BO132)&lt;=1,0,ROUND(BO92-BO132,0)),"")</f>
        <v>0</v>
      </c>
      <c r="BP94" s="211">
        <f>IF(ISNUMBER(BP92),IF(ABS(BP92-BP132)&lt;=1,0,ROUND(BP92-BP132,0)),"")</f>
        <v>0</v>
      </c>
      <c r="BQ94" s="211">
        <f>IF(ISNUMBER(BQ92),IF(ABS(BQ92-BQ132)&lt;=1,0,ROUND(BQ92-BQ132,0)),"")</f>
        <v>0</v>
      </c>
      <c r="BR94" s="211">
        <f>IF(ISNUMBER(BR92),IF(ABS(BR92-BR132)&lt;=1,0,ROUND(BR92-BR132,0)),"")</f>
        <v>0</v>
      </c>
      <c r="BS94" s="211">
        <f>IF(ISNUMBER(BS92),IF(ABS(BS92-BS132)&lt;=1,0,ROUND(BS92-BS132,0)),"")</f>
        <v>0</v>
      </c>
      <c r="BT94" s="211">
        <f>IF(ISNUMBER(BT92),IF(ABS(BT92-BT132)&lt;=1,0,ROUND(BT92-BT132,0)),"")</f>
        <v>0</v>
      </c>
      <c r="BU94" s="211">
        <f>IF(ISNUMBER(BU92),IF(ABS(BU92-BU132)&lt;=1,0,ROUND(BU92-BU132,0)),"")</f>
        <v>0</v>
      </c>
      <c r="BV94" s="211">
        <f>IF(ISNUMBER(BV92),IF(ABS(BV92-BV132)&lt;=1,0,ROUND(BV92-BV132,0)),"")</f>
        <v>0</v>
      </c>
      <c r="BW94" s="211">
        <f>IF(ISNUMBER(BW92),IF(ABS(BW92-BW132)&lt;=1,0,ROUND(BW92-BW132,0)),"")</f>
        <v>0</v>
      </c>
      <c r="BX94" s="211">
        <f>IF(ISNUMBER(BX92),IF(ABS(BX92-BX132)&lt;=1,0,ROUND(BX92-BX132,0)),"")</f>
        <v>0</v>
      </c>
      <c r="BY94" s="264">
        <f>IF(ISNUMBER(BY92),IF(ABS(BY92-BY132)&lt;=1,0,ROUND(BY92-BY132,0)),"")</f>
        <v>0</v>
      </c>
      <c r="BZ94" s="264">
        <f>IF(ISNUMBER(BZ92),IF(ABS(BZ92-BZ132)&lt;=1,0,ROUND(BZ92-BZ132,0)),"")</f>
        <v>0</v>
      </c>
      <c r="CA94" s="264">
        <f>IF(ISNUMBER(CA92),IF(ABS(CA92-CA132)&lt;=1,0,ROUND(CA92-CA132,0)),"")</f>
        <v>0</v>
      </c>
      <c r="CB94" s="264">
        <f>IF(ISNUMBER(CB92),IF(ABS(CB92-CB132)&lt;=1,0,ROUND(CB92-CB132,0)),"")</f>
        <v>0</v>
      </c>
      <c r="CC94" s="264">
        <f>IF(ISNUMBER(CC92),IF(ABS(CC92-CC132)&lt;=1,0,ROUND(CC92-CC132,0)),"")</f>
        <v>0</v>
      </c>
      <c r="CD94" s="264">
        <f>IF(ISNUMBER(CD92),IF(ABS(CD92-CD132)&lt;=1,0,ROUND(CD92-CD132,0)),"")</f>
        <v>0</v>
      </c>
      <c r="CE94" s="264">
        <f>IF(ISNUMBER(CE92),IF(ABS(CE92-CE132)&lt;=1,0,ROUND(CE92-CE132,0)),"")</f>
        <v>0</v>
      </c>
      <c r="CF94" s="153" t="n"/>
    </row>
    <row r="95" ht="15" customHeight="1" s="251">
      <c r="B95" s="55" t="inlineStr">
        <is>
          <t>Operating income (build)</t>
        </is>
      </c>
      <c r="C95" s="260">
        <f>C66</f>
      </c>
      <c r="D95" s="260">
        <f>D66</f>
      </c>
      <c r="E95" s="260">
        <f>E66</f>
      </c>
      <c r="F95" s="260">
        <f>F66</f>
      </c>
      <c r="G95" s="260">
        <f>G66</f>
      </c>
      <c r="H95" s="260">
        <f>H66</f>
      </c>
      <c r="I95" s="260">
        <f>I66</f>
      </c>
      <c r="J95" s="260">
        <f>J66</f>
      </c>
      <c r="K95" s="260">
        <f>K66</f>
      </c>
      <c r="L95" s="260">
        <f>L66</f>
      </c>
      <c r="M95" s="260">
        <f>M66</f>
      </c>
      <c r="N95" s="260">
        <f>N66</f>
      </c>
      <c r="O95" s="260">
        <f>O66</f>
      </c>
      <c r="P95" s="260">
        <f>P66</f>
      </c>
      <c r="Q95" s="260">
        <f>Q66</f>
      </c>
      <c r="R95" s="260">
        <f>R66</f>
      </c>
      <c r="S95" s="260">
        <f>S66</f>
      </c>
      <c r="T95" s="260">
        <f>T66</f>
      </c>
      <c r="U95" s="260">
        <f>U66</f>
      </c>
      <c r="V95" s="260">
        <f>V66</f>
      </c>
      <c r="W95" s="260">
        <f>W66</f>
      </c>
      <c r="X95" s="260">
        <f>X66</f>
      </c>
      <c r="Y95" s="260">
        <f>Y66</f>
      </c>
      <c r="Z95" s="260">
        <f>Z66</f>
      </c>
      <c r="AA95" s="260">
        <f>AA66</f>
      </c>
      <c r="AB95" s="260">
        <f>AB66</f>
      </c>
      <c r="AC95" s="260">
        <f>AC66</f>
      </c>
      <c r="AD95" s="260">
        <f>AD66</f>
      </c>
      <c r="AE95" s="260">
        <f>AE66</f>
      </c>
      <c r="AF95" s="260">
        <f>AF66</f>
      </c>
      <c r="AG95" s="260">
        <f>AG66</f>
      </c>
      <c r="AH95" s="260">
        <f>AH66</f>
      </c>
      <c r="AI95" s="260">
        <f>AI66</f>
      </c>
      <c r="AJ95" s="260">
        <f>AJ66</f>
      </c>
      <c r="AK95" s="260">
        <f>AK66</f>
      </c>
      <c r="AL95" s="260">
        <f>AL66</f>
      </c>
      <c r="AM95" s="260">
        <f>AM66</f>
        <v>26321</v>
      </c>
      <c r="AN95" s="260">
        <f>AN66</f>
      </c>
      <c r="AO95" s="260">
        <f>AO66</f>
      </c>
      <c r="AP95" s="260">
        <f>AP66</f>
      </c>
      <c r="AQ95" s="260">
        <f>AQ66</f>
      </c>
      <c r="AR95" s="260">
        <f>AR66</f>
        <v>34231</v>
      </c>
      <c r="AS95" s="260">
        <f>AS66</f>
        <v>7977</v>
      </c>
      <c r="AT95" s="260">
        <f>AT66</f>
        <v>6383</v>
      </c>
      <c r="AU95" s="260">
        <f>AU66</f>
        <v>11213</v>
      </c>
      <c r="AV95" s="260">
        <f>AV66</f>
        <v>15651</v>
      </c>
      <c r="AW95" s="260">
        <f>AW66</f>
        <v>41224</v>
      </c>
      <c r="AX95" s="260">
        <f>AX66</f>
        <v>16437</v>
      </c>
      <c r="AY95" s="260">
        <f>AY66</f>
        <v>19361</v>
      </c>
      <c r="AZ95" s="260">
        <f>AZ66</f>
        <v>21031</v>
      </c>
      <c r="BA95" s="260">
        <f>BA66</f>
        <v>21885</v>
      </c>
      <c r="BB95" s="260">
        <f>BB66</f>
        <v>78714</v>
      </c>
      <c r="BC95" s="260">
        <f>BC66</f>
        <v>20094</v>
      </c>
      <c r="BD95" s="260">
        <f>BD66</f>
        <v>19453</v>
      </c>
      <c r="BE95" s="260">
        <f>BE66</f>
        <v>17135</v>
      </c>
      <c r="BF95" s="260">
        <f>BF66</f>
        <v>18160</v>
      </c>
      <c r="BG95" s="260">
        <f>BG66</f>
        <v>74842</v>
      </c>
      <c r="BH95" s="260">
        <f>BH66</f>
        <v>17415</v>
      </c>
      <c r="BI95" s="260">
        <f>BI66</f>
        <v>21838</v>
      </c>
      <c r="BJ95" s="260">
        <f>BJ66</f>
        <v>21343</v>
      </c>
      <c r="BK95" s="260">
        <f>BK66</f>
        <v>23697</v>
      </c>
      <c r="BL95" s="260">
        <f>BL66</f>
        <v>84293</v>
      </c>
      <c r="BM95" s="260">
        <f>BM66</f>
        <v>25472</v>
      </c>
      <c r="BN95" s="260">
        <f>BN66</f>
        <v>27425</v>
      </c>
      <c r="BO95" s="260">
        <f>BO66</f>
        <v>28521</v>
      </c>
      <c r="BP95" s="260">
        <f>BP66</f>
        <v>30972</v>
      </c>
      <c r="BQ95" s="260">
        <f>BQ66</f>
        <v>112390</v>
      </c>
      <c r="BR95" s="260">
        <f>BR66</f>
        <v>30606</v>
      </c>
      <c r="BS95" s="260">
        <f>BS66</f>
        <v>31271</v>
      </c>
      <c r="BT95" s="260">
        <f>BT66</f>
        <v>31228</v>
      </c>
      <c r="BU95" s="260">
        <f>BU66</f>
        <v>35934</v>
      </c>
      <c r="BV95" s="260">
        <f>BV66</f>
        <v>129039</v>
      </c>
      <c r="BW95" s="260">
        <f>BW66</f>
        <v>39696</v>
      </c>
      <c r="BX95" s="260">
        <f>BX66</f>
        <v>40770</v>
      </c>
      <c r="BY95" s="260">
        <f>BY66+N(BY80)</f>
        <v>41781.7884184666</v>
      </c>
      <c r="BZ95" s="260">
        <f>BZ66+N(BZ80)</f>
        <v>50691.0437823207</v>
      </c>
      <c r="CA95" s="260">
        <f>CA66+N(CA80)</f>
        <v>172938.832200787</v>
      </c>
      <c r="CB95" s="260">
        <f>CB66+N(CB80)</f>
        <v>194643.240084932</v>
      </c>
      <c r="CC95" s="260">
        <f>CC66+N(CC80)</f>
        <v>212421.8802008</v>
      </c>
      <c r="CD95" s="260">
        <f>CD66+N(CD80)</f>
        <v>234774.621414897</v>
      </c>
      <c r="CE95" s="260">
        <f>CE66+N(CE80)</f>
        <v>256717.05000939</v>
      </c>
      <c r="CF95" s="153" t="n"/>
      <c r="CH95" s="20">
        <f>IFERROR((CE95/BV95)^(1/5)-1,"n/m")</f>
        <v>0.14748428088125</v>
      </c>
      <c r="CI95" s="20">
        <f>IFERROR((BV95/AW95)^(1/5)-1,"n/m")</f>
        <v>0.256360205369945</v>
      </c>
      <c r="CJ95" s="20" t="str">
        <f>IFERROR((BV95/X95)^(1/10)-1,"n/m")</f>
        <v>n/m</v>
      </c>
      <c r="CK95" s="20" t="str">
        <f>IFERROR((BV95/C95)^(1/19)-1,"n/m")</f>
        <v>n/m</v>
      </c>
    </row>
    <row r="96" ht="15" customHeight="1" s="251">
      <c r="B96" s="25" t="inlineStr">
        <is>
          <t xml:space="preserve">  Operating margin %</t>
        </is>
      </c>
      <c r="C96" s="215">
        <f>IF(AND(ISNUMBER(C95),ISNUMBER(C132)),IFERROR(C95/C132,""),"")</f>
      </c>
      <c r="D96" s="215">
        <f>IF(AND(ISNUMBER(D95),ISNUMBER(D132)),IFERROR(D95/D132,""),"")</f>
      </c>
      <c r="E96" s="215">
        <f>IF(AND(ISNUMBER(E95),ISNUMBER(E132)),IFERROR(E95/E132,""),"")</f>
      </c>
      <c r="F96" s="215">
        <f>IF(AND(ISNUMBER(F95),ISNUMBER(F132)),IFERROR(F95/F132,""),"")</f>
      </c>
      <c r="G96" s="215">
        <f>IF(AND(ISNUMBER(G95),ISNUMBER(G132)),IFERROR(G95/G132,""),"")</f>
      </c>
      <c r="H96" s="215">
        <f>IF(AND(ISNUMBER(H95),ISNUMBER(H132)),IFERROR(H95/H132,""),"")</f>
      </c>
      <c r="I96" s="215">
        <f>IF(AND(ISNUMBER(I95),ISNUMBER(I132)),IFERROR(I95/I132,""),"")</f>
      </c>
      <c r="J96" s="215">
        <f>IF(AND(ISNUMBER(J95),ISNUMBER(J132)),IFERROR(J95/J132,""),"")</f>
      </c>
      <c r="K96" s="215">
        <f>IF(AND(ISNUMBER(K95),ISNUMBER(K132)),IFERROR(K95/K132,""),"")</f>
      </c>
      <c r="L96" s="215">
        <f>IF(AND(ISNUMBER(L95),ISNUMBER(L132)),IFERROR(L95/L132,""),"")</f>
      </c>
      <c r="M96" s="215">
        <f>IF(AND(ISNUMBER(M95),ISNUMBER(M132)),IFERROR(M95/M132,""),"")</f>
      </c>
      <c r="N96" s="215">
        <f>IF(AND(ISNUMBER(N95),ISNUMBER(N132)),IFERROR(N95/N132,""),"")</f>
      </c>
      <c r="O96" s="215">
        <f>IF(AND(ISNUMBER(O95),ISNUMBER(O132)),IFERROR(O95/O132,""),"")</f>
      </c>
      <c r="P96" s="215">
        <f>IF(AND(ISNUMBER(P95),ISNUMBER(P132)),IFERROR(P95/P132,""),"")</f>
      </c>
      <c r="Q96" s="215">
        <f>IF(AND(ISNUMBER(Q95),ISNUMBER(Q132)),IFERROR(Q95/Q132,""),"")</f>
      </c>
      <c r="R96" s="215">
        <f>IF(AND(ISNUMBER(R95),ISNUMBER(R132)),IFERROR(R95/R132,""),"")</f>
      </c>
      <c r="S96" s="215">
        <f>IF(AND(ISNUMBER(S95),ISNUMBER(S132)),IFERROR(S95/S132,""),"")</f>
      </c>
      <c r="T96" s="215">
        <f>IF(AND(ISNUMBER(T95),ISNUMBER(T132)),IFERROR(T95/T132,""),"")</f>
      </c>
      <c r="U96" s="215">
        <f>IF(AND(ISNUMBER(U95),ISNUMBER(U132)),IFERROR(U95/U132,""),"")</f>
      </c>
      <c r="V96" s="215">
        <f>IF(AND(ISNUMBER(V95),ISNUMBER(V132)),IFERROR(V95/V132,""),"")</f>
      </c>
      <c r="W96" s="215">
        <f>IF(AND(ISNUMBER(W95),ISNUMBER(W132)),IFERROR(W95/W132,""),"")</f>
      </c>
      <c r="X96" s="215">
        <f>IF(AND(ISNUMBER(X95),ISNUMBER(X132)),IFERROR(X95/X132,""),"")</f>
      </c>
      <c r="Y96" s="215">
        <f>IF(AND(ISNUMBER(Y95),ISNUMBER(Y132)),IFERROR(Y95/Y132,""),"")</f>
      </c>
      <c r="Z96" s="215">
        <f>IF(AND(ISNUMBER(Z95),ISNUMBER(Z132)),IFERROR(Z95/Z132,""),"")</f>
      </c>
      <c r="AA96" s="215">
        <f>IF(AND(ISNUMBER(AA95),ISNUMBER(AA132)),IFERROR(AA95/AA132,""),"")</f>
      </c>
      <c r="AB96" s="215">
        <f>IF(AND(ISNUMBER(AB95),ISNUMBER(AB132)),IFERROR(AB95/AB132,""),"")</f>
      </c>
      <c r="AC96" s="215">
        <f>IF(AND(ISNUMBER(AC95),ISNUMBER(AC132)),IFERROR(AC95/AC132,""),"")</f>
      </c>
      <c r="AD96" s="215">
        <f>IF(AND(ISNUMBER(AD95),ISNUMBER(AD132)),IFERROR(AD95/AD132,""),"")</f>
      </c>
      <c r="AE96" s="215">
        <f>IF(AND(ISNUMBER(AE95),ISNUMBER(AE132)),IFERROR(AE95/AE132,""),"")</f>
      </c>
      <c r="AF96" s="215">
        <f>IF(AND(ISNUMBER(AF95),ISNUMBER(AF132)),IFERROR(AF95/AF132,""),"")</f>
      </c>
      <c r="AG96" s="215">
        <f>IF(AND(ISNUMBER(AG95),ISNUMBER(AG132)),IFERROR(AG95/AG132,""),"")</f>
      </c>
      <c r="AH96" s="215">
        <f>IF(AND(ISNUMBER(AH95),ISNUMBER(AH132)),IFERROR(AH95/AH132,""),"")</f>
      </c>
      <c r="AI96" s="215">
        <f>IF(AND(ISNUMBER(AI95),ISNUMBER(AI132)),IFERROR(AI95/AI132,""),"")</f>
      </c>
      <c r="AJ96" s="215">
        <f>IF(AND(ISNUMBER(AJ95),ISNUMBER(AJ132)),IFERROR(AJ95/AJ132,""),"")</f>
      </c>
      <c r="AK96" s="215">
        <f>IF(AND(ISNUMBER(AK95),ISNUMBER(AK132)),IFERROR(AK95/AK132,""),"")</f>
      </c>
      <c r="AL96" s="215">
        <f>IF(AND(ISNUMBER(AL95),ISNUMBER(AL132)),IFERROR(AL95/AL132,""),"")</f>
      </c>
      <c r="AM96" s="215">
        <f>IF(AND(ISNUMBER(AM95),ISNUMBER(AM132)),IFERROR(AM95/AM132,""),"")</f>
        <v>0.192378251558629</v>
      </c>
      <c r="AN96" s="215">
        <f>IF(AND(ISNUMBER(AN95),ISNUMBER(AN132)),IFERROR(AN95/AN132,""),"")</f>
      </c>
      <c r="AO96" s="215">
        <f>IF(AND(ISNUMBER(AO95),ISNUMBER(AO132)),IFERROR(AO95/AO132,""),"")</f>
      </c>
      <c r="AP96" s="215">
        <f>IF(AND(ISNUMBER(AP95),ISNUMBER(AP132)),IFERROR(AP95/AP132,""),"")</f>
      </c>
      <c r="AQ96" s="215">
        <f>IF(AND(ISNUMBER(AQ95),ISNUMBER(AQ132)),IFERROR(AQ95/AQ132,""),"")</f>
      </c>
      <c r="AR96" s="215">
        <f>IF(AND(ISNUMBER(AR95),ISNUMBER(AR132)),IFERROR(AR95/AR132,""),"")</f>
        <v>0.211489154006314</v>
      </c>
      <c r="AS96" s="215">
        <f>IF(AND(ISNUMBER(AS95),ISNUMBER(AS132)),IFERROR(AS95/AS132,""),"")</f>
        <v>0.193809373405574</v>
      </c>
      <c r="AT96" s="215">
        <f>IF(AND(ISNUMBER(AT95),ISNUMBER(AT132)),IFERROR(AT95/AT132,""),"")</f>
        <v>0.166671018617646</v>
      </c>
      <c r="AU96" s="215">
        <f>IF(AND(ISNUMBER(AU95),ISNUMBER(AU132)),IFERROR(AU95/AU132,""),"")</f>
        <v>0.24284755159942</v>
      </c>
      <c r="AV96" s="215">
        <f>IF(AND(ISNUMBER(AV95),ISNUMBER(AV132)),IFERROR(AV95/AV132,""),"")</f>
        <v>0.275071180006327</v>
      </c>
      <c r="AW96" s="215">
        <f>IF(AND(ISNUMBER(AW95),ISNUMBER(AW132)),IFERROR(AW95/AW132,""),"")</f>
        <v>0.225851517857632</v>
      </c>
      <c r="AX96" s="215">
        <f>IF(AND(ISNUMBER(AX95),ISNUMBER(AX132)),IFERROR(AX95/AX132,""),"")</f>
        <v>0.297158043171711</v>
      </c>
      <c r="AY96" s="215">
        <f>IF(AND(ISNUMBER(AY95),ISNUMBER(AY132)),IFERROR(AY95/AY132,""),"")</f>
        <v>0.312879767291532</v>
      </c>
      <c r="AZ96" s="215">
        <f>IF(AND(ISNUMBER(AZ95),ISNUMBER(AZ132)),IFERROR(AZ95/AZ132,""),"")</f>
        <v>0.322967535857981</v>
      </c>
      <c r="BA96" s="215">
        <f>IF(AND(ISNUMBER(BA95),ISNUMBER(BA132)),IFERROR(BA95/BA132,""),"")</f>
        <v>0.290540989047461</v>
      </c>
      <c r="BB96" s="215">
        <f>IF(AND(ISNUMBER(BB95),ISNUMBER(BB132)),IFERROR(BB95/BB132,""),"")</f>
        <v>0.305522886852432</v>
      </c>
      <c r="BC96" s="215">
        <f>IF(AND(ISNUMBER(BC95),ISNUMBER(BC132)),IFERROR(BC95/BC132,""),"")</f>
        <v>0.295452206260752</v>
      </c>
      <c r="BD96" s="215">
        <f>IF(AND(ISNUMBER(BD95),ISNUMBER(BD132)),IFERROR(BD95/BD132,""),"")</f>
        <v>0.279156202913109</v>
      </c>
      <c r="BE96" s="215">
        <f>IF(AND(ISNUMBER(BE95),ISNUMBER(BE132)),IFERROR(BE95/BE132,""),"")</f>
        <v>0.248002663115846</v>
      </c>
      <c r="BF96" s="215">
        <f>IF(AND(ISNUMBER(BF95),ISNUMBER(BF132)),IFERROR(BF95/BF132,""),"")</f>
        <v>0.238796549547654</v>
      </c>
      <c r="BG96" s="215">
        <f>IF(AND(ISNUMBER(BG95),ISNUMBER(BG132)),IFERROR(BG95/BG132,""),"")</f>
        <v>0.26461270842467</v>
      </c>
      <c r="BH96" s="215">
        <f>IF(AND(ISNUMBER(BH95),ISNUMBER(BH132)),IFERROR(BH95/BH132,""),"")</f>
        <v>0.249545044205941</v>
      </c>
      <c r="BI96" s="215">
        <f>IF(AND(ISNUMBER(BI95),ISNUMBER(BI132)),IFERROR(BI95/BI132,""),"")</f>
        <v>0.29271888906761</v>
      </c>
      <c r="BJ96" s="215">
        <f>IF(AND(ISNUMBER(BJ95),ISNUMBER(BJ132)),IFERROR(BJ95/BJ132,""),"")</f>
        <v>0.278291369486133</v>
      </c>
      <c r="BK96" s="215">
        <f>IF(AND(ISNUMBER(BK95),ISNUMBER(BK132)),IFERROR(BK95/BK132,""),"")</f>
        <v>0.274556830031283</v>
      </c>
      <c r="BL96" s="215">
        <f>IF(AND(ISNUMBER(BL95),ISNUMBER(BL132)),IFERROR(BL95/BL132,""),"")</f>
        <v>0.274218104452266</v>
      </c>
      <c r="BM96" s="215">
        <f>IF(AND(ISNUMBER(BM95),ISNUMBER(BM132)),IFERROR(BM95/BM132,""),"")</f>
        <v>0.316269136691541</v>
      </c>
      <c r="BN96" s="215">
        <f>IF(AND(ISNUMBER(BN95),ISNUMBER(BN132)),IFERROR(BN95/BN132,""),"")</f>
        <v>0.32362936914399</v>
      </c>
      <c r="BO96" s="215">
        <f>IF(AND(ISNUMBER(BO95),ISNUMBER(BO132)),IFERROR(BO95/BO132,""),"")</f>
        <v>0.323118230842434</v>
      </c>
      <c r="BP96" s="215">
        <f>IF(AND(ISNUMBER(BP95),ISNUMBER(BP132)),IFERROR(BP95/BP132,""),"")</f>
        <v>0.321056505198561</v>
      </c>
      <c r="BQ96" s="215">
        <f>IF(AND(ISNUMBER(BQ95),ISNUMBER(BQ132)),IFERROR(BQ95/BQ132,""),"")</f>
        <v>0.321097772114577</v>
      </c>
      <c r="BR96" s="215">
        <f>IF(AND(ISNUMBER(BR95),ISNUMBER(BR132)),IFERROR(BR95/BR132,""),"")</f>
        <v>0.339184786222488</v>
      </c>
      <c r="BS96" s="215">
        <f>IF(AND(ISNUMBER(BS95),ISNUMBER(BS132)),IFERROR(BS95/BS132,""),"")</f>
        <v>0.324293773592732</v>
      </c>
      <c r="BT96" s="215">
        <f>IF(AND(ISNUMBER(BT95),ISNUMBER(BT132)),IFERROR(BT95/BT132,""),"")</f>
        <v>0.305121841596154</v>
      </c>
      <c r="BU96" s="215">
        <f>IF(AND(ISNUMBER(BU95),ISNUMBER(BU132)),IFERROR(BU95/BU132,""),"")</f>
        <v>0.315684052394381</v>
      </c>
      <c r="BV96" s="215">
        <f>IF(AND(ISNUMBER(BV95),ISNUMBER(BV132)),IFERROR(BV95/BV132,""),"")</f>
        <v>0.3203263859238</v>
      </c>
      <c r="BW96" s="215">
        <f>IF(AND(ISNUMBER(BW95),ISNUMBER(BW132)),IFERROR(BW95/BW132,""),"")</f>
        <v>0.361214238916794</v>
      </c>
      <c r="BX96" s="215">
        <f>IF(AND(ISNUMBER(BX95),ISNUMBER(BX132)),IFERROR(BX95/BX132,""),"")</f>
        <v>0.340328558549534</v>
      </c>
      <c r="BY96" s="256">
        <f>IF(AND(ISNUMBER(BY95),ISNUMBER(BY132)),IFERROR(BY95/BY132,""),"")</f>
        <v>0.32898903500358</v>
      </c>
      <c r="BZ96" s="256">
        <f>IF(AND(ISNUMBER(BZ95),ISNUMBER(BZ132)),IFERROR(BZ95/BZ132,""),"")</f>
        <v>0.358031371137155</v>
      </c>
      <c r="CA96" s="256">
        <f>IF(AND(ISNUMBER(CA95),ISNUMBER(CA132)),IFERROR(CA95/CA132,""),"")</f>
        <v>0.34707490781977</v>
      </c>
      <c r="CB96" s="256">
        <f>IF(AND(ISNUMBER(CB95),ISNUMBER(CB132)),IFERROR(CB95/CB132,""),"")</f>
        <v>0.332789418828486</v>
      </c>
      <c r="CC96" s="256">
        <f>IF(AND(ISNUMBER(CC95),ISNUMBER(CC132)),IFERROR(CC95/CC132,""),"")</f>
        <v>0.316592899650073</v>
      </c>
      <c r="CD96" s="256">
        <f>IF(AND(ISNUMBER(CD95),ISNUMBER(CD132)),IFERROR(CD95/CD132,""),"")</f>
        <v>0.309725151160693</v>
      </c>
      <c r="CE96" s="256">
        <f>IF(AND(ISNUMBER(CE95),ISNUMBER(CE132)),IFERROR(CE95/CE132,""),"")</f>
        <v>0.304254092831352</v>
      </c>
      <c r="CF96" s="153" t="n"/>
      <c r="CH96" s="37">
        <f>IFERROR(AVERAGE(CA96,CB96,CC96,CD96,CE96),"n/m")</f>
        <v>0.322087294058075</v>
      </c>
      <c r="CI96" s="37">
        <f>IFERROR(AVERAGE(BB96,BG96,BL96,BQ96,BV96),"n/m")</f>
        <v>0.297155571553549</v>
      </c>
      <c r="CJ96" s="37">
        <f>IFERROR(AVERAGE(AC96,AH96,AM96,AR96,AW96,BB96,BG96,BL96,BQ96,BV96),"n/m")</f>
        <v>0.26443709764879</v>
      </c>
      <c r="CK96" s="37">
        <f>IFERROR(AVERAGE(C96,D96,E96,F96,G96,H96,I96,N96,S96,X96,AC96,AH96,AM96,AR96,AW96,BB96,BG96,BL96,BQ96,BV96),"n/m")</f>
        <v>0.26443709764879</v>
      </c>
    </row>
    <row r="97" ht="15" customHeight="1" s="251">
      <c r="B97" s="25" t="inlineStr">
        <is>
          <t xml:space="preserve">  Q3–Q4/26E revenue growth shift vs 1H26 y/y trend (scenario; applied to every revenue type)</t>
        </is>
      </c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  <c r="AV97" s="36" t="n"/>
      <c r="AW97" s="36" t="n"/>
      <c r="AX97" s="36" t="n"/>
      <c r="AY97" s="36" t="n"/>
      <c r="AZ97" s="36" t="n"/>
      <c r="BA97" s="36" t="n"/>
      <c r="BB97" s="36" t="n"/>
      <c r="BC97" s="36" t="n"/>
      <c r="BD97" s="36" t="n"/>
      <c r="BE97" s="36" t="n"/>
      <c r="BF97" s="36" t="n"/>
      <c r="BG97" s="36" t="n"/>
      <c r="BH97" s="36" t="n"/>
      <c r="BI97" s="36" t="n"/>
      <c r="BJ97" s="36" t="n"/>
      <c r="BK97" s="36" t="n"/>
      <c r="BL97" s="36" t="n"/>
      <c r="BM97" s="36" t="n"/>
      <c r="BN97" s="36" t="n"/>
      <c r="BO97" s="36" t="n"/>
      <c r="BP97" s="36" t="n"/>
      <c r="BQ97" s="36" t="n"/>
      <c r="BR97" s="36" t="n"/>
      <c r="BS97" s="36" t="n"/>
      <c r="BT97" s="36" t="n"/>
      <c r="BU97" s="36" t="n"/>
      <c r="BV97" s="36" t="n"/>
      <c r="BW97" s="36" t="n"/>
      <c r="BX97" s="36" t="n"/>
      <c r="BY97" s="256">
        <f>IF(ISNUMBER($CP$17),($CP$17-SUM(BW31:BX31)-BY98)/BY99,CHOOSE(MATCH($CF$2,{"Bull","Base","Bear"},0),$CO$12,$CP$12,$CQ$12))</f>
        <v>0</v>
      </c>
      <c r="BZ97" s="256">
        <f>BY97</f>
        <v>0</v>
      </c>
      <c r="CA97" s="24" t="n"/>
      <c r="CB97" s="46" t="n"/>
      <c r="CC97" s="46" t="n"/>
      <c r="CD97" s="46" t="n"/>
      <c r="CE97" s="46" t="n"/>
      <c r="CF97" s="19" t="inlineStr">
        <is>
          <t>No revenue guidance: Base = 1H26 y/y run-rate; Bull / Bear shift. If an FY26 revenue target is entered in the outlook block (optional, blank by default), the shift is solved to hit it.</t>
        </is>
      </c>
    </row>
    <row r="98" ht="15" customHeight="1" s="251">
      <c r="B98" s="25" t="inlineStr">
        <is>
          <t xml:space="preserve">  2H26E revenues before the shift (helper)</t>
        </is>
      </c>
      <c r="C98" s="34" t="n"/>
      <c r="D98" s="34" t="n"/>
      <c r="E98" s="34" t="n"/>
      <c r="F98" s="34" t="n"/>
      <c r="G98" s="34" t="n"/>
      <c r="H98" s="34" t="n"/>
      <c r="I98" s="34" t="n"/>
      <c r="J98" s="34" t="n"/>
      <c r="K98" s="34" t="n"/>
      <c r="L98" s="34" t="n"/>
      <c r="M98" s="34" t="n"/>
      <c r="N98" s="34" t="n"/>
      <c r="O98" s="34" t="n"/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  <c r="AA98" s="34" t="n"/>
      <c r="AB98" s="34" t="n"/>
      <c r="AC98" s="34" t="n"/>
      <c r="AD98" s="34" t="n"/>
      <c r="AE98" s="34" t="n"/>
      <c r="AF98" s="34" t="n"/>
      <c r="AG98" s="34" t="n"/>
      <c r="AH98" s="34" t="n"/>
      <c r="AI98" s="34" t="n"/>
      <c r="AJ98" s="34" t="n"/>
      <c r="AK98" s="34" t="n"/>
      <c r="AL98" s="34" t="n"/>
      <c r="AM98" s="34" t="n"/>
      <c r="AN98" s="34" t="n"/>
      <c r="AO98" s="34" t="n"/>
      <c r="AP98" s="34" t="n"/>
      <c r="AQ98" s="34" t="n"/>
      <c r="AR98" s="34" t="n"/>
      <c r="AS98" s="34" t="n"/>
      <c r="AT98" s="34" t="n"/>
      <c r="AU98" s="34" t="n"/>
      <c r="AV98" s="34" t="n"/>
      <c r="AW98" s="34" t="n"/>
      <c r="AX98" s="34" t="n"/>
      <c r="AY98" s="34" t="n"/>
      <c r="AZ98" s="34" t="n"/>
      <c r="BA98" s="34" t="n"/>
      <c r="BB98" s="34" t="n"/>
      <c r="BC98" s="34" t="n"/>
      <c r="BD98" s="34" t="n"/>
      <c r="BE98" s="34" t="n"/>
      <c r="BF98" s="34" t="n"/>
      <c r="BG98" s="34" t="n"/>
      <c r="BH98" s="34" t="n"/>
      <c r="BI98" s="34" t="n"/>
      <c r="BJ98" s="34" t="n"/>
      <c r="BK98" s="34" t="n"/>
      <c r="BL98" s="34" t="n"/>
      <c r="BM98" s="34" t="n"/>
      <c r="BN98" s="34" t="n"/>
      <c r="BO98" s="34" t="n"/>
      <c r="BP98" s="34" t="n"/>
      <c r="BQ98" s="34" t="n"/>
      <c r="BR98" s="34" t="n"/>
      <c r="BS98" s="34" t="n"/>
      <c r="BT98" s="34" t="n"/>
      <c r="BU98" s="34" t="n"/>
      <c r="BV98" s="34" t="n"/>
      <c r="BW98" s="34" t="n"/>
      <c r="BX98" s="34" t="n"/>
      <c r="BY98" s="254">
        <f>(BT11+BU11)*(1+BY13)+(BT14+BU14)*(1+BY16)+(BT17+BU17)*(1+BY19)+(BT20+BU20)*(1+BY22)+(BT23+BU23)*(1+BY25)+(BT26+BU26)*(1+BY28)</f>
        <v>268583.237720704</v>
      </c>
      <c r="BZ98" s="35" t="n"/>
      <c r="CA98" s="35" t="n"/>
      <c r="CB98" s="35" t="n"/>
      <c r="CC98" s="35" t="n"/>
      <c r="CD98" s="35" t="n"/>
      <c r="CE98" s="35" t="n"/>
      <c r="CF98" s="19" t="n"/>
    </row>
    <row r="99" ht="15" customHeight="1" s="251">
      <c r="B99" s="25" t="inlineStr">
        <is>
          <t xml:space="preserve">  2H26E revenue sensitivity to +1.00 of growth (helper)</t>
        </is>
      </c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  <c r="AA99" s="34" t="n"/>
      <c r="AB99" s="34" t="n"/>
      <c r="AC99" s="34" t="n"/>
      <c r="AD99" s="34" t="n"/>
      <c r="AE99" s="34" t="n"/>
      <c r="AF99" s="34" t="n"/>
      <c r="AG99" s="34" t="n"/>
      <c r="AH99" s="34" t="n"/>
      <c r="AI99" s="34" t="n"/>
      <c r="AJ99" s="34" t="n"/>
      <c r="AK99" s="34" t="n"/>
      <c r="AL99" s="34" t="n"/>
      <c r="AM99" s="34" t="n"/>
      <c r="AN99" s="34" t="n"/>
      <c r="AO99" s="34" t="n"/>
      <c r="AP99" s="34" t="n"/>
      <c r="AQ99" s="34" t="n"/>
      <c r="AR99" s="34" t="n"/>
      <c r="AS99" s="34" t="n"/>
      <c r="AT99" s="34" t="n"/>
      <c r="AU99" s="34" t="n"/>
      <c r="AV99" s="34" t="n"/>
      <c r="AW99" s="34" t="n"/>
      <c r="AX99" s="34" t="n"/>
      <c r="AY99" s="34" t="n"/>
      <c r="AZ99" s="34" t="n"/>
      <c r="BA99" s="34" t="n"/>
      <c r="BB99" s="34" t="n"/>
      <c r="BC99" s="34" t="n"/>
      <c r="BD99" s="34" t="n"/>
      <c r="BE99" s="34" t="n"/>
      <c r="BF99" s="34" t="n"/>
      <c r="BG99" s="34" t="n"/>
      <c r="BH99" s="34" t="n"/>
      <c r="BI99" s="34" t="n"/>
      <c r="BJ99" s="34" t="n"/>
      <c r="BK99" s="34" t="n"/>
      <c r="BL99" s="34" t="n"/>
      <c r="BM99" s="34" t="n"/>
      <c r="BN99" s="34" t="n"/>
      <c r="BO99" s="34" t="n"/>
      <c r="BP99" s="34" t="n"/>
      <c r="BQ99" s="34" t="n"/>
      <c r="BR99" s="34" t="n"/>
      <c r="BS99" s="34" t="n"/>
      <c r="BT99" s="34" t="n"/>
      <c r="BU99" s="34" t="n"/>
      <c r="BV99" s="34" t="n"/>
      <c r="BW99" s="34" t="n"/>
      <c r="BX99" s="34" t="n"/>
      <c r="BY99" s="254">
        <f>BT11+BU11+BT14+BU14+BT17+BU17+BT20+BU20+BT23+BU23+BT26+BU26</f>
        <v>216449</v>
      </c>
      <c r="BZ99" s="35" t="n"/>
      <c r="CA99" s="35" t="n"/>
      <c r="CB99" s="35" t="n"/>
      <c r="CC99" s="35" t="n"/>
      <c r="CD99" s="35" t="n"/>
      <c r="CE99" s="35" t="n"/>
      <c r="CF99" s="19" t="n"/>
    </row>
    <row r="100" ht="15" customHeight="1" s="251">
      <c r="B100" s="156" t="inlineStr">
        <is>
          <t xml:space="preserve">  Memo: FY26 revenue target (optional input; blank = driver-based)</t>
        </is>
      </c>
      <c r="C100" s="34" t="n"/>
      <c r="D100" s="34" t="n"/>
      <c r="E100" s="34" t="n"/>
      <c r="F100" s="34" t="n"/>
      <c r="G100" s="34" t="n"/>
      <c r="H100" s="34" t="n"/>
      <c r="I100" s="34" t="n"/>
      <c r="J100" s="34" t="n"/>
      <c r="K100" s="34" t="n"/>
      <c r="L100" s="34" t="n"/>
      <c r="M100" s="34" t="n"/>
      <c r="N100" s="34" t="n"/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  <c r="AA100" s="34" t="n"/>
      <c r="AB100" s="34" t="n"/>
      <c r="AC100" s="34" t="n"/>
      <c r="AD100" s="34" t="n"/>
      <c r="AE100" s="34" t="n"/>
      <c r="AF100" s="34" t="n"/>
      <c r="AG100" s="34" t="n"/>
      <c r="AH100" s="34" t="n"/>
      <c r="AI100" s="34" t="n"/>
      <c r="AJ100" s="34" t="n"/>
      <c r="AK100" s="34" t="n"/>
      <c r="AL100" s="34" t="n"/>
      <c r="AM100" s="34" t="n"/>
      <c r="AN100" s="34" t="n"/>
      <c r="AO100" s="34" t="n"/>
      <c r="AP100" s="34" t="n"/>
      <c r="AQ100" s="34" t="n"/>
      <c r="AR100" s="34" t="n"/>
      <c r="AS100" s="34" t="n"/>
      <c r="AT100" s="34" t="n"/>
      <c r="AU100" s="34" t="n"/>
      <c r="AV100" s="34" t="n"/>
      <c r="AW100" s="34" t="n"/>
      <c r="AX100" s="34" t="n"/>
      <c r="AY100" s="34" t="n"/>
      <c r="AZ100" s="34" t="n"/>
      <c r="BA100" s="34" t="n"/>
      <c r="BB100" s="34" t="n"/>
      <c r="BC100" s="34" t="n"/>
      <c r="BD100" s="34" t="n"/>
      <c r="BE100" s="34" t="n"/>
      <c r="BF100" s="34" t="n"/>
      <c r="BG100" s="34" t="n"/>
      <c r="BH100" s="34" t="n"/>
      <c r="BI100" s="34" t="n"/>
      <c r="BJ100" s="34" t="n"/>
      <c r="BK100" s="34" t="n"/>
      <c r="BL100" s="34" t="n"/>
      <c r="BM100" s="34" t="n"/>
      <c r="BN100" s="34" t="n"/>
      <c r="BO100" s="34" t="n"/>
      <c r="BP100" s="34" t="n"/>
      <c r="BQ100" s="34" t="n"/>
      <c r="BR100" s="34" t="n"/>
      <c r="BS100" s="34" t="n"/>
      <c r="BT100" s="34" t="n"/>
      <c r="BU100" s="34" t="n"/>
      <c r="BV100" s="34" t="n"/>
      <c r="BW100" s="34" t="n"/>
      <c r="BX100" s="34" t="n"/>
      <c r="BY100" s="153" t="n"/>
      <c r="BZ100" s="153" t="n"/>
      <c r="CA100" s="264" t="str">
        <f>IF(ISNUMBER($CP$17),$CP$17,"n/a")</f>
        <v>n/a</v>
      </c>
      <c r="CB100" s="153" t="n"/>
      <c r="CC100" s="153" t="n"/>
      <c r="CD100" s="153" t="n"/>
      <c r="CE100" s="153" t="n"/>
      <c r="CF100" s="153" t="n"/>
    </row>
    <row r="101" ht="15" customHeight="1" s="251">
      <c r="B101" s="57" t="inlineStr">
        <is>
          <t xml:space="preserve">  Check: FY26 revenues vs target, when a target is entered (should be 0)</t>
        </is>
      </c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  <c r="AQ101" s="44" t="n"/>
      <c r="AR101" s="44" t="n"/>
      <c r="AS101" s="44" t="n"/>
      <c r="AT101" s="44" t="n"/>
      <c r="AU101" s="44" t="n"/>
      <c r="AV101" s="44" t="n"/>
      <c r="AW101" s="44" t="n"/>
      <c r="AX101" s="44" t="n"/>
      <c r="AY101" s="44" t="n"/>
      <c r="AZ101" s="44" t="n"/>
      <c r="BA101" s="44" t="n"/>
      <c r="BB101" s="44" t="n"/>
      <c r="BC101" s="44" t="n"/>
      <c r="BD101" s="44" t="n"/>
      <c r="BE101" s="44" t="n"/>
      <c r="BF101" s="44" t="n"/>
      <c r="BG101" s="44" t="n"/>
      <c r="BH101" s="44" t="n"/>
      <c r="BI101" s="44" t="n"/>
      <c r="BJ101" s="44" t="n"/>
      <c r="BK101" s="44" t="n"/>
      <c r="BL101" s="44" t="n"/>
      <c r="BM101" s="44" t="n"/>
      <c r="BN101" s="44" t="n"/>
      <c r="BO101" s="44" t="n"/>
      <c r="BP101" s="44" t="n"/>
      <c r="BQ101" s="44" t="n"/>
      <c r="BR101" s="44" t="n"/>
      <c r="BS101" s="44" t="n"/>
      <c r="BT101" s="44" t="n"/>
      <c r="BU101" s="44" t="n"/>
      <c r="BV101" s="44" t="n"/>
      <c r="BW101" s="44" t="n"/>
      <c r="BX101" s="44" t="n"/>
      <c r="BY101" s="153" t="n"/>
      <c r="BZ101" s="153" t="n"/>
      <c r="CA101" s="264">
        <f>IF(ISNUMBER($CP$17),ROUND(CA132-$CP$17,0),"")</f>
      </c>
      <c r="CB101" s="153" t="n"/>
      <c r="CC101" s="153" t="n"/>
      <c r="CD101" s="153" t="n"/>
      <c r="CE101" s="153" t="n"/>
      <c r="CF101" s="153" t="n"/>
    </row>
    <row r="102" ht="15" customHeight="1" s="251">
      <c r="B102" s="25" t="inlineStr">
        <is>
          <t xml:space="preserve">  Q3–Q4/26E segment-margin shift (scenario; Services and Cloud)</t>
        </is>
      </c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  <c r="AV102" s="36" t="n"/>
      <c r="AW102" s="36" t="n"/>
      <c r="AX102" s="36" t="n"/>
      <c r="AY102" s="36" t="n"/>
      <c r="AZ102" s="36" t="n"/>
      <c r="BA102" s="36" t="n"/>
      <c r="BB102" s="36" t="n"/>
      <c r="BC102" s="36" t="n"/>
      <c r="BD102" s="36" t="n"/>
      <c r="BE102" s="36" t="n"/>
      <c r="BF102" s="36" t="n"/>
      <c r="BG102" s="36" t="n"/>
      <c r="BH102" s="36" t="n"/>
      <c r="BI102" s="36" t="n"/>
      <c r="BJ102" s="36" t="n"/>
      <c r="BK102" s="36" t="n"/>
      <c r="BL102" s="36" t="n"/>
      <c r="BM102" s="36" t="n"/>
      <c r="BN102" s="36" t="n"/>
      <c r="BO102" s="36" t="n"/>
      <c r="BP102" s="36" t="n"/>
      <c r="BQ102" s="36" t="n"/>
      <c r="BR102" s="36" t="n"/>
      <c r="BS102" s="36" t="n"/>
      <c r="BT102" s="36" t="n"/>
      <c r="BU102" s="36" t="n"/>
      <c r="BV102" s="36" t="n"/>
      <c r="BW102" s="36" t="n"/>
      <c r="BX102" s="36" t="n"/>
      <c r="BY102" s="256">
        <f>CHOOSE(MATCH($CF$2,{"Bull","Base","Bear"},0),$CO$13,$CP$13,$CQ$13)</f>
        <v>0</v>
      </c>
      <c r="BZ102" s="256">
        <f>CHOOSE(MATCH($CF$2,{"Bull","Base","Bear"},0),$CO$13,$CP$13,$CQ$13)</f>
        <v>0</v>
      </c>
      <c r="CA102" s="24" t="n"/>
      <c r="CB102" s="46" t="n"/>
      <c r="CC102" s="46" t="n"/>
      <c r="CD102" s="46" t="n"/>
      <c r="CE102" s="46" t="n"/>
      <c r="CF102" s="19" t="n"/>
    </row>
    <row r="103" ht="15" customHeight="1" s="251">
      <c r="B103" s="156" t="inlineStr">
        <is>
          <t xml:space="preserve">  Memo: FY26 capital expenditures guidance mid-point — UNVERIFIED (earnings call only; not in EDGAR filings)</t>
        </is>
      </c>
      <c r="C103" s="34" t="n"/>
      <c r="D103" s="34" t="n"/>
      <c r="E103" s="34" t="n"/>
      <c r="F103" s="34" t="n"/>
      <c r="G103" s="34" t="n"/>
      <c r="H103" s="34" t="n"/>
      <c r="I103" s="34" t="n"/>
      <c r="J103" s="34" t="n"/>
      <c r="K103" s="34" t="n"/>
      <c r="L103" s="34" t="n"/>
      <c r="M103" s="34" t="n"/>
      <c r="N103" s="34" t="n"/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  <c r="AA103" s="34" t="n"/>
      <c r="AB103" s="34" t="n"/>
      <c r="AC103" s="34" t="n"/>
      <c r="AD103" s="34" t="n"/>
      <c r="AE103" s="34" t="n"/>
      <c r="AF103" s="34" t="n"/>
      <c r="AG103" s="34" t="n"/>
      <c r="AH103" s="34" t="n"/>
      <c r="AI103" s="34" t="n"/>
      <c r="AJ103" s="34" t="n"/>
      <c r="AK103" s="34" t="n"/>
      <c r="AL103" s="34" t="n"/>
      <c r="AM103" s="34" t="n"/>
      <c r="AN103" s="34" t="n"/>
      <c r="AO103" s="34" t="n"/>
      <c r="AP103" s="34" t="n"/>
      <c r="AQ103" s="34" t="n"/>
      <c r="AR103" s="34" t="n"/>
      <c r="AS103" s="34" t="n"/>
      <c r="AT103" s="34" t="n"/>
      <c r="AU103" s="34" t="n"/>
      <c r="AV103" s="34" t="n"/>
      <c r="AW103" s="34" t="n"/>
      <c r="AX103" s="34" t="n"/>
      <c r="AY103" s="34" t="n"/>
      <c r="AZ103" s="34" t="n"/>
      <c r="BA103" s="34" t="n"/>
      <c r="BB103" s="34" t="n"/>
      <c r="BC103" s="34" t="n"/>
      <c r="BD103" s="34" t="n"/>
      <c r="BE103" s="34" t="n"/>
      <c r="BF103" s="34" t="n"/>
      <c r="BG103" s="34" t="n"/>
      <c r="BH103" s="34" t="n"/>
      <c r="BI103" s="34" t="n"/>
      <c r="BJ103" s="34" t="n"/>
      <c r="BK103" s="34" t="n"/>
      <c r="BL103" s="34" t="n"/>
      <c r="BM103" s="34" t="n"/>
      <c r="BN103" s="34" t="n"/>
      <c r="BO103" s="34" t="n"/>
      <c r="BP103" s="34" t="n"/>
      <c r="BQ103" s="34" t="n"/>
      <c r="BR103" s="34" t="n"/>
      <c r="BS103" s="34" t="n"/>
      <c r="BT103" s="34" t="n"/>
      <c r="BU103" s="34" t="n"/>
      <c r="BV103" s="34" t="n"/>
      <c r="BW103" s="34" t="n"/>
      <c r="BX103" s="34" t="n"/>
      <c r="BY103" s="153" t="n"/>
      <c r="BZ103" s="153" t="n"/>
      <c r="CA103" s="264">
        <f>$CP$18</f>
        <v>200000</v>
      </c>
      <c r="CB103" s="153" t="n"/>
      <c r="CC103" s="153" t="n"/>
      <c r="CD103" s="153" t="n"/>
      <c r="CE103" s="153" t="n"/>
      <c r="CF103" s="153" t="inlineStr">
        <is>
          <t>UNVERIFIED - Q2-2026 earnings call (CFO), reported by secondary sources (w.media, Nasdaq/Motley Fool); not in any EDGAR filing. The Q2-26 10-Q states only that 2026 investment in technical infrastructure will 'significantly increase, relative to 2025'.</t>
        </is>
      </c>
    </row>
    <row r="104" ht="15" customHeight="1" s="251">
      <c r="B104" s="156" t="inlineStr">
        <is>
          <t xml:space="preserve">    Model FY26 capex − guidance (information)</t>
        </is>
      </c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  <c r="AQ104" s="44" t="n"/>
      <c r="AR104" s="44" t="n"/>
      <c r="AS104" s="44" t="n"/>
      <c r="AT104" s="44" t="n"/>
      <c r="AU104" s="44" t="n"/>
      <c r="AV104" s="44" t="n"/>
      <c r="AW104" s="44" t="n"/>
      <c r="AX104" s="44" t="n"/>
      <c r="AY104" s="44" t="n"/>
      <c r="AZ104" s="44" t="n"/>
      <c r="BA104" s="44" t="n"/>
      <c r="BB104" s="44" t="n"/>
      <c r="BC104" s="44" t="n"/>
      <c r="BD104" s="44" t="n"/>
      <c r="BE104" s="44" t="n"/>
      <c r="BF104" s="44" t="n"/>
      <c r="BG104" s="44" t="n"/>
      <c r="BH104" s="44" t="n"/>
      <c r="BI104" s="44" t="n"/>
      <c r="BJ104" s="44" t="n"/>
      <c r="BK104" s="44" t="n"/>
      <c r="BL104" s="44" t="n"/>
      <c r="BM104" s="44" t="n"/>
      <c r="BN104" s="44" t="n"/>
      <c r="BO104" s="44" t="n"/>
      <c r="BP104" s="44" t="n"/>
      <c r="BQ104" s="44" t="n"/>
      <c r="BR104" s="44" t="n"/>
      <c r="BS104" s="44" t="n"/>
      <c r="BT104" s="44" t="n"/>
      <c r="BU104" s="44" t="n"/>
      <c r="BV104" s="44" t="n"/>
      <c r="BW104" s="44" t="n"/>
      <c r="BX104" s="44" t="n"/>
      <c r="BY104" s="35" t="n"/>
      <c r="BZ104" s="35" t="n"/>
      <c r="CA104" s="254">
        <f>-CA254-CA103</f>
        <v>0</v>
      </c>
      <c r="CB104" s="35" t="n"/>
      <c r="CC104" s="35" t="n"/>
      <c r="CD104" s="35" t="n"/>
      <c r="CE104" s="35" t="n"/>
      <c r="CF104" s="153" t="n"/>
    </row>
    <row r="105" ht="15" customHeight="1" s="251">
      <c r="CN105" s="11" t="n"/>
      <c r="CO105" s="12" t="n"/>
      <c r="CP105" s="12" t="n"/>
      <c r="CQ105" s="12" t="n"/>
      <c r="CR105" s="13" t="n"/>
    </row>
    <row r="106" ht="15" customHeight="1" s="251">
      <c r="B106" s="14" t="inlineStr">
        <is>
          <t>Cost drivers, D&amp;A, adjusting items &amp; other income</t>
        </is>
      </c>
      <c r="C106" s="14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4" t="n"/>
      <c r="AK106" s="14" t="n"/>
      <c r="AL106" s="14" t="n"/>
      <c r="AM106" s="14" t="n"/>
      <c r="AN106" s="14" t="n"/>
      <c r="AO106" s="14" t="n"/>
      <c r="AP106" s="14" t="n"/>
      <c r="AQ106" s="14" t="n"/>
      <c r="AR106" s="14" t="n"/>
      <c r="AS106" s="14" t="n"/>
      <c r="AT106" s="14" t="n"/>
      <c r="AU106" s="14" t="n"/>
      <c r="AV106" s="14" t="n"/>
      <c r="AW106" s="14" t="n"/>
      <c r="AX106" s="14" t="n"/>
      <c r="AY106" s="14" t="n"/>
      <c r="AZ106" s="14" t="n"/>
      <c r="BA106" s="14" t="n"/>
      <c r="BB106" s="14" t="n"/>
      <c r="BC106" s="14" t="n"/>
      <c r="BD106" s="14" t="n"/>
      <c r="BE106" s="14" t="n"/>
      <c r="BF106" s="14" t="n"/>
      <c r="BG106" s="14" t="n"/>
      <c r="BH106" s="14" t="n"/>
      <c r="BI106" s="14" t="n"/>
      <c r="BJ106" s="14" t="n"/>
      <c r="BK106" s="14" t="n"/>
      <c r="BL106" s="14" t="n"/>
      <c r="BM106" s="14" t="n"/>
      <c r="BN106" s="14" t="n"/>
      <c r="BO106" s="14" t="n"/>
      <c r="BP106" s="14" t="n"/>
      <c r="BQ106" s="14" t="n"/>
      <c r="BR106" s="14" t="n"/>
      <c r="BS106" s="14" t="n"/>
      <c r="BT106" s="14" t="n"/>
      <c r="BU106" s="14" t="n"/>
      <c r="BV106" s="14" t="n"/>
      <c r="BW106" s="14" t="n"/>
      <c r="BX106" s="14" t="n"/>
      <c r="BY106" s="14" t="n"/>
      <c r="BZ106" s="14" t="n"/>
      <c r="CA106" s="14" t="n"/>
      <c r="CB106" s="14" t="n"/>
      <c r="CC106" s="14" t="n"/>
      <c r="CD106" s="14" t="n"/>
      <c r="CE106" s="14" t="n"/>
      <c r="CF106" s="15" t="inlineStr">
        <is>
          <t>COST DRIVERS — Q3–Q4/26E point estimates or 1H26 ratios; 2027E+ ratios / schedules</t>
        </is>
      </c>
    </row>
    <row r="107" ht="15" customHeight="1" s="251">
      <c r="B107" s="25" t="inlineStr">
        <is>
          <t xml:space="preserve">  Depreciation of property &amp; equipment (cash-flow statement; incl. impairment on disposition where presented)</t>
        </is>
      </c>
      <c r="C107" s="253" t="n">
        <v>494.43</v>
      </c>
      <c r="D107" s="253" t="n">
        <v>807.7430000000001</v>
      </c>
      <c r="E107" s="253" t="n">
        <v>1212.237</v>
      </c>
      <c r="F107" s="253" t="n">
        <v>1240.03</v>
      </c>
      <c r="G107" s="253" t="n">
        <v>1067</v>
      </c>
      <c r="H107" s="253" t="n">
        <v>1396</v>
      </c>
      <c r="I107" s="253" t="n">
        <v>1988</v>
      </c>
      <c r="J107" s="253" t="n">
        <v>584</v>
      </c>
      <c r="K107" s="253" t="n">
        <v>747</v>
      </c>
      <c r="L107" s="253" t="n">
        <v>693</v>
      </c>
      <c r="M107" s="253" t="n">
        <v>757</v>
      </c>
      <c r="N107" s="253" t="n">
        <v>2781</v>
      </c>
      <c r="O107" s="253" t="n">
        <v>816</v>
      </c>
      <c r="P107" s="253" t="n">
        <v>813</v>
      </c>
      <c r="Q107" s="253" t="n">
        <v>884</v>
      </c>
      <c r="R107" s="253" t="n">
        <v>1010</v>
      </c>
      <c r="S107" s="253" t="n">
        <v>3523</v>
      </c>
      <c r="T107" s="253" t="n">
        <v>938</v>
      </c>
      <c r="U107" s="253" t="n">
        <v>1011</v>
      </c>
      <c r="V107" s="253" t="n">
        <v>1030</v>
      </c>
      <c r="W107" s="253" t="n">
        <v>1153</v>
      </c>
      <c r="X107" s="253" t="n">
        <v>4132</v>
      </c>
      <c r="Y107" s="253" t="n">
        <v>1155</v>
      </c>
      <c r="Z107" s="253" t="n">
        <v>1271</v>
      </c>
      <c r="AA107" s="253" t="n">
        <v>1377</v>
      </c>
      <c r="AB107" s="253" t="n">
        <v>1464</v>
      </c>
      <c r="AC107" s="253" t="n">
        <v>5267</v>
      </c>
      <c r="AD107" s="253" t="n">
        <v>1287</v>
      </c>
      <c r="AE107" s="253" t="n">
        <v>1424</v>
      </c>
      <c r="AF107" s="253" t="n">
        <v>1561</v>
      </c>
      <c r="AG107" s="253" t="n">
        <v>1831</v>
      </c>
      <c r="AH107" s="253" t="n">
        <v>6103</v>
      </c>
      <c r="AI107" s="253" t="n">
        <v>1791</v>
      </c>
      <c r="AJ107" s="253" t="n">
        <v>1862</v>
      </c>
      <c r="AK107" s="253" t="n">
        <v>2138</v>
      </c>
      <c r="AL107" s="253" t="n">
        <v>2373</v>
      </c>
      <c r="AM107" s="253" t="n">
        <v>8164</v>
      </c>
      <c r="AN107" s="253" t="n">
        <v>2416</v>
      </c>
      <c r="AO107" s="253" t="n">
        <v>2626</v>
      </c>
      <c r="AP107" s="253" t="n">
        <v>2732</v>
      </c>
      <c r="AQ107" s="253" t="n">
        <v>3082</v>
      </c>
      <c r="AR107" s="253" t="n">
        <v>10856</v>
      </c>
      <c r="AS107" s="253" t="n">
        <v>2899</v>
      </c>
      <c r="AT107" s="253" t="n">
        <v>3178</v>
      </c>
      <c r="AU107" s="253" t="n">
        <v>3289</v>
      </c>
      <c r="AV107" s="253" t="n">
        <v>3539</v>
      </c>
      <c r="AW107" s="253" t="n">
        <v>12905</v>
      </c>
      <c r="AX107" s="253" t="n">
        <v>2525</v>
      </c>
      <c r="AY107" s="253" t="n">
        <v>2730</v>
      </c>
      <c r="AZ107" s="253" t="n">
        <v>3085</v>
      </c>
      <c r="BA107" s="253" t="n">
        <v>3215</v>
      </c>
      <c r="BB107" s="253" t="n">
        <v>11555</v>
      </c>
      <c r="BC107" s="253" t="n">
        <v>3591</v>
      </c>
      <c r="BD107" s="253" t="n">
        <v>3698</v>
      </c>
      <c r="BE107" s="253" t="n">
        <v>3933</v>
      </c>
      <c r="BF107" s="253" t="n">
        <v>4065</v>
      </c>
      <c r="BG107" s="253" t="n">
        <v>15287</v>
      </c>
      <c r="BH107" s="253" t="n">
        <v>3060</v>
      </c>
      <c r="BI107" s="253" t="n">
        <v>3279</v>
      </c>
      <c r="BJ107" s="253" t="n">
        <v>3671</v>
      </c>
      <c r="BK107" s="253" t="n">
        <v>1936</v>
      </c>
      <c r="BL107" s="253" t="n">
        <v>11946</v>
      </c>
      <c r="BM107" s="253" t="n">
        <v>3413</v>
      </c>
      <c r="BN107" s="253" t="n">
        <v>3708</v>
      </c>
      <c r="BO107" s="253" t="n">
        <v>3985</v>
      </c>
      <c r="BP107" s="253" t="n">
        <v>4205</v>
      </c>
      <c r="BQ107" s="253" t="n">
        <v>15311</v>
      </c>
      <c r="BR107" s="253" t="n">
        <v>4487</v>
      </c>
      <c r="BS107" s="253" t="n">
        <v>4998</v>
      </c>
      <c r="BT107" s="253" t="n">
        <v>5611</v>
      </c>
      <c r="BU107" s="253" t="n">
        <v>6040</v>
      </c>
      <c r="BV107" s="253" t="n">
        <v>21136</v>
      </c>
      <c r="BW107" s="253" t="n">
        <v>6482</v>
      </c>
      <c r="BX107" s="253" t="n">
        <v>7104</v>
      </c>
      <c r="BY107" s="254">
        <f>BX107*(1+$CP$19)</f>
        <v>7785.984</v>
      </c>
      <c r="BZ107" s="254">
        <f>BY107*(1+$CP$19)</f>
        <v>8533.438464</v>
      </c>
      <c r="CA107" s="254">
        <f>SUM(BW107:BZ107)</f>
        <v>29905.422464</v>
      </c>
      <c r="CB107" s="254">
        <f>CA309*CB108</f>
        <v>48793.87641664</v>
      </c>
      <c r="CC107" s="254">
        <f>CB309*CC108</f>
        <v>71932.5806287264</v>
      </c>
      <c r="CD107" s="254">
        <f>CC309*CD108</f>
        <v>94710.3338564229</v>
      </c>
      <c r="CE107" s="254">
        <f>CD309*CE108</f>
        <v>116593.645462934</v>
      </c>
      <c r="CF107" s="19" t="inlineStr">
        <is>
          <t>Q3–Q4/26E: prior quarter × (1 + sequential growth point estimate; Q2/Q1-26 +9.6%). 2027E+: opening net property &amp; equipment × depreciation rate.</t>
        </is>
      </c>
      <c r="CH107" s="20">
        <f>IFERROR((CE107/BV107)^(1/5)-1,"n/m")</f>
        <v>0.407117668218081</v>
      </c>
      <c r="CI107" s="20">
        <f>IFERROR((BV107/AW107)^(1/5)-1,"n/m")</f>
        <v>0.103704868569596</v>
      </c>
      <c r="CJ107" s="20">
        <f>IFERROR((BV107/X107)^(1/10)-1,"n/m")</f>
        <v>0.177297573057703</v>
      </c>
      <c r="CK107" s="20">
        <f>IFERROR((BV107/C107)^(1/19)-1,"n/m")</f>
        <v>0.218534384969081</v>
      </c>
    </row>
    <row r="108" ht="15" customHeight="1" s="251">
      <c r="B108" s="25" t="inlineStr">
        <is>
          <t xml:space="preserve">  Depreciation ÷ opening net property &amp; equipment %</t>
        </is>
      </c>
      <c r="C108" s="36" t="n"/>
      <c r="D108" s="215">
        <f>IFERROR(D107/C309,"")</f>
        <v>0.337228560490206</v>
      </c>
      <c r="E108" s="215">
        <f>IFERROR(E107/D309,"")</f>
        <v>0.300113560376514</v>
      </c>
      <c r="F108" s="215">
        <f>IFERROR(F107/E309,"")</f>
        <v>0.236925333832138</v>
      </c>
      <c r="G108" s="215">
        <f>IFERROR(G107/F309,"")</f>
        <v>0.220244766864619</v>
      </c>
      <c r="H108" s="215">
        <f>IFERROR(H107/G309,"")</f>
        <v>0.179920092795463</v>
      </c>
      <c r="I108" s="215">
        <f>IFERROR(I107/H309,"")</f>
        <v>0.207018640008331</v>
      </c>
      <c r="J108" s="36" t="n"/>
      <c r="K108" s="36" t="n"/>
      <c r="L108" s="36" t="n"/>
      <c r="M108" s="36" t="n"/>
      <c r="N108" s="215">
        <f>IFERROR(N107/I309,"")</f>
        <v>0.234604352961026</v>
      </c>
      <c r="O108" s="36" t="n"/>
      <c r="P108" s="36" t="n"/>
      <c r="Q108" s="36" t="n"/>
      <c r="R108" s="36" t="n"/>
      <c r="S108" s="215">
        <f>IFERROR(S107/N309,"")</f>
        <v>0.21320503510046</v>
      </c>
      <c r="T108" s="36" t="n"/>
      <c r="U108" s="36" t="n"/>
      <c r="V108" s="36" t="n"/>
      <c r="W108" s="36" t="n"/>
      <c r="X108" s="215">
        <f>IFERROR(X107/S309,"")</f>
        <v>0.173010090859607</v>
      </c>
      <c r="Y108" s="36" t="n"/>
      <c r="Z108" s="36" t="n"/>
      <c r="AA108" s="36" t="n"/>
      <c r="AB108" s="36" t="n"/>
      <c r="AC108" s="215">
        <f>IFERROR(AC107/X309,"")</f>
        <v>0.181520540391508</v>
      </c>
      <c r="AD108" s="36" t="n"/>
      <c r="AE108" s="36" t="n"/>
      <c r="AF108" s="36" t="n"/>
      <c r="AG108" s="36" t="n"/>
      <c r="AH108" s="215">
        <f>IFERROR(AH107/AC309,"")</f>
        <v>0.178273061868318</v>
      </c>
      <c r="AI108" s="36" t="n"/>
      <c r="AJ108" s="36" t="n"/>
      <c r="AK108" s="36" t="n"/>
      <c r="AL108" s="36" t="n"/>
      <c r="AM108" s="215">
        <f>IFERROR(AM107/AH309,"")</f>
        <v>0.192624401292971</v>
      </c>
      <c r="AN108" s="36" t="n"/>
      <c r="AO108" s="36" t="n"/>
      <c r="AP108" s="36" t="n"/>
      <c r="AQ108" s="36" t="n"/>
      <c r="AR108" s="215">
        <f>IFERROR(AR107/AM309,"")</f>
        <v>0.181784691639177</v>
      </c>
      <c r="AS108" s="36" t="n"/>
      <c r="AT108" s="36" t="n"/>
      <c r="AU108" s="36" t="n"/>
      <c r="AV108" s="36" t="n"/>
      <c r="AW108" s="215">
        <f>IFERROR(AW107/AR309,"")</f>
        <v>0.175230155066127</v>
      </c>
      <c r="AX108" s="36" t="n"/>
      <c r="AY108" s="36" t="n"/>
      <c r="AZ108" s="36" t="n"/>
      <c r="BA108" s="36" t="n"/>
      <c r="BB108" s="215">
        <f>IFERROR(BB107/AW309,"")</f>
        <v>0.136343791667158</v>
      </c>
      <c r="BC108" s="36" t="n"/>
      <c r="BD108" s="36" t="n"/>
      <c r="BE108" s="36" t="n"/>
      <c r="BF108" s="36" t="n"/>
      <c r="BG108" s="215">
        <f>IFERROR(BG107/BB309,"")</f>
        <v>0.156630703183434</v>
      </c>
      <c r="BH108" s="36" t="n"/>
      <c r="BI108" s="36" t="n"/>
      <c r="BJ108" s="36" t="n"/>
      <c r="BK108" s="36" t="n"/>
      <c r="BL108" s="215">
        <f>IFERROR(BL107/BG309,"")</f>
        <v>0.106028331025668</v>
      </c>
      <c r="BM108" s="36" t="n"/>
      <c r="BN108" s="36" t="n"/>
      <c r="BO108" s="36" t="n"/>
      <c r="BP108" s="36" t="n"/>
      <c r="BQ108" s="215">
        <f>IFERROR(BQ107/BL309,"")</f>
        <v>0.11396776954855</v>
      </c>
      <c r="BR108" s="36" t="n"/>
      <c r="BS108" s="36" t="n"/>
      <c r="BT108" s="36" t="n"/>
      <c r="BU108" s="36" t="n"/>
      <c r="BV108" s="215">
        <f>IFERROR(BV107/BQ309,"")</f>
        <v>0.123576323113263</v>
      </c>
      <c r="BW108" s="36" t="n"/>
      <c r="BX108" s="36" t="n"/>
      <c r="BY108" s="24" t="n"/>
      <c r="BZ108" s="24" t="n"/>
      <c r="CA108" s="256">
        <f>IFERROR(CA107/BV309,"")</f>
        <v>0.121272450451546</v>
      </c>
      <c r="CB108" s="268" t="n">
        <v>0.115</v>
      </c>
      <c r="CC108" s="268" t="n">
        <v>0.115</v>
      </c>
      <c r="CD108" s="268" t="n">
        <v>0.115</v>
      </c>
      <c r="CE108" s="268" t="n">
        <v>0.115</v>
      </c>
      <c r="CF108" s="153" t="inlineStr">
        <is>
          <t>FY2025 12.4% of opening net property &amp; equipment; 1H26 ~11% annualised (longer-lived data-centre buildings and land in the mix). 2027E+ input 11.5% (assumption).</t>
        </is>
      </c>
      <c r="CH108" s="37">
        <f>IFERROR(AVERAGE(CA108,CB108,CC108,CD108,CE108),"n/m")</f>
        <v>0.116254490090309</v>
      </c>
      <c r="CI108" s="37">
        <f>IFERROR(AVERAGE(BB108,BG108,BL108,BQ108,BV108),"n/m")</f>
        <v>0.127309383707615</v>
      </c>
      <c r="CJ108" s="37">
        <f>IFERROR(AVERAGE(AC108,AH108,AM108,AR108,AW108,BB108,BG108,BL108,BQ108,BV108),"n/m")</f>
        <v>0.154597976879618</v>
      </c>
      <c r="CK108" s="37">
        <f>IFERROR(AVERAGE(C108,D108,E108,F108,G108,H108,I108,N108,S108,X108,AC108,AH108,AM108,AR108,AW108,BB108,BG108,BL108,BQ108,BV108),"n/m")</f>
        <v>0.192013168530765</v>
      </c>
    </row>
    <row r="109" ht="15" customHeight="1" s="251">
      <c r="B109" s="25" t="inlineStr">
        <is>
          <t xml:space="preserve">  Amortization of intangible assets (cash-flow statement to 2022; note from 2026)</t>
        </is>
      </c>
      <c r="C109" s="211">
        <f>IF(ISNUMBER(C110),IF(C110&lt;&gt;0,C110,N(C111)),"")</f>
        <v>77.509</v>
      </c>
      <c r="D109" s="211">
        <f>IF(ISNUMBER(D110),IF(D110&lt;&gt;0,D110,N(D111)),"")</f>
        <v>159.915</v>
      </c>
      <c r="E109" s="211">
        <f>IF(ISNUMBER(E110),IF(E110&lt;&gt;0,E110,N(E111)),"")</f>
        <v>287.65</v>
      </c>
      <c r="F109" s="211">
        <f>IF(ISNUMBER(F110),IF(F110&lt;&gt;0,F110,N(F111)),"")</f>
        <v>284.278</v>
      </c>
      <c r="G109" s="211">
        <f>IF(ISNUMBER(G110),IF(G110&lt;&gt;0,G110,N(G111)),"")</f>
        <v>329</v>
      </c>
      <c r="H109" s="211">
        <f>IF(ISNUMBER(H110),IF(H110&lt;&gt;0,H110,N(H111)),"")</f>
        <v>455</v>
      </c>
      <c r="I109" s="211">
        <f>IF(ISNUMBER(I110),IF(I110&lt;&gt;0,I110,N(I111)),"")</f>
        <v>974</v>
      </c>
      <c r="J109" s="211">
        <f>IF(ISNUMBER(J110),IF(J110&lt;&gt;0,J110,N(J111)),"")</f>
        <v>315</v>
      </c>
      <c r="K109" s="211">
        <f>IF(ISNUMBER(K110),IF(K110&lt;&gt;0,K110,N(K111)),"")</f>
        <v>283</v>
      </c>
      <c r="L109" s="211">
        <f>IF(ISNUMBER(L110),IF(L110&lt;&gt;0,L110,N(L111)),"")</f>
        <v>281</v>
      </c>
      <c r="M109" s="211">
        <f>IF(ISNUMBER(M110),IF(M110&lt;&gt;0,M110,N(M111)),"")</f>
        <v>279</v>
      </c>
      <c r="N109" s="211">
        <f>IF(ISNUMBER(N110),IF(N110&lt;&gt;0,N110,N(N111)),"")</f>
        <v>1158</v>
      </c>
      <c r="O109" s="211">
        <f>IF(ISNUMBER(O110),IF(O110&lt;&gt;0,O110,N(O111)),"")</f>
        <v>270</v>
      </c>
      <c r="P109" s="211">
        <f>IF(ISNUMBER(P110),IF(P110&lt;&gt;0,P110,N(P111)),"")</f>
        <v>266</v>
      </c>
      <c r="Q109" s="211">
        <f>IF(ISNUMBER(Q110),IF(Q110&lt;&gt;0,Q110,N(Q111)),"")</f>
        <v>663</v>
      </c>
      <c r="R109" s="211">
        <f>IF(ISNUMBER(R110),IF(R110&lt;&gt;0,R110,N(R111)),"")</f>
        <v>257</v>
      </c>
      <c r="S109" s="211">
        <f>IF(ISNUMBER(S110),IF(S110&lt;&gt;0,S110,N(S111)),"")</f>
        <v>1456</v>
      </c>
      <c r="T109" s="211">
        <f>IF(ISNUMBER(T110),IF(T110&lt;&gt;0,T110,N(T111)),"")</f>
        <v>239</v>
      </c>
      <c r="U109" s="211">
        <f>IF(ISNUMBER(U110),IF(U110&lt;&gt;0,U110,N(U111)),"")</f>
        <v>223</v>
      </c>
      <c r="V109" s="211">
        <f>IF(ISNUMBER(V110),IF(V110&lt;&gt;0,V110,N(V111)),"")</f>
        <v>218</v>
      </c>
      <c r="W109" s="211">
        <f>IF(ISNUMBER(W110),IF(W110&lt;&gt;0,W110,N(W111)),"")</f>
        <v>251</v>
      </c>
      <c r="X109" s="211">
        <f>IF(ISNUMBER(X110),IF(X110&lt;&gt;0,X110,N(X111)),"")</f>
        <v>931</v>
      </c>
      <c r="Y109" s="211">
        <f>IF(ISNUMBER(Y110),IF(Y110&lt;&gt;0,Y110,N(Y111)),"")</f>
        <v>216</v>
      </c>
      <c r="Z109" s="211">
        <f>IF(ISNUMBER(Z110),IF(Z110&lt;&gt;0,Z110,N(Z111)),"")</f>
        <v>219</v>
      </c>
      <c r="AA109" s="211">
        <f>IF(ISNUMBER(AA110),IF(AA110&lt;&gt;0,AA110,N(AA111)),"")</f>
        <v>219</v>
      </c>
      <c r="AB109" s="211">
        <f>IF(ISNUMBER(AB110),IF(AB110&lt;&gt;0,AB110,N(AB111)),"")</f>
        <v>223</v>
      </c>
      <c r="AC109" s="211">
        <f>IF(ISNUMBER(AC110),IF(AC110&lt;&gt;0,AC110,N(AC111)),"")</f>
        <v>877</v>
      </c>
      <c r="AD109" s="211">
        <f>IF(ISNUMBER(AD110),IF(AD110&lt;&gt;0,AD110,N(AD111)),"")</f>
        <v>216</v>
      </c>
      <c r="AE109" s="211">
        <f>IF(ISNUMBER(AE110),IF(AE110&lt;&gt;0,AE110,N(AE111)),"")</f>
        <v>201</v>
      </c>
      <c r="AF109" s="211">
        <f>IF(ISNUMBER(AF110),IF(AF110&lt;&gt;0,AF110,N(AF111)),"")</f>
        <v>200</v>
      </c>
      <c r="AG109" s="211">
        <f>IF(ISNUMBER(AG110),IF(AG110&lt;&gt;0,AG110,N(AG111)),"")</f>
        <v>195</v>
      </c>
      <c r="AH109" s="211">
        <f>IF(ISNUMBER(AH110),IF(AH110&lt;&gt;0,AH110,N(AH111)),"")</f>
        <v>812</v>
      </c>
      <c r="AI109" s="211">
        <f>IF(ISNUMBER(AI110),IF(AI110&lt;&gt;0,AI110,N(AI111)),"")</f>
        <v>195</v>
      </c>
      <c r="AJ109" s="211">
        <f>IF(ISNUMBER(AJ110),IF(AJ110&lt;&gt;0,AJ110,N(AJ111)),"")</f>
        <v>252</v>
      </c>
      <c r="AK109" s="211">
        <f>IF(ISNUMBER(AK110),IF(AK110&lt;&gt;0,AK110,N(AK111)),"")</f>
        <v>217</v>
      </c>
      <c r="AL109" s="211">
        <f>IF(ISNUMBER(AL110),IF(AL110&lt;&gt;0,AL110,N(AL111)),"")</f>
        <v>207</v>
      </c>
      <c r="AM109" s="211">
        <f>IF(ISNUMBER(AM110),IF(AM110&lt;&gt;0,AM110,N(AM111)),"")</f>
        <v>871</v>
      </c>
      <c r="AN109" s="211">
        <f>IF(ISNUMBER(AN110),IF(AN110&lt;&gt;0,AN110,N(AN111)),"")</f>
        <v>197</v>
      </c>
      <c r="AO109" s="211">
        <f>IF(ISNUMBER(AO110),IF(AO110&lt;&gt;0,AO110,N(AO111)),"")</f>
        <v>209</v>
      </c>
      <c r="AP109" s="211">
        <f>IF(ISNUMBER(AP110),IF(AP110&lt;&gt;0,AP110,N(AP111)),"")</f>
        <v>188</v>
      </c>
      <c r="AQ109" s="211">
        <f>IF(ISNUMBER(AQ110),IF(AQ110&lt;&gt;0,AQ110,N(AQ111)),"")</f>
        <v>331</v>
      </c>
      <c r="AR109" s="211">
        <f>IF(ISNUMBER(AR110),IF(AR110&lt;&gt;0,AR110,N(AR111)),"")</f>
        <v>925</v>
      </c>
      <c r="AS109" s="211">
        <f>IF(ISNUMBER(AS110),IF(AS110&lt;&gt;0,AS110,N(AS111)),"")</f>
        <v>209</v>
      </c>
      <c r="AT109" s="211">
        <f>IF(ISNUMBER(AT110),IF(AT110&lt;&gt;0,AT110,N(AT111)),"")</f>
        <v>208</v>
      </c>
      <c r="AU109" s="211">
        <f>IF(ISNUMBER(AU110),IF(AU110&lt;&gt;0,AU110,N(AU111)),"")</f>
        <v>189</v>
      </c>
      <c r="AV109" s="211">
        <f>IF(ISNUMBER(AV110),IF(AV110&lt;&gt;0,AV110,N(AV111)),"")</f>
        <v>186</v>
      </c>
      <c r="AW109" s="211">
        <f>IF(ISNUMBER(AW110),IF(AW110&lt;&gt;0,AW110,N(AW111)),"")</f>
        <v>792</v>
      </c>
      <c r="AX109" s="211">
        <f>IF(ISNUMBER(AX110),IF(AX110&lt;&gt;0,AX110,N(AX111)),"")</f>
        <v>228</v>
      </c>
      <c r="AY109" s="211">
        <f>IF(ISNUMBER(AY110),IF(AY110&lt;&gt;0,AY110,N(AY111)),"")</f>
        <v>215</v>
      </c>
      <c r="AZ109" s="211">
        <f>IF(ISNUMBER(AZ110),IF(AZ110&lt;&gt;0,AZ110,N(AZ111)),"")</f>
        <v>219</v>
      </c>
      <c r="BA109" s="211">
        <f>IF(ISNUMBER(BA110),IF(BA110&lt;&gt;0,BA110,N(BA111)),"")</f>
        <v>224</v>
      </c>
      <c r="BB109" s="211">
        <f>IF(ISNUMBER(BB110),IF(BB110&lt;&gt;0,BB110,N(BB111)),"")</f>
        <v>886</v>
      </c>
      <c r="BC109" s="211">
        <f>IF(ISNUMBER(BC110),IF(BC110&lt;&gt;0,BC110,N(BC111)),"")</f>
        <v>191</v>
      </c>
      <c r="BD109" s="211">
        <f>IF(ISNUMBER(BD110),IF(BD110&lt;&gt;0,BD110,N(BD111)),"")</f>
        <v>201</v>
      </c>
      <c r="BE109" s="211">
        <f>IF(ISNUMBER(BE110),IF(BE110&lt;&gt;0,BE110,N(BE111)),"")</f>
        <v>113</v>
      </c>
      <c r="BF109" s="211">
        <f>IF(ISNUMBER(BF110),IF(BF110&lt;&gt;0,BF110,N(BF111)),"")</f>
        <v>136</v>
      </c>
      <c r="BG109" s="211">
        <f>IF(ISNUMBER(BG110),IF(BG110&lt;&gt;0,BG110,N(BG111)),"")</f>
        <v>641</v>
      </c>
      <c r="BH109" s="211">
        <f>IF(ISNUMBER(BH110),IF(BH110&lt;&gt;0,BH110,N(BH111)),"")</f>
        <v>126</v>
      </c>
      <c r="BI109" s="211">
        <f>IF(ISNUMBER(BI110),IF(BI110&lt;&gt;0,BI110,N(BI111)),"")</f>
        <v>118</v>
      </c>
      <c r="BJ109" s="211">
        <f>IF(ISNUMBER(BJ110),IF(BJ110&lt;&gt;0,BJ110,N(BJ111)),"")</f>
        <v>129</v>
      </c>
      <c r="BK109" s="211">
        <f>IF(ISNUMBER(BK110),IF(BK110&lt;&gt;0,BK110,N(BK111)),"")</f>
        <v>-373</v>
      </c>
      <c r="BL109" s="211">
        <f>IF(ISNUMBER(BL110),IF(BL110&lt;&gt;0,BL110,N(BL111)),"")</f>
        <v>0</v>
      </c>
      <c r="BM109" s="211">
        <f>IF(ISNUMBER(BM110),IF(BM110&lt;&gt;0,BM110,N(BM111)),"")</f>
        <v>0</v>
      </c>
      <c r="BN109" s="211">
        <f>IF(ISNUMBER(BN110),IF(BN110&lt;&gt;0,BN110,N(BN111)),"")</f>
        <v>0</v>
      </c>
      <c r="BO109" s="211">
        <f>IF(ISNUMBER(BO110),IF(BO110&lt;&gt;0,BO110,N(BO111)),"")</f>
        <v>0</v>
      </c>
      <c r="BP109" s="211">
        <f>IF(ISNUMBER(BP110),IF(BP110&lt;&gt;0,BP110,N(BP111)),"")</f>
        <v>0</v>
      </c>
      <c r="BQ109" s="211">
        <f>IF(ISNUMBER(BQ110),IF(BQ110&lt;&gt;0,BQ110,N(BQ111)),"")</f>
        <v>0</v>
      </c>
      <c r="BR109" s="211">
        <f>IF(ISNUMBER(BR110),IF(BR110&lt;&gt;0,BR110,N(BR111)),"")</f>
        <v>0</v>
      </c>
      <c r="BS109" s="211">
        <f>IF(ISNUMBER(BS110),IF(BS110&lt;&gt;0,BS110,N(BS111)),"")</f>
        <v>0</v>
      </c>
      <c r="BT109" s="211">
        <f>IF(ISNUMBER(BT110),IF(BT110&lt;&gt;0,BT110,N(BT111)),"")</f>
        <v>0</v>
      </c>
      <c r="BU109" s="211">
        <f>IF(ISNUMBER(BU110),IF(BU110&lt;&gt;0,BU110,N(BU111)),"")</f>
        <v>0</v>
      </c>
      <c r="BV109" s="211">
        <f>IF(ISNUMBER(BV110),IF(BV110&lt;&gt;0,BV110,N(BV111)),"")</f>
        <v>0</v>
      </c>
      <c r="BW109" s="211">
        <f>IF(ISNUMBER(BW110),IF(BW110&lt;&gt;0,BW110,N(BW111)),"")</f>
        <v>178</v>
      </c>
      <c r="BX109" s="211">
        <f>IF(ISNUMBER(BX110),IF(BX110&lt;&gt;0,BX110,N(BX111)),"")</f>
        <v>367</v>
      </c>
      <c r="BY109" s="254">
        <f>$CP$20</f>
        <v>370</v>
      </c>
      <c r="BZ109" s="254">
        <f>$CP$20</f>
        <v>370</v>
      </c>
      <c r="CA109" s="254">
        <f>SUM(BW109:BZ109)</f>
        <v>1285</v>
      </c>
      <c r="CB109" s="254">
        <f>CB112+N(CB84)</f>
        <v>1537.5</v>
      </c>
      <c r="CC109" s="254">
        <f>CC112+N(CC84)</f>
        <v>1662.5</v>
      </c>
      <c r="CD109" s="254">
        <f>CD112+N(CD84)</f>
        <v>1787.5</v>
      </c>
      <c r="CE109" s="254">
        <f>CE112+N(CE84)</f>
        <v>1912.5</v>
      </c>
      <c r="CF109" s="19" t="inlineStr">
        <is>
          <t>2023–2025: not presented separately (inside other non-cash items); D&amp;A = depreciation. 2026+: Wiz intangibles ($8.3bn; 7–10 years ≈ $1.0bn p.a.).</t>
        </is>
      </c>
    </row>
    <row r="110" ht="15" customHeight="1" s="251">
      <c r="B110" s="156" t="inlineStr">
        <is>
          <t xml:space="preserve">    Memo: amortization (and impairment) of intangibles, cash-flow statement</t>
        </is>
      </c>
      <c r="C110" s="253" t="n">
        <v>77.509</v>
      </c>
      <c r="D110" s="253" t="n">
        <v>159.915</v>
      </c>
      <c r="E110" s="253" t="n">
        <v>287.65</v>
      </c>
      <c r="F110" s="253" t="n">
        <v>284.278</v>
      </c>
      <c r="G110" s="253" t="n">
        <v>329</v>
      </c>
      <c r="H110" s="253" t="n">
        <v>455</v>
      </c>
      <c r="I110" s="253" t="n">
        <v>974</v>
      </c>
      <c r="J110" s="253" t="n">
        <v>315</v>
      </c>
      <c r="K110" s="253" t="n">
        <v>283</v>
      </c>
      <c r="L110" s="253" t="n">
        <v>281</v>
      </c>
      <c r="M110" s="253" t="n">
        <v>279</v>
      </c>
      <c r="N110" s="253" t="n">
        <v>1158</v>
      </c>
      <c r="O110" s="253" t="n">
        <v>270</v>
      </c>
      <c r="P110" s="253" t="n">
        <v>266</v>
      </c>
      <c r="Q110" s="253" t="n">
        <v>663</v>
      </c>
      <c r="R110" s="253" t="n">
        <v>257</v>
      </c>
      <c r="S110" s="253" t="n">
        <v>1456</v>
      </c>
      <c r="T110" s="253" t="n">
        <v>239</v>
      </c>
      <c r="U110" s="253" t="n">
        <v>223</v>
      </c>
      <c r="V110" s="253" t="n">
        <v>218</v>
      </c>
      <c r="W110" s="253" t="n">
        <v>251</v>
      </c>
      <c r="X110" s="253" t="n">
        <v>931</v>
      </c>
      <c r="Y110" s="253" t="n">
        <v>216</v>
      </c>
      <c r="Z110" s="253" t="n">
        <v>219</v>
      </c>
      <c r="AA110" s="253" t="n">
        <v>219</v>
      </c>
      <c r="AB110" s="253" t="n">
        <v>223</v>
      </c>
      <c r="AC110" s="253" t="n">
        <v>877</v>
      </c>
      <c r="AD110" s="253" t="n">
        <v>216</v>
      </c>
      <c r="AE110" s="253" t="n">
        <v>201</v>
      </c>
      <c r="AF110" s="253" t="n">
        <v>200</v>
      </c>
      <c r="AG110" s="253" t="n">
        <v>195</v>
      </c>
      <c r="AH110" s="253" t="n">
        <v>812</v>
      </c>
      <c r="AI110" s="253" t="n">
        <v>195</v>
      </c>
      <c r="AJ110" s="253" t="n">
        <v>252</v>
      </c>
      <c r="AK110" s="253" t="n">
        <v>217</v>
      </c>
      <c r="AL110" s="253" t="n">
        <v>207</v>
      </c>
      <c r="AM110" s="253" t="n">
        <v>871</v>
      </c>
      <c r="AN110" s="253" t="n">
        <v>197</v>
      </c>
      <c r="AO110" s="253" t="n">
        <v>209</v>
      </c>
      <c r="AP110" s="253" t="n">
        <v>188</v>
      </c>
      <c r="AQ110" s="253" t="n">
        <v>331</v>
      </c>
      <c r="AR110" s="253" t="n">
        <v>925</v>
      </c>
      <c r="AS110" s="253" t="n">
        <v>209</v>
      </c>
      <c r="AT110" s="253" t="n">
        <v>208</v>
      </c>
      <c r="AU110" s="253" t="n">
        <v>189</v>
      </c>
      <c r="AV110" s="253" t="n">
        <v>186</v>
      </c>
      <c r="AW110" s="253" t="n">
        <v>792</v>
      </c>
      <c r="AX110" s="253" t="n">
        <v>228</v>
      </c>
      <c r="AY110" s="253" t="n">
        <v>215</v>
      </c>
      <c r="AZ110" s="253" t="n">
        <v>219</v>
      </c>
      <c r="BA110" s="253" t="n">
        <v>224</v>
      </c>
      <c r="BB110" s="253" t="n">
        <v>886</v>
      </c>
      <c r="BC110" s="253" t="n">
        <v>191</v>
      </c>
      <c r="BD110" s="253" t="n">
        <v>201</v>
      </c>
      <c r="BE110" s="253" t="n">
        <v>113</v>
      </c>
      <c r="BF110" s="253" t="n">
        <v>136</v>
      </c>
      <c r="BG110" s="253" t="n">
        <v>641</v>
      </c>
      <c r="BH110" s="253" t="n">
        <v>126</v>
      </c>
      <c r="BI110" s="253" t="n">
        <v>118</v>
      </c>
      <c r="BJ110" s="253" t="n">
        <v>129</v>
      </c>
      <c r="BK110" s="253" t="n">
        <v>-373</v>
      </c>
      <c r="BL110" s="253" t="n">
        <v>0</v>
      </c>
      <c r="BM110" s="253" t="n">
        <v>0</v>
      </c>
      <c r="BN110" s="253" t="n">
        <v>0</v>
      </c>
      <c r="BO110" s="253" t="n">
        <v>0</v>
      </c>
      <c r="BP110" s="253" t="n">
        <v>0</v>
      </c>
      <c r="BQ110" s="253" t="n">
        <v>0</v>
      </c>
      <c r="BR110" s="253" t="n">
        <v>0</v>
      </c>
      <c r="BS110" s="253" t="n">
        <v>0</v>
      </c>
      <c r="BT110" s="253" t="n">
        <v>0</v>
      </c>
      <c r="BU110" s="253" t="n">
        <v>0</v>
      </c>
      <c r="BV110" s="253" t="n">
        <v>0</v>
      </c>
      <c r="BW110" s="253" t="n">
        <v>178</v>
      </c>
      <c r="BX110" s="253" t="n">
        <v>367</v>
      </c>
      <c r="BY110" s="153" t="n"/>
      <c r="BZ110" s="153" t="n"/>
      <c r="CA110" s="153" t="n"/>
      <c r="CB110" s="153" t="n"/>
      <c r="CC110" s="153" t="n"/>
      <c r="CD110" s="153" t="n"/>
      <c r="CE110" s="153" t="n"/>
      <c r="CF110" s="153" t="n"/>
    </row>
    <row r="111" ht="15" customHeight="1" s="251">
      <c r="B111" s="156" t="inlineStr">
        <is>
          <t xml:space="preserve">    Memo: amortization of intangible assets (note)</t>
        </is>
      </c>
      <c r="C111" s="34" t="n"/>
      <c r="D111" s="34" t="n"/>
      <c r="E111" s="34" t="n"/>
      <c r="F111" s="253" t="n">
        <v>284.278</v>
      </c>
      <c r="G111" s="253" t="n">
        <v>329</v>
      </c>
      <c r="H111" s="253" t="n">
        <v>455</v>
      </c>
      <c r="I111" s="253" t="n">
        <v>974</v>
      </c>
      <c r="J111" s="253" t="n">
        <v>315</v>
      </c>
      <c r="K111" s="34" t="n"/>
      <c r="L111" s="34" t="n"/>
      <c r="M111" s="253" t="n">
        <v>279</v>
      </c>
      <c r="N111" s="253" t="n">
        <v>1158</v>
      </c>
      <c r="O111" s="253" t="n">
        <v>270</v>
      </c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  <c r="AA111" s="34" t="n"/>
      <c r="AB111" s="34" t="n"/>
      <c r="AC111" s="34" t="n"/>
      <c r="AD111" s="34" t="n"/>
      <c r="AE111" s="34" t="n"/>
      <c r="AF111" s="34" t="n"/>
      <c r="AG111" s="34" t="n"/>
      <c r="AH111" s="34" t="n"/>
      <c r="AI111" s="34" t="n"/>
      <c r="AJ111" s="34" t="n"/>
      <c r="AK111" s="34" t="n"/>
      <c r="AL111" s="34" t="n"/>
      <c r="AM111" s="34" t="n"/>
      <c r="AN111" s="34" t="n"/>
      <c r="AO111" s="34" t="n"/>
      <c r="AP111" s="34" t="n"/>
      <c r="AQ111" s="34" t="n"/>
      <c r="AR111" s="34" t="n"/>
      <c r="AS111" s="34" t="n"/>
      <c r="AT111" s="34" t="n"/>
      <c r="AU111" s="34" t="n"/>
      <c r="AV111" s="34" t="n"/>
      <c r="AW111" s="34" t="n"/>
      <c r="AX111" s="34" t="n"/>
      <c r="AY111" s="34" t="n"/>
      <c r="AZ111" s="34" t="n"/>
      <c r="BA111" s="34" t="n"/>
      <c r="BB111" s="34" t="n"/>
      <c r="BC111" s="34" t="n"/>
      <c r="BD111" s="34" t="n"/>
      <c r="BE111" s="34" t="n"/>
      <c r="BF111" s="34" t="n"/>
      <c r="BG111" s="34" t="n"/>
      <c r="BH111" s="34" t="n"/>
      <c r="BI111" s="34" t="n"/>
      <c r="BJ111" s="34" t="n"/>
      <c r="BK111" s="34" t="n"/>
      <c r="BL111" s="34" t="n"/>
      <c r="BM111" s="34" t="n"/>
      <c r="BN111" s="34" t="n"/>
      <c r="BO111" s="34" t="n"/>
      <c r="BP111" s="34" t="n"/>
      <c r="BQ111" s="34" t="n"/>
      <c r="BR111" s="34" t="n"/>
      <c r="BS111" s="34" t="n"/>
      <c r="BT111" s="34" t="n"/>
      <c r="BU111" s="34" t="n"/>
      <c r="BV111" s="34" t="n"/>
      <c r="BW111" s="253" t="n">
        <v>178</v>
      </c>
      <c r="BX111" s="253" t="n">
        <v>367</v>
      </c>
      <c r="BY111" s="153" t="n"/>
      <c r="BZ111" s="153" t="n"/>
      <c r="CA111" s="153" t="n"/>
      <c r="CB111" s="153" t="n"/>
      <c r="CC111" s="153" t="n"/>
      <c r="CD111" s="153" t="n"/>
      <c r="CE111" s="153" t="n"/>
      <c r="CF111" s="153" t="n"/>
    </row>
    <row r="112" ht="15" customHeight="1" s="251">
      <c r="B112" s="25" t="inlineStr">
        <is>
          <t xml:space="preserve">  Amortization schedule of intangibles held (input)</t>
        </is>
      </c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  <c r="AV112" s="36" t="n"/>
      <c r="AW112" s="36" t="n"/>
      <c r="AX112" s="36" t="n"/>
      <c r="AY112" s="36" t="n"/>
      <c r="AZ112" s="36" t="n"/>
      <c r="BA112" s="36" t="n"/>
      <c r="BB112" s="36" t="n"/>
      <c r="BC112" s="36" t="n"/>
      <c r="BD112" s="36" t="n"/>
      <c r="BE112" s="36" t="n"/>
      <c r="BF112" s="36" t="n"/>
      <c r="BG112" s="36" t="n"/>
      <c r="BH112" s="36" t="n"/>
      <c r="BI112" s="36" t="n"/>
      <c r="BJ112" s="36" t="n"/>
      <c r="BK112" s="36" t="n"/>
      <c r="BL112" s="36" t="n"/>
      <c r="BM112" s="36" t="n"/>
      <c r="BN112" s="36" t="n"/>
      <c r="BO112" s="36" t="n"/>
      <c r="BP112" s="36" t="n"/>
      <c r="BQ112" s="36" t="n"/>
      <c r="BR112" s="36" t="n"/>
      <c r="BS112" s="36" t="n"/>
      <c r="BT112" s="36" t="n"/>
      <c r="BU112" s="36" t="n"/>
      <c r="BV112" s="36" t="n"/>
      <c r="BW112" s="36" t="n"/>
      <c r="BX112" s="36" t="n"/>
      <c r="BY112" s="24" t="n"/>
      <c r="BZ112" s="24" t="n"/>
      <c r="CA112" s="24" t="n"/>
      <c r="CB112" s="265" t="n">
        <v>1450</v>
      </c>
      <c r="CC112" s="265" t="n">
        <v>1400</v>
      </c>
      <c r="CD112" s="265" t="n">
        <v>1350</v>
      </c>
      <c r="CE112" s="265" t="n">
        <v>1300</v>
      </c>
      <c r="CF112" s="19" t="inlineStr">
        <is>
          <t>Wiz intangibles $8.3bn (developed technology $3.6bn / 7 years, customer relationships $4.5bn / 10 years, trade names $0.2bn / 7 years ≈ $1.0bn p.a.) + other (~$0.4bn). Assumption (no post-Wiz schedule filed).</t>
        </is>
      </c>
    </row>
    <row r="113" ht="15" customHeight="1" s="251">
      <c r="B113" s="16" t="inlineStr">
        <is>
          <t xml:space="preserve">  Depreciation &amp; amortization (total)</t>
        </is>
      </c>
      <c r="C113" s="261">
        <f>IF(ISNUMBER(C107),C107+N(C109),"")</f>
        <v>571.939</v>
      </c>
      <c r="D113" s="261">
        <f>IF(ISNUMBER(D107),D107+N(D109),"")</f>
        <v>967.658</v>
      </c>
      <c r="E113" s="261">
        <f>IF(ISNUMBER(E107),E107+N(E109),"")</f>
        <v>1499.887</v>
      </c>
      <c r="F113" s="261">
        <f>IF(ISNUMBER(F107),F107+N(F109),"")</f>
        <v>1524.308</v>
      </c>
      <c r="G113" s="261">
        <f>IF(ISNUMBER(G107),G107+N(G109),"")</f>
        <v>1396</v>
      </c>
      <c r="H113" s="261">
        <f>IF(ISNUMBER(H107),H107+N(H109),"")</f>
        <v>1851</v>
      </c>
      <c r="I113" s="261">
        <f>IF(ISNUMBER(I107),I107+N(I109),"")</f>
        <v>2962</v>
      </c>
      <c r="J113" s="261">
        <f>IF(ISNUMBER(J107),J107+N(J109),"")</f>
        <v>899</v>
      </c>
      <c r="K113" s="261">
        <f>IF(ISNUMBER(K107),K107+N(K109),"")</f>
        <v>1030</v>
      </c>
      <c r="L113" s="261">
        <f>IF(ISNUMBER(L107),L107+N(L109),"")</f>
        <v>974</v>
      </c>
      <c r="M113" s="261">
        <f>IF(ISNUMBER(M107),M107+N(M109),"")</f>
        <v>1036</v>
      </c>
      <c r="N113" s="261">
        <f>IF(ISNUMBER(N107),N107+N(N109),"")</f>
        <v>3939</v>
      </c>
      <c r="O113" s="261">
        <f>IF(ISNUMBER(O107),O107+N(O109),"")</f>
        <v>1086</v>
      </c>
      <c r="P113" s="261">
        <f>IF(ISNUMBER(P107),P107+N(P109),"")</f>
        <v>1079</v>
      </c>
      <c r="Q113" s="261">
        <f>IF(ISNUMBER(Q107),Q107+N(Q109),"")</f>
        <v>1547</v>
      </c>
      <c r="R113" s="261">
        <f>IF(ISNUMBER(R107),R107+N(R109),"")</f>
        <v>1267</v>
      </c>
      <c r="S113" s="261">
        <f>IF(ISNUMBER(S107),S107+N(S109),"")</f>
        <v>4979</v>
      </c>
      <c r="T113" s="261">
        <f>IF(ISNUMBER(T107),T107+N(T109),"")</f>
        <v>1177</v>
      </c>
      <c r="U113" s="261">
        <f>IF(ISNUMBER(U107),U107+N(U109),"")</f>
        <v>1234</v>
      </c>
      <c r="V113" s="261">
        <f>IF(ISNUMBER(V107),V107+N(V109),"")</f>
        <v>1248</v>
      </c>
      <c r="W113" s="261">
        <f>IF(ISNUMBER(W107),W107+N(W109),"")</f>
        <v>1404</v>
      </c>
      <c r="X113" s="261">
        <f>IF(ISNUMBER(X107),X107+N(X109),"")</f>
        <v>5063</v>
      </c>
      <c r="Y113" s="261">
        <f>IF(ISNUMBER(Y107),Y107+N(Y109),"")</f>
        <v>1371</v>
      </c>
      <c r="Z113" s="261">
        <f>IF(ISNUMBER(Z107),Z107+N(Z109),"")</f>
        <v>1490</v>
      </c>
      <c r="AA113" s="261">
        <f>IF(ISNUMBER(AA107),AA107+N(AA109),"")</f>
        <v>1596</v>
      </c>
      <c r="AB113" s="261">
        <f>IF(ISNUMBER(AB107),AB107+N(AB109),"")</f>
        <v>1687</v>
      </c>
      <c r="AC113" s="261">
        <f>IF(ISNUMBER(AC107),AC107+N(AC109),"")</f>
        <v>6144</v>
      </c>
      <c r="AD113" s="261">
        <f>IF(ISNUMBER(AD107),AD107+N(AD109),"")</f>
        <v>1503</v>
      </c>
      <c r="AE113" s="261">
        <f>IF(ISNUMBER(AE107),AE107+N(AE109),"")</f>
        <v>1625</v>
      </c>
      <c r="AF113" s="261">
        <f>IF(ISNUMBER(AF107),AF107+N(AF109),"")</f>
        <v>1761</v>
      </c>
      <c r="AG113" s="261">
        <f>IF(ISNUMBER(AG107),AG107+N(AG109),"")</f>
        <v>2026</v>
      </c>
      <c r="AH113" s="261">
        <f>IF(ISNUMBER(AH107),AH107+N(AH109),"")</f>
        <v>6915</v>
      </c>
      <c r="AI113" s="261">
        <f>IF(ISNUMBER(AI107),AI107+N(AI109),"")</f>
        <v>1986</v>
      </c>
      <c r="AJ113" s="261">
        <f>IF(ISNUMBER(AJ107),AJ107+N(AJ109),"")</f>
        <v>2114</v>
      </c>
      <c r="AK113" s="261">
        <f>IF(ISNUMBER(AK107),AK107+N(AK109),"")</f>
        <v>2355</v>
      </c>
      <c r="AL113" s="261">
        <f>IF(ISNUMBER(AL107),AL107+N(AL109),"")</f>
        <v>2580</v>
      </c>
      <c r="AM113" s="261">
        <f>IF(ISNUMBER(AM107),AM107+N(AM109),"")</f>
        <v>9035</v>
      </c>
      <c r="AN113" s="261">
        <f>IF(ISNUMBER(AN107),AN107+N(AN109),"")</f>
        <v>2613</v>
      </c>
      <c r="AO113" s="261">
        <f>IF(ISNUMBER(AO107),AO107+N(AO109),"")</f>
        <v>2835</v>
      </c>
      <c r="AP113" s="261">
        <f>IF(ISNUMBER(AP107),AP107+N(AP109),"")</f>
        <v>2920</v>
      </c>
      <c r="AQ113" s="261">
        <f>IF(ISNUMBER(AQ107),AQ107+N(AQ109),"")</f>
        <v>3413</v>
      </c>
      <c r="AR113" s="261">
        <f>IF(ISNUMBER(AR107),AR107+N(AR109),"")</f>
        <v>11781</v>
      </c>
      <c r="AS113" s="261">
        <f>IF(ISNUMBER(AS107),AS107+N(AS109),"")</f>
        <v>3108</v>
      </c>
      <c r="AT113" s="261">
        <f>IF(ISNUMBER(AT107),AT107+N(AT109),"")</f>
        <v>3386</v>
      </c>
      <c r="AU113" s="261">
        <f>IF(ISNUMBER(AU107),AU107+N(AU109),"")</f>
        <v>3478</v>
      </c>
      <c r="AV113" s="261">
        <f>IF(ISNUMBER(AV107),AV107+N(AV109),"")</f>
        <v>3725</v>
      </c>
      <c r="AW113" s="261">
        <f>IF(ISNUMBER(AW107),AW107+N(AW109),"")</f>
        <v>13697</v>
      </c>
      <c r="AX113" s="261">
        <f>IF(ISNUMBER(AX107),AX107+N(AX109),"")</f>
        <v>2753</v>
      </c>
      <c r="AY113" s="261">
        <f>IF(ISNUMBER(AY107),AY107+N(AY109),"")</f>
        <v>2945</v>
      </c>
      <c r="AZ113" s="261">
        <f>IF(ISNUMBER(AZ107),AZ107+N(AZ109),"")</f>
        <v>3304</v>
      </c>
      <c r="BA113" s="261">
        <f>IF(ISNUMBER(BA107),BA107+N(BA109),"")</f>
        <v>3439</v>
      </c>
      <c r="BB113" s="261">
        <f>IF(ISNUMBER(BB107),BB107+N(BB109),"")</f>
        <v>12441</v>
      </c>
      <c r="BC113" s="261">
        <f>IF(ISNUMBER(BC107),BC107+N(BC109),"")</f>
        <v>3782</v>
      </c>
      <c r="BD113" s="261">
        <f>IF(ISNUMBER(BD107),BD107+N(BD109),"")</f>
        <v>3899</v>
      </c>
      <c r="BE113" s="261">
        <f>IF(ISNUMBER(BE107),BE107+N(BE109),"")</f>
        <v>4046</v>
      </c>
      <c r="BF113" s="261">
        <f>IF(ISNUMBER(BF107),BF107+N(BF109),"")</f>
        <v>4201</v>
      </c>
      <c r="BG113" s="261">
        <f>IF(ISNUMBER(BG107),BG107+N(BG109),"")</f>
        <v>15928</v>
      </c>
      <c r="BH113" s="261">
        <f>IF(ISNUMBER(BH107),BH107+N(BH109),"")</f>
        <v>3186</v>
      </c>
      <c r="BI113" s="261">
        <f>IF(ISNUMBER(BI107),BI107+N(BI109),"")</f>
        <v>3397</v>
      </c>
      <c r="BJ113" s="261">
        <f>IF(ISNUMBER(BJ107),BJ107+N(BJ109),"")</f>
        <v>3800</v>
      </c>
      <c r="BK113" s="261">
        <f>IF(ISNUMBER(BK107),BK107+N(BK109),"")</f>
        <v>1563</v>
      </c>
      <c r="BL113" s="261">
        <f>IF(ISNUMBER(BL107),BL107+N(BL109),"")</f>
        <v>11946</v>
      </c>
      <c r="BM113" s="261">
        <f>IF(ISNUMBER(BM107),BM107+N(BM109),"")</f>
        <v>3413</v>
      </c>
      <c r="BN113" s="261">
        <f>IF(ISNUMBER(BN107),BN107+N(BN109),"")</f>
        <v>3708</v>
      </c>
      <c r="BO113" s="261">
        <f>IF(ISNUMBER(BO107),BO107+N(BO109),"")</f>
        <v>3985</v>
      </c>
      <c r="BP113" s="261">
        <f>IF(ISNUMBER(BP107),BP107+N(BP109),"")</f>
        <v>4205</v>
      </c>
      <c r="BQ113" s="261">
        <f>IF(ISNUMBER(BQ107),BQ107+N(BQ109),"")</f>
        <v>15311</v>
      </c>
      <c r="BR113" s="261">
        <f>IF(ISNUMBER(BR107),BR107+N(BR109),"")</f>
        <v>4487</v>
      </c>
      <c r="BS113" s="261">
        <f>IF(ISNUMBER(BS107),BS107+N(BS109),"")</f>
        <v>4998</v>
      </c>
      <c r="BT113" s="261">
        <f>IF(ISNUMBER(BT107),BT107+N(BT109),"")</f>
        <v>5611</v>
      </c>
      <c r="BU113" s="261">
        <f>IF(ISNUMBER(BU107),BU107+N(BU109),"")</f>
        <v>6040</v>
      </c>
      <c r="BV113" s="261">
        <f>IF(ISNUMBER(BV107),BV107+N(BV109),"")</f>
        <v>21136</v>
      </c>
      <c r="BW113" s="261">
        <f>IF(ISNUMBER(BW107),BW107+N(BW109),"")</f>
        <v>6660</v>
      </c>
      <c r="BX113" s="261">
        <f>IF(ISNUMBER(BX107),BX107+N(BX109),"")</f>
        <v>7471</v>
      </c>
      <c r="BY113" s="262">
        <f>IF(ISNUMBER(BY107),BY107+N(BY109),"")</f>
        <v>8155.984</v>
      </c>
      <c r="BZ113" s="262">
        <f>IF(ISNUMBER(BZ107),BZ107+N(BZ109),"")</f>
        <v>8903.438464</v>
      </c>
      <c r="CA113" s="262">
        <f>IF(ISNUMBER(CA107),CA107+N(CA109),"")</f>
        <v>31190.422464</v>
      </c>
      <c r="CB113" s="262">
        <f>IF(ISNUMBER(CB107),CB107+N(CB109),"")</f>
        <v>50331.37641664</v>
      </c>
      <c r="CC113" s="262">
        <f>IF(ISNUMBER(CC107),CC107+N(CC109),"")</f>
        <v>73595.0806287264</v>
      </c>
      <c r="CD113" s="262">
        <f>IF(ISNUMBER(CD107),CD107+N(CD109),"")</f>
        <v>96497.8338564229</v>
      </c>
      <c r="CE113" s="262">
        <f>IF(ISNUMBER(CE107),CE107+N(CE109),"")</f>
        <v>118506.145462934</v>
      </c>
      <c r="CF113" s="153" t="n"/>
      <c r="CH113" s="20">
        <f>IFERROR((CE113/BV113)^(1/5)-1,"n/m")</f>
        <v>0.411703899786298</v>
      </c>
      <c r="CI113" s="20">
        <f>IFERROR((BV113/AW113)^(1/5)-1,"n/m")</f>
        <v>0.0906350959588664</v>
      </c>
      <c r="CJ113" s="20">
        <f>IFERROR((BV113/X113)^(1/10)-1,"n/m")</f>
        <v>0.153616574963897</v>
      </c>
      <c r="CK113" s="20">
        <f>IFERROR((BV113/C113)^(1/19)-1,"n/m")</f>
        <v>0.209230547952684</v>
      </c>
    </row>
    <row r="114" ht="15" customHeight="1" s="251">
      <c r="B114" s="25" t="inlineStr">
        <is>
          <t xml:space="preserve">  Stock-based compensation (cash-flow statement)</t>
        </is>
      </c>
      <c r="C114" s="253" t="n">
        <v>458.1</v>
      </c>
      <c r="D114" s="253" t="n">
        <v>868.646</v>
      </c>
      <c r="E114" s="253" t="n">
        <v>1119.766</v>
      </c>
      <c r="F114" s="253" t="n">
        <v>1164.054</v>
      </c>
      <c r="G114" s="253" t="n">
        <v>1376</v>
      </c>
      <c r="H114" s="253" t="n">
        <v>1974</v>
      </c>
      <c r="I114" s="253" t="n">
        <v>2692</v>
      </c>
      <c r="J114" s="253" t="n">
        <v>708</v>
      </c>
      <c r="K114" s="253" t="n">
        <v>847</v>
      </c>
      <c r="L114" s="253" t="n">
        <v>886</v>
      </c>
      <c r="M114" s="253" t="n">
        <v>902</v>
      </c>
      <c r="N114" s="253" t="n">
        <v>3343</v>
      </c>
      <c r="O114" s="253" t="n">
        <v>887</v>
      </c>
      <c r="P114" s="253" t="n">
        <v>915</v>
      </c>
      <c r="Q114" s="253" t="n">
        <v>1290</v>
      </c>
      <c r="R114" s="253" t="n">
        <v>1187</v>
      </c>
      <c r="S114" s="253" t="n">
        <v>4279</v>
      </c>
      <c r="T114" s="253" t="n">
        <v>1203</v>
      </c>
      <c r="U114" s="253" t="n">
        <v>1132</v>
      </c>
      <c r="V114" s="253" t="n">
        <v>1432</v>
      </c>
      <c r="W114" s="253" t="n">
        <v>1436</v>
      </c>
      <c r="X114" s="253" t="n">
        <v>5203</v>
      </c>
      <c r="Y114" s="253" t="n">
        <v>1494</v>
      </c>
      <c r="Z114" s="253" t="n">
        <v>1503</v>
      </c>
      <c r="AA114" s="253" t="n">
        <v>1860</v>
      </c>
      <c r="AB114" s="253" t="n">
        <v>1846</v>
      </c>
      <c r="AC114" s="253" t="n">
        <v>6703</v>
      </c>
      <c r="AD114" s="253" t="n">
        <v>2009</v>
      </c>
      <c r="AE114" s="253" t="n">
        <v>2003</v>
      </c>
      <c r="AF114" s="253" t="n">
        <v>1820</v>
      </c>
      <c r="AG114" s="253" t="n">
        <v>1847</v>
      </c>
      <c r="AH114" s="253" t="n">
        <v>7679</v>
      </c>
      <c r="AI114" s="253" t="n">
        <v>2457</v>
      </c>
      <c r="AJ114" s="253" t="n">
        <v>2413</v>
      </c>
      <c r="AK114" s="253" t="n">
        <v>2230</v>
      </c>
      <c r="AL114" s="253" t="n">
        <v>2253</v>
      </c>
      <c r="AM114" s="253" t="n">
        <v>9353</v>
      </c>
      <c r="AN114" s="253" t="n">
        <v>2769</v>
      </c>
      <c r="AO114" s="253" t="n">
        <v>2756</v>
      </c>
      <c r="AP114" s="253" t="n">
        <v>2624</v>
      </c>
      <c r="AQ114" s="253" t="n">
        <v>2645</v>
      </c>
      <c r="AR114" s="253" t="n">
        <v>10794</v>
      </c>
      <c r="AS114" s="253" t="n">
        <v>3191</v>
      </c>
      <c r="AT114" s="253" t="n">
        <v>3382</v>
      </c>
      <c r="AU114" s="253" t="n">
        <v>3195</v>
      </c>
      <c r="AV114" s="253" t="n">
        <v>3223</v>
      </c>
      <c r="AW114" s="253" t="n">
        <v>12991</v>
      </c>
      <c r="AX114" s="253" t="n">
        <v>3745</v>
      </c>
      <c r="AY114" s="253" t="n">
        <v>3803</v>
      </c>
      <c r="AZ114" s="253" t="n">
        <v>3874</v>
      </c>
      <c r="BA114" s="253" t="n">
        <v>3954</v>
      </c>
      <c r="BB114" s="253" t="n">
        <v>15376</v>
      </c>
      <c r="BC114" s="253" t="n">
        <v>4504</v>
      </c>
      <c r="BD114" s="253" t="n">
        <v>4782</v>
      </c>
      <c r="BE114" s="253" t="n">
        <v>4976</v>
      </c>
      <c r="BF114" s="253" t="n">
        <v>5100</v>
      </c>
      <c r="BG114" s="253" t="n">
        <v>19362</v>
      </c>
      <c r="BH114" s="253" t="n">
        <v>5284</v>
      </c>
      <c r="BI114" s="253" t="n">
        <v>5774</v>
      </c>
      <c r="BJ114" s="253" t="n">
        <v>5743</v>
      </c>
      <c r="BK114" s="253" t="n">
        <v>5659</v>
      </c>
      <c r="BL114" s="253" t="n">
        <v>22460</v>
      </c>
      <c r="BM114" s="253" t="n">
        <v>5264</v>
      </c>
      <c r="BN114" s="253" t="n">
        <v>5865</v>
      </c>
      <c r="BO114" s="253" t="n">
        <v>5846</v>
      </c>
      <c r="BP114" s="253" t="n">
        <v>5810</v>
      </c>
      <c r="BQ114" s="253" t="n">
        <v>22785</v>
      </c>
      <c r="BR114" s="253" t="n">
        <v>5516</v>
      </c>
      <c r="BS114" s="253" t="n">
        <v>5998</v>
      </c>
      <c r="BT114" s="253" t="n">
        <v>6368</v>
      </c>
      <c r="BU114" s="253" t="n">
        <v>7071</v>
      </c>
      <c r="BV114" s="253" t="n">
        <v>24953</v>
      </c>
      <c r="BW114" s="253" t="n">
        <v>6751</v>
      </c>
      <c r="BX114" s="253" t="n">
        <v>7957</v>
      </c>
      <c r="BY114" s="254">
        <f>BT114*(1+IFERROR(SUM(BW114:BX114)/SUM(BR114:BS114)-1,0))</f>
        <v>8134.49227027966</v>
      </c>
      <c r="BZ114" s="254">
        <f>BU114*(1+IFERROR(SUM(BW114:BX114)/SUM(BR114:BS114)-1,0))</f>
        <v>9032.50547159979</v>
      </c>
      <c r="CA114" s="254">
        <f>SUM(BW114:BZ114)</f>
        <v>31874.9977418795</v>
      </c>
      <c r="CB114" s="254">
        <f>CB132*CB115</f>
        <v>38017.4665710784</v>
      </c>
      <c r="CC114" s="254">
        <f>CC132*CC115</f>
        <v>43612.5454118308</v>
      </c>
      <c r="CD114" s="254">
        <f>CD132*CD115</f>
        <v>49270.6205317206</v>
      </c>
      <c r="CE114" s="254">
        <f>CE132*CE115</f>
        <v>54844.3181004625</v>
      </c>
      <c r="CF114" s="19" t="inlineStr">
        <is>
          <t>Q3–Q4/26E: prior-year quarter × 1H26 y/y. 2027E+: % of revenues. Alphabet does not adjust out stock-based compensation (Google did in its non-GAAP measures to 2016).</t>
        </is>
      </c>
      <c r="CH114" s="20">
        <f>IFERROR((CE114/BV114)^(1/5)-1,"n/m")</f>
        <v>0.17058181996192</v>
      </c>
      <c r="CI114" s="20">
        <f>IFERROR((BV114/AW114)^(1/5)-1,"n/m")</f>
        <v>0.139452004568549</v>
      </c>
      <c r="CJ114" s="20">
        <f>IFERROR((BV114/X114)^(1/10)-1,"n/m")</f>
        <v>0.169733409027037</v>
      </c>
      <c r="CK114" s="20">
        <f>IFERROR((BV114/C114)^(1/19)-1,"n/m")</f>
        <v>0.234175646378897</v>
      </c>
    </row>
    <row r="115" ht="15" customHeight="1" s="251">
      <c r="B115" s="25" t="inlineStr">
        <is>
          <t xml:space="preserve">  Stock-based compensation % of revenues</t>
        </is>
      </c>
      <c r="C115" s="215">
        <f>IF(AND(ISNUMBER(C114),ISNUMBER(C132)),IFERROR(C114/C132,""),"")</f>
        <v>0.0431969434555688</v>
      </c>
      <c r="D115" s="215">
        <f>IF(AND(ISNUMBER(D114),ISNUMBER(D132)),IFERROR(D114/D132,""),"")</f>
        <v>0.0523470370530625</v>
      </c>
      <c r="E115" s="215">
        <f>IF(AND(ISNUMBER(E114),ISNUMBER(E132)),IFERROR(E114/E132,""),"")</f>
        <v>0.051375900126402</v>
      </c>
      <c r="F115" s="215">
        <f>IF(AND(ISNUMBER(F114),ISNUMBER(F132)),IFERROR(F114/F132,""),"")</f>
        <v>0.04921887060363</v>
      </c>
      <c r="G115" s="215">
        <f>IF(AND(ISNUMBER(G114),ISNUMBER(G132)),IFERROR(G114/G132,""),"")</f>
        <v>0.046928822345759</v>
      </c>
      <c r="H115" s="215">
        <f>IF(AND(ISNUMBER(H114),ISNUMBER(H132)),IFERROR(H114/H132,""),"")</f>
        <v>0.0520775623268698</v>
      </c>
      <c r="I115" s="215">
        <f>IF(AND(ISNUMBER(I114),ISNUMBER(I132)),IFERROR(I114/I132,""),"")</f>
        <v>0.0536522172396612</v>
      </c>
      <c r="J115" s="215">
        <f>IF(AND(ISNUMBER(J114),ISNUMBER(J132)),IFERROR(J114/J132,""),"")</f>
        <v>0.050683656668337</v>
      </c>
      <c r="K115" s="215">
        <f>IF(AND(ISNUMBER(K114),ISNUMBER(K132)),IFERROR(K114/K132,""),"")</f>
        <v>0.0600496277915633</v>
      </c>
      <c r="L115" s="215">
        <f>IF(AND(ISNUMBER(L114),ISNUMBER(L132)),IFERROR(L114/L132,""),"")</f>
        <v>0.0594910360572081</v>
      </c>
      <c r="M115" s="215">
        <f>IF(AND(ISNUMBER(M114),ISNUMBER(M132)),IFERROR(M114/M132,""),"")</f>
        <v>0.0535057539447147</v>
      </c>
      <c r="N115" s="215">
        <f>IF(AND(ISNUMBER(N114),ISNUMBER(N132)),IFERROR(N114/N132,""),"")</f>
        <v>0.0558796489761805</v>
      </c>
      <c r="O115" s="215">
        <f>IF(AND(ISNUMBER(O114),ISNUMBER(O132)),IFERROR(O114/O132,""),"")</f>
        <v>0.0575226977950713</v>
      </c>
      <c r="P115" s="215">
        <f>IF(AND(ISNUMBER(P114),ISNUMBER(P132)),IFERROR(P114/P132,""),"")</f>
        <v>0.0573487934816672</v>
      </c>
      <c r="Q115" s="215">
        <f>IF(AND(ISNUMBER(Q114),ISNUMBER(Q132)),IFERROR(Q114/Q132,""),"")</f>
        <v>0.0780729891666162</v>
      </c>
      <c r="R115" s="215">
        <f>IF(AND(ISNUMBER(R114),ISNUMBER(R132)),IFERROR(R114/R132,""),"")</f>
        <v>0.0655692426669613</v>
      </c>
      <c r="S115" s="215">
        <f>IF(AND(ISNUMBER(S114),ISNUMBER(S132)),IFERROR(S114/S132,""),"")</f>
        <v>0.0648323510249845</v>
      </c>
      <c r="T115" s="215">
        <f>IF(AND(ISNUMBER(T114),ISNUMBER(T132)),IFERROR(T114/T132,""),"")</f>
        <v>0.0697068026422529</v>
      </c>
      <c r="U115" s="215">
        <f>IF(AND(ISNUMBER(U114),ISNUMBER(U132)),IFERROR(U114/U132,""),"")</f>
        <v>0.0638573926778361</v>
      </c>
      <c r="V115" s="215">
        <f>IF(AND(ISNUMBER(V114),ISNUMBER(V132)),IFERROR(V114/V132,""),"")</f>
        <v>0.0766800535475234</v>
      </c>
      <c r="W115" s="215">
        <f>IF(AND(ISNUMBER(W114),ISNUMBER(W132)),IFERROR(W114/W132,""),"")</f>
        <v>0.0673261756294247</v>
      </c>
      <c r="X115" s="215">
        <f>IF(AND(ISNUMBER(X114),ISNUMBER(X132)),IFERROR(X114/X132,""),"")</f>
        <v>0.0693835095814053</v>
      </c>
      <c r="Y115" s="215">
        <f>IF(AND(ISNUMBER(Y114),ISNUMBER(Y132)),IFERROR(Y114/Y132,""),"")</f>
        <v>0.0737522831613763</v>
      </c>
      <c r="Z115" s="215">
        <f>IF(AND(ISNUMBER(Z114),ISNUMBER(Z132)),IFERROR(Z114/Z132,""),"")</f>
        <v>0.069906976744186</v>
      </c>
      <c r="AA115" s="215">
        <f>IF(AND(ISNUMBER(AA114),ISNUMBER(AA132)),IFERROR(AA114/AA132,""),"")</f>
        <v>0.082847089216516</v>
      </c>
      <c r="AB115" s="215">
        <f>IF(AND(ISNUMBER(AB114),ISNUMBER(AB132)),IFERROR(AB114/AB132,""),"")</f>
        <v>0.0708256599140577</v>
      </c>
      <c r="AC115" s="215">
        <f>IF(AND(ISNUMBER(AC114),ISNUMBER(AC132)),IFERROR(AC114/AC132,""),"")</f>
        <v>0.0742533676001418</v>
      </c>
      <c r="AD115" s="215">
        <f>IF(AND(ISNUMBER(AD114),ISNUMBER(AD132)),IFERROR(AD114/AD132,""),"")</f>
        <v>0.0811717171717172</v>
      </c>
      <c r="AE115" s="215">
        <f>IF(AND(ISNUMBER(AE114),ISNUMBER(AE132)),IFERROR(AE114/AE132,""),"")</f>
        <v>0.0770088427527874</v>
      </c>
      <c r="AF115" s="215">
        <f>IF(AND(ISNUMBER(AF114),ISNUMBER(AF132)),IFERROR(AF114/AF132,""),"")</f>
        <v>0.065533630995247</v>
      </c>
      <c r="AG115" s="215">
        <f>IF(AND(ISNUMBER(AG114),ISNUMBER(AG132)),IFERROR(AG114/AG132,""),"")</f>
        <v>0.0571419732079324</v>
      </c>
      <c r="AH115" s="215">
        <f>IF(AND(ISNUMBER(AH114),ISNUMBER(AH132)),IFERROR(AH114/AH132,""),"")</f>
        <v>0.0692706688917956</v>
      </c>
      <c r="AI115" s="215">
        <f>IF(AND(ISNUMBER(AI114),ISNUMBER(AI132)),IFERROR(AI114/AI132,""),"")</f>
        <v>0.0788865343864381</v>
      </c>
      <c r="AJ115" s="215">
        <f>IF(AND(ISNUMBER(AJ114),ISNUMBER(AJ132)),IFERROR(AJ114/AJ132,""),"")</f>
        <v>0.0738892121137888</v>
      </c>
      <c r="AK115" s="215">
        <f>IF(AND(ISNUMBER(AK114),ISNUMBER(AK132)),IFERROR(AK114/AK132,""),"")</f>
        <v>0.0660936573799644</v>
      </c>
      <c r="AL115" s="215">
        <f>IF(AND(ISNUMBER(AL114),ISNUMBER(AL132)),IFERROR(AL114/AL132,""),"")</f>
        <v>0.0573632752826153</v>
      </c>
      <c r="AM115" s="215">
        <f>IF(AND(ISNUMBER(AM114),ISNUMBER(AM132)),IFERROR(AM114/AM132,""),"")</f>
        <v>0.068360388542527</v>
      </c>
      <c r="AN115" s="215">
        <f>IF(AND(ISNUMBER(AN114),ISNUMBER(AN132)),IFERROR(AN114/AN132,""),"")</f>
        <v>0.0761991249071246</v>
      </c>
      <c r="AO115" s="215">
        <f>IF(AND(ISNUMBER(AO114),ISNUMBER(AO132)),IFERROR(AO114/AO132,""),"")</f>
        <v>0.0707682826622843</v>
      </c>
      <c r="AP115" s="215">
        <f>IF(AND(ISNUMBER(AP114),ISNUMBER(AP132)),IFERROR(AP114/AP132,""),"")</f>
        <v>0.064791723252426</v>
      </c>
      <c r="AQ115" s="215">
        <f>IF(AND(ISNUMBER(AQ114),ISNUMBER(AQ132)),IFERROR(AQ114/AQ132,""),"")</f>
        <v>0.0574064026044493</v>
      </c>
      <c r="AR115" s="215">
        <f>IF(AND(ISNUMBER(AR114),ISNUMBER(AR132)),IFERROR(AR114/AR132,""),"")</f>
        <v>0.0666884966359194</v>
      </c>
      <c r="AS115" s="215">
        <f>IF(AND(ISNUMBER(AS114),ISNUMBER(AS132)),IFERROR(AS114/AS132,""),"")</f>
        <v>0.0775286085667776</v>
      </c>
      <c r="AT115" s="215">
        <f>IF(AND(ISNUMBER(AT114),ISNUMBER(AT132)),IFERROR(AT114/AT132,""),"")</f>
        <v>0.0883097892785336</v>
      </c>
      <c r="AU115" s="215">
        <f>IF(AND(ISNUMBER(AU114),ISNUMBER(AU132)),IFERROR(AU114/AU132,""),"")</f>
        <v>0.0691962835423299</v>
      </c>
      <c r="AV115" s="215">
        <f>IF(AND(ISNUMBER(AV114),ISNUMBER(AV132)),IFERROR(AV114/AV132,""),"")</f>
        <v>0.0566452247882175</v>
      </c>
      <c r="AW115" s="215">
        <f>IF(AND(ISNUMBER(AW114),ISNUMBER(AW132)),IFERROR(AW114/AW132,""),"")</f>
        <v>0.0711730319350014</v>
      </c>
      <c r="AX115" s="215">
        <f>IF(AND(ISNUMBER(AX114),ISNUMBER(AX132)),IFERROR(AX114/AX132,""),"")</f>
        <v>0.0677043786383194</v>
      </c>
      <c r="AY115" s="215">
        <f>IF(AND(ISNUMBER(AY114),ISNUMBER(AY132)),IFERROR(AY114/AY132,""),"")</f>
        <v>0.0614576599870718</v>
      </c>
      <c r="AZ115" s="215">
        <f>IF(AND(ISNUMBER(AZ114),ISNUMBER(AZ132)),IFERROR(AZ114/AZ132,""),"")</f>
        <v>0.0594919991400227</v>
      </c>
      <c r="BA115" s="215">
        <f>IF(AND(ISNUMBER(BA114),ISNUMBER(BA132)),IFERROR(BA114/BA132,""),"")</f>
        <v>0.0524925323597743</v>
      </c>
      <c r="BB115" s="215">
        <f>IF(AND(ISNUMBER(BB114),ISNUMBER(BB132)),IFERROR(BB114/BB132,""),"")</f>
        <v>0.0596808688193078</v>
      </c>
      <c r="BC115" s="215">
        <f>IF(AND(ISNUMBER(BC114),ISNUMBER(BC132)),IFERROR(BC114/BC132,""),"")</f>
        <v>0.066224581317728</v>
      </c>
      <c r="BD115" s="215">
        <f>IF(AND(ISNUMBER(BD114),ISNUMBER(BD132)),IFERROR(BD114/BD132,""),"")</f>
        <v>0.0686230896175648</v>
      </c>
      <c r="BE115" s="215">
        <f>IF(AND(ISNUMBER(BE114),ISNUMBER(BE132)),IFERROR(BE114/BE132,""),"")</f>
        <v>0.0720199154750188</v>
      </c>
      <c r="BF115" s="215">
        <f>IF(AND(ISNUMBER(BF114),ISNUMBER(BF132)),IFERROR(BF114/BF132,""),"")</f>
        <v>0.0670629076372817</v>
      </c>
      <c r="BG115" s="215">
        <f>IF(AND(ISNUMBER(BG114),ISNUMBER(BG132)),IFERROR(BG114/BG132,""),"")</f>
        <v>0.0684566321118952</v>
      </c>
      <c r="BH115" s="215">
        <f>IF(AND(ISNUMBER(BH114),ISNUMBER(BH132)),IFERROR(BH114/BH132,""),"")</f>
        <v>0.0757161075845071</v>
      </c>
      <c r="BI115" s="215">
        <f>IF(AND(ISNUMBER(BI114),ISNUMBER(BI132)),IFERROR(BI114/BI132,""),"")</f>
        <v>0.0773953139241864</v>
      </c>
      <c r="BJ115" s="215">
        <f>IF(AND(ISNUMBER(BJ114),ISNUMBER(BJ132)),IFERROR(BJ114/BJ132,""),"")</f>
        <v>0.0748829749781597</v>
      </c>
      <c r="BK115" s="215">
        <f>IF(AND(ISNUMBER(BK114),ISNUMBER(BK132)),IFERROR(BK114/BK132,""),"")</f>
        <v>0.0655659830842313</v>
      </c>
      <c r="BL115" s="215">
        <f>IF(AND(ISNUMBER(BL114),ISNUMBER(BL132)),IFERROR(BL114/BL132,""),"")</f>
        <v>0.0730658373292907</v>
      </c>
      <c r="BM115" s="215">
        <f>IF(AND(ISNUMBER(BM114),ISNUMBER(BM132)),IFERROR(BM114/BM132,""),"")</f>
        <v>0.0653596394293448</v>
      </c>
      <c r="BN115" s="215">
        <f>IF(AND(ISNUMBER(BN114),ISNUMBER(BN132)),IFERROR(BN114/BN132,""),"")</f>
        <v>0.069210072927238</v>
      </c>
      <c r="BO115" s="215">
        <f>IF(AND(ISNUMBER(BO114),ISNUMBER(BO132)),IFERROR(BO114/BO132,""),"")</f>
        <v>0.0662301173698283</v>
      </c>
      <c r="BP115" s="215">
        <f>IF(AND(ISNUMBER(BP114),ISNUMBER(BP132)),IFERROR(BP114/BP132,""),"")</f>
        <v>0.0602266012916066</v>
      </c>
      <c r="BQ115" s="215">
        <f>IF(AND(ISNUMBER(BQ114),ISNUMBER(BQ132)),IFERROR(BQ114/BQ132,""),"")</f>
        <v>0.065096652172174</v>
      </c>
      <c r="BR115" s="215">
        <f>IF(AND(ISNUMBER(BR114),ISNUMBER(BR132)),IFERROR(BR114/BR132,""),"")</f>
        <v>0.0611299510162466</v>
      </c>
      <c r="BS115" s="215">
        <f>IF(AND(ISNUMBER(BS114),ISNUMBER(BS132)),IFERROR(BS114/BS132,""),"")</f>
        <v>0.0622018500850375</v>
      </c>
      <c r="BT115" s="215">
        <f>IF(AND(ISNUMBER(BT114),ISNUMBER(BT132)),IFERROR(BT114/BT132,""),"")</f>
        <v>0.0622203114923886</v>
      </c>
      <c r="BU115" s="215">
        <f>IF(AND(ISNUMBER(BU114),ISNUMBER(BU132)),IFERROR(BU114/BU132,""),"")</f>
        <v>0.0621194950320217</v>
      </c>
      <c r="BV115" s="215">
        <f>IF(AND(ISNUMBER(BV114),ISNUMBER(BV132)),IFERROR(BV114/BV132,""),"")</f>
        <v>0.061943321848097</v>
      </c>
      <c r="BW115" s="215">
        <f>IF(AND(ISNUMBER(BW114),ISNUMBER(BW132)),IFERROR(BW114/BW132,""),"")</f>
        <v>0.0614308073087283</v>
      </c>
      <c r="BX115" s="215">
        <f>IF(AND(ISNUMBER(BX114),ISNUMBER(BX132)),IFERROR(BX114/BX132,""),"")</f>
        <v>0.0664212494574109</v>
      </c>
      <c r="BY115" s="256">
        <f>IF(AND(ISNUMBER(BY114),ISNUMBER(BY132)),IFERROR(BY114/BY132,""),"")</f>
        <v>0.0640508428083606</v>
      </c>
      <c r="BZ115" s="256">
        <f>IF(AND(ISNUMBER(BZ114),ISNUMBER(BZ132)),IFERROR(BZ114/BZ132,""),"")</f>
        <v>0.0637966803896946</v>
      </c>
      <c r="CA115" s="256">
        <f>IF(AND(ISNUMBER(CA114),ISNUMBER(CA132)),IFERROR(CA114/CA132,""),"")</f>
        <v>0.0639706638597727</v>
      </c>
      <c r="CB115" s="268" t="n">
        <v>0.065</v>
      </c>
      <c r="CC115" s="268" t="n">
        <v>0.065</v>
      </c>
      <c r="CD115" s="268" t="n">
        <v>0.065</v>
      </c>
      <c r="CE115" s="268" t="n">
        <v>0.065</v>
      </c>
      <c r="CF115" s="153" t="n"/>
      <c r="CH115" s="37">
        <f>IFERROR(AVERAGE(CA115,CB115,CC115,CD115,CE115),"n/m")</f>
        <v>0.0647941327719545</v>
      </c>
      <c r="CI115" s="37">
        <f>IFERROR(AVERAGE(BB115,BG115,BL115,BQ115,BV115),"n/m")</f>
        <v>0.065648662456153</v>
      </c>
      <c r="CJ115" s="37">
        <f>IFERROR(AVERAGE(AC115,AH115,AM115,AR115,AW115,BB115,BG115,BL115,BQ115,BV115),"n/m")</f>
        <v>0.067798926588615</v>
      </c>
      <c r="CK115" s="37">
        <f>IFERROR(AVERAGE(C115,D115,E115,F115,G115,H115,I115,N115,S115,X115,AC115,AH115,AM115,AR115,AW115,BB115,BG115,BL115,BQ115,BV115),"n/m")</f>
        <v>0.0608441064309837</v>
      </c>
    </row>
    <row r="116" ht="15" customHeight="1" s="251">
      <c r="B116" s="25" t="inlineStr">
        <is>
          <t xml:space="preserve">  R&amp;D % of revenues</t>
        </is>
      </c>
      <c r="C116" s="215">
        <f>IF(AND(ISNUMBER(C135),ISNUMBER(C132)),IFERROR(C135/C132,""),"")</f>
        <v>0.115850883132796</v>
      </c>
      <c r="D116" s="215">
        <f>IF(AND(ISNUMBER(D135),ISNUMBER(D132)),IFERROR(D135/D132,""),"")</f>
        <v>0.127756224453847</v>
      </c>
      <c r="E116" s="215">
        <f>IF(AND(ISNUMBER(E135),ISNUMBER(E132)),IFERROR(E135/E132,""),"")</f>
        <v>0.128154233318269</v>
      </c>
      <c r="F116" s="215">
        <f>IF(AND(ISNUMBER(F135),ISNUMBER(F132)),IFERROR(F135/F132,""),"")</f>
        <v>0.120209696487986</v>
      </c>
      <c r="G116" s="215">
        <f>IF(AND(ISNUMBER(G135),ISNUMBER(G132)),IFERROR(G135/G132,""),"")</f>
        <v>0.128303945977286</v>
      </c>
      <c r="H116" s="215">
        <f>IF(AND(ISNUMBER(H135),ISNUMBER(H132)),IFERROR(H135/H132,""),"")</f>
        <v>0.136182561667326</v>
      </c>
      <c r="I116" s="215">
        <f>IF(AND(ISNUMBER(I135),ISNUMBER(I132)),IFERROR(I135/I132,""),"")</f>
        <v>0.135386148480319</v>
      </c>
      <c r="J116" s="215">
        <f>IF(AND(ISNUMBER(J135),ISNUMBER(J132)),IFERROR(J135/J132,""),"")</f>
        <v>0.131505476412055</v>
      </c>
      <c r="K116" s="215">
        <f>IF(AND(ISNUMBER(K135),ISNUMBER(K132)),IFERROR(K135/K132,""),"")</f>
        <v>0.140872031194612</v>
      </c>
      <c r="L116" s="215">
        <f>IF(AND(ISNUMBER(L135),ISNUMBER(L132)),IFERROR(L135/L132,""),"")</f>
        <v>0.135432753642651</v>
      </c>
      <c r="M116" s="215">
        <f>IF(AND(ISNUMBER(M135),ISNUMBER(M132)),IFERROR(M135/M132,""),"")</f>
        <v>0.125222446316289</v>
      </c>
      <c r="N116" s="215">
        <f>IF(AND(ISNUMBER(N135),ISNUMBER(N132)),IFERROR(N135/N132,""),"")</f>
        <v>0.132921019640618</v>
      </c>
      <c r="O116" s="215">
        <f>IF(AND(ISNUMBER(O135),ISNUMBER(O132)),IFERROR(O135/O132,""),"")</f>
        <v>0.137872892347601</v>
      </c>
      <c r="P116" s="215">
        <f>IF(AND(ISNUMBER(P135),ISNUMBER(P132)),IFERROR(P135/P132,""),"")</f>
        <v>0.140269507991225</v>
      </c>
      <c r="Q116" s="215">
        <f>IF(AND(ISNUMBER(Q135),ISNUMBER(Q132)),IFERROR(Q135/Q132,""),"")</f>
        <v>0.160685105610361</v>
      </c>
      <c r="R116" s="215">
        <f>IF(AND(ISNUMBER(R135),ISNUMBER(R132)),IFERROR(R135/R132,""),"")</f>
        <v>0.155388609622714</v>
      </c>
      <c r="S116" s="215">
        <f>IF(AND(ISNUMBER(S135),ISNUMBER(S132)),IFERROR(S135/S132,""),"")</f>
        <v>0.148967439887274</v>
      </c>
      <c r="T116" s="215">
        <f>IF(AND(ISNUMBER(T135),ISNUMBER(T132)),IFERROR(T135/T132,""),"")</f>
        <v>0.159520222505505</v>
      </c>
      <c r="U116" s="215">
        <f>IF(AND(ISNUMBER(U135),ISNUMBER(U132)),IFERROR(U135/U132,""),"")</f>
        <v>0.157330625599368</v>
      </c>
      <c r="V116" s="215">
        <f>IF(AND(ISNUMBER(V135),ISNUMBER(V132)),IFERROR(V135/V132,""),"")</f>
        <v>0.172958500669344</v>
      </c>
      <c r="W116" s="215">
        <f>IF(AND(ISNUMBER(W135),ISNUMBER(W132)),IFERROR(W135/W132,""),"")</f>
        <v>0.164564677200056</v>
      </c>
      <c r="X116" s="215">
        <f>IF(AND(ISNUMBER(X135),ISNUMBER(X132)),IFERROR(X135/X132,""),"")</f>
        <v>0.16378402165651</v>
      </c>
      <c r="Y116" s="215">
        <f>IF(AND(ISNUMBER(Y135),ISNUMBER(Y132)),IFERROR(Y135/Y132,""),"")</f>
        <v>0.166214148195685</v>
      </c>
      <c r="Z116" s="215">
        <f>IF(AND(ISNUMBER(Z135),ISNUMBER(Z132)),IFERROR(Z135/Z132,""),"")</f>
        <v>0.156418604651163</v>
      </c>
      <c r="AA116" s="215">
        <f>IF(AND(ISNUMBER(AA135),ISNUMBER(AA132)),IFERROR(AA135/AA132,""),"")</f>
        <v>0.160171039151931</v>
      </c>
      <c r="AB116" s="215">
        <f>IF(AND(ISNUMBER(AB135),ISNUMBER(AB132)),IFERROR(AB135/AB132,""),"")</f>
        <v>0.138965623081645</v>
      </c>
      <c r="AC116" s="215">
        <f>IF(AND(ISNUMBER(AC135),ISNUMBER(AC132)),IFERROR(AC135/AC132,""),"")</f>
        <v>0.154510811768876</v>
      </c>
      <c r="AD116" s="215">
        <f>IF(AND(ISNUMBER(AD135),ISNUMBER(AD132)),IFERROR(AD135/AD132,""),"")</f>
        <v>0.159272727272727</v>
      </c>
      <c r="AE116" s="215">
        <f>IF(AND(ISNUMBER(AE135),ISNUMBER(AE132)),IFERROR(AE135/AE132,""),"")</f>
        <v>0.160399846212995</v>
      </c>
      <c r="AF116" s="215">
        <f>IF(AND(ISNUMBER(AF135),ISNUMBER(AF132)),IFERROR(AF135/AF132,""),"")</f>
        <v>0.151411493590667</v>
      </c>
      <c r="AG116" s="215">
        <f>IF(AND(ISNUMBER(AG135),ISNUMBER(AG132)),IFERROR(AG135/AG132,""),"")</f>
        <v>0.133217832503171</v>
      </c>
      <c r="AH116" s="215">
        <f>IF(AND(ISNUMBER(AH135),ISNUMBER(AH132)),IFERROR(AH135/AH132,""),"")</f>
        <v>0.149970682422985</v>
      </c>
      <c r="AI116" s="215">
        <f>IF(AND(ISNUMBER(AI135),ISNUMBER(AI132)),IFERROR(AI135/AI132,""),"")</f>
        <v>0.161786425223143</v>
      </c>
      <c r="AJ116" s="215">
        <f>IF(AND(ISNUMBER(AJ135),ISNUMBER(AJ132)),IFERROR(AJ135/AJ132,""),"")</f>
        <v>0.156597360443397</v>
      </c>
      <c r="AK116" s="215">
        <f>IF(AND(ISNUMBER(AK135),ISNUMBER(AK132)),IFERROR(AK135/AK132,""),"")</f>
        <v>0.155068168346177</v>
      </c>
      <c r="AL116" s="215">
        <f>IF(AND(ISNUMBER(AL135),ISNUMBER(AL132)),IFERROR(AL135/AL132,""),"")</f>
        <v>0.153630715958855</v>
      </c>
      <c r="AM116" s="215">
        <f>IF(AND(ISNUMBER(AM135),ISNUMBER(AM132)),IFERROR(AM135/AM132,""),"")</f>
        <v>0.156549894386014</v>
      </c>
      <c r="AN116" s="215">
        <f>IF(AND(ISNUMBER(AN135),ISNUMBER(AN132)),IFERROR(AN135/AN132,""),"")</f>
        <v>0.165909903959933</v>
      </c>
      <c r="AO116" s="215">
        <f>IF(AND(ISNUMBER(AO135),ISNUMBER(AO132)),IFERROR(AO135/AO132,""),"")</f>
        <v>0.15953677074774</v>
      </c>
      <c r="AP116" s="215">
        <f>IF(AND(ISNUMBER(AP135),ISNUMBER(AP132)),IFERROR(AP135/AP132,""),"")</f>
        <v>0.161831156324848</v>
      </c>
      <c r="AQ116" s="215">
        <f>IF(AND(ISNUMBER(AQ135),ISNUMBER(AQ132)),IFERROR(AQ135/AQ132,""),"")</f>
        <v>0.156744438415627</v>
      </c>
      <c r="AR116" s="215">
        <f>IF(AND(ISNUMBER(AR135),ISNUMBER(AR132)),IFERROR(AR135/AR132,""),"")</f>
        <v>0.16074683208017</v>
      </c>
      <c r="AS116" s="215">
        <f>IF(AND(ISNUMBER(AS135),ISNUMBER(AS132)),IFERROR(AS135/AS132,""),"")</f>
        <v>0.165698875094147</v>
      </c>
      <c r="AT116" s="215">
        <f>IF(AND(ISNUMBER(AT135),ISNUMBER(AT132)),IFERROR(AT135/AT132,""),"")</f>
        <v>0.179517977909497</v>
      </c>
      <c r="AU116" s="215">
        <f>IF(AND(ISNUMBER(AU135),ISNUMBER(AU132)),IFERROR(AU135/AU132,""),"")</f>
        <v>0.148485045372837</v>
      </c>
      <c r="AV116" s="215">
        <f>IF(AND(ISNUMBER(AV135),ISNUMBER(AV132)),IFERROR(AV135/AV132,""),"")</f>
        <v>0.123413828254069</v>
      </c>
      <c r="AW116" s="215">
        <f>IF(AND(ISNUMBER(AW135),ISNUMBER(AW132)),IFERROR(AW135/AW132,""),"")</f>
        <v>0.151062582522038</v>
      </c>
      <c r="AX116" s="215">
        <f>IF(AND(ISNUMBER(AX135),ISNUMBER(AX132)),IFERROR(AX135/AX132,""),"")</f>
        <v>0.135318364247749</v>
      </c>
      <c r="AY116" s="215">
        <f>IF(AND(ISNUMBER(AY135),ISNUMBER(AY132)),IFERROR(AY135/AY132,""),"")</f>
        <v>0.124030381383323</v>
      </c>
      <c r="AZ116" s="215">
        <f>IF(AND(ISNUMBER(AZ135),ISNUMBER(AZ132)),IFERROR(AZ135/AZ132,""),"")</f>
        <v>0.118154734482017</v>
      </c>
      <c r="BA116" s="215">
        <f>IF(AND(ISNUMBER(BA135),ISNUMBER(BA132)),IFERROR(BA135/BA132,""),"")</f>
        <v>0.115605708596084</v>
      </c>
      <c r="BB116" s="215">
        <f>IF(AND(ISNUMBER(BB135),ISNUMBER(BB132)),IFERROR(BB135/BB132,""),"")</f>
        <v>0.122505695998634</v>
      </c>
      <c r="BC116" s="215">
        <f>IF(AND(ISNUMBER(BC135),ISNUMBER(BC132)),IFERROR(BC135/BC132,""),"")</f>
        <v>0.134081251562247</v>
      </c>
      <c r="BD116" s="215">
        <f>IF(AND(ISNUMBER(BD135),ISNUMBER(BD132)),IFERROR(BD135/BD132,""),"")</f>
        <v>0.141221209729497</v>
      </c>
      <c r="BE116" s="215">
        <f>IF(AND(ISNUMBER(BE135),ISNUMBER(BE132)),IFERROR(BE135/BE132,""),"")</f>
        <v>0.148685810224049</v>
      </c>
      <c r="BF116" s="215">
        <f>IF(AND(ISNUMBER(BF135),ISNUMBER(BF132)),IFERROR(BF135/BF132,""),"")</f>
        <v>0.135006837786661</v>
      </c>
      <c r="BG116" s="215">
        <f>IF(AND(ISNUMBER(BG135),ISNUMBER(BG132)),IFERROR(BG135/BG132,""),"")</f>
        <v>0.139656903647343</v>
      </c>
      <c r="BH116" s="215">
        <f>IF(AND(ISNUMBER(BH135),ISNUMBER(BH132)),IFERROR(BH135/BH132,""),"")</f>
        <v>0.1643285998825</v>
      </c>
      <c r="BI116" s="215">
        <f>IF(AND(ISNUMBER(BI135),ISNUMBER(BI132)),IFERROR(BI135/BI132,""),"")</f>
        <v>0.141922685110718</v>
      </c>
      <c r="BJ116" s="215">
        <f>IF(AND(ISNUMBER(BJ135),ISNUMBER(BJ132)),IFERROR(BJ135/BJ132,""),"")</f>
        <v>0.146793058036587</v>
      </c>
      <c r="BK116" s="215">
        <f>IF(AND(ISNUMBER(BK135),ISNUMBER(BK132)),IFERROR(BK135/BK132,""),"")</f>
        <v>0.140342949832001</v>
      </c>
      <c r="BL116" s="215">
        <f>IF(AND(ISNUMBER(BL135),ISNUMBER(BL132)),IFERROR(BL135/BL132,""),"")</f>
        <v>0.14778102370248</v>
      </c>
      <c r="BM116" s="215">
        <f>IF(AND(ISNUMBER(BM135),ISNUMBER(BM132)),IFERROR(BM135/BM132,""),"")</f>
        <v>0.147791753063733</v>
      </c>
      <c r="BN116" s="215">
        <f>IF(AND(ISNUMBER(BN135),ISNUMBER(BN132)),IFERROR(BN135/BN132,""),"")</f>
        <v>0.1399542139671</v>
      </c>
      <c r="BO116" s="215">
        <f>IF(AND(ISNUMBER(BO135),ISNUMBER(BO132)),IFERROR(BO135/BO132,""),"")</f>
        <v>0.141013730910409</v>
      </c>
      <c r="BP116" s="215">
        <f>IF(AND(ISNUMBER(BP135),ISNUMBER(BP132)),IFERROR(BP135/BP132,""),"")</f>
        <v>0.135960774963978</v>
      </c>
      <c r="BQ116" s="215">
        <f>IF(AND(ISNUMBER(BQ135),ISNUMBER(BQ132)),IFERROR(BQ135/BQ132,""),"")</f>
        <v>0.140924181042118</v>
      </c>
      <c r="BR116" s="215">
        <f>IF(AND(ISNUMBER(BR135),ISNUMBER(BR132)),IFERROR(BR135/BR132,""),"")</f>
        <v>0.150231620010196</v>
      </c>
      <c r="BS116" s="215">
        <f>IF(AND(ISNUMBER(BS135),ISNUMBER(BS132)),IFERROR(BS135/BS132,""),"")</f>
        <v>0.143194922636579</v>
      </c>
      <c r="BT116" s="215">
        <f>IF(AND(ISNUMBER(BT135),ISNUMBER(BT132)),IFERROR(BT135/BT132,""),"")</f>
        <v>0.148037050788502</v>
      </c>
      <c r="BU116" s="215">
        <f>IF(AND(ISNUMBER(BU135),ISNUMBER(BU132)),IFERROR(BU135/BU132,""),"")</f>
        <v>0.163157016226094</v>
      </c>
      <c r="BV116" s="215">
        <f>IF(AND(ISNUMBER(BV135),ISNUMBER(BV132)),IFERROR(BV135/BV132,""),"")</f>
        <v>0.1516423556981</v>
      </c>
      <c r="BW116" s="215">
        <f>IF(AND(ISNUMBER(BW135),ISNUMBER(BW132)),IFERROR(BW135/BW132,""),"")</f>
        <v>0.15498289291694</v>
      </c>
      <c r="BX116" s="215">
        <f>IF(AND(ISNUMBER(BX135),ISNUMBER(BX132)),IFERROR(BX135/BX132,""),"")</f>
        <v>0.152083542021436</v>
      </c>
      <c r="BY116" s="256">
        <f>BT116+IFERROR(SUM(BW135:BX135)/SUM(BW132:BX132)-SUM(BR135:BS135)/SUM(BR132:BS132),0)</f>
        <v>0.154911263455614</v>
      </c>
      <c r="BZ116" s="256">
        <f>BU116+IFERROR(SUM(BW135:BX135)/SUM(BW132:BX132)-SUM(BR135:BS135)/SUM(BR132:BS132),0)</f>
        <v>0.170031228893205</v>
      </c>
      <c r="CA116" s="256">
        <f>IF(AND(ISNUMBER(CA135),ISNUMBER(CA132)),IFERROR(CA135/CA132,""),"")</f>
        <v>0.158543487738313</v>
      </c>
      <c r="CB116" s="268" t="n">
        <v>0.152</v>
      </c>
      <c r="CC116" s="268" t="n">
        <v>0.152</v>
      </c>
      <c r="CD116" s="268" t="n">
        <v>0.152</v>
      </c>
      <c r="CE116" s="268" t="n">
        <v>0.152</v>
      </c>
      <c r="CF116" s="153" t="n"/>
      <c r="CH116" s="37">
        <f>IFERROR(AVERAGE(CA116,CB116,CC116,CD116,CE116),"n/m")</f>
        <v>0.153308697547663</v>
      </c>
      <c r="CI116" s="37">
        <f>IFERROR(AVERAGE(BB116,BG116,BL116,BQ116,BV116),"n/m")</f>
        <v>0.140502032017735</v>
      </c>
      <c r="CJ116" s="37">
        <f>IFERROR(AVERAGE(AC116,AH116,AM116,AR116,AW116,BB116,BG116,BL116,BQ116,BV116),"n/m")</f>
        <v>0.147535096326876</v>
      </c>
      <c r="CK116" s="37">
        <f>IFERROR(AVERAGE(C116,D116,E116,F116,G116,H116,I116,N116,S116,X116,AC116,AH116,AM116,AR116,AW116,BB116,BG116,BL116,BQ116,BV116),"n/m")</f>
        <v>0.140643356898549</v>
      </c>
    </row>
    <row r="117" ht="15" customHeight="1" s="251">
      <c r="B117" s="25" t="inlineStr">
        <is>
          <t xml:space="preserve">  Sales &amp; marketing % of revenues</t>
        </is>
      </c>
      <c r="C117" s="215">
        <f>IF(AND(ISNUMBER(C136),ISNUMBER(C132)),IFERROR(C136/C132,""),"")</f>
        <v>0.0801060489205149</v>
      </c>
      <c r="D117" s="215">
        <f>IF(AND(ISNUMBER(D136),ISNUMBER(D132)),IFERROR(D136/D132,""),"")</f>
        <v>0.0880599754633998</v>
      </c>
      <c r="E117" s="215">
        <f>IF(AND(ISNUMBER(E136),ISNUMBER(E132)),IFERROR(E136/E132,""),"")</f>
        <v>0.089295475452558</v>
      </c>
      <c r="F117" s="215">
        <f>IF(AND(ISNUMBER(F136),ISNUMBER(F132)),IFERROR(F136/F132,""),"")</f>
        <v>0.0838855717726466</v>
      </c>
      <c r="G117" s="215">
        <f>IF(AND(ISNUMBER(G136),ISNUMBER(G132)),IFERROR(G136/G132,""),"")</f>
        <v>0.0954605913850142</v>
      </c>
      <c r="H117" s="215">
        <f>IF(AND(ISNUMBER(H136),ISNUMBER(H132)),IFERROR(H136/H132,""),"")</f>
        <v>0.121065822450864</v>
      </c>
      <c r="I117" s="215">
        <f>IF(AND(ISNUMBER(I136),ISNUMBER(I132)),IFERROR(I136/I132,""),"")</f>
        <v>0.12243148978575</v>
      </c>
      <c r="J117" s="215">
        <f>IF(AND(ISNUMBER(J136),ISNUMBER(J132)),IFERROR(J136/J132,""),"")</f>
        <v>0.11353711790393</v>
      </c>
      <c r="K117" s="215">
        <f>IF(AND(ISNUMBER(K136),ISNUMBER(K132)),IFERROR(K136/K132,""),"")</f>
        <v>0.123006026231833</v>
      </c>
      <c r="L117" s="215">
        <f>IF(AND(ISNUMBER(L136),ISNUMBER(L132)),IFERROR(L136/L132,""),"")</f>
        <v>0.121265023836702</v>
      </c>
      <c r="M117" s="215">
        <f>IF(AND(ISNUMBER(M136),ISNUMBER(M132)),IFERROR(M136/M132,""),"")</f>
        <v>0.126112231581445</v>
      </c>
      <c r="N117" s="215">
        <f>IF(AND(ISNUMBER(N136),ISNUMBER(N132)),IFERROR(N136/N132,""),"")</f>
        <v>0.121236941078145</v>
      </c>
      <c r="O117" s="215">
        <f>IF(AND(ISNUMBER(O136),ISNUMBER(O132)),IFERROR(O136/O132,""),"")</f>
        <v>0.112127107652399</v>
      </c>
      <c r="P117" s="215">
        <f>IF(AND(ISNUMBER(P136),ISNUMBER(P132)),IFERROR(P136/P132,""),"")</f>
        <v>0.121654653713569</v>
      </c>
      <c r="Q117" s="215">
        <f>IF(AND(ISNUMBER(Q136),ISNUMBER(Q132)),IFERROR(Q136/Q132,""),"")</f>
        <v>0.126127216607154</v>
      </c>
      <c r="R117" s="215">
        <f>IF(AND(ISNUMBER(R136),ISNUMBER(R132)),IFERROR(R136/R132,""),"")</f>
        <v>0.13130420372314</v>
      </c>
      <c r="S117" s="215">
        <f>IF(AND(ISNUMBER(S136),ISNUMBER(S132)),IFERROR(S136/S132,""),"")</f>
        <v>0.123195103104498</v>
      </c>
      <c r="T117" s="215">
        <f>IF(AND(ISNUMBER(T136),ISNUMBER(T132)),IFERROR(T136/T132,""),"")</f>
        <v>0.11965465291459</v>
      </c>
      <c r="U117" s="215">
        <f>IF(AND(ISNUMBER(U136),ISNUMBER(U132)),IFERROR(U136/U132,""),"")</f>
        <v>0.11733513848931</v>
      </c>
      <c r="V117" s="215">
        <f>IF(AND(ISNUMBER(V136),ISNUMBER(V132)),IFERROR(V136/V132,""),"")</f>
        <v>0.119036144578313</v>
      </c>
      <c r="W117" s="215">
        <f>IF(AND(ISNUMBER(W136),ISNUMBER(W132)),IFERROR(W136/W132,""),"")</f>
        <v>0.125603638239017</v>
      </c>
      <c r="X117" s="215">
        <f>IF(AND(ISNUMBER(X136),ISNUMBER(X132)),IFERROR(X136/X132,""),"")</f>
        <v>0.120644361172972</v>
      </c>
      <c r="Y117" s="215">
        <f>IF(AND(ISNUMBER(Y136),ISNUMBER(Y132)),IFERROR(Y136/Y132,""),"")</f>
        <v>0.117835809843511</v>
      </c>
      <c r="Z117" s="215">
        <f>IF(AND(ISNUMBER(Z136),ISNUMBER(Z132)),IFERROR(Z136/Z132,""),"")</f>
        <v>0.112325581395349</v>
      </c>
      <c r="AA117" s="215">
        <f>IF(AND(ISNUMBER(AA136),ISNUMBER(AA132)),IFERROR(AA136/AA132,""),"")</f>
        <v>0.114248808516324</v>
      </c>
      <c r="AB117" s="215">
        <f>IF(AND(ISNUMBER(AB136),ISNUMBER(AB132)),IFERROR(AB136/AB132,""),"")</f>
        <v>0.11962860650706</v>
      </c>
      <c r="AC117" s="215">
        <f>IF(AND(ISNUMBER(AC136),ISNUMBER(AC132)),IFERROR(AC136/AC132,""),"")</f>
        <v>0.116148971995746</v>
      </c>
      <c r="AD117" s="215">
        <f>IF(AND(ISNUMBER(AD136),ISNUMBER(AD132)),IFERROR(AD136/AD132,""),"")</f>
        <v>0.106828282828283</v>
      </c>
      <c r="AE117" s="215">
        <f>IF(AND(ISNUMBER(AE136),ISNUMBER(AE132)),IFERROR(AE136/AE132,""),"")</f>
        <v>0.111380238369858</v>
      </c>
      <c r="AF117" s="215">
        <f>IF(AND(ISNUMBER(AF136),ISNUMBER(AF132)),IFERROR(AF136/AF132,""),"")</f>
        <v>0.109534783234913</v>
      </c>
      <c r="AG117" s="215">
        <f>IF(AND(ISNUMBER(AG136),ISNUMBER(AG132)),IFERROR(AG136/AG132,""),"")</f>
        <v>0.133341583392631</v>
      </c>
      <c r="AH117" s="215">
        <f>IF(AND(ISNUMBER(AH136),ISNUMBER(AH132)),IFERROR(AH136/AH132,""),"")</f>
        <v>0.116305083216815</v>
      </c>
      <c r="AI117" s="215">
        <f>IF(AND(ISNUMBER(AI136),ISNUMBER(AI132)),IFERROR(AI136/AI132,""),"")</f>
        <v>0.115713093174083</v>
      </c>
      <c r="AJ117" s="215">
        <f>IF(AND(ISNUMBER(AJ136),ISNUMBER(AJ132)),IFERROR(AJ136/AJ132,""),"")</f>
        <v>0.115748537832624</v>
      </c>
      <c r="AK117" s="215">
        <f>IF(AND(ISNUMBER(AK136),ISNUMBER(AK132)),IFERROR(AK136/AK132,""),"")</f>
        <v>0.114078245406046</v>
      </c>
      <c r="AL117" s="215">
        <f>IF(AND(ISNUMBER(AL136),ISNUMBER(AL132)),IFERROR(AL136/AL132,""),"")</f>
        <v>0.12985029025359</v>
      </c>
      <c r="AM117" s="215">
        <f>IF(AND(ISNUMBER(AM136),ISNUMBER(AM132)),IFERROR(AM136/AM132,""),"")</f>
        <v>0.119376694757307</v>
      </c>
      <c r="AN117" s="215">
        <f>IF(AND(ISNUMBER(AN136),ISNUMBER(AN132)),IFERROR(AN136/AN132,""),"")</f>
        <v>0.107460304356201</v>
      </c>
      <c r="AO117" s="215">
        <f>IF(AND(ISNUMBER(AO136),ISNUMBER(AO132)),IFERROR(AO136/AO132,""),"")</f>
        <v>0.108155299917831</v>
      </c>
      <c r="AP117" s="215">
        <f>IF(AND(ISNUMBER(AP136),ISNUMBER(AP132)),IFERROR(AP136/AP132,""),"")</f>
        <v>0.113805279142695</v>
      </c>
      <c r="AQ117" s="215">
        <f>IF(AND(ISNUMBER(AQ136),ISNUMBER(AQ132)),IFERROR(AQ136/AQ132,""),"")</f>
        <v>0.124536082474227</v>
      </c>
      <c r="AR117" s="215">
        <f>IF(AND(ISNUMBER(AR136),ISNUMBER(AR132)),IFERROR(AR136/AR132,""),"")</f>
        <v>0.114076005362758</v>
      </c>
      <c r="AS117" s="215">
        <f>IF(AND(ISNUMBER(AS136),ISNUMBER(AS132)),IFERROR(AS136/AS132,""),"")</f>
        <v>0.109332102334848</v>
      </c>
      <c r="AT117" s="215">
        <f>IF(AND(ISNUMBER(AT136),ISNUMBER(AT132)),IFERROR(AT136/AT132,""),"")</f>
        <v>0.101861764629083</v>
      </c>
      <c r="AU117" s="215">
        <f>IF(AND(ISNUMBER(AU136),ISNUMBER(AU132)),IFERROR(AU136/AU132,""),"")</f>
        <v>0.0916336387066034</v>
      </c>
      <c r="AV117" s="215">
        <f>IF(AND(ISNUMBER(AV136),ISNUMBER(AV132)),IFERROR(AV136/AV132,""),"")</f>
        <v>0.0933951984252522</v>
      </c>
      <c r="AW117" s="215">
        <f>IF(AND(ISNUMBER(AW136),ISNUMBER(AW132)),IFERROR(AW136/AW132,""),"")</f>
        <v>0.0983197006470276</v>
      </c>
      <c r="AX117" s="215">
        <f>IF(AND(ISNUMBER(AX136),ISNUMBER(AX132)),IFERROR(AX136/AX132,""),"")</f>
        <v>0.0816429836930976</v>
      </c>
      <c r="AY117" s="215">
        <f>IF(AND(ISNUMBER(AY136),ISNUMBER(AY132)),IFERROR(AY136/AY132,""),"")</f>
        <v>0.0852617970265029</v>
      </c>
      <c r="AZ117" s="215">
        <f>IF(AND(ISNUMBER(AZ136),ISNUMBER(AZ132)),IFERROR(AZ136/AZ132,""),"")</f>
        <v>0.0847077612948801</v>
      </c>
      <c r="BA117" s="215">
        <f>IF(AND(ISNUMBER(BA136),ISNUMBER(BA132)),IFERROR(BA136/BA132,""),"")</f>
        <v>0.100949220046465</v>
      </c>
      <c r="BB117" s="215">
        <f>IF(AND(ISNUMBER(BB136),ISNUMBER(BB132)),IFERROR(BB136/BB132,""),"")</f>
        <v>0.088931325857699</v>
      </c>
      <c r="BC117" s="215">
        <f>IF(AND(ISNUMBER(BC136),ISNUMBER(BC132)),IFERROR(BC136/BC132,""),"")</f>
        <v>0.0856479098969284</v>
      </c>
      <c r="BD117" s="215">
        <f>IF(AND(ISNUMBER(BD136),ISNUMBER(BD132)),IFERROR(BD136/BD132,""),"")</f>
        <v>0.0951424266341393</v>
      </c>
      <c r="BE117" s="215">
        <f>IF(AND(ISNUMBER(BE136),ISNUMBER(BE132)),IFERROR(BE136/BE132,""),"")</f>
        <v>0.100286574422509</v>
      </c>
      <c r="BF117" s="215">
        <f>IF(AND(ISNUMBER(BF136),ISNUMBER(BF132)),IFERROR(BF136/BF132,""),"")</f>
        <v>0.0944535030507048</v>
      </c>
      <c r="BG117" s="215">
        <f>IF(AND(ISNUMBER(BG136),ISNUMBER(BG132)),IFERROR(BG136/BG132,""),"")</f>
        <v>0.0939307584607334</v>
      </c>
      <c r="BH117" s="215">
        <f>IF(AND(ISNUMBER(BH136),ISNUMBER(BH132)),IFERROR(BH136/BH132,""),"")</f>
        <v>0.0936134237035551</v>
      </c>
      <c r="BI117" s="215">
        <f>IF(AND(ISNUMBER(BI136),ISNUMBER(BI132)),IFERROR(BI136/BI132,""),"")</f>
        <v>0.0908932496917055</v>
      </c>
      <c r="BJ117" s="215">
        <f>IF(AND(ISNUMBER(BJ136),ISNUMBER(BJ132)),IFERROR(BJ136/BJ132,""),"")</f>
        <v>0.0897604735764672</v>
      </c>
      <c r="BK117" s="215">
        <f>IF(AND(ISNUMBER(BK136),ISNUMBER(BK132)),IFERROR(BK136/BK132,""),"")</f>
        <v>0.0894334376086201</v>
      </c>
      <c r="BL117" s="215">
        <f>IF(AND(ISNUMBER(BL136),ISNUMBER(BL132)),IFERROR(BL136/BL132,""),"")</f>
        <v>0.0908182983402409</v>
      </c>
      <c r="BM117" s="215">
        <f>IF(AND(ISNUMBER(BM136),ISNUMBER(BM132)),IFERROR(BM136/BM132,""),"")</f>
        <v>0.0797874321757161</v>
      </c>
      <c r="BN117" s="215">
        <f>IF(AND(ISNUMBER(BN136),ISNUMBER(BN132)),IFERROR(BN136/BN132,""),"")</f>
        <v>0.0801491586226429</v>
      </c>
      <c r="BO117" s="215">
        <f>IF(AND(ISNUMBER(BO136),ISNUMBER(BO132)),IFERROR(BO136/BO132,""),"")</f>
        <v>0.0818756514252051</v>
      </c>
      <c r="BP117" s="215">
        <f>IF(AND(ISNUMBER(BP136),ISNUMBER(BP132)),IFERROR(BP136/BP132,""),"")</f>
        <v>0.0763250370585369</v>
      </c>
      <c r="BQ117" s="215">
        <f>IF(AND(ISNUMBER(BQ136),ISNUMBER(BQ132)),IFERROR(BQ136/BQ132,""),"")</f>
        <v>0.0794473427080893</v>
      </c>
      <c r="BR117" s="215">
        <f>IF(AND(ISNUMBER(BR136),ISNUMBER(BR132)),IFERROR(BR136/BR132,""),"")</f>
        <v>0.068399937939136</v>
      </c>
      <c r="BS117" s="215">
        <f>IF(AND(ISNUMBER(BS136),ISNUMBER(BS132)),IFERROR(BS136/BS132,""),"")</f>
        <v>0.0736404363877712</v>
      </c>
      <c r="BT117" s="215">
        <f>IF(AND(ISNUMBER(BT136),ISNUMBER(BT132)),IFERROR(BT136/BT132,""),"")</f>
        <v>0.0703984523088347</v>
      </c>
      <c r="BU117" s="215">
        <f>IF(AND(ISNUMBER(BU136),ISNUMBER(BU132)),IFERROR(BU136/BU132,""),"")</f>
        <v>0.0721696579957656</v>
      </c>
      <c r="BV117" s="215">
        <f>IF(AND(ISNUMBER(BV136),ISNUMBER(BV132)),IFERROR(BV136/BV132,""),"")</f>
        <v>0.0712274970459443</v>
      </c>
      <c r="BW117" s="215">
        <f>IF(AND(ISNUMBER(BW136),ISNUMBER(BW132)),IFERROR(BW136/BW132,""),"")</f>
        <v>0.0692108902962801</v>
      </c>
      <c r="BX117" s="215">
        <f>IF(AND(ISNUMBER(BX136),ISNUMBER(BX132)),IFERROR(BX136/BX132,""),"")</f>
        <v>0.0701442452168687</v>
      </c>
      <c r="BY117" s="256">
        <f>BT117+IFERROR(SUM(BW136:BX136)/SUM(BW132:BX132)-SUM(BR136:BS136)/SUM(BR132:BS132),0)</f>
        <v>0.0689889996010459</v>
      </c>
      <c r="BZ117" s="256">
        <f>BU117+IFERROR(SUM(BW136:BX136)/SUM(BW132:BX132)-SUM(BR136:BS136)/SUM(BR132:BS132),0)</f>
        <v>0.0707602052879768</v>
      </c>
      <c r="CA117" s="256">
        <f>IF(AND(ISNUMBER(CA136),ISNUMBER(CA132)),IFERROR(CA136/CA132,""),"")</f>
        <v>0.0698189641143013</v>
      </c>
      <c r="CB117" s="268" t="n">
        <v>0.068</v>
      </c>
      <c r="CC117" s="268" t="n">
        <v>0.068</v>
      </c>
      <c r="CD117" s="268" t="n">
        <v>0.068</v>
      </c>
      <c r="CE117" s="268" t="n">
        <v>0.068</v>
      </c>
      <c r="CF117" s="153" t="n"/>
      <c r="CH117" s="37">
        <f>IFERROR(AVERAGE(CA117,CB117,CC117,CD117,CE117),"n/m")</f>
        <v>0.0683637928228603</v>
      </c>
      <c r="CI117" s="37">
        <f>IFERROR(AVERAGE(BB117,BG117,BL117,BQ117,BV117),"n/m")</f>
        <v>0.0848710444825414</v>
      </c>
      <c r="CJ117" s="37">
        <f>IFERROR(AVERAGE(AC117,AH117,AM117,AR117,AW117,BB117,BG117,BL117,BQ117,BV117),"n/m")</f>
        <v>0.0988581678392361</v>
      </c>
      <c r="CK117" s="37">
        <f>IFERROR(AVERAGE(C117,D117,E117,F117,G117,H117,I117,N117,S117,X117,AC117,AH117,AM117,AR117,AW117,BB117,BG117,BL117,BQ117,BV117),"n/m")</f>
        <v>0.101698152948936</v>
      </c>
    </row>
    <row r="118" ht="15" customHeight="1" s="251">
      <c r="B118" s="25" t="inlineStr">
        <is>
          <t xml:space="preserve">  General &amp; administrative % of revenues</t>
        </is>
      </c>
      <c r="C118" s="215">
        <f>IF(AND(ISNUMBER(C137),ISNUMBER(C132)),IFERROR(C137/C132,""),"")</f>
        <v>0.0708904180956815</v>
      </c>
      <c r="D118" s="215">
        <f>IF(AND(ISNUMBER(D137),ISNUMBER(D132)),IFERROR(D137/D132,""),"")</f>
        <v>0.0770911823114712</v>
      </c>
      <c r="E118" s="215">
        <f>IF(AND(ISNUMBER(E137),ISNUMBER(E132)),IFERROR(E137/E132,""),"")</f>
        <v>0.0827067451842234</v>
      </c>
      <c r="F118" s="215">
        <f>IF(AND(ISNUMBER(F137),ISNUMBER(F132)),IFERROR(F137/F132,""),"")</f>
        <v>0.0704970110013872</v>
      </c>
      <c r="G118" s="215">
        <f>IF(AND(ISNUMBER(G137),ISNUMBER(G132)),IFERROR(G137/G132,""),"")</f>
        <v>0.0669144981412639</v>
      </c>
      <c r="H118" s="215">
        <f>IF(AND(ISNUMBER(H137),ISNUMBER(H132)),IFERROR(H137/H132,""),"")</f>
        <v>0.0718638702018203</v>
      </c>
      <c r="I118" s="215">
        <f>IF(AND(ISNUMBER(I137),ISNUMBER(I132)),IFERROR(I137/I132,""),"")</f>
        <v>0.0766317887394121</v>
      </c>
      <c r="J118" s="215">
        <f>IF(AND(ISNUMBER(J137),ISNUMBER(J132)),IFERROR(J137/J132,""),"")</f>
        <v>0.0805354714009593</v>
      </c>
      <c r="K118" s="215">
        <f>IF(AND(ISNUMBER(K137),ISNUMBER(K132)),IFERROR(K137/K132,""),"")</f>
        <v>0.084863523573201</v>
      </c>
      <c r="L118" s="215">
        <f>IF(AND(ISNUMBER(L137),ISNUMBER(L132)),IFERROR(L137/L132,""),"")</f>
        <v>0.0814476599744847</v>
      </c>
      <c r="M118" s="215">
        <f>IF(AND(ISNUMBER(M137),ISNUMBER(M132)),IFERROR(M137/M132,""),"")</f>
        <v>0.0748012812907818</v>
      </c>
      <c r="N118" s="215">
        <f>IF(AND(ISNUMBER(N137),ISNUMBER(N132)),IFERROR(N137/N132,""),"")</f>
        <v>0.0801671541997493</v>
      </c>
      <c r="O118" s="215">
        <f>IF(AND(ISNUMBER(O137),ISNUMBER(O132)),IFERROR(O137/O132,""),"")</f>
        <v>0.0965629053177691</v>
      </c>
      <c r="P118" s="215">
        <f>IF(AND(ISNUMBER(P137),ISNUMBER(P132)),IFERROR(P137/P132,""),"")</f>
        <v>0.0879974929489188</v>
      </c>
      <c r="Q118" s="215">
        <f>IF(AND(ISNUMBER(Q137),ISNUMBER(Q132)),IFERROR(Q137/Q132,""),"")</f>
        <v>0.0826121164437451</v>
      </c>
      <c r="R118" s="215">
        <f>IF(AND(ISNUMBER(R137),ISNUMBER(R132)),IFERROR(R137/R132,""),"")</f>
        <v>0.0879964646743634</v>
      </c>
      <c r="S118" s="215">
        <f>IF(AND(ISNUMBER(S137),ISNUMBER(S132)),IFERROR(S137/S132,""),"")</f>
        <v>0.0886501719670914</v>
      </c>
      <c r="T118" s="215">
        <f>IF(AND(ISNUMBER(T137),ISNUMBER(T132)),IFERROR(T137/T132,""),"")</f>
        <v>0.0948545602039634</v>
      </c>
      <c r="U118" s="215">
        <f>IF(AND(ISNUMBER(U137),ISNUMBER(U132)),IFERROR(U137/U132,""),"")</f>
        <v>0.0817961301968748</v>
      </c>
      <c r="V118" s="215">
        <f>IF(AND(ISNUMBER(V137),ISNUMBER(V132)),IFERROR(V137/V132,""),"")</f>
        <v>0.0790896921017403</v>
      </c>
      <c r="W118" s="215">
        <f>IF(AND(ISNUMBER(W137),ISNUMBER(W132)),IFERROR(W137/W132,""),"")</f>
        <v>0.0737024708143842</v>
      </c>
      <c r="X118" s="215">
        <f>IF(AND(ISNUMBER(X137),ISNUMBER(X132)),IFERROR(X137/X132,""),"")</f>
        <v>0.0818253343823761</v>
      </c>
      <c r="Y118" s="215">
        <f>IF(AND(ISNUMBER(Y137),ISNUMBER(Y132)),IFERROR(Y137/Y132,""),"")</f>
        <v>0.0746902305375919</v>
      </c>
      <c r="Z118" s="215">
        <f>IF(AND(ISNUMBER(Z137),ISNUMBER(Z132)),IFERROR(Z137/Z132,""),"")</f>
        <v>0.0755348837209302</v>
      </c>
      <c r="AA118" s="215">
        <f>IF(AND(ISNUMBER(AA137),ISNUMBER(AA132)),IFERROR(AA137/AA132,""),"")</f>
        <v>0.0812435971671641</v>
      </c>
      <c r="AB118" s="215">
        <f>IF(AND(ISNUMBER(AB137),ISNUMBER(AB132)),IFERROR(AB137/AB132,""),"")</f>
        <v>0.0776550030693677</v>
      </c>
      <c r="AC118" s="215">
        <f>IF(AND(ISNUMBER(AC137),ISNUMBER(AC132)),IFERROR(AC137/AC132,""),"")</f>
        <v>0.0773772598369373</v>
      </c>
      <c r="AD118" s="215">
        <f>IF(AND(ISNUMBER(AD137),ISNUMBER(AD132)),IFERROR(AD137/AD132,""),"")</f>
        <v>0.0727676767676768</v>
      </c>
      <c r="AE118" s="215">
        <f>IF(AND(ISNUMBER(AE137),ISNUMBER(AE132)),IFERROR(AE137/AE132,""),"")</f>
        <v>0.065359477124183</v>
      </c>
      <c r="AF118" s="215">
        <f>IF(AND(ISNUMBER(AF137),ISNUMBER(AF132)),IFERROR(AF137/AF132,""),"")</f>
        <v>0.0574319458447357</v>
      </c>
      <c r="AG118" s="215">
        <f>IF(AND(ISNUMBER(AG137),ISNUMBER(AG132)),IFERROR(AG137/AG132,""),"")</f>
        <v>0.054945394920026</v>
      </c>
      <c r="AH118" s="215">
        <f>IF(AND(ISNUMBER(AH137),ISNUMBER(AH132)),IFERROR(AH137/AH132,""),"")</f>
        <v>0.061990888999143</v>
      </c>
      <c r="AI118" s="215">
        <f>IF(AND(ISNUMBER(AI137),ISNUMBER(AI132)),IFERROR(AI137/AI132,""),"")</f>
        <v>0.0653374430103384</v>
      </c>
      <c r="AJ118" s="215">
        <f>IF(AND(ISNUMBER(AJ137),ISNUMBER(AJ132)),IFERROR(AJ137/AJ132,""),"")</f>
        <v>0.0613038552224638</v>
      </c>
      <c r="AK118" s="215">
        <f>IF(AND(ISNUMBER(AK137),ISNUMBER(AK132)),IFERROR(AK137/AK132,""),"")</f>
        <v>0.0612922347362181</v>
      </c>
      <c r="AL118" s="215">
        <f>IF(AND(ISNUMBER(AL137),ISNUMBER(AL132)),IFERROR(AL137/AL132,""),"")</f>
        <v>0.0514563601181383</v>
      </c>
      <c r="AM118" s="215">
        <f>IF(AND(ISNUMBER(AM137),ISNUMBER(AM132)),IFERROR(AM137/AM132,""),"")</f>
        <v>0.0593923358597856</v>
      </c>
      <c r="AN118" s="215">
        <f>IF(AND(ISNUMBER(AN137),ISNUMBER(AN132)),IFERROR(AN137/AN132,""),"")</f>
        <v>0.0574589284240073</v>
      </c>
      <c r="AO118" s="215">
        <f>IF(AND(ISNUMBER(AO137),ISNUMBER(AO132)),IFERROR(AO137/AO132,""),"")</f>
        <v>0.0524599424815119</v>
      </c>
      <c r="AP118" s="215">
        <f>IF(AND(ISNUMBER(AP137),ISNUMBER(AP132)),IFERROR(AP137/AP132,""),"")</f>
        <v>0.0639768883182301</v>
      </c>
      <c r="AQ118" s="215">
        <f>IF(AND(ISNUMBER(AQ137),ISNUMBER(AQ132)),IFERROR(AQ137/AQ132,""),"")</f>
        <v>0.0613998914812805</v>
      </c>
      <c r="AR118" s="215">
        <f>IF(AND(ISNUMBER(AR137),ISNUMBER(AR132)),IFERROR(AR137/AR132,""),"")</f>
        <v>0.0590088782073065</v>
      </c>
      <c r="AS118" s="215">
        <f>IF(AND(ISNUMBER(AS137),ISNUMBER(AS132)),IFERROR(AS137/AS132,""),"")</f>
        <v>0.0699725454943026</v>
      </c>
      <c r="AT118" s="215">
        <f>IF(AND(ISNUMBER(AT137),ISNUMBER(AT132)),IFERROR(AT137/AT132,""),"")</f>
        <v>0.0674987596939708</v>
      </c>
      <c r="AU118" s="215">
        <f>IF(AND(ISNUMBER(AU137),ISNUMBER(AU132)),IFERROR(AU137/AU132,""),"")</f>
        <v>0.0596885625798627</v>
      </c>
      <c r="AV118" s="215">
        <f>IF(AND(ISNUMBER(AV137),ISNUMBER(AV132)),IFERROR(AV137/AV132,""),"")</f>
        <v>0.0497557031881613</v>
      </c>
      <c r="AW118" s="215">
        <f>IF(AND(ISNUMBER(AW137),ISNUMBER(AW132)),IFERROR(AW137/AW132,""),"")</f>
        <v>0.0605499460353811</v>
      </c>
      <c r="AX118" s="215">
        <f>IF(AND(ISNUMBER(AX137),ISNUMBER(AX132)),IFERROR(AX137/AX132,""),"")</f>
        <v>0.0501319738221788</v>
      </c>
      <c r="AY118" s="215">
        <f>IF(AND(ISNUMBER(AY137),ISNUMBER(AY132)),IFERROR(AY137/AY132,""),"")</f>
        <v>0.0539915966386555</v>
      </c>
      <c r="AZ118" s="215">
        <f>IF(AND(ISNUMBER(AZ137),ISNUMBER(AZ132)),IFERROR(AZ137/AZ132,""),"")</f>
        <v>0.0500015356737001</v>
      </c>
      <c r="BA118" s="215">
        <f>IF(AND(ISNUMBER(BA137),ISNUMBER(BA132)),IFERROR(BA137/BA132,""),"")</f>
        <v>0.0549618320610687</v>
      </c>
      <c r="BB118" s="215">
        <f>IF(AND(ISNUMBER(BB137),ISNUMBER(BB132)),IFERROR(BB137/BB132,""),"")</f>
        <v>0.0524381203010437</v>
      </c>
      <c r="BC118" s="215">
        <f>IF(AND(ISNUMBER(BC137),ISNUMBER(BC132)),IFERROR(BC137/BC132,""),"")</f>
        <v>0.0496096219729161</v>
      </c>
      <c r="BD118" s="215">
        <f>IF(AND(ISNUMBER(BD137),ISNUMBER(BD132)),IFERROR(BD137/BD132,""),"")</f>
        <v>0.0524790127000072</v>
      </c>
      <c r="BE118" s="215">
        <f>IF(AND(ISNUMBER(BE137),ISNUMBER(BE132)),IFERROR(BE137/BE132,""),"")</f>
        <v>0.0520610200891565</v>
      </c>
      <c r="BF118" s="215">
        <f>IF(AND(ISNUMBER(BF137),ISNUMBER(BF132)),IFERROR(BF137/BF132,""),"")</f>
        <v>0.0670103092783505</v>
      </c>
      <c r="BG118" s="215">
        <f>IF(AND(ISNUMBER(BG137),ISNUMBER(BG132)),IFERROR(BG137/BG132,""),"")</f>
        <v>0.0555940545050842</v>
      </c>
      <c r="BH118" s="215">
        <f>IF(AND(ISNUMBER(BH137),ISNUMBER(BH132)),IFERROR(BH137/BH132,""),"")</f>
        <v>0.0538639001533237</v>
      </c>
      <c r="BI118" s="215">
        <f>IF(AND(ISNUMBER(BI137),ISNUMBER(BI132)),IFERROR(BI137/BI132,""),"")</f>
        <v>0.0466596965310171</v>
      </c>
      <c r="BJ118" s="215">
        <f>IF(AND(ISNUMBER(BJ137),ISNUMBER(BJ132)),IFERROR(BJ137/BJ132,""),"")</f>
        <v>0.0518821795991812</v>
      </c>
      <c r="BK118" s="215">
        <f>IF(AND(ISNUMBER(BK137),ISNUMBER(BK132)),IFERROR(BK137/BK132,""),"")</f>
        <v>0.0603174603174603</v>
      </c>
      <c r="BL118" s="215">
        <f>IF(AND(ISNUMBER(BL137),ISNUMBER(BL132)),IFERROR(BL137/BL132,""),"")</f>
        <v>0.0534330533452182</v>
      </c>
      <c r="BM118" s="215">
        <f>IF(AND(ISNUMBER(BM137),ISNUMBER(BM132)),IFERROR(BM137/BM132,""),"")</f>
        <v>0.0375718595959721</v>
      </c>
      <c r="BN118" s="215">
        <f>IF(AND(ISNUMBER(BN137),ISNUMBER(BN132)),IFERROR(BN137/BN132,""),"")</f>
        <v>0.0372660546128248</v>
      </c>
      <c r="BO118" s="215">
        <f>IF(AND(ISNUMBER(BO137),ISNUMBER(BO132)),IFERROR(BO137/BO132,""),"")</f>
        <v>0.0407735532695881</v>
      </c>
      <c r="BP118" s="215">
        <f>IF(AND(ISNUMBER(BP137),ISNUMBER(BP132)),IFERROR(BP137/BP132,""),"")</f>
        <v>0.0456623371238429</v>
      </c>
      <c r="BQ118" s="215">
        <f>IF(AND(ISNUMBER(BQ137),ISNUMBER(BQ132)),IFERROR(BQ137/BQ132,""),"")</f>
        <v>0.040535058197007</v>
      </c>
      <c r="BR118" s="215">
        <f>IF(AND(ISNUMBER(BR137),ISNUMBER(BR132)),IFERROR(BR137/BR132,""),"")</f>
        <v>0.0392202495733316</v>
      </c>
      <c r="BS118" s="215">
        <f>IF(AND(ISNUMBER(BS137),ISNUMBER(BS132)),IFERROR(BS137/BS132,""),"")</f>
        <v>0.0540195793752852</v>
      </c>
      <c r="BT118" s="215">
        <f>IF(AND(ISNUMBER(BT137),ISNUMBER(BT132)),IFERROR(BT137/BT132,""),"")</f>
        <v>0.0722353584898286</v>
      </c>
      <c r="BU118" s="215">
        <f>IF(AND(ISNUMBER(BU137),ISNUMBER(BU132)),IFERROR(BU137/BU132,""),"")</f>
        <v>0.0469212590816049</v>
      </c>
      <c r="BV118" s="215">
        <f>IF(AND(ISNUMBER(BV137),ISNUMBER(BV132)),IFERROR(BV137/BV132,""),"")</f>
        <v>0.0533269121925548</v>
      </c>
      <c r="BW118" s="215">
        <f>IF(AND(ISNUMBER(BW137),ISNUMBER(BW132)),IFERROR(BW137/BW132,""),"")</f>
        <v>0.0390460071340176</v>
      </c>
      <c r="BX118" s="215">
        <f>IF(AND(ISNUMBER(BX137),ISNUMBER(BX132)),IFERROR(BX137/BX132,""),"")</f>
        <v>0.0539333533673912</v>
      </c>
      <c r="BY118" s="256">
        <f>IFERROR(SUM(BW137:BX137)/SUM(BW132:BX132),0)</f>
        <v>0.0468105114675304</v>
      </c>
      <c r="BZ118" s="256">
        <f>IFERROR(SUM(BW137:BX137)/SUM(BW132:BX132),0)</f>
        <v>0.0468105114675304</v>
      </c>
      <c r="CA118" s="256">
        <f>IF(AND(ISNUMBER(CA137),ISNUMBER(CA132)),IFERROR(CA137/CA132,""),"")</f>
        <v>0.0468105114675304</v>
      </c>
      <c r="CB118" s="268" t="n">
        <v>0.048</v>
      </c>
      <c r="CC118" s="268" t="n">
        <v>0.048</v>
      </c>
      <c r="CD118" s="268" t="n">
        <v>0.048</v>
      </c>
      <c r="CE118" s="268" t="n">
        <v>0.048</v>
      </c>
      <c r="CF118" s="153" t="inlineStr">
        <is>
          <t>Cost of revenues is the balancing line: revenues − operating income (segment build) − R&amp;D − S&amp;M − G&amp;A − other operating items.</t>
        </is>
      </c>
      <c r="CH118" s="37">
        <f>IFERROR(AVERAGE(CA118,CB118,CC118,CD118,CE118),"n/m")</f>
        <v>0.0477621022935061</v>
      </c>
      <c r="CI118" s="37">
        <f>IFERROR(AVERAGE(BB118,BG118,BL118,BQ118,BV118),"n/m")</f>
        <v>0.0510654397081816</v>
      </c>
      <c r="CJ118" s="37">
        <f>IFERROR(AVERAGE(AC118,AH118,AM118,AR118,AW118,BB118,BG118,BL118,BQ118,BV118),"n/m")</f>
        <v>0.0573646507479461</v>
      </c>
      <c r="CK118" s="37">
        <f>IFERROR(AVERAGE(C118,D118,E118,F118,G118,H118,I118,N118,S118,X118,AC118,AH118,AM118,AR118,AW118,BB118,BG118,BL118,BQ118,BV118),"n/m")</f>
        <v>0.0670442340851969</v>
      </c>
    </row>
    <row r="119" ht="15" customHeight="1" s="251">
      <c r="B119" s="25" t="inlineStr">
        <is>
          <t xml:space="preserve">  Adjusting items (pre-tax; quantified by the company in a published non-GAAP reconciliation):</t>
        </is>
      </c>
      <c r="CF119" s="153" t="n"/>
    </row>
    <row r="120" ht="15" customHeight="1" s="251">
      <c r="B120" s="25" t="inlineStr">
        <is>
          <t xml:space="preserve">  European Commission fines</t>
        </is>
      </c>
      <c r="C120" s="253" t="n">
        <v>0</v>
      </c>
      <c r="D120" s="253" t="n">
        <v>0</v>
      </c>
      <c r="E120" s="253" t="n">
        <v>0</v>
      </c>
      <c r="F120" s="253" t="n">
        <v>0</v>
      </c>
      <c r="G120" s="253" t="n">
        <v>0</v>
      </c>
      <c r="H120" s="253" t="n">
        <v>0</v>
      </c>
      <c r="I120" s="253" t="n">
        <v>0</v>
      </c>
      <c r="J120" s="253" t="n">
        <v>0</v>
      </c>
      <c r="K120" s="253" t="n">
        <v>0</v>
      </c>
      <c r="L120" s="253" t="n">
        <v>0</v>
      </c>
      <c r="M120" s="253" t="n">
        <v>0</v>
      </c>
      <c r="N120" s="253" t="n">
        <v>0</v>
      </c>
      <c r="O120" s="253" t="n">
        <v>0</v>
      </c>
      <c r="P120" s="253" t="n">
        <v>0</v>
      </c>
      <c r="Q120" s="253" t="n">
        <v>0</v>
      </c>
      <c r="R120" s="253" t="n">
        <v>0</v>
      </c>
      <c r="S120" s="253" t="n">
        <v>0</v>
      </c>
      <c r="T120" s="253" t="n">
        <v>0</v>
      </c>
      <c r="U120" s="253" t="n">
        <v>0</v>
      </c>
      <c r="V120" s="253" t="n">
        <v>0</v>
      </c>
      <c r="W120" s="253" t="n">
        <v>0</v>
      </c>
      <c r="X120" s="253" t="n">
        <v>0</v>
      </c>
      <c r="Y120" s="253" t="n">
        <v>0</v>
      </c>
      <c r="Z120" s="253" t="n">
        <v>0</v>
      </c>
      <c r="AA120" s="253" t="n">
        <v>0</v>
      </c>
      <c r="AB120" s="253" t="n">
        <v>0</v>
      </c>
      <c r="AC120" s="253" t="n">
        <v>0</v>
      </c>
      <c r="AD120" s="253" t="n">
        <v>0</v>
      </c>
      <c r="AE120" s="253" t="n">
        <v>2736</v>
      </c>
      <c r="AF120" s="253" t="n">
        <v>0</v>
      </c>
      <c r="AG120" s="253" t="n">
        <v>0</v>
      </c>
      <c r="AH120" s="253" t="n">
        <v>2736</v>
      </c>
      <c r="AI120" s="253" t="n">
        <v>0</v>
      </c>
      <c r="AJ120" s="253" t="n">
        <v>5071</v>
      </c>
      <c r="AK120" s="253" t="n">
        <v>0</v>
      </c>
      <c r="AL120" s="253" t="n">
        <v>0</v>
      </c>
      <c r="AM120" s="253" t="n">
        <v>5071</v>
      </c>
      <c r="AN120" s="253" t="n">
        <v>1697</v>
      </c>
      <c r="AO120" s="253" t="n">
        <v>0</v>
      </c>
      <c r="AP120" s="253" t="n">
        <v>0</v>
      </c>
      <c r="AQ120" s="253" t="n">
        <v>0</v>
      </c>
      <c r="AR120" s="253" t="n">
        <v>1697</v>
      </c>
      <c r="AS120" s="253" t="n">
        <v>0</v>
      </c>
      <c r="AT120" s="253" t="n">
        <v>0</v>
      </c>
      <c r="AU120" s="253" t="n">
        <v>0</v>
      </c>
      <c r="AV120" s="253" t="n">
        <v>0</v>
      </c>
      <c r="AW120" s="253" t="n">
        <v>0</v>
      </c>
      <c r="AX120" s="253" t="n">
        <v>0</v>
      </c>
      <c r="AY120" s="253" t="n">
        <v>0</v>
      </c>
      <c r="AZ120" s="253" t="n">
        <v>0</v>
      </c>
      <c r="BA120" s="253" t="n">
        <v>0</v>
      </c>
      <c r="BB120" s="253" t="n">
        <v>0</v>
      </c>
      <c r="BC120" s="253" t="n">
        <v>0</v>
      </c>
      <c r="BD120" s="253" t="n">
        <v>0</v>
      </c>
      <c r="BE120" s="253" t="n">
        <v>0</v>
      </c>
      <c r="BF120" s="253" t="n">
        <v>0</v>
      </c>
      <c r="BG120" s="253" t="n">
        <v>0</v>
      </c>
      <c r="BH120" s="253" t="n">
        <v>0</v>
      </c>
      <c r="BI120" s="253" t="n">
        <v>0</v>
      </c>
      <c r="BJ120" s="253" t="n">
        <v>0</v>
      </c>
      <c r="BK120" s="253" t="n">
        <v>0</v>
      </c>
      <c r="BL120" s="253" t="n">
        <v>0</v>
      </c>
      <c r="BM120" s="253" t="n">
        <v>0</v>
      </c>
      <c r="BN120" s="253" t="n">
        <v>0</v>
      </c>
      <c r="BO120" s="253" t="n">
        <v>0</v>
      </c>
      <c r="BP120" s="253" t="n">
        <v>0</v>
      </c>
      <c r="BQ120" s="253" t="n">
        <v>0</v>
      </c>
      <c r="BR120" s="253" t="n">
        <v>0</v>
      </c>
      <c r="BS120" s="253" t="n">
        <v>0</v>
      </c>
      <c r="BT120" s="253" t="n">
        <v>3457</v>
      </c>
      <c r="BU120" s="253" t="n">
        <v>0</v>
      </c>
      <c r="BV120" s="253" t="n">
        <v>3457</v>
      </c>
      <c r="BW120" s="253" t="n">
        <v>0</v>
      </c>
      <c r="BX120" s="253" t="n">
        <v>0</v>
      </c>
      <c r="BY120" s="254">
        <f>0</f>
        <v>0</v>
      </c>
      <c r="BZ120" s="254">
        <f>0</f>
        <v>0</v>
      </c>
      <c r="CA120" s="254">
        <f>SUM(BW120:BZ120)</f>
        <v>0</v>
      </c>
      <c r="CB120" s="254">
        <f>0</f>
        <v>0</v>
      </c>
      <c r="CC120" s="254">
        <f>0</f>
        <v>0</v>
      </c>
      <c r="CD120" s="254">
        <f>0</f>
        <v>0</v>
      </c>
      <c r="CE120" s="254">
        <f>0</f>
        <v>0</v>
      </c>
      <c r="CF120" s="19" t="inlineStr">
        <is>
          <t>Q2-17 $2,736m, Q2-18 $5,071m, Q1-19 $1,697m (separate income-statement line), Q3-25 $3,457m (in G&amp;A). Not tax-deductible. Forecast nil (not forecastable).</t>
        </is>
      </c>
    </row>
    <row r="121" ht="15" customHeight="1" s="251">
      <c r="B121" s="25" t="inlineStr">
        <is>
          <t xml:space="preserve">  Employee severance &amp; office-space charges</t>
        </is>
      </c>
      <c r="C121" s="253" t="n">
        <v>0</v>
      </c>
      <c r="D121" s="253" t="n">
        <v>0</v>
      </c>
      <c r="E121" s="253" t="n">
        <v>0</v>
      </c>
      <c r="F121" s="253" t="n">
        <v>0</v>
      </c>
      <c r="G121" s="253" t="n">
        <v>0</v>
      </c>
      <c r="H121" s="253" t="n">
        <v>0</v>
      </c>
      <c r="I121" s="253" t="n">
        <v>0</v>
      </c>
      <c r="J121" s="253" t="n">
        <v>0</v>
      </c>
      <c r="K121" s="253" t="n">
        <v>0</v>
      </c>
      <c r="L121" s="253" t="n">
        <v>0</v>
      </c>
      <c r="M121" s="253" t="n">
        <v>0</v>
      </c>
      <c r="N121" s="253" t="n">
        <v>0</v>
      </c>
      <c r="O121" s="253" t="n">
        <v>0</v>
      </c>
      <c r="P121" s="253" t="n">
        <v>0</v>
      </c>
      <c r="Q121" s="253" t="n">
        <v>0</v>
      </c>
      <c r="R121" s="253" t="n">
        <v>0</v>
      </c>
      <c r="S121" s="253" t="n">
        <v>0</v>
      </c>
      <c r="T121" s="253" t="n">
        <v>0</v>
      </c>
      <c r="U121" s="253" t="n">
        <v>0</v>
      </c>
      <c r="V121" s="253" t="n">
        <v>0</v>
      </c>
      <c r="W121" s="253" t="n">
        <v>0</v>
      </c>
      <c r="X121" s="253" t="n">
        <v>0</v>
      </c>
      <c r="Y121" s="253" t="n">
        <v>0</v>
      </c>
      <c r="Z121" s="253" t="n">
        <v>0</v>
      </c>
      <c r="AA121" s="253" t="n">
        <v>0</v>
      </c>
      <c r="AB121" s="253" t="n">
        <v>0</v>
      </c>
      <c r="AC121" s="253" t="n">
        <v>0</v>
      </c>
      <c r="AD121" s="253" t="n">
        <v>0</v>
      </c>
      <c r="AE121" s="253" t="n">
        <v>0</v>
      </c>
      <c r="AF121" s="253" t="n">
        <v>0</v>
      </c>
      <c r="AG121" s="253" t="n">
        <v>0</v>
      </c>
      <c r="AH121" s="253" t="n">
        <v>0</v>
      </c>
      <c r="AI121" s="253" t="n">
        <v>0</v>
      </c>
      <c r="AJ121" s="253" t="n">
        <v>0</v>
      </c>
      <c r="AK121" s="253" t="n">
        <v>0</v>
      </c>
      <c r="AL121" s="253" t="n">
        <v>0</v>
      </c>
      <c r="AM121" s="253" t="n">
        <v>0</v>
      </c>
      <c r="AN121" s="253" t="n">
        <v>0</v>
      </c>
      <c r="AO121" s="253" t="n">
        <v>0</v>
      </c>
      <c r="AP121" s="253" t="n">
        <v>0</v>
      </c>
      <c r="AQ121" s="253" t="n">
        <v>0</v>
      </c>
      <c r="AR121" s="253" t="n">
        <v>0</v>
      </c>
      <c r="AS121" s="253" t="n">
        <v>0</v>
      </c>
      <c r="AT121" s="253" t="n">
        <v>0</v>
      </c>
      <c r="AU121" s="253" t="n">
        <v>0</v>
      </c>
      <c r="AV121" s="253" t="n">
        <v>0</v>
      </c>
      <c r="AW121" s="253" t="n">
        <v>0</v>
      </c>
      <c r="AX121" s="253" t="n">
        <v>0</v>
      </c>
      <c r="AY121" s="253" t="n">
        <v>0</v>
      </c>
      <c r="AZ121" s="253" t="n">
        <v>0</v>
      </c>
      <c r="BA121" s="253" t="n">
        <v>0</v>
      </c>
      <c r="BB121" s="253" t="n">
        <v>0</v>
      </c>
      <c r="BC121" s="253" t="n">
        <v>0</v>
      </c>
      <c r="BD121" s="253" t="n">
        <v>0</v>
      </c>
      <c r="BE121" s="253" t="n">
        <v>0</v>
      </c>
      <c r="BF121" s="253" t="n">
        <v>0</v>
      </c>
      <c r="BG121" s="253" t="n">
        <v>0</v>
      </c>
      <c r="BH121" s="253" t="n">
        <v>2558</v>
      </c>
      <c r="BI121" s="253" t="n">
        <v>0</v>
      </c>
      <c r="BJ121" s="253" t="n">
        <v>0</v>
      </c>
      <c r="BK121" s="253" t="n">
        <v>0</v>
      </c>
      <c r="BL121" s="253" t="n">
        <v>2558</v>
      </c>
      <c r="BM121" s="253" t="n">
        <v>716</v>
      </c>
      <c r="BN121" s="253" t="n">
        <v>0</v>
      </c>
      <c r="BO121" s="253" t="n">
        <v>0</v>
      </c>
      <c r="BP121" s="253" t="n">
        <v>0</v>
      </c>
      <c r="BQ121" s="253" t="n">
        <v>716</v>
      </c>
      <c r="BR121" s="253" t="n">
        <v>0</v>
      </c>
      <c r="BS121" s="253" t="n">
        <v>0</v>
      </c>
      <c r="BT121" s="253" t="n">
        <v>0</v>
      </c>
      <c r="BU121" s="253" t="n">
        <v>0</v>
      </c>
      <c r="BV121" s="253" t="n">
        <v>0</v>
      </c>
      <c r="BW121" s="253" t="n">
        <v>0</v>
      </c>
      <c r="BX121" s="253" t="n">
        <v>0</v>
      </c>
      <c r="BY121" s="254">
        <f>0</f>
        <v>0</v>
      </c>
      <c r="BZ121" s="254">
        <f>0</f>
        <v>0</v>
      </c>
      <c r="CA121" s="254">
        <f>SUM(BW121:BZ121)</f>
        <v>0</v>
      </c>
      <c r="CB121" s="254">
        <f>0</f>
        <v>0</v>
      </c>
      <c r="CC121" s="254">
        <f>0</f>
        <v>0</v>
      </c>
      <c r="CD121" s="254">
        <f>0</f>
        <v>0</v>
      </c>
      <c r="CE121" s="254">
        <f>0</f>
        <v>0</v>
      </c>
      <c r="CF121" s="19" t="inlineStr">
        <is>
          <t>Q1-23 $2,558m and Q1-24 $716m (published reconciliation). Other 2023–25 charges were named in MD&amp;A but not reconciled (left in; see manual_items.json).</t>
        </is>
      </c>
    </row>
    <row r="122" ht="15" customHeight="1" s="251">
      <c r="B122" s="25" t="inlineStr">
        <is>
          <t xml:space="preserve">  Gains (losses) on equity securities, net (OI&amp;E; ASU 2016-01 from 2018) / impairment of equity investments (2008)</t>
        </is>
      </c>
      <c r="C122" s="211">
        <f>N(C123)+N(C124)</f>
        <v>0</v>
      </c>
      <c r="D122" s="211">
        <f>N(D123)+N(D124)</f>
        <v>0</v>
      </c>
      <c r="E122" s="211">
        <f>N(E123)+N(E124)</f>
        <v>-1094.757</v>
      </c>
      <c r="F122" s="211">
        <f>N(F123)+N(F124)</f>
        <v>0</v>
      </c>
      <c r="G122" s="211">
        <f>N(G123)+N(G124)</f>
        <v>0</v>
      </c>
      <c r="H122" s="211">
        <f>N(H123)+N(H124)</f>
        <v>0</v>
      </c>
      <c r="I122" s="211">
        <f>N(I123)+N(I124)</f>
        <v>0</v>
      </c>
      <c r="J122" s="211">
        <f>N(J123)+N(J124)</f>
        <v>0</v>
      </c>
      <c r="K122" s="211">
        <f>N(K123)+N(K124)</f>
        <v>0</v>
      </c>
      <c r="L122" s="211">
        <f>N(L123)+N(L124)</f>
        <v>0</v>
      </c>
      <c r="M122" s="211">
        <f>N(M123)+N(M124)</f>
        <v>0</v>
      </c>
      <c r="N122" s="211">
        <f>N(N123)+N(N124)</f>
        <v>0</v>
      </c>
      <c r="O122" s="211">
        <f>N(O123)+N(O124)</f>
        <v>0</v>
      </c>
      <c r="P122" s="211">
        <f>N(P123)+N(P124)</f>
        <v>0</v>
      </c>
      <c r="Q122" s="211">
        <f>N(Q123)+N(Q124)</f>
        <v>0</v>
      </c>
      <c r="R122" s="211">
        <f>N(R123)+N(R124)</f>
        <v>0</v>
      </c>
      <c r="S122" s="211">
        <f>N(S123)+N(S124)</f>
        <v>0</v>
      </c>
      <c r="T122" s="211">
        <f>N(T123)+N(T124)</f>
        <v>0</v>
      </c>
      <c r="U122" s="211">
        <f>N(U123)+N(U124)</f>
        <v>0</v>
      </c>
      <c r="V122" s="211">
        <f>N(V123)+N(V124)</f>
        <v>0</v>
      </c>
      <c r="W122" s="211">
        <f>N(W123)+N(W124)</f>
        <v>0</v>
      </c>
      <c r="X122" s="211">
        <f>N(X123)+N(X124)</f>
        <v>0</v>
      </c>
      <c r="Y122" s="211">
        <f>N(Y123)+N(Y124)</f>
        <v>0</v>
      </c>
      <c r="Z122" s="211">
        <f>N(Z123)+N(Z124)</f>
        <v>0</v>
      </c>
      <c r="AA122" s="211">
        <f>N(AA123)+N(AA124)</f>
        <v>0</v>
      </c>
      <c r="AB122" s="211">
        <f>N(AB123)+N(AB124)</f>
        <v>0</v>
      </c>
      <c r="AC122" s="211">
        <f>N(AC123)+N(AC124)</f>
        <v>0</v>
      </c>
      <c r="AD122" s="211">
        <f>N(AD123)+N(AD124)</f>
        <v>0</v>
      </c>
      <c r="AE122" s="211">
        <f>N(AE123)+N(AE124)</f>
        <v>0</v>
      </c>
      <c r="AF122" s="211">
        <f>N(AF123)+N(AF124)</f>
        <v>0</v>
      </c>
      <c r="AG122" s="211">
        <f>N(AG123)+N(AG124)</f>
        <v>0</v>
      </c>
      <c r="AH122" s="211">
        <f>N(AH123)+N(AH124)</f>
        <v>0</v>
      </c>
      <c r="AI122" s="211">
        <f>N(AI123)+N(AI124)</f>
        <v>3031</v>
      </c>
      <c r="AJ122" s="211">
        <f>N(AJ123)+N(AJ124)</f>
        <v>1062</v>
      </c>
      <c r="AK122" s="211">
        <f>N(AK123)+N(AK124)</f>
        <v>1382</v>
      </c>
      <c r="AL122" s="211">
        <f>N(AL123)+N(AL124)</f>
        <v>-15</v>
      </c>
      <c r="AM122" s="211">
        <f>N(AM123)+N(AM124)</f>
        <v>5460</v>
      </c>
      <c r="AN122" s="211">
        <f>N(AN123)+N(AN124)</f>
        <v>1083</v>
      </c>
      <c r="AO122" s="211">
        <f>N(AO123)+N(AO124)</f>
        <v>2699</v>
      </c>
      <c r="AP122" s="211">
        <f>N(AP123)+N(AP124)</f>
        <v>-1528</v>
      </c>
      <c r="AQ122" s="211">
        <f>N(AQ123)+N(AQ124)</f>
        <v>395</v>
      </c>
      <c r="AR122" s="211">
        <f>N(AR123)+N(AR124)</f>
        <v>2649</v>
      </c>
      <c r="AS122" s="211">
        <f>N(AS123)+N(AS124)</f>
        <v>-814</v>
      </c>
      <c r="AT122" s="211">
        <f>N(AT123)+N(AT124)</f>
        <v>1455</v>
      </c>
      <c r="AU122" s="211">
        <f>N(AU123)+N(AU124)</f>
        <v>1899</v>
      </c>
      <c r="AV122" s="211">
        <f>N(AV123)+N(AV124)</f>
        <v>3052</v>
      </c>
      <c r="AW122" s="211">
        <f>N(AW123)+N(AW124)</f>
        <v>5592</v>
      </c>
      <c r="AX122" s="211">
        <f>N(AX123)+N(AX124)</f>
        <v>4837</v>
      </c>
      <c r="AY122" s="211">
        <f>N(AY123)+N(AY124)</f>
        <v>2772</v>
      </c>
      <c r="AZ122" s="211">
        <f>N(AZ123)+N(AZ124)</f>
        <v>2121</v>
      </c>
      <c r="BA122" s="211">
        <f>N(BA123)+N(BA124)</f>
        <v>2650</v>
      </c>
      <c r="BB122" s="211">
        <f>N(BB123)+N(BB124)</f>
        <v>12380</v>
      </c>
      <c r="BC122" s="211">
        <f>N(BC123)+N(BC124)</f>
        <v>-1070</v>
      </c>
      <c r="BD122" s="211">
        <f>N(BD123)+N(BD124)</f>
        <v>-251</v>
      </c>
      <c r="BE122" s="211">
        <f>N(BE123)+N(BE124)</f>
        <v>-647</v>
      </c>
      <c r="BF122" s="211">
        <f>N(BF123)+N(BF124)</f>
        <v>-1487</v>
      </c>
      <c r="BG122" s="211">
        <f>N(BG123)+N(BG124)</f>
        <v>-3455</v>
      </c>
      <c r="BH122" s="211">
        <f>N(BH123)+N(BH124)</f>
        <v>377</v>
      </c>
      <c r="BI122" s="211">
        <f>N(BI123)+N(BI124)</f>
        <v>-205</v>
      </c>
      <c r="BJ122" s="211">
        <f>N(BJ123)+N(BJ124)</f>
        <v>-366</v>
      </c>
      <c r="BK122" s="211">
        <f>N(BK123)+N(BK124)</f>
        <v>586</v>
      </c>
      <c r="BL122" s="211">
        <f>N(BL123)+N(BL124)</f>
        <v>392</v>
      </c>
      <c r="BM122" s="211">
        <f>N(BM123)+N(BM124)</f>
        <v>2243</v>
      </c>
      <c r="BN122" s="211">
        <f>N(BN123)+N(BN124)</f>
        <v>-714</v>
      </c>
      <c r="BO122" s="211">
        <f>N(BO123)+N(BO124)</f>
        <v>1821</v>
      </c>
      <c r="BP122" s="211">
        <f>N(BP123)+N(BP124)</f>
        <v>364</v>
      </c>
      <c r="BQ122" s="211">
        <f>N(BQ123)+N(BQ124)</f>
        <v>3714</v>
      </c>
      <c r="BR122" s="211">
        <f>N(BR123)+N(BR124)</f>
        <v>9758</v>
      </c>
      <c r="BS122" s="211">
        <f>N(BS123)+N(BS124)</f>
        <v>1286</v>
      </c>
      <c r="BT122" s="211">
        <f>N(BT123)+N(BT124)</f>
        <v>10734</v>
      </c>
      <c r="BU122" s="211">
        <f>N(BU123)+N(BU124)</f>
        <v>2302</v>
      </c>
      <c r="BV122" s="211">
        <f>N(BV123)+N(BV124)</f>
        <v>24080</v>
      </c>
      <c r="BW122" s="211">
        <f>N(BW123)+N(BW124)</f>
        <v>36915</v>
      </c>
      <c r="BX122" s="211">
        <f>N(BX123)+N(BX124)</f>
        <v>99031</v>
      </c>
      <c r="BY122" s="254">
        <f>0</f>
        <v>0</v>
      </c>
      <c r="BZ122" s="254">
        <f>0</f>
        <v>0</v>
      </c>
      <c r="CA122" s="254">
        <f>SUM(BW122:BZ122)</f>
        <v>135946</v>
      </c>
      <c r="CB122" s="254">
        <f>0</f>
        <v>0</v>
      </c>
      <c r="CC122" s="254">
        <f>0</f>
        <v>0</v>
      </c>
      <c r="CD122" s="254">
        <f>0</f>
        <v>0</v>
      </c>
      <c r="CE122" s="254">
        <f>0</f>
        <v>0</v>
      </c>
      <c r="CF122" s="19" t="inlineStr">
        <is>
          <t>Model adjusting item: unrealised and realised gains on marketable and non-marketable equity securities (incl. stakes such as SpaceX / Anthropic, per press; not named in filings). Forecast nil.</t>
        </is>
      </c>
    </row>
    <row r="123" ht="15" customHeight="1" s="251">
      <c r="B123" s="156" t="inlineStr">
        <is>
          <t xml:space="preserve">    Memo: gains (losses) on equity securities, net (XBRL)</t>
        </is>
      </c>
      <c r="C123" s="34" t="n"/>
      <c r="D123" s="34" t="n"/>
      <c r="E123" s="34" t="n"/>
      <c r="F123" s="34" t="n"/>
      <c r="G123" s="34" t="n"/>
      <c r="H123" s="34" t="n"/>
      <c r="I123" s="34" t="n"/>
      <c r="J123" s="34" t="n"/>
      <c r="K123" s="34" t="n"/>
      <c r="L123" s="34" t="n"/>
      <c r="M123" s="34" t="n"/>
      <c r="N123" s="34" t="n"/>
      <c r="O123" s="34" t="n"/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  <c r="AA123" s="34" t="n"/>
      <c r="AB123" s="34" t="n"/>
      <c r="AC123" s="34" t="n"/>
      <c r="AD123" s="34" t="n"/>
      <c r="AE123" s="34" t="n"/>
      <c r="AF123" s="34" t="n"/>
      <c r="AG123" s="34" t="n"/>
      <c r="AH123" s="34" t="n"/>
      <c r="AI123" s="253" t="n">
        <v>3031</v>
      </c>
      <c r="AJ123" s="253" t="n">
        <v>1062</v>
      </c>
      <c r="AK123" s="253" t="n">
        <v>1382</v>
      </c>
      <c r="AL123" s="253" t="n">
        <v>-15</v>
      </c>
      <c r="AM123" s="253" t="n">
        <v>5460</v>
      </c>
      <c r="AN123" s="253" t="n">
        <v>1083</v>
      </c>
      <c r="AO123" s="253" t="n">
        <v>2699</v>
      </c>
      <c r="AP123" s="253" t="n">
        <v>-1528</v>
      </c>
      <c r="AQ123" s="253" t="n">
        <v>395</v>
      </c>
      <c r="AR123" s="253" t="n">
        <v>2649</v>
      </c>
      <c r="AS123" s="253" t="n">
        <v>-814</v>
      </c>
      <c r="AT123" s="253" t="n">
        <v>1455</v>
      </c>
      <c r="AU123" s="253" t="n">
        <v>1899</v>
      </c>
      <c r="AV123" s="253" t="n">
        <v>3052</v>
      </c>
      <c r="AW123" s="253" t="n">
        <v>5592</v>
      </c>
      <c r="AX123" s="253" t="n">
        <v>4837</v>
      </c>
      <c r="AY123" s="253" t="n">
        <v>2772</v>
      </c>
      <c r="AZ123" s="253" t="n">
        <v>2121</v>
      </c>
      <c r="BA123" s="253" t="n">
        <v>2650</v>
      </c>
      <c r="BB123" s="253" t="n">
        <v>12380</v>
      </c>
      <c r="BC123" s="253" t="n">
        <v>-1070</v>
      </c>
      <c r="BD123" s="253" t="n">
        <v>-251</v>
      </c>
      <c r="BE123" s="253" t="n">
        <v>-647</v>
      </c>
      <c r="BF123" s="253" t="n">
        <v>-1487</v>
      </c>
      <c r="BG123" s="253" t="n">
        <v>-3455</v>
      </c>
      <c r="BH123" s="253" t="n">
        <v>377</v>
      </c>
      <c r="BI123" s="253" t="n">
        <v>-205</v>
      </c>
      <c r="BJ123" s="253" t="n">
        <v>-366</v>
      </c>
      <c r="BK123" s="253" t="n">
        <v>586</v>
      </c>
      <c r="BL123" s="253" t="n">
        <v>392</v>
      </c>
      <c r="BM123" s="253" t="n">
        <v>2243</v>
      </c>
      <c r="BN123" s="253" t="n">
        <v>-714</v>
      </c>
      <c r="BO123" s="253" t="n">
        <v>1821</v>
      </c>
      <c r="BP123" s="253" t="n">
        <v>364</v>
      </c>
      <c r="BQ123" s="253" t="n">
        <v>3714</v>
      </c>
      <c r="BR123" s="253" t="n">
        <v>9758</v>
      </c>
      <c r="BS123" s="253" t="n">
        <v>1286</v>
      </c>
      <c r="BT123" s="253" t="n">
        <v>10734</v>
      </c>
      <c r="BU123" s="253" t="n">
        <v>2302</v>
      </c>
      <c r="BV123" s="253" t="n">
        <v>24080</v>
      </c>
      <c r="BW123" s="253" t="n">
        <v>36915</v>
      </c>
      <c r="BX123" s="253" t="n">
        <v>99031</v>
      </c>
      <c r="BY123" s="153" t="n"/>
      <c r="BZ123" s="153" t="n"/>
      <c r="CA123" s="153" t="n"/>
      <c r="CB123" s="153" t="n"/>
      <c r="CC123" s="153" t="n"/>
      <c r="CD123" s="153" t="n"/>
      <c r="CE123" s="153" t="n"/>
      <c r="CF123" s="153" t="n"/>
    </row>
    <row r="124" ht="15" customHeight="1" s="251">
      <c r="B124" s="156" t="inlineStr">
        <is>
          <t xml:space="preserve">    Memo: impairment of equity investments (2008)</t>
        </is>
      </c>
      <c r="C124" s="253" t="n">
        <v>0</v>
      </c>
      <c r="D124" s="253" t="n">
        <v>0</v>
      </c>
      <c r="E124" s="253" t="n">
        <v>-1094.757</v>
      </c>
      <c r="F124" s="253" t="n">
        <v>0</v>
      </c>
      <c r="G124" s="253" t="n">
        <v>0</v>
      </c>
      <c r="H124" s="253" t="n">
        <v>0</v>
      </c>
      <c r="I124" s="253" t="n">
        <v>0</v>
      </c>
      <c r="J124" s="253" t="n">
        <v>0</v>
      </c>
      <c r="K124" s="253" t="n">
        <v>0</v>
      </c>
      <c r="L124" s="253" t="n">
        <v>0</v>
      </c>
      <c r="M124" s="253" t="n">
        <v>0</v>
      </c>
      <c r="N124" s="253" t="n">
        <v>0</v>
      </c>
      <c r="O124" s="253" t="n">
        <v>0</v>
      </c>
      <c r="P124" s="253" t="n">
        <v>0</v>
      </c>
      <c r="Q124" s="253" t="n">
        <v>0</v>
      </c>
      <c r="R124" s="253" t="n">
        <v>0</v>
      </c>
      <c r="S124" s="253" t="n">
        <v>0</v>
      </c>
      <c r="T124" s="253" t="n">
        <v>0</v>
      </c>
      <c r="U124" s="253" t="n">
        <v>0</v>
      </c>
      <c r="V124" s="253" t="n">
        <v>0</v>
      </c>
      <c r="W124" s="253" t="n">
        <v>0</v>
      </c>
      <c r="X124" s="253" t="n">
        <v>0</v>
      </c>
      <c r="Y124" s="253" t="n">
        <v>0</v>
      </c>
      <c r="Z124" s="253" t="n">
        <v>0</v>
      </c>
      <c r="AA124" s="253" t="n">
        <v>0</v>
      </c>
      <c r="AB124" s="253" t="n">
        <v>0</v>
      </c>
      <c r="AC124" s="253" t="n">
        <v>0</v>
      </c>
      <c r="AD124" s="253" t="n">
        <v>0</v>
      </c>
      <c r="AE124" s="253" t="n">
        <v>0</v>
      </c>
      <c r="AF124" s="253" t="n">
        <v>0</v>
      </c>
      <c r="AG124" s="253" t="n">
        <v>0</v>
      </c>
      <c r="AH124" s="253" t="n">
        <v>0</v>
      </c>
      <c r="AI124" s="253" t="n">
        <v>0</v>
      </c>
      <c r="AJ124" s="253" t="n">
        <v>0</v>
      </c>
      <c r="AK124" s="253" t="n">
        <v>0</v>
      </c>
      <c r="AL124" s="253" t="n">
        <v>0</v>
      </c>
      <c r="AM124" s="253" t="n">
        <v>0</v>
      </c>
      <c r="AN124" s="253" t="n">
        <v>0</v>
      </c>
      <c r="AO124" s="253" t="n">
        <v>0</v>
      </c>
      <c r="AP124" s="253" t="n">
        <v>0</v>
      </c>
      <c r="AQ124" s="253" t="n">
        <v>0</v>
      </c>
      <c r="AR124" s="253" t="n">
        <v>0</v>
      </c>
      <c r="AS124" s="253" t="n">
        <v>0</v>
      </c>
      <c r="AT124" s="253" t="n">
        <v>0</v>
      </c>
      <c r="AU124" s="253" t="n">
        <v>0</v>
      </c>
      <c r="AV124" s="253" t="n">
        <v>0</v>
      </c>
      <c r="AW124" s="253" t="n">
        <v>0</v>
      </c>
      <c r="AX124" s="253" t="n">
        <v>0</v>
      </c>
      <c r="AY124" s="253" t="n">
        <v>0</v>
      </c>
      <c r="AZ124" s="253" t="n">
        <v>0</v>
      </c>
      <c r="BA124" s="253" t="n">
        <v>0</v>
      </c>
      <c r="BB124" s="253" t="n">
        <v>0</v>
      </c>
      <c r="BC124" s="253" t="n">
        <v>0</v>
      </c>
      <c r="BD124" s="253" t="n">
        <v>0</v>
      </c>
      <c r="BE124" s="253" t="n">
        <v>0</v>
      </c>
      <c r="BF124" s="253" t="n">
        <v>0</v>
      </c>
      <c r="BG124" s="253" t="n">
        <v>0</v>
      </c>
      <c r="BH124" s="253" t="n">
        <v>0</v>
      </c>
      <c r="BI124" s="253" t="n">
        <v>0</v>
      </c>
      <c r="BJ124" s="253" t="n">
        <v>0</v>
      </c>
      <c r="BK124" s="253" t="n">
        <v>0</v>
      </c>
      <c r="BL124" s="253" t="n">
        <v>0</v>
      </c>
      <c r="BM124" s="253" t="n">
        <v>0</v>
      </c>
      <c r="BN124" s="253" t="n">
        <v>0</v>
      </c>
      <c r="BO124" s="253" t="n">
        <v>0</v>
      </c>
      <c r="BP124" s="253" t="n">
        <v>0</v>
      </c>
      <c r="BQ124" s="253" t="n">
        <v>0</v>
      </c>
      <c r="BR124" s="253" t="n">
        <v>0</v>
      </c>
      <c r="BS124" s="253" t="n">
        <v>0</v>
      </c>
      <c r="BT124" s="253" t="n">
        <v>0</v>
      </c>
      <c r="BU124" s="253" t="n">
        <v>0</v>
      </c>
      <c r="BV124" s="253" t="n">
        <v>0</v>
      </c>
      <c r="BW124" s="253" t="n">
        <v>0</v>
      </c>
      <c r="BX124" s="253" t="n">
        <v>0</v>
      </c>
      <c r="BY124" s="153" t="n"/>
      <c r="BZ124" s="153" t="n"/>
      <c r="CA124" s="153" t="n"/>
      <c r="CB124" s="153" t="n"/>
      <c r="CC124" s="153" t="n"/>
      <c r="CD124" s="153" t="n"/>
      <c r="CE124" s="153" t="n"/>
      <c r="CF124" s="153" t="n"/>
    </row>
    <row r="125" ht="15" customHeight="1" s="251">
      <c r="B125" s="25" t="inlineStr">
        <is>
          <t xml:space="preserve">  Discrete tax item: Tax Act (TCJA) charge, Q4-17</t>
        </is>
      </c>
      <c r="C125" s="253" t="n">
        <v>0</v>
      </c>
      <c r="D125" s="253" t="n">
        <v>0</v>
      </c>
      <c r="E125" s="253" t="n">
        <v>0</v>
      </c>
      <c r="F125" s="253" t="n">
        <v>0</v>
      </c>
      <c r="G125" s="253" t="n">
        <v>0</v>
      </c>
      <c r="H125" s="253" t="n">
        <v>0</v>
      </c>
      <c r="I125" s="253" t="n">
        <v>0</v>
      </c>
      <c r="J125" s="253" t="n">
        <v>0</v>
      </c>
      <c r="K125" s="253" t="n">
        <v>0</v>
      </c>
      <c r="L125" s="253" t="n">
        <v>0</v>
      </c>
      <c r="M125" s="253" t="n">
        <v>0</v>
      </c>
      <c r="N125" s="253" t="n">
        <v>0</v>
      </c>
      <c r="O125" s="253" t="n">
        <v>0</v>
      </c>
      <c r="P125" s="253" t="n">
        <v>0</v>
      </c>
      <c r="Q125" s="253" t="n">
        <v>0</v>
      </c>
      <c r="R125" s="253" t="n">
        <v>0</v>
      </c>
      <c r="S125" s="253" t="n">
        <v>0</v>
      </c>
      <c r="T125" s="253" t="n">
        <v>0</v>
      </c>
      <c r="U125" s="253" t="n">
        <v>0</v>
      </c>
      <c r="V125" s="253" t="n">
        <v>0</v>
      </c>
      <c r="W125" s="253" t="n">
        <v>0</v>
      </c>
      <c r="X125" s="253" t="n">
        <v>0</v>
      </c>
      <c r="Y125" s="253" t="n">
        <v>0</v>
      </c>
      <c r="Z125" s="253" t="n">
        <v>0</v>
      </c>
      <c r="AA125" s="253" t="n">
        <v>0</v>
      </c>
      <c r="AB125" s="253" t="n">
        <v>0</v>
      </c>
      <c r="AC125" s="253" t="n">
        <v>0</v>
      </c>
      <c r="AD125" s="253" t="n">
        <v>0</v>
      </c>
      <c r="AE125" s="253" t="n">
        <v>0</v>
      </c>
      <c r="AF125" s="253" t="n">
        <v>0</v>
      </c>
      <c r="AG125" s="253" t="n">
        <v>9857</v>
      </c>
      <c r="AH125" s="253" t="n">
        <v>9857</v>
      </c>
      <c r="AI125" s="253" t="n">
        <v>0</v>
      </c>
      <c r="AJ125" s="253" t="n">
        <v>0</v>
      </c>
      <c r="AK125" s="253" t="n">
        <v>0</v>
      </c>
      <c r="AL125" s="253" t="n">
        <v>0</v>
      </c>
      <c r="AM125" s="253" t="n">
        <v>0</v>
      </c>
      <c r="AN125" s="253" t="n">
        <v>0</v>
      </c>
      <c r="AO125" s="253" t="n">
        <v>0</v>
      </c>
      <c r="AP125" s="253" t="n">
        <v>0</v>
      </c>
      <c r="AQ125" s="253" t="n">
        <v>0</v>
      </c>
      <c r="AR125" s="253" t="n">
        <v>0</v>
      </c>
      <c r="AS125" s="253" t="n">
        <v>0</v>
      </c>
      <c r="AT125" s="253" t="n">
        <v>0</v>
      </c>
      <c r="AU125" s="253" t="n">
        <v>0</v>
      </c>
      <c r="AV125" s="253" t="n">
        <v>0</v>
      </c>
      <c r="AW125" s="253" t="n">
        <v>0</v>
      </c>
      <c r="AX125" s="253" t="n">
        <v>0</v>
      </c>
      <c r="AY125" s="253" t="n">
        <v>0</v>
      </c>
      <c r="AZ125" s="253" t="n">
        <v>0</v>
      </c>
      <c r="BA125" s="253" t="n">
        <v>0</v>
      </c>
      <c r="BB125" s="253" t="n">
        <v>0</v>
      </c>
      <c r="BC125" s="253" t="n">
        <v>0</v>
      </c>
      <c r="BD125" s="253" t="n">
        <v>0</v>
      </c>
      <c r="BE125" s="253" t="n">
        <v>0</v>
      </c>
      <c r="BF125" s="253" t="n">
        <v>0</v>
      </c>
      <c r="BG125" s="253" t="n">
        <v>0</v>
      </c>
      <c r="BH125" s="253" t="n">
        <v>0</v>
      </c>
      <c r="BI125" s="253" t="n">
        <v>0</v>
      </c>
      <c r="BJ125" s="253" t="n">
        <v>0</v>
      </c>
      <c r="BK125" s="253" t="n">
        <v>0</v>
      </c>
      <c r="BL125" s="253" t="n">
        <v>0</v>
      </c>
      <c r="BM125" s="253" t="n">
        <v>0</v>
      </c>
      <c r="BN125" s="253" t="n">
        <v>0</v>
      </c>
      <c r="BO125" s="253" t="n">
        <v>0</v>
      </c>
      <c r="BP125" s="253" t="n">
        <v>0</v>
      </c>
      <c r="BQ125" s="253" t="n">
        <v>0</v>
      </c>
      <c r="BR125" s="253" t="n">
        <v>0</v>
      </c>
      <c r="BS125" s="253" t="n">
        <v>0</v>
      </c>
      <c r="BT125" s="253" t="n">
        <v>0</v>
      </c>
      <c r="BU125" s="253" t="n">
        <v>0</v>
      </c>
      <c r="BV125" s="253" t="n">
        <v>0</v>
      </c>
      <c r="BW125" s="253" t="n">
        <v>0</v>
      </c>
      <c r="BX125" s="253" t="n">
        <v>0</v>
      </c>
      <c r="BY125" s="254">
        <f>0</f>
        <v>0</v>
      </c>
      <c r="BZ125" s="254">
        <f>0</f>
        <v>0</v>
      </c>
      <c r="CA125" s="254">
        <f>SUM(BW125:BZ125)</f>
        <v>0</v>
      </c>
      <c r="CB125" s="254">
        <f>0</f>
        <v>0</v>
      </c>
      <c r="CC125" s="254">
        <f>0</f>
        <v>0</v>
      </c>
      <c r="CD125" s="254">
        <f>0</f>
        <v>0</v>
      </c>
      <c r="CE125" s="254">
        <f>0</f>
        <v>0</v>
      </c>
      <c r="CF125" s="19" t="n"/>
    </row>
    <row r="126" ht="15" customHeight="1" s="251">
      <c r="B126" s="25" t="inlineStr">
        <is>
          <t xml:space="preserve">  Other income (expense), net — drivers:</t>
        </is>
      </c>
      <c r="CF126" s="153" t="n"/>
    </row>
    <row r="127" ht="15" customHeight="1" s="251">
      <c r="B127" s="25" t="inlineStr">
        <is>
          <t xml:space="preserve">  Interest income (XBRL)</t>
        </is>
      </c>
      <c r="C127" s="34" t="n"/>
      <c r="D127" s="34" t="n"/>
      <c r="E127" s="34" t="n"/>
      <c r="F127" s="34" t="n"/>
      <c r="G127" s="253" t="n">
        <v>579</v>
      </c>
      <c r="H127" s="253" t="n">
        <v>812</v>
      </c>
      <c r="I127" s="253" t="n">
        <v>713</v>
      </c>
      <c r="J127" s="253" t="n">
        <v>183</v>
      </c>
      <c r="K127" s="253" t="n">
        <v>186</v>
      </c>
      <c r="L127" s="253" t="n">
        <v>201</v>
      </c>
      <c r="M127" s="253" t="n">
        <v>215</v>
      </c>
      <c r="N127" s="253" t="n">
        <v>785</v>
      </c>
      <c r="O127" s="253" t="n">
        <v>168</v>
      </c>
      <c r="P127" s="253" t="n">
        <v>169</v>
      </c>
      <c r="Q127" s="253" t="n">
        <v>187</v>
      </c>
      <c r="R127" s="253" t="n">
        <v>222</v>
      </c>
      <c r="S127" s="253" t="n">
        <v>746</v>
      </c>
      <c r="T127" s="253" t="n">
        <v>226</v>
      </c>
      <c r="U127" s="253" t="n">
        <v>240</v>
      </c>
      <c r="V127" s="253" t="n">
        <v>259</v>
      </c>
      <c r="W127" s="253" t="n">
        <v>274</v>
      </c>
      <c r="X127" s="253" t="n">
        <v>999</v>
      </c>
      <c r="Y127" s="253" t="n">
        <v>270</v>
      </c>
      <c r="Z127" s="253" t="n">
        <v>307</v>
      </c>
      <c r="AA127" s="253" t="n">
        <v>318</v>
      </c>
      <c r="AB127" s="253" t="n">
        <v>325</v>
      </c>
      <c r="AC127" s="253" t="n">
        <v>1220</v>
      </c>
      <c r="AD127" s="253" t="n">
        <v>312</v>
      </c>
      <c r="AE127" s="253" t="n">
        <v>294</v>
      </c>
      <c r="AF127" s="253" t="n">
        <v>306</v>
      </c>
      <c r="AG127" s="253" t="n">
        <v>400</v>
      </c>
      <c r="AH127" s="253" t="n">
        <v>1312</v>
      </c>
      <c r="AI127" s="253" t="n">
        <v>399</v>
      </c>
      <c r="AJ127" s="253" t="n">
        <v>456</v>
      </c>
      <c r="AK127" s="253" t="n">
        <v>481</v>
      </c>
      <c r="AL127" s="253" t="n">
        <v>542</v>
      </c>
      <c r="AM127" s="253" t="n">
        <v>1878</v>
      </c>
      <c r="AN127" s="253" t="n">
        <v>522</v>
      </c>
      <c r="AO127" s="253" t="n">
        <v>653</v>
      </c>
      <c r="AP127" s="253" t="n">
        <v>631</v>
      </c>
      <c r="AQ127" s="253" t="n">
        <v>621</v>
      </c>
      <c r="AR127" s="253" t="n">
        <v>2427</v>
      </c>
      <c r="AS127" s="253" t="n">
        <v>586</v>
      </c>
      <c r="AT127" s="253" t="n">
        <v>433</v>
      </c>
      <c r="AU127" s="253" t="n">
        <v>460</v>
      </c>
      <c r="AV127" s="253" t="n">
        <v>386</v>
      </c>
      <c r="AW127" s="253" t="n">
        <v>1865</v>
      </c>
      <c r="AX127" s="253" t="n">
        <v>345</v>
      </c>
      <c r="AY127" s="253" t="n">
        <v>389</v>
      </c>
      <c r="AZ127" s="253" t="n">
        <v>387</v>
      </c>
      <c r="BA127" s="253" t="n">
        <v>378</v>
      </c>
      <c r="BB127" s="253" t="n">
        <v>1499</v>
      </c>
      <c r="BC127" s="253" t="n">
        <v>414</v>
      </c>
      <c r="BD127" s="253" t="n">
        <v>486</v>
      </c>
      <c r="BE127" s="253" t="n">
        <v>615</v>
      </c>
      <c r="BF127" s="253" t="n">
        <v>659</v>
      </c>
      <c r="BG127" s="253" t="n">
        <v>2174</v>
      </c>
      <c r="BH127" s="253" t="n">
        <v>797</v>
      </c>
      <c r="BI127" s="253" t="n">
        <v>892</v>
      </c>
      <c r="BJ127" s="253" t="n">
        <v>1066</v>
      </c>
      <c r="BK127" s="253" t="n">
        <v>1110</v>
      </c>
      <c r="BL127" s="253" t="n">
        <v>3865</v>
      </c>
      <c r="BM127" s="253" t="n">
        <v>1061</v>
      </c>
      <c r="BN127" s="253" t="n">
        <v>1090</v>
      </c>
      <c r="BO127" s="253" t="n">
        <v>1243</v>
      </c>
      <c r="BP127" s="253" t="n">
        <v>1088</v>
      </c>
      <c r="BQ127" s="253" t="n">
        <v>4482</v>
      </c>
      <c r="BR127" s="253" t="n">
        <v>1001</v>
      </c>
      <c r="BS127" s="253" t="n">
        <v>1050</v>
      </c>
      <c r="BT127" s="253" t="n">
        <v>1076</v>
      </c>
      <c r="BU127" s="253" t="n">
        <v>1209</v>
      </c>
      <c r="BV127" s="253" t="n">
        <v>4337</v>
      </c>
      <c r="BW127" s="253" t="n">
        <v>1381</v>
      </c>
      <c r="BX127" s="253" t="n">
        <v>1430</v>
      </c>
      <c r="BY127" s="254">
        <f>(BX303+BX304)*$CP$22/4</f>
        <v>2000.4105</v>
      </c>
      <c r="BZ127" s="254">
        <f>(BX303+BX304)*$CP$22/4</f>
        <v>2000.4105</v>
      </c>
      <c r="CA127" s="254">
        <f>SUM(BW127:BZ127)</f>
        <v>6811.821</v>
      </c>
      <c r="CB127" s="254">
        <f>(CA303+CA304)*CB366</f>
        <v>6997.41437252054</v>
      </c>
      <c r="CC127" s="254">
        <f>(CB303+CB304)*CC366</f>
        <v>5101.04493201257</v>
      </c>
      <c r="CD127" s="254">
        <f>(CC303+CC304)*CD366</f>
        <v>4547.09667006971</v>
      </c>
      <c r="CE127" s="254">
        <f>(CD303+CD304)*CE366</f>
        <v>4871.38485672646</v>
      </c>
      <c r="CF127" s="19" t="n"/>
    </row>
    <row r="128" ht="15" customHeight="1" s="251">
      <c r="B128" s="25" t="inlineStr">
        <is>
          <t xml:space="preserve">  Interest expense (XBRL)</t>
        </is>
      </c>
      <c r="C128" s="34" t="n"/>
      <c r="D128" s="34" t="n"/>
      <c r="E128" s="34" t="n"/>
      <c r="F128" s="34" t="n"/>
      <c r="G128" s="34" t="n"/>
      <c r="H128" s="253" t="n">
        <v>58</v>
      </c>
      <c r="I128" s="253" t="n">
        <v>84</v>
      </c>
      <c r="J128" s="253" t="n">
        <v>21</v>
      </c>
      <c r="K128" s="253" t="n">
        <v>19</v>
      </c>
      <c r="L128" s="253" t="n">
        <v>22</v>
      </c>
      <c r="M128" s="253" t="n">
        <v>21</v>
      </c>
      <c r="N128" s="253" t="n">
        <v>83</v>
      </c>
      <c r="O128" s="253" t="n">
        <v>24</v>
      </c>
      <c r="P128" s="253" t="n">
        <v>27</v>
      </c>
      <c r="Q128" s="253" t="n">
        <v>25</v>
      </c>
      <c r="R128" s="253" t="n">
        <v>25</v>
      </c>
      <c r="S128" s="253" t="n">
        <v>101</v>
      </c>
      <c r="T128" s="253" t="n">
        <v>26</v>
      </c>
      <c r="U128" s="253" t="n">
        <v>26</v>
      </c>
      <c r="V128" s="253" t="n">
        <v>26</v>
      </c>
      <c r="W128" s="253" t="n">
        <v>26</v>
      </c>
      <c r="X128" s="253" t="n">
        <v>104</v>
      </c>
      <c r="Y128" s="253" t="n">
        <v>30</v>
      </c>
      <c r="Z128" s="253" t="n">
        <v>32</v>
      </c>
      <c r="AA128" s="253" t="n">
        <v>29</v>
      </c>
      <c r="AB128" s="253" t="n">
        <v>33</v>
      </c>
      <c r="AC128" s="253" t="n">
        <v>124</v>
      </c>
      <c r="AD128" s="253" t="n">
        <v>25</v>
      </c>
      <c r="AE128" s="253" t="n">
        <v>21</v>
      </c>
      <c r="AF128" s="253" t="n">
        <v>27</v>
      </c>
      <c r="AG128" s="253" t="n">
        <v>36</v>
      </c>
      <c r="AH128" s="253" t="n">
        <v>109</v>
      </c>
      <c r="AI128" s="253" t="n">
        <v>30</v>
      </c>
      <c r="AJ128" s="253" t="n">
        <v>27</v>
      </c>
      <c r="AK128" s="253" t="n">
        <v>28</v>
      </c>
      <c r="AL128" s="253" t="n">
        <v>29</v>
      </c>
      <c r="AM128" s="253" t="n">
        <v>114</v>
      </c>
      <c r="AN128" s="253" t="n">
        <v>35</v>
      </c>
      <c r="AO128" s="253" t="n">
        <v>25</v>
      </c>
      <c r="AP128" s="253" t="n">
        <v>23</v>
      </c>
      <c r="AQ128" s="253" t="n">
        <v>17</v>
      </c>
      <c r="AR128" s="253" t="n">
        <v>100</v>
      </c>
      <c r="AS128" s="253" t="n">
        <v>21</v>
      </c>
      <c r="AT128" s="253" t="n">
        <v>13</v>
      </c>
      <c r="AU128" s="253" t="n">
        <v>48</v>
      </c>
      <c r="AV128" s="253" t="n">
        <v>53</v>
      </c>
      <c r="AW128" s="253" t="n">
        <v>135</v>
      </c>
      <c r="AX128" s="253" t="n">
        <v>76</v>
      </c>
      <c r="AY128" s="253" t="n">
        <v>76</v>
      </c>
      <c r="AZ128" s="253" t="n">
        <v>77</v>
      </c>
      <c r="BA128" s="253" t="n">
        <v>117</v>
      </c>
      <c r="BB128" s="253" t="n">
        <v>346</v>
      </c>
      <c r="BC128" s="253" t="n">
        <v>83</v>
      </c>
      <c r="BD128" s="253" t="n">
        <v>83</v>
      </c>
      <c r="BE128" s="253" t="n">
        <v>101</v>
      </c>
      <c r="BF128" s="253" t="n">
        <v>90</v>
      </c>
      <c r="BG128" s="253" t="n">
        <v>357</v>
      </c>
      <c r="BH128" s="253" t="n">
        <v>80</v>
      </c>
      <c r="BI128" s="253" t="n">
        <v>43</v>
      </c>
      <c r="BJ128" s="253" t="n">
        <v>116</v>
      </c>
      <c r="BK128" s="253" t="n">
        <v>69</v>
      </c>
      <c r="BL128" s="253" t="n">
        <v>308</v>
      </c>
      <c r="BM128" s="253" t="n">
        <v>94</v>
      </c>
      <c r="BN128" s="253" t="n">
        <v>67</v>
      </c>
      <c r="BO128" s="253" t="n">
        <v>54</v>
      </c>
      <c r="BP128" s="253" t="n">
        <v>53</v>
      </c>
      <c r="BQ128" s="253" t="n">
        <v>268</v>
      </c>
      <c r="BR128" s="253" t="n">
        <v>34</v>
      </c>
      <c r="BS128" s="253" t="n">
        <v>261</v>
      </c>
      <c r="BT128" s="253" t="n">
        <v>143</v>
      </c>
      <c r="BU128" s="253" t="n">
        <v>298</v>
      </c>
      <c r="BV128" s="253" t="n">
        <v>736</v>
      </c>
      <c r="BW128" s="253" t="n">
        <v>533</v>
      </c>
      <c r="BX128" s="253" t="n">
        <v>1278</v>
      </c>
      <c r="BY128" s="254">
        <f>$CP$23</f>
        <v>1150</v>
      </c>
      <c r="BZ128" s="254">
        <f>$CP$23</f>
        <v>1150</v>
      </c>
      <c r="CA128" s="254">
        <f>SUM(BW128:BZ128)</f>
        <v>4111</v>
      </c>
      <c r="CB128" s="254">
        <f>CA357*CB364+CA356*CB365</f>
        <v>4122.888</v>
      </c>
      <c r="CC128" s="254">
        <f>CB357*CC364+CB356*CC365</f>
        <v>4122.888</v>
      </c>
      <c r="CD128" s="254">
        <f>CC357*CD364+CC356*CD365</f>
        <v>4122.888</v>
      </c>
      <c r="CE128" s="254">
        <f>CD357*CE364+CD356*CE365</f>
        <v>4122.888</v>
      </c>
      <c r="CF128" s="19" t="n"/>
    </row>
    <row r="129" ht="15" customHeight="1" s="251">
      <c r="B129" s="25" t="inlineStr">
        <is>
          <t xml:space="preserve">  Other OI&amp;E (FX, derivatives, performance fees, equity-method results, debt securities; derived)</t>
        </is>
      </c>
      <c r="C129" s="211">
        <f>IF(ISNUMBER(C144),C144-N(C127)+N(C128)-N(C122),"")</f>
        <v>461.044</v>
      </c>
      <c r="D129" s="211">
        <f>IF(ISNUMBER(D144),D144-N(D127)+N(D128)-N(D122),"")</f>
        <v>589.58</v>
      </c>
      <c r="E129" s="211">
        <f>IF(ISNUMBER(E144),E144-N(E127)+N(E128)-N(E122),"")</f>
        <v>316.384</v>
      </c>
      <c r="F129" s="211">
        <f>IF(ISNUMBER(F144),F144-N(F127)+N(F128)-N(F122),"")</f>
        <v>69.003</v>
      </c>
      <c r="G129" s="211">
        <f>IF(ISNUMBER(G144),G144-N(G127)+N(G128)-N(G122),"")</f>
        <v>-164</v>
      </c>
      <c r="H129" s="211">
        <f>IF(ISNUMBER(H144),H144-N(H127)+N(H128)-N(H122),"")</f>
        <v>-170</v>
      </c>
      <c r="I129" s="211">
        <f>IF(ISNUMBER(I144),I144-N(I127)+N(I128)-N(I122),"")</f>
        <v>-3</v>
      </c>
      <c r="J129" s="211">
        <f>IF(ISNUMBER(J144),J144-N(J127)+N(J128)-N(J122),"")</f>
        <v>-28</v>
      </c>
      <c r="K129" s="211">
        <f>IF(ISNUMBER(K144),K144-N(K127)+N(K128)-N(K122),"")</f>
        <v>80</v>
      </c>
      <c r="L129" s="211">
        <f>IF(ISNUMBER(L144),L144-N(L127)+N(L128)-N(L122),"")</f>
        <v>-155</v>
      </c>
      <c r="M129" s="211">
        <f>IF(ISNUMBER(M144),M144-N(M127)+N(M128)-N(M122),"")</f>
        <v>-69</v>
      </c>
      <c r="N129" s="211">
        <f>IF(ISNUMBER(N144),N144-N(N127)+N(N128)-N(N122),"")</f>
        <v>-172</v>
      </c>
      <c r="O129" s="211">
        <f>IF(ISNUMBER(O144),O144-N(O127)+N(O128)-N(O122),"")</f>
        <v>213</v>
      </c>
      <c r="P129" s="211">
        <f>IF(ISNUMBER(P144),P144-N(P127)+N(P128)-N(P122),"")</f>
        <v>3</v>
      </c>
      <c r="Q129" s="211">
        <f>IF(ISNUMBER(Q144),Q144-N(Q127)+N(Q128)-N(Q122),"")</f>
        <v>-29</v>
      </c>
      <c r="R129" s="211">
        <f>IF(ISNUMBER(R144),R144-N(R127)+N(R128)-N(R122),"")</f>
        <v>-69</v>
      </c>
      <c r="S129" s="211">
        <f>IF(ISNUMBER(S144),S144-N(S127)+N(S128)-N(S122),"")</f>
        <v>118</v>
      </c>
      <c r="T129" s="211">
        <f>IF(ISNUMBER(T144),T144-N(T127)+N(T128)-N(T122),"")</f>
        <v>-43</v>
      </c>
      <c r="U129" s="211">
        <f>IF(ISNUMBER(U144),U144-N(U127)+N(U128)-N(U122),"")</f>
        <v>-83</v>
      </c>
      <c r="V129" s="211">
        <f>IF(ISNUMBER(V144),V144-N(V127)+N(V128)-N(V122),"")</f>
        <v>-50</v>
      </c>
      <c r="W129" s="211">
        <f>IF(ISNUMBER(W144),W144-N(W127)+N(W128)-N(W122),"")</f>
        <v>-428</v>
      </c>
      <c r="X129" s="211">
        <f>IF(ISNUMBER(X144),X144-N(X127)+N(X128)-N(X122),"")</f>
        <v>-604</v>
      </c>
      <c r="Y129" s="211">
        <f>IF(ISNUMBER(Y144),Y144-N(Y127)+N(Y128)-N(Y122),"")</f>
        <v>-453</v>
      </c>
      <c r="Z129" s="211">
        <f>IF(ISNUMBER(Z144),Z144-N(Z127)+N(Z128)-N(Z122),"")</f>
        <v>-124</v>
      </c>
      <c r="AA129" s="211">
        <f>IF(ISNUMBER(AA144),AA144-N(AA127)+N(AA128)-N(AA122),"")</f>
        <v>-11</v>
      </c>
      <c r="AB129" s="211">
        <f>IF(ISNUMBER(AB144),AB144-N(AB127)+N(AB128)-N(AB122),"")</f>
        <v>-74</v>
      </c>
      <c r="AC129" s="211">
        <f>IF(ISNUMBER(AC144),AC144-N(AC127)+N(AC128)-N(AC122),"")</f>
        <v>-662</v>
      </c>
      <c r="AD129" s="211">
        <f>IF(ISNUMBER(AD144),AD144-N(AD127)+N(AD128)-N(AD122),"")</f>
        <v>-36</v>
      </c>
      <c r="AE129" s="211">
        <f>IF(ISNUMBER(AE144),AE144-N(AE127)+N(AE128)-N(AE122),"")</f>
        <v>-28</v>
      </c>
      <c r="AF129" s="211">
        <f>IF(ISNUMBER(AF144),AF144-N(AF127)+N(AF128)-N(AF122),"")</f>
        <v>-82</v>
      </c>
      <c r="AG129" s="211">
        <f>IF(ISNUMBER(AG144),AG144-N(AG127)+N(AG128)-N(AG122),"")</f>
        <v>-10</v>
      </c>
      <c r="AH129" s="211">
        <f>IF(ISNUMBER(AH144),AH144-N(AH127)+N(AH128)-N(AH122),"")</f>
        <v>-156</v>
      </c>
      <c r="AI129" s="211">
        <f>IF(ISNUMBER(AI144),AI144-N(AI127)+N(AI128)-N(AI122),"")</f>
        <v>142</v>
      </c>
      <c r="AJ129" s="211">
        <f>IF(ISNUMBER(AJ144),AJ144-N(AJ127)+N(AJ128)-N(AJ122),"")</f>
        <v>-83</v>
      </c>
      <c r="AK129" s="211">
        <f>IF(ISNUMBER(AK144),AK144-N(AK127)+N(AK128)-N(AK122),"")</f>
        <v>-62</v>
      </c>
      <c r="AL129" s="211">
        <f>IF(ISNUMBER(AL144),AL144-N(AL127)+N(AL128)-N(AL122),"")</f>
        <v>1371</v>
      </c>
      <c r="AM129" s="211">
        <f>IF(ISNUMBER(AM144),AM144-N(AM127)+N(AM128)-N(AM122),"")</f>
        <v>1368</v>
      </c>
      <c r="AN129" s="211">
        <f>IF(ISNUMBER(AN144),AN144-N(AN127)+N(AN128)-N(AN122),"")</f>
        <v>-32</v>
      </c>
      <c r="AO129" s="211">
        <f>IF(ISNUMBER(AO144),AO144-N(AO127)+N(AO128)-N(AO122),"")</f>
        <v>-360</v>
      </c>
      <c r="AP129" s="211">
        <f>IF(ISNUMBER(AP144),AP144-N(AP127)+N(AP128)-N(AP122),"")</f>
        <v>371</v>
      </c>
      <c r="AQ129" s="211">
        <f>IF(ISNUMBER(AQ144),AQ144-N(AQ127)+N(AQ128)-N(AQ122),"")</f>
        <v>439</v>
      </c>
      <c r="AR129" s="211">
        <f>IF(ISNUMBER(AR144),AR144-N(AR127)+N(AR128)-N(AR122),"")</f>
        <v>418</v>
      </c>
      <c r="AS129" s="211">
        <f>IF(ISNUMBER(AS144),AS144-N(AS127)+N(AS128)-N(AS122),"")</f>
        <v>29</v>
      </c>
      <c r="AT129" s="211">
        <f>IF(ISNUMBER(AT144),AT144-N(AT127)+N(AT128)-N(AT122),"")</f>
        <v>19</v>
      </c>
      <c r="AU129" s="211">
        <f>IF(ISNUMBER(AU144),AU144-N(AU127)+N(AU128)-N(AU122),"")</f>
        <v>-165</v>
      </c>
      <c r="AV129" s="211">
        <f>IF(ISNUMBER(AV144),AV144-N(AV127)+N(AV128)-N(AV122),"")</f>
        <v>-347</v>
      </c>
      <c r="AW129" s="211">
        <f>IF(ISNUMBER(AW144),AW144-N(AW127)+N(AW128)-N(AW122),"")</f>
        <v>-464</v>
      </c>
      <c r="AX129" s="211">
        <f>IF(ISNUMBER(AX144),AX144-N(AX127)+N(AX128)-N(AX122),"")</f>
        <v>-260</v>
      </c>
      <c r="AY129" s="211">
        <f>IF(ISNUMBER(AY144),AY144-N(AY127)+N(AY128)-N(AY122),"")</f>
        <v>-461</v>
      </c>
      <c r="AZ129" s="211">
        <f>IF(ISNUMBER(AZ144),AZ144-N(AZ127)+N(AZ128)-N(AZ122),"")</f>
        <v>-398</v>
      </c>
      <c r="BA129" s="211">
        <f>IF(ISNUMBER(BA144),BA144-N(BA127)+N(BA128)-N(BA122),"")</f>
        <v>-394</v>
      </c>
      <c r="BB129" s="211">
        <f>IF(ISNUMBER(BB144),BB144-N(BB127)+N(BB128)-N(BB122),"")</f>
        <v>-1513</v>
      </c>
      <c r="BC129" s="211">
        <f>IF(ISNUMBER(BC144),BC144-N(BC127)+N(BC128)-N(BC122),"")</f>
        <v>-421</v>
      </c>
      <c r="BD129" s="211">
        <f>IF(ISNUMBER(BD144),BD144-N(BD127)+N(BD128)-N(BD122),"")</f>
        <v>-591</v>
      </c>
      <c r="BE129" s="211">
        <f>IF(ISNUMBER(BE144),BE144-N(BE127)+N(BE128)-N(BE122),"")</f>
        <v>-769</v>
      </c>
      <c r="BF129" s="211">
        <f>IF(ISNUMBER(BF144),BF144-N(BF127)+N(BF128)-N(BF122),"")</f>
        <v>-95</v>
      </c>
      <c r="BG129" s="211">
        <f>IF(ISNUMBER(BG144),BG144-N(BG127)+N(BG128)-N(BG122),"")</f>
        <v>-1876</v>
      </c>
      <c r="BH129" s="211">
        <f>IF(ISNUMBER(BH144),BH144-N(BH127)+N(BH128)-N(BH122),"")</f>
        <v>-304</v>
      </c>
      <c r="BI129" s="211">
        <f>IF(ISNUMBER(BI144),BI144-N(BI127)+N(BI128)-N(BI122),"")</f>
        <v>-579</v>
      </c>
      <c r="BJ129" s="211">
        <f>IF(ISNUMBER(BJ144),BJ144-N(BJ127)+N(BJ128)-N(BJ122),"")</f>
        <v>-730</v>
      </c>
      <c r="BK129" s="211">
        <f>IF(ISNUMBER(BK144),BK144-N(BK127)+N(BK128)-N(BK122),"")</f>
        <v>-912</v>
      </c>
      <c r="BL129" s="211">
        <f>IF(ISNUMBER(BL144),BL144-N(BL127)+N(BL128)-N(BL122),"")</f>
        <v>-2525</v>
      </c>
      <c r="BM129" s="211">
        <f>IF(ISNUMBER(BM144),BM144-N(BM127)+N(BM128)-N(BM122),"")</f>
        <v>-367</v>
      </c>
      <c r="BN129" s="211">
        <f>IF(ISNUMBER(BN144),BN144-N(BN127)+N(BN128)-N(BN122),"")</f>
        <v>-183</v>
      </c>
      <c r="BO129" s="211">
        <f>IF(ISNUMBER(BO144),BO144-N(BO127)+N(BO128)-N(BO122),"")</f>
        <v>175</v>
      </c>
      <c r="BP129" s="211">
        <f>IF(ISNUMBER(BP144),BP144-N(BP127)+N(BP128)-N(BP122),"")</f>
        <v>-128</v>
      </c>
      <c r="BQ129" s="211">
        <f>IF(ISNUMBER(BQ144),BQ144-N(BQ127)+N(BQ128)-N(BQ122),"")</f>
        <v>-503</v>
      </c>
      <c r="BR129" s="211">
        <f>IF(ISNUMBER(BR144),BR144-N(BR127)+N(BR128)-N(BR122),"")</f>
        <v>458</v>
      </c>
      <c r="BS129" s="211">
        <f>IF(ISNUMBER(BS144),BS144-N(BS127)+N(BS128)-N(BS122),"")</f>
        <v>587</v>
      </c>
      <c r="BT129" s="211">
        <f>IF(ISNUMBER(BT144),BT144-N(BT127)+N(BT128)-N(BT122),"")</f>
        <v>1092</v>
      </c>
      <c r="BU129" s="211">
        <f>IF(ISNUMBER(BU144),BU144-N(BU127)+N(BU128)-N(BU122),"")</f>
        <v>-30</v>
      </c>
      <c r="BV129" s="211">
        <f>IF(ISNUMBER(BV144),BV144-N(BV127)+N(BV128)-N(BV122),"")</f>
        <v>2106</v>
      </c>
      <c r="BW129" s="211">
        <f>IF(ISNUMBER(BW144),BW144-N(BW127)+N(BW128)-N(BW122),"")</f>
        <v>-47</v>
      </c>
      <c r="BX129" s="211">
        <f>IF(ISNUMBER(BX144),BX144-N(BX127)+N(BX128)-N(BX122),"")</f>
        <v>-1200</v>
      </c>
      <c r="BY129" s="254">
        <f>0</f>
        <v>0</v>
      </c>
      <c r="BZ129" s="254">
        <f>0</f>
        <v>0</v>
      </c>
      <c r="CA129" s="254">
        <f>SUM(BW129:BZ129)</f>
        <v>-1247</v>
      </c>
      <c r="CB129" s="254">
        <f>0</f>
        <v>0</v>
      </c>
      <c r="CC129" s="254">
        <f>0</f>
        <v>0</v>
      </c>
      <c r="CD129" s="254">
        <f>0</f>
        <v>0</v>
      </c>
      <c r="CE129" s="254">
        <f>0</f>
        <v>0</v>
      </c>
      <c r="CF129" s="19" t="inlineStr">
        <is>
          <t>Derived residual. Forecast nil (assumption).</t>
        </is>
      </c>
    </row>
    <row r="130" ht="15" customHeight="1" s="251">
      <c r="CN130" s="11" t="n"/>
      <c r="CO130" s="12" t="n"/>
      <c r="CP130" s="12" t="n"/>
      <c r="CQ130" s="12" t="n"/>
      <c r="CR130" s="13" t="n"/>
    </row>
    <row r="131" ht="15" customHeight="1" s="251">
      <c r="B131" s="10" t="inlineStr">
        <is>
          <t>CONSOLIDATED STATEMENTS OF INCOME (US GAAP, as originally reported)</t>
        </is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n"/>
      <c r="AN131" s="10" t="n"/>
      <c r="AO131" s="10" t="n"/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0" t="n"/>
      <c r="BC131" s="10" t="n"/>
      <c r="BD131" s="10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inlineStr">
        <is>
          <t>CONSOLIDATED IS — forecast logic (operating income from the segment build; cost of revenues implied)</t>
        </is>
      </c>
    </row>
    <row r="132" ht="15" customHeight="1" s="251">
      <c r="B132" s="55" t="inlineStr">
        <is>
          <t>Revenues</t>
        </is>
      </c>
      <c r="C132" s="270" t="n">
        <v>10604.917</v>
      </c>
      <c r="D132" s="270" t="n">
        <v>16593.986</v>
      </c>
      <c r="E132" s="270" t="n">
        <v>21795.55</v>
      </c>
      <c r="F132" s="270" t="n">
        <v>23650.563</v>
      </c>
      <c r="G132" s="270" t="n">
        <v>29321</v>
      </c>
      <c r="H132" s="270" t="n">
        <v>37905</v>
      </c>
      <c r="I132" s="270" t="n">
        <v>50175</v>
      </c>
      <c r="J132" s="270" t="n">
        <v>13969</v>
      </c>
      <c r="K132" s="270" t="n">
        <v>14105</v>
      </c>
      <c r="L132" s="270" t="n">
        <v>14893</v>
      </c>
      <c r="M132" s="270" t="n">
        <v>16858</v>
      </c>
      <c r="N132" s="270" t="n">
        <v>59825</v>
      </c>
      <c r="O132" s="270" t="n">
        <v>15420</v>
      </c>
      <c r="P132" s="270" t="n">
        <v>15955</v>
      </c>
      <c r="Q132" s="270" t="n">
        <v>16523</v>
      </c>
      <c r="R132" s="270" t="n">
        <v>18103</v>
      </c>
      <c r="S132" s="270" t="n">
        <v>66001</v>
      </c>
      <c r="T132" s="270" t="n">
        <v>17258</v>
      </c>
      <c r="U132" s="270" t="n">
        <v>17727</v>
      </c>
      <c r="V132" s="270" t="n">
        <v>18675</v>
      </c>
      <c r="W132" s="270" t="n">
        <v>21329</v>
      </c>
      <c r="X132" s="270" t="n">
        <v>74989</v>
      </c>
      <c r="Y132" s="270" t="n">
        <v>20257</v>
      </c>
      <c r="Z132" s="270" t="n">
        <v>21500</v>
      </c>
      <c r="AA132" s="270" t="n">
        <v>22451</v>
      </c>
      <c r="AB132" s="270" t="n">
        <v>26064</v>
      </c>
      <c r="AC132" s="270" t="n">
        <v>90272</v>
      </c>
      <c r="AD132" s="270" t="n">
        <v>24750</v>
      </c>
      <c r="AE132" s="270" t="n">
        <v>26010</v>
      </c>
      <c r="AF132" s="270" t="n">
        <v>27772</v>
      </c>
      <c r="AG132" s="270" t="n">
        <v>32323</v>
      </c>
      <c r="AH132" s="270" t="n">
        <v>110855</v>
      </c>
      <c r="AI132" s="270" t="n">
        <v>31146</v>
      </c>
      <c r="AJ132" s="270" t="n">
        <v>32657</v>
      </c>
      <c r="AK132" s="270" t="n">
        <v>33740</v>
      </c>
      <c r="AL132" s="270" t="n">
        <v>39276</v>
      </c>
      <c r="AM132" s="270" t="n">
        <v>136819</v>
      </c>
      <c r="AN132" s="270" t="n">
        <v>36339</v>
      </c>
      <c r="AO132" s="270" t="n">
        <v>38944</v>
      </c>
      <c r="AP132" s="270" t="n">
        <v>40499</v>
      </c>
      <c r="AQ132" s="270" t="n">
        <v>46075</v>
      </c>
      <c r="AR132" s="270" t="n">
        <v>161857</v>
      </c>
      <c r="AS132" s="270" t="n">
        <v>41159</v>
      </c>
      <c r="AT132" s="270" t="n">
        <v>38297</v>
      </c>
      <c r="AU132" s="270" t="n">
        <v>46173</v>
      </c>
      <c r="AV132" s="270" t="n">
        <v>56898</v>
      </c>
      <c r="AW132" s="270" t="n">
        <v>182527</v>
      </c>
      <c r="AX132" s="270" t="n">
        <v>55314</v>
      </c>
      <c r="AY132" s="270" t="n">
        <v>61880</v>
      </c>
      <c r="AZ132" s="270" t="n">
        <v>65118</v>
      </c>
      <c r="BA132" s="270" t="n">
        <v>75325</v>
      </c>
      <c r="BB132" s="270" t="n">
        <v>257637</v>
      </c>
      <c r="BC132" s="270" t="n">
        <v>68011</v>
      </c>
      <c r="BD132" s="270" t="n">
        <v>69685</v>
      </c>
      <c r="BE132" s="270" t="n">
        <v>69092</v>
      </c>
      <c r="BF132" s="270" t="n">
        <v>76048</v>
      </c>
      <c r="BG132" s="270" t="n">
        <v>282836</v>
      </c>
      <c r="BH132" s="270" t="n">
        <v>69787</v>
      </c>
      <c r="BI132" s="270" t="n">
        <v>74604</v>
      </c>
      <c r="BJ132" s="270" t="n">
        <v>76693</v>
      </c>
      <c r="BK132" s="270" t="n">
        <v>86310</v>
      </c>
      <c r="BL132" s="270" t="n">
        <v>307394</v>
      </c>
      <c r="BM132" s="270" t="n">
        <v>80539</v>
      </c>
      <c r="BN132" s="270" t="n">
        <v>84742</v>
      </c>
      <c r="BO132" s="270" t="n">
        <v>88268</v>
      </c>
      <c r="BP132" s="270" t="n">
        <v>96469</v>
      </c>
      <c r="BQ132" s="270" t="n">
        <v>350018</v>
      </c>
      <c r="BR132" s="270" t="n">
        <v>90234</v>
      </c>
      <c r="BS132" s="270" t="n">
        <v>96428</v>
      </c>
      <c r="BT132" s="270" t="n">
        <v>102346</v>
      </c>
      <c r="BU132" s="270" t="n">
        <v>113829</v>
      </c>
      <c r="BV132" s="270" t="n">
        <v>402836</v>
      </c>
      <c r="BW132" s="270" t="n">
        <v>109896</v>
      </c>
      <c r="BX132" s="270" t="n">
        <v>119796</v>
      </c>
      <c r="BY132" s="260">
        <f>BY92</f>
        <v>127000.550088279</v>
      </c>
      <c r="BZ132" s="260">
        <f>BZ92</f>
        <v>141582.687632425</v>
      </c>
      <c r="CA132" s="260">
        <f>SUM(BW132:BZ132)</f>
        <v>498275.237720704</v>
      </c>
      <c r="CB132" s="260">
        <f>CB92</f>
        <v>584884.101093513</v>
      </c>
      <c r="CC132" s="260">
        <f>CC92</f>
        <v>670962.237105089</v>
      </c>
      <c r="CD132" s="260">
        <f>CD92</f>
        <v>758009.546641855</v>
      </c>
      <c r="CE132" s="260">
        <f>CE92</f>
        <v>843758.740007116</v>
      </c>
      <c r="CF132" s="153" t="inlineStr">
        <is>
          <t>Forecast linked to the revenue build.</t>
        </is>
      </c>
      <c r="CH132" s="20">
        <f>IFERROR((CE132/BV132)^(1/5)-1,"n/m")</f>
        <v>0.159359171245032</v>
      </c>
      <c r="CI132" s="20">
        <f>IFERROR((BV132/AW132)^(1/5)-1,"n/m")</f>
        <v>0.171548390771357</v>
      </c>
      <c r="CJ132" s="20">
        <f>IFERROR((BV132/X132)^(1/10)-1,"n/m")</f>
        <v>0.183077163118221</v>
      </c>
      <c r="CK132" s="20">
        <f>IFERROR((BV132/C132)^(1/19)-1,"n/m")</f>
        <v>0.210982723799194</v>
      </c>
    </row>
    <row r="133" ht="15" customHeight="1" s="251">
      <c r="B133" s="25" t="inlineStr">
        <is>
          <t>Cost of revenues</t>
        </is>
      </c>
      <c r="C133" s="253" t="n">
        <v>4225.027</v>
      </c>
      <c r="D133" s="253" t="n">
        <v>6649.085</v>
      </c>
      <c r="E133" s="253" t="n">
        <v>8621.505999999999</v>
      </c>
      <c r="F133" s="253" t="n">
        <v>8844.115</v>
      </c>
      <c r="G133" s="253" t="n">
        <v>10417</v>
      </c>
      <c r="H133" s="253" t="n">
        <v>13188</v>
      </c>
      <c r="I133" s="253" t="n">
        <v>20634</v>
      </c>
      <c r="J133" s="253" t="n">
        <v>5944</v>
      </c>
      <c r="K133" s="253" t="n">
        <v>6063</v>
      </c>
      <c r="L133" s="253" t="n">
        <v>6413</v>
      </c>
      <c r="M133" s="253" t="n">
        <v>7438</v>
      </c>
      <c r="N133" s="253" t="n">
        <v>25858</v>
      </c>
      <c r="O133" s="253" t="n">
        <v>5961</v>
      </c>
      <c r="P133" s="253" t="n">
        <v>6114</v>
      </c>
      <c r="Q133" s="253" t="n">
        <v>6695</v>
      </c>
      <c r="R133" s="253" t="n">
        <v>6921</v>
      </c>
      <c r="S133" s="253" t="n">
        <v>25691</v>
      </c>
      <c r="T133" s="253" t="n">
        <v>6356</v>
      </c>
      <c r="U133" s="253" t="n">
        <v>6583</v>
      </c>
      <c r="V133" s="253" t="n">
        <v>7037</v>
      </c>
      <c r="W133" s="253" t="n">
        <v>8188</v>
      </c>
      <c r="X133" s="253" t="n">
        <v>28164</v>
      </c>
      <c r="Y133" s="253" t="n">
        <v>7648</v>
      </c>
      <c r="Z133" s="253" t="n">
        <v>8130</v>
      </c>
      <c r="AA133" s="253" t="n">
        <v>8699</v>
      </c>
      <c r="AB133" s="253" t="n">
        <v>10661</v>
      </c>
      <c r="AC133" s="253" t="n">
        <v>35138</v>
      </c>
      <c r="AD133" s="253" t="n">
        <v>9795</v>
      </c>
      <c r="AE133" s="253" t="n">
        <v>10373</v>
      </c>
      <c r="AF133" s="253" t="n">
        <v>11148</v>
      </c>
      <c r="AG133" s="253" t="n">
        <v>14267</v>
      </c>
      <c r="AH133" s="253" t="n">
        <v>45583</v>
      </c>
      <c r="AI133" s="253" t="n">
        <v>13467</v>
      </c>
      <c r="AJ133" s="253" t="n">
        <v>13883</v>
      </c>
      <c r="AK133" s="253" t="n">
        <v>14281</v>
      </c>
      <c r="AL133" s="253" t="n">
        <v>17918</v>
      </c>
      <c r="AM133" s="253" t="n">
        <v>59549</v>
      </c>
      <c r="AN133" s="253" t="n">
        <v>16012</v>
      </c>
      <c r="AO133" s="253" t="n">
        <v>17296</v>
      </c>
      <c r="AP133" s="253" t="n">
        <v>17568</v>
      </c>
      <c r="AQ133" s="253" t="n">
        <v>21020</v>
      </c>
      <c r="AR133" s="253" t="n">
        <v>71896</v>
      </c>
      <c r="AS133" s="253" t="n">
        <v>18982</v>
      </c>
      <c r="AT133" s="253" t="n">
        <v>18553</v>
      </c>
      <c r="AU133" s="253" t="n">
        <v>21117</v>
      </c>
      <c r="AV133" s="253" t="n">
        <v>26080</v>
      </c>
      <c r="AW133" s="253" t="n">
        <v>84732</v>
      </c>
      <c r="AX133" s="253" t="n">
        <v>24103</v>
      </c>
      <c r="AY133" s="253" t="n">
        <v>26227</v>
      </c>
      <c r="AZ133" s="253" t="n">
        <v>27621</v>
      </c>
      <c r="BA133" s="253" t="n">
        <v>32988</v>
      </c>
      <c r="BB133" s="253" t="n">
        <v>110939</v>
      </c>
      <c r="BC133" s="253" t="n">
        <v>29599</v>
      </c>
      <c r="BD133" s="253" t="n">
        <v>30104</v>
      </c>
      <c r="BE133" s="253" t="n">
        <v>31158</v>
      </c>
      <c r="BF133" s="253" t="n">
        <v>35342</v>
      </c>
      <c r="BG133" s="253" t="n">
        <v>126203</v>
      </c>
      <c r="BH133" s="253" t="n">
        <v>30612</v>
      </c>
      <c r="BI133" s="253" t="n">
        <v>31916</v>
      </c>
      <c r="BJ133" s="253" t="n">
        <v>33229</v>
      </c>
      <c r="BK133" s="253" t="n">
        <v>37575</v>
      </c>
      <c r="BL133" s="253" t="n">
        <v>133332</v>
      </c>
      <c r="BM133" s="253" t="n">
        <v>33712</v>
      </c>
      <c r="BN133" s="253" t="n">
        <v>35507</v>
      </c>
      <c r="BO133" s="253" t="n">
        <v>36474</v>
      </c>
      <c r="BP133" s="253" t="n">
        <v>40613</v>
      </c>
      <c r="BQ133" s="253" t="n">
        <v>146306</v>
      </c>
      <c r="BR133" s="253" t="n">
        <v>36361</v>
      </c>
      <c r="BS133" s="253" t="n">
        <v>39039</v>
      </c>
      <c r="BT133" s="253" t="n">
        <v>41369</v>
      </c>
      <c r="BU133" s="253" t="n">
        <v>45767</v>
      </c>
      <c r="BV133" s="253" t="n">
        <v>162535</v>
      </c>
      <c r="BW133" s="253" t="n">
        <v>41271</v>
      </c>
      <c r="BX133" s="253" t="n">
        <v>45943</v>
      </c>
      <c r="BY133" s="254">
        <f>BY132-BY140-BY135-BY136-BY137-BY138</f>
        <v>50838.3443904159</v>
      </c>
      <c r="BZ133" s="254">
        <f>BZ132-BZ140-BZ135-BZ136-BZ137-BZ138</f>
        <v>50172.187416845</v>
      </c>
      <c r="CA133" s="254">
        <f>SUM(BW133:BZ133)</f>
        <v>188224.531807261</v>
      </c>
      <c r="CB133" s="254">
        <f>CB132-CB140-CB135-CB136-CB137-CB138</f>
        <v>233491.92191552</v>
      </c>
      <c r="CC133" s="254">
        <f>CC132-CC140-CC135-CC136-CC137-CC138</f>
        <v>278722.477360125</v>
      </c>
      <c r="CD133" s="254">
        <f>CD132-CD140-CD135-CD136-CD137-CD138</f>
        <v>320088.366726941</v>
      </c>
      <c r="CE133" s="254">
        <f>CE132-CE140-CE135-CE136-CE137-CE138</f>
        <v>360914.347675819</v>
      </c>
      <c r="CF133" s="19" t="inlineStr">
        <is>
          <t>Includes TAC, content acquisition and other costs (data-centre operations, depreciation). 2012–13: Google + Motorola cost of revenues (derived = total costs − opex). Forecast = balancing line.</t>
        </is>
      </c>
      <c r="CH133" s="20">
        <f>IFERROR((CE133/BV133)^(1/5)-1,"n/m")</f>
        <v>0.172982277177295</v>
      </c>
      <c r="CI133" s="20">
        <f>IFERROR((BV133/AW133)^(1/5)-1,"n/m")</f>
        <v>0.139147306495864</v>
      </c>
      <c r="CJ133" s="20">
        <f>IFERROR((BV133/X133)^(1/10)-1,"n/m")</f>
        <v>0.191585626765169</v>
      </c>
      <c r="CK133" s="20">
        <f>IFERROR((BV133/C133)^(1/19)-1,"n/m")</f>
        <v>0.211789630788205</v>
      </c>
    </row>
    <row r="134" ht="15" customHeight="1" s="251">
      <c r="B134" s="25" t="inlineStr">
        <is>
          <t xml:space="preserve">  Gross margin %</t>
        </is>
      </c>
      <c r="C134" s="215">
        <f>IF(ISNUMBER(C133),IFERROR(1-C133/C132,""),"")</f>
        <v>0.601597353378626</v>
      </c>
      <c r="D134" s="215">
        <f>IF(ISNUMBER(D133),IFERROR(1-D133/D132,""),"")</f>
        <v>0.599307544311536</v>
      </c>
      <c r="E134" s="215">
        <f>IF(ISNUMBER(E133),IFERROR(1-E133/E132,""),"")</f>
        <v>0.604437327803153</v>
      </c>
      <c r="F134" s="215">
        <f>IF(ISNUMBER(F133),IFERROR(1-F133/F132,""),"")</f>
        <v>0.626050551101046</v>
      </c>
      <c r="G134" s="215">
        <f>IF(ISNUMBER(G133),IFERROR(1-G133/G132,""),"")</f>
        <v>0.644725623273422</v>
      </c>
      <c r="H134" s="215">
        <f>IF(ISNUMBER(H133),IFERROR(1-H133/H132,""),"")</f>
        <v>0.65207756232687</v>
      </c>
      <c r="I134" s="215">
        <f>IF(ISNUMBER(I133),IFERROR(1-I133/I132,""),"")</f>
        <v>0.588759342301943</v>
      </c>
      <c r="J134" s="215">
        <f>IF(ISNUMBER(J133),IFERROR(1-J133/J132,""),"")</f>
        <v>0.574486362660176</v>
      </c>
      <c r="K134" s="215">
        <f>IF(ISNUMBER(K133),IFERROR(1-K133/K132,""),"")</f>
        <v>0.570152428216944</v>
      </c>
      <c r="L134" s="215">
        <f>IF(ISNUMBER(L133),IFERROR(1-L133/L132,""),"")</f>
        <v>0.569395017793594</v>
      </c>
      <c r="M134" s="215">
        <f>IF(ISNUMBER(M133),IFERROR(1-M133/M132,""),"")</f>
        <v>0.558785146517974</v>
      </c>
      <c r="N134" s="215">
        <f>IF(ISNUMBER(N133),IFERROR(1-N133/N132,""),"")</f>
        <v>0.567772670288341</v>
      </c>
      <c r="O134" s="215">
        <f>IF(ISNUMBER(O133),IFERROR(1-O133/O132,""),"")</f>
        <v>0.613424124513619</v>
      </c>
      <c r="P134" s="215">
        <f>IF(ISNUMBER(P133),IFERROR(1-P133/P132,""),"")</f>
        <v>0.616797242243811</v>
      </c>
      <c r="Q134" s="215">
        <f>IF(ISNUMBER(Q133),IFERROR(1-Q133/Q132,""),"")</f>
        <v>0.594807238394965</v>
      </c>
      <c r="R134" s="215">
        <f>IF(ISNUMBER(R133),IFERROR(1-R133/R132,""),"")</f>
        <v>0.617687676075789</v>
      </c>
      <c r="S134" s="215">
        <f>IF(ISNUMBER(S133),IFERROR(1-S133/S132,""),"")</f>
        <v>0.610748321995121</v>
      </c>
      <c r="T134" s="215">
        <f>IF(ISNUMBER(T133),IFERROR(1-T133/T132,""),"")</f>
        <v>0.63170703441882</v>
      </c>
      <c r="U134" s="215">
        <f>IF(ISNUMBER(U133),IFERROR(1-U133/U132,""),"")</f>
        <v>0.628645568906188</v>
      </c>
      <c r="V134" s="215">
        <f>IF(ISNUMBER(V133),IFERROR(1-V133/V132,""),"")</f>
        <v>0.623186077643909</v>
      </c>
      <c r="W134" s="215">
        <f>IF(ISNUMBER(W133),IFERROR(1-W133/W132,""),"")</f>
        <v>0.616109522246706</v>
      </c>
      <c r="X134" s="215">
        <f>IF(ISNUMBER(X133),IFERROR(1-X133/X132,""),"")</f>
        <v>0.624424915654296</v>
      </c>
      <c r="Y134" s="215">
        <f>IF(ISNUMBER(Y133),IFERROR(1-Y133/Y132,""),"")</f>
        <v>0.622451498247519</v>
      </c>
      <c r="Z134" s="215">
        <f>IF(ISNUMBER(Z133),IFERROR(1-Z133/Z132,""),"")</f>
        <v>0.621860465116279</v>
      </c>
      <c r="AA134" s="215">
        <f>IF(ISNUMBER(AA133),IFERROR(1-AA133/AA132,""),"")</f>
        <v>0.612533962852434</v>
      </c>
      <c r="AB134" s="215">
        <f>IF(ISNUMBER(AB133),IFERROR(1-AB133/AB132,""),"")</f>
        <v>0.590968385512585</v>
      </c>
      <c r="AC134" s="215">
        <f>IF(ISNUMBER(AC133),IFERROR(1-AC133/AC132,""),"")</f>
        <v>0.610754165189649</v>
      </c>
      <c r="AD134" s="215">
        <f>IF(ISNUMBER(AD133),IFERROR(1-AD133/AD132,""),"")</f>
        <v>0.604242424242424</v>
      </c>
      <c r="AE134" s="215">
        <f>IF(ISNUMBER(AE133),IFERROR(1-AE133/AE132,""),"")</f>
        <v>0.601191849288735</v>
      </c>
      <c r="AF134" s="215">
        <f>IF(ISNUMBER(AF133),IFERROR(1-AF133/AF132,""),"")</f>
        <v>0.598588506409333</v>
      </c>
      <c r="AG134" s="215">
        <f>IF(ISNUMBER(AG133),IFERROR(1-AG133/AG132,""),"")</f>
        <v>0.558611515020264</v>
      </c>
      <c r="AH134" s="215">
        <f>IF(ISNUMBER(AH133),IFERROR(1-AH133/AH132,""),"")</f>
        <v>0.588805195976726</v>
      </c>
      <c r="AI134" s="215">
        <f>IF(ISNUMBER(AI133),IFERROR(1-AI133/AI132,""),"")</f>
        <v>0.56761702947409</v>
      </c>
      <c r="AJ134" s="215">
        <f>IF(ISNUMBER(AJ133),IFERROR(1-AJ133/AJ132,""),"")</f>
        <v>0.574884404568699</v>
      </c>
      <c r="AK134" s="215">
        <f>IF(ISNUMBER(AK133),IFERROR(1-AK133/AK132,""),"")</f>
        <v>0.576733847065797</v>
      </c>
      <c r="AL134" s="215">
        <f>IF(ISNUMBER(AL133),IFERROR(1-AL133/AL132,""),"")</f>
        <v>0.543792646909054</v>
      </c>
      <c r="AM134" s="215">
        <f>IF(ISNUMBER(AM133),IFERROR(1-AM133/AM132,""),"")</f>
        <v>0.564760742294564</v>
      </c>
      <c r="AN134" s="215">
        <f>IF(ISNUMBER(AN133),IFERROR(1-AN133/AN132,""),"")</f>
        <v>0.559371474173753</v>
      </c>
      <c r="AO134" s="215">
        <f>IF(ISNUMBER(AO133),IFERROR(1-AO133/AO132,""),"")</f>
        <v>0.555875102711586</v>
      </c>
      <c r="AP134" s="215">
        <f>IF(ISNUMBER(AP133),IFERROR(1-AP133/AP132,""),"")</f>
        <v>0.566211511395343</v>
      </c>
      <c r="AQ134" s="215">
        <f>IF(ISNUMBER(AQ133),IFERROR(1-AQ133/AQ132,""),"")</f>
        <v>0.543787303309821</v>
      </c>
      <c r="AR134" s="215">
        <f>IF(ISNUMBER(AR133),IFERROR(1-AR133/AR132,""),"")</f>
        <v>0.555805433191027</v>
      </c>
      <c r="AS134" s="215">
        <f>IF(ISNUMBER(AS133),IFERROR(1-AS133/AS132,""),"")</f>
        <v>0.538812896328871</v>
      </c>
      <c r="AT134" s="215">
        <f>IF(ISNUMBER(AT133),IFERROR(1-AT133/AT132,""),"")</f>
        <v>0.515549520850197</v>
      </c>
      <c r="AU134" s="215">
        <f>IF(ISNUMBER(AU133),IFERROR(1-AU133/AU132,""),"")</f>
        <v>0.542654798258723</v>
      </c>
      <c r="AV134" s="215">
        <f>IF(ISNUMBER(AV133),IFERROR(1-AV133/AV132,""),"")</f>
        <v>0.541635909873809</v>
      </c>
      <c r="AW134" s="215">
        <f>IF(ISNUMBER(AW133),IFERROR(1-AW133/AW132,""),"")</f>
        <v>0.535783747062079</v>
      </c>
      <c r="AX134" s="215">
        <f>IF(ISNUMBER(AX133),IFERROR(1-AX133/AX132,""),"")</f>
        <v>0.564251364934736</v>
      </c>
      <c r="AY134" s="215">
        <f>IF(ISNUMBER(AY133),IFERROR(1-AY133/AY132,""),"")</f>
        <v>0.576163542340013</v>
      </c>
      <c r="AZ134" s="215">
        <f>IF(ISNUMBER(AZ133),IFERROR(1-AZ133/AZ132,""),"")</f>
        <v>0.575831567308578</v>
      </c>
      <c r="BA134" s="215">
        <f>IF(ISNUMBER(BA133),IFERROR(1-BA133/BA132,""),"")</f>
        <v>0.562057749751079</v>
      </c>
      <c r="BB134" s="215">
        <f>IF(ISNUMBER(BB133),IFERROR(1-BB133/BB132,""),"")</f>
        <v>0.569398029009808</v>
      </c>
      <c r="BC134" s="215">
        <f>IF(ISNUMBER(BC133),IFERROR(1-BC133/BC132,""),"")</f>
        <v>0.564790989692844</v>
      </c>
      <c r="BD134" s="215">
        <f>IF(ISNUMBER(BD133),IFERROR(1-BD133/BD132,""),"")</f>
        <v>0.567998851976753</v>
      </c>
      <c r="BE134" s="215">
        <f>IF(ISNUMBER(BE133),IFERROR(1-BE133/BE132,""),"")</f>
        <v>0.54903606785156</v>
      </c>
      <c r="BF134" s="215">
        <f>IF(ISNUMBER(BF133),IFERROR(1-BF133/BF132,""),"")</f>
        <v>0.53526719966337</v>
      </c>
      <c r="BG134" s="215">
        <f>IF(ISNUMBER(BG133),IFERROR(1-BG133/BG132,""),"")</f>
        <v>0.553794425037831</v>
      </c>
      <c r="BH134" s="215">
        <f>IF(ISNUMBER(BH133),IFERROR(1-BH133/BH132,""),"")</f>
        <v>0.561350967945319</v>
      </c>
      <c r="BI134" s="215">
        <f>IF(ISNUMBER(BI133),IFERROR(1-BI133/BI132,""),"")</f>
        <v>0.572194520401051</v>
      </c>
      <c r="BJ134" s="215">
        <f>IF(ISNUMBER(BJ133),IFERROR(1-BJ133/BJ132,""),"")</f>
        <v>0.566727080698369</v>
      </c>
      <c r="BK134" s="215">
        <f>IF(ISNUMBER(BK133),IFERROR(1-BK133/BK132,""),"")</f>
        <v>0.564650677789364</v>
      </c>
      <c r="BL134" s="215">
        <f>IF(ISNUMBER(BL133),IFERROR(1-BL133/BL132,""),"")</f>
        <v>0.566250479840205</v>
      </c>
      <c r="BM134" s="215">
        <f>IF(ISNUMBER(BM133),IFERROR(1-BM133/BM132,""),"")</f>
        <v>0.581420181526962</v>
      </c>
      <c r="BN134" s="215">
        <f>IF(ISNUMBER(BN133),IFERROR(1-BN133/BN132,""),"")</f>
        <v>0.580998796346558</v>
      </c>
      <c r="BO134" s="215">
        <f>IF(ISNUMBER(BO133),IFERROR(1-BO133/BO132,""),"")</f>
        <v>0.586781166447637</v>
      </c>
      <c r="BP134" s="215">
        <f>IF(ISNUMBER(BP133),IFERROR(1-BP133/BP132,""),"")</f>
        <v>0.579004654344919</v>
      </c>
      <c r="BQ134" s="215">
        <f>IF(ISNUMBER(BQ133),IFERROR(1-BQ133/BQ132,""),"")</f>
        <v>0.582004354061791</v>
      </c>
      <c r="BR134" s="215">
        <f>IF(ISNUMBER(BR133),IFERROR(1-BR133/BR132,""),"")</f>
        <v>0.597036593745152</v>
      </c>
      <c r="BS134" s="215">
        <f>IF(ISNUMBER(BS133),IFERROR(1-BS133/BS132,""),"")</f>
        <v>0.595148711992367</v>
      </c>
      <c r="BT134" s="215">
        <f>IF(ISNUMBER(BT133),IFERROR(1-BT133/BT132,""),"")</f>
        <v>0.595792703183319</v>
      </c>
      <c r="BU134" s="215">
        <f>IF(ISNUMBER(BU133),IFERROR(1-BU133/BU132,""),"")</f>
        <v>0.597931985697845</v>
      </c>
      <c r="BV134" s="215">
        <f>IF(ISNUMBER(BV133),IFERROR(1-BV133/BV132,""),"")</f>
        <v>0.5965231508604</v>
      </c>
      <c r="BW134" s="215">
        <f>IF(ISNUMBER(BW133),IFERROR(1-BW133/BW132,""),"")</f>
        <v>0.624454029264032</v>
      </c>
      <c r="BX134" s="215">
        <f>IF(ISNUMBER(BX133),IFERROR(1-BX133/BX132,""),"")</f>
        <v>0.616489699155231</v>
      </c>
      <c r="BY134" s="256">
        <f>IF(ISNUMBER(BY133),IFERROR(1-BY133/BY132,""),"")</f>
        <v>0.59969980952777</v>
      </c>
      <c r="BZ134" s="256">
        <f>IF(ISNUMBER(BZ133),IFERROR(1-BZ133/BZ132,""),"")</f>
        <v>0.645633316785868</v>
      </c>
      <c r="CA134" s="256">
        <f>IF(ISNUMBER(CA133),IFERROR(1-CA133/CA132,""),"")</f>
        <v>0.622247871139915</v>
      </c>
      <c r="CB134" s="256">
        <f>IF(ISNUMBER(CB133),IFERROR(1-CB133/CB132,""),"")</f>
        <v>0.600789418828486</v>
      </c>
      <c r="CC134" s="256">
        <f>IF(ISNUMBER(CC133),IFERROR(1-CC133/CC132,""),"")</f>
        <v>0.584592899650073</v>
      </c>
      <c r="CD134" s="256">
        <f>IF(ISNUMBER(CD133),IFERROR(1-CD133/CD132,""),"")</f>
        <v>0.577725151160693</v>
      </c>
      <c r="CE134" s="256">
        <f>IF(ISNUMBER(CE133),IFERROR(1-CE133/CE132,""),"")</f>
        <v>0.572254092831352</v>
      </c>
      <c r="CF134" s="153" t="n"/>
      <c r="CH134" s="37">
        <f>IFERROR(AVERAGE(CA134,CB134,CC134,CD134,CE134),"n/m")</f>
        <v>0.591521886722104</v>
      </c>
      <c r="CI134" s="37">
        <f>IFERROR(AVERAGE(BB134,BG134,BL134,BQ134,BV134),"n/m")</f>
        <v>0.573594087762007</v>
      </c>
      <c r="CJ134" s="37">
        <f>IFERROR(AVERAGE(AC134,AH134,AM134,AR134,AW134,BB134,BG134,BL134,BQ134,BV134),"n/m")</f>
        <v>0.572387972252408</v>
      </c>
      <c r="CK134" s="37">
        <f>IFERROR(AVERAGE(C134,D134,E134,F134,G134,H134,I134,N134,S134,X134,AC134,AH134,AM134,AR134,AW134,BB134,BG134,BL134,BQ134,BV134),"n/m")</f>
        <v>0.592189046747922</v>
      </c>
    </row>
    <row r="135" ht="15" customHeight="1" s="251">
      <c r="B135" s="25" t="inlineStr">
        <is>
          <t>Research &amp; development</t>
        </is>
      </c>
      <c r="C135" s="253" t="n">
        <v>1228.589</v>
      </c>
      <c r="D135" s="253" t="n">
        <v>2119.985</v>
      </c>
      <c r="E135" s="253" t="n">
        <v>2793.192</v>
      </c>
      <c r="F135" s="253" t="n">
        <v>2843.027</v>
      </c>
      <c r="G135" s="253" t="n">
        <v>3762</v>
      </c>
      <c r="H135" s="253" t="n">
        <v>5162</v>
      </c>
      <c r="I135" s="253" t="n">
        <v>6793</v>
      </c>
      <c r="J135" s="253" t="n">
        <v>1837</v>
      </c>
      <c r="K135" s="253" t="n">
        <v>1987</v>
      </c>
      <c r="L135" s="253" t="n">
        <v>2017</v>
      </c>
      <c r="M135" s="253" t="n">
        <v>2111</v>
      </c>
      <c r="N135" s="253" t="n">
        <v>7952</v>
      </c>
      <c r="O135" s="253" t="n">
        <v>2126</v>
      </c>
      <c r="P135" s="253" t="n">
        <v>2238</v>
      </c>
      <c r="Q135" s="253" t="n">
        <v>2655</v>
      </c>
      <c r="R135" s="253" t="n">
        <v>2813</v>
      </c>
      <c r="S135" s="253" t="n">
        <v>9832</v>
      </c>
      <c r="T135" s="253" t="n">
        <v>2753</v>
      </c>
      <c r="U135" s="253" t="n">
        <v>2789</v>
      </c>
      <c r="V135" s="253" t="n">
        <v>3230</v>
      </c>
      <c r="W135" s="253" t="n">
        <v>3510</v>
      </c>
      <c r="X135" s="253" t="n">
        <v>12282</v>
      </c>
      <c r="Y135" s="253" t="n">
        <v>3367</v>
      </c>
      <c r="Z135" s="253" t="n">
        <v>3363</v>
      </c>
      <c r="AA135" s="253" t="n">
        <v>3596</v>
      </c>
      <c r="AB135" s="253" t="n">
        <v>3622</v>
      </c>
      <c r="AC135" s="253" t="n">
        <v>13948</v>
      </c>
      <c r="AD135" s="253" t="n">
        <v>3942</v>
      </c>
      <c r="AE135" s="253" t="n">
        <v>4172</v>
      </c>
      <c r="AF135" s="253" t="n">
        <v>4205</v>
      </c>
      <c r="AG135" s="253" t="n">
        <v>4306</v>
      </c>
      <c r="AH135" s="253" t="n">
        <v>16625</v>
      </c>
      <c r="AI135" s="253" t="n">
        <v>5039</v>
      </c>
      <c r="AJ135" s="253" t="n">
        <v>5114</v>
      </c>
      <c r="AK135" s="253" t="n">
        <v>5232</v>
      </c>
      <c r="AL135" s="253" t="n">
        <v>6034</v>
      </c>
      <c r="AM135" s="253" t="n">
        <v>21419</v>
      </c>
      <c r="AN135" s="253" t="n">
        <v>6029</v>
      </c>
      <c r="AO135" s="253" t="n">
        <v>6213</v>
      </c>
      <c r="AP135" s="253" t="n">
        <v>6554</v>
      </c>
      <c r="AQ135" s="253" t="n">
        <v>7222</v>
      </c>
      <c r="AR135" s="253" t="n">
        <v>26018</v>
      </c>
      <c r="AS135" s="253" t="n">
        <v>6820</v>
      </c>
      <c r="AT135" s="253" t="n">
        <v>6875</v>
      </c>
      <c r="AU135" s="253" t="n">
        <v>6856</v>
      </c>
      <c r="AV135" s="253" t="n">
        <v>7022</v>
      </c>
      <c r="AW135" s="253" t="n">
        <v>27573</v>
      </c>
      <c r="AX135" s="253" t="n">
        <v>7485</v>
      </c>
      <c r="AY135" s="253" t="n">
        <v>7675</v>
      </c>
      <c r="AZ135" s="253" t="n">
        <v>7694</v>
      </c>
      <c r="BA135" s="253" t="n">
        <v>8708</v>
      </c>
      <c r="BB135" s="253" t="n">
        <v>31562</v>
      </c>
      <c r="BC135" s="253" t="n">
        <v>9119</v>
      </c>
      <c r="BD135" s="253" t="n">
        <v>9841</v>
      </c>
      <c r="BE135" s="253" t="n">
        <v>10273</v>
      </c>
      <c r="BF135" s="253" t="n">
        <v>10267</v>
      </c>
      <c r="BG135" s="253" t="n">
        <v>39500</v>
      </c>
      <c r="BH135" s="253" t="n">
        <v>11468</v>
      </c>
      <c r="BI135" s="253" t="n">
        <v>10588</v>
      </c>
      <c r="BJ135" s="253" t="n">
        <v>11258</v>
      </c>
      <c r="BK135" s="253" t="n">
        <v>12113</v>
      </c>
      <c r="BL135" s="253" t="n">
        <v>45427</v>
      </c>
      <c r="BM135" s="253" t="n">
        <v>11903</v>
      </c>
      <c r="BN135" s="253" t="n">
        <v>11860</v>
      </c>
      <c r="BO135" s="253" t="n">
        <v>12447</v>
      </c>
      <c r="BP135" s="253" t="n">
        <v>13116</v>
      </c>
      <c r="BQ135" s="253" t="n">
        <v>49326</v>
      </c>
      <c r="BR135" s="253" t="n">
        <v>13556</v>
      </c>
      <c r="BS135" s="253" t="n">
        <v>13808</v>
      </c>
      <c r="BT135" s="253" t="n">
        <v>15151</v>
      </c>
      <c r="BU135" s="253" t="n">
        <v>18572</v>
      </c>
      <c r="BV135" s="253" t="n">
        <v>61087</v>
      </c>
      <c r="BW135" s="253" t="n">
        <v>17032</v>
      </c>
      <c r="BX135" s="253" t="n">
        <v>18219</v>
      </c>
      <c r="BY135" s="254">
        <f>BY132*BY116</f>
        <v>19673.8156737332</v>
      </c>
      <c r="BZ135" s="254">
        <f>BZ132*BZ116</f>
        <v>24073.4783681441</v>
      </c>
      <c r="CA135" s="254">
        <f>SUM(BW135:BZ135)</f>
        <v>78998.2940418772</v>
      </c>
      <c r="CB135" s="254">
        <f>CB132*CB116</f>
        <v>88902.383366214</v>
      </c>
      <c r="CC135" s="254">
        <f>CC132*CC116</f>
        <v>101986.260039974</v>
      </c>
      <c r="CD135" s="254">
        <f>CD132*CD116</f>
        <v>115217.451089562</v>
      </c>
      <c r="CE135" s="254">
        <f>CE132*CE116</f>
        <v>128251.328481082</v>
      </c>
      <c r="CF135" s="19" t="n"/>
      <c r="CH135" s="20">
        <f>IFERROR((CE135/BV135)^(1/5)-1,"n/m")</f>
        <v>0.159905519377215</v>
      </c>
      <c r="CI135" s="20">
        <f>IFERROR((BV135/AW135)^(1/5)-1,"n/m")</f>
        <v>0.172446286155429</v>
      </c>
      <c r="CJ135" s="20">
        <f>IFERROR((BV135/X135)^(1/10)-1,"n/m")</f>
        <v>0.173999658086164</v>
      </c>
      <c r="CK135" s="20">
        <f>IFERROR((BV135/C135)^(1/19)-1,"n/m")</f>
        <v>0.228263916273448</v>
      </c>
    </row>
    <row r="136" ht="15" customHeight="1" s="251">
      <c r="B136" s="25" t="inlineStr">
        <is>
          <t>Sales &amp; marketing</t>
        </is>
      </c>
      <c r="C136" s="253" t="n">
        <v>849.518</v>
      </c>
      <c r="D136" s="253" t="n">
        <v>1461.266</v>
      </c>
      <c r="E136" s="253" t="n">
        <v>1946.244</v>
      </c>
      <c r="F136" s="253" t="n">
        <v>1983.941</v>
      </c>
      <c r="G136" s="253" t="n">
        <v>2799</v>
      </c>
      <c r="H136" s="253" t="n">
        <v>4589</v>
      </c>
      <c r="I136" s="253" t="n">
        <v>6143</v>
      </c>
      <c r="J136" s="253" t="n">
        <v>1586</v>
      </c>
      <c r="K136" s="253" t="n">
        <v>1735</v>
      </c>
      <c r="L136" s="253" t="n">
        <v>1806</v>
      </c>
      <c r="M136" s="253" t="n">
        <v>2126</v>
      </c>
      <c r="N136" s="253" t="n">
        <v>7253</v>
      </c>
      <c r="O136" s="253" t="n">
        <v>1729</v>
      </c>
      <c r="P136" s="253" t="n">
        <v>1941</v>
      </c>
      <c r="Q136" s="253" t="n">
        <v>2084</v>
      </c>
      <c r="R136" s="253" t="n">
        <v>2377</v>
      </c>
      <c r="S136" s="253" t="n">
        <v>8131</v>
      </c>
      <c r="T136" s="253" t="n">
        <v>2065</v>
      </c>
      <c r="U136" s="253" t="n">
        <v>2080</v>
      </c>
      <c r="V136" s="253" t="n">
        <v>2223</v>
      </c>
      <c r="W136" s="253" t="n">
        <v>2679</v>
      </c>
      <c r="X136" s="253" t="n">
        <v>9047</v>
      </c>
      <c r="Y136" s="253" t="n">
        <v>2387</v>
      </c>
      <c r="Z136" s="253" t="n">
        <v>2415</v>
      </c>
      <c r="AA136" s="253" t="n">
        <v>2565</v>
      </c>
      <c r="AB136" s="253" t="n">
        <v>3118</v>
      </c>
      <c r="AC136" s="253" t="n">
        <v>10485</v>
      </c>
      <c r="AD136" s="253" t="n">
        <v>2644</v>
      </c>
      <c r="AE136" s="253" t="n">
        <v>2897</v>
      </c>
      <c r="AF136" s="253" t="n">
        <v>3042</v>
      </c>
      <c r="AG136" s="253" t="n">
        <v>4310</v>
      </c>
      <c r="AH136" s="253" t="n">
        <v>12893</v>
      </c>
      <c r="AI136" s="253" t="n">
        <v>3604</v>
      </c>
      <c r="AJ136" s="253" t="n">
        <v>3780</v>
      </c>
      <c r="AK136" s="253" t="n">
        <v>3849</v>
      </c>
      <c r="AL136" s="253" t="n">
        <v>5100</v>
      </c>
      <c r="AM136" s="253" t="n">
        <v>16333</v>
      </c>
      <c r="AN136" s="253" t="n">
        <v>3905</v>
      </c>
      <c r="AO136" s="253" t="n">
        <v>4212</v>
      </c>
      <c r="AP136" s="253" t="n">
        <v>4609</v>
      </c>
      <c r="AQ136" s="253" t="n">
        <v>5738</v>
      </c>
      <c r="AR136" s="253" t="n">
        <v>18464</v>
      </c>
      <c r="AS136" s="253" t="n">
        <v>4500</v>
      </c>
      <c r="AT136" s="253" t="n">
        <v>3901</v>
      </c>
      <c r="AU136" s="253" t="n">
        <v>4231</v>
      </c>
      <c r="AV136" s="253" t="n">
        <v>5314</v>
      </c>
      <c r="AW136" s="253" t="n">
        <v>17946</v>
      </c>
      <c r="AX136" s="253" t="n">
        <v>4516</v>
      </c>
      <c r="AY136" s="253" t="n">
        <v>5276</v>
      </c>
      <c r="AZ136" s="253" t="n">
        <v>5516</v>
      </c>
      <c r="BA136" s="253" t="n">
        <v>7604</v>
      </c>
      <c r="BB136" s="253" t="n">
        <v>22912</v>
      </c>
      <c r="BC136" s="253" t="n">
        <v>5825</v>
      </c>
      <c r="BD136" s="253" t="n">
        <v>6630</v>
      </c>
      <c r="BE136" s="253" t="n">
        <v>6929</v>
      </c>
      <c r="BF136" s="253" t="n">
        <v>7183</v>
      </c>
      <c r="BG136" s="253" t="n">
        <v>26567</v>
      </c>
      <c r="BH136" s="253" t="n">
        <v>6533</v>
      </c>
      <c r="BI136" s="253" t="n">
        <v>6781</v>
      </c>
      <c r="BJ136" s="253" t="n">
        <v>6884</v>
      </c>
      <c r="BK136" s="253" t="n">
        <v>7719</v>
      </c>
      <c r="BL136" s="253" t="n">
        <v>27917</v>
      </c>
      <c r="BM136" s="253" t="n">
        <v>6426</v>
      </c>
      <c r="BN136" s="253" t="n">
        <v>6792</v>
      </c>
      <c r="BO136" s="253" t="n">
        <v>7227</v>
      </c>
      <c r="BP136" s="253" t="n">
        <v>7363</v>
      </c>
      <c r="BQ136" s="253" t="n">
        <v>27808</v>
      </c>
      <c r="BR136" s="253" t="n">
        <v>6172</v>
      </c>
      <c r="BS136" s="253" t="n">
        <v>7101</v>
      </c>
      <c r="BT136" s="253" t="n">
        <v>7205</v>
      </c>
      <c r="BU136" s="253" t="n">
        <v>8215</v>
      </c>
      <c r="BV136" s="253" t="n">
        <v>28693</v>
      </c>
      <c r="BW136" s="253" t="n">
        <v>7606</v>
      </c>
      <c r="BX136" s="253" t="n">
        <v>8403</v>
      </c>
      <c r="BY136" s="254">
        <f>BY132*BY117</f>
        <v>8761.64089937287</v>
      </c>
      <c r="BZ136" s="254">
        <f>BZ132*BZ117</f>
        <v>10018.4200420939</v>
      </c>
      <c r="CA136" s="254">
        <f>SUM(BW136:BZ136)</f>
        <v>34789.0609414668</v>
      </c>
      <c r="CB136" s="254">
        <f>CB132*CB117</f>
        <v>39772.1188743589</v>
      </c>
      <c r="CC136" s="254">
        <f>CC132*CC117</f>
        <v>45625.4321231461</v>
      </c>
      <c r="CD136" s="254">
        <f>CD132*CD117</f>
        <v>51544.6491716461</v>
      </c>
      <c r="CE136" s="254">
        <f>CE132*CE117</f>
        <v>57375.5943204839</v>
      </c>
      <c r="CF136" s="19" t="n"/>
      <c r="CH136" s="20">
        <f>IFERROR((CE136/BV136)^(1/5)-1,"n/m")</f>
        <v>0.148656693776525</v>
      </c>
      <c r="CI136" s="20">
        <f>IFERROR((BV136/AW136)^(1/5)-1,"n/m")</f>
        <v>0.0984028699787354</v>
      </c>
      <c r="CJ136" s="20">
        <f>IFERROR((BV136/X136)^(1/10)-1,"n/m")</f>
        <v>0.122346965773496</v>
      </c>
      <c r="CK136" s="20">
        <f>IFERROR((BV136/C136)^(1/19)-1,"n/m")</f>
        <v>0.203518607087337</v>
      </c>
    </row>
    <row r="137" ht="15" customHeight="1" s="251">
      <c r="B137" s="25" t="inlineStr">
        <is>
          <t>General &amp; administrative</t>
        </is>
      </c>
      <c r="C137" s="253" t="n">
        <v>751.787</v>
      </c>
      <c r="D137" s="253" t="n">
        <v>1279.25</v>
      </c>
      <c r="E137" s="253" t="n">
        <v>1802.639</v>
      </c>
      <c r="F137" s="253" t="n">
        <v>1667.294</v>
      </c>
      <c r="G137" s="253" t="n">
        <v>1962</v>
      </c>
      <c r="H137" s="253" t="n">
        <v>2724</v>
      </c>
      <c r="I137" s="253" t="n">
        <v>3845</v>
      </c>
      <c r="J137" s="253" t="n">
        <v>1125</v>
      </c>
      <c r="K137" s="253" t="n">
        <v>1197</v>
      </c>
      <c r="L137" s="253" t="n">
        <v>1213</v>
      </c>
      <c r="M137" s="253" t="n">
        <v>1261</v>
      </c>
      <c r="N137" s="253" t="n">
        <v>4796</v>
      </c>
      <c r="O137" s="253" t="n">
        <v>1489</v>
      </c>
      <c r="P137" s="253" t="n">
        <v>1404</v>
      </c>
      <c r="Q137" s="253" t="n">
        <v>1365</v>
      </c>
      <c r="R137" s="253" t="n">
        <v>1593</v>
      </c>
      <c r="S137" s="253" t="n">
        <v>5851</v>
      </c>
      <c r="T137" s="253" t="n">
        <v>1637</v>
      </c>
      <c r="U137" s="253" t="n">
        <v>1450</v>
      </c>
      <c r="V137" s="253" t="n">
        <v>1477</v>
      </c>
      <c r="W137" s="253" t="n">
        <v>1572</v>
      </c>
      <c r="X137" s="253" t="n">
        <v>6136</v>
      </c>
      <c r="Y137" s="253" t="n">
        <v>1513</v>
      </c>
      <c r="Z137" s="253" t="n">
        <v>1624</v>
      </c>
      <c r="AA137" s="253" t="n">
        <v>1824</v>
      </c>
      <c r="AB137" s="253" t="n">
        <v>2024</v>
      </c>
      <c r="AC137" s="253" t="n">
        <v>6985</v>
      </c>
      <c r="AD137" s="253" t="n">
        <v>1801</v>
      </c>
      <c r="AE137" s="253" t="n">
        <v>1700</v>
      </c>
      <c r="AF137" s="253" t="n">
        <v>1595</v>
      </c>
      <c r="AG137" s="253" t="n">
        <v>1776</v>
      </c>
      <c r="AH137" s="253" t="n">
        <v>6872</v>
      </c>
      <c r="AI137" s="253" t="n">
        <v>2035</v>
      </c>
      <c r="AJ137" s="253" t="n">
        <v>2002</v>
      </c>
      <c r="AK137" s="253" t="n">
        <v>2068</v>
      </c>
      <c r="AL137" s="253" t="n">
        <v>2021</v>
      </c>
      <c r="AM137" s="253" t="n">
        <v>8126</v>
      </c>
      <c r="AN137" s="253" t="n">
        <v>2088</v>
      </c>
      <c r="AO137" s="253" t="n">
        <v>2043</v>
      </c>
      <c r="AP137" s="253" t="n">
        <v>2591</v>
      </c>
      <c r="AQ137" s="253" t="n">
        <v>2829</v>
      </c>
      <c r="AR137" s="253" t="n">
        <v>9551</v>
      </c>
      <c r="AS137" s="253" t="n">
        <v>2880</v>
      </c>
      <c r="AT137" s="253" t="n">
        <v>2585</v>
      </c>
      <c r="AU137" s="253" t="n">
        <v>2756</v>
      </c>
      <c r="AV137" s="253" t="n">
        <v>2831</v>
      </c>
      <c r="AW137" s="253" t="n">
        <v>11052</v>
      </c>
      <c r="AX137" s="253" t="n">
        <v>2773</v>
      </c>
      <c r="AY137" s="253" t="n">
        <v>3341</v>
      </c>
      <c r="AZ137" s="253" t="n">
        <v>3256</v>
      </c>
      <c r="BA137" s="253" t="n">
        <v>4140</v>
      </c>
      <c r="BB137" s="253" t="n">
        <v>13510</v>
      </c>
      <c r="BC137" s="253" t="n">
        <v>3374</v>
      </c>
      <c r="BD137" s="253" t="n">
        <v>3657</v>
      </c>
      <c r="BE137" s="253" t="n">
        <v>3597</v>
      </c>
      <c r="BF137" s="253" t="n">
        <v>5096</v>
      </c>
      <c r="BG137" s="253" t="n">
        <v>15724</v>
      </c>
      <c r="BH137" s="253" t="n">
        <v>3759</v>
      </c>
      <c r="BI137" s="253" t="n">
        <v>3481</v>
      </c>
      <c r="BJ137" s="253" t="n">
        <v>3979</v>
      </c>
      <c r="BK137" s="253" t="n">
        <v>5206</v>
      </c>
      <c r="BL137" s="253" t="n">
        <v>16425</v>
      </c>
      <c r="BM137" s="253" t="n">
        <v>3026</v>
      </c>
      <c r="BN137" s="253" t="n">
        <v>3158</v>
      </c>
      <c r="BO137" s="253" t="n">
        <v>3599</v>
      </c>
      <c r="BP137" s="253" t="n">
        <v>4405</v>
      </c>
      <c r="BQ137" s="253" t="n">
        <v>14188</v>
      </c>
      <c r="BR137" s="253" t="n">
        <v>3539</v>
      </c>
      <c r="BS137" s="253" t="n">
        <v>5209</v>
      </c>
      <c r="BT137" s="253" t="n">
        <v>7393</v>
      </c>
      <c r="BU137" s="253" t="n">
        <v>5341</v>
      </c>
      <c r="BV137" s="253" t="n">
        <v>21482</v>
      </c>
      <c r="BW137" s="253" t="n">
        <v>4291</v>
      </c>
      <c r="BX137" s="253" t="n">
        <v>6461</v>
      </c>
      <c r="BY137" s="254">
        <f>BY132*BY118</f>
        <v>5944.96070629004</v>
      </c>
      <c r="BZ137" s="254">
        <f>BZ132*BZ118</f>
        <v>6627.55802302141</v>
      </c>
      <c r="CA137" s="254">
        <f>SUM(BW137:BZ137)</f>
        <v>23324.5187293115</v>
      </c>
      <c r="CB137" s="254">
        <f>CB132*CB118</f>
        <v>28074.4368524886</v>
      </c>
      <c r="CC137" s="254">
        <f>CC132*CC118</f>
        <v>32206.1873810443</v>
      </c>
      <c r="CD137" s="254">
        <f>CD132*CD118</f>
        <v>36384.458238809</v>
      </c>
      <c r="CE137" s="254">
        <f>CE132*CE118</f>
        <v>40500.4195203416</v>
      </c>
      <c r="CF137" s="19" t="n"/>
      <c r="CH137" s="20">
        <f>IFERROR((CE137/BV137)^(1/5)-1,"n/m")</f>
        <v>0.135211970313797</v>
      </c>
      <c r="CI137" s="20">
        <f>IFERROR((BV137/AW137)^(1/5)-1,"n/m")</f>
        <v>0.14215952842977</v>
      </c>
      <c r="CJ137" s="20">
        <f>IFERROR((BV137/X137)^(1/10)-1,"n/m")</f>
        <v>0.133493244525218</v>
      </c>
      <c r="CK137" s="20">
        <f>IFERROR((BV137/C137)^(1/19)-1,"n/m")</f>
        <v>0.192972743137798</v>
      </c>
    </row>
    <row r="138" ht="15" customHeight="1" s="251">
      <c r="B138" s="25" t="inlineStr">
        <is>
          <t>Other operating items shown separately (European Commission fines 2017–19; DOJ charge 2011)</t>
        </is>
      </c>
      <c r="C138" s="253" t="n">
        <v>0</v>
      </c>
      <c r="D138" s="253" t="n">
        <v>0</v>
      </c>
      <c r="E138" s="253" t="n">
        <v>0</v>
      </c>
      <c r="F138" s="253" t="n">
        <v>0</v>
      </c>
      <c r="G138" s="253" t="n">
        <v>0</v>
      </c>
      <c r="H138" s="253" t="n">
        <v>500</v>
      </c>
      <c r="I138" s="253" t="n">
        <v>0</v>
      </c>
      <c r="J138" s="253" t="n">
        <v>0</v>
      </c>
      <c r="K138" s="253" t="n">
        <v>0</v>
      </c>
      <c r="L138" s="253" t="n">
        <v>0</v>
      </c>
      <c r="M138" s="253" t="n">
        <v>0</v>
      </c>
      <c r="N138" s="253" t="n">
        <v>0</v>
      </c>
      <c r="O138" s="253" t="n">
        <v>0</v>
      </c>
      <c r="P138" s="253" t="n">
        <v>0</v>
      </c>
      <c r="Q138" s="253" t="n">
        <v>0</v>
      </c>
      <c r="R138" s="253" t="n">
        <v>0</v>
      </c>
      <c r="S138" s="253" t="n">
        <v>0</v>
      </c>
      <c r="T138" s="253" t="n">
        <v>0</v>
      </c>
      <c r="U138" s="253" t="n">
        <v>0</v>
      </c>
      <c r="V138" s="253" t="n">
        <v>0</v>
      </c>
      <c r="W138" s="253" t="n">
        <v>0</v>
      </c>
      <c r="X138" s="253" t="n">
        <v>0</v>
      </c>
      <c r="Y138" s="253" t="n">
        <v>0</v>
      </c>
      <c r="Z138" s="253" t="n">
        <v>0</v>
      </c>
      <c r="AA138" s="253" t="n">
        <v>0</v>
      </c>
      <c r="AB138" s="253" t="n">
        <v>0</v>
      </c>
      <c r="AC138" s="253" t="n">
        <v>0</v>
      </c>
      <c r="AD138" s="253" t="n">
        <v>0</v>
      </c>
      <c r="AE138" s="253" t="n">
        <v>2736</v>
      </c>
      <c r="AF138" s="253" t="n">
        <v>0</v>
      </c>
      <c r="AG138" s="253" t="n">
        <v>0</v>
      </c>
      <c r="AH138" s="253" t="n">
        <v>2736</v>
      </c>
      <c r="AI138" s="253" t="n">
        <v>0</v>
      </c>
      <c r="AJ138" s="253" t="n">
        <v>5071</v>
      </c>
      <c r="AK138" s="253" t="n">
        <v>0</v>
      </c>
      <c r="AL138" s="253" t="n">
        <v>0</v>
      </c>
      <c r="AM138" s="253" t="n">
        <v>5071</v>
      </c>
      <c r="AN138" s="253" t="n">
        <v>1697</v>
      </c>
      <c r="AO138" s="253" t="n">
        <v>0</v>
      </c>
      <c r="AP138" s="253" t="n">
        <v>0</v>
      </c>
      <c r="AQ138" s="253" t="n">
        <v>0</v>
      </c>
      <c r="AR138" s="253" t="n">
        <v>1697</v>
      </c>
      <c r="AS138" s="253" t="n">
        <v>0</v>
      </c>
      <c r="AT138" s="253" t="n">
        <v>0</v>
      </c>
      <c r="AU138" s="253" t="n">
        <v>0</v>
      </c>
      <c r="AV138" s="253" t="n">
        <v>0</v>
      </c>
      <c r="AW138" s="253" t="n">
        <v>0</v>
      </c>
      <c r="AX138" s="253" t="n">
        <v>0</v>
      </c>
      <c r="AY138" s="253" t="n">
        <v>0</v>
      </c>
      <c r="AZ138" s="253" t="n">
        <v>0</v>
      </c>
      <c r="BA138" s="253" t="n">
        <v>0</v>
      </c>
      <c r="BB138" s="253" t="n">
        <v>0</v>
      </c>
      <c r="BC138" s="253" t="n">
        <v>0</v>
      </c>
      <c r="BD138" s="253" t="n">
        <v>0</v>
      </c>
      <c r="BE138" s="253" t="n">
        <v>0</v>
      </c>
      <c r="BF138" s="253" t="n">
        <v>0</v>
      </c>
      <c r="BG138" s="253" t="n">
        <v>0</v>
      </c>
      <c r="BH138" s="253" t="n">
        <v>0</v>
      </c>
      <c r="BI138" s="253" t="n">
        <v>0</v>
      </c>
      <c r="BJ138" s="253" t="n">
        <v>0</v>
      </c>
      <c r="BK138" s="253" t="n">
        <v>0</v>
      </c>
      <c r="BL138" s="253" t="n">
        <v>0</v>
      </c>
      <c r="BM138" s="253" t="n">
        <v>0</v>
      </c>
      <c r="BN138" s="253" t="n">
        <v>0</v>
      </c>
      <c r="BO138" s="253" t="n">
        <v>0</v>
      </c>
      <c r="BP138" s="253" t="n">
        <v>0</v>
      </c>
      <c r="BQ138" s="253" t="n">
        <v>0</v>
      </c>
      <c r="BR138" s="253" t="n">
        <v>0</v>
      </c>
      <c r="BS138" s="253" t="n">
        <v>0</v>
      </c>
      <c r="BT138" s="253" t="n">
        <v>0</v>
      </c>
      <c r="BU138" s="253" t="n">
        <v>0</v>
      </c>
      <c r="BV138" s="253" t="n">
        <v>0</v>
      </c>
      <c r="BW138" s="253" t="n">
        <v>0</v>
      </c>
      <c r="BX138" s="253" t="n">
        <v>0</v>
      </c>
      <c r="BY138" s="254">
        <f>0</f>
        <v>0</v>
      </c>
      <c r="BZ138" s="254">
        <f>0</f>
        <v>0</v>
      </c>
      <c r="CA138" s="254">
        <f>SUM(BW138:BZ138)</f>
        <v>0</v>
      </c>
      <c r="CB138" s="254">
        <f>0</f>
        <v>0</v>
      </c>
      <c r="CC138" s="254">
        <f>0</f>
        <v>0</v>
      </c>
      <c r="CD138" s="254">
        <f>0</f>
        <v>0</v>
      </c>
      <c r="CE138" s="254">
        <f>0</f>
        <v>0</v>
      </c>
      <c r="CF138" s="19" t="n"/>
    </row>
    <row r="139" ht="15" customHeight="1" s="251">
      <c r="B139" s="16" t="inlineStr">
        <is>
          <t>Total costs &amp; expenses</t>
        </is>
      </c>
      <c r="C139" s="261">
        <f>IF(ISNUMBER(C133),C133+C135+C136+C137+C138,"")</f>
        <v>7054.921</v>
      </c>
      <c r="D139" s="261">
        <f>IF(ISNUMBER(D133),D133+D135+D136+D137+D138,"")</f>
        <v>11509.586</v>
      </c>
      <c r="E139" s="261">
        <f>IF(ISNUMBER(E133),E133+E135+E136+E137+E138,"")</f>
        <v>15163.581</v>
      </c>
      <c r="F139" s="261">
        <f>IF(ISNUMBER(F133),F133+F135+F136+F137+F138,"")</f>
        <v>15338.377</v>
      </c>
      <c r="G139" s="261">
        <f>IF(ISNUMBER(G133),G133+G135+G136+G137+G138,"")</f>
        <v>18940</v>
      </c>
      <c r="H139" s="261">
        <f>IF(ISNUMBER(H133),H133+H135+H136+H137+H138,"")</f>
        <v>26163</v>
      </c>
      <c r="I139" s="261">
        <f>IF(ISNUMBER(I133),I133+I135+I136+I137+I138,"")</f>
        <v>37415</v>
      </c>
      <c r="J139" s="261">
        <f>IF(ISNUMBER(J133),J133+J135+J136+J137+J138,"")</f>
        <v>10492</v>
      </c>
      <c r="K139" s="261">
        <f>IF(ISNUMBER(K133),K133+K135+K136+K137+K138,"")</f>
        <v>10982</v>
      </c>
      <c r="L139" s="261">
        <f>IF(ISNUMBER(L133),L133+L135+L136+L137+L138,"")</f>
        <v>11449</v>
      </c>
      <c r="M139" s="261">
        <f>IF(ISNUMBER(M133),M133+M135+M136+M137+M138,"")</f>
        <v>12936</v>
      </c>
      <c r="N139" s="261">
        <f>IF(ISNUMBER(N133),N133+N135+N136+N137+N138,"")</f>
        <v>45859</v>
      </c>
      <c r="O139" s="261">
        <f>IF(ISNUMBER(O133),O133+O135+O136+O137+O138,"")</f>
        <v>11305</v>
      </c>
      <c r="P139" s="261">
        <f>IF(ISNUMBER(P133),P133+P135+P136+P137+P138,"")</f>
        <v>11697</v>
      </c>
      <c r="Q139" s="261">
        <f>IF(ISNUMBER(Q133),Q133+Q135+Q136+Q137+Q138,"")</f>
        <v>12799</v>
      </c>
      <c r="R139" s="261">
        <f>IF(ISNUMBER(R133),R133+R135+R136+R137+R138,"")</f>
        <v>13704</v>
      </c>
      <c r="S139" s="261">
        <f>IF(ISNUMBER(S133),S133+S135+S136+S137+S138,"")</f>
        <v>49505</v>
      </c>
      <c r="T139" s="261">
        <f>IF(ISNUMBER(T133),T133+T135+T136+T137+T138,"")</f>
        <v>12811</v>
      </c>
      <c r="U139" s="261">
        <f>IF(ISNUMBER(U133),U133+U135+U136+U137+U138,"")</f>
        <v>12902</v>
      </c>
      <c r="V139" s="261">
        <f>IF(ISNUMBER(V133),V133+V135+V136+V137+V138,"")</f>
        <v>13967</v>
      </c>
      <c r="W139" s="261">
        <f>IF(ISNUMBER(W133),W133+W135+W136+W137+W138,"")</f>
        <v>15949</v>
      </c>
      <c r="X139" s="261">
        <f>IF(ISNUMBER(X133),X133+X135+X136+X137+X138,"")</f>
        <v>55629</v>
      </c>
      <c r="Y139" s="261">
        <f>IF(ISNUMBER(Y133),Y133+Y135+Y136+Y137+Y138,"")</f>
        <v>14915</v>
      </c>
      <c r="Z139" s="261">
        <f>IF(ISNUMBER(Z133),Z133+Z135+Z136+Z137+Z138,"")</f>
        <v>15532</v>
      </c>
      <c r="AA139" s="261">
        <f>IF(ISNUMBER(AA133),AA133+AA135+AA136+AA137+AA138,"")</f>
        <v>16684</v>
      </c>
      <c r="AB139" s="261">
        <f>IF(ISNUMBER(AB133),AB133+AB135+AB136+AB137+AB138,"")</f>
        <v>19425</v>
      </c>
      <c r="AC139" s="261">
        <f>IF(ISNUMBER(AC133),AC133+AC135+AC136+AC137+AC138,"")</f>
        <v>66556</v>
      </c>
      <c r="AD139" s="261">
        <f>IF(ISNUMBER(AD133),AD133+AD135+AD136+AD137+AD138,"")</f>
        <v>18182</v>
      </c>
      <c r="AE139" s="261">
        <f>IF(ISNUMBER(AE133),AE133+AE135+AE136+AE137+AE138,"")</f>
        <v>21878</v>
      </c>
      <c r="AF139" s="261">
        <f>IF(ISNUMBER(AF133),AF133+AF135+AF136+AF137+AF138,"")</f>
        <v>19990</v>
      </c>
      <c r="AG139" s="261">
        <f>IF(ISNUMBER(AG133),AG133+AG135+AG136+AG137+AG138,"")</f>
        <v>24659</v>
      </c>
      <c r="AH139" s="261">
        <f>IF(ISNUMBER(AH133),AH133+AH135+AH136+AH137+AH138,"")</f>
        <v>84709</v>
      </c>
      <c r="AI139" s="261">
        <f>IF(ISNUMBER(AI133),AI133+AI135+AI136+AI137+AI138,"")</f>
        <v>24145</v>
      </c>
      <c r="AJ139" s="261">
        <f>IF(ISNUMBER(AJ133),AJ133+AJ135+AJ136+AJ137+AJ138,"")</f>
        <v>29850</v>
      </c>
      <c r="AK139" s="261">
        <f>IF(ISNUMBER(AK133),AK133+AK135+AK136+AK137+AK138,"")</f>
        <v>25430</v>
      </c>
      <c r="AL139" s="261">
        <f>IF(ISNUMBER(AL133),AL133+AL135+AL136+AL137+AL138,"")</f>
        <v>31073</v>
      </c>
      <c r="AM139" s="261">
        <f>IF(ISNUMBER(AM133),AM133+AM135+AM136+AM137+AM138,"")</f>
        <v>110498</v>
      </c>
      <c r="AN139" s="261">
        <f>IF(ISNUMBER(AN133),AN133+AN135+AN136+AN137+AN138,"")</f>
        <v>29731</v>
      </c>
      <c r="AO139" s="261">
        <f>IF(ISNUMBER(AO133),AO133+AO135+AO136+AO137+AO138,"")</f>
        <v>29764</v>
      </c>
      <c r="AP139" s="261">
        <f>IF(ISNUMBER(AP133),AP133+AP135+AP136+AP137+AP138,"")</f>
        <v>31322</v>
      </c>
      <c r="AQ139" s="261">
        <f>IF(ISNUMBER(AQ133),AQ133+AQ135+AQ136+AQ137+AQ138,"")</f>
        <v>36809</v>
      </c>
      <c r="AR139" s="261">
        <f>IF(ISNUMBER(AR133),AR133+AR135+AR136+AR137+AR138,"")</f>
        <v>127626</v>
      </c>
      <c r="AS139" s="261">
        <f>IF(ISNUMBER(AS133),AS133+AS135+AS136+AS137+AS138,"")</f>
        <v>33182</v>
      </c>
      <c r="AT139" s="261">
        <f>IF(ISNUMBER(AT133),AT133+AT135+AT136+AT137+AT138,"")</f>
        <v>31914</v>
      </c>
      <c r="AU139" s="261">
        <f>IF(ISNUMBER(AU133),AU133+AU135+AU136+AU137+AU138,"")</f>
        <v>34960</v>
      </c>
      <c r="AV139" s="261">
        <f>IF(ISNUMBER(AV133),AV133+AV135+AV136+AV137+AV138,"")</f>
        <v>41247</v>
      </c>
      <c r="AW139" s="261">
        <f>IF(ISNUMBER(AW133),AW133+AW135+AW136+AW137+AW138,"")</f>
        <v>141303</v>
      </c>
      <c r="AX139" s="261">
        <f>IF(ISNUMBER(AX133),AX133+AX135+AX136+AX137+AX138,"")</f>
        <v>38877</v>
      </c>
      <c r="AY139" s="261">
        <f>IF(ISNUMBER(AY133),AY133+AY135+AY136+AY137+AY138,"")</f>
        <v>42519</v>
      </c>
      <c r="AZ139" s="261">
        <f>IF(ISNUMBER(AZ133),AZ133+AZ135+AZ136+AZ137+AZ138,"")</f>
        <v>44087</v>
      </c>
      <c r="BA139" s="261">
        <f>IF(ISNUMBER(BA133),BA133+BA135+BA136+BA137+BA138,"")</f>
        <v>53440</v>
      </c>
      <c r="BB139" s="261">
        <f>IF(ISNUMBER(BB133),BB133+BB135+BB136+BB137+BB138,"")</f>
        <v>178923</v>
      </c>
      <c r="BC139" s="261">
        <f>IF(ISNUMBER(BC133),BC133+BC135+BC136+BC137+BC138,"")</f>
        <v>47917</v>
      </c>
      <c r="BD139" s="261">
        <f>IF(ISNUMBER(BD133),BD133+BD135+BD136+BD137+BD138,"")</f>
        <v>50232</v>
      </c>
      <c r="BE139" s="261">
        <f>IF(ISNUMBER(BE133),BE133+BE135+BE136+BE137+BE138,"")</f>
        <v>51957</v>
      </c>
      <c r="BF139" s="261">
        <f>IF(ISNUMBER(BF133),BF133+BF135+BF136+BF137+BF138,"")</f>
        <v>57888</v>
      </c>
      <c r="BG139" s="261">
        <f>IF(ISNUMBER(BG133),BG133+BG135+BG136+BG137+BG138,"")</f>
        <v>207994</v>
      </c>
      <c r="BH139" s="261">
        <f>IF(ISNUMBER(BH133),BH133+BH135+BH136+BH137+BH138,"")</f>
        <v>52372</v>
      </c>
      <c r="BI139" s="261">
        <f>IF(ISNUMBER(BI133),BI133+BI135+BI136+BI137+BI138,"")</f>
        <v>52766</v>
      </c>
      <c r="BJ139" s="261">
        <f>IF(ISNUMBER(BJ133),BJ133+BJ135+BJ136+BJ137+BJ138,"")</f>
        <v>55350</v>
      </c>
      <c r="BK139" s="261">
        <f>IF(ISNUMBER(BK133),BK133+BK135+BK136+BK137+BK138,"")</f>
        <v>62613</v>
      </c>
      <c r="BL139" s="261">
        <f>IF(ISNUMBER(BL133),BL133+BL135+BL136+BL137+BL138,"")</f>
        <v>223101</v>
      </c>
      <c r="BM139" s="261">
        <f>IF(ISNUMBER(BM133),BM133+BM135+BM136+BM137+BM138,"")</f>
        <v>55067</v>
      </c>
      <c r="BN139" s="261">
        <f>IF(ISNUMBER(BN133),BN133+BN135+BN136+BN137+BN138,"")</f>
        <v>57317</v>
      </c>
      <c r="BO139" s="261">
        <f>IF(ISNUMBER(BO133),BO133+BO135+BO136+BO137+BO138,"")</f>
        <v>59747</v>
      </c>
      <c r="BP139" s="261">
        <f>IF(ISNUMBER(BP133),BP133+BP135+BP136+BP137+BP138,"")</f>
        <v>65497</v>
      </c>
      <c r="BQ139" s="261">
        <f>IF(ISNUMBER(BQ133),BQ133+BQ135+BQ136+BQ137+BQ138,"")</f>
        <v>237628</v>
      </c>
      <c r="BR139" s="261">
        <f>IF(ISNUMBER(BR133),BR133+BR135+BR136+BR137+BR138,"")</f>
        <v>59628</v>
      </c>
      <c r="BS139" s="261">
        <f>IF(ISNUMBER(BS133),BS133+BS135+BS136+BS137+BS138,"")</f>
        <v>65157</v>
      </c>
      <c r="BT139" s="261">
        <f>IF(ISNUMBER(BT133),BT133+BT135+BT136+BT137+BT138,"")</f>
        <v>71118</v>
      </c>
      <c r="BU139" s="261">
        <f>IF(ISNUMBER(BU133),BU133+BU135+BU136+BU137+BU138,"")</f>
        <v>77895</v>
      </c>
      <c r="BV139" s="261">
        <f>IF(ISNUMBER(BV133),BV133+BV135+BV136+BV137+BV138,"")</f>
        <v>273797</v>
      </c>
      <c r="BW139" s="261">
        <f>IF(ISNUMBER(BW133),BW133+BW135+BW136+BW137+BW138,"")</f>
        <v>70200</v>
      </c>
      <c r="BX139" s="261">
        <f>IF(ISNUMBER(BX133),BX133+BX135+BX136+BX137+BX138,"")</f>
        <v>79026</v>
      </c>
      <c r="BY139" s="262">
        <f>IF(ISNUMBER(BY133),BY133+BY135+BY136+BY137+BY138,"")</f>
        <v>85218.761669812</v>
      </c>
      <c r="BZ139" s="262">
        <f>IF(ISNUMBER(BZ133),BZ133+BZ135+BZ136+BZ137+BZ138,"")</f>
        <v>90891.6438501044</v>
      </c>
      <c r="CA139" s="262">
        <f>IF(ISNUMBER(CA133),CA133+CA135+CA136+CA137+CA138,"")</f>
        <v>325336.405519916</v>
      </c>
      <c r="CB139" s="262">
        <f>IF(ISNUMBER(CB133),CB133+CB135+CB136+CB137+CB138,"")</f>
        <v>390240.861008582</v>
      </c>
      <c r="CC139" s="262">
        <f>IF(ISNUMBER(CC133),CC133+CC135+CC136+CC137+CC138,"")</f>
        <v>458540.356904289</v>
      </c>
      <c r="CD139" s="262">
        <f>IF(ISNUMBER(CD133),CD133+CD135+CD136+CD137+CD138,"")</f>
        <v>523234.925226958</v>
      </c>
      <c r="CE139" s="262">
        <f>IF(ISNUMBER(CE133),CE133+CE135+CE136+CE137+CE138,"")</f>
        <v>587041.689997726</v>
      </c>
      <c r="CF139" s="153" t="n"/>
    </row>
    <row r="140" ht="15" customHeight="1" s="251">
      <c r="B140" s="55" t="inlineStr">
        <is>
          <t>Income from operations</t>
        </is>
      </c>
      <c r="C140" s="260">
        <f>IF(ISNUMBER(C139),C132-C139,"")</f>
        <v>3549.996</v>
      </c>
      <c r="D140" s="260">
        <f>IF(ISNUMBER(D139),D132-D139,"")</f>
        <v>5084.4</v>
      </c>
      <c r="E140" s="260">
        <f>IF(ISNUMBER(E139),E132-E139,"")</f>
        <v>6631.969</v>
      </c>
      <c r="F140" s="260">
        <f>IF(ISNUMBER(F139),F132-F139,"")</f>
        <v>8312.186</v>
      </c>
      <c r="G140" s="260">
        <f>IF(ISNUMBER(G139),G132-G139,"")</f>
        <v>10381</v>
      </c>
      <c r="H140" s="260">
        <f>IF(ISNUMBER(H139),H132-H139,"")</f>
        <v>11742</v>
      </c>
      <c r="I140" s="260">
        <f>IF(ISNUMBER(I139),I132-I139,"")</f>
        <v>12760</v>
      </c>
      <c r="J140" s="260">
        <f>IF(ISNUMBER(J139),J132-J139,"")</f>
        <v>3477</v>
      </c>
      <c r="K140" s="260">
        <f>IF(ISNUMBER(K139),K132-K139,"")</f>
        <v>3123</v>
      </c>
      <c r="L140" s="260">
        <f>IF(ISNUMBER(L139),L132-L139,"")</f>
        <v>3444</v>
      </c>
      <c r="M140" s="260">
        <f>IF(ISNUMBER(M139),M132-M139,"")</f>
        <v>3922</v>
      </c>
      <c r="N140" s="260">
        <f>IF(ISNUMBER(N139),N132-N139,"")</f>
        <v>13966</v>
      </c>
      <c r="O140" s="260">
        <f>IF(ISNUMBER(O139),O132-O139,"")</f>
        <v>4115</v>
      </c>
      <c r="P140" s="260">
        <f>IF(ISNUMBER(P139),P132-P139,"")</f>
        <v>4258</v>
      </c>
      <c r="Q140" s="260">
        <f>IF(ISNUMBER(Q139),Q132-Q139,"")</f>
        <v>3724</v>
      </c>
      <c r="R140" s="260">
        <f>IF(ISNUMBER(R139),R132-R139,"")</f>
        <v>4399</v>
      </c>
      <c r="S140" s="260">
        <f>IF(ISNUMBER(S139),S132-S139,"")</f>
        <v>16496</v>
      </c>
      <c r="T140" s="260">
        <f>IF(ISNUMBER(T139),T132-T139,"")</f>
        <v>4447</v>
      </c>
      <c r="U140" s="260">
        <f>IF(ISNUMBER(U139),U132-U139,"")</f>
        <v>4825</v>
      </c>
      <c r="V140" s="260">
        <f>IF(ISNUMBER(V139),V132-V139,"")</f>
        <v>4708</v>
      </c>
      <c r="W140" s="260">
        <f>IF(ISNUMBER(W139),W132-W139,"")</f>
        <v>5380</v>
      </c>
      <c r="X140" s="260">
        <f>IF(ISNUMBER(X139),X132-X139,"")</f>
        <v>19360</v>
      </c>
      <c r="Y140" s="260">
        <f>IF(ISNUMBER(Y139),Y132-Y139,"")</f>
        <v>5342</v>
      </c>
      <c r="Z140" s="260">
        <f>IF(ISNUMBER(Z139),Z132-Z139,"")</f>
        <v>5968</v>
      </c>
      <c r="AA140" s="260">
        <f>IF(ISNUMBER(AA139),AA132-AA139,"")</f>
        <v>5767</v>
      </c>
      <c r="AB140" s="260">
        <f>IF(ISNUMBER(AB139),AB132-AB139,"")</f>
        <v>6639</v>
      </c>
      <c r="AC140" s="260">
        <f>IF(ISNUMBER(AC139),AC132-AC139,"")</f>
        <v>23716</v>
      </c>
      <c r="AD140" s="260">
        <f>IF(ISNUMBER(AD139),AD132-AD139,"")</f>
        <v>6568</v>
      </c>
      <c r="AE140" s="260">
        <f>IF(ISNUMBER(AE139),AE132-AE139,"")</f>
        <v>4132</v>
      </c>
      <c r="AF140" s="260">
        <f>IF(ISNUMBER(AF139),AF132-AF139,"")</f>
        <v>7782</v>
      </c>
      <c r="AG140" s="260">
        <f>IF(ISNUMBER(AG139),AG132-AG139,"")</f>
        <v>7664</v>
      </c>
      <c r="AH140" s="260">
        <f>IF(ISNUMBER(AH139),AH132-AH139,"")</f>
        <v>26146</v>
      </c>
      <c r="AI140" s="260">
        <f>IF(ISNUMBER(AI139),AI132-AI139,"")</f>
        <v>7001</v>
      </c>
      <c r="AJ140" s="260">
        <f>IF(ISNUMBER(AJ139),AJ132-AJ139,"")</f>
        <v>2807</v>
      </c>
      <c r="AK140" s="260">
        <f>IF(ISNUMBER(AK139),AK132-AK139,"")</f>
        <v>8310</v>
      </c>
      <c r="AL140" s="260">
        <f>IF(ISNUMBER(AL139),AL132-AL139,"")</f>
        <v>8203</v>
      </c>
      <c r="AM140" s="260">
        <f>IF(ISNUMBER(AM139),AM132-AM139,"")</f>
        <v>26321</v>
      </c>
      <c r="AN140" s="260">
        <f>IF(ISNUMBER(AN139),AN132-AN139,"")</f>
        <v>6608</v>
      </c>
      <c r="AO140" s="260">
        <f>IF(ISNUMBER(AO139),AO132-AO139,"")</f>
        <v>9180</v>
      </c>
      <c r="AP140" s="260">
        <f>IF(ISNUMBER(AP139),AP132-AP139,"")</f>
        <v>9177</v>
      </c>
      <c r="AQ140" s="260">
        <f>IF(ISNUMBER(AQ139),AQ132-AQ139,"")</f>
        <v>9266</v>
      </c>
      <c r="AR140" s="260">
        <f>IF(ISNUMBER(AR139),AR132-AR139,"")</f>
        <v>34231</v>
      </c>
      <c r="AS140" s="260">
        <f>IF(ISNUMBER(AS139),AS132-AS139,"")</f>
        <v>7977</v>
      </c>
      <c r="AT140" s="260">
        <f>IF(ISNUMBER(AT139),AT132-AT139,"")</f>
        <v>6383</v>
      </c>
      <c r="AU140" s="260">
        <f>IF(ISNUMBER(AU139),AU132-AU139,"")</f>
        <v>11213</v>
      </c>
      <c r="AV140" s="260">
        <f>IF(ISNUMBER(AV139),AV132-AV139,"")</f>
        <v>15651</v>
      </c>
      <c r="AW140" s="260">
        <f>IF(ISNUMBER(AW139),AW132-AW139,"")</f>
        <v>41224</v>
      </c>
      <c r="AX140" s="260">
        <f>IF(ISNUMBER(AX139),AX132-AX139,"")</f>
        <v>16437</v>
      </c>
      <c r="AY140" s="260">
        <f>IF(ISNUMBER(AY139),AY132-AY139,"")</f>
        <v>19361</v>
      </c>
      <c r="AZ140" s="260">
        <f>IF(ISNUMBER(AZ139),AZ132-AZ139,"")</f>
        <v>21031</v>
      </c>
      <c r="BA140" s="260">
        <f>IF(ISNUMBER(BA139),BA132-BA139,"")</f>
        <v>21885</v>
      </c>
      <c r="BB140" s="260">
        <f>IF(ISNUMBER(BB139),BB132-BB139,"")</f>
        <v>78714</v>
      </c>
      <c r="BC140" s="260">
        <f>IF(ISNUMBER(BC139),BC132-BC139,"")</f>
        <v>20094</v>
      </c>
      <c r="BD140" s="260">
        <f>IF(ISNUMBER(BD139),BD132-BD139,"")</f>
        <v>19453</v>
      </c>
      <c r="BE140" s="260">
        <f>IF(ISNUMBER(BE139),BE132-BE139,"")</f>
        <v>17135</v>
      </c>
      <c r="BF140" s="260">
        <f>IF(ISNUMBER(BF139),BF132-BF139,"")</f>
        <v>18160</v>
      </c>
      <c r="BG140" s="260">
        <f>IF(ISNUMBER(BG139),BG132-BG139,"")</f>
        <v>74842</v>
      </c>
      <c r="BH140" s="260">
        <f>IF(ISNUMBER(BH139),BH132-BH139,"")</f>
        <v>17415</v>
      </c>
      <c r="BI140" s="260">
        <f>IF(ISNUMBER(BI139),BI132-BI139,"")</f>
        <v>21838</v>
      </c>
      <c r="BJ140" s="260">
        <f>IF(ISNUMBER(BJ139),BJ132-BJ139,"")</f>
        <v>21343</v>
      </c>
      <c r="BK140" s="260">
        <f>IF(ISNUMBER(BK139),BK132-BK139,"")</f>
        <v>23697</v>
      </c>
      <c r="BL140" s="260">
        <f>IF(ISNUMBER(BL139),BL132-BL139,"")</f>
        <v>84293</v>
      </c>
      <c r="BM140" s="260">
        <f>IF(ISNUMBER(BM139),BM132-BM139,"")</f>
        <v>25472</v>
      </c>
      <c r="BN140" s="260">
        <f>IF(ISNUMBER(BN139),BN132-BN139,"")</f>
        <v>27425</v>
      </c>
      <c r="BO140" s="260">
        <f>IF(ISNUMBER(BO139),BO132-BO139,"")</f>
        <v>28521</v>
      </c>
      <c r="BP140" s="260">
        <f>IF(ISNUMBER(BP139),BP132-BP139,"")</f>
        <v>30972</v>
      </c>
      <c r="BQ140" s="260">
        <f>IF(ISNUMBER(BQ139),BQ132-BQ139,"")</f>
        <v>112390</v>
      </c>
      <c r="BR140" s="260">
        <f>IF(ISNUMBER(BR139),BR132-BR139,"")</f>
        <v>30606</v>
      </c>
      <c r="BS140" s="260">
        <f>IF(ISNUMBER(BS139),BS132-BS139,"")</f>
        <v>31271</v>
      </c>
      <c r="BT140" s="260">
        <f>IF(ISNUMBER(BT139),BT132-BT139,"")</f>
        <v>31228</v>
      </c>
      <c r="BU140" s="260">
        <f>IF(ISNUMBER(BU139),BU132-BU139,"")</f>
        <v>35934</v>
      </c>
      <c r="BV140" s="260">
        <f>IF(ISNUMBER(BV139),BV132-BV139,"")</f>
        <v>129039</v>
      </c>
      <c r="BW140" s="260">
        <f>IF(ISNUMBER(BW139),BW132-BW139,"")</f>
        <v>39696</v>
      </c>
      <c r="BX140" s="260">
        <f>IF(ISNUMBER(BX139),BX132-BX139,"")</f>
        <v>40770</v>
      </c>
      <c r="BY140" s="260">
        <f>BY95</f>
        <v>41781.7884184666</v>
      </c>
      <c r="BZ140" s="260">
        <f>BZ95</f>
        <v>50691.0437823207</v>
      </c>
      <c r="CA140" s="260">
        <f>CA95</f>
        <v>172938.832200787</v>
      </c>
      <c r="CB140" s="260">
        <f>CB95</f>
        <v>194643.240084932</v>
      </c>
      <c r="CC140" s="260">
        <f>CC95</f>
        <v>212421.8802008</v>
      </c>
      <c r="CD140" s="260">
        <f>CD95</f>
        <v>234774.621414897</v>
      </c>
      <c r="CE140" s="260">
        <f>CE95</f>
        <v>256717.05000939</v>
      </c>
      <c r="CF140" s="153" t="n"/>
      <c r="CH140" s="20">
        <f>IFERROR((CE140/BV140)^(1/5)-1,"n/m")</f>
        <v>0.14748428088125</v>
      </c>
      <c r="CI140" s="20">
        <f>IFERROR((BV140/AW140)^(1/5)-1,"n/m")</f>
        <v>0.256360205369945</v>
      </c>
      <c r="CJ140" s="20">
        <f>IFERROR((BV140/X140)^(1/10)-1,"n/m")</f>
        <v>0.208875465641037</v>
      </c>
      <c r="CK140" s="20">
        <f>IFERROR((BV140/C140)^(1/19)-1,"n/m")</f>
        <v>0.208178817374566</v>
      </c>
    </row>
    <row r="141" ht="15" customHeight="1" s="251">
      <c r="B141" s="156" t="inlineStr">
        <is>
          <t xml:space="preserve">  Memo: income from operations as reported</t>
        </is>
      </c>
      <c r="C141" s="253" t="n">
        <v>3549.996</v>
      </c>
      <c r="D141" s="253" t="n">
        <v>5084.4</v>
      </c>
      <c r="E141" s="253" t="n">
        <v>6631.969</v>
      </c>
      <c r="F141" s="253" t="n">
        <v>8312.186</v>
      </c>
      <c r="G141" s="253" t="n">
        <v>10381</v>
      </c>
      <c r="H141" s="253" t="n">
        <v>11742</v>
      </c>
      <c r="I141" s="253" t="n">
        <v>12760</v>
      </c>
      <c r="J141" s="253" t="n">
        <v>3477</v>
      </c>
      <c r="K141" s="253" t="n">
        <v>3123</v>
      </c>
      <c r="L141" s="253" t="n">
        <v>3444</v>
      </c>
      <c r="M141" s="253" t="n">
        <v>3922</v>
      </c>
      <c r="N141" s="253" t="n">
        <v>13966</v>
      </c>
      <c r="O141" s="253" t="n">
        <v>4115</v>
      </c>
      <c r="P141" s="253" t="n">
        <v>4258</v>
      </c>
      <c r="Q141" s="253" t="n">
        <v>3724</v>
      </c>
      <c r="R141" s="253" t="n">
        <v>4399</v>
      </c>
      <c r="S141" s="253" t="n">
        <v>16496</v>
      </c>
      <c r="T141" s="253" t="n">
        <v>4447</v>
      </c>
      <c r="U141" s="253" t="n">
        <v>4825</v>
      </c>
      <c r="V141" s="253" t="n">
        <v>4708</v>
      </c>
      <c r="W141" s="253" t="n">
        <v>5380</v>
      </c>
      <c r="X141" s="253" t="n">
        <v>19360</v>
      </c>
      <c r="Y141" s="253" t="n">
        <v>5342</v>
      </c>
      <c r="Z141" s="253" t="n">
        <v>5968</v>
      </c>
      <c r="AA141" s="253" t="n">
        <v>5767</v>
      </c>
      <c r="AB141" s="253" t="n">
        <v>6639</v>
      </c>
      <c r="AC141" s="253" t="n">
        <v>23716</v>
      </c>
      <c r="AD141" s="253" t="n">
        <v>6568</v>
      </c>
      <c r="AE141" s="253" t="n">
        <v>4132</v>
      </c>
      <c r="AF141" s="253" t="n">
        <v>7782</v>
      </c>
      <c r="AG141" s="253" t="n">
        <v>7664</v>
      </c>
      <c r="AH141" s="253" t="n">
        <v>26146</v>
      </c>
      <c r="AI141" s="253" t="n">
        <v>7001</v>
      </c>
      <c r="AJ141" s="253" t="n">
        <v>2807</v>
      </c>
      <c r="AK141" s="253" t="n">
        <v>8310</v>
      </c>
      <c r="AL141" s="253" t="n">
        <v>8203</v>
      </c>
      <c r="AM141" s="253" t="n">
        <v>26321</v>
      </c>
      <c r="AN141" s="253" t="n">
        <v>6608</v>
      </c>
      <c r="AO141" s="253" t="n">
        <v>9180</v>
      </c>
      <c r="AP141" s="253" t="n">
        <v>9177</v>
      </c>
      <c r="AQ141" s="253" t="n">
        <v>9266</v>
      </c>
      <c r="AR141" s="253" t="n">
        <v>34231</v>
      </c>
      <c r="AS141" s="253" t="n">
        <v>7977</v>
      </c>
      <c r="AT141" s="253" t="n">
        <v>6383</v>
      </c>
      <c r="AU141" s="253" t="n">
        <v>11213</v>
      </c>
      <c r="AV141" s="253" t="n">
        <v>15651</v>
      </c>
      <c r="AW141" s="253" t="n">
        <v>41224</v>
      </c>
      <c r="AX141" s="253" t="n">
        <v>16437</v>
      </c>
      <c r="AY141" s="253" t="n">
        <v>19361</v>
      </c>
      <c r="AZ141" s="253" t="n">
        <v>21031</v>
      </c>
      <c r="BA141" s="253" t="n">
        <v>21885</v>
      </c>
      <c r="BB141" s="253" t="n">
        <v>78714</v>
      </c>
      <c r="BC141" s="253" t="n">
        <v>20094</v>
      </c>
      <c r="BD141" s="253" t="n">
        <v>19453</v>
      </c>
      <c r="BE141" s="253" t="n">
        <v>17135</v>
      </c>
      <c r="BF141" s="253" t="n">
        <v>18160</v>
      </c>
      <c r="BG141" s="253" t="n">
        <v>74842</v>
      </c>
      <c r="BH141" s="253" t="n">
        <v>17415</v>
      </c>
      <c r="BI141" s="253" t="n">
        <v>21838</v>
      </c>
      <c r="BJ141" s="253" t="n">
        <v>21343</v>
      </c>
      <c r="BK141" s="253" t="n">
        <v>23697</v>
      </c>
      <c r="BL141" s="253" t="n">
        <v>84293</v>
      </c>
      <c r="BM141" s="253" t="n">
        <v>25472</v>
      </c>
      <c r="BN141" s="253" t="n">
        <v>27425</v>
      </c>
      <c r="BO141" s="253" t="n">
        <v>28521</v>
      </c>
      <c r="BP141" s="253" t="n">
        <v>30972</v>
      </c>
      <c r="BQ141" s="253" t="n">
        <v>112390</v>
      </c>
      <c r="BR141" s="253" t="n">
        <v>30606</v>
      </c>
      <c r="BS141" s="253" t="n">
        <v>31271</v>
      </c>
      <c r="BT141" s="253" t="n">
        <v>31228</v>
      </c>
      <c r="BU141" s="253" t="n">
        <v>35934</v>
      </c>
      <c r="BV141" s="253" t="n">
        <v>129039</v>
      </c>
      <c r="BW141" s="253" t="n">
        <v>39696</v>
      </c>
      <c r="BX141" s="253" t="n">
        <v>40770</v>
      </c>
      <c r="BY141" s="153" t="n"/>
      <c r="BZ141" s="153" t="n"/>
      <c r="CA141" s="153" t="n"/>
      <c r="CB141" s="153" t="n"/>
      <c r="CC141" s="153" t="n"/>
      <c r="CD141" s="153" t="n"/>
      <c r="CE141" s="153" t="n"/>
      <c r="CF141" s="153" t="n"/>
    </row>
    <row r="142" ht="15" customHeight="1" s="251">
      <c r="B142" s="57" t="inlineStr">
        <is>
          <t xml:space="preserve">  Check: model vs reported operating income (should be 0)</t>
        </is>
      </c>
      <c r="C142" s="211">
        <f>IF(ISNUMBER(C141),IF(ABS(C140-C141)&lt;=1,0,ROUND(C140-C141,0)),"")</f>
        <v>0</v>
      </c>
      <c r="D142" s="211">
        <f>IF(ISNUMBER(D141),IF(ABS(D140-D141)&lt;=1,0,ROUND(D140-D141,0)),"")</f>
        <v>0</v>
      </c>
      <c r="E142" s="211">
        <f>IF(ISNUMBER(E141),IF(ABS(E140-E141)&lt;=1,0,ROUND(E140-E141,0)),"")</f>
        <v>0</v>
      </c>
      <c r="F142" s="211">
        <f>IF(ISNUMBER(F141),IF(ABS(F140-F141)&lt;=1,0,ROUND(F140-F141,0)),"")</f>
        <v>0</v>
      </c>
      <c r="G142" s="211">
        <f>IF(ISNUMBER(G141),IF(ABS(G140-G141)&lt;=1,0,ROUND(G140-G141,0)),"")</f>
        <v>0</v>
      </c>
      <c r="H142" s="211">
        <f>IF(ISNUMBER(H141),IF(ABS(H140-H141)&lt;=1,0,ROUND(H140-H141,0)),"")</f>
        <v>0</v>
      </c>
      <c r="I142" s="211">
        <f>IF(ISNUMBER(I141),IF(ABS(I140-I141)&lt;=1,0,ROUND(I140-I141,0)),"")</f>
        <v>0</v>
      </c>
      <c r="J142" s="211">
        <f>IF(ISNUMBER(J141),IF(ABS(J140-J141)&lt;=1,0,ROUND(J140-J141,0)),"")</f>
        <v>0</v>
      </c>
      <c r="K142" s="211">
        <f>IF(ISNUMBER(K141),IF(ABS(K140-K141)&lt;=1,0,ROUND(K140-K141,0)),"")</f>
        <v>0</v>
      </c>
      <c r="L142" s="211">
        <f>IF(ISNUMBER(L141),IF(ABS(L140-L141)&lt;=1,0,ROUND(L140-L141,0)),"")</f>
        <v>0</v>
      </c>
      <c r="M142" s="211">
        <f>IF(ISNUMBER(M141),IF(ABS(M140-M141)&lt;=1,0,ROUND(M140-M141,0)),"")</f>
        <v>0</v>
      </c>
      <c r="N142" s="211">
        <f>IF(ISNUMBER(N141),IF(ABS(N140-N141)&lt;=1,0,ROUND(N140-N141,0)),"")</f>
        <v>0</v>
      </c>
      <c r="O142" s="211">
        <f>IF(ISNUMBER(O141),IF(ABS(O140-O141)&lt;=1,0,ROUND(O140-O141,0)),"")</f>
        <v>0</v>
      </c>
      <c r="P142" s="211">
        <f>IF(ISNUMBER(P141),IF(ABS(P140-P141)&lt;=1,0,ROUND(P140-P141,0)),"")</f>
        <v>0</v>
      </c>
      <c r="Q142" s="211">
        <f>IF(ISNUMBER(Q141),IF(ABS(Q140-Q141)&lt;=1,0,ROUND(Q140-Q141,0)),"")</f>
        <v>0</v>
      </c>
      <c r="R142" s="211">
        <f>IF(ISNUMBER(R141),IF(ABS(R140-R141)&lt;=1,0,ROUND(R140-R141,0)),"")</f>
        <v>0</v>
      </c>
      <c r="S142" s="211">
        <f>IF(ISNUMBER(S141),IF(ABS(S140-S141)&lt;=1,0,ROUND(S140-S141,0)),"")</f>
        <v>0</v>
      </c>
      <c r="T142" s="211">
        <f>IF(ISNUMBER(T141),IF(ABS(T140-T141)&lt;=1,0,ROUND(T140-T141,0)),"")</f>
        <v>0</v>
      </c>
      <c r="U142" s="211">
        <f>IF(ISNUMBER(U141),IF(ABS(U140-U141)&lt;=1,0,ROUND(U140-U141,0)),"")</f>
        <v>0</v>
      </c>
      <c r="V142" s="211">
        <f>IF(ISNUMBER(V141),IF(ABS(V140-V141)&lt;=1,0,ROUND(V140-V141,0)),"")</f>
        <v>0</v>
      </c>
      <c r="W142" s="211">
        <f>IF(ISNUMBER(W141),IF(ABS(W140-W141)&lt;=1,0,ROUND(W140-W141,0)),"")</f>
        <v>0</v>
      </c>
      <c r="X142" s="211">
        <f>IF(ISNUMBER(X141),IF(ABS(X140-X141)&lt;=1,0,ROUND(X140-X141,0)),"")</f>
        <v>0</v>
      </c>
      <c r="Y142" s="211">
        <f>IF(ISNUMBER(Y141),IF(ABS(Y140-Y141)&lt;=1,0,ROUND(Y140-Y141,0)),"")</f>
        <v>0</v>
      </c>
      <c r="Z142" s="211">
        <f>IF(ISNUMBER(Z141),IF(ABS(Z140-Z141)&lt;=1,0,ROUND(Z140-Z141,0)),"")</f>
        <v>0</v>
      </c>
      <c r="AA142" s="211">
        <f>IF(ISNUMBER(AA141),IF(ABS(AA140-AA141)&lt;=1,0,ROUND(AA140-AA141,0)),"")</f>
        <v>0</v>
      </c>
      <c r="AB142" s="211">
        <f>IF(ISNUMBER(AB141),IF(ABS(AB140-AB141)&lt;=1,0,ROUND(AB140-AB141,0)),"")</f>
        <v>0</v>
      </c>
      <c r="AC142" s="211">
        <f>IF(ISNUMBER(AC141),IF(ABS(AC140-AC141)&lt;=1,0,ROUND(AC140-AC141,0)),"")</f>
        <v>0</v>
      </c>
      <c r="AD142" s="211">
        <f>IF(ISNUMBER(AD141),IF(ABS(AD140-AD141)&lt;=1,0,ROUND(AD140-AD141,0)),"")</f>
        <v>0</v>
      </c>
      <c r="AE142" s="211">
        <f>IF(ISNUMBER(AE141),IF(ABS(AE140-AE141)&lt;=1,0,ROUND(AE140-AE141,0)),"")</f>
        <v>0</v>
      </c>
      <c r="AF142" s="211">
        <f>IF(ISNUMBER(AF141),IF(ABS(AF140-AF141)&lt;=1,0,ROUND(AF140-AF141,0)),"")</f>
        <v>0</v>
      </c>
      <c r="AG142" s="211">
        <f>IF(ISNUMBER(AG141),IF(ABS(AG140-AG141)&lt;=1,0,ROUND(AG140-AG141,0)),"")</f>
        <v>0</v>
      </c>
      <c r="AH142" s="211">
        <f>IF(ISNUMBER(AH141),IF(ABS(AH140-AH141)&lt;=1,0,ROUND(AH140-AH141,0)),"")</f>
        <v>0</v>
      </c>
      <c r="AI142" s="211">
        <f>IF(ISNUMBER(AI141),IF(ABS(AI140-AI141)&lt;=1,0,ROUND(AI140-AI141,0)),"")</f>
        <v>0</v>
      </c>
      <c r="AJ142" s="211">
        <f>IF(ISNUMBER(AJ141),IF(ABS(AJ140-AJ141)&lt;=1,0,ROUND(AJ140-AJ141,0)),"")</f>
        <v>0</v>
      </c>
      <c r="AK142" s="211">
        <f>IF(ISNUMBER(AK141),IF(ABS(AK140-AK141)&lt;=1,0,ROUND(AK140-AK141,0)),"")</f>
        <v>0</v>
      </c>
      <c r="AL142" s="211">
        <f>IF(ISNUMBER(AL141),IF(ABS(AL140-AL141)&lt;=1,0,ROUND(AL140-AL141,0)),"")</f>
        <v>0</v>
      </c>
      <c r="AM142" s="211">
        <f>IF(ISNUMBER(AM141),IF(ABS(AM140-AM141)&lt;=1,0,ROUND(AM140-AM141,0)),"")</f>
        <v>0</v>
      </c>
      <c r="AN142" s="211">
        <f>IF(ISNUMBER(AN141),IF(ABS(AN140-AN141)&lt;=1,0,ROUND(AN140-AN141,0)),"")</f>
        <v>0</v>
      </c>
      <c r="AO142" s="211">
        <f>IF(ISNUMBER(AO141),IF(ABS(AO140-AO141)&lt;=1,0,ROUND(AO140-AO141,0)),"")</f>
        <v>0</v>
      </c>
      <c r="AP142" s="211">
        <f>IF(ISNUMBER(AP141),IF(ABS(AP140-AP141)&lt;=1,0,ROUND(AP140-AP141,0)),"")</f>
        <v>0</v>
      </c>
      <c r="AQ142" s="211">
        <f>IF(ISNUMBER(AQ141),IF(ABS(AQ140-AQ141)&lt;=1,0,ROUND(AQ140-AQ141,0)),"")</f>
        <v>0</v>
      </c>
      <c r="AR142" s="211">
        <f>IF(ISNUMBER(AR141),IF(ABS(AR140-AR141)&lt;=1,0,ROUND(AR140-AR141,0)),"")</f>
        <v>0</v>
      </c>
      <c r="AS142" s="211">
        <f>IF(ISNUMBER(AS141),IF(ABS(AS140-AS141)&lt;=1,0,ROUND(AS140-AS141,0)),"")</f>
        <v>0</v>
      </c>
      <c r="AT142" s="211">
        <f>IF(ISNUMBER(AT141),IF(ABS(AT140-AT141)&lt;=1,0,ROUND(AT140-AT141,0)),"")</f>
        <v>0</v>
      </c>
      <c r="AU142" s="211">
        <f>IF(ISNUMBER(AU141),IF(ABS(AU140-AU141)&lt;=1,0,ROUND(AU140-AU141,0)),"")</f>
        <v>0</v>
      </c>
      <c r="AV142" s="211">
        <f>IF(ISNUMBER(AV141),IF(ABS(AV140-AV141)&lt;=1,0,ROUND(AV140-AV141,0)),"")</f>
        <v>0</v>
      </c>
      <c r="AW142" s="211">
        <f>IF(ISNUMBER(AW141),IF(ABS(AW140-AW141)&lt;=1,0,ROUND(AW140-AW141,0)),"")</f>
        <v>0</v>
      </c>
      <c r="AX142" s="211">
        <f>IF(ISNUMBER(AX141),IF(ABS(AX140-AX141)&lt;=1,0,ROUND(AX140-AX141,0)),"")</f>
        <v>0</v>
      </c>
      <c r="AY142" s="211">
        <f>IF(ISNUMBER(AY141),IF(ABS(AY140-AY141)&lt;=1,0,ROUND(AY140-AY141,0)),"")</f>
        <v>0</v>
      </c>
      <c r="AZ142" s="211">
        <f>IF(ISNUMBER(AZ141),IF(ABS(AZ140-AZ141)&lt;=1,0,ROUND(AZ140-AZ141,0)),"")</f>
        <v>0</v>
      </c>
      <c r="BA142" s="211">
        <f>IF(ISNUMBER(BA141),IF(ABS(BA140-BA141)&lt;=1,0,ROUND(BA140-BA141,0)),"")</f>
        <v>0</v>
      </c>
      <c r="BB142" s="211">
        <f>IF(ISNUMBER(BB141),IF(ABS(BB140-BB141)&lt;=1,0,ROUND(BB140-BB141,0)),"")</f>
        <v>0</v>
      </c>
      <c r="BC142" s="211">
        <f>IF(ISNUMBER(BC141),IF(ABS(BC140-BC141)&lt;=1,0,ROUND(BC140-BC141,0)),"")</f>
        <v>0</v>
      </c>
      <c r="BD142" s="211">
        <f>IF(ISNUMBER(BD141),IF(ABS(BD140-BD141)&lt;=1,0,ROUND(BD140-BD141,0)),"")</f>
        <v>0</v>
      </c>
      <c r="BE142" s="211">
        <f>IF(ISNUMBER(BE141),IF(ABS(BE140-BE141)&lt;=1,0,ROUND(BE140-BE141,0)),"")</f>
        <v>0</v>
      </c>
      <c r="BF142" s="211">
        <f>IF(ISNUMBER(BF141),IF(ABS(BF140-BF141)&lt;=1,0,ROUND(BF140-BF141,0)),"")</f>
        <v>0</v>
      </c>
      <c r="BG142" s="211">
        <f>IF(ISNUMBER(BG141),IF(ABS(BG140-BG141)&lt;=1,0,ROUND(BG140-BG141,0)),"")</f>
        <v>0</v>
      </c>
      <c r="BH142" s="211">
        <f>IF(ISNUMBER(BH141),IF(ABS(BH140-BH141)&lt;=1,0,ROUND(BH140-BH141,0)),"")</f>
        <v>0</v>
      </c>
      <c r="BI142" s="211">
        <f>IF(ISNUMBER(BI141),IF(ABS(BI140-BI141)&lt;=1,0,ROUND(BI140-BI141,0)),"")</f>
        <v>0</v>
      </c>
      <c r="BJ142" s="211">
        <f>IF(ISNUMBER(BJ141),IF(ABS(BJ140-BJ141)&lt;=1,0,ROUND(BJ140-BJ141,0)),"")</f>
        <v>0</v>
      </c>
      <c r="BK142" s="211">
        <f>IF(ISNUMBER(BK141),IF(ABS(BK140-BK141)&lt;=1,0,ROUND(BK140-BK141,0)),"")</f>
        <v>0</v>
      </c>
      <c r="BL142" s="211">
        <f>IF(ISNUMBER(BL141),IF(ABS(BL140-BL141)&lt;=1,0,ROUND(BL140-BL141,0)),"")</f>
        <v>0</v>
      </c>
      <c r="BM142" s="211">
        <f>IF(ISNUMBER(BM141),IF(ABS(BM140-BM141)&lt;=1,0,ROUND(BM140-BM141,0)),"")</f>
        <v>0</v>
      </c>
      <c r="BN142" s="211">
        <f>IF(ISNUMBER(BN141),IF(ABS(BN140-BN141)&lt;=1,0,ROUND(BN140-BN141,0)),"")</f>
        <v>0</v>
      </c>
      <c r="BO142" s="211">
        <f>IF(ISNUMBER(BO141),IF(ABS(BO140-BO141)&lt;=1,0,ROUND(BO140-BO141,0)),"")</f>
        <v>0</v>
      </c>
      <c r="BP142" s="211">
        <f>IF(ISNUMBER(BP141),IF(ABS(BP140-BP141)&lt;=1,0,ROUND(BP140-BP141,0)),"")</f>
        <v>0</v>
      </c>
      <c r="BQ142" s="211">
        <f>IF(ISNUMBER(BQ141),IF(ABS(BQ140-BQ141)&lt;=1,0,ROUND(BQ140-BQ141,0)),"")</f>
        <v>0</v>
      </c>
      <c r="BR142" s="211">
        <f>IF(ISNUMBER(BR141),IF(ABS(BR140-BR141)&lt;=1,0,ROUND(BR140-BR141,0)),"")</f>
        <v>0</v>
      </c>
      <c r="BS142" s="211">
        <f>IF(ISNUMBER(BS141),IF(ABS(BS140-BS141)&lt;=1,0,ROUND(BS140-BS141,0)),"")</f>
        <v>0</v>
      </c>
      <c r="BT142" s="211">
        <f>IF(ISNUMBER(BT141),IF(ABS(BT140-BT141)&lt;=1,0,ROUND(BT140-BT141,0)),"")</f>
        <v>0</v>
      </c>
      <c r="BU142" s="211">
        <f>IF(ISNUMBER(BU141),IF(ABS(BU140-BU141)&lt;=1,0,ROUND(BU140-BU141,0)),"")</f>
        <v>0</v>
      </c>
      <c r="BV142" s="211">
        <f>IF(ISNUMBER(BV141),IF(ABS(BV140-BV141)&lt;=1,0,ROUND(BV140-BV141,0)),"")</f>
        <v>0</v>
      </c>
      <c r="BW142" s="211">
        <f>IF(ISNUMBER(BW141),IF(ABS(BW140-BW141)&lt;=1,0,ROUND(BW140-BW141,0)),"")</f>
        <v>0</v>
      </c>
      <c r="BX142" s="211">
        <f>IF(ISNUMBER(BX141),IF(ABS(BX140-BX141)&lt;=1,0,ROUND(BX140-BX141,0)),"")</f>
        <v>0</v>
      </c>
      <c r="BY142" s="153" t="n"/>
      <c r="BZ142" s="153" t="n"/>
      <c r="CA142" s="153" t="n"/>
      <c r="CB142" s="153" t="n"/>
      <c r="CC142" s="153" t="n"/>
      <c r="CD142" s="153" t="n"/>
      <c r="CE142" s="153" t="n"/>
      <c r="CF142" s="153" t="n"/>
    </row>
    <row r="143" ht="15" customHeight="1" s="251">
      <c r="B143" s="25" t="inlineStr">
        <is>
          <t xml:space="preserve">  Operating margin %</t>
        </is>
      </c>
      <c r="C143" s="215">
        <f>IF(AND(ISNUMBER(C140),ISNUMBER(C132)),IFERROR(C140/C132,""),"")</f>
        <v>0.334750003229634</v>
      </c>
      <c r="D143" s="215">
        <f>IF(AND(ISNUMBER(D140),ISNUMBER(D132)),IFERROR(D140/D132,""),"")</f>
        <v>0.306400162082817</v>
      </c>
      <c r="E143" s="215">
        <f>IF(AND(ISNUMBER(E140),ISNUMBER(E132)),IFERROR(E140/E132,""),"")</f>
        <v>0.304280873848102</v>
      </c>
      <c r="F143" s="215">
        <f>IF(AND(ISNUMBER(F140),ISNUMBER(F132)),IFERROR(F140/F132,""),"")</f>
        <v>0.351458271839026</v>
      </c>
      <c r="G143" s="215">
        <f>IF(AND(ISNUMBER(G140),ISNUMBER(G132)),IFERROR(G140/G132,""),"")</f>
        <v>0.354046587769858</v>
      </c>
      <c r="H143" s="215">
        <f>IF(AND(ISNUMBER(H140),ISNUMBER(H132)),IFERROR(H140/H132,""),"")</f>
        <v>0.309774436090226</v>
      </c>
      <c r="I143" s="215">
        <f>IF(AND(ISNUMBER(I140),ISNUMBER(I132)),IFERROR(I140/I132,""),"")</f>
        <v>0.254309915296462</v>
      </c>
      <c r="J143" s="215">
        <f>IF(AND(ISNUMBER(J140),ISNUMBER(J132)),IFERROR(J140/J132,""),"")</f>
        <v>0.248908296943231</v>
      </c>
      <c r="K143" s="215">
        <f>IF(AND(ISNUMBER(K140),ISNUMBER(K132)),IFERROR(K140/K132,""),"")</f>
        <v>0.221410847217299</v>
      </c>
      <c r="L143" s="215">
        <f>IF(AND(ISNUMBER(L140),ISNUMBER(L132)),IFERROR(L140/L132,""),"")</f>
        <v>0.231249580339757</v>
      </c>
      <c r="M143" s="215">
        <f>IF(AND(ISNUMBER(M140),ISNUMBER(M132)),IFERROR(M140/M132,""),"")</f>
        <v>0.232649187329458</v>
      </c>
      <c r="N143" s="215">
        <f>IF(AND(ISNUMBER(N140),ISNUMBER(N132)),IFERROR(N140/N132,""),"")</f>
        <v>0.233447555369829</v>
      </c>
      <c r="O143" s="215">
        <f>IF(AND(ISNUMBER(O140),ISNUMBER(O132)),IFERROR(O140/O132,""),"")</f>
        <v>0.26686121919585</v>
      </c>
      <c r="P143" s="215">
        <f>IF(AND(ISNUMBER(P140),ISNUMBER(P132)),IFERROR(P140/P132,""),"")</f>
        <v>0.266875587590097</v>
      </c>
      <c r="Q143" s="215">
        <f>IF(AND(ISNUMBER(Q140),ISNUMBER(Q132)),IFERROR(Q140/Q132,""),"")</f>
        <v>0.225382799733705</v>
      </c>
      <c r="R143" s="215">
        <f>IF(AND(ISNUMBER(R140),ISNUMBER(R132)),IFERROR(R140/R132,""),"")</f>
        <v>0.242998398055571</v>
      </c>
      <c r="S143" s="215">
        <f>IF(AND(ISNUMBER(S140),ISNUMBER(S132)),IFERROR(S140/S132,""),"")</f>
        <v>0.249935607036257</v>
      </c>
      <c r="T143" s="215">
        <f>IF(AND(ISNUMBER(T140),ISNUMBER(T132)),IFERROR(T140/T132,""),"")</f>
        <v>0.257677598794762</v>
      </c>
      <c r="U143" s="215">
        <f>IF(AND(ISNUMBER(U140),ISNUMBER(U132)),IFERROR(U140/U132,""),"")</f>
        <v>0.272183674620635</v>
      </c>
      <c r="V143" s="215">
        <f>IF(AND(ISNUMBER(V140),ISNUMBER(V132)),IFERROR(V140/V132,""),"")</f>
        <v>0.252101740294511</v>
      </c>
      <c r="W143" s="215">
        <f>IF(AND(ISNUMBER(W140),ISNUMBER(W132)),IFERROR(W140/W132,""),"")</f>
        <v>0.252238735993249</v>
      </c>
      <c r="X143" s="215">
        <f>IF(AND(ISNUMBER(X140),ISNUMBER(X132)),IFERROR(X140/X132,""),"")</f>
        <v>0.258171198442438</v>
      </c>
      <c r="Y143" s="215">
        <f>IF(AND(ISNUMBER(Y140),ISNUMBER(Y132)),IFERROR(Y140/Y132,""),"")</f>
        <v>0.263711309670731</v>
      </c>
      <c r="Z143" s="215">
        <f>IF(AND(ISNUMBER(Z140),ISNUMBER(Z132)),IFERROR(Z140/Z132,""),"")</f>
        <v>0.277581395348837</v>
      </c>
      <c r="AA143" s="215">
        <f>IF(AND(ISNUMBER(AA140),ISNUMBER(AA132)),IFERROR(AA140/AA132,""),"")</f>
        <v>0.256870518017015</v>
      </c>
      <c r="AB143" s="215">
        <f>IF(AND(ISNUMBER(AB140),ISNUMBER(AB132)),IFERROR(AB140/AB132,""),"")</f>
        <v>0.254719152854512</v>
      </c>
      <c r="AC143" s="215">
        <f>IF(AND(ISNUMBER(AC140),ISNUMBER(AC132)),IFERROR(AC140/AC132,""),"")</f>
        <v>0.262717121588089</v>
      </c>
      <c r="AD143" s="215">
        <f>IF(AND(ISNUMBER(AD140),ISNUMBER(AD132)),IFERROR(AD140/AD132,""),"")</f>
        <v>0.265373737373737</v>
      </c>
      <c r="AE143" s="215">
        <f>IF(AND(ISNUMBER(AE140),ISNUMBER(AE132)),IFERROR(AE140/AE132,""),"")</f>
        <v>0.158861976163014</v>
      </c>
      <c r="AF143" s="215">
        <f>IF(AND(ISNUMBER(AF140),ISNUMBER(AF132)),IFERROR(AF140/AF132,""),"")</f>
        <v>0.280210283739018</v>
      </c>
      <c r="AG143" s="215">
        <f>IF(AND(ISNUMBER(AG140),ISNUMBER(AG132)),IFERROR(AG140/AG132,""),"")</f>
        <v>0.237106704204436</v>
      </c>
      <c r="AH143" s="215">
        <f>IF(AND(ISNUMBER(AH140),ISNUMBER(AH132)),IFERROR(AH140/AH132,""),"")</f>
        <v>0.235857651887601</v>
      </c>
      <c r="AI143" s="215">
        <f>IF(AND(ISNUMBER(AI140),ISNUMBER(AI132)),IFERROR(AI140/AI132,""),"")</f>
        <v>0.224780068066525</v>
      </c>
      <c r="AJ143" s="215">
        <f>IF(AND(ISNUMBER(AJ140),ISNUMBER(AJ132)),IFERROR(AJ140/AJ132,""),"")</f>
        <v>0.08595400679793</v>
      </c>
      <c r="AK143" s="215">
        <f>IF(AND(ISNUMBER(AK140),ISNUMBER(AK132)),IFERROR(AK140/AK132,""),"")</f>
        <v>0.246295198577356</v>
      </c>
      <c r="AL143" s="215">
        <f>IF(AND(ISNUMBER(AL140),ISNUMBER(AL132)),IFERROR(AL140/AL132,""),"")</f>
        <v>0.20885528057847</v>
      </c>
      <c r="AM143" s="215">
        <f>IF(AND(ISNUMBER(AM140),ISNUMBER(AM132)),IFERROR(AM140/AM132,""),"")</f>
        <v>0.192378251558629</v>
      </c>
      <c r="AN143" s="215">
        <f>IF(AND(ISNUMBER(AN140),ISNUMBER(AN132)),IFERROR(AN140/AN132,""),"")</f>
        <v>0.181843198767165</v>
      </c>
      <c r="AO143" s="215">
        <f>IF(AND(ISNUMBER(AO140),ISNUMBER(AO132)),IFERROR(AO140/AO132,""),"")</f>
        <v>0.235723089564503</v>
      </c>
      <c r="AP143" s="215">
        <f>IF(AND(ISNUMBER(AP140),ISNUMBER(AP132)),IFERROR(AP140/AP132,""),"")</f>
        <v>0.226598187609571</v>
      </c>
      <c r="AQ143" s="215">
        <f>IF(AND(ISNUMBER(AQ140),ISNUMBER(AQ132)),IFERROR(AQ140/AQ132,""),"")</f>
        <v>0.201106890938687</v>
      </c>
      <c r="AR143" s="215">
        <f>IF(AND(ISNUMBER(AR140),ISNUMBER(AR132)),IFERROR(AR140/AR132,""),"")</f>
        <v>0.211489154006314</v>
      </c>
      <c r="AS143" s="215">
        <f>IF(AND(ISNUMBER(AS140),ISNUMBER(AS132)),IFERROR(AS140/AS132,""),"")</f>
        <v>0.193809373405574</v>
      </c>
      <c r="AT143" s="215">
        <f>IF(AND(ISNUMBER(AT140),ISNUMBER(AT132)),IFERROR(AT140/AT132,""),"")</f>
        <v>0.166671018617646</v>
      </c>
      <c r="AU143" s="215">
        <f>IF(AND(ISNUMBER(AU140),ISNUMBER(AU132)),IFERROR(AU140/AU132,""),"")</f>
        <v>0.24284755159942</v>
      </c>
      <c r="AV143" s="215">
        <f>IF(AND(ISNUMBER(AV140),ISNUMBER(AV132)),IFERROR(AV140/AV132,""),"")</f>
        <v>0.275071180006327</v>
      </c>
      <c r="AW143" s="215">
        <f>IF(AND(ISNUMBER(AW140),ISNUMBER(AW132)),IFERROR(AW140/AW132,""),"")</f>
        <v>0.225851517857632</v>
      </c>
      <c r="AX143" s="215">
        <f>IF(AND(ISNUMBER(AX140),ISNUMBER(AX132)),IFERROR(AX140/AX132,""),"")</f>
        <v>0.297158043171711</v>
      </c>
      <c r="AY143" s="215">
        <f>IF(AND(ISNUMBER(AY140),ISNUMBER(AY132)),IFERROR(AY140/AY132,""),"")</f>
        <v>0.312879767291532</v>
      </c>
      <c r="AZ143" s="215">
        <f>IF(AND(ISNUMBER(AZ140),ISNUMBER(AZ132)),IFERROR(AZ140/AZ132,""),"")</f>
        <v>0.322967535857981</v>
      </c>
      <c r="BA143" s="215">
        <f>IF(AND(ISNUMBER(BA140),ISNUMBER(BA132)),IFERROR(BA140/BA132,""),"")</f>
        <v>0.290540989047461</v>
      </c>
      <c r="BB143" s="215">
        <f>IF(AND(ISNUMBER(BB140),ISNUMBER(BB132)),IFERROR(BB140/BB132,""),"")</f>
        <v>0.305522886852432</v>
      </c>
      <c r="BC143" s="215">
        <f>IF(AND(ISNUMBER(BC140),ISNUMBER(BC132)),IFERROR(BC140/BC132,""),"")</f>
        <v>0.295452206260752</v>
      </c>
      <c r="BD143" s="215">
        <f>IF(AND(ISNUMBER(BD140),ISNUMBER(BD132)),IFERROR(BD140/BD132,""),"")</f>
        <v>0.279156202913109</v>
      </c>
      <c r="BE143" s="215">
        <f>IF(AND(ISNUMBER(BE140),ISNUMBER(BE132)),IFERROR(BE140/BE132,""),"")</f>
        <v>0.248002663115846</v>
      </c>
      <c r="BF143" s="215">
        <f>IF(AND(ISNUMBER(BF140),ISNUMBER(BF132)),IFERROR(BF140/BF132,""),"")</f>
        <v>0.238796549547654</v>
      </c>
      <c r="BG143" s="215">
        <f>IF(AND(ISNUMBER(BG140),ISNUMBER(BG132)),IFERROR(BG140/BG132,""),"")</f>
        <v>0.26461270842467</v>
      </c>
      <c r="BH143" s="215">
        <f>IF(AND(ISNUMBER(BH140),ISNUMBER(BH132)),IFERROR(BH140/BH132,""),"")</f>
        <v>0.249545044205941</v>
      </c>
      <c r="BI143" s="215">
        <f>IF(AND(ISNUMBER(BI140),ISNUMBER(BI132)),IFERROR(BI140/BI132,""),"")</f>
        <v>0.29271888906761</v>
      </c>
      <c r="BJ143" s="215">
        <f>IF(AND(ISNUMBER(BJ140),ISNUMBER(BJ132)),IFERROR(BJ140/BJ132,""),"")</f>
        <v>0.278291369486133</v>
      </c>
      <c r="BK143" s="215">
        <f>IF(AND(ISNUMBER(BK140),ISNUMBER(BK132)),IFERROR(BK140/BK132,""),"")</f>
        <v>0.274556830031283</v>
      </c>
      <c r="BL143" s="215">
        <f>IF(AND(ISNUMBER(BL140),ISNUMBER(BL132)),IFERROR(BL140/BL132,""),"")</f>
        <v>0.274218104452266</v>
      </c>
      <c r="BM143" s="215">
        <f>IF(AND(ISNUMBER(BM140),ISNUMBER(BM132)),IFERROR(BM140/BM132,""),"")</f>
        <v>0.316269136691541</v>
      </c>
      <c r="BN143" s="215">
        <f>IF(AND(ISNUMBER(BN140),ISNUMBER(BN132)),IFERROR(BN140/BN132,""),"")</f>
        <v>0.32362936914399</v>
      </c>
      <c r="BO143" s="215">
        <f>IF(AND(ISNUMBER(BO140),ISNUMBER(BO132)),IFERROR(BO140/BO132,""),"")</f>
        <v>0.323118230842434</v>
      </c>
      <c r="BP143" s="215">
        <f>IF(AND(ISNUMBER(BP140),ISNUMBER(BP132)),IFERROR(BP140/BP132,""),"")</f>
        <v>0.321056505198561</v>
      </c>
      <c r="BQ143" s="215">
        <f>IF(AND(ISNUMBER(BQ140),ISNUMBER(BQ132)),IFERROR(BQ140/BQ132,""),"")</f>
        <v>0.321097772114577</v>
      </c>
      <c r="BR143" s="215">
        <f>IF(AND(ISNUMBER(BR140),ISNUMBER(BR132)),IFERROR(BR140/BR132,""),"")</f>
        <v>0.339184786222488</v>
      </c>
      <c r="BS143" s="215">
        <f>IF(AND(ISNUMBER(BS140),ISNUMBER(BS132)),IFERROR(BS140/BS132,""),"")</f>
        <v>0.324293773592732</v>
      </c>
      <c r="BT143" s="215">
        <f>IF(AND(ISNUMBER(BT140),ISNUMBER(BT132)),IFERROR(BT140/BT132,""),"")</f>
        <v>0.305121841596154</v>
      </c>
      <c r="BU143" s="215">
        <f>IF(AND(ISNUMBER(BU140),ISNUMBER(BU132)),IFERROR(BU140/BU132,""),"")</f>
        <v>0.315684052394381</v>
      </c>
      <c r="BV143" s="215">
        <f>IF(AND(ISNUMBER(BV140),ISNUMBER(BV132)),IFERROR(BV140/BV132,""),"")</f>
        <v>0.3203263859238</v>
      </c>
      <c r="BW143" s="215">
        <f>IF(AND(ISNUMBER(BW140),ISNUMBER(BW132)),IFERROR(BW140/BW132,""),"")</f>
        <v>0.361214238916794</v>
      </c>
      <c r="BX143" s="215">
        <f>IF(AND(ISNUMBER(BX140),ISNUMBER(BX132)),IFERROR(BX140/BX132,""),"")</f>
        <v>0.340328558549534</v>
      </c>
      <c r="BY143" s="256">
        <f>IF(AND(ISNUMBER(BY140),ISNUMBER(BY132)),IFERROR(BY140/BY132,""),"")</f>
        <v>0.32898903500358</v>
      </c>
      <c r="BZ143" s="256">
        <f>IF(AND(ISNUMBER(BZ140),ISNUMBER(BZ132)),IFERROR(BZ140/BZ132,""),"")</f>
        <v>0.358031371137155</v>
      </c>
      <c r="CA143" s="256">
        <f>IF(AND(ISNUMBER(CA140),ISNUMBER(CA132)),IFERROR(CA140/CA132,""),"")</f>
        <v>0.34707490781977</v>
      </c>
      <c r="CB143" s="256">
        <f>IF(AND(ISNUMBER(CB140),ISNUMBER(CB132)),IFERROR(CB140/CB132,""),"")</f>
        <v>0.332789418828486</v>
      </c>
      <c r="CC143" s="256">
        <f>IF(AND(ISNUMBER(CC140),ISNUMBER(CC132)),IFERROR(CC140/CC132,""),"")</f>
        <v>0.316592899650073</v>
      </c>
      <c r="CD143" s="256">
        <f>IF(AND(ISNUMBER(CD140),ISNUMBER(CD132)),IFERROR(CD140/CD132,""),"")</f>
        <v>0.309725151160693</v>
      </c>
      <c r="CE143" s="256">
        <f>IF(AND(ISNUMBER(CE140),ISNUMBER(CE132)),IFERROR(CE140/CE132,""),"")</f>
        <v>0.304254092831352</v>
      </c>
      <c r="CF143" s="153" t="n"/>
      <c r="CH143" s="37">
        <f>IFERROR(AVERAGE(CA143,CB143,CC143,CD143,CE143),"n/m")</f>
        <v>0.322087294058075</v>
      </c>
      <c r="CI143" s="37">
        <f>IFERROR(AVERAGE(BB143,BG143,BL143,BQ143,BV143),"n/m")</f>
        <v>0.297155571553549</v>
      </c>
      <c r="CJ143" s="37">
        <f>IFERROR(AVERAGE(AC143,AH143,AM143,AR143,AW143,BB143,BG143,BL143,BQ143,BV143),"n/m")</f>
        <v>0.261407155466601</v>
      </c>
      <c r="CK143" s="37">
        <f>IFERROR(AVERAGE(C143,D143,E143,F143,G143,H143,I143,N143,S143,X143,AC143,AH143,AM143,AR143,AW143,BB143,BG143,BL143,BQ143,BV143),"n/m")</f>
        <v>0.278532308283533</v>
      </c>
    </row>
    <row r="144" ht="15" customHeight="1" s="251">
      <c r="B144" s="25" t="inlineStr">
        <is>
          <t>Other income (expense), net</t>
        </is>
      </c>
      <c r="C144" s="253" t="n">
        <v>461.044</v>
      </c>
      <c r="D144" s="253" t="n">
        <v>589.58</v>
      </c>
      <c r="E144" s="253" t="n">
        <v>-778.373</v>
      </c>
      <c r="F144" s="253" t="n">
        <v>69.003</v>
      </c>
      <c r="G144" s="253" t="n">
        <v>415</v>
      </c>
      <c r="H144" s="253" t="n">
        <v>584</v>
      </c>
      <c r="I144" s="253" t="n">
        <v>626</v>
      </c>
      <c r="J144" s="253" t="n">
        <v>134</v>
      </c>
      <c r="K144" s="253" t="n">
        <v>247</v>
      </c>
      <c r="L144" s="253" t="n">
        <v>24</v>
      </c>
      <c r="M144" s="253" t="n">
        <v>125</v>
      </c>
      <c r="N144" s="253" t="n">
        <v>530</v>
      </c>
      <c r="O144" s="253" t="n">
        <v>357</v>
      </c>
      <c r="P144" s="253" t="n">
        <v>145</v>
      </c>
      <c r="Q144" s="253" t="n">
        <v>133</v>
      </c>
      <c r="R144" s="253" t="n">
        <v>128</v>
      </c>
      <c r="S144" s="253" t="n">
        <v>763</v>
      </c>
      <c r="T144" s="253" t="n">
        <v>157</v>
      </c>
      <c r="U144" s="253" t="n">
        <v>131</v>
      </c>
      <c r="V144" s="253" t="n">
        <v>183</v>
      </c>
      <c r="W144" s="253" t="n">
        <v>-180</v>
      </c>
      <c r="X144" s="253" t="n">
        <v>291</v>
      </c>
      <c r="Y144" s="253" t="n">
        <v>-213</v>
      </c>
      <c r="Z144" s="253" t="n">
        <v>151</v>
      </c>
      <c r="AA144" s="253" t="n">
        <v>278</v>
      </c>
      <c r="AB144" s="253" t="n">
        <v>218</v>
      </c>
      <c r="AC144" s="253" t="n">
        <v>434</v>
      </c>
      <c r="AD144" s="253" t="n">
        <v>251</v>
      </c>
      <c r="AE144" s="253" t="n">
        <v>245</v>
      </c>
      <c r="AF144" s="253" t="n">
        <v>197</v>
      </c>
      <c r="AG144" s="253" t="n">
        <v>354</v>
      </c>
      <c r="AH144" s="253" t="n">
        <v>1047</v>
      </c>
      <c r="AI144" s="253" t="n">
        <v>3542</v>
      </c>
      <c r="AJ144" s="253" t="n">
        <v>1408</v>
      </c>
      <c r="AK144" s="253" t="n">
        <v>1773</v>
      </c>
      <c r="AL144" s="253" t="n">
        <v>1869</v>
      </c>
      <c r="AM144" s="253" t="n">
        <v>8592</v>
      </c>
      <c r="AN144" s="253" t="n">
        <v>1538</v>
      </c>
      <c r="AO144" s="253" t="n">
        <v>2967</v>
      </c>
      <c r="AP144" s="253" t="n">
        <v>-549</v>
      </c>
      <c r="AQ144" s="253" t="n">
        <v>1438</v>
      </c>
      <c r="AR144" s="253" t="n">
        <v>5394</v>
      </c>
      <c r="AS144" s="253" t="n">
        <v>-220</v>
      </c>
      <c r="AT144" s="253" t="n">
        <v>1894</v>
      </c>
      <c r="AU144" s="253" t="n">
        <v>2146</v>
      </c>
      <c r="AV144" s="253" t="n">
        <v>3038</v>
      </c>
      <c r="AW144" s="253" t="n">
        <v>6858</v>
      </c>
      <c r="AX144" s="253" t="n">
        <v>4846</v>
      </c>
      <c r="AY144" s="253" t="n">
        <v>2624</v>
      </c>
      <c r="AZ144" s="253" t="n">
        <v>2033</v>
      </c>
      <c r="BA144" s="253" t="n">
        <v>2517</v>
      </c>
      <c r="BB144" s="253" t="n">
        <v>12020</v>
      </c>
      <c r="BC144" s="253" t="n">
        <v>-1160</v>
      </c>
      <c r="BD144" s="253" t="n">
        <v>-439</v>
      </c>
      <c r="BE144" s="253" t="n">
        <v>-902</v>
      </c>
      <c r="BF144" s="253" t="n">
        <v>-1013</v>
      </c>
      <c r="BG144" s="253" t="n">
        <v>-3514</v>
      </c>
      <c r="BH144" s="253" t="n">
        <v>790</v>
      </c>
      <c r="BI144" s="253" t="n">
        <v>65</v>
      </c>
      <c r="BJ144" s="253" t="n">
        <v>-146</v>
      </c>
      <c r="BK144" s="253" t="n">
        <v>715</v>
      </c>
      <c r="BL144" s="253" t="n">
        <v>1424</v>
      </c>
      <c r="BM144" s="253" t="n">
        <v>2843</v>
      </c>
      <c r="BN144" s="253" t="n">
        <v>126</v>
      </c>
      <c r="BO144" s="253" t="n">
        <v>3185</v>
      </c>
      <c r="BP144" s="253" t="n">
        <v>1271</v>
      </c>
      <c r="BQ144" s="253" t="n">
        <v>7425</v>
      </c>
      <c r="BR144" s="253" t="n">
        <v>11183</v>
      </c>
      <c r="BS144" s="253" t="n">
        <v>2662</v>
      </c>
      <c r="BT144" s="253" t="n">
        <v>12759</v>
      </c>
      <c r="BU144" s="253" t="n">
        <v>3183</v>
      </c>
      <c r="BV144" s="253" t="n">
        <v>29787</v>
      </c>
      <c r="BW144" s="253" t="n">
        <v>37716</v>
      </c>
      <c r="BX144" s="253" t="n">
        <v>97983</v>
      </c>
      <c r="BY144" s="254">
        <f>BY127-BY128+BY122+BY129</f>
        <v>850.4105</v>
      </c>
      <c r="BZ144" s="254">
        <f>BZ127-BZ128+BZ122+BZ129</f>
        <v>850.4105</v>
      </c>
      <c r="CA144" s="254">
        <f>SUM(BW144:BZ144)</f>
        <v>137399.821</v>
      </c>
      <c r="CB144" s="254">
        <f>CB127-CB128+CB122+CB129</f>
        <v>2874.52637252054</v>
      </c>
      <c r="CC144" s="254">
        <f>CC127-CC128+CC122+CC129</f>
        <v>978.156932012573</v>
      </c>
      <c r="CD144" s="254">
        <f>CD127-CD128+CD122+CD129</f>
        <v>424.208670069707</v>
      </c>
      <c r="CE144" s="254">
        <f>CE127-CE128+CE122+CE129</f>
        <v>748.496856726458</v>
      </c>
      <c r="CF144" s="19" t="inlineStr">
        <is>
          <t>Interest income − interest expense + gains (losses) on equity securities + other. Forecast: interest only (equity gains not forecast).</t>
        </is>
      </c>
    </row>
    <row r="145" ht="15" customHeight="1" s="251">
      <c r="B145" s="16" t="inlineStr">
        <is>
          <t>Income before income taxes</t>
        </is>
      </c>
      <c r="C145" s="261">
        <f>IF(ISNUMBER(C140),C140+C144,"")</f>
        <v>4011.04</v>
      </c>
      <c r="D145" s="261">
        <f>IF(ISNUMBER(D140),D140+D144,"")</f>
        <v>5673.98</v>
      </c>
      <c r="E145" s="261">
        <f>IF(ISNUMBER(E140),E140+E144,"")</f>
        <v>5853.596</v>
      </c>
      <c r="F145" s="261">
        <f>IF(ISNUMBER(F140),F140+F144,"")</f>
        <v>8381.189</v>
      </c>
      <c r="G145" s="261">
        <f>IF(ISNUMBER(G140),G140+G144,"")</f>
        <v>10796</v>
      </c>
      <c r="H145" s="261">
        <f>IF(ISNUMBER(H140),H140+H144,"")</f>
        <v>12326</v>
      </c>
      <c r="I145" s="261">
        <f>IF(ISNUMBER(I140),I140+I144,"")</f>
        <v>13386</v>
      </c>
      <c r="J145" s="261">
        <f>IF(ISNUMBER(J140),J140+J144,"")</f>
        <v>3611</v>
      </c>
      <c r="K145" s="261">
        <f>IF(ISNUMBER(K140),K140+K144,"")</f>
        <v>3370</v>
      </c>
      <c r="L145" s="261">
        <f>IF(ISNUMBER(L140),L140+L144,"")</f>
        <v>3468</v>
      </c>
      <c r="M145" s="261">
        <f>IF(ISNUMBER(M140),M140+M144,"")</f>
        <v>4047</v>
      </c>
      <c r="N145" s="261">
        <f>IF(ISNUMBER(N140),N140+N144,"")</f>
        <v>14496</v>
      </c>
      <c r="O145" s="261">
        <f>IF(ISNUMBER(O140),O140+O144,"")</f>
        <v>4472</v>
      </c>
      <c r="P145" s="261">
        <f>IF(ISNUMBER(P140),P140+P144,"")</f>
        <v>4403</v>
      </c>
      <c r="Q145" s="261">
        <f>IF(ISNUMBER(Q140),Q140+Q144,"")</f>
        <v>3857</v>
      </c>
      <c r="R145" s="261">
        <f>IF(ISNUMBER(R140),R140+R144,"")</f>
        <v>4527</v>
      </c>
      <c r="S145" s="261">
        <f>IF(ISNUMBER(S140),S140+S144,"")</f>
        <v>17259</v>
      </c>
      <c r="T145" s="261">
        <f>IF(ISNUMBER(T140),T140+T144,"")</f>
        <v>4604</v>
      </c>
      <c r="U145" s="261">
        <f>IF(ISNUMBER(U140),U140+U144,"")</f>
        <v>4956</v>
      </c>
      <c r="V145" s="261">
        <f>IF(ISNUMBER(V140),V140+V144,"")</f>
        <v>4891</v>
      </c>
      <c r="W145" s="261">
        <f>IF(ISNUMBER(W140),W140+W144,"")</f>
        <v>5200</v>
      </c>
      <c r="X145" s="261">
        <f>IF(ISNUMBER(X140),X140+X144,"")</f>
        <v>19651</v>
      </c>
      <c r="Y145" s="261">
        <f>IF(ISNUMBER(Y140),Y140+Y144,"")</f>
        <v>5129</v>
      </c>
      <c r="Z145" s="261">
        <f>IF(ISNUMBER(Z140),Z140+Z144,"")</f>
        <v>6119</v>
      </c>
      <c r="AA145" s="261">
        <f>IF(ISNUMBER(AA140),AA140+AA144,"")</f>
        <v>6045</v>
      </c>
      <c r="AB145" s="261">
        <f>IF(ISNUMBER(AB140),AB140+AB144,"")</f>
        <v>6857</v>
      </c>
      <c r="AC145" s="261">
        <f>IF(ISNUMBER(AC140),AC140+AC144,"")</f>
        <v>24150</v>
      </c>
      <c r="AD145" s="261">
        <f>IF(ISNUMBER(AD140),AD140+AD144,"")</f>
        <v>6819</v>
      </c>
      <c r="AE145" s="261">
        <f>IF(ISNUMBER(AE140),AE140+AE144,"")</f>
        <v>4377</v>
      </c>
      <c r="AF145" s="261">
        <f>IF(ISNUMBER(AF140),AF140+AF144,"")</f>
        <v>7979</v>
      </c>
      <c r="AG145" s="261">
        <f>IF(ISNUMBER(AG140),AG140+AG144,"")</f>
        <v>8018</v>
      </c>
      <c r="AH145" s="261">
        <f>IF(ISNUMBER(AH140),AH140+AH144,"")</f>
        <v>27193</v>
      </c>
      <c r="AI145" s="261">
        <f>IF(ISNUMBER(AI140),AI140+AI144,"")</f>
        <v>10543</v>
      </c>
      <c r="AJ145" s="261">
        <f>IF(ISNUMBER(AJ140),AJ140+AJ144,"")</f>
        <v>4215</v>
      </c>
      <c r="AK145" s="261">
        <f>IF(ISNUMBER(AK140),AK140+AK144,"")</f>
        <v>10083</v>
      </c>
      <c r="AL145" s="261">
        <f>IF(ISNUMBER(AL140),AL140+AL144,"")</f>
        <v>10072</v>
      </c>
      <c r="AM145" s="261">
        <f>IF(ISNUMBER(AM140),AM140+AM144,"")</f>
        <v>34913</v>
      </c>
      <c r="AN145" s="261">
        <f>IF(ISNUMBER(AN140),AN140+AN144,"")</f>
        <v>8146</v>
      </c>
      <c r="AO145" s="261">
        <f>IF(ISNUMBER(AO140),AO140+AO144,"")</f>
        <v>12147</v>
      </c>
      <c r="AP145" s="261">
        <f>IF(ISNUMBER(AP140),AP140+AP144,"")</f>
        <v>8628</v>
      </c>
      <c r="AQ145" s="261">
        <f>IF(ISNUMBER(AQ140),AQ140+AQ144,"")</f>
        <v>10704</v>
      </c>
      <c r="AR145" s="261">
        <f>IF(ISNUMBER(AR140),AR140+AR144,"")</f>
        <v>39625</v>
      </c>
      <c r="AS145" s="261">
        <f>IF(ISNUMBER(AS140),AS140+AS144,"")</f>
        <v>7757</v>
      </c>
      <c r="AT145" s="261">
        <f>IF(ISNUMBER(AT140),AT140+AT144,"")</f>
        <v>8277</v>
      </c>
      <c r="AU145" s="261">
        <f>IF(ISNUMBER(AU140),AU140+AU144,"")</f>
        <v>13359</v>
      </c>
      <c r="AV145" s="261">
        <f>IF(ISNUMBER(AV140),AV140+AV144,"")</f>
        <v>18689</v>
      </c>
      <c r="AW145" s="261">
        <f>IF(ISNUMBER(AW140),AW140+AW144,"")</f>
        <v>48082</v>
      </c>
      <c r="AX145" s="261">
        <f>IF(ISNUMBER(AX140),AX140+AX144,"")</f>
        <v>21283</v>
      </c>
      <c r="AY145" s="261">
        <f>IF(ISNUMBER(AY140),AY140+AY144,"")</f>
        <v>21985</v>
      </c>
      <c r="AZ145" s="261">
        <f>IF(ISNUMBER(AZ140),AZ140+AZ144,"")</f>
        <v>23064</v>
      </c>
      <c r="BA145" s="261">
        <f>IF(ISNUMBER(BA140),BA140+BA144,"")</f>
        <v>24402</v>
      </c>
      <c r="BB145" s="261">
        <f>IF(ISNUMBER(BB140),BB140+BB144,"")</f>
        <v>90734</v>
      </c>
      <c r="BC145" s="261">
        <f>IF(ISNUMBER(BC140),BC140+BC144,"")</f>
        <v>18934</v>
      </c>
      <c r="BD145" s="261">
        <f>IF(ISNUMBER(BD140),BD140+BD144,"")</f>
        <v>19014</v>
      </c>
      <c r="BE145" s="261">
        <f>IF(ISNUMBER(BE140),BE140+BE144,"")</f>
        <v>16233</v>
      </c>
      <c r="BF145" s="261">
        <f>IF(ISNUMBER(BF140),BF140+BF144,"")</f>
        <v>17147</v>
      </c>
      <c r="BG145" s="261">
        <f>IF(ISNUMBER(BG140),BG140+BG144,"")</f>
        <v>71328</v>
      </c>
      <c r="BH145" s="261">
        <f>IF(ISNUMBER(BH140),BH140+BH144,"")</f>
        <v>18205</v>
      </c>
      <c r="BI145" s="261">
        <f>IF(ISNUMBER(BI140),BI140+BI144,"")</f>
        <v>21903</v>
      </c>
      <c r="BJ145" s="261">
        <f>IF(ISNUMBER(BJ140),BJ140+BJ144,"")</f>
        <v>21197</v>
      </c>
      <c r="BK145" s="261">
        <f>IF(ISNUMBER(BK140),BK140+BK144,"")</f>
        <v>24412</v>
      </c>
      <c r="BL145" s="261">
        <f>IF(ISNUMBER(BL140),BL140+BL144,"")</f>
        <v>85717</v>
      </c>
      <c r="BM145" s="261">
        <f>IF(ISNUMBER(BM140),BM140+BM144,"")</f>
        <v>28315</v>
      </c>
      <c r="BN145" s="261">
        <f>IF(ISNUMBER(BN140),BN140+BN144,"")</f>
        <v>27551</v>
      </c>
      <c r="BO145" s="261">
        <f>IF(ISNUMBER(BO140),BO140+BO144,"")</f>
        <v>31706</v>
      </c>
      <c r="BP145" s="261">
        <f>IF(ISNUMBER(BP140),BP140+BP144,"")</f>
        <v>32243</v>
      </c>
      <c r="BQ145" s="261">
        <f>IF(ISNUMBER(BQ140),BQ140+BQ144,"")</f>
        <v>119815</v>
      </c>
      <c r="BR145" s="261">
        <f>IF(ISNUMBER(BR140),BR140+BR144,"")</f>
        <v>41789</v>
      </c>
      <c r="BS145" s="261">
        <f>IF(ISNUMBER(BS140),BS140+BS144,"")</f>
        <v>33933</v>
      </c>
      <c r="BT145" s="261">
        <f>IF(ISNUMBER(BT140),BT140+BT144,"")</f>
        <v>43987</v>
      </c>
      <c r="BU145" s="261">
        <f>IF(ISNUMBER(BU140),BU140+BU144,"")</f>
        <v>39117</v>
      </c>
      <c r="BV145" s="261">
        <f>IF(ISNUMBER(BV140),BV140+BV144,"")</f>
        <v>158826</v>
      </c>
      <c r="BW145" s="261">
        <f>IF(ISNUMBER(BW140),BW140+BW144,"")</f>
        <v>77412</v>
      </c>
      <c r="BX145" s="261">
        <f>IF(ISNUMBER(BX140),BX140+BX144,"")</f>
        <v>138753</v>
      </c>
      <c r="BY145" s="262">
        <f>IF(ISNUMBER(BY140),BY140+BY144,"")</f>
        <v>42632.1989184666</v>
      </c>
      <c r="BZ145" s="262">
        <f>IF(ISNUMBER(BZ140),BZ140+BZ144,"")</f>
        <v>51541.4542823207</v>
      </c>
      <c r="CA145" s="262">
        <f>IF(ISNUMBER(CA140),CA140+CA144,"")</f>
        <v>310338.653200787</v>
      </c>
      <c r="CB145" s="262">
        <f>IF(ISNUMBER(CB140),CB140+CB144,"")</f>
        <v>197517.766457452</v>
      </c>
      <c r="CC145" s="262">
        <f>IF(ISNUMBER(CC140),CC140+CC144,"")</f>
        <v>213400.037132813</v>
      </c>
      <c r="CD145" s="262">
        <f>IF(ISNUMBER(CD140),CD140+CD144,"")</f>
        <v>235198.830084967</v>
      </c>
      <c r="CE145" s="262">
        <f>IF(ISNUMBER(CE140),CE140+CE144,"")</f>
        <v>257465.546866116</v>
      </c>
      <c r="CF145" s="153" t="n"/>
    </row>
    <row r="146" ht="15" customHeight="1" s="251">
      <c r="B146" s="25" t="inlineStr">
        <is>
          <t>Provision for income taxes</t>
        </is>
      </c>
      <c r="C146" s="253" t="n">
        <v>933.5940000000001</v>
      </c>
      <c r="D146" s="253" t="n">
        <v>1470.26</v>
      </c>
      <c r="E146" s="253" t="n">
        <v>1626.738</v>
      </c>
      <c r="F146" s="253" t="n">
        <v>1860.741</v>
      </c>
      <c r="G146" s="253" t="n">
        <v>2291</v>
      </c>
      <c r="H146" s="253" t="n">
        <v>2589</v>
      </c>
      <c r="I146" s="253" t="n">
        <v>2598</v>
      </c>
      <c r="J146" s="253" t="n">
        <v>287</v>
      </c>
      <c r="K146" s="253" t="n">
        <v>816</v>
      </c>
      <c r="L146" s="253" t="n">
        <v>513</v>
      </c>
      <c r="M146" s="253" t="n">
        <v>666</v>
      </c>
      <c r="N146" s="253" t="n">
        <v>2282</v>
      </c>
      <c r="O146" s="253" t="n">
        <v>822</v>
      </c>
      <c r="P146" s="253" t="n">
        <v>913</v>
      </c>
      <c r="Q146" s="253" t="n">
        <v>859</v>
      </c>
      <c r="R146" s="253" t="n">
        <v>737</v>
      </c>
      <c r="S146" s="253" t="n">
        <v>3331</v>
      </c>
      <c r="T146" s="253" t="n">
        <v>1018</v>
      </c>
      <c r="U146" s="253" t="n">
        <v>1025</v>
      </c>
      <c r="V146" s="253" t="n">
        <v>912</v>
      </c>
      <c r="W146" s="253" t="n">
        <v>277</v>
      </c>
      <c r="X146" s="253" t="n">
        <v>3303</v>
      </c>
      <c r="Y146" s="253" t="n">
        <v>922</v>
      </c>
      <c r="Z146" s="253" t="n">
        <v>1242</v>
      </c>
      <c r="AA146" s="253" t="n">
        <v>984</v>
      </c>
      <c r="AB146" s="253" t="n">
        <v>1524</v>
      </c>
      <c r="AC146" s="253" t="n">
        <v>4672</v>
      </c>
      <c r="AD146" s="253" t="n">
        <v>1393</v>
      </c>
      <c r="AE146" s="253" t="n">
        <v>853</v>
      </c>
      <c r="AF146" s="253" t="n">
        <v>1247</v>
      </c>
      <c r="AG146" s="253" t="n">
        <v>11038</v>
      </c>
      <c r="AH146" s="253" t="n">
        <v>14531</v>
      </c>
      <c r="AI146" s="253" t="n">
        <v>1142</v>
      </c>
      <c r="AJ146" s="253" t="n">
        <v>1020</v>
      </c>
      <c r="AK146" s="253" t="n">
        <v>891</v>
      </c>
      <c r="AL146" s="253" t="n">
        <v>1124</v>
      </c>
      <c r="AM146" s="253" t="n">
        <v>4177</v>
      </c>
      <c r="AN146" s="253" t="n">
        <v>1489</v>
      </c>
      <c r="AO146" s="253" t="n">
        <v>2200</v>
      </c>
      <c r="AP146" s="253" t="n">
        <v>1560</v>
      </c>
      <c r="AQ146" s="253" t="n">
        <v>33</v>
      </c>
      <c r="AR146" s="253" t="n">
        <v>5282</v>
      </c>
      <c r="AS146" s="253" t="n">
        <v>921</v>
      </c>
      <c r="AT146" s="253" t="n">
        <v>1318</v>
      </c>
      <c r="AU146" s="253" t="n">
        <v>2112</v>
      </c>
      <c r="AV146" s="253" t="n">
        <v>3462</v>
      </c>
      <c r="AW146" s="253" t="n">
        <v>7813</v>
      </c>
      <c r="AX146" s="253" t="n">
        <v>3353</v>
      </c>
      <c r="AY146" s="253" t="n">
        <v>3460</v>
      </c>
      <c r="AZ146" s="253" t="n">
        <v>4128</v>
      </c>
      <c r="BA146" s="253" t="n">
        <v>3760</v>
      </c>
      <c r="BB146" s="253" t="n">
        <v>14701</v>
      </c>
      <c r="BC146" s="253" t="n">
        <v>2498</v>
      </c>
      <c r="BD146" s="253" t="n">
        <v>3012</v>
      </c>
      <c r="BE146" s="253" t="n">
        <v>2323</v>
      </c>
      <c r="BF146" s="253" t="n">
        <v>3523</v>
      </c>
      <c r="BG146" s="253" t="n">
        <v>11356</v>
      </c>
      <c r="BH146" s="253" t="n">
        <v>3154</v>
      </c>
      <c r="BI146" s="253" t="n">
        <v>3535</v>
      </c>
      <c r="BJ146" s="253" t="n">
        <v>1508</v>
      </c>
      <c r="BK146" s="253" t="n">
        <v>3725</v>
      </c>
      <c r="BL146" s="253" t="n">
        <v>11922</v>
      </c>
      <c r="BM146" s="253" t="n">
        <v>4653</v>
      </c>
      <c r="BN146" s="253" t="n">
        <v>3932</v>
      </c>
      <c r="BO146" s="253" t="n">
        <v>5405</v>
      </c>
      <c r="BP146" s="253" t="n">
        <v>5707</v>
      </c>
      <c r="BQ146" s="253" t="n">
        <v>19697</v>
      </c>
      <c r="BR146" s="253" t="n">
        <v>7249</v>
      </c>
      <c r="BS146" s="253" t="n">
        <v>5737</v>
      </c>
      <c r="BT146" s="253" t="n">
        <v>9008</v>
      </c>
      <c r="BU146" s="253" t="n">
        <v>4662</v>
      </c>
      <c r="BV146" s="253" t="n">
        <v>26656</v>
      </c>
      <c r="BW146" s="253" t="n">
        <v>14834</v>
      </c>
      <c r="BX146" s="253" t="n">
        <v>26560</v>
      </c>
      <c r="BY146" s="254">
        <f>BY145*BY147</f>
        <v>7673.79580532399</v>
      </c>
      <c r="BZ146" s="254">
        <f>BZ145*BZ147</f>
        <v>9277.46177081772</v>
      </c>
      <c r="CA146" s="254">
        <f>SUM(BW146:BZ146)</f>
        <v>58345.2575761417</v>
      </c>
      <c r="CB146" s="254">
        <f>CB145*CB147</f>
        <v>34565.6091300541</v>
      </c>
      <c r="CC146" s="254">
        <f>CC145*CC147</f>
        <v>37345.0064982422</v>
      </c>
      <c r="CD146" s="254">
        <f>CD145*CD147</f>
        <v>41159.7952648691</v>
      </c>
      <c r="CE146" s="254">
        <f>CE145*CE147</f>
        <v>45056.4707015704</v>
      </c>
      <c r="CF146" s="19" t="n"/>
    </row>
    <row r="147" ht="15" customHeight="1" s="251">
      <c r="B147" s="25" t="inlineStr">
        <is>
          <t xml:space="preserve">  Effective tax rate</t>
        </is>
      </c>
      <c r="C147" s="215">
        <f>IF(AND(ISNUMBER(C146),ISNUMBER(C145)),IFERROR(C146/C145,""),"")</f>
        <v>0.232756093182816</v>
      </c>
      <c r="D147" s="215">
        <f>IF(AND(ISNUMBER(D146),ISNUMBER(D145)),IFERROR(D146/D145,""),"")</f>
        <v>0.259123225672279</v>
      </c>
      <c r="E147" s="215">
        <f>IF(AND(ISNUMBER(E146),ISNUMBER(E145)),IFERROR(E146/E145,""),"")</f>
        <v>0.277904043941536</v>
      </c>
      <c r="F147" s="215">
        <f>IF(AND(ISNUMBER(F146),ISNUMBER(F145)),IFERROR(F146/F145,""),"")</f>
        <v>0.222013964844368</v>
      </c>
      <c r="G147" s="215">
        <f>IF(AND(ISNUMBER(G146),ISNUMBER(G145)),IFERROR(G146/G145,""),"")</f>
        <v>0.212208225268618</v>
      </c>
      <c r="H147" s="215">
        <f>IF(AND(ISNUMBER(H146),ISNUMBER(H145)),IFERROR(H146/H145,""),"")</f>
        <v>0.210043809832874</v>
      </c>
      <c r="I147" s="215">
        <f>IF(AND(ISNUMBER(I146),ISNUMBER(I145)),IFERROR(I146/I145,""),"")</f>
        <v>0.194083370685791</v>
      </c>
      <c r="J147" s="215">
        <f>IF(AND(ISNUMBER(J146),ISNUMBER(J145)),IFERROR(J146/J145,""),"")</f>
        <v>0.0794793685959568</v>
      </c>
      <c r="K147" s="215">
        <f>IF(AND(ISNUMBER(K146),ISNUMBER(K145)),IFERROR(K146/K145,""),"")</f>
        <v>0.24213649851632</v>
      </c>
      <c r="L147" s="215">
        <f>IF(AND(ISNUMBER(L146),ISNUMBER(L145)),IFERROR(L146/L145,""),"")</f>
        <v>0.147923875432526</v>
      </c>
      <c r="M147" s="215">
        <f>IF(AND(ISNUMBER(M146),ISNUMBER(M145)),IFERROR(M146/M145,""),"")</f>
        <v>0.164566345441067</v>
      </c>
      <c r="N147" s="215">
        <f>IF(AND(ISNUMBER(N146),ISNUMBER(N145)),IFERROR(N146/N145,""),"")</f>
        <v>0.157422737306843</v>
      </c>
      <c r="O147" s="215">
        <f>IF(AND(ISNUMBER(O146),ISNUMBER(O145)),IFERROR(O146/O145,""),"")</f>
        <v>0.183810375670841</v>
      </c>
      <c r="P147" s="215">
        <f>IF(AND(ISNUMBER(P146),ISNUMBER(P145)),IFERROR(P146/P145,""),"")</f>
        <v>0.207358619123325</v>
      </c>
      <c r="Q147" s="215">
        <f>IF(AND(ISNUMBER(Q146),ISNUMBER(Q145)),IFERROR(Q146/Q145,""),"")</f>
        <v>0.222711952294529</v>
      </c>
      <c r="R147" s="215">
        <f>IF(AND(ISNUMBER(R146),ISNUMBER(R145)),IFERROR(R146/R145,""),"")</f>
        <v>0.162800971946101</v>
      </c>
      <c r="S147" s="215">
        <f>IF(AND(ISNUMBER(S146),ISNUMBER(S145)),IFERROR(S146/S145,""),"")</f>
        <v>0.193000753230199</v>
      </c>
      <c r="T147" s="215">
        <f>IF(AND(ISNUMBER(T146),ISNUMBER(T145)),IFERROR(T146/T145,""),"")</f>
        <v>0.221112076455256</v>
      </c>
      <c r="U147" s="215">
        <f>IF(AND(ISNUMBER(U146),ISNUMBER(U145)),IFERROR(U146/U145,""),"")</f>
        <v>0.20682001614205</v>
      </c>
      <c r="V147" s="215">
        <f>IF(AND(ISNUMBER(V146),ISNUMBER(V145)),IFERROR(V146/V145,""),"")</f>
        <v>0.186464935595993</v>
      </c>
      <c r="W147" s="215">
        <f>IF(AND(ISNUMBER(W146),ISNUMBER(W145)),IFERROR(W146/W145,""),"")</f>
        <v>0.0532692307692308</v>
      </c>
      <c r="X147" s="215">
        <f>IF(AND(ISNUMBER(X146),ISNUMBER(X145)),IFERROR(X146/X145,""),"")</f>
        <v>0.168083049208692</v>
      </c>
      <c r="Y147" s="215">
        <f>IF(AND(ISNUMBER(Y146),ISNUMBER(Y145)),IFERROR(Y146/Y145,""),"")</f>
        <v>0.179762136868785</v>
      </c>
      <c r="Z147" s="215">
        <f>IF(AND(ISNUMBER(Z146),ISNUMBER(Z145)),IFERROR(Z146/Z145,""),"")</f>
        <v>0.20297434221278</v>
      </c>
      <c r="AA147" s="215">
        <f>IF(AND(ISNUMBER(AA146),ISNUMBER(AA145)),IFERROR(AA146/AA145,""),"")</f>
        <v>0.162779156327543</v>
      </c>
      <c r="AB147" s="215">
        <f>IF(AND(ISNUMBER(AB146),ISNUMBER(AB145)),IFERROR(AB146/AB145,""),"")</f>
        <v>0.222254630304798</v>
      </c>
      <c r="AC147" s="215">
        <f>IF(AND(ISNUMBER(AC146),ISNUMBER(AC145)),IFERROR(AC146/AC145,""),"")</f>
        <v>0.193457556935818</v>
      </c>
      <c r="AD147" s="215">
        <f>IF(AND(ISNUMBER(AD146),ISNUMBER(AD145)),IFERROR(AD146/AD145,""),"")</f>
        <v>0.20428215280833</v>
      </c>
      <c r="AE147" s="215">
        <f>IF(AND(ISNUMBER(AE146),ISNUMBER(AE145)),IFERROR(AE146/AE145,""),"")</f>
        <v>0.194882339501942</v>
      </c>
      <c r="AF147" s="215">
        <f>IF(AND(ISNUMBER(AF146),ISNUMBER(AF145)),IFERROR(AF146/AF145,""),"")</f>
        <v>0.156285248778042</v>
      </c>
      <c r="AG147" s="215">
        <f>IF(AND(ISNUMBER(AG146),ISNUMBER(AG145)),IFERROR(AG146/AG145,""),"")</f>
        <v>1.37665253180344</v>
      </c>
      <c r="AH147" s="215">
        <f>IF(AND(ISNUMBER(AH146),ISNUMBER(AH145)),IFERROR(AH146/AH145,""),"")</f>
        <v>0.534365461699702</v>
      </c>
      <c r="AI147" s="215">
        <f>IF(AND(ISNUMBER(AI146),ISNUMBER(AI145)),IFERROR(AI146/AI145,""),"")</f>
        <v>0.10831831546998</v>
      </c>
      <c r="AJ147" s="215">
        <f>IF(AND(ISNUMBER(AJ146),ISNUMBER(AJ145)),IFERROR(AJ146/AJ145,""),"")</f>
        <v>0.241992882562278</v>
      </c>
      <c r="AK147" s="215">
        <f>IF(AND(ISNUMBER(AK146),ISNUMBER(AK145)),IFERROR(AK146/AK145,""),"")</f>
        <v>0.0883665575721511</v>
      </c>
      <c r="AL147" s="215">
        <f>IF(AND(ISNUMBER(AL146),ISNUMBER(AL145)),IFERROR(AL146/AL145,""),"")</f>
        <v>0.111596505162828</v>
      </c>
      <c r="AM147" s="215">
        <f>IF(AND(ISNUMBER(AM146),ISNUMBER(AM145)),IFERROR(AM146/AM145,""),"")</f>
        <v>0.119640248617993</v>
      </c>
      <c r="AN147" s="215">
        <f>IF(AND(ISNUMBER(AN146),ISNUMBER(AN145)),IFERROR(AN146/AN145,""),"")</f>
        <v>0.182789098944267</v>
      </c>
      <c r="AO147" s="215">
        <f>IF(AND(ISNUMBER(AO146),ISNUMBER(AO145)),IFERROR(AO146/AO145,""),"")</f>
        <v>0.181114678521446</v>
      </c>
      <c r="AP147" s="215">
        <f>IF(AND(ISNUMBER(AP146),ISNUMBER(AP145)),IFERROR(AP146/AP145,""),"")</f>
        <v>0.180806675938804</v>
      </c>
      <c r="AQ147" s="215">
        <f>IF(AND(ISNUMBER(AQ146),ISNUMBER(AQ145)),IFERROR(AQ146/AQ145,""),"")</f>
        <v>0.00308295964125561</v>
      </c>
      <c r="AR147" s="215">
        <f>IF(AND(ISNUMBER(AR146),ISNUMBER(AR145)),IFERROR(AR146/AR145,""),"")</f>
        <v>0.133299684542587</v>
      </c>
      <c r="AS147" s="215">
        <f>IF(AND(ISNUMBER(AS146),ISNUMBER(AS145)),IFERROR(AS146/AS145,""),"")</f>
        <v>0.118731468351167</v>
      </c>
      <c r="AT147" s="215">
        <f>IF(AND(ISNUMBER(AT146),ISNUMBER(AT145)),IFERROR(AT146/AT145,""),"")</f>
        <v>0.159236438323064</v>
      </c>
      <c r="AU147" s="215">
        <f>IF(AND(ISNUMBER(AU146),ISNUMBER(AU145)),IFERROR(AU146/AU145,""),"")</f>
        <v>0.158095665843252</v>
      </c>
      <c r="AV147" s="215">
        <f>IF(AND(ISNUMBER(AV146),ISNUMBER(AV145)),IFERROR(AV146/AV145,""),"")</f>
        <v>0.185242656107871</v>
      </c>
      <c r="AW147" s="215">
        <f>IF(AND(ISNUMBER(AW146),ISNUMBER(AW145)),IFERROR(AW146/AW145,""),"")</f>
        <v>0.162493240713781</v>
      </c>
      <c r="AX147" s="215">
        <f>IF(AND(ISNUMBER(AX146),ISNUMBER(AX145)),IFERROR(AX146/AX145,""),"")</f>
        <v>0.157543579382606</v>
      </c>
      <c r="AY147" s="215">
        <f>IF(AND(ISNUMBER(AY146),ISNUMBER(AY145)),IFERROR(AY146/AY145,""),"")</f>
        <v>0.157380031839891</v>
      </c>
      <c r="AZ147" s="215">
        <f>IF(AND(ISNUMBER(AZ146),ISNUMBER(AZ145)),IFERROR(AZ146/AZ145,""),"")</f>
        <v>0.1789802289282</v>
      </c>
      <c r="BA147" s="215">
        <f>IF(AND(ISNUMBER(BA146),ISNUMBER(BA145)),IFERROR(BA146/BA145,""),"")</f>
        <v>0.154085730677813</v>
      </c>
      <c r="BB147" s="215">
        <f>IF(AND(ISNUMBER(BB146),ISNUMBER(BB145)),IFERROR(BB146/BB145,""),"")</f>
        <v>0.162023056406639</v>
      </c>
      <c r="BC147" s="215">
        <f>IF(AND(ISNUMBER(BC146),ISNUMBER(BC145)),IFERROR(BC146/BC145,""),"")</f>
        <v>0.13193197422626</v>
      </c>
      <c r="BD147" s="215">
        <f>IF(AND(ISNUMBER(BD146),ISNUMBER(BD145)),IFERROR(BD146/BD145,""),"")</f>
        <v>0.158409592931524</v>
      </c>
      <c r="BE147" s="215">
        <f>IF(AND(ISNUMBER(BE146),ISNUMBER(BE145)),IFERROR(BE146/BE145,""),"")</f>
        <v>0.143103554487772</v>
      </c>
      <c r="BF147" s="215">
        <f>IF(AND(ISNUMBER(BF146),ISNUMBER(BF145)),IFERROR(BF146/BF145,""),"")</f>
        <v>0.205458680818802</v>
      </c>
      <c r="BG147" s="215">
        <f>IF(AND(ISNUMBER(BG146),ISNUMBER(BG145)),IFERROR(BG146/BG145,""),"")</f>
        <v>0.159208165096456</v>
      </c>
      <c r="BH147" s="215">
        <f>IF(AND(ISNUMBER(BH146),ISNUMBER(BH145)),IFERROR(BH146/BH145,""),"")</f>
        <v>0.17324910738808</v>
      </c>
      <c r="BI147" s="215">
        <f>IF(AND(ISNUMBER(BI146),ISNUMBER(BI145)),IFERROR(BI146/BI145,""),"")</f>
        <v>0.161393416426973</v>
      </c>
      <c r="BJ147" s="215">
        <f>IF(AND(ISNUMBER(BJ146),ISNUMBER(BJ145)),IFERROR(BJ146/BJ145,""),"")</f>
        <v>0.0711421427560504</v>
      </c>
      <c r="BK147" s="215">
        <f>IF(AND(ISNUMBER(BK146),ISNUMBER(BK145)),IFERROR(BK146/BK145,""),"")</f>
        <v>0.152588890709487</v>
      </c>
      <c r="BL147" s="215">
        <f>IF(AND(ISNUMBER(BL146),ISNUMBER(BL145)),IFERROR(BL146/BL145,""),"")</f>
        <v>0.139085595622805</v>
      </c>
      <c r="BM147" s="215">
        <f>IF(AND(ISNUMBER(BM146),ISNUMBER(BM145)),IFERROR(BM146/BM145,""),"")</f>
        <v>0.164329860497969</v>
      </c>
      <c r="BN147" s="215">
        <f>IF(AND(ISNUMBER(BN146),ISNUMBER(BN145)),IFERROR(BN146/BN145,""),"")</f>
        <v>0.142717142753439</v>
      </c>
      <c r="BO147" s="215">
        <f>IF(AND(ISNUMBER(BO146),ISNUMBER(BO145)),IFERROR(BO146/BO145,""),"")</f>
        <v>0.170472465779348</v>
      </c>
      <c r="BP147" s="215">
        <f>IF(AND(ISNUMBER(BP146),ISNUMBER(BP145)),IFERROR(BP146/BP145,""),"")</f>
        <v>0.176999658840679</v>
      </c>
      <c r="BQ147" s="215">
        <f>IF(AND(ISNUMBER(BQ146),ISNUMBER(BQ145)),IFERROR(BQ146/BQ145,""),"")</f>
        <v>0.16439510912657</v>
      </c>
      <c r="BR147" s="215">
        <f>IF(AND(ISNUMBER(BR146),ISNUMBER(BR145)),IFERROR(BR146/BR145,""),"")</f>
        <v>0.173466701763622</v>
      </c>
      <c r="BS147" s="215">
        <f>IF(AND(ISNUMBER(BS146),ISNUMBER(BS145)),IFERROR(BS146/BS145,""),"")</f>
        <v>0.169068458432794</v>
      </c>
      <c r="BT147" s="215">
        <f>IF(AND(ISNUMBER(BT146),ISNUMBER(BT145)),IFERROR(BT146/BT145,""),"")</f>
        <v>0.204787778207198</v>
      </c>
      <c r="BU147" s="215">
        <f>IF(AND(ISNUMBER(BU146),ISNUMBER(BU145)),IFERROR(BU146/BU145,""),"")</f>
        <v>0.119180918782115</v>
      </c>
      <c r="BV147" s="215">
        <f>IF(AND(ISNUMBER(BV146),ISNUMBER(BV145)),IFERROR(BV146/BV145,""),"")</f>
        <v>0.167831463362422</v>
      </c>
      <c r="BW147" s="215">
        <f>IF(AND(ISNUMBER(BW146),ISNUMBER(BW145)),IFERROR(BW146/BW145,""),"")</f>
        <v>0.191624037616907</v>
      </c>
      <c r="BX147" s="215">
        <f>IF(AND(ISNUMBER(BX146),ISNUMBER(BX145)),IFERROR(BX146/BX145,""),"")</f>
        <v>0.19141928462808</v>
      </c>
      <c r="BY147" s="256">
        <f>$CP$21</f>
        <v>0.18</v>
      </c>
      <c r="BZ147" s="256">
        <f>$CP$21</f>
        <v>0.18</v>
      </c>
      <c r="CA147" s="256">
        <f>IF(AND(ISNUMBER(CA146),ISNUMBER(CA145)),IFERROR(CA146/CA145,""),"")</f>
        <v>0.188005125930584</v>
      </c>
      <c r="CB147" s="268" t="n">
        <v>0.175</v>
      </c>
      <c r="CC147" s="268" t="n">
        <v>0.175</v>
      </c>
      <c r="CD147" s="268" t="n">
        <v>0.175</v>
      </c>
      <c r="CE147" s="268" t="n">
        <v>0.175</v>
      </c>
      <c r="CF147" s="153" t="n"/>
      <c r="CH147" s="37">
        <f>IFERROR(AVERAGE(CA147,CB147,CC147,CD147,CE147),"n/m")</f>
        <v>0.177601025186117</v>
      </c>
      <c r="CI147" s="37">
        <f>IFERROR(AVERAGE(BB147,BG147,BL147,BQ147,BV147),"n/m")</f>
        <v>0.158508677922978</v>
      </c>
      <c r="CJ147" s="37">
        <f>IFERROR(AVERAGE(AC147,AH147,AM147,AR147,AW147,BB147,BG147,BL147,BQ147,BV147),"n/m")</f>
        <v>0.193579958212477</v>
      </c>
      <c r="CK147" s="37">
        <f>IFERROR(AVERAGE(C147,D147,E147,F147,G147,H147,I147,N147,S147,X147,AC147,AH147,AM147,AR147,AW147,BB147,BG147,BL147,BQ147,BV147),"n/m")</f>
        <v>0.203121942764939</v>
      </c>
    </row>
    <row r="148" ht="15" customHeight="1" s="251">
      <c r="B148" s="25" t="inlineStr">
        <is>
          <t>Net income (loss) from discontinued operations (Motorola Home 2012–13, Motorola Mobile 2014)</t>
        </is>
      </c>
      <c r="C148" s="253" t="n">
        <v>0</v>
      </c>
      <c r="D148" s="253" t="n">
        <v>0</v>
      </c>
      <c r="E148" s="253" t="n">
        <v>0</v>
      </c>
      <c r="F148" s="253" t="n">
        <v>0</v>
      </c>
      <c r="G148" s="253" t="n">
        <v>0</v>
      </c>
      <c r="H148" s="253" t="n">
        <v>0</v>
      </c>
      <c r="I148" s="253" t="n">
        <v>-51</v>
      </c>
      <c r="J148" s="253" t="n">
        <v>22</v>
      </c>
      <c r="K148" s="253" t="n">
        <v>674</v>
      </c>
      <c r="L148" s="253" t="n">
        <v>15</v>
      </c>
      <c r="M148" s="253" t="n">
        <v>-5</v>
      </c>
      <c r="N148" s="253" t="n">
        <v>706</v>
      </c>
      <c r="O148" s="253" t="n">
        <v>-198</v>
      </c>
      <c r="P148" s="253" t="n">
        <v>-68</v>
      </c>
      <c r="Q148" s="253" t="n">
        <v>-185</v>
      </c>
      <c r="R148" s="253" t="n">
        <v>967</v>
      </c>
      <c r="S148" s="253" t="n">
        <v>516</v>
      </c>
      <c r="T148" s="253" t="n">
        <v>0</v>
      </c>
      <c r="U148" s="253" t="n">
        <v>0</v>
      </c>
      <c r="V148" s="253" t="n">
        <v>0</v>
      </c>
      <c r="W148" s="253" t="n">
        <v>0</v>
      </c>
      <c r="X148" s="253" t="n">
        <v>0</v>
      </c>
      <c r="Y148" s="253" t="n">
        <v>0</v>
      </c>
      <c r="Z148" s="253" t="n">
        <v>0</v>
      </c>
      <c r="AA148" s="253" t="n">
        <v>0</v>
      </c>
      <c r="AB148" s="253" t="n">
        <v>0</v>
      </c>
      <c r="AC148" s="253" t="n">
        <v>0</v>
      </c>
      <c r="AD148" s="253" t="n">
        <v>0</v>
      </c>
      <c r="AE148" s="253" t="n">
        <v>0</v>
      </c>
      <c r="AF148" s="253" t="n">
        <v>0</v>
      </c>
      <c r="AG148" s="253" t="n">
        <v>0</v>
      </c>
      <c r="AH148" s="253" t="n">
        <v>0</v>
      </c>
      <c r="AI148" s="253" t="n">
        <v>0</v>
      </c>
      <c r="AJ148" s="253" t="n">
        <v>0</v>
      </c>
      <c r="AK148" s="253" t="n">
        <v>0</v>
      </c>
      <c r="AL148" s="253" t="n">
        <v>0</v>
      </c>
      <c r="AM148" s="253" t="n">
        <v>0</v>
      </c>
      <c r="AN148" s="253" t="n">
        <v>0</v>
      </c>
      <c r="AO148" s="253" t="n">
        <v>0</v>
      </c>
      <c r="AP148" s="253" t="n">
        <v>0</v>
      </c>
      <c r="AQ148" s="253" t="n">
        <v>0</v>
      </c>
      <c r="AR148" s="253" t="n">
        <v>0</v>
      </c>
      <c r="AS148" s="253" t="n">
        <v>0</v>
      </c>
      <c r="AT148" s="253" t="n">
        <v>0</v>
      </c>
      <c r="AU148" s="253" t="n">
        <v>0</v>
      </c>
      <c r="AV148" s="253" t="n">
        <v>0</v>
      </c>
      <c r="AW148" s="253" t="n">
        <v>0</v>
      </c>
      <c r="AX148" s="253" t="n">
        <v>0</v>
      </c>
      <c r="AY148" s="253" t="n">
        <v>0</v>
      </c>
      <c r="AZ148" s="253" t="n">
        <v>0</v>
      </c>
      <c r="BA148" s="253" t="n">
        <v>0</v>
      </c>
      <c r="BB148" s="253" t="n">
        <v>0</v>
      </c>
      <c r="BC148" s="253" t="n">
        <v>0</v>
      </c>
      <c r="BD148" s="253" t="n">
        <v>0</v>
      </c>
      <c r="BE148" s="253" t="n">
        <v>0</v>
      </c>
      <c r="BF148" s="253" t="n">
        <v>0</v>
      </c>
      <c r="BG148" s="253" t="n">
        <v>0</v>
      </c>
      <c r="BH148" s="253" t="n">
        <v>0</v>
      </c>
      <c r="BI148" s="253" t="n">
        <v>0</v>
      </c>
      <c r="BJ148" s="253" t="n">
        <v>0</v>
      </c>
      <c r="BK148" s="253" t="n">
        <v>0</v>
      </c>
      <c r="BL148" s="253" t="n">
        <v>0</v>
      </c>
      <c r="BM148" s="253" t="n">
        <v>0</v>
      </c>
      <c r="BN148" s="253" t="n">
        <v>0</v>
      </c>
      <c r="BO148" s="253" t="n">
        <v>0</v>
      </c>
      <c r="BP148" s="253" t="n">
        <v>0</v>
      </c>
      <c r="BQ148" s="253" t="n">
        <v>0</v>
      </c>
      <c r="BR148" s="253" t="n">
        <v>0</v>
      </c>
      <c r="BS148" s="253" t="n">
        <v>0</v>
      </c>
      <c r="BT148" s="253" t="n">
        <v>0</v>
      </c>
      <c r="BU148" s="253" t="n">
        <v>0</v>
      </c>
      <c r="BV148" s="253" t="n">
        <v>0</v>
      </c>
      <c r="BW148" s="253" t="n">
        <v>0</v>
      </c>
      <c r="BX148" s="253" t="n">
        <v>0</v>
      </c>
      <c r="BY148" s="254">
        <f>0</f>
        <v>0</v>
      </c>
      <c r="BZ148" s="254">
        <f>0</f>
        <v>0</v>
      </c>
      <c r="CA148" s="254">
        <f>SUM(BW148:BZ148)</f>
        <v>0</v>
      </c>
      <c r="CB148" s="254">
        <f>0</f>
        <v>0</v>
      </c>
      <c r="CC148" s="254">
        <f>0</f>
        <v>0</v>
      </c>
      <c r="CD148" s="254">
        <f>0</f>
        <v>0</v>
      </c>
      <c r="CE148" s="254">
        <f>0</f>
        <v>0</v>
      </c>
      <c r="CF148" s="19" t="n"/>
    </row>
    <row r="149" collapsed="1" ht="15" customHeight="1" s="251">
      <c r="B149" s="55" t="inlineStr">
        <is>
          <t>Net income</t>
        </is>
      </c>
      <c r="C149" s="260">
        <f>IF(ISNUMBER(C145),C145-C146+N(C148),"")</f>
        <v>3077.446</v>
      </c>
      <c r="D149" s="260">
        <f>IF(ISNUMBER(D145),D145-D146+N(D148),"")</f>
        <v>4203.72</v>
      </c>
      <c r="E149" s="260">
        <f>IF(ISNUMBER(E145),E145-E146+N(E148),"")</f>
        <v>4226.858</v>
      </c>
      <c r="F149" s="260">
        <f>IF(ISNUMBER(F145),F145-F146+N(F148),"")</f>
        <v>6520.448</v>
      </c>
      <c r="G149" s="260">
        <f>IF(ISNUMBER(G145),G145-G146+N(G148),"")</f>
        <v>8505</v>
      </c>
      <c r="H149" s="260">
        <f>IF(ISNUMBER(H145),H145-H146+N(H148),"")</f>
        <v>9737</v>
      </c>
      <c r="I149" s="260">
        <f>IF(ISNUMBER(I145),I145-I146+N(I148),"")</f>
        <v>10737</v>
      </c>
      <c r="J149" s="260">
        <f>IF(ISNUMBER(J145),J145-J146+N(J148),"")</f>
        <v>3346</v>
      </c>
      <c r="K149" s="260">
        <f>IF(ISNUMBER(K145),K145-K146+N(K148),"")</f>
        <v>3228</v>
      </c>
      <c r="L149" s="260">
        <f>IF(ISNUMBER(L145),L145-L146+N(L148),"")</f>
        <v>2970</v>
      </c>
      <c r="M149" s="260">
        <f>IF(ISNUMBER(M145),M145-M146+N(M148),"")</f>
        <v>3376</v>
      </c>
      <c r="N149" s="260">
        <f>IF(ISNUMBER(N145),N145-N146+N(N148),"")</f>
        <v>12920</v>
      </c>
      <c r="O149" s="260">
        <f>IF(ISNUMBER(O145),O145-O146+N(O148),"")</f>
        <v>3452</v>
      </c>
      <c r="P149" s="260">
        <f>IF(ISNUMBER(P145),P145-P146+N(P148),"")</f>
        <v>3422</v>
      </c>
      <c r="Q149" s="260">
        <f>IF(ISNUMBER(Q145),Q145-Q146+N(Q148),"")</f>
        <v>2813</v>
      </c>
      <c r="R149" s="260">
        <f>IF(ISNUMBER(R145),R145-R146+N(R148),"")</f>
        <v>4757</v>
      </c>
      <c r="S149" s="260">
        <f>IF(ISNUMBER(S145),S145-S146+N(S148),"")</f>
        <v>14444</v>
      </c>
      <c r="T149" s="260">
        <f>IF(ISNUMBER(T145),T145-T146+N(T148),"")</f>
        <v>3586</v>
      </c>
      <c r="U149" s="260">
        <f>IF(ISNUMBER(U145),U145-U146+N(U148),"")</f>
        <v>3931</v>
      </c>
      <c r="V149" s="260">
        <f>IF(ISNUMBER(V145),V145-V146+N(V148),"")</f>
        <v>3979</v>
      </c>
      <c r="W149" s="260">
        <f>IF(ISNUMBER(W145),W145-W146+N(W148),"")</f>
        <v>4923</v>
      </c>
      <c r="X149" s="260">
        <f>IF(ISNUMBER(X145),X145-X146+N(X148),"")</f>
        <v>16348</v>
      </c>
      <c r="Y149" s="260">
        <f>IF(ISNUMBER(Y145),Y145-Y146+N(Y148),"")</f>
        <v>4207</v>
      </c>
      <c r="Z149" s="260">
        <f>IF(ISNUMBER(Z145),Z145-Z146+N(Z148),"")</f>
        <v>4877</v>
      </c>
      <c r="AA149" s="260">
        <f>IF(ISNUMBER(AA145),AA145-AA146+N(AA148),"")</f>
        <v>5061</v>
      </c>
      <c r="AB149" s="260">
        <f>IF(ISNUMBER(AB145),AB145-AB146+N(AB148),"")</f>
        <v>5333</v>
      </c>
      <c r="AC149" s="260">
        <f>IF(ISNUMBER(AC145),AC145-AC146+N(AC148),"")</f>
        <v>19478</v>
      </c>
      <c r="AD149" s="260">
        <f>IF(ISNUMBER(AD145),AD145-AD146+N(AD148),"")</f>
        <v>5426</v>
      </c>
      <c r="AE149" s="260">
        <f>IF(ISNUMBER(AE145),AE145-AE146+N(AE148),"")</f>
        <v>3524</v>
      </c>
      <c r="AF149" s="260">
        <f>IF(ISNUMBER(AF145),AF145-AF146+N(AF148),"")</f>
        <v>6732</v>
      </c>
      <c r="AG149" s="260">
        <f>IF(ISNUMBER(AG145),AG145-AG146+N(AG148),"")</f>
        <v>-3020</v>
      </c>
      <c r="AH149" s="260">
        <f>IF(ISNUMBER(AH145),AH145-AH146+N(AH148),"")</f>
        <v>12662</v>
      </c>
      <c r="AI149" s="260">
        <f>IF(ISNUMBER(AI145),AI145-AI146+N(AI148),"")</f>
        <v>9401</v>
      </c>
      <c r="AJ149" s="260">
        <f>IF(ISNUMBER(AJ145),AJ145-AJ146+N(AJ148),"")</f>
        <v>3195</v>
      </c>
      <c r="AK149" s="260">
        <f>IF(ISNUMBER(AK145),AK145-AK146+N(AK148),"")</f>
        <v>9192</v>
      </c>
      <c r="AL149" s="260">
        <f>IF(ISNUMBER(AL145),AL145-AL146+N(AL148),"")</f>
        <v>8948</v>
      </c>
      <c r="AM149" s="260">
        <f>IF(ISNUMBER(AM145),AM145-AM146+N(AM148),"")</f>
        <v>30736</v>
      </c>
      <c r="AN149" s="260">
        <f>IF(ISNUMBER(AN145),AN145-AN146+N(AN148),"")</f>
        <v>6657</v>
      </c>
      <c r="AO149" s="260">
        <f>IF(ISNUMBER(AO145),AO145-AO146+N(AO148),"")</f>
        <v>9947</v>
      </c>
      <c r="AP149" s="260">
        <f>IF(ISNUMBER(AP145),AP145-AP146+N(AP148),"")</f>
        <v>7068</v>
      </c>
      <c r="AQ149" s="260">
        <f>IF(ISNUMBER(AQ145),AQ145-AQ146+N(AQ148),"")</f>
        <v>10671</v>
      </c>
      <c r="AR149" s="260">
        <f>IF(ISNUMBER(AR145),AR145-AR146+N(AR148),"")</f>
        <v>34343</v>
      </c>
      <c r="AS149" s="260">
        <f>IF(ISNUMBER(AS145),AS145-AS146+N(AS148),"")</f>
        <v>6836</v>
      </c>
      <c r="AT149" s="260">
        <f>IF(ISNUMBER(AT145),AT145-AT146+N(AT148),"")</f>
        <v>6959</v>
      </c>
      <c r="AU149" s="260">
        <f>IF(ISNUMBER(AU145),AU145-AU146+N(AU148),"")</f>
        <v>11247</v>
      </c>
      <c r="AV149" s="260">
        <f>IF(ISNUMBER(AV145),AV145-AV146+N(AV148),"")</f>
        <v>15227</v>
      </c>
      <c r="AW149" s="260">
        <f>IF(ISNUMBER(AW145),AW145-AW146+N(AW148),"")</f>
        <v>40269</v>
      </c>
      <c r="AX149" s="260">
        <f>IF(ISNUMBER(AX145),AX145-AX146+N(AX148),"")</f>
        <v>17930</v>
      </c>
      <c r="AY149" s="260">
        <f>IF(ISNUMBER(AY145),AY145-AY146+N(AY148),"")</f>
        <v>18525</v>
      </c>
      <c r="AZ149" s="260">
        <f>IF(ISNUMBER(AZ145),AZ145-AZ146+N(AZ148),"")</f>
        <v>18936</v>
      </c>
      <c r="BA149" s="260">
        <f>IF(ISNUMBER(BA145),BA145-BA146+N(BA148),"")</f>
        <v>20642</v>
      </c>
      <c r="BB149" s="260">
        <f>IF(ISNUMBER(BB145),BB145-BB146+N(BB148),"")</f>
        <v>76033</v>
      </c>
      <c r="BC149" s="260">
        <f>IF(ISNUMBER(BC145),BC145-BC146+N(BC148),"")</f>
        <v>16436</v>
      </c>
      <c r="BD149" s="260">
        <f>IF(ISNUMBER(BD145),BD145-BD146+N(BD148),"")</f>
        <v>16002</v>
      </c>
      <c r="BE149" s="260">
        <f>IF(ISNUMBER(BE145),BE145-BE146+N(BE148),"")</f>
        <v>13910</v>
      </c>
      <c r="BF149" s="260">
        <f>IF(ISNUMBER(BF145),BF145-BF146+N(BF148),"")</f>
        <v>13624</v>
      </c>
      <c r="BG149" s="260">
        <f>IF(ISNUMBER(BG145),BG145-BG146+N(BG148),"")</f>
        <v>59972</v>
      </c>
      <c r="BH149" s="260">
        <f>IF(ISNUMBER(BH145),BH145-BH146+N(BH148),"")</f>
        <v>15051</v>
      </c>
      <c r="BI149" s="260">
        <f>IF(ISNUMBER(BI145),BI145-BI146+N(BI148),"")</f>
        <v>18368</v>
      </c>
      <c r="BJ149" s="260">
        <f>IF(ISNUMBER(BJ145),BJ145-BJ146+N(BJ148),"")</f>
        <v>19689</v>
      </c>
      <c r="BK149" s="260">
        <f>IF(ISNUMBER(BK145),BK145-BK146+N(BK148),"")</f>
        <v>20687</v>
      </c>
      <c r="BL149" s="260">
        <f>IF(ISNUMBER(BL145),BL145-BL146+N(BL148),"")</f>
        <v>73795</v>
      </c>
      <c r="BM149" s="260">
        <f>IF(ISNUMBER(BM145),BM145-BM146+N(BM148),"")</f>
        <v>23662</v>
      </c>
      <c r="BN149" s="260">
        <f>IF(ISNUMBER(BN145),BN145-BN146+N(BN148),"")</f>
        <v>23619</v>
      </c>
      <c r="BO149" s="260">
        <f>IF(ISNUMBER(BO145),BO145-BO146+N(BO148),"")</f>
        <v>26301</v>
      </c>
      <c r="BP149" s="260">
        <f>IF(ISNUMBER(BP145),BP145-BP146+N(BP148),"")</f>
        <v>26536</v>
      </c>
      <c r="BQ149" s="260">
        <f>IF(ISNUMBER(BQ145),BQ145-BQ146+N(BQ148),"")</f>
        <v>100118</v>
      </c>
      <c r="BR149" s="260">
        <f>IF(ISNUMBER(BR145),BR145-BR146+N(BR148),"")</f>
        <v>34540</v>
      </c>
      <c r="BS149" s="260">
        <f>IF(ISNUMBER(BS145),BS145-BS146+N(BS148),"")</f>
        <v>28196</v>
      </c>
      <c r="BT149" s="260">
        <f>IF(ISNUMBER(BT145),BT145-BT146+N(BT148),"")</f>
        <v>34979</v>
      </c>
      <c r="BU149" s="260">
        <f>IF(ISNUMBER(BU145),BU145-BU146+N(BU148),"")</f>
        <v>34455</v>
      </c>
      <c r="BV149" s="260">
        <f>IF(ISNUMBER(BV145),BV145-BV146+N(BV148),"")</f>
        <v>132170</v>
      </c>
      <c r="BW149" s="260">
        <f>IF(ISNUMBER(BW145),BW145-BW146+N(BW148),"")</f>
        <v>62578</v>
      </c>
      <c r="BX149" s="260">
        <f>IF(ISNUMBER(BX145),BX145-BX146+N(BX148),"")</f>
        <v>112193</v>
      </c>
      <c r="BY149" s="260">
        <f>IF(ISNUMBER(BY145),BY145-BY146+N(BY148),"")</f>
        <v>34958.4031131426</v>
      </c>
      <c r="BZ149" s="260">
        <f>IF(ISNUMBER(BZ145),BZ145-BZ146+N(BZ148),"")</f>
        <v>42263.992511503</v>
      </c>
      <c r="CA149" s="260">
        <f>IF(ISNUMBER(CA145),CA145-CA146+N(CA148),"")</f>
        <v>251993.395624646</v>
      </c>
      <c r="CB149" s="260">
        <f>IF(ISNUMBER(CB145),CB145-CB146+N(CB148),"")</f>
        <v>162952.157327398</v>
      </c>
      <c r="CC149" s="260">
        <f>IF(ISNUMBER(CC145),CC145-CC146+N(CC148),"")</f>
        <v>176055.03063457</v>
      </c>
      <c r="CD149" s="260">
        <f>IF(ISNUMBER(CD145),CD145-CD146+N(CD148),"")</f>
        <v>194039.034820097</v>
      </c>
      <c r="CE149" s="260">
        <f>IF(ISNUMBER(CE145),CE145-CE146+N(CE148),"")</f>
        <v>212409.076164546</v>
      </c>
      <c r="CF149" s="153" t="n"/>
      <c r="CH149" s="20">
        <f>IFERROR((CE149/BV149)^(1/5)-1,"n/m")</f>
        <v>0.0995324119990215</v>
      </c>
      <c r="CI149" s="20">
        <f>IFERROR((BV149/AW149)^(1/5)-1,"n/m")</f>
        <v>0.268330420575798</v>
      </c>
      <c r="CJ149" s="20">
        <f>IFERROR((BV149/X149)^(1/10)-1,"n/m")</f>
        <v>0.232442953544307</v>
      </c>
      <c r="CK149" s="20">
        <f>IFERROR((BV149/C149)^(1/19)-1,"n/m")</f>
        <v>0.218833379289943</v>
      </c>
    </row>
    <row r="150" ht="15" customHeight="1" s="251">
      <c r="B150" s="156" t="inlineStr">
        <is>
          <t xml:space="preserve">  Memo: net income as reported</t>
        </is>
      </c>
      <c r="C150" s="253" t="n">
        <v>3077.446</v>
      </c>
      <c r="D150" s="253" t="n">
        <v>4203.72</v>
      </c>
      <c r="E150" s="253" t="n">
        <v>4226.858</v>
      </c>
      <c r="F150" s="253" t="n">
        <v>6520.448</v>
      </c>
      <c r="G150" s="253" t="n">
        <v>8505</v>
      </c>
      <c r="H150" s="253" t="n">
        <v>9737</v>
      </c>
      <c r="I150" s="253" t="n">
        <v>10737</v>
      </c>
      <c r="J150" s="253" t="n">
        <v>3346</v>
      </c>
      <c r="K150" s="253" t="n">
        <v>3228</v>
      </c>
      <c r="L150" s="253" t="n">
        <v>2970</v>
      </c>
      <c r="M150" s="253" t="n">
        <v>3376</v>
      </c>
      <c r="N150" s="253" t="n">
        <v>12920</v>
      </c>
      <c r="O150" s="253" t="n">
        <v>3452</v>
      </c>
      <c r="P150" s="253" t="n">
        <v>3422</v>
      </c>
      <c r="Q150" s="253" t="n">
        <v>2813</v>
      </c>
      <c r="R150" s="253" t="n">
        <v>4757</v>
      </c>
      <c r="S150" s="253" t="n">
        <v>14444</v>
      </c>
      <c r="T150" s="253" t="n">
        <v>3586</v>
      </c>
      <c r="U150" s="253" t="n">
        <v>3931</v>
      </c>
      <c r="V150" s="253" t="n">
        <v>3979</v>
      </c>
      <c r="W150" s="253" t="n">
        <v>4923</v>
      </c>
      <c r="X150" s="253" t="n">
        <v>16348</v>
      </c>
      <c r="Y150" s="253" t="n">
        <v>4207</v>
      </c>
      <c r="Z150" s="253" t="n">
        <v>4877</v>
      </c>
      <c r="AA150" s="253" t="n">
        <v>5061</v>
      </c>
      <c r="AB150" s="253" t="n">
        <v>5333</v>
      </c>
      <c r="AC150" s="253" t="n">
        <v>19478</v>
      </c>
      <c r="AD150" s="253" t="n">
        <v>5426</v>
      </c>
      <c r="AE150" s="253" t="n">
        <v>3524</v>
      </c>
      <c r="AF150" s="253" t="n">
        <v>6732</v>
      </c>
      <c r="AG150" s="253" t="n">
        <v>-3020</v>
      </c>
      <c r="AH150" s="253" t="n">
        <v>12662</v>
      </c>
      <c r="AI150" s="253" t="n">
        <v>9401</v>
      </c>
      <c r="AJ150" s="253" t="n">
        <v>3195</v>
      </c>
      <c r="AK150" s="253" t="n">
        <v>9192</v>
      </c>
      <c r="AL150" s="253" t="n">
        <v>8948</v>
      </c>
      <c r="AM150" s="253" t="n">
        <v>30736</v>
      </c>
      <c r="AN150" s="253" t="n">
        <v>6657</v>
      </c>
      <c r="AO150" s="253" t="n">
        <v>9947</v>
      </c>
      <c r="AP150" s="253" t="n">
        <v>7068</v>
      </c>
      <c r="AQ150" s="253" t="n">
        <v>10671</v>
      </c>
      <c r="AR150" s="253" t="n">
        <v>34343</v>
      </c>
      <c r="AS150" s="253" t="n">
        <v>6836</v>
      </c>
      <c r="AT150" s="253" t="n">
        <v>6959</v>
      </c>
      <c r="AU150" s="253" t="n">
        <v>11247</v>
      </c>
      <c r="AV150" s="253" t="n">
        <v>15227</v>
      </c>
      <c r="AW150" s="253" t="n">
        <v>40269</v>
      </c>
      <c r="AX150" s="253" t="n">
        <v>17930</v>
      </c>
      <c r="AY150" s="253" t="n">
        <v>18525</v>
      </c>
      <c r="AZ150" s="253" t="n">
        <v>18936</v>
      </c>
      <c r="BA150" s="253" t="n">
        <v>20642</v>
      </c>
      <c r="BB150" s="253" t="n">
        <v>76033</v>
      </c>
      <c r="BC150" s="253" t="n">
        <v>16436</v>
      </c>
      <c r="BD150" s="253" t="n">
        <v>16002</v>
      </c>
      <c r="BE150" s="253" t="n">
        <v>13910</v>
      </c>
      <c r="BF150" s="253" t="n">
        <v>13624</v>
      </c>
      <c r="BG150" s="253" t="n">
        <v>59972</v>
      </c>
      <c r="BH150" s="253" t="n">
        <v>15051</v>
      </c>
      <c r="BI150" s="253" t="n">
        <v>18368</v>
      </c>
      <c r="BJ150" s="253" t="n">
        <v>19689</v>
      </c>
      <c r="BK150" s="253" t="n">
        <v>20687</v>
      </c>
      <c r="BL150" s="253" t="n">
        <v>73795</v>
      </c>
      <c r="BM150" s="253" t="n">
        <v>23662</v>
      </c>
      <c r="BN150" s="253" t="n">
        <v>23619</v>
      </c>
      <c r="BO150" s="253" t="n">
        <v>26301</v>
      </c>
      <c r="BP150" s="253" t="n">
        <v>26536</v>
      </c>
      <c r="BQ150" s="253" t="n">
        <v>100118</v>
      </c>
      <c r="BR150" s="253" t="n">
        <v>34540</v>
      </c>
      <c r="BS150" s="253" t="n">
        <v>28196</v>
      </c>
      <c r="BT150" s="253" t="n">
        <v>34979</v>
      </c>
      <c r="BU150" s="253" t="n">
        <v>34455</v>
      </c>
      <c r="BV150" s="253" t="n">
        <v>132170</v>
      </c>
      <c r="BW150" s="253" t="n">
        <v>62578</v>
      </c>
      <c r="BX150" s="253" t="n">
        <v>112193</v>
      </c>
      <c r="BY150" s="153" t="n"/>
      <c r="BZ150" s="153" t="n"/>
      <c r="CA150" s="153" t="n"/>
      <c r="CB150" s="153" t="n"/>
      <c r="CC150" s="153" t="n"/>
      <c r="CD150" s="153" t="n"/>
      <c r="CE150" s="153" t="n"/>
      <c r="CF150" s="153" t="n"/>
    </row>
    <row r="151" ht="15" customHeight="1" s="251">
      <c r="B151" s="57" t="inlineStr">
        <is>
          <t xml:space="preserve">  Check: net income vs reported (should be 0)</t>
        </is>
      </c>
      <c r="C151" s="211">
        <f>IF(ISNUMBER(C150),IF(ABS(C149-C150)&lt;=1,0,ROUND(C149-C150,0)),"")</f>
        <v>0</v>
      </c>
      <c r="D151" s="211">
        <f>IF(ISNUMBER(D150),IF(ABS(D149-D150)&lt;=1,0,ROUND(D149-D150,0)),"")</f>
        <v>0</v>
      </c>
      <c r="E151" s="211">
        <f>IF(ISNUMBER(E150),IF(ABS(E149-E150)&lt;=1,0,ROUND(E149-E150,0)),"")</f>
        <v>0</v>
      </c>
      <c r="F151" s="211">
        <f>IF(ISNUMBER(F150),IF(ABS(F149-F150)&lt;=1,0,ROUND(F149-F150,0)),"")</f>
        <v>0</v>
      </c>
      <c r="G151" s="211">
        <f>IF(ISNUMBER(G150),IF(ABS(G149-G150)&lt;=1,0,ROUND(G149-G150,0)),"")</f>
        <v>0</v>
      </c>
      <c r="H151" s="211">
        <f>IF(ISNUMBER(H150),IF(ABS(H149-H150)&lt;=1,0,ROUND(H149-H150,0)),"")</f>
        <v>0</v>
      </c>
      <c r="I151" s="211">
        <f>IF(ISNUMBER(I150),IF(ABS(I149-I150)&lt;=1,0,ROUND(I149-I150,0)),"")</f>
        <v>0</v>
      </c>
      <c r="J151" s="211">
        <f>IF(ISNUMBER(J150),IF(ABS(J149-J150)&lt;=1,0,ROUND(J149-J150,0)),"")</f>
        <v>0</v>
      </c>
      <c r="K151" s="211">
        <f>IF(ISNUMBER(K150),IF(ABS(K149-K150)&lt;=1,0,ROUND(K149-K150,0)),"")</f>
        <v>0</v>
      </c>
      <c r="L151" s="211">
        <f>IF(ISNUMBER(L150),IF(ABS(L149-L150)&lt;=1,0,ROUND(L149-L150,0)),"")</f>
        <v>0</v>
      </c>
      <c r="M151" s="211">
        <f>IF(ISNUMBER(M150),IF(ABS(M149-M150)&lt;=1,0,ROUND(M149-M150,0)),"")</f>
        <v>0</v>
      </c>
      <c r="N151" s="211">
        <f>IF(ISNUMBER(N150),IF(ABS(N149-N150)&lt;=1,0,ROUND(N149-N150,0)),"")</f>
        <v>0</v>
      </c>
      <c r="O151" s="211">
        <f>IF(ISNUMBER(O150),IF(ABS(O149-O150)&lt;=1,0,ROUND(O149-O150,0)),"")</f>
        <v>0</v>
      </c>
      <c r="P151" s="211">
        <f>IF(ISNUMBER(P150),IF(ABS(P149-P150)&lt;=1,0,ROUND(P149-P150,0)),"")</f>
        <v>0</v>
      </c>
      <c r="Q151" s="211">
        <f>IF(ISNUMBER(Q150),IF(ABS(Q149-Q150)&lt;=1,0,ROUND(Q149-Q150,0)),"")</f>
        <v>0</v>
      </c>
      <c r="R151" s="211">
        <f>IF(ISNUMBER(R150),IF(ABS(R149-R150)&lt;=1,0,ROUND(R149-R150,0)),"")</f>
        <v>0</v>
      </c>
      <c r="S151" s="211">
        <f>IF(ISNUMBER(S150),IF(ABS(S149-S150)&lt;=1,0,ROUND(S149-S150,0)),"")</f>
        <v>0</v>
      </c>
      <c r="T151" s="211">
        <f>IF(ISNUMBER(T150),IF(ABS(T149-T150)&lt;=1,0,ROUND(T149-T150,0)),"")</f>
        <v>0</v>
      </c>
      <c r="U151" s="211">
        <f>IF(ISNUMBER(U150),IF(ABS(U149-U150)&lt;=1,0,ROUND(U149-U150,0)),"")</f>
        <v>0</v>
      </c>
      <c r="V151" s="211">
        <f>IF(ISNUMBER(V150),IF(ABS(V149-V150)&lt;=1,0,ROUND(V149-V150,0)),"")</f>
        <v>0</v>
      </c>
      <c r="W151" s="211">
        <f>IF(ISNUMBER(W150),IF(ABS(W149-W150)&lt;=1,0,ROUND(W149-W150,0)),"")</f>
        <v>0</v>
      </c>
      <c r="X151" s="211">
        <f>IF(ISNUMBER(X150),IF(ABS(X149-X150)&lt;=1,0,ROUND(X149-X150,0)),"")</f>
        <v>0</v>
      </c>
      <c r="Y151" s="211">
        <f>IF(ISNUMBER(Y150),IF(ABS(Y149-Y150)&lt;=1,0,ROUND(Y149-Y150,0)),"")</f>
        <v>0</v>
      </c>
      <c r="Z151" s="211">
        <f>IF(ISNUMBER(Z150),IF(ABS(Z149-Z150)&lt;=1,0,ROUND(Z149-Z150,0)),"")</f>
        <v>0</v>
      </c>
      <c r="AA151" s="211">
        <f>IF(ISNUMBER(AA150),IF(ABS(AA149-AA150)&lt;=1,0,ROUND(AA149-AA150,0)),"")</f>
        <v>0</v>
      </c>
      <c r="AB151" s="211">
        <f>IF(ISNUMBER(AB150),IF(ABS(AB149-AB150)&lt;=1,0,ROUND(AB149-AB150,0)),"")</f>
        <v>0</v>
      </c>
      <c r="AC151" s="211">
        <f>IF(ISNUMBER(AC150),IF(ABS(AC149-AC150)&lt;=1,0,ROUND(AC149-AC150,0)),"")</f>
        <v>0</v>
      </c>
      <c r="AD151" s="211">
        <f>IF(ISNUMBER(AD150),IF(ABS(AD149-AD150)&lt;=1,0,ROUND(AD149-AD150,0)),"")</f>
        <v>0</v>
      </c>
      <c r="AE151" s="211">
        <f>IF(ISNUMBER(AE150),IF(ABS(AE149-AE150)&lt;=1,0,ROUND(AE149-AE150,0)),"")</f>
        <v>0</v>
      </c>
      <c r="AF151" s="211">
        <f>IF(ISNUMBER(AF150),IF(ABS(AF149-AF150)&lt;=1,0,ROUND(AF149-AF150,0)),"")</f>
        <v>0</v>
      </c>
      <c r="AG151" s="211">
        <f>IF(ISNUMBER(AG150),IF(ABS(AG149-AG150)&lt;=1,0,ROUND(AG149-AG150,0)),"")</f>
        <v>0</v>
      </c>
      <c r="AH151" s="211">
        <f>IF(ISNUMBER(AH150),IF(ABS(AH149-AH150)&lt;=1,0,ROUND(AH149-AH150,0)),"")</f>
        <v>0</v>
      </c>
      <c r="AI151" s="211">
        <f>IF(ISNUMBER(AI150),IF(ABS(AI149-AI150)&lt;=1,0,ROUND(AI149-AI150,0)),"")</f>
        <v>0</v>
      </c>
      <c r="AJ151" s="211">
        <f>IF(ISNUMBER(AJ150),IF(ABS(AJ149-AJ150)&lt;=1,0,ROUND(AJ149-AJ150,0)),"")</f>
        <v>0</v>
      </c>
      <c r="AK151" s="211">
        <f>IF(ISNUMBER(AK150),IF(ABS(AK149-AK150)&lt;=1,0,ROUND(AK149-AK150,0)),"")</f>
        <v>0</v>
      </c>
      <c r="AL151" s="211">
        <f>IF(ISNUMBER(AL150),IF(ABS(AL149-AL150)&lt;=1,0,ROUND(AL149-AL150,0)),"")</f>
        <v>0</v>
      </c>
      <c r="AM151" s="211">
        <f>IF(ISNUMBER(AM150),IF(ABS(AM149-AM150)&lt;=1,0,ROUND(AM149-AM150,0)),"")</f>
        <v>0</v>
      </c>
      <c r="AN151" s="211">
        <f>IF(ISNUMBER(AN150),IF(ABS(AN149-AN150)&lt;=1,0,ROUND(AN149-AN150,0)),"")</f>
        <v>0</v>
      </c>
      <c r="AO151" s="211">
        <f>IF(ISNUMBER(AO150),IF(ABS(AO149-AO150)&lt;=1,0,ROUND(AO149-AO150,0)),"")</f>
        <v>0</v>
      </c>
      <c r="AP151" s="211">
        <f>IF(ISNUMBER(AP150),IF(ABS(AP149-AP150)&lt;=1,0,ROUND(AP149-AP150,0)),"")</f>
        <v>0</v>
      </c>
      <c r="AQ151" s="211">
        <f>IF(ISNUMBER(AQ150),IF(ABS(AQ149-AQ150)&lt;=1,0,ROUND(AQ149-AQ150,0)),"")</f>
        <v>0</v>
      </c>
      <c r="AR151" s="211">
        <f>IF(ISNUMBER(AR150),IF(ABS(AR149-AR150)&lt;=1,0,ROUND(AR149-AR150,0)),"")</f>
        <v>0</v>
      </c>
      <c r="AS151" s="211">
        <f>IF(ISNUMBER(AS150),IF(ABS(AS149-AS150)&lt;=1,0,ROUND(AS149-AS150,0)),"")</f>
        <v>0</v>
      </c>
      <c r="AT151" s="211">
        <f>IF(ISNUMBER(AT150),IF(ABS(AT149-AT150)&lt;=1,0,ROUND(AT149-AT150,0)),"")</f>
        <v>0</v>
      </c>
      <c r="AU151" s="211">
        <f>IF(ISNUMBER(AU150),IF(ABS(AU149-AU150)&lt;=1,0,ROUND(AU149-AU150,0)),"")</f>
        <v>0</v>
      </c>
      <c r="AV151" s="211">
        <f>IF(ISNUMBER(AV150),IF(ABS(AV149-AV150)&lt;=1,0,ROUND(AV149-AV150,0)),"")</f>
        <v>0</v>
      </c>
      <c r="AW151" s="211">
        <f>IF(ISNUMBER(AW150),IF(ABS(AW149-AW150)&lt;=1,0,ROUND(AW149-AW150,0)),"")</f>
        <v>0</v>
      </c>
      <c r="AX151" s="211">
        <f>IF(ISNUMBER(AX150),IF(ABS(AX149-AX150)&lt;=1,0,ROUND(AX149-AX150,0)),"")</f>
        <v>0</v>
      </c>
      <c r="AY151" s="211">
        <f>IF(ISNUMBER(AY150),IF(ABS(AY149-AY150)&lt;=1,0,ROUND(AY149-AY150,0)),"")</f>
        <v>0</v>
      </c>
      <c r="AZ151" s="211">
        <f>IF(ISNUMBER(AZ150),IF(ABS(AZ149-AZ150)&lt;=1,0,ROUND(AZ149-AZ150,0)),"")</f>
        <v>0</v>
      </c>
      <c r="BA151" s="211">
        <f>IF(ISNUMBER(BA150),IF(ABS(BA149-BA150)&lt;=1,0,ROUND(BA149-BA150,0)),"")</f>
        <v>0</v>
      </c>
      <c r="BB151" s="211">
        <f>IF(ISNUMBER(BB150),IF(ABS(BB149-BB150)&lt;=1,0,ROUND(BB149-BB150,0)),"")</f>
        <v>0</v>
      </c>
      <c r="BC151" s="211">
        <f>IF(ISNUMBER(BC150),IF(ABS(BC149-BC150)&lt;=1,0,ROUND(BC149-BC150,0)),"")</f>
        <v>0</v>
      </c>
      <c r="BD151" s="211">
        <f>IF(ISNUMBER(BD150),IF(ABS(BD149-BD150)&lt;=1,0,ROUND(BD149-BD150,0)),"")</f>
        <v>0</v>
      </c>
      <c r="BE151" s="211">
        <f>IF(ISNUMBER(BE150),IF(ABS(BE149-BE150)&lt;=1,0,ROUND(BE149-BE150,0)),"")</f>
        <v>0</v>
      </c>
      <c r="BF151" s="211">
        <f>IF(ISNUMBER(BF150),IF(ABS(BF149-BF150)&lt;=1,0,ROUND(BF149-BF150,0)),"")</f>
        <v>0</v>
      </c>
      <c r="BG151" s="211">
        <f>IF(ISNUMBER(BG150),IF(ABS(BG149-BG150)&lt;=1,0,ROUND(BG149-BG150,0)),"")</f>
        <v>0</v>
      </c>
      <c r="BH151" s="211">
        <f>IF(ISNUMBER(BH150),IF(ABS(BH149-BH150)&lt;=1,0,ROUND(BH149-BH150,0)),"")</f>
        <v>0</v>
      </c>
      <c r="BI151" s="211">
        <f>IF(ISNUMBER(BI150),IF(ABS(BI149-BI150)&lt;=1,0,ROUND(BI149-BI150,0)),"")</f>
        <v>0</v>
      </c>
      <c r="BJ151" s="211">
        <f>IF(ISNUMBER(BJ150),IF(ABS(BJ149-BJ150)&lt;=1,0,ROUND(BJ149-BJ150,0)),"")</f>
        <v>0</v>
      </c>
      <c r="BK151" s="211">
        <f>IF(ISNUMBER(BK150),IF(ABS(BK149-BK150)&lt;=1,0,ROUND(BK149-BK150,0)),"")</f>
        <v>0</v>
      </c>
      <c r="BL151" s="211">
        <f>IF(ISNUMBER(BL150),IF(ABS(BL149-BL150)&lt;=1,0,ROUND(BL149-BL150,0)),"")</f>
        <v>0</v>
      </c>
      <c r="BM151" s="211">
        <f>IF(ISNUMBER(BM150),IF(ABS(BM149-BM150)&lt;=1,0,ROUND(BM149-BM150,0)),"")</f>
        <v>0</v>
      </c>
      <c r="BN151" s="211">
        <f>IF(ISNUMBER(BN150),IF(ABS(BN149-BN150)&lt;=1,0,ROUND(BN149-BN150,0)),"")</f>
        <v>0</v>
      </c>
      <c r="BO151" s="211">
        <f>IF(ISNUMBER(BO150),IF(ABS(BO149-BO150)&lt;=1,0,ROUND(BO149-BO150,0)),"")</f>
        <v>0</v>
      </c>
      <c r="BP151" s="211">
        <f>IF(ISNUMBER(BP150),IF(ABS(BP149-BP150)&lt;=1,0,ROUND(BP149-BP150,0)),"")</f>
        <v>0</v>
      </c>
      <c r="BQ151" s="211">
        <f>IF(ISNUMBER(BQ150),IF(ABS(BQ149-BQ150)&lt;=1,0,ROUND(BQ149-BQ150,0)),"")</f>
        <v>0</v>
      </c>
      <c r="BR151" s="211">
        <f>IF(ISNUMBER(BR150),IF(ABS(BR149-BR150)&lt;=1,0,ROUND(BR149-BR150,0)),"")</f>
        <v>0</v>
      </c>
      <c r="BS151" s="211">
        <f>IF(ISNUMBER(BS150),IF(ABS(BS149-BS150)&lt;=1,0,ROUND(BS149-BS150,0)),"")</f>
        <v>0</v>
      </c>
      <c r="BT151" s="211">
        <f>IF(ISNUMBER(BT150),IF(ABS(BT149-BT150)&lt;=1,0,ROUND(BT149-BT150,0)),"")</f>
        <v>0</v>
      </c>
      <c r="BU151" s="211">
        <f>IF(ISNUMBER(BU150),IF(ABS(BU149-BU150)&lt;=1,0,ROUND(BU149-BU150,0)),"")</f>
        <v>0</v>
      </c>
      <c r="BV151" s="211">
        <f>IF(ISNUMBER(BV150),IF(ABS(BV149-BV150)&lt;=1,0,ROUND(BV149-BV150,0)),"")</f>
        <v>0</v>
      </c>
      <c r="BW151" s="211">
        <f>IF(ISNUMBER(BW150),IF(ABS(BW149-BW150)&lt;=1,0,ROUND(BW149-BW150,0)),"")</f>
        <v>0</v>
      </c>
      <c r="BX151" s="211">
        <f>IF(ISNUMBER(BX150),IF(ABS(BX149-BX150)&lt;=1,0,ROUND(BX149-BX150,0)),"")</f>
        <v>0</v>
      </c>
      <c r="BY151" s="153" t="n"/>
      <c r="BZ151" s="153" t="n"/>
      <c r="CA151" s="153" t="n"/>
      <c r="CB151" s="153" t="n"/>
      <c r="CC151" s="153" t="n"/>
      <c r="CD151" s="153" t="n"/>
      <c r="CE151" s="153" t="n"/>
      <c r="CF151" s="153" t="n"/>
    </row>
    <row r="152" ht="15" customHeight="1" s="251">
      <c r="B152" s="25" t="inlineStr">
        <is>
          <t xml:space="preserve">  Preferred stock dividends (6.25% mandatory convertible preferred, from Jun-2026)</t>
        </is>
      </c>
      <c r="C152" s="253" t="n">
        <v>0</v>
      </c>
      <c r="D152" s="253" t="n">
        <v>0</v>
      </c>
      <c r="E152" s="253" t="n">
        <v>0</v>
      </c>
      <c r="F152" s="253" t="n">
        <v>0</v>
      </c>
      <c r="G152" s="253" t="n">
        <v>0</v>
      </c>
      <c r="H152" s="253" t="n">
        <v>0</v>
      </c>
      <c r="I152" s="253" t="n">
        <v>0</v>
      </c>
      <c r="J152" s="253" t="n">
        <v>0</v>
      </c>
      <c r="K152" s="253" t="n">
        <v>0</v>
      </c>
      <c r="L152" s="253" t="n">
        <v>0</v>
      </c>
      <c r="M152" s="253" t="n">
        <v>0</v>
      </c>
      <c r="N152" s="253" t="n">
        <v>0</v>
      </c>
      <c r="O152" s="253" t="n">
        <v>0</v>
      </c>
      <c r="P152" s="253" t="n">
        <v>0</v>
      </c>
      <c r="Q152" s="253" t="n">
        <v>0</v>
      </c>
      <c r="R152" s="253" t="n">
        <v>0</v>
      </c>
      <c r="S152" s="253" t="n">
        <v>0</v>
      </c>
      <c r="T152" s="253" t="n">
        <v>0</v>
      </c>
      <c r="U152" s="253" t="n">
        <v>0</v>
      </c>
      <c r="V152" s="253" t="n">
        <v>0</v>
      </c>
      <c r="W152" s="253" t="n">
        <v>0</v>
      </c>
      <c r="X152" s="253" t="n">
        <v>0</v>
      </c>
      <c r="Y152" s="253" t="n">
        <v>0</v>
      </c>
      <c r="Z152" s="253" t="n">
        <v>0</v>
      </c>
      <c r="AA152" s="253" t="n">
        <v>0</v>
      </c>
      <c r="AB152" s="253" t="n">
        <v>0</v>
      </c>
      <c r="AC152" s="253" t="n">
        <v>0</v>
      </c>
      <c r="AD152" s="253" t="n">
        <v>0</v>
      </c>
      <c r="AE152" s="253" t="n">
        <v>0</v>
      </c>
      <c r="AF152" s="253" t="n">
        <v>0</v>
      </c>
      <c r="AG152" s="253" t="n">
        <v>0</v>
      </c>
      <c r="AH152" s="253" t="n">
        <v>0</v>
      </c>
      <c r="AI152" s="253" t="n">
        <v>0</v>
      </c>
      <c r="AJ152" s="253" t="n">
        <v>0</v>
      </c>
      <c r="AK152" s="253" t="n">
        <v>0</v>
      </c>
      <c r="AL152" s="253" t="n">
        <v>0</v>
      </c>
      <c r="AM152" s="253" t="n">
        <v>0</v>
      </c>
      <c r="AN152" s="253" t="n">
        <v>0</v>
      </c>
      <c r="AO152" s="253" t="n">
        <v>0</v>
      </c>
      <c r="AP152" s="253" t="n">
        <v>0</v>
      </c>
      <c r="AQ152" s="253" t="n">
        <v>0</v>
      </c>
      <c r="AR152" s="253" t="n">
        <v>0</v>
      </c>
      <c r="AS152" s="253" t="n">
        <v>0</v>
      </c>
      <c r="AT152" s="253" t="n">
        <v>0</v>
      </c>
      <c r="AU152" s="253" t="n">
        <v>0</v>
      </c>
      <c r="AV152" s="253" t="n">
        <v>0</v>
      </c>
      <c r="AW152" s="253" t="n">
        <v>0</v>
      </c>
      <c r="AX152" s="253" t="n">
        <v>0</v>
      </c>
      <c r="AY152" s="253" t="n">
        <v>0</v>
      </c>
      <c r="AZ152" s="253" t="n">
        <v>0</v>
      </c>
      <c r="BA152" s="253" t="n">
        <v>0</v>
      </c>
      <c r="BB152" s="253" t="n">
        <v>0</v>
      </c>
      <c r="BC152" s="253" t="n">
        <v>0</v>
      </c>
      <c r="BD152" s="253" t="n">
        <v>0</v>
      </c>
      <c r="BE152" s="253" t="n">
        <v>0</v>
      </c>
      <c r="BF152" s="253" t="n">
        <v>0</v>
      </c>
      <c r="BG152" s="253" t="n">
        <v>0</v>
      </c>
      <c r="BH152" s="253" t="n">
        <v>0</v>
      </c>
      <c r="BI152" s="253" t="n">
        <v>0</v>
      </c>
      <c r="BJ152" s="253" t="n">
        <v>0</v>
      </c>
      <c r="BK152" s="253" t="n">
        <v>0</v>
      </c>
      <c r="BL152" s="253" t="n">
        <v>0</v>
      </c>
      <c r="BM152" s="253" t="n">
        <v>0</v>
      </c>
      <c r="BN152" s="253" t="n">
        <v>0</v>
      </c>
      <c r="BO152" s="253" t="n">
        <v>0</v>
      </c>
      <c r="BP152" s="253" t="n">
        <v>0</v>
      </c>
      <c r="BQ152" s="253" t="n">
        <v>0</v>
      </c>
      <c r="BR152" s="253" t="n">
        <v>0</v>
      </c>
      <c r="BS152" s="253" t="n">
        <v>0</v>
      </c>
      <c r="BT152" s="253" t="n">
        <v>0</v>
      </c>
      <c r="BU152" s="253" t="n">
        <v>0</v>
      </c>
      <c r="BV152" s="253" t="n">
        <v>0</v>
      </c>
      <c r="BW152" s="253" t="n">
        <v>0</v>
      </c>
      <c r="BX152" s="253" t="n">
        <v>86</v>
      </c>
      <c r="BY152" s="254">
        <f>$CP$24</f>
        <v>296.875</v>
      </c>
      <c r="BZ152" s="254">
        <f>$CP$24</f>
        <v>296.875</v>
      </c>
      <c r="CA152" s="254">
        <f>SUM(BW152:BZ152)</f>
        <v>679.75</v>
      </c>
      <c r="CB152" s="254">
        <f>CB298</f>
        <v>1187.5</v>
      </c>
      <c r="CC152" s="254">
        <f>CC298</f>
        <v>1187.5</v>
      </c>
      <c r="CD152" s="254">
        <f>CD298</f>
        <v>445.3125</v>
      </c>
      <c r="CE152" s="254">
        <f>CE298</f>
        <v>0</v>
      </c>
      <c r="CF152" s="19" t="inlineStr">
        <is>
          <t>6.25% Series A / B Mandatory Convertible Preferred Stock issued 5-Jun-2026: 19m shares ($1,000 liquidation preference; 385m depositary shares of 1/20th), net proceeds $19.0bn ($19,063m in the cash-flow statement; $18,023m carried after the $1,011m capped-call premium). Dividends 6.25% p.a. (~$1,190m p.a.; $12.15 per preferred share declared Jul-2026), payable quarterly from 15-Aug-2026 to 15-May-2029, cash or shares. Mandatory conversion ~15-May-2029 at 2.2520-2.8160 Class A shares (Series A) / 2.2740-2.8420 Class C shares (Series B) per preferred share depending on the 20-day VWAP; capped calls with cap prices $532.67 (A) / $527.80 (C). If-converted method in diluted EPS. Q2-26 10-Q Note 11.</t>
        </is>
      </c>
    </row>
    <row r="153" ht="15" customHeight="1" s="251">
      <c r="B153" s="25" t="inlineStr">
        <is>
          <t xml:space="preserve">  Class C adjustment payment (Q2-2015; allocated to Class C holders)</t>
        </is>
      </c>
      <c r="C153" s="253" t="n">
        <v>0</v>
      </c>
      <c r="D153" s="253" t="n">
        <v>0</v>
      </c>
      <c r="E153" s="253" t="n">
        <v>0</v>
      </c>
      <c r="F153" s="253" t="n">
        <v>0</v>
      </c>
      <c r="G153" s="253" t="n">
        <v>0</v>
      </c>
      <c r="H153" s="253" t="n">
        <v>0</v>
      </c>
      <c r="I153" s="253" t="n">
        <v>0</v>
      </c>
      <c r="J153" s="253" t="n">
        <v>0</v>
      </c>
      <c r="K153" s="253" t="n">
        <v>0</v>
      </c>
      <c r="L153" s="253" t="n">
        <v>0</v>
      </c>
      <c r="M153" s="253" t="n">
        <v>0</v>
      </c>
      <c r="N153" s="253" t="n">
        <v>0</v>
      </c>
      <c r="O153" s="253" t="n">
        <v>0</v>
      </c>
      <c r="P153" s="253" t="n">
        <v>0</v>
      </c>
      <c r="Q153" s="253" t="n">
        <v>0</v>
      </c>
      <c r="R153" s="253" t="n">
        <v>0</v>
      </c>
      <c r="S153" s="253" t="n">
        <v>0</v>
      </c>
      <c r="T153" s="253" t="n">
        <v>0</v>
      </c>
      <c r="U153" s="253" t="n">
        <v>522</v>
      </c>
      <c r="V153" s="253" t="n">
        <v>0</v>
      </c>
      <c r="W153" s="253" t="n">
        <v>0</v>
      </c>
      <c r="X153" s="253" t="n">
        <v>522</v>
      </c>
      <c r="Y153" s="253" t="n">
        <v>0</v>
      </c>
      <c r="Z153" s="253" t="n">
        <v>0</v>
      </c>
      <c r="AA153" s="253" t="n">
        <v>0</v>
      </c>
      <c r="AB153" s="253" t="n">
        <v>0</v>
      </c>
      <c r="AC153" s="253" t="n">
        <v>0</v>
      </c>
      <c r="AD153" s="253" t="n">
        <v>0</v>
      </c>
      <c r="AE153" s="253" t="n">
        <v>0</v>
      </c>
      <c r="AF153" s="253" t="n">
        <v>0</v>
      </c>
      <c r="AG153" s="253" t="n">
        <v>0</v>
      </c>
      <c r="AH153" s="253" t="n">
        <v>0</v>
      </c>
      <c r="AI153" s="253" t="n">
        <v>0</v>
      </c>
      <c r="AJ153" s="253" t="n">
        <v>0</v>
      </c>
      <c r="AK153" s="253" t="n">
        <v>0</v>
      </c>
      <c r="AL153" s="253" t="n">
        <v>0</v>
      </c>
      <c r="AM153" s="253" t="n">
        <v>0</v>
      </c>
      <c r="AN153" s="253" t="n">
        <v>0</v>
      </c>
      <c r="AO153" s="253" t="n">
        <v>0</v>
      </c>
      <c r="AP153" s="253" t="n">
        <v>0</v>
      </c>
      <c r="AQ153" s="253" t="n">
        <v>0</v>
      </c>
      <c r="AR153" s="253" t="n">
        <v>0</v>
      </c>
      <c r="AS153" s="253" t="n">
        <v>0</v>
      </c>
      <c r="AT153" s="253" t="n">
        <v>0</v>
      </c>
      <c r="AU153" s="253" t="n">
        <v>0</v>
      </c>
      <c r="AV153" s="253" t="n">
        <v>0</v>
      </c>
      <c r="AW153" s="253" t="n">
        <v>0</v>
      </c>
      <c r="AX153" s="253" t="n">
        <v>0</v>
      </c>
      <c r="AY153" s="253" t="n">
        <v>0</v>
      </c>
      <c r="AZ153" s="253" t="n">
        <v>0</v>
      </c>
      <c r="BA153" s="253" t="n">
        <v>0</v>
      </c>
      <c r="BB153" s="253" t="n">
        <v>0</v>
      </c>
      <c r="BC153" s="253" t="n">
        <v>0</v>
      </c>
      <c r="BD153" s="253" t="n">
        <v>0</v>
      </c>
      <c r="BE153" s="253" t="n">
        <v>0</v>
      </c>
      <c r="BF153" s="253" t="n">
        <v>0</v>
      </c>
      <c r="BG153" s="253" t="n">
        <v>0</v>
      </c>
      <c r="BH153" s="253" t="n">
        <v>0</v>
      </c>
      <c r="BI153" s="253" t="n">
        <v>0</v>
      </c>
      <c r="BJ153" s="253" t="n">
        <v>0</v>
      </c>
      <c r="BK153" s="253" t="n">
        <v>0</v>
      </c>
      <c r="BL153" s="253" t="n">
        <v>0</v>
      </c>
      <c r="BM153" s="253" t="n">
        <v>0</v>
      </c>
      <c r="BN153" s="253" t="n">
        <v>0</v>
      </c>
      <c r="BO153" s="253" t="n">
        <v>0</v>
      </c>
      <c r="BP153" s="253" t="n">
        <v>0</v>
      </c>
      <c r="BQ153" s="253" t="n">
        <v>0</v>
      </c>
      <c r="BR153" s="253" t="n">
        <v>0</v>
      </c>
      <c r="BS153" s="253" t="n">
        <v>0</v>
      </c>
      <c r="BT153" s="253" t="n">
        <v>0</v>
      </c>
      <c r="BU153" s="253" t="n">
        <v>0</v>
      </c>
      <c r="BV153" s="253" t="n">
        <v>0</v>
      </c>
      <c r="BW153" s="253" t="n">
        <v>0</v>
      </c>
      <c r="BX153" s="253" t="n">
        <v>0</v>
      </c>
      <c r="BY153" s="254">
        <f>0</f>
        <v>0</v>
      </c>
      <c r="BZ153" s="254">
        <f>0</f>
        <v>0</v>
      </c>
      <c r="CA153" s="254">
        <f>SUM(BW153:BZ153)</f>
        <v>0</v>
      </c>
      <c r="CB153" s="254">
        <f>0</f>
        <v>0</v>
      </c>
      <c r="CC153" s="254">
        <f>0</f>
        <v>0</v>
      </c>
      <c r="CD153" s="254">
        <f>0</f>
        <v>0</v>
      </c>
      <c r="CE153" s="254">
        <f>0</f>
        <v>0</v>
      </c>
      <c r="CF153" s="19" t="n"/>
    </row>
    <row r="154" ht="15" customHeight="1" s="251">
      <c r="B154" s="16" t="inlineStr">
        <is>
          <t xml:space="preserve">  Net income available to common stockholders (Class A / B / C)</t>
        </is>
      </c>
      <c r="C154" s="261">
        <f>IF(ISNUMBER(C149),C149-N(C152)-N(C153),"")</f>
        <v>3077.446</v>
      </c>
      <c r="D154" s="261">
        <f>IF(ISNUMBER(D149),D149-N(D152)-N(D153),"")</f>
        <v>4203.72</v>
      </c>
      <c r="E154" s="261">
        <f>IF(ISNUMBER(E149),E149-N(E152)-N(E153),"")</f>
        <v>4226.858</v>
      </c>
      <c r="F154" s="261">
        <f>IF(ISNUMBER(F149),F149-N(F152)-N(F153),"")</f>
        <v>6520.448</v>
      </c>
      <c r="G154" s="261">
        <f>IF(ISNUMBER(G149),G149-N(G152)-N(G153),"")</f>
        <v>8505</v>
      </c>
      <c r="H154" s="261">
        <f>IF(ISNUMBER(H149),H149-N(H152)-N(H153),"")</f>
        <v>9737</v>
      </c>
      <c r="I154" s="261">
        <f>IF(ISNUMBER(I149),I149-N(I152)-N(I153),"")</f>
        <v>10737</v>
      </c>
      <c r="J154" s="261">
        <f>IF(ISNUMBER(J149),J149-N(J152)-N(J153),"")</f>
        <v>3346</v>
      </c>
      <c r="K154" s="261">
        <f>IF(ISNUMBER(K149),K149-N(K152)-N(K153),"")</f>
        <v>3228</v>
      </c>
      <c r="L154" s="261">
        <f>IF(ISNUMBER(L149),L149-N(L152)-N(L153),"")</f>
        <v>2970</v>
      </c>
      <c r="M154" s="261">
        <f>IF(ISNUMBER(M149),M149-N(M152)-N(M153),"")</f>
        <v>3376</v>
      </c>
      <c r="N154" s="261">
        <f>IF(ISNUMBER(N149),N149-N(N152)-N(N153),"")</f>
        <v>12920</v>
      </c>
      <c r="O154" s="261">
        <f>IF(ISNUMBER(O149),O149-N(O152)-N(O153),"")</f>
        <v>3452</v>
      </c>
      <c r="P154" s="261">
        <f>IF(ISNUMBER(P149),P149-N(P152)-N(P153),"")</f>
        <v>3422</v>
      </c>
      <c r="Q154" s="261">
        <f>IF(ISNUMBER(Q149),Q149-N(Q152)-N(Q153),"")</f>
        <v>2813</v>
      </c>
      <c r="R154" s="261">
        <f>IF(ISNUMBER(R149),R149-N(R152)-N(R153),"")</f>
        <v>4757</v>
      </c>
      <c r="S154" s="261">
        <f>IF(ISNUMBER(S149),S149-N(S152)-N(S153),"")</f>
        <v>14444</v>
      </c>
      <c r="T154" s="261">
        <f>IF(ISNUMBER(T149),T149-N(T152)-N(T153),"")</f>
        <v>3586</v>
      </c>
      <c r="U154" s="261">
        <f>IF(ISNUMBER(U149),U149-N(U152)-N(U153),"")</f>
        <v>3409</v>
      </c>
      <c r="V154" s="261">
        <f>IF(ISNUMBER(V149),V149-N(V152)-N(V153),"")</f>
        <v>3979</v>
      </c>
      <c r="W154" s="261">
        <f>IF(ISNUMBER(W149),W149-N(W152)-N(W153),"")</f>
        <v>4923</v>
      </c>
      <c r="X154" s="261">
        <f>IF(ISNUMBER(X149),X149-N(X152)-N(X153),"")</f>
        <v>15826</v>
      </c>
      <c r="Y154" s="261">
        <f>IF(ISNUMBER(Y149),Y149-N(Y152)-N(Y153),"")</f>
        <v>4207</v>
      </c>
      <c r="Z154" s="261">
        <f>IF(ISNUMBER(Z149),Z149-N(Z152)-N(Z153),"")</f>
        <v>4877</v>
      </c>
      <c r="AA154" s="261">
        <f>IF(ISNUMBER(AA149),AA149-N(AA152)-N(AA153),"")</f>
        <v>5061</v>
      </c>
      <c r="AB154" s="261">
        <f>IF(ISNUMBER(AB149),AB149-N(AB152)-N(AB153),"")</f>
        <v>5333</v>
      </c>
      <c r="AC154" s="261">
        <f>IF(ISNUMBER(AC149),AC149-N(AC152)-N(AC153),"")</f>
        <v>19478</v>
      </c>
      <c r="AD154" s="261">
        <f>IF(ISNUMBER(AD149),AD149-N(AD152)-N(AD153),"")</f>
        <v>5426</v>
      </c>
      <c r="AE154" s="261">
        <f>IF(ISNUMBER(AE149),AE149-N(AE152)-N(AE153),"")</f>
        <v>3524</v>
      </c>
      <c r="AF154" s="261">
        <f>IF(ISNUMBER(AF149),AF149-N(AF152)-N(AF153),"")</f>
        <v>6732</v>
      </c>
      <c r="AG154" s="261">
        <f>IF(ISNUMBER(AG149),AG149-N(AG152)-N(AG153),"")</f>
        <v>-3020</v>
      </c>
      <c r="AH154" s="261">
        <f>IF(ISNUMBER(AH149),AH149-N(AH152)-N(AH153),"")</f>
        <v>12662</v>
      </c>
      <c r="AI154" s="261">
        <f>IF(ISNUMBER(AI149),AI149-N(AI152)-N(AI153),"")</f>
        <v>9401</v>
      </c>
      <c r="AJ154" s="261">
        <f>IF(ISNUMBER(AJ149),AJ149-N(AJ152)-N(AJ153),"")</f>
        <v>3195</v>
      </c>
      <c r="AK154" s="261">
        <f>IF(ISNUMBER(AK149),AK149-N(AK152)-N(AK153),"")</f>
        <v>9192</v>
      </c>
      <c r="AL154" s="261">
        <f>IF(ISNUMBER(AL149),AL149-N(AL152)-N(AL153),"")</f>
        <v>8948</v>
      </c>
      <c r="AM154" s="261">
        <f>IF(ISNUMBER(AM149),AM149-N(AM152)-N(AM153),"")</f>
        <v>30736</v>
      </c>
      <c r="AN154" s="261">
        <f>IF(ISNUMBER(AN149),AN149-N(AN152)-N(AN153),"")</f>
        <v>6657</v>
      </c>
      <c r="AO154" s="261">
        <f>IF(ISNUMBER(AO149),AO149-N(AO152)-N(AO153),"")</f>
        <v>9947</v>
      </c>
      <c r="AP154" s="261">
        <f>IF(ISNUMBER(AP149),AP149-N(AP152)-N(AP153),"")</f>
        <v>7068</v>
      </c>
      <c r="AQ154" s="261">
        <f>IF(ISNUMBER(AQ149),AQ149-N(AQ152)-N(AQ153),"")</f>
        <v>10671</v>
      </c>
      <c r="AR154" s="261">
        <f>IF(ISNUMBER(AR149),AR149-N(AR152)-N(AR153),"")</f>
        <v>34343</v>
      </c>
      <c r="AS154" s="261">
        <f>IF(ISNUMBER(AS149),AS149-N(AS152)-N(AS153),"")</f>
        <v>6836</v>
      </c>
      <c r="AT154" s="261">
        <f>IF(ISNUMBER(AT149),AT149-N(AT152)-N(AT153),"")</f>
        <v>6959</v>
      </c>
      <c r="AU154" s="261">
        <f>IF(ISNUMBER(AU149),AU149-N(AU152)-N(AU153),"")</f>
        <v>11247</v>
      </c>
      <c r="AV154" s="261">
        <f>IF(ISNUMBER(AV149),AV149-N(AV152)-N(AV153),"")</f>
        <v>15227</v>
      </c>
      <c r="AW154" s="261">
        <f>IF(ISNUMBER(AW149),AW149-N(AW152)-N(AW153),"")</f>
        <v>40269</v>
      </c>
      <c r="AX154" s="261">
        <f>IF(ISNUMBER(AX149),AX149-N(AX152)-N(AX153),"")</f>
        <v>17930</v>
      </c>
      <c r="AY154" s="261">
        <f>IF(ISNUMBER(AY149),AY149-N(AY152)-N(AY153),"")</f>
        <v>18525</v>
      </c>
      <c r="AZ154" s="261">
        <f>IF(ISNUMBER(AZ149),AZ149-N(AZ152)-N(AZ153),"")</f>
        <v>18936</v>
      </c>
      <c r="BA154" s="261">
        <f>IF(ISNUMBER(BA149),BA149-N(BA152)-N(BA153),"")</f>
        <v>20642</v>
      </c>
      <c r="BB154" s="261">
        <f>IF(ISNUMBER(BB149),BB149-N(BB152)-N(BB153),"")</f>
        <v>76033</v>
      </c>
      <c r="BC154" s="261">
        <f>IF(ISNUMBER(BC149),BC149-N(BC152)-N(BC153),"")</f>
        <v>16436</v>
      </c>
      <c r="BD154" s="261">
        <f>IF(ISNUMBER(BD149),BD149-N(BD152)-N(BD153),"")</f>
        <v>16002</v>
      </c>
      <c r="BE154" s="261">
        <f>IF(ISNUMBER(BE149),BE149-N(BE152)-N(BE153),"")</f>
        <v>13910</v>
      </c>
      <c r="BF154" s="261">
        <f>IF(ISNUMBER(BF149),BF149-N(BF152)-N(BF153),"")</f>
        <v>13624</v>
      </c>
      <c r="BG154" s="261">
        <f>IF(ISNUMBER(BG149),BG149-N(BG152)-N(BG153),"")</f>
        <v>59972</v>
      </c>
      <c r="BH154" s="261">
        <f>IF(ISNUMBER(BH149),BH149-N(BH152)-N(BH153),"")</f>
        <v>15051</v>
      </c>
      <c r="BI154" s="261">
        <f>IF(ISNUMBER(BI149),BI149-N(BI152)-N(BI153),"")</f>
        <v>18368</v>
      </c>
      <c r="BJ154" s="261">
        <f>IF(ISNUMBER(BJ149),BJ149-N(BJ152)-N(BJ153),"")</f>
        <v>19689</v>
      </c>
      <c r="BK154" s="261">
        <f>IF(ISNUMBER(BK149),BK149-N(BK152)-N(BK153),"")</f>
        <v>20687</v>
      </c>
      <c r="BL154" s="261">
        <f>IF(ISNUMBER(BL149),BL149-N(BL152)-N(BL153),"")</f>
        <v>73795</v>
      </c>
      <c r="BM154" s="261">
        <f>IF(ISNUMBER(BM149),BM149-N(BM152)-N(BM153),"")</f>
        <v>23662</v>
      </c>
      <c r="BN154" s="261">
        <f>IF(ISNUMBER(BN149),BN149-N(BN152)-N(BN153),"")</f>
        <v>23619</v>
      </c>
      <c r="BO154" s="261">
        <f>IF(ISNUMBER(BO149),BO149-N(BO152)-N(BO153),"")</f>
        <v>26301</v>
      </c>
      <c r="BP154" s="261">
        <f>IF(ISNUMBER(BP149),BP149-N(BP152)-N(BP153),"")</f>
        <v>26536</v>
      </c>
      <c r="BQ154" s="261">
        <f>IF(ISNUMBER(BQ149),BQ149-N(BQ152)-N(BQ153),"")</f>
        <v>100118</v>
      </c>
      <c r="BR154" s="261">
        <f>IF(ISNUMBER(BR149),BR149-N(BR152)-N(BR153),"")</f>
        <v>34540</v>
      </c>
      <c r="BS154" s="261">
        <f>IF(ISNUMBER(BS149),BS149-N(BS152)-N(BS153),"")</f>
        <v>28196</v>
      </c>
      <c r="BT154" s="261">
        <f>IF(ISNUMBER(BT149),BT149-N(BT152)-N(BT153),"")</f>
        <v>34979</v>
      </c>
      <c r="BU154" s="261">
        <f>IF(ISNUMBER(BU149),BU149-N(BU152)-N(BU153),"")</f>
        <v>34455</v>
      </c>
      <c r="BV154" s="261">
        <f>IF(ISNUMBER(BV149),BV149-N(BV152)-N(BV153),"")</f>
        <v>132170</v>
      </c>
      <c r="BW154" s="261">
        <f>IF(ISNUMBER(BW149),BW149-N(BW152)-N(BW153),"")</f>
        <v>62578</v>
      </c>
      <c r="BX154" s="261">
        <f>IF(ISNUMBER(BX149),BX149-N(BX152)-N(BX153),"")</f>
        <v>112107</v>
      </c>
      <c r="BY154" s="262">
        <f>IF(ISNUMBER(BY149),BY149-N(BY152)-N(BY153),"")</f>
        <v>34661.5281131426</v>
      </c>
      <c r="BZ154" s="262">
        <f>IF(ISNUMBER(BZ149),BZ149-N(BZ152)-N(BZ153),"")</f>
        <v>41967.117511503</v>
      </c>
      <c r="CA154" s="262">
        <f>IF(ISNUMBER(CA149),CA149-N(CA152)-N(CA153),"")</f>
        <v>251313.645624646</v>
      </c>
      <c r="CB154" s="262">
        <f>IF(ISNUMBER(CB149),CB149-N(CB152)-N(CB153),"")</f>
        <v>161764.657327398</v>
      </c>
      <c r="CC154" s="262">
        <f>IF(ISNUMBER(CC149),CC149-N(CC152)-N(CC153),"")</f>
        <v>174867.53063457</v>
      </c>
      <c r="CD154" s="262">
        <f>IF(ISNUMBER(CD149),CD149-N(CD152)-N(CD153),"")</f>
        <v>193593.722320097</v>
      </c>
      <c r="CE154" s="262">
        <f>IF(ISNUMBER(CE149),CE149-N(CE152)-N(CE153),"")</f>
        <v>212409.076164546</v>
      </c>
      <c r="CF154" s="153" t="n"/>
    </row>
    <row r="155" ht="15" customHeight="1" s="251">
      <c r="B155" s="156" t="inlineStr">
        <is>
          <t xml:space="preserve">  Memo: depreciation &amp; amortization (total)</t>
        </is>
      </c>
      <c r="C155" s="211">
        <f>C113</f>
        <v>571.939</v>
      </c>
      <c r="D155" s="211">
        <f>D113</f>
        <v>967.658</v>
      </c>
      <c r="E155" s="211">
        <f>E113</f>
        <v>1499.887</v>
      </c>
      <c r="F155" s="211">
        <f>F113</f>
        <v>1524.308</v>
      </c>
      <c r="G155" s="211">
        <f>G113</f>
        <v>1396</v>
      </c>
      <c r="H155" s="211">
        <f>H113</f>
        <v>1851</v>
      </c>
      <c r="I155" s="211">
        <f>I113</f>
        <v>2962</v>
      </c>
      <c r="J155" s="211">
        <f>J113</f>
        <v>899</v>
      </c>
      <c r="K155" s="211">
        <f>K113</f>
        <v>1030</v>
      </c>
      <c r="L155" s="211">
        <f>L113</f>
        <v>974</v>
      </c>
      <c r="M155" s="211">
        <f>M113</f>
        <v>1036</v>
      </c>
      <c r="N155" s="211">
        <f>N113</f>
        <v>3939</v>
      </c>
      <c r="O155" s="211">
        <f>O113</f>
        <v>1086</v>
      </c>
      <c r="P155" s="211">
        <f>P113</f>
        <v>1079</v>
      </c>
      <c r="Q155" s="211">
        <f>Q113</f>
        <v>1547</v>
      </c>
      <c r="R155" s="211">
        <f>R113</f>
        <v>1267</v>
      </c>
      <c r="S155" s="211">
        <f>S113</f>
        <v>4979</v>
      </c>
      <c r="T155" s="211">
        <f>T113</f>
        <v>1177</v>
      </c>
      <c r="U155" s="211">
        <f>U113</f>
        <v>1234</v>
      </c>
      <c r="V155" s="211">
        <f>V113</f>
        <v>1248</v>
      </c>
      <c r="W155" s="211">
        <f>W113</f>
        <v>1404</v>
      </c>
      <c r="X155" s="211">
        <f>X113</f>
        <v>5063</v>
      </c>
      <c r="Y155" s="211">
        <f>Y113</f>
        <v>1371</v>
      </c>
      <c r="Z155" s="211">
        <f>Z113</f>
        <v>1490</v>
      </c>
      <c r="AA155" s="211">
        <f>AA113</f>
        <v>1596</v>
      </c>
      <c r="AB155" s="211">
        <f>AB113</f>
        <v>1687</v>
      </c>
      <c r="AC155" s="211">
        <f>AC113</f>
        <v>6144</v>
      </c>
      <c r="AD155" s="211">
        <f>AD113</f>
        <v>1503</v>
      </c>
      <c r="AE155" s="211">
        <f>AE113</f>
        <v>1625</v>
      </c>
      <c r="AF155" s="211">
        <f>AF113</f>
        <v>1761</v>
      </c>
      <c r="AG155" s="211">
        <f>AG113</f>
        <v>2026</v>
      </c>
      <c r="AH155" s="211">
        <f>AH113</f>
        <v>6915</v>
      </c>
      <c r="AI155" s="211">
        <f>AI113</f>
        <v>1986</v>
      </c>
      <c r="AJ155" s="211">
        <f>AJ113</f>
        <v>2114</v>
      </c>
      <c r="AK155" s="211">
        <f>AK113</f>
        <v>2355</v>
      </c>
      <c r="AL155" s="211">
        <f>AL113</f>
        <v>2580</v>
      </c>
      <c r="AM155" s="211">
        <f>AM113</f>
        <v>9035</v>
      </c>
      <c r="AN155" s="211">
        <f>AN113</f>
        <v>2613</v>
      </c>
      <c r="AO155" s="211">
        <f>AO113</f>
        <v>2835</v>
      </c>
      <c r="AP155" s="211">
        <f>AP113</f>
        <v>2920</v>
      </c>
      <c r="AQ155" s="211">
        <f>AQ113</f>
        <v>3413</v>
      </c>
      <c r="AR155" s="211">
        <f>AR113</f>
        <v>11781</v>
      </c>
      <c r="AS155" s="211">
        <f>AS113</f>
        <v>3108</v>
      </c>
      <c r="AT155" s="211">
        <f>AT113</f>
        <v>3386</v>
      </c>
      <c r="AU155" s="211">
        <f>AU113</f>
        <v>3478</v>
      </c>
      <c r="AV155" s="211">
        <f>AV113</f>
        <v>3725</v>
      </c>
      <c r="AW155" s="211">
        <f>AW113</f>
        <v>13697</v>
      </c>
      <c r="AX155" s="211">
        <f>AX113</f>
        <v>2753</v>
      </c>
      <c r="AY155" s="211">
        <f>AY113</f>
        <v>2945</v>
      </c>
      <c r="AZ155" s="211">
        <f>AZ113</f>
        <v>3304</v>
      </c>
      <c r="BA155" s="211">
        <f>BA113</f>
        <v>3439</v>
      </c>
      <c r="BB155" s="211">
        <f>BB113</f>
        <v>12441</v>
      </c>
      <c r="BC155" s="211">
        <f>BC113</f>
        <v>3782</v>
      </c>
      <c r="BD155" s="211">
        <f>BD113</f>
        <v>3899</v>
      </c>
      <c r="BE155" s="211">
        <f>BE113</f>
        <v>4046</v>
      </c>
      <c r="BF155" s="211">
        <f>BF113</f>
        <v>4201</v>
      </c>
      <c r="BG155" s="211">
        <f>BG113</f>
        <v>15928</v>
      </c>
      <c r="BH155" s="211">
        <f>BH113</f>
        <v>3186</v>
      </c>
      <c r="BI155" s="211">
        <f>BI113</f>
        <v>3397</v>
      </c>
      <c r="BJ155" s="211">
        <f>BJ113</f>
        <v>3800</v>
      </c>
      <c r="BK155" s="211">
        <f>BK113</f>
        <v>1563</v>
      </c>
      <c r="BL155" s="211">
        <f>BL113</f>
        <v>11946</v>
      </c>
      <c r="BM155" s="211">
        <f>BM113</f>
        <v>3413</v>
      </c>
      <c r="BN155" s="211">
        <f>BN113</f>
        <v>3708</v>
      </c>
      <c r="BO155" s="211">
        <f>BO113</f>
        <v>3985</v>
      </c>
      <c r="BP155" s="211">
        <f>BP113</f>
        <v>4205</v>
      </c>
      <c r="BQ155" s="211">
        <f>BQ113</f>
        <v>15311</v>
      </c>
      <c r="BR155" s="211">
        <f>BR113</f>
        <v>4487</v>
      </c>
      <c r="BS155" s="211">
        <f>BS113</f>
        <v>4998</v>
      </c>
      <c r="BT155" s="211">
        <f>BT113</f>
        <v>5611</v>
      </c>
      <c r="BU155" s="211">
        <f>BU113</f>
        <v>6040</v>
      </c>
      <c r="BV155" s="211">
        <f>BV113</f>
        <v>21136</v>
      </c>
      <c r="BW155" s="211">
        <f>BW113</f>
        <v>6660</v>
      </c>
      <c r="BX155" s="211">
        <f>BX113</f>
        <v>7471</v>
      </c>
      <c r="BY155" s="254">
        <f>BY113</f>
        <v>8155.984</v>
      </c>
      <c r="BZ155" s="254">
        <f>BZ113</f>
        <v>8903.438464</v>
      </c>
      <c r="CA155" s="254">
        <f>CA113</f>
        <v>31190.422464</v>
      </c>
      <c r="CB155" s="254">
        <f>CB113</f>
        <v>50331.37641664</v>
      </c>
      <c r="CC155" s="254">
        <f>CC113</f>
        <v>73595.0806287264</v>
      </c>
      <c r="CD155" s="254">
        <f>CD113</f>
        <v>96497.8338564229</v>
      </c>
      <c r="CE155" s="254">
        <f>CE113</f>
        <v>118506.145462934</v>
      </c>
      <c r="CF155" s="153" t="n"/>
    </row>
    <row r="156" collapsed="1" ht="15" customHeight="1" s="251">
      <c r="B156" s="156" t="inlineStr">
        <is>
          <t xml:space="preserve">  Memo: stock-based compensation</t>
        </is>
      </c>
      <c r="C156" s="211">
        <f>C114</f>
        <v>458.1</v>
      </c>
      <c r="D156" s="211">
        <f>D114</f>
        <v>868.646</v>
      </c>
      <c r="E156" s="211">
        <f>E114</f>
        <v>1119.766</v>
      </c>
      <c r="F156" s="211">
        <f>F114</f>
        <v>1164.054</v>
      </c>
      <c r="G156" s="211">
        <f>G114</f>
        <v>1376</v>
      </c>
      <c r="H156" s="211">
        <f>H114</f>
        <v>1974</v>
      </c>
      <c r="I156" s="211">
        <f>I114</f>
        <v>2692</v>
      </c>
      <c r="J156" s="211">
        <f>J114</f>
        <v>708</v>
      </c>
      <c r="K156" s="211">
        <f>K114</f>
        <v>847</v>
      </c>
      <c r="L156" s="211">
        <f>L114</f>
        <v>886</v>
      </c>
      <c r="M156" s="211">
        <f>M114</f>
        <v>902</v>
      </c>
      <c r="N156" s="211">
        <f>N114</f>
        <v>3343</v>
      </c>
      <c r="O156" s="211">
        <f>O114</f>
        <v>887</v>
      </c>
      <c r="P156" s="211">
        <f>P114</f>
        <v>915</v>
      </c>
      <c r="Q156" s="211">
        <f>Q114</f>
        <v>1290</v>
      </c>
      <c r="R156" s="211">
        <f>R114</f>
        <v>1187</v>
      </c>
      <c r="S156" s="211">
        <f>S114</f>
        <v>4279</v>
      </c>
      <c r="T156" s="211">
        <f>T114</f>
        <v>1203</v>
      </c>
      <c r="U156" s="211">
        <f>U114</f>
        <v>1132</v>
      </c>
      <c r="V156" s="211">
        <f>V114</f>
        <v>1432</v>
      </c>
      <c r="W156" s="211">
        <f>W114</f>
        <v>1436</v>
      </c>
      <c r="X156" s="211">
        <f>X114</f>
        <v>5203</v>
      </c>
      <c r="Y156" s="211">
        <f>Y114</f>
        <v>1494</v>
      </c>
      <c r="Z156" s="211">
        <f>Z114</f>
        <v>1503</v>
      </c>
      <c r="AA156" s="211">
        <f>AA114</f>
        <v>1860</v>
      </c>
      <c r="AB156" s="211">
        <f>AB114</f>
        <v>1846</v>
      </c>
      <c r="AC156" s="211">
        <f>AC114</f>
        <v>6703</v>
      </c>
      <c r="AD156" s="211">
        <f>AD114</f>
        <v>2009</v>
      </c>
      <c r="AE156" s="211">
        <f>AE114</f>
        <v>2003</v>
      </c>
      <c r="AF156" s="211">
        <f>AF114</f>
        <v>1820</v>
      </c>
      <c r="AG156" s="211">
        <f>AG114</f>
        <v>1847</v>
      </c>
      <c r="AH156" s="211">
        <f>AH114</f>
        <v>7679</v>
      </c>
      <c r="AI156" s="211">
        <f>AI114</f>
        <v>2457</v>
      </c>
      <c r="AJ156" s="211">
        <f>AJ114</f>
        <v>2413</v>
      </c>
      <c r="AK156" s="211">
        <f>AK114</f>
        <v>2230</v>
      </c>
      <c r="AL156" s="211">
        <f>AL114</f>
        <v>2253</v>
      </c>
      <c r="AM156" s="211">
        <f>AM114</f>
        <v>9353</v>
      </c>
      <c r="AN156" s="211">
        <f>AN114</f>
        <v>2769</v>
      </c>
      <c r="AO156" s="211">
        <f>AO114</f>
        <v>2756</v>
      </c>
      <c r="AP156" s="211">
        <f>AP114</f>
        <v>2624</v>
      </c>
      <c r="AQ156" s="211">
        <f>AQ114</f>
        <v>2645</v>
      </c>
      <c r="AR156" s="211">
        <f>AR114</f>
        <v>10794</v>
      </c>
      <c r="AS156" s="211">
        <f>AS114</f>
        <v>3191</v>
      </c>
      <c r="AT156" s="211">
        <f>AT114</f>
        <v>3382</v>
      </c>
      <c r="AU156" s="211">
        <f>AU114</f>
        <v>3195</v>
      </c>
      <c r="AV156" s="211">
        <f>AV114</f>
        <v>3223</v>
      </c>
      <c r="AW156" s="211">
        <f>AW114</f>
        <v>12991</v>
      </c>
      <c r="AX156" s="211">
        <f>AX114</f>
        <v>3745</v>
      </c>
      <c r="AY156" s="211">
        <f>AY114</f>
        <v>3803</v>
      </c>
      <c r="AZ156" s="211">
        <f>AZ114</f>
        <v>3874</v>
      </c>
      <c r="BA156" s="211">
        <f>BA114</f>
        <v>3954</v>
      </c>
      <c r="BB156" s="211">
        <f>BB114</f>
        <v>15376</v>
      </c>
      <c r="BC156" s="211">
        <f>BC114</f>
        <v>4504</v>
      </c>
      <c r="BD156" s="211">
        <f>BD114</f>
        <v>4782</v>
      </c>
      <c r="BE156" s="211">
        <f>BE114</f>
        <v>4976</v>
      </c>
      <c r="BF156" s="211">
        <f>BF114</f>
        <v>5100</v>
      </c>
      <c r="BG156" s="211">
        <f>BG114</f>
        <v>19362</v>
      </c>
      <c r="BH156" s="211">
        <f>BH114</f>
        <v>5284</v>
      </c>
      <c r="BI156" s="211">
        <f>BI114</f>
        <v>5774</v>
      </c>
      <c r="BJ156" s="211">
        <f>BJ114</f>
        <v>5743</v>
      </c>
      <c r="BK156" s="211">
        <f>BK114</f>
        <v>5659</v>
      </c>
      <c r="BL156" s="211">
        <f>BL114</f>
        <v>22460</v>
      </c>
      <c r="BM156" s="211">
        <f>BM114</f>
        <v>5264</v>
      </c>
      <c r="BN156" s="211">
        <f>BN114</f>
        <v>5865</v>
      </c>
      <c r="BO156" s="211">
        <f>BO114</f>
        <v>5846</v>
      </c>
      <c r="BP156" s="211">
        <f>BP114</f>
        <v>5810</v>
      </c>
      <c r="BQ156" s="211">
        <f>BQ114</f>
        <v>22785</v>
      </c>
      <c r="BR156" s="211">
        <f>BR114</f>
        <v>5516</v>
      </c>
      <c r="BS156" s="211">
        <f>BS114</f>
        <v>5998</v>
      </c>
      <c r="BT156" s="211">
        <f>BT114</f>
        <v>6368</v>
      </c>
      <c r="BU156" s="211">
        <f>BU114</f>
        <v>7071</v>
      </c>
      <c r="BV156" s="211">
        <f>BV114</f>
        <v>24953</v>
      </c>
      <c r="BW156" s="211">
        <f>BW114</f>
        <v>6751</v>
      </c>
      <c r="BX156" s="211">
        <f>BX114</f>
        <v>7957</v>
      </c>
      <c r="BY156" s="254">
        <f>BY114</f>
        <v>8134.49227027966</v>
      </c>
      <c r="BZ156" s="254">
        <f>BZ114</f>
        <v>9032.50547159979</v>
      </c>
      <c r="CA156" s="254">
        <f>CA114</f>
        <v>31874.9977418795</v>
      </c>
      <c r="CB156" s="254">
        <f>CB114</f>
        <v>38017.4665710784</v>
      </c>
      <c r="CC156" s="254">
        <f>CC114</f>
        <v>43612.5454118308</v>
      </c>
      <c r="CD156" s="254">
        <f>CD114</f>
        <v>49270.6205317206</v>
      </c>
      <c r="CE156" s="254">
        <f>CE114</f>
        <v>54844.3181004625</v>
      </c>
      <c r="CF156" s="153" t="n"/>
    </row>
    <row r="157" ht="15" customHeight="1" s="251">
      <c r="B157" s="25" t="inlineStr">
        <is>
          <t>(Earnings per share — Class A, B and C; split-adjusted: 2-for-1 Class C dividend Apr-2014, 20-for-1 Jul-2022)</t>
        </is>
      </c>
      <c r="CF157" s="153" t="n"/>
    </row>
    <row r="158" ht="15" customHeight="1" s="251">
      <c r="B158" s="25" t="inlineStr">
        <is>
          <t xml:space="preserve">  Weighted-average basic shares (m; Class A + B + C)</t>
        </is>
      </c>
      <c r="C158" s="253" t="n">
        <v>12056.12</v>
      </c>
      <c r="D158" s="253" t="n">
        <v>12432.24</v>
      </c>
      <c r="E158" s="253" t="n">
        <v>12558.36</v>
      </c>
      <c r="F158" s="253" t="n">
        <v>12648.84</v>
      </c>
      <c r="G158" s="253" t="n">
        <v>12748.08</v>
      </c>
      <c r="H158" s="253" t="n">
        <v>12911.12</v>
      </c>
      <c r="I158" s="253" t="n">
        <v>13088.52</v>
      </c>
      <c r="J158" s="253" t="n">
        <v>13218.16</v>
      </c>
      <c r="K158" s="253" t="n">
        <v>13299.2</v>
      </c>
      <c r="L158" s="253" t="n">
        <v>13344.64</v>
      </c>
      <c r="M158" s="253" t="n">
        <v>13393.36</v>
      </c>
      <c r="N158" s="253" t="n">
        <v>13313.84</v>
      </c>
      <c r="O158" s="253" t="n">
        <v>13451.74</v>
      </c>
      <c r="P158" s="253" t="n">
        <v>13502.3</v>
      </c>
      <c r="Q158" s="253" t="n">
        <v>13541.94</v>
      </c>
      <c r="R158" s="253" t="n">
        <v>13578.82</v>
      </c>
      <c r="S158" s="253" t="n">
        <v>13518.7</v>
      </c>
      <c r="T158" s="253" t="n">
        <v>13618.3</v>
      </c>
      <c r="U158" s="253" t="n">
        <v>13672.34</v>
      </c>
      <c r="V158" s="253" t="n">
        <v>13728.7</v>
      </c>
      <c r="W158" s="253" t="n">
        <v>13750.74</v>
      </c>
      <c r="X158" s="253" t="n">
        <v>13692.52</v>
      </c>
      <c r="Y158" s="253" t="n">
        <v>13750.36</v>
      </c>
      <c r="Z158" s="253" t="n">
        <v>13724.38</v>
      </c>
      <c r="AA158" s="253" t="n">
        <v>13751.22</v>
      </c>
      <c r="AB158" s="253" t="n">
        <v>13796.28</v>
      </c>
      <c r="AC158" s="253" t="n">
        <v>13755.56</v>
      </c>
      <c r="AD158" s="253" t="n">
        <v>13831.1</v>
      </c>
      <c r="AE158" s="253" t="n">
        <v>13839.18</v>
      </c>
      <c r="AF158" s="253" t="n">
        <v>13869.7</v>
      </c>
      <c r="AG158" s="253" t="n">
        <v>13892.1</v>
      </c>
      <c r="AH158" s="253" t="n">
        <v>13858.02</v>
      </c>
      <c r="AI158" s="253" t="n">
        <v>13895.04</v>
      </c>
      <c r="AJ158" s="253" t="n">
        <v>13898.7</v>
      </c>
      <c r="AK158" s="253" t="n">
        <v>13912.68</v>
      </c>
      <c r="AL158" s="253" t="n">
        <v>13904.78</v>
      </c>
      <c r="AM158" s="253" t="n">
        <v>13902.8</v>
      </c>
      <c r="AN158" s="253" t="n">
        <v>13897.38</v>
      </c>
      <c r="AO158" s="253" t="n">
        <v>13879.38</v>
      </c>
      <c r="AP158" s="253" t="n">
        <v>13854.82</v>
      </c>
      <c r="AQ158" s="253" t="n">
        <v>13776.1</v>
      </c>
      <c r="AR158" s="253" t="n">
        <v>13851.92</v>
      </c>
      <c r="AS158" s="253" t="n">
        <v>13729.3</v>
      </c>
      <c r="AT158" s="253" t="n">
        <v>13635.36</v>
      </c>
      <c r="AU158" s="253" t="n">
        <v>13588.98</v>
      </c>
      <c r="AV158" s="253" t="n">
        <v>13511.64</v>
      </c>
      <c r="AW158" s="253" t="n">
        <v>13616.32</v>
      </c>
      <c r="AX158" s="253" t="n">
        <v>13464.4</v>
      </c>
      <c r="AY158" s="253" t="n">
        <v>13379.16</v>
      </c>
      <c r="AZ158" s="253" t="n">
        <v>13315.16</v>
      </c>
      <c r="BA158" s="253" t="n">
        <v>13253.28</v>
      </c>
      <c r="BB158" s="253" t="n">
        <v>13353</v>
      </c>
      <c r="BC158" s="253" t="n">
        <v>13203.42</v>
      </c>
      <c r="BD158" s="253" t="n">
        <v>13133</v>
      </c>
      <c r="BE158" s="253" t="n">
        <v>13018</v>
      </c>
      <c r="BF158" s="253" t="n">
        <v>12897.58</v>
      </c>
      <c r="BG158" s="253" t="n">
        <v>13063</v>
      </c>
      <c r="BH158" s="253" t="n">
        <v>12781</v>
      </c>
      <c r="BI158" s="253" t="n">
        <v>12668</v>
      </c>
      <c r="BJ158" s="253" t="n">
        <v>12581</v>
      </c>
      <c r="BK158" s="253" t="n">
        <v>12490</v>
      </c>
      <c r="BL158" s="253" t="n">
        <v>12630</v>
      </c>
      <c r="BM158" s="253" t="n">
        <v>12415</v>
      </c>
      <c r="BN158" s="253" t="n">
        <v>12343</v>
      </c>
      <c r="BO158" s="253" t="n">
        <v>12290</v>
      </c>
      <c r="BP158" s="253" t="n">
        <v>12228</v>
      </c>
      <c r="BQ158" s="253" t="n">
        <v>12319</v>
      </c>
      <c r="BR158" s="253" t="n">
        <v>12183</v>
      </c>
      <c r="BS158" s="253" t="n">
        <v>12122</v>
      </c>
      <c r="BT158" s="253" t="n">
        <v>12086</v>
      </c>
      <c r="BU158" s="253" t="n">
        <v>12073</v>
      </c>
      <c r="BV158" s="253" t="n">
        <v>12116</v>
      </c>
      <c r="BW158" s="253" t="n">
        <v>12099</v>
      </c>
      <c r="BX158" s="253" t="n">
        <v>12151</v>
      </c>
      <c r="BY158" s="254">
        <f>BX329+(CA288-CA287)*0.25</f>
        <v>12245</v>
      </c>
      <c r="BZ158" s="254">
        <f>BX329+(CA288-CA287)*0.75</f>
        <v>12275</v>
      </c>
      <c r="CA158" s="254">
        <f>AVERAGE(BW158:BZ158)</f>
        <v>12192.5</v>
      </c>
      <c r="CB158" s="254">
        <f>AVERAGE(CB290,CB291)</f>
        <v>12313.5448986502</v>
      </c>
      <c r="CC158" s="254">
        <f>AVERAGE(CC290,CC291)</f>
        <v>12397.0897973005</v>
      </c>
      <c r="CD158" s="254">
        <f>AVERAGE(CD290,CD291)</f>
        <v>12538.6366724139</v>
      </c>
      <c r="CE158" s="254">
        <f>AVERAGE(CE290,CE291)</f>
        <v>12680.1835475273</v>
      </c>
      <c r="CF158" s="19" t="inlineStr">
        <is>
          <t>Q3–Q4/26E: shares outstanding at 30-Jun-2026 + 2H26 net issuance (¼ in Q3, ¾ in Q4). 2027E+: average of beginning and ending shares.</t>
        </is>
      </c>
    </row>
    <row r="159" ht="15" customHeight="1" s="251">
      <c r="B159" s="25" t="inlineStr">
        <is>
          <t xml:space="preserve">  Weighted-average diluted shares (m; RSUs + if-converted preferred)</t>
        </is>
      </c>
      <c r="C159" s="253" t="n">
        <v>12381.92</v>
      </c>
      <c r="D159" s="253" t="n">
        <v>12648.4</v>
      </c>
      <c r="E159" s="253" t="n">
        <v>12700.56</v>
      </c>
      <c r="F159" s="253" t="n">
        <v>12776.64</v>
      </c>
      <c r="G159" s="253" t="n">
        <v>12930.04</v>
      </c>
      <c r="H159" s="253" t="n">
        <v>13088.56</v>
      </c>
      <c r="I159" s="253" t="n">
        <v>13292.2</v>
      </c>
      <c r="J159" s="253" t="n">
        <v>13466.52</v>
      </c>
      <c r="K159" s="253" t="n">
        <v>13533.48</v>
      </c>
      <c r="L159" s="253" t="n">
        <v>13569.4</v>
      </c>
      <c r="M159" s="253" t="n">
        <v>13640.04</v>
      </c>
      <c r="N159" s="253" t="n">
        <v>13552.36</v>
      </c>
      <c r="O159" s="253" t="n">
        <v>13704.24</v>
      </c>
      <c r="P159" s="253" t="n">
        <v>13727.26</v>
      </c>
      <c r="Q159" s="253" t="n">
        <v>13764.3</v>
      </c>
      <c r="R159" s="253" t="n">
        <v>13769.8</v>
      </c>
      <c r="S159" s="253" t="n">
        <v>13741.4</v>
      </c>
      <c r="T159" s="253" t="n">
        <v>13789.96</v>
      </c>
      <c r="U159" s="253" t="n">
        <v>13817.56</v>
      </c>
      <c r="V159" s="253" t="n">
        <v>13886.38</v>
      </c>
      <c r="W159" s="253" t="n">
        <v>13940.5</v>
      </c>
      <c r="X159" s="253" t="n">
        <v>13858.6</v>
      </c>
      <c r="Y159" s="253" t="n">
        <v>13986.22</v>
      </c>
      <c r="Z159" s="253" t="n">
        <v>13936.94</v>
      </c>
      <c r="AA159" s="253" t="n">
        <v>13968.8</v>
      </c>
      <c r="AB159" s="253" t="n">
        <v>14004.52</v>
      </c>
      <c r="AC159" s="253" t="n">
        <v>13974.12</v>
      </c>
      <c r="AD159" s="253" t="n">
        <v>14040.72</v>
      </c>
      <c r="AE159" s="253" t="n">
        <v>14070.06</v>
      </c>
      <c r="AF159" s="253" t="n">
        <v>14074.32</v>
      </c>
      <c r="AG159" s="253" t="n">
        <v>14101.62</v>
      </c>
      <c r="AH159" s="253" t="n">
        <v>14071.68</v>
      </c>
      <c r="AI159" s="253" t="n">
        <v>14102.68</v>
      </c>
      <c r="AJ159" s="253" t="n">
        <v>14064.94</v>
      </c>
      <c r="AK159" s="253" t="n">
        <v>14077.18</v>
      </c>
      <c r="AL159" s="253" t="n">
        <v>14018</v>
      </c>
      <c r="AM159" s="253" t="n">
        <v>14065.7</v>
      </c>
      <c r="AN159" s="253" t="n">
        <v>14017.58</v>
      </c>
      <c r="AO159" s="253" t="n">
        <v>13999.08</v>
      </c>
      <c r="AP159" s="253" t="n">
        <v>13963.98</v>
      </c>
      <c r="AQ159" s="253" t="n">
        <v>13903.84</v>
      </c>
      <c r="AR159" s="253" t="n">
        <v>13971.12</v>
      </c>
      <c r="AS159" s="253" t="n">
        <v>13845.34</v>
      </c>
      <c r="AT159" s="253" t="n">
        <v>13740.48</v>
      </c>
      <c r="AU159" s="253" t="n">
        <v>13717.02</v>
      </c>
      <c r="AV159" s="253" t="n">
        <v>13659.4</v>
      </c>
      <c r="AW159" s="253" t="n">
        <v>13740.56</v>
      </c>
      <c r="AX159" s="253" t="n">
        <v>13641.42</v>
      </c>
      <c r="AY159" s="253" t="n">
        <v>13592.24</v>
      </c>
      <c r="AZ159" s="253" t="n">
        <v>13530.38</v>
      </c>
      <c r="BA159" s="253" t="n">
        <v>13449.88</v>
      </c>
      <c r="BB159" s="253" t="n">
        <v>13553.48</v>
      </c>
      <c r="BC159" s="253" t="n">
        <v>13351.02</v>
      </c>
      <c r="BD159" s="253" t="n">
        <v>13239</v>
      </c>
      <c r="BE159" s="253" t="n">
        <v>13097</v>
      </c>
      <c r="BF159" s="253" t="n">
        <v>12948.98</v>
      </c>
      <c r="BG159" s="253" t="n">
        <v>13159</v>
      </c>
      <c r="BH159" s="253" t="n">
        <v>12823</v>
      </c>
      <c r="BI159" s="253" t="n">
        <v>12764</v>
      </c>
      <c r="BJ159" s="253" t="n">
        <v>12696</v>
      </c>
      <c r="BK159" s="253" t="n">
        <v>12605</v>
      </c>
      <c r="BL159" s="253" t="n">
        <v>12722</v>
      </c>
      <c r="BM159" s="253" t="n">
        <v>12527</v>
      </c>
      <c r="BN159" s="253" t="n">
        <v>12495</v>
      </c>
      <c r="BO159" s="253" t="n">
        <v>12419</v>
      </c>
      <c r="BP159" s="253" t="n">
        <v>12347</v>
      </c>
      <c r="BQ159" s="253" t="n">
        <v>12447</v>
      </c>
      <c r="BR159" s="253" t="n">
        <v>12291</v>
      </c>
      <c r="BS159" s="253" t="n">
        <v>12198</v>
      </c>
      <c r="BT159" s="253" t="n">
        <v>12203</v>
      </c>
      <c r="BU159" s="253" t="n">
        <v>12228</v>
      </c>
      <c r="BV159" s="253" t="n">
        <v>12230</v>
      </c>
      <c r="BW159" s="253" t="n">
        <v>12238</v>
      </c>
      <c r="BX159" s="253" t="n">
        <v>12309</v>
      </c>
      <c r="BY159" s="254">
        <f>BY158+(BX159-BX158-16)+CA296</f>
        <v>12440.751</v>
      </c>
      <c r="BZ159" s="254">
        <f>BZ158+(BX159-BX158-16)+CA296</f>
        <v>12470.751</v>
      </c>
      <c r="CA159" s="254">
        <f>AVERAGE(BW159:BZ159)</f>
        <v>12364.6255</v>
      </c>
      <c r="CB159" s="254">
        <f>CB158+CB350+CB297</f>
        <v>12508.8094489148</v>
      </c>
      <c r="CC159" s="254">
        <f>CC158+CC350+CC297</f>
        <v>12588.6310475454</v>
      </c>
      <c r="CD159" s="254">
        <f>CD158+CD350+CD297</f>
        <v>12699.7968287489</v>
      </c>
      <c r="CE159" s="254">
        <f>CE158+CE350+CE297</f>
        <v>12825.1835475273</v>
      </c>
      <c r="CF159" s="19" t="inlineStr">
        <is>
          <t>Q3–Q4/26E: basic + Q2-26 RSU dilution (diluted − basic − 16m preferred) + preferred if-converted at the forecast price. 2027E+: + RSU dilution + preferred (to May-2029).</t>
        </is>
      </c>
      <c r="CH159" s="20">
        <f>IFERROR((CE159/BV159)^(1/5)-1,"n/m")</f>
        <v>0.00954905463402622</v>
      </c>
      <c r="CI159" s="20">
        <f>IFERROR((BV159/AW159)^(1/5)-1,"n/m")</f>
        <v>-0.0230228534200778</v>
      </c>
      <c r="CJ159" s="20">
        <f>IFERROR((BV159/X159)^(1/10)-1,"n/m")</f>
        <v>-0.0124235849641975</v>
      </c>
      <c r="CK159" s="20">
        <f>IFERROR((BV159/C159)^(1/19)-1,"n/m")</f>
        <v>-0.000649546552470959</v>
      </c>
    </row>
    <row r="160" ht="15" customHeight="1" s="251">
      <c r="B160" s="55" t="inlineStr">
        <is>
          <t>EPS – diluted ($)</t>
        </is>
      </c>
      <c r="C160" s="271">
        <f>IF(ISNUMBER(C159),IFERROR((C154+N(C161)*N(C152))/C159,""),"")</f>
        <v>0.248543521521703</v>
      </c>
      <c r="D160" s="271">
        <f>IF(ISNUMBER(D159),IFERROR((D154+N(D161)*N(D152))/D159,""),"")</f>
        <v>0.332351918029158</v>
      </c>
      <c r="E160" s="271">
        <f>IF(ISNUMBER(E159),IFERROR((E154+N(E161)*N(E152))/E159,""),"")</f>
        <v>0.33280878953369</v>
      </c>
      <c r="F160" s="271">
        <f>IF(ISNUMBER(F159),IFERROR((F154+N(F161)*N(F152))/F159,""),"")</f>
        <v>0.510341373005735</v>
      </c>
      <c r="G160" s="271">
        <f>IF(ISNUMBER(G159),IFERROR((G154+N(G161)*N(G152))/G159,""),"")</f>
        <v>0.657770586943273</v>
      </c>
      <c r="H160" s="271">
        <f>IF(ISNUMBER(H159),IFERROR((H154+N(H161)*N(H152))/H159,""),"")</f>
        <v>0.743932105594504</v>
      </c>
      <c r="I160" s="271">
        <f>IF(ISNUMBER(I159),IFERROR((I154+N(I161)*N(I152))/I159,""),"")</f>
        <v>0.807766961074916</v>
      </c>
      <c r="J160" s="271">
        <f>IF(ISNUMBER(J159),IFERROR((J154+N(J161)*N(J152))/J159,""),"")</f>
        <v>0.248468052622355</v>
      </c>
      <c r="K160" s="271">
        <f>IF(ISNUMBER(K159),IFERROR((K154+N(K161)*N(K152))/K159,""),"")</f>
        <v>0.238519582546396</v>
      </c>
      <c r="L160" s="271">
        <f>IF(ISNUMBER(L159),IFERROR((L154+N(L161)*N(L152))/L159,""),"")</f>
        <v>0.218874821289077</v>
      </c>
      <c r="M160" s="271">
        <f>IF(ISNUMBER(M159),IFERROR((M154+N(M161)*N(M152))/M159,""),"")</f>
        <v>0.247506605552476</v>
      </c>
      <c r="N160" s="271">
        <f>IF(ISNUMBER(N159),IFERROR((N154+N(N161)*N(N152))/N159,""),"")</f>
        <v>0.953339492162251</v>
      </c>
      <c r="O160" s="271">
        <f>IF(ISNUMBER(O159),IFERROR((O154+N(O161)*N(O152))/O159,""),"")</f>
        <v>0.25189284484218</v>
      </c>
      <c r="P160" s="271">
        <f>IF(ISNUMBER(P159),IFERROR((P154+N(P161)*N(P152))/P159,""),"")</f>
        <v>0.249284999337085</v>
      </c>
      <c r="Q160" s="271">
        <f>IF(ISNUMBER(Q159),IFERROR((Q154+N(Q161)*N(Q152))/Q159,""),"")</f>
        <v>0.204369274136716</v>
      </c>
      <c r="R160" s="271">
        <f>IF(ISNUMBER(R159),IFERROR((R154+N(R161)*N(R152))/R159,""),"")</f>
        <v>0.345466165085913</v>
      </c>
      <c r="S160" s="271">
        <f>IF(ISNUMBER(S159),IFERROR((S154+N(S161)*N(S152))/S159,""),"")</f>
        <v>1.05113016141005</v>
      </c>
      <c r="T160" s="271">
        <f>IF(ISNUMBER(T159),IFERROR((T154+N(T161)*N(T152))/T159,""),"")</f>
        <v>0.260044264087786</v>
      </c>
      <c r="U160" s="271">
        <f>IF(ISNUMBER(U159),IFERROR((U154+N(U161)*N(U152))/U159,""),"")</f>
        <v>0.246715049545651</v>
      </c>
      <c r="V160" s="271">
        <f>IF(ISNUMBER(V159),IFERROR((V154+N(V161)*N(V152))/V159,""),"")</f>
        <v>0.286539760542344</v>
      </c>
      <c r="W160" s="271">
        <f>IF(ISNUMBER(W159),IFERROR((W154+N(W161)*N(W152))/W159,""),"")</f>
        <v>0.35314371794412</v>
      </c>
      <c r="X160" s="271">
        <f>IF(ISNUMBER(X159),IFERROR((X154+N(X161)*N(X152))/X159,""),"")</f>
        <v>1.14196239158357</v>
      </c>
      <c r="Y160" s="271">
        <f>IF(ISNUMBER(Y159),IFERROR((Y154+N(Y161)*N(Y152))/Y159,""),"")</f>
        <v>0.3007960692739</v>
      </c>
      <c r="Z160" s="271">
        <f>IF(ISNUMBER(Z159),IFERROR((Z154+N(Z161)*N(Z152))/Z159,""),"")</f>
        <v>0.349933342613228</v>
      </c>
      <c r="AA160" s="271">
        <f>IF(ISNUMBER(AA159),IFERROR((AA154+N(AA161)*N(AA152))/AA159,""),"")</f>
        <v>0.362307427982361</v>
      </c>
      <c r="AB160" s="271">
        <f>IF(ISNUMBER(AB159),IFERROR((AB154+N(AB161)*N(AB152))/AB159,""),"")</f>
        <v>0.380805625612302</v>
      </c>
      <c r="AC160" s="271">
        <f>IF(ISNUMBER(AC159),IFERROR((AC154+N(AC161)*N(AC152))/AC159,""),"")</f>
        <v>1.39386236843536</v>
      </c>
      <c r="AD160" s="271">
        <f>IF(ISNUMBER(AD159),IFERROR((AD154+N(AD161)*N(AD152))/AD159,""),"")</f>
        <v>0.386447418650895</v>
      </c>
      <c r="AE160" s="271">
        <f>IF(ISNUMBER(AE159),IFERROR((AE154+N(AE161)*N(AE152))/AE159,""),"")</f>
        <v>0.250460907771538</v>
      </c>
      <c r="AF160" s="271">
        <f>IF(ISNUMBER(AF159),IFERROR((AF154+N(AF161)*N(AF152))/AF159,""),"")</f>
        <v>0.478317957812527</v>
      </c>
      <c r="AG160" s="271">
        <f>IF(ISNUMBER(AG159),IFERROR((AG154+N(AG161)*N(AG152))/AG159,""),"")</f>
        <v>-0.214159791570047</v>
      </c>
      <c r="AH160" s="271">
        <f>IF(ISNUMBER(AH159),IFERROR((AH154+N(AH161)*N(AH152))/AH159,""),"")</f>
        <v>0.899821485423205</v>
      </c>
      <c r="AI160" s="271">
        <f>IF(ISNUMBER(AI159),IFERROR((AI154+N(AI161)*N(AI152))/AI159,""),"")</f>
        <v>0.666610885306906</v>
      </c>
      <c r="AJ160" s="271">
        <f>IF(ISNUMBER(AJ159),IFERROR((AJ154+N(AJ161)*N(AJ152))/AJ159,""),"")</f>
        <v>0.227160585114476</v>
      </c>
      <c r="AK160" s="271">
        <f>IF(ISNUMBER(AK159),IFERROR((AK154+N(AK161)*N(AK152))/AK159,""),"")</f>
        <v>0.652971688932016</v>
      </c>
      <c r="AL160" s="271">
        <f>IF(ISNUMBER(AL159),IFERROR((AL154+N(AL161)*N(AL152))/AL159,""),"")</f>
        <v>0.638322157226423</v>
      </c>
      <c r="AM160" s="271">
        <f>IF(ISNUMBER(AM159),IFERROR((AM154+N(AM161)*N(AM152))/AM159,""),"")</f>
        <v>2.18517386265881</v>
      </c>
      <c r="AN160" s="271">
        <f>IF(ISNUMBER(AN159),IFERROR((AN154+N(AN161)*N(AN152))/AN159,""),"")</f>
        <v>0.474903656693951</v>
      </c>
      <c r="AO160" s="271">
        <f>IF(ISNUMBER(AO159),IFERROR((AO154+N(AO161)*N(AO152))/AO159,""),"")</f>
        <v>0.710546693068402</v>
      </c>
      <c r="AP160" s="271">
        <f>IF(ISNUMBER(AP159),IFERROR((AP154+N(AP161)*N(AP152))/AP159,""),"")</f>
        <v>0.506159418733055</v>
      </c>
      <c r="AQ160" s="271">
        <f>IF(ISNUMBER(AQ159),IFERROR((AQ154+N(AQ161)*N(AQ152))/AQ159,""),"")</f>
        <v>0.767485816867858</v>
      </c>
      <c r="AR160" s="271">
        <f>IF(ISNUMBER(AR159),IFERROR((AR154+N(AR161)*N(AR152))/AR159,""),"")</f>
        <v>2.45814222481805</v>
      </c>
      <c r="AS160" s="271">
        <f>IF(ISNUMBER(AS159),IFERROR((AS154+N(AS161)*N(AS152))/AS159,""),"")</f>
        <v>0.493740132058873</v>
      </c>
      <c r="AT160" s="271">
        <f>IF(ISNUMBER(AT159),IFERROR((AT154+N(AT161)*N(AT152))/AT159,""),"")</f>
        <v>0.506459745219963</v>
      </c>
      <c r="AU160" s="271">
        <f>IF(ISNUMBER(AU159),IFERROR((AU154+N(AU161)*N(AU152))/AU159,""),"")</f>
        <v>0.819930276401143</v>
      </c>
      <c r="AV160" s="271">
        <f>IF(ISNUMBER(AV159),IFERROR((AV154+N(AV161)*N(AV152))/AV159,""),"")</f>
        <v>1.11476345959559</v>
      </c>
      <c r="AW160" s="271">
        <f>IF(ISNUMBER(AW159),IFERROR((AW154+N(AW161)*N(AW152))/AW159,""),"")</f>
        <v>2.93066658127471</v>
      </c>
      <c r="AX160" s="271">
        <f>IF(ISNUMBER(AX159),IFERROR((AX154+N(AX161)*N(AX152))/AX159,""),"")</f>
        <v>1.31437929482415</v>
      </c>
      <c r="AY160" s="271">
        <f>IF(ISNUMBER(AY159),IFERROR((AY154+N(AY161)*N(AY152))/AY159,""),"")</f>
        <v>1.36291001336056</v>
      </c>
      <c r="AZ160" s="271">
        <f>IF(ISNUMBER(AZ159),IFERROR((AZ154+N(AZ161)*N(AZ152))/AZ159,""),"")</f>
        <v>1.39951723454921</v>
      </c>
      <c r="BA160" s="271">
        <f>IF(ISNUMBER(BA159),IFERROR((BA154+N(BA161)*N(BA152))/BA159,""),"")</f>
        <v>1.534734882393</v>
      </c>
      <c r="BB160" s="271">
        <f>IF(ISNUMBER(BB159),IFERROR((BB154+N(BB161)*N(BB152))/BB159,""),"")</f>
        <v>5.60985075419745</v>
      </c>
      <c r="BC160" s="271">
        <f>IF(ISNUMBER(BC159),IFERROR((BC154+N(BC161)*N(BC152))/BC159,""),"")</f>
        <v>1.23106698963825</v>
      </c>
      <c r="BD160" s="271">
        <f>IF(ISNUMBER(BD159),IFERROR((BD154+N(BD161)*N(BD152))/BD159,""),"")</f>
        <v>1.2087015635622</v>
      </c>
      <c r="BE160" s="271">
        <f>IF(ISNUMBER(BE159),IFERROR((BE154+N(BE161)*N(BE152))/BE159,""),"")</f>
        <v>1.06207528441628</v>
      </c>
      <c r="BF160" s="271">
        <f>IF(ISNUMBER(BF159),IFERROR((BF154+N(BF161)*N(BF152))/BF159,""),"")</f>
        <v>1.05212920245456</v>
      </c>
      <c r="BG160" s="271">
        <f>IF(ISNUMBER(BG159),IFERROR((BG154+N(BG161)*N(BG152))/BG159,""),"")</f>
        <v>4.55748917090964</v>
      </c>
      <c r="BH160" s="271">
        <f>IF(ISNUMBER(BH159),IFERROR((BH154+N(BH161)*N(BH152))/BH159,""),"")</f>
        <v>1.17375029244327</v>
      </c>
      <c r="BI160" s="271">
        <f>IF(ISNUMBER(BI159),IFERROR((BI154+N(BI161)*N(BI152))/BI159,""),"")</f>
        <v>1.43904732058916</v>
      </c>
      <c r="BJ160" s="271">
        <f>IF(ISNUMBER(BJ159),IFERROR((BJ154+N(BJ161)*N(BJ152))/BJ159,""),"")</f>
        <v>1.5508034026465</v>
      </c>
      <c r="BK160" s="271">
        <f>IF(ISNUMBER(BK159),IFERROR((BK154+N(BK161)*N(BK152))/BK159,""),"")</f>
        <v>1.64117413724712</v>
      </c>
      <c r="BL160" s="271">
        <f>IF(ISNUMBER(BL159),IFERROR((BL154+N(BL161)*N(BL152))/BL159,""),"")</f>
        <v>5.80058166954881</v>
      </c>
      <c r="BM160" s="271">
        <f>IF(ISNUMBER(BM159),IFERROR((BM154+N(BM161)*N(BM152))/BM159,""),"")</f>
        <v>1.88888001915862</v>
      </c>
      <c r="BN160" s="271">
        <f>IF(ISNUMBER(BN159),IFERROR((BN154+N(BN161)*N(BN152))/BN159,""),"")</f>
        <v>1.89027611044418</v>
      </c>
      <c r="BO160" s="271">
        <f>IF(ISNUMBER(BO159),IFERROR((BO154+N(BO161)*N(BO152))/BO159,""),"")</f>
        <v>2.11780336581045</v>
      </c>
      <c r="BP160" s="271">
        <f>IF(ISNUMBER(BP159),IFERROR((BP154+N(BP161)*N(BP152))/BP159,""),"")</f>
        <v>2.14918603709403</v>
      </c>
      <c r="BQ160" s="271">
        <f>IF(ISNUMBER(BQ159),IFERROR((BQ154+N(BQ161)*N(BQ152))/BQ159,""),"")</f>
        <v>8.04354462922793</v>
      </c>
      <c r="BR160" s="271">
        <f>IF(ISNUMBER(BR159),IFERROR((BR154+N(BR161)*N(BR152))/BR159,""),"")</f>
        <v>2.81018631518998</v>
      </c>
      <c r="BS160" s="271">
        <f>IF(ISNUMBER(BS159),IFERROR((BS154+N(BS161)*N(BS152))/BS159,""),"")</f>
        <v>2.31152647975078</v>
      </c>
      <c r="BT160" s="271">
        <f>IF(ISNUMBER(BT159),IFERROR((BT154+N(BT161)*N(BT152))/BT159,""),"")</f>
        <v>2.86642628861755</v>
      </c>
      <c r="BU160" s="271">
        <f>IF(ISNUMBER(BU159),IFERROR((BU154+N(BU161)*N(BU152))/BU159,""),"")</f>
        <v>2.81771344455348</v>
      </c>
      <c r="BV160" s="271">
        <f>IF(ISNUMBER(BV159),IFERROR((BV154+N(BV161)*N(BV152))/BV159,""),"")</f>
        <v>10.807031888798</v>
      </c>
      <c r="BW160" s="271">
        <f>IF(ISNUMBER(BW159),IFERROR((BW154+N(BW161)*N(BW152))/BW159,""),"")</f>
        <v>5.11341722503677</v>
      </c>
      <c r="BX160" s="271">
        <f>IF(ISNUMBER(BX159),IFERROR((BX154+N(BX161)*N(BX152))/BX159,""),"")</f>
        <v>9.10772605410675</v>
      </c>
      <c r="BY160" s="271">
        <f>IF(ISNUMBER(BY159),IFERROR((BY154+N(BY161)*N(BY152))/BY159,""),"")</f>
        <v>2.80999138340946</v>
      </c>
      <c r="BZ160" s="271">
        <f>IF(ISNUMBER(BZ159),IFERROR((BZ154+N(BZ161)*N(BZ152))/BZ159,""),"")</f>
        <v>3.38904950563947</v>
      </c>
      <c r="CA160" s="271">
        <f>IF(ISNUMBER(CA159),IFERROR((CA154+N(CA161)*N(CA152))/CA159,""),"")</f>
        <v>20.380188273769</v>
      </c>
      <c r="CB160" s="271">
        <f>IF(ISNUMBER(CB159),IFERROR((CB154+N(CB161)*N(CB152))/CB159,""),"")</f>
        <v>13.0269917367344</v>
      </c>
      <c r="CC160" s="271">
        <f>IF(ISNUMBER(CC159),IFERROR((CC154+N(CC161)*N(CC152))/CC159,""),"")</f>
        <v>13.9852403307108</v>
      </c>
      <c r="CD160" s="271">
        <f>IF(ISNUMBER(CD159),IFERROR((CD154+N(CD161)*N(CD152))/CD159,""),"")</f>
        <v>15.2789085870134</v>
      </c>
      <c r="CE160" s="271">
        <f>IF(ISNUMBER(CE159),IFERROR((CE154+N(CE161)*N(CE152))/CE159,""),"")</f>
        <v>16.5618741733719</v>
      </c>
      <c r="CF160" s="19" t="inlineStr">
        <is>
          <t>Net income available to common (+ preferred dividends when the preferred is if-converted) ÷ diluted shares. 2015: Class A EPS (Class C EPS includes the adjustment payment).</t>
        </is>
      </c>
      <c r="CH160" s="20">
        <f>IFERROR((CE160/BV160)^(1/5)-1,"n/m")</f>
        <v>0.0891322288421292</v>
      </c>
      <c r="CI160" s="20">
        <f>IFERROR((BV160/AW160)^(1/5)-1,"n/m")</f>
        <v>0.298219129296738</v>
      </c>
      <c r="CJ160" s="20">
        <f>IFERROR((BV160/X160)^(1/10)-1,"n/m")</f>
        <v>0.252003269935734</v>
      </c>
      <c r="CK160" s="20">
        <f>IFERROR((BV160/C160)^(1/19)-1,"n/m")</f>
        <v>0.219625582882609</v>
      </c>
    </row>
    <row r="161" ht="15" customHeight="1" s="251">
      <c r="B161" s="25" t="inlineStr">
        <is>
          <t xml:space="preserve">  Preferred if-converted in diluted EPS (1 = yes; forecast to the May-2029 conversion)</t>
        </is>
      </c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  <c r="AV161" s="36" t="n"/>
      <c r="AW161" s="36" t="n"/>
      <c r="AX161" s="36" t="n"/>
      <c r="AY161" s="36" t="n"/>
      <c r="AZ161" s="36" t="n"/>
      <c r="BA161" s="36" t="n"/>
      <c r="BB161" s="36" t="n"/>
      <c r="BC161" s="36" t="n"/>
      <c r="BD161" s="36" t="n"/>
      <c r="BE161" s="36" t="n"/>
      <c r="BF161" s="36" t="n"/>
      <c r="BG161" s="36" t="n"/>
      <c r="BH161" s="36" t="n"/>
      <c r="BI161" s="36" t="n"/>
      <c r="BJ161" s="36" t="n"/>
      <c r="BK161" s="36" t="n"/>
      <c r="BL161" s="36" t="n"/>
      <c r="BM161" s="36" t="n"/>
      <c r="BN161" s="36" t="n"/>
      <c r="BO161" s="36" t="n"/>
      <c r="BP161" s="36" t="n"/>
      <c r="BQ161" s="36" t="n"/>
      <c r="BR161" s="36" t="n"/>
      <c r="BS161" s="36" t="n"/>
      <c r="BT161" s="36" t="n"/>
      <c r="BU161" s="36" t="n"/>
      <c r="BV161" s="36" t="n"/>
      <c r="BW161" s="36" t="n"/>
      <c r="BX161" s="36" t="n"/>
      <c r="BY161" s="269" t="n">
        <v>1</v>
      </c>
      <c r="BZ161" s="269" t="n">
        <v>1</v>
      </c>
      <c r="CA161" s="269" t="n">
        <v>1</v>
      </c>
      <c r="CB161" s="269" t="n">
        <v>1</v>
      </c>
      <c r="CC161" s="269" t="n">
        <v>1</v>
      </c>
      <c r="CD161" s="269" t="n">
        <v>1</v>
      </c>
      <c r="CE161" s="269" t="n">
        <v>0</v>
      </c>
      <c r="CF161" s="19" t="n"/>
    </row>
    <row r="162" ht="15" customHeight="1" s="251">
      <c r="B162" s="22" t="inlineStr">
        <is>
          <t xml:space="preserve">  EPS – diluted y/y %</t>
        </is>
      </c>
      <c r="C162" s="23" t="n"/>
      <c r="D162" s="255">
        <f>IF(AND(ISNUMBER(D160),ISNUMBER(C160)),IFERROR(D160/C160-1,""),"")</f>
        <v>0.337198072974666</v>
      </c>
      <c r="E162" s="255">
        <f>IF(AND(ISNUMBER(E160),ISNUMBER(D160)),IFERROR(E160/D160-1,""),"")</f>
        <v>0.00137466185614676</v>
      </c>
      <c r="F162" s="255">
        <f>IF(AND(ISNUMBER(F160),ISNUMBER(E160)),IFERROR(F160/E160-1,""),"")</f>
        <v>0.533437183918107</v>
      </c>
      <c r="G162" s="255">
        <f>IF(AND(ISNUMBER(G160),ISNUMBER(F160)),IFERROR(G160/F160-1,""),"")</f>
        <v>0.288883523335038</v>
      </c>
      <c r="H162" s="255">
        <f>IF(AND(ISNUMBER(H160),ISNUMBER(G160)),IFERROR(H160/G160-1,""),"")</f>
        <v>0.130990227233529</v>
      </c>
      <c r="I162" s="255">
        <f>IF(AND(ISNUMBER(I160),ISNUMBER(H160)),IFERROR(I160/H160-1,""),"")</f>
        <v>0.0858073673664068</v>
      </c>
      <c r="J162" s="23" t="n"/>
      <c r="K162" s="23" t="n"/>
      <c r="L162" s="23" t="n"/>
      <c r="M162" s="23" t="n"/>
      <c r="N162" s="255">
        <f>IF(AND(ISNUMBER(N160),ISNUMBER(I160)),IFERROR(N160/I160-1,""),"")</f>
        <v>0.180216000532651</v>
      </c>
      <c r="O162" s="255">
        <f>IF(AND(ISNUMBER(O160),ISNUMBER(J160)),IFERROR(O160/J160-1,""),"")</f>
        <v>0.0137836320753488</v>
      </c>
      <c r="P162" s="255">
        <f>IF(AND(ISNUMBER(P160),ISNUMBER(K160)),IFERROR(P160/K160-1,""),"")</f>
        <v>0.0451343100459911</v>
      </c>
      <c r="Q162" s="255">
        <f>IF(AND(ISNUMBER(Q160),ISNUMBER(L160)),IFERROR(Q160/L160-1,""),"")</f>
        <v>-0.0662732564071534</v>
      </c>
      <c r="R162" s="255">
        <f>IF(AND(ISNUMBER(R160),ISNUMBER(M160)),IFERROR(R160/M160-1,""),"")</f>
        <v>0.395785636972291</v>
      </c>
      <c r="S162" s="255">
        <f>IF(AND(ISNUMBER(S160),ISNUMBER(N160)),IFERROR(S160/N160-1,""),"")</f>
        <v>0.102576962406118</v>
      </c>
      <c r="T162" s="255">
        <f>IF(AND(ISNUMBER(T160),ISNUMBER(O160)),IFERROR(T160/O160-1,""),"")</f>
        <v>0.0323606621327912</v>
      </c>
      <c r="U162" s="255">
        <f>IF(AND(ISNUMBER(U160),ISNUMBER(P160)),IFERROR(U160/P160-1,""),"")</f>
        <v>-0.0103092837445856</v>
      </c>
      <c r="V162" s="255">
        <f>IF(AND(ISNUMBER(V160),ISNUMBER(Q160)),IFERROR(V160/Q160-1,""),"")</f>
        <v>0.402068690377885</v>
      </c>
      <c r="W162" s="255">
        <f>IF(AND(ISNUMBER(W160),ISNUMBER(R160)),IFERROR(W160/R160-1,""),"")</f>
        <v>0.0222237476028881</v>
      </c>
      <c r="X162" s="255">
        <f>IF(AND(ISNUMBER(X160),ISNUMBER(S160)),IFERROR(X160/S160-1,""),"")</f>
        <v>0.0864138748065912</v>
      </c>
      <c r="Y162" s="255">
        <f>IF(AND(ISNUMBER(Y160),ISNUMBER(T160)),IFERROR(Y160/T160-1,""),"")</f>
        <v>0.156711032750782</v>
      </c>
      <c r="Z162" s="255">
        <f>IF(AND(ISNUMBER(Z160),ISNUMBER(U160)),IFERROR(Z160/U160-1,""),"")</f>
        <v>0.418370477429989</v>
      </c>
      <c r="AA162" s="255">
        <f>IF(AND(ISNUMBER(AA160),ISNUMBER(V160)),IFERROR(AA160/V160-1,""),"")</f>
        <v>0.264422875543024</v>
      </c>
      <c r="AB162" s="255">
        <f>IF(AND(ISNUMBER(AB160),ISNUMBER(W160)),IFERROR(AB160/W160-1,""),"")</f>
        <v>0.078330453757526</v>
      </c>
      <c r="AC162" s="255">
        <f>IF(AND(ISNUMBER(AC160),ISNUMBER(X160)),IFERROR(AC160/X160-1,""),"")</f>
        <v>0.220585177505266</v>
      </c>
      <c r="AD162" s="255">
        <f>IF(AND(ISNUMBER(AD160),ISNUMBER(Y160)),IFERROR(AD160/Y160-1,""),"")</f>
        <v>0.28474889842727</v>
      </c>
      <c r="AE162" s="255">
        <f>IF(AND(ISNUMBER(AE160),ISNUMBER(Z160)),IFERROR(AE160/Z160-1,""),"")</f>
        <v>-0.284261094123959</v>
      </c>
      <c r="AF162" s="255">
        <f>IF(AND(ISNUMBER(AF160),ISNUMBER(AA160)),IFERROR(AF160/AA160-1,""),"")</f>
        <v>0.320199148210161</v>
      </c>
      <c r="AG162" s="255">
        <f>IF(AND(ISNUMBER(AG160),ISNUMBER(AB160)),IFERROR(AG160/AB160-1,""),"")</f>
        <v>-1.56238610242613</v>
      </c>
      <c r="AH162" s="255">
        <f>IF(AND(ISNUMBER(AH160),ISNUMBER(AC160)),IFERROR(AH160/AC160-1,""),"")</f>
        <v>-0.354440218919699</v>
      </c>
      <c r="AI162" s="255">
        <f>IF(AND(ISNUMBER(AI160),ISNUMBER(AD160)),IFERROR(AI160/AD160-1,""),"")</f>
        <v>0.724971763646587</v>
      </c>
      <c r="AJ162" s="255">
        <f>IF(AND(ISNUMBER(AJ160),ISNUMBER(AE160)),IFERROR(AJ160/AE160-1,""),"")</f>
        <v>-0.0930297780375181</v>
      </c>
      <c r="AK162" s="255">
        <f>IF(AND(ISNUMBER(AK160),ISNUMBER(AF160)),IFERROR(AK160/AF160-1,""),"")</f>
        <v>0.365141488557584</v>
      </c>
      <c r="AL162" s="255">
        <f>IF(AND(ISNUMBER(AL160),ISNUMBER(AG160)),IFERROR(AL160/AG160-1,""),"")</f>
        <v>-3.98058824463155</v>
      </c>
      <c r="AM162" s="255">
        <f>IF(AND(ISNUMBER(AM160),ISNUMBER(AH160)),IFERROR(AM160/AH160-1,""),"")</f>
        <v>1.42845264094919</v>
      </c>
      <c r="AN162" s="255">
        <f>IF(AND(ISNUMBER(AN160),ISNUMBER(AI160)),IFERROR(AN160/AI160-1,""),"")</f>
        <v>-0.287584905735065</v>
      </c>
      <c r="AO162" s="255">
        <f>IF(AND(ISNUMBER(AO160),ISNUMBER(AJ160)),IFERROR(AO160/AJ160-1,""),"")</f>
        <v>2.12794885921924</v>
      </c>
      <c r="AP162" s="255">
        <f>IF(AND(ISNUMBER(AP160),ISNUMBER(AK160)),IFERROR(AP160/AK160-1,""),"")</f>
        <v>-0.224837114207944</v>
      </c>
      <c r="AQ162" s="255">
        <f>IF(AND(ISNUMBER(AQ160),ISNUMBER(AL160)),IFERROR(AQ160/AL160-1,""),"")</f>
        <v>0.202348701481184</v>
      </c>
      <c r="AR162" s="255">
        <f>IF(AND(ISNUMBER(AR160),ISNUMBER(AM160)),IFERROR(AR160/AM160-1,""),"")</f>
        <v>0.124918372319862</v>
      </c>
      <c r="AS162" s="255">
        <f>IF(AND(ISNUMBER(AS160),ISNUMBER(AN160)),IFERROR(AS160/AN160-1,""),"")</f>
        <v>0.0396637825365511</v>
      </c>
      <c r="AT162" s="255">
        <f>IF(AND(ISNUMBER(AT160),ISNUMBER(AO160)),IFERROR(AT160/AO160-1,""),"")</f>
        <v>-0.287225244785978</v>
      </c>
      <c r="AU162" s="255">
        <f>IF(AND(ISNUMBER(AU160),ISNUMBER(AP160)),IFERROR(AU160/AP160-1,""),"")</f>
        <v>0.61990520388512</v>
      </c>
      <c r="AV162" s="255">
        <f>IF(AND(ISNUMBER(AV160),ISNUMBER(AQ160)),IFERROR(AV160/AQ160-1,""),"")</f>
        <v>0.452487375134809</v>
      </c>
      <c r="AW162" s="255">
        <f>IF(AND(ISNUMBER(AW160),ISNUMBER(AR160)),IFERROR(AW160/AR160-1,""),"")</f>
        <v>0.192228241183901</v>
      </c>
      <c r="AX162" s="255">
        <f>IF(AND(ISNUMBER(AX160),ISNUMBER(AS160)),IFERROR(AX160/AS160-1,""),"")</f>
        <v>1.66208721851968</v>
      </c>
      <c r="AY162" s="255">
        <f>IF(AND(ISNUMBER(AY160),ISNUMBER(AT160)),IFERROR(AY160/AT160-1,""),"")</f>
        <v>1.69105299330084</v>
      </c>
      <c r="AZ162" s="255">
        <f>IF(AND(ISNUMBER(AZ160),ISNUMBER(AU160)),IFERROR(AZ160/AU160-1,""),"")</f>
        <v>0.706873468183184</v>
      </c>
      <c r="BA162" s="255">
        <f>IF(AND(ISNUMBER(BA160),ISNUMBER(AV160)),IFERROR(BA160/AV160-1,""),"")</f>
        <v>0.376735906781308</v>
      </c>
      <c r="BB162" s="255">
        <f>IF(AND(ISNUMBER(BB160),ISNUMBER(AW160)),IFERROR(BB160/AW160-1,""),"")</f>
        <v>0.914189348607993</v>
      </c>
      <c r="BC162" s="255">
        <f>IF(AND(ISNUMBER(BC160),ISNUMBER(AX160)),IFERROR(BC160/AX160-1,""),"")</f>
        <v>-0.0633852842280566</v>
      </c>
      <c r="BD162" s="255">
        <f>IF(AND(ISNUMBER(BD160),ISNUMBER(AY160)),IFERROR(BD160/AY160-1,""),"")</f>
        <v>-0.113146464760447</v>
      </c>
      <c r="BE162" s="255">
        <f>IF(AND(ISNUMBER(BE160),ISNUMBER(AZ160)),IFERROR(BE160/AZ160-1,""),"")</f>
        <v>-0.24111310800801</v>
      </c>
      <c r="BF162" s="255">
        <f>IF(AND(ISNUMBER(BF160),ISNUMBER(BA160)),IFERROR(BF160/BA160-1,""),"")</f>
        <v>-0.314455405604618</v>
      </c>
      <c r="BG162" s="255">
        <f>IF(AND(ISNUMBER(BG160),ISNUMBER(BB160)),IFERROR(BG160/BB160-1,""),"")</f>
        <v>-0.187591725590988</v>
      </c>
      <c r="BH162" s="255">
        <f>IF(AND(ISNUMBER(BH160),ISNUMBER(BC160)),IFERROR(BH160/BC160-1,""),"")</f>
        <v>-0.0465585526030731</v>
      </c>
      <c r="BI162" s="255">
        <f>IF(AND(ISNUMBER(BI160),ISNUMBER(BD160)),IFERROR(BI160/BD160-1,""),"")</f>
        <v>0.190572895718026</v>
      </c>
      <c r="BJ162" s="255">
        <f>IF(AND(ISNUMBER(BJ160),ISNUMBER(BE160)),IFERROR(BJ160/BE160-1,""),"")</f>
        <v>0.460163347552929</v>
      </c>
      <c r="BK162" s="255">
        <f>IF(AND(ISNUMBER(BK160),ISNUMBER(BF160)),IFERROR(BK160/BF160-1,""),"")</f>
        <v>0.559859885476385</v>
      </c>
      <c r="BL162" s="255">
        <f>IF(AND(ISNUMBER(BL160),ISNUMBER(BG160)),IFERROR(BL160/BG160-1,""),"")</f>
        <v>0.272758190315361</v>
      </c>
      <c r="BM162" s="255">
        <f>IF(AND(ISNUMBER(BM160),ISNUMBER(BH160)),IFERROR(BM160/BH160-1,""),"")</f>
        <v>0.609269050938207</v>
      </c>
      <c r="BN162" s="255">
        <f>IF(AND(ISNUMBER(BN160),ISNUMBER(BI160)),IFERROR(BN160/BI160-1,""),"")</f>
        <v>0.313560772741152</v>
      </c>
      <c r="BO162" s="255">
        <f>IF(AND(ISNUMBER(BO160),ISNUMBER(BJ160)),IFERROR(BO160/BJ160-1,""),"")</f>
        <v>0.365616919718091</v>
      </c>
      <c r="BP162" s="255">
        <f>IF(AND(ISNUMBER(BP160),ISNUMBER(BK160)),IFERROR(BP160/BK160-1,""),"")</f>
        <v>0.309541741072667</v>
      </c>
      <c r="BQ162" s="255">
        <f>IF(AND(ISNUMBER(BQ160),ISNUMBER(BL160)),IFERROR(BQ160/BL160-1,""),"")</f>
        <v>0.386678972464769</v>
      </c>
      <c r="BR162" s="255">
        <f>IF(AND(ISNUMBER(BR160),ISNUMBER(BM160)),IFERROR(BR160/BM160-1,""),"")</f>
        <v>0.487752682376166</v>
      </c>
      <c r="BS162" s="255">
        <f>IF(AND(ISNUMBER(BS160),ISNUMBER(BN160)),IFERROR(BS160/BN160-1,""),"")</f>
        <v>0.222851236906134</v>
      </c>
      <c r="BT162" s="255">
        <f>IF(AND(ISNUMBER(BT160),ISNUMBER(BO160)),IFERROR(BT160/BO160-1,""),"")</f>
        <v>0.353490288519121</v>
      </c>
      <c r="BU162" s="255">
        <f>IF(AND(ISNUMBER(BU160),ISNUMBER(BP160)),IFERROR(BU160/BP160-1,""),"")</f>
        <v>0.311060743891388</v>
      </c>
      <c r="BV162" s="255">
        <f>IF(AND(ISNUMBER(BV160),ISNUMBER(BQ160)),IFERROR(BV160/BQ160-1,""),"")</f>
        <v>0.343565851493929</v>
      </c>
      <c r="BW162" s="255">
        <f>IF(AND(ISNUMBER(BW160),ISNUMBER(BR160)),IFERROR(BW160/BR160-1,""),"")</f>
        <v>0.819600784971828</v>
      </c>
      <c r="BX162" s="255">
        <f>IF(AND(ISNUMBER(BX160),ISNUMBER(BS160)),IFERROR(BX160/BS160-1,""),"")</f>
        <v>2.94013485629147</v>
      </c>
      <c r="BY162" s="256">
        <f>IF(AND(ISNUMBER(BY160),ISNUMBER(BT160)),IFERROR(BY160/BT160-1,""),"")</f>
        <v>-0.0196882457547205</v>
      </c>
      <c r="BZ162" s="256">
        <f>IF(AND(ISNUMBER(BZ160),ISNUMBER(BU160)),IFERROR(BZ160/BU160-1,""),"")</f>
        <v>0.202765849802916</v>
      </c>
      <c r="CA162" s="256">
        <f>IF(AND(ISNUMBER(CA160),ISNUMBER(BV160)),IFERROR(CA160/BV160-1,""),"")</f>
        <v>0.885826606553645</v>
      </c>
      <c r="CB162" s="256">
        <f>IF(AND(ISNUMBER(CB160),ISNUMBER(CA160)),IFERROR(CB160/CA160-1,""),"")</f>
        <v>-0.360801207440208</v>
      </c>
      <c r="CC162" s="256">
        <f>IF(AND(ISNUMBER(CC160),ISNUMBER(CB160)),IFERROR(CC160/CB160-1,""),"")</f>
        <v>0.0735587012981871</v>
      </c>
      <c r="CD162" s="256">
        <f>IF(AND(ISNUMBER(CD160),ISNUMBER(CC160)),IFERROR(CD160/CC160-1,""),"")</f>
        <v>0.0925023972210022</v>
      </c>
      <c r="CE162" s="256">
        <f>IF(AND(ISNUMBER(CE160),ISNUMBER(CD160)),IFERROR(CE160/CD160-1,""),"")</f>
        <v>0.083969714135798</v>
      </c>
      <c r="CF162" s="153" t="n"/>
    </row>
    <row r="163" ht="15" customHeight="1" s="251">
      <c r="B163" s="156" t="inlineStr">
        <is>
          <t xml:space="preserve">  Memo: EPS – diluted as reported ($, split-adjusted; Q4 from the release)</t>
        </is>
      </c>
      <c r="C163" s="272" t="n">
        <v>0.2485</v>
      </c>
      <c r="D163" s="272" t="n">
        <v>0.33225</v>
      </c>
      <c r="E163" s="272" t="n">
        <v>0.33275</v>
      </c>
      <c r="F163" s="272" t="n">
        <v>0.51025</v>
      </c>
      <c r="G163" s="272" t="n">
        <v>0.6577499999999999</v>
      </c>
      <c r="H163" s="272" t="n">
        <v>0.744</v>
      </c>
      <c r="I163" s="272" t="n">
        <v>0.80775</v>
      </c>
      <c r="J163" s="272" t="n">
        <v>0.2485</v>
      </c>
      <c r="K163" s="272" t="n">
        <v>0.2385</v>
      </c>
      <c r="L163" s="272" t="n">
        <v>0.21875</v>
      </c>
      <c r="M163" s="272" t="n">
        <v>0.2475</v>
      </c>
      <c r="N163" s="272" t="n">
        <v>0.95325</v>
      </c>
      <c r="O163" s="272" t="n">
        <v>0.252</v>
      </c>
      <c r="P163" s="272" t="n">
        <v>0.2495</v>
      </c>
      <c r="Q163" s="272" t="n">
        <v>0.2045</v>
      </c>
      <c r="R163" s="272" t="n">
        <v>0.3455</v>
      </c>
      <c r="S163" s="272" t="n">
        <v>1.051</v>
      </c>
      <c r="T163" s="272" t="n">
        <v>0.26</v>
      </c>
      <c r="U163" s="272" t="n">
        <v>0.2465</v>
      </c>
      <c r="V163" s="272" t="n">
        <v>0.2865</v>
      </c>
      <c r="W163" s="272" t="n">
        <v>0.353</v>
      </c>
      <c r="X163" s="272" t="n">
        <v>1.142</v>
      </c>
      <c r="Y163" s="272" t="n">
        <v>0.301</v>
      </c>
      <c r="Z163" s="272" t="n">
        <v>0.35</v>
      </c>
      <c r="AA163" s="272" t="n">
        <v>0.3625</v>
      </c>
      <c r="AB163" s="272" t="n">
        <v>0.378</v>
      </c>
      <c r="AC163" s="272" t="n">
        <v>1.3925</v>
      </c>
      <c r="AD163" s="272" t="n">
        <v>0.3865</v>
      </c>
      <c r="AE163" s="272" t="n">
        <v>0.2505</v>
      </c>
      <c r="AF163" s="272" t="n">
        <v>0.4785</v>
      </c>
      <c r="AG163" s="272" t="n">
        <v>-0.2175</v>
      </c>
      <c r="AH163" s="272" t="n">
        <v>0.9</v>
      </c>
      <c r="AI163" s="272" t="n">
        <v>0.6665</v>
      </c>
      <c r="AJ163" s="272" t="n">
        <v>0.227</v>
      </c>
      <c r="AK163" s="272" t="n">
        <v>0.653</v>
      </c>
      <c r="AL163" s="272" t="n">
        <v>0.6385</v>
      </c>
      <c r="AM163" s="272" t="n">
        <v>2.185</v>
      </c>
      <c r="AN163" s="272" t="n">
        <v>0.475</v>
      </c>
      <c r="AO163" s="272" t="n">
        <v>0.7105</v>
      </c>
      <c r="AP163" s="272" t="n">
        <v>0.506</v>
      </c>
      <c r="AQ163" s="272" t="n">
        <v>0.7675</v>
      </c>
      <c r="AR163" s="272" t="n">
        <v>2.458</v>
      </c>
      <c r="AS163" s="272" t="n">
        <v>0.4935</v>
      </c>
      <c r="AT163" s="272" t="n">
        <v>0.5065</v>
      </c>
      <c r="AU163" s="272" t="n">
        <v>0.82</v>
      </c>
      <c r="AV163" s="272" t="n">
        <v>1.115</v>
      </c>
      <c r="AW163" s="272" t="n">
        <v>2.9305</v>
      </c>
      <c r="AX163" s="272" t="n">
        <v>1.3145</v>
      </c>
      <c r="AY163" s="272" t="n">
        <v>1.363</v>
      </c>
      <c r="AZ163" s="272" t="n">
        <v>1.3995</v>
      </c>
      <c r="BA163" s="272" t="n">
        <v>1.5345</v>
      </c>
      <c r="BB163" s="272" t="n">
        <v>5.61</v>
      </c>
      <c r="BC163" s="272" t="n">
        <v>1.231</v>
      </c>
      <c r="BD163" s="272" t="n">
        <v>1.21</v>
      </c>
      <c r="BE163" s="272" t="n">
        <v>1.06</v>
      </c>
      <c r="BF163" s="272" t="n">
        <v>1.05</v>
      </c>
      <c r="BG163" s="272" t="n">
        <v>4.56</v>
      </c>
      <c r="BH163" s="272" t="n">
        <v>1.17</v>
      </c>
      <c r="BI163" s="272" t="n">
        <v>1.44</v>
      </c>
      <c r="BJ163" s="272" t="n">
        <v>1.55</v>
      </c>
      <c r="BK163" s="272" t="n">
        <v>1.64</v>
      </c>
      <c r="BL163" s="272" t="n">
        <v>5.8</v>
      </c>
      <c r="BM163" s="272" t="n">
        <v>1.89</v>
      </c>
      <c r="BN163" s="272" t="n">
        <v>1.89</v>
      </c>
      <c r="BO163" s="272" t="n">
        <v>2.12</v>
      </c>
      <c r="BP163" s="272" t="n">
        <v>2.15</v>
      </c>
      <c r="BQ163" s="272" t="n">
        <v>8.039999999999999</v>
      </c>
      <c r="BR163" s="272" t="n">
        <v>2.81</v>
      </c>
      <c r="BS163" s="272" t="n">
        <v>2.31</v>
      </c>
      <c r="BT163" s="272" t="n">
        <v>2.87</v>
      </c>
      <c r="BU163" s="272" t="n">
        <v>2.82</v>
      </c>
      <c r="BV163" s="272" t="n">
        <v>10.81</v>
      </c>
      <c r="BW163" s="272" t="n">
        <v>5.11</v>
      </c>
      <c r="BX163" s="272" t="n">
        <v>9.109999999999999</v>
      </c>
      <c r="BY163" s="153" t="n"/>
      <c r="BZ163" s="153" t="n"/>
      <c r="CA163" s="153" t="n"/>
      <c r="CB163" s="153" t="n"/>
      <c r="CC163" s="153" t="n"/>
      <c r="CD163" s="153" t="n"/>
      <c r="CE163" s="153" t="n"/>
      <c r="CF163" s="153" t="n"/>
    </row>
    <row r="164" ht="15" customHeight="1" s="251">
      <c r="B164" s="57" t="inlineStr">
        <is>
          <t xml:space="preserve">  Check: model vs reported diluted EPS (should be 0.00; ±0.01 rounding, ±0.015 split-adjusted)</t>
        </is>
      </c>
      <c r="C164" s="273">
        <f>IF(AND(ISNUMBER(C163),ISNUMBER(C160)),IF(ABS(C160-C163)&lt;=0.0151,0,ROUND(C160-C163,2)),"n/p")</f>
        <v>0</v>
      </c>
      <c r="D164" s="273">
        <f>IF(AND(ISNUMBER(D163),ISNUMBER(D160)),IF(ABS(D160-D163)&lt;=0.0151,0,ROUND(D160-D163,2)),"n/p")</f>
        <v>0</v>
      </c>
      <c r="E164" s="273">
        <f>IF(AND(ISNUMBER(E163),ISNUMBER(E160)),IF(ABS(E160-E163)&lt;=0.0151,0,ROUND(E160-E163,2)),"n/p")</f>
        <v>0</v>
      </c>
      <c r="F164" s="273">
        <f>IF(AND(ISNUMBER(F163),ISNUMBER(F160)),IF(ABS(F160-F163)&lt;=0.0151,0,ROUND(F160-F163,2)),"n/p")</f>
        <v>0</v>
      </c>
      <c r="G164" s="273">
        <f>IF(AND(ISNUMBER(G163),ISNUMBER(G160)),IF(ABS(G160-G163)&lt;=0.0151,0,ROUND(G160-G163,2)),"n/p")</f>
        <v>0</v>
      </c>
      <c r="H164" s="273">
        <f>IF(AND(ISNUMBER(H163),ISNUMBER(H160)),IF(ABS(H160-H163)&lt;=0.0151,0,ROUND(H160-H163,2)),"n/p")</f>
        <v>0</v>
      </c>
      <c r="I164" s="273">
        <f>IF(AND(ISNUMBER(I163),ISNUMBER(I160)),IF(ABS(I160-I163)&lt;=0.0151,0,ROUND(I160-I163,2)),"n/p")</f>
        <v>0</v>
      </c>
      <c r="J164" s="273">
        <f>IF(AND(ISNUMBER(J163),ISNUMBER(J160)),IF(ABS(J160-J163)&lt;=0.0151,0,ROUND(J160-J163,2)),"n/p")</f>
        <v>0</v>
      </c>
      <c r="K164" s="273">
        <f>IF(AND(ISNUMBER(K163),ISNUMBER(K160)),IF(ABS(K160-K163)&lt;=0.0151,0,ROUND(K160-K163,2)),"n/p")</f>
        <v>0</v>
      </c>
      <c r="L164" s="273">
        <f>IF(AND(ISNUMBER(L163),ISNUMBER(L160)),IF(ABS(L160-L163)&lt;=0.0151,0,ROUND(L160-L163,2)),"n/p")</f>
        <v>0</v>
      </c>
      <c r="M164" s="273">
        <f>IF(AND(ISNUMBER(M163),ISNUMBER(M160)),IF(ABS(M160-M163)&lt;=0.0151,0,ROUND(M160-M163,2)),"n/p")</f>
        <v>0</v>
      </c>
      <c r="N164" s="273">
        <f>IF(AND(ISNUMBER(N163),ISNUMBER(N160)),IF(ABS(N160-N163)&lt;=0.0151,0,ROUND(N160-N163,2)),"n/p")</f>
        <v>0</v>
      </c>
      <c r="O164" s="273">
        <f>IF(AND(ISNUMBER(O163),ISNUMBER(O160)),IF(ABS(O160-O163)&lt;=0.0151,0,ROUND(O160-O163,2)),"n/p")</f>
        <v>0</v>
      </c>
      <c r="P164" s="273">
        <f>IF(AND(ISNUMBER(P163),ISNUMBER(P160)),IF(ABS(P160-P163)&lt;=0.0151,0,ROUND(P160-P163,2)),"n/p")</f>
        <v>0</v>
      </c>
      <c r="Q164" s="273">
        <f>IF(AND(ISNUMBER(Q163),ISNUMBER(Q160)),IF(ABS(Q160-Q163)&lt;=0.0151,0,ROUND(Q160-Q163,2)),"n/p")</f>
        <v>0</v>
      </c>
      <c r="R164" s="273">
        <f>IF(AND(ISNUMBER(R163),ISNUMBER(R160)),IF(ABS(R160-R163)&lt;=0.0151,0,ROUND(R160-R163,2)),"n/p")</f>
        <v>0</v>
      </c>
      <c r="S164" s="273">
        <f>IF(AND(ISNUMBER(S163),ISNUMBER(S160)),IF(ABS(S160-S163)&lt;=0.0151,0,ROUND(S160-S163,2)),"n/p")</f>
        <v>0</v>
      </c>
      <c r="T164" s="273">
        <f>IF(AND(ISNUMBER(T163),ISNUMBER(T160)),IF(ABS(T160-T163)&lt;=0.0151,0,ROUND(T160-T163,2)),"n/p")</f>
        <v>0</v>
      </c>
      <c r="U164" s="273">
        <f>IF(AND(ISNUMBER(U163),ISNUMBER(U160)),IF(ABS(U160-U163)&lt;=0.0151,0,ROUND(U160-U163,2)),"n/p")</f>
        <v>0</v>
      </c>
      <c r="V164" s="273">
        <f>IF(AND(ISNUMBER(V163),ISNUMBER(V160)),IF(ABS(V160-V163)&lt;=0.0151,0,ROUND(V160-V163,2)),"n/p")</f>
        <v>0</v>
      </c>
      <c r="W164" s="273">
        <f>IF(AND(ISNUMBER(W163),ISNUMBER(W160)),IF(ABS(W160-W163)&lt;=0.0151,0,ROUND(W160-W163,2)),"n/p")</f>
        <v>0</v>
      </c>
      <c r="X164" s="273">
        <f>IF(AND(ISNUMBER(X163),ISNUMBER(X160)),IF(ABS(X160-X163)&lt;=0.0151,0,ROUND(X160-X163,2)),"n/p")</f>
        <v>0</v>
      </c>
      <c r="Y164" s="273">
        <f>IF(AND(ISNUMBER(Y163),ISNUMBER(Y160)),IF(ABS(Y160-Y163)&lt;=0.0151,0,ROUND(Y160-Y163,2)),"n/p")</f>
        <v>0</v>
      </c>
      <c r="Z164" s="273">
        <f>IF(AND(ISNUMBER(Z163),ISNUMBER(Z160)),IF(ABS(Z160-Z163)&lt;=0.0151,0,ROUND(Z160-Z163,2)),"n/p")</f>
        <v>0</v>
      </c>
      <c r="AA164" s="273">
        <f>IF(AND(ISNUMBER(AA163),ISNUMBER(AA160)),IF(ABS(AA160-AA163)&lt;=0.0151,0,ROUND(AA160-AA163,2)),"n/p")</f>
        <v>0</v>
      </c>
      <c r="AB164" s="273">
        <f>IF(AND(ISNUMBER(AB163),ISNUMBER(AB160)),IF(ABS(AB160-AB163)&lt;=0.0151,0,ROUND(AB160-AB163,2)),"n/p")</f>
        <v>0</v>
      </c>
      <c r="AC164" s="273">
        <f>IF(AND(ISNUMBER(AC163),ISNUMBER(AC160)),IF(ABS(AC160-AC163)&lt;=0.0151,0,ROUND(AC160-AC163,2)),"n/p")</f>
        <v>0</v>
      </c>
      <c r="AD164" s="273">
        <f>IF(AND(ISNUMBER(AD163),ISNUMBER(AD160)),IF(ABS(AD160-AD163)&lt;=0.0151,0,ROUND(AD160-AD163,2)),"n/p")</f>
        <v>0</v>
      </c>
      <c r="AE164" s="273">
        <f>IF(AND(ISNUMBER(AE163),ISNUMBER(AE160)),IF(ABS(AE160-AE163)&lt;=0.0151,0,ROUND(AE160-AE163,2)),"n/p")</f>
        <v>0</v>
      </c>
      <c r="AF164" s="273">
        <f>IF(AND(ISNUMBER(AF163),ISNUMBER(AF160)),IF(ABS(AF160-AF163)&lt;=0.0151,0,ROUND(AF160-AF163,2)),"n/p")</f>
        <v>0</v>
      </c>
      <c r="AG164" s="273">
        <f>IF(AND(ISNUMBER(AG163),ISNUMBER(AG160)),IF(ABS(AG160-AG163)&lt;=0.0151,0,ROUND(AG160-AG163,2)),"n/p")</f>
        <v>0</v>
      </c>
      <c r="AH164" s="273">
        <f>IF(AND(ISNUMBER(AH163),ISNUMBER(AH160)),IF(ABS(AH160-AH163)&lt;=0.0151,0,ROUND(AH160-AH163,2)),"n/p")</f>
        <v>0</v>
      </c>
      <c r="AI164" s="273">
        <f>IF(AND(ISNUMBER(AI163),ISNUMBER(AI160)),IF(ABS(AI160-AI163)&lt;=0.0151,0,ROUND(AI160-AI163,2)),"n/p")</f>
        <v>0</v>
      </c>
      <c r="AJ164" s="273">
        <f>IF(AND(ISNUMBER(AJ163),ISNUMBER(AJ160)),IF(ABS(AJ160-AJ163)&lt;=0.0151,0,ROUND(AJ160-AJ163,2)),"n/p")</f>
        <v>0</v>
      </c>
      <c r="AK164" s="273">
        <f>IF(AND(ISNUMBER(AK163),ISNUMBER(AK160)),IF(ABS(AK160-AK163)&lt;=0.0151,0,ROUND(AK160-AK163,2)),"n/p")</f>
        <v>0</v>
      </c>
      <c r="AL164" s="273">
        <f>IF(AND(ISNUMBER(AL163),ISNUMBER(AL160)),IF(ABS(AL160-AL163)&lt;=0.0151,0,ROUND(AL160-AL163,2)),"n/p")</f>
        <v>0</v>
      </c>
      <c r="AM164" s="273">
        <f>IF(AND(ISNUMBER(AM163),ISNUMBER(AM160)),IF(ABS(AM160-AM163)&lt;=0.0151,0,ROUND(AM160-AM163,2)),"n/p")</f>
        <v>0</v>
      </c>
      <c r="AN164" s="273">
        <f>IF(AND(ISNUMBER(AN163),ISNUMBER(AN160)),IF(ABS(AN160-AN163)&lt;=0.0151,0,ROUND(AN160-AN163,2)),"n/p")</f>
        <v>0</v>
      </c>
      <c r="AO164" s="273">
        <f>IF(AND(ISNUMBER(AO163),ISNUMBER(AO160)),IF(ABS(AO160-AO163)&lt;=0.0151,0,ROUND(AO160-AO163,2)),"n/p")</f>
        <v>0</v>
      </c>
      <c r="AP164" s="273">
        <f>IF(AND(ISNUMBER(AP163),ISNUMBER(AP160)),IF(ABS(AP160-AP163)&lt;=0.0151,0,ROUND(AP160-AP163,2)),"n/p")</f>
        <v>0</v>
      </c>
      <c r="AQ164" s="273">
        <f>IF(AND(ISNUMBER(AQ163),ISNUMBER(AQ160)),IF(ABS(AQ160-AQ163)&lt;=0.0151,0,ROUND(AQ160-AQ163,2)),"n/p")</f>
        <v>0</v>
      </c>
      <c r="AR164" s="273">
        <f>IF(AND(ISNUMBER(AR163),ISNUMBER(AR160)),IF(ABS(AR160-AR163)&lt;=0.0151,0,ROUND(AR160-AR163,2)),"n/p")</f>
        <v>0</v>
      </c>
      <c r="AS164" s="273">
        <f>IF(AND(ISNUMBER(AS163),ISNUMBER(AS160)),IF(ABS(AS160-AS163)&lt;=0.0151,0,ROUND(AS160-AS163,2)),"n/p")</f>
        <v>0</v>
      </c>
      <c r="AT164" s="273">
        <f>IF(AND(ISNUMBER(AT163),ISNUMBER(AT160)),IF(ABS(AT160-AT163)&lt;=0.0151,0,ROUND(AT160-AT163,2)),"n/p")</f>
        <v>0</v>
      </c>
      <c r="AU164" s="273">
        <f>IF(AND(ISNUMBER(AU163),ISNUMBER(AU160)),IF(ABS(AU160-AU163)&lt;=0.0151,0,ROUND(AU160-AU163,2)),"n/p")</f>
        <v>0</v>
      </c>
      <c r="AV164" s="273">
        <f>IF(AND(ISNUMBER(AV163),ISNUMBER(AV160)),IF(ABS(AV160-AV163)&lt;=0.0151,0,ROUND(AV160-AV163,2)),"n/p")</f>
        <v>0</v>
      </c>
      <c r="AW164" s="273">
        <f>IF(AND(ISNUMBER(AW163),ISNUMBER(AW160)),IF(ABS(AW160-AW163)&lt;=0.0151,0,ROUND(AW160-AW163,2)),"n/p")</f>
        <v>0</v>
      </c>
      <c r="AX164" s="273">
        <f>IF(AND(ISNUMBER(AX163),ISNUMBER(AX160)),IF(ABS(AX160-AX163)&lt;=0.0151,0,ROUND(AX160-AX163,2)),"n/p")</f>
        <v>0</v>
      </c>
      <c r="AY164" s="273">
        <f>IF(AND(ISNUMBER(AY163),ISNUMBER(AY160)),IF(ABS(AY160-AY163)&lt;=0.0151,0,ROUND(AY160-AY163,2)),"n/p")</f>
        <v>0</v>
      </c>
      <c r="AZ164" s="273">
        <f>IF(AND(ISNUMBER(AZ163),ISNUMBER(AZ160)),IF(ABS(AZ160-AZ163)&lt;=0.0151,0,ROUND(AZ160-AZ163,2)),"n/p")</f>
        <v>0</v>
      </c>
      <c r="BA164" s="273">
        <f>IF(AND(ISNUMBER(BA163),ISNUMBER(BA160)),IF(ABS(BA160-BA163)&lt;=0.0151,0,ROUND(BA160-BA163,2)),"n/p")</f>
        <v>0</v>
      </c>
      <c r="BB164" s="273">
        <f>IF(AND(ISNUMBER(BB163),ISNUMBER(BB160)),IF(ABS(BB160-BB163)&lt;=0.0151,0,ROUND(BB160-BB163,2)),"n/p")</f>
        <v>0</v>
      </c>
      <c r="BC164" s="273">
        <f>IF(AND(ISNUMBER(BC163),ISNUMBER(BC160)),IF(ABS(BC160-BC163)&lt;=0.0151,0,ROUND(BC160-BC163,2)),"n/p")</f>
        <v>0</v>
      </c>
      <c r="BD164" s="273">
        <f>IF(AND(ISNUMBER(BD163),ISNUMBER(BD160)),IF(ABS(BD160-BD163)&lt;=0.0151,0,ROUND(BD160-BD163,2)),"n/p")</f>
        <v>0</v>
      </c>
      <c r="BE164" s="273">
        <f>IF(AND(ISNUMBER(BE163),ISNUMBER(BE160)),IF(ABS(BE160-BE163)&lt;=0.0151,0,ROUND(BE160-BE163,2)),"n/p")</f>
        <v>0</v>
      </c>
      <c r="BF164" s="273">
        <f>IF(AND(ISNUMBER(BF163),ISNUMBER(BF160)),IF(ABS(BF160-BF163)&lt;=0.0151,0,ROUND(BF160-BF163,2)),"n/p")</f>
        <v>0</v>
      </c>
      <c r="BG164" s="273">
        <f>IF(AND(ISNUMBER(BG163),ISNUMBER(BG160)),IF(ABS(BG160-BG163)&lt;=0.0151,0,ROUND(BG160-BG163,2)),"n/p")</f>
        <v>0</v>
      </c>
      <c r="BH164" s="273">
        <f>IF(AND(ISNUMBER(BH163),ISNUMBER(BH160)),IF(ABS(BH160-BH163)&lt;=0.0151,0,ROUND(BH160-BH163,2)),"n/p")</f>
        <v>0</v>
      </c>
      <c r="BI164" s="273">
        <f>IF(AND(ISNUMBER(BI163),ISNUMBER(BI160)),IF(ABS(BI160-BI163)&lt;=0.0151,0,ROUND(BI160-BI163,2)),"n/p")</f>
        <v>0</v>
      </c>
      <c r="BJ164" s="273">
        <f>IF(AND(ISNUMBER(BJ163),ISNUMBER(BJ160)),IF(ABS(BJ160-BJ163)&lt;=0.0151,0,ROUND(BJ160-BJ163,2)),"n/p")</f>
        <v>0</v>
      </c>
      <c r="BK164" s="273">
        <f>IF(AND(ISNUMBER(BK163),ISNUMBER(BK160)),IF(ABS(BK160-BK163)&lt;=0.0151,0,ROUND(BK160-BK163,2)),"n/p")</f>
        <v>0</v>
      </c>
      <c r="BL164" s="273">
        <f>IF(AND(ISNUMBER(BL163),ISNUMBER(BL160)),IF(ABS(BL160-BL163)&lt;=0.0151,0,ROUND(BL160-BL163,2)),"n/p")</f>
        <v>0</v>
      </c>
      <c r="BM164" s="273">
        <f>IF(AND(ISNUMBER(BM163),ISNUMBER(BM160)),IF(ABS(BM160-BM163)&lt;=0.0151,0,ROUND(BM160-BM163,2)),"n/p")</f>
        <v>0</v>
      </c>
      <c r="BN164" s="273">
        <f>IF(AND(ISNUMBER(BN163),ISNUMBER(BN160)),IF(ABS(BN160-BN163)&lt;=0.0151,0,ROUND(BN160-BN163,2)),"n/p")</f>
        <v>0</v>
      </c>
      <c r="BO164" s="273">
        <f>IF(AND(ISNUMBER(BO163),ISNUMBER(BO160)),IF(ABS(BO160-BO163)&lt;=0.0151,0,ROUND(BO160-BO163,2)),"n/p")</f>
        <v>0</v>
      </c>
      <c r="BP164" s="273">
        <f>IF(AND(ISNUMBER(BP163),ISNUMBER(BP160)),IF(ABS(BP160-BP163)&lt;=0.0151,0,ROUND(BP160-BP163,2)),"n/p")</f>
        <v>0</v>
      </c>
      <c r="BQ164" s="273">
        <f>IF(AND(ISNUMBER(BQ163),ISNUMBER(BQ160)),IF(ABS(BQ160-BQ163)&lt;=0.0151,0,ROUND(BQ160-BQ163,2)),"n/p")</f>
        <v>0</v>
      </c>
      <c r="BR164" s="273">
        <f>IF(AND(ISNUMBER(BR163),ISNUMBER(BR160)),IF(ABS(BR160-BR163)&lt;=0.0151,0,ROUND(BR160-BR163,2)),"n/p")</f>
        <v>0</v>
      </c>
      <c r="BS164" s="273">
        <f>IF(AND(ISNUMBER(BS163),ISNUMBER(BS160)),IF(ABS(BS160-BS163)&lt;=0.0151,0,ROUND(BS160-BS163,2)),"n/p")</f>
        <v>0</v>
      </c>
      <c r="BT164" s="273">
        <f>IF(AND(ISNUMBER(BT163),ISNUMBER(BT160)),IF(ABS(BT160-BT163)&lt;=0.0151,0,ROUND(BT160-BT163,2)),"n/p")</f>
        <v>0</v>
      </c>
      <c r="BU164" s="273">
        <f>IF(AND(ISNUMBER(BU163),ISNUMBER(BU160)),IF(ABS(BU160-BU163)&lt;=0.0151,0,ROUND(BU160-BU163,2)),"n/p")</f>
        <v>0</v>
      </c>
      <c r="BV164" s="273">
        <f>IF(AND(ISNUMBER(BV163),ISNUMBER(BV160)),IF(ABS(BV160-BV163)&lt;=0.0151,0,ROUND(BV160-BV163,2)),"n/p")</f>
        <v>0</v>
      </c>
      <c r="BW164" s="273">
        <f>IF(AND(ISNUMBER(BW163),ISNUMBER(BW160)),IF(ABS(BW160-BW163)&lt;=0.0151,0,ROUND(BW160-BW163,2)),"n/p")</f>
        <v>0</v>
      </c>
      <c r="BX164" s="273">
        <f>IF(AND(ISNUMBER(BX163),ISNUMBER(BX160)),IF(ABS(BX160-BX163)&lt;=0.0151,0,ROUND(BX160-BX163,2)),"n/p")</f>
        <v>0</v>
      </c>
      <c r="BY164" s="153" t="n"/>
      <c r="BZ164" s="153" t="n"/>
      <c r="CA164" s="153" t="n"/>
      <c r="CB164" s="153" t="n"/>
      <c r="CC164" s="153" t="n"/>
      <c r="CD164" s="153" t="n"/>
      <c r="CE164" s="153" t="n"/>
      <c r="CF164" s="153" t="n"/>
    </row>
    <row r="165" ht="15" customHeight="1" s="251">
      <c r="B165" s="25" t="inlineStr">
        <is>
          <t xml:space="preserve">  Cash dividends declared per share ($; initiated Q2-2024)</t>
        </is>
      </c>
      <c r="C165" s="272" t="n">
        <v>0</v>
      </c>
      <c r="D165" s="272" t="n">
        <v>0</v>
      </c>
      <c r="E165" s="272" t="n">
        <v>0</v>
      </c>
      <c r="F165" s="272" t="n">
        <v>0</v>
      </c>
      <c r="G165" s="272" t="n">
        <v>0</v>
      </c>
      <c r="H165" s="272" t="n">
        <v>0</v>
      </c>
      <c r="I165" s="272" t="n">
        <v>0</v>
      </c>
      <c r="J165" s="272" t="n">
        <v>0</v>
      </c>
      <c r="K165" s="272" t="n">
        <v>0</v>
      </c>
      <c r="L165" s="272" t="n">
        <v>0</v>
      </c>
      <c r="M165" s="272" t="n">
        <v>0</v>
      </c>
      <c r="N165" s="272" t="n">
        <v>0</v>
      </c>
      <c r="O165" s="272" t="n">
        <v>0</v>
      </c>
      <c r="P165" s="272" t="n">
        <v>0</v>
      </c>
      <c r="Q165" s="272" t="n">
        <v>0</v>
      </c>
      <c r="R165" s="272" t="n">
        <v>0</v>
      </c>
      <c r="S165" s="272" t="n">
        <v>0</v>
      </c>
      <c r="T165" s="272" t="n">
        <v>0</v>
      </c>
      <c r="U165" s="272" t="n">
        <v>0</v>
      </c>
      <c r="V165" s="272" t="n">
        <v>0</v>
      </c>
      <c r="W165" s="272" t="n">
        <v>0</v>
      </c>
      <c r="X165" s="272" t="n">
        <v>0</v>
      </c>
      <c r="Y165" s="272" t="n">
        <v>0</v>
      </c>
      <c r="Z165" s="272" t="n">
        <v>0</v>
      </c>
      <c r="AA165" s="272" t="n">
        <v>0</v>
      </c>
      <c r="AB165" s="272" t="n">
        <v>0</v>
      </c>
      <c r="AC165" s="272" t="n">
        <v>0</v>
      </c>
      <c r="AD165" s="272" t="n">
        <v>0</v>
      </c>
      <c r="AE165" s="272" t="n">
        <v>0</v>
      </c>
      <c r="AF165" s="272" t="n">
        <v>0</v>
      </c>
      <c r="AG165" s="272" t="n">
        <v>0</v>
      </c>
      <c r="AH165" s="272" t="n">
        <v>0</v>
      </c>
      <c r="AI165" s="272" t="n">
        <v>0</v>
      </c>
      <c r="AJ165" s="272" t="n">
        <v>0</v>
      </c>
      <c r="AK165" s="272" t="n">
        <v>0</v>
      </c>
      <c r="AL165" s="272" t="n">
        <v>0</v>
      </c>
      <c r="AM165" s="272" t="n">
        <v>0</v>
      </c>
      <c r="AN165" s="272" t="n">
        <v>0</v>
      </c>
      <c r="AO165" s="272" t="n">
        <v>0</v>
      </c>
      <c r="AP165" s="272" t="n">
        <v>0</v>
      </c>
      <c r="AQ165" s="272" t="n">
        <v>0</v>
      </c>
      <c r="AR165" s="272" t="n">
        <v>0</v>
      </c>
      <c r="AS165" s="272" t="n">
        <v>0</v>
      </c>
      <c r="AT165" s="272" t="n">
        <v>0</v>
      </c>
      <c r="AU165" s="272" t="n">
        <v>0</v>
      </c>
      <c r="AV165" s="272" t="n">
        <v>0</v>
      </c>
      <c r="AW165" s="272" t="n">
        <v>0</v>
      </c>
      <c r="AX165" s="272" t="n">
        <v>0</v>
      </c>
      <c r="AY165" s="272" t="n">
        <v>0</v>
      </c>
      <c r="AZ165" s="272" t="n">
        <v>0</v>
      </c>
      <c r="BA165" s="272" t="n">
        <v>0</v>
      </c>
      <c r="BB165" s="272" t="n">
        <v>0</v>
      </c>
      <c r="BC165" s="272" t="n">
        <v>0</v>
      </c>
      <c r="BD165" s="272" t="n">
        <v>0</v>
      </c>
      <c r="BE165" s="272" t="n">
        <v>0</v>
      </c>
      <c r="BF165" s="272" t="n">
        <v>0</v>
      </c>
      <c r="BG165" s="272" t="n">
        <v>0</v>
      </c>
      <c r="BH165" s="272" t="n">
        <v>0</v>
      </c>
      <c r="BI165" s="272" t="n">
        <v>0</v>
      </c>
      <c r="BJ165" s="272" t="n">
        <v>0</v>
      </c>
      <c r="BK165" s="272" t="n">
        <v>0</v>
      </c>
      <c r="BL165" s="272" t="n">
        <v>0</v>
      </c>
      <c r="BM165" s="272" t="n">
        <v>0</v>
      </c>
      <c r="BN165" s="272" t="n">
        <v>0.2</v>
      </c>
      <c r="BO165" s="272" t="n">
        <v>0.2</v>
      </c>
      <c r="BP165" s="272" t="n">
        <v>0.2</v>
      </c>
      <c r="BQ165" s="272" t="n">
        <v>0.6</v>
      </c>
      <c r="BR165" s="272" t="n">
        <v>0.2</v>
      </c>
      <c r="BS165" s="272" t="n">
        <v>0.21</v>
      </c>
      <c r="BT165" s="272" t="n">
        <v>0.21</v>
      </c>
      <c r="BU165" s="272" t="n">
        <v>0.21</v>
      </c>
      <c r="BV165" s="272" t="n">
        <v>0.83</v>
      </c>
      <c r="BW165" s="272" t="n">
        <v>0.21</v>
      </c>
      <c r="BX165" s="272" t="n">
        <v>0.22</v>
      </c>
      <c r="BY165" s="274" t="n">
        <v>0.22</v>
      </c>
      <c r="BZ165" s="274" t="n">
        <v>0.22</v>
      </c>
      <c r="CA165" s="275">
        <f>SUM(BW165:BZ165)</f>
        <v>0.87</v>
      </c>
      <c r="CB165" s="275">
        <f>CA165*(1+CB166)</f>
        <v>0.9135</v>
      </c>
      <c r="CC165" s="275">
        <f>CB165*(1+CC166)</f>
        <v>0.959175</v>
      </c>
      <c r="CD165" s="275">
        <f>CC165*(1+CD166)</f>
        <v>1.00713375</v>
      </c>
      <c r="CE165" s="275">
        <f>CD165*(1+CE166)</f>
        <v>1.0574904375</v>
      </c>
      <c r="CF165" s="19" t="inlineStr">
        <is>
          <t>$0.20 quarterly from Q2-24, $0.21 from Q2-25, $0.22 from Q2-26. 2027E+: prior year × (1 + growth).</t>
        </is>
      </c>
    </row>
    <row r="166" ht="15" customHeight="1" s="251">
      <c r="B166" s="25" t="inlineStr">
        <is>
          <t xml:space="preserve">  Dividend per share growth %</t>
        </is>
      </c>
      <c r="C166" s="36" t="n"/>
      <c r="D166" s="215">
        <f>IF(AND(ISNUMBER(D165),ISNUMBER(C165)),IFERROR(D165/C165-1,""),"")</f>
      </c>
      <c r="E166" s="215">
        <f>IF(AND(ISNUMBER(E165),ISNUMBER(D165)),IFERROR(E165/D165-1,""),"")</f>
      </c>
      <c r="F166" s="215">
        <f>IF(AND(ISNUMBER(F165),ISNUMBER(E165)),IFERROR(F165/E165-1,""),"")</f>
      </c>
      <c r="G166" s="215">
        <f>IF(AND(ISNUMBER(G165),ISNUMBER(F165)),IFERROR(G165/F165-1,""),"")</f>
      </c>
      <c r="H166" s="215">
        <f>IF(AND(ISNUMBER(H165),ISNUMBER(G165)),IFERROR(H165/G165-1,""),"")</f>
      </c>
      <c r="I166" s="215">
        <f>IF(AND(ISNUMBER(I165),ISNUMBER(H165)),IFERROR(I165/H165-1,""),"")</f>
      </c>
      <c r="J166" s="36" t="n"/>
      <c r="K166" s="36" t="n"/>
      <c r="L166" s="36" t="n"/>
      <c r="M166" s="36" t="n"/>
      <c r="N166" s="215">
        <f>IF(AND(ISNUMBER(N165),ISNUMBER(I165)),IFERROR(N165/I165-1,""),"")</f>
      </c>
      <c r="O166" s="215">
        <f>IF(AND(ISNUMBER(O165),ISNUMBER(J165)),IFERROR(O165/J165-1,""),"")</f>
      </c>
      <c r="P166" s="215">
        <f>IF(AND(ISNUMBER(P165),ISNUMBER(K165)),IFERROR(P165/K165-1,""),"")</f>
      </c>
      <c r="Q166" s="215">
        <f>IF(AND(ISNUMBER(Q165),ISNUMBER(L165)),IFERROR(Q165/L165-1,""),"")</f>
      </c>
      <c r="R166" s="215">
        <f>IF(AND(ISNUMBER(R165),ISNUMBER(M165)),IFERROR(R165/M165-1,""),"")</f>
      </c>
      <c r="S166" s="215">
        <f>IF(AND(ISNUMBER(S165),ISNUMBER(N165)),IFERROR(S165/N165-1,""),"")</f>
      </c>
      <c r="T166" s="215">
        <f>IF(AND(ISNUMBER(T165),ISNUMBER(O165)),IFERROR(T165/O165-1,""),"")</f>
      </c>
      <c r="U166" s="215">
        <f>IF(AND(ISNUMBER(U165),ISNUMBER(P165)),IFERROR(U165/P165-1,""),"")</f>
      </c>
      <c r="V166" s="215">
        <f>IF(AND(ISNUMBER(V165),ISNUMBER(Q165)),IFERROR(V165/Q165-1,""),"")</f>
      </c>
      <c r="W166" s="215">
        <f>IF(AND(ISNUMBER(W165),ISNUMBER(R165)),IFERROR(W165/R165-1,""),"")</f>
      </c>
      <c r="X166" s="215">
        <f>IF(AND(ISNUMBER(X165),ISNUMBER(S165)),IFERROR(X165/S165-1,""),"")</f>
      </c>
      <c r="Y166" s="215">
        <f>IF(AND(ISNUMBER(Y165),ISNUMBER(T165)),IFERROR(Y165/T165-1,""),"")</f>
      </c>
      <c r="Z166" s="215">
        <f>IF(AND(ISNUMBER(Z165),ISNUMBER(U165)),IFERROR(Z165/U165-1,""),"")</f>
      </c>
      <c r="AA166" s="215">
        <f>IF(AND(ISNUMBER(AA165),ISNUMBER(V165)),IFERROR(AA165/V165-1,""),"")</f>
      </c>
      <c r="AB166" s="215">
        <f>IF(AND(ISNUMBER(AB165),ISNUMBER(W165)),IFERROR(AB165/W165-1,""),"")</f>
      </c>
      <c r="AC166" s="215">
        <f>IF(AND(ISNUMBER(AC165),ISNUMBER(X165)),IFERROR(AC165/X165-1,""),"")</f>
      </c>
      <c r="AD166" s="215">
        <f>IF(AND(ISNUMBER(AD165),ISNUMBER(Y165)),IFERROR(AD165/Y165-1,""),"")</f>
      </c>
      <c r="AE166" s="215">
        <f>IF(AND(ISNUMBER(AE165),ISNUMBER(Z165)),IFERROR(AE165/Z165-1,""),"")</f>
      </c>
      <c r="AF166" s="215">
        <f>IF(AND(ISNUMBER(AF165),ISNUMBER(AA165)),IFERROR(AF165/AA165-1,""),"")</f>
      </c>
      <c r="AG166" s="215">
        <f>IF(AND(ISNUMBER(AG165),ISNUMBER(AB165)),IFERROR(AG165/AB165-1,""),"")</f>
      </c>
      <c r="AH166" s="215">
        <f>IF(AND(ISNUMBER(AH165),ISNUMBER(AC165)),IFERROR(AH165/AC165-1,""),"")</f>
      </c>
      <c r="AI166" s="215">
        <f>IF(AND(ISNUMBER(AI165),ISNUMBER(AD165)),IFERROR(AI165/AD165-1,""),"")</f>
      </c>
      <c r="AJ166" s="215">
        <f>IF(AND(ISNUMBER(AJ165),ISNUMBER(AE165)),IFERROR(AJ165/AE165-1,""),"")</f>
      </c>
      <c r="AK166" s="215">
        <f>IF(AND(ISNUMBER(AK165),ISNUMBER(AF165)),IFERROR(AK165/AF165-1,""),"")</f>
      </c>
      <c r="AL166" s="215">
        <f>IF(AND(ISNUMBER(AL165),ISNUMBER(AG165)),IFERROR(AL165/AG165-1,""),"")</f>
      </c>
      <c r="AM166" s="215">
        <f>IF(AND(ISNUMBER(AM165),ISNUMBER(AH165)),IFERROR(AM165/AH165-1,""),"")</f>
      </c>
      <c r="AN166" s="215">
        <f>IF(AND(ISNUMBER(AN165),ISNUMBER(AI165)),IFERROR(AN165/AI165-1,""),"")</f>
      </c>
      <c r="AO166" s="215">
        <f>IF(AND(ISNUMBER(AO165),ISNUMBER(AJ165)),IFERROR(AO165/AJ165-1,""),"")</f>
      </c>
      <c r="AP166" s="215">
        <f>IF(AND(ISNUMBER(AP165),ISNUMBER(AK165)),IFERROR(AP165/AK165-1,""),"")</f>
      </c>
      <c r="AQ166" s="215">
        <f>IF(AND(ISNUMBER(AQ165),ISNUMBER(AL165)),IFERROR(AQ165/AL165-1,""),"")</f>
      </c>
      <c r="AR166" s="215">
        <f>IF(AND(ISNUMBER(AR165),ISNUMBER(AM165)),IFERROR(AR165/AM165-1,""),"")</f>
      </c>
      <c r="AS166" s="215">
        <f>IF(AND(ISNUMBER(AS165),ISNUMBER(AN165)),IFERROR(AS165/AN165-1,""),"")</f>
      </c>
      <c r="AT166" s="215">
        <f>IF(AND(ISNUMBER(AT165),ISNUMBER(AO165)),IFERROR(AT165/AO165-1,""),"")</f>
      </c>
      <c r="AU166" s="215">
        <f>IF(AND(ISNUMBER(AU165),ISNUMBER(AP165)),IFERROR(AU165/AP165-1,""),"")</f>
      </c>
      <c r="AV166" s="215">
        <f>IF(AND(ISNUMBER(AV165),ISNUMBER(AQ165)),IFERROR(AV165/AQ165-1,""),"")</f>
      </c>
      <c r="AW166" s="215">
        <f>IF(AND(ISNUMBER(AW165),ISNUMBER(AR165)),IFERROR(AW165/AR165-1,""),"")</f>
      </c>
      <c r="AX166" s="215">
        <f>IF(AND(ISNUMBER(AX165),ISNUMBER(AS165)),IFERROR(AX165/AS165-1,""),"")</f>
      </c>
      <c r="AY166" s="215">
        <f>IF(AND(ISNUMBER(AY165),ISNUMBER(AT165)),IFERROR(AY165/AT165-1,""),"")</f>
      </c>
      <c r="AZ166" s="215">
        <f>IF(AND(ISNUMBER(AZ165),ISNUMBER(AU165)),IFERROR(AZ165/AU165-1,""),"")</f>
      </c>
      <c r="BA166" s="215">
        <f>IF(AND(ISNUMBER(BA165),ISNUMBER(AV165)),IFERROR(BA165/AV165-1,""),"")</f>
      </c>
      <c r="BB166" s="215">
        <f>IF(AND(ISNUMBER(BB165),ISNUMBER(AW165)),IFERROR(BB165/AW165-1,""),"")</f>
      </c>
      <c r="BC166" s="215">
        <f>IF(AND(ISNUMBER(BC165),ISNUMBER(AX165)),IFERROR(BC165/AX165-1,""),"")</f>
      </c>
      <c r="BD166" s="215">
        <f>IF(AND(ISNUMBER(BD165),ISNUMBER(AY165)),IFERROR(BD165/AY165-1,""),"")</f>
      </c>
      <c r="BE166" s="215">
        <f>IF(AND(ISNUMBER(BE165),ISNUMBER(AZ165)),IFERROR(BE165/AZ165-1,""),"")</f>
      </c>
      <c r="BF166" s="215">
        <f>IF(AND(ISNUMBER(BF165),ISNUMBER(BA165)),IFERROR(BF165/BA165-1,""),"")</f>
      </c>
      <c r="BG166" s="215">
        <f>IF(AND(ISNUMBER(BG165),ISNUMBER(BB165)),IFERROR(BG165/BB165-1,""),"")</f>
      </c>
      <c r="BH166" s="215">
        <f>IF(AND(ISNUMBER(BH165),ISNUMBER(BC165)),IFERROR(BH165/BC165-1,""),"")</f>
      </c>
      <c r="BI166" s="215">
        <f>IF(AND(ISNUMBER(BI165),ISNUMBER(BD165)),IFERROR(BI165/BD165-1,""),"")</f>
      </c>
      <c r="BJ166" s="215">
        <f>IF(AND(ISNUMBER(BJ165),ISNUMBER(BE165)),IFERROR(BJ165/BE165-1,""),"")</f>
      </c>
      <c r="BK166" s="215">
        <f>IF(AND(ISNUMBER(BK165),ISNUMBER(BF165)),IFERROR(BK165/BF165-1,""),"")</f>
      </c>
      <c r="BL166" s="215">
        <f>IF(AND(ISNUMBER(BL165),ISNUMBER(BG165)),IFERROR(BL165/BG165-1,""),"")</f>
      </c>
      <c r="BM166" s="215">
        <f>IF(AND(ISNUMBER(BM165),ISNUMBER(BH165)),IFERROR(BM165/BH165-1,""),"")</f>
      </c>
      <c r="BN166" s="215">
        <f>IF(AND(ISNUMBER(BN165),ISNUMBER(BI165)),IFERROR(BN165/BI165-1,""),"")</f>
      </c>
      <c r="BO166" s="215">
        <f>IF(AND(ISNUMBER(BO165),ISNUMBER(BJ165)),IFERROR(BO165/BJ165-1,""),"")</f>
      </c>
      <c r="BP166" s="215">
        <f>IF(AND(ISNUMBER(BP165),ISNUMBER(BK165)),IFERROR(BP165/BK165-1,""),"")</f>
      </c>
      <c r="BQ166" s="215">
        <f>IF(AND(ISNUMBER(BQ165),ISNUMBER(BL165)),IFERROR(BQ165/BL165-1,""),"")</f>
      </c>
      <c r="BR166" s="215">
        <f>IF(AND(ISNUMBER(BR165),ISNUMBER(BM165)),IFERROR(BR165/BM165-1,""),"")</f>
      </c>
      <c r="BS166" s="215">
        <f>IF(AND(ISNUMBER(BS165),ISNUMBER(BN165)),IFERROR(BS165/BN165-1,""),"")</f>
        <v>0.0499999999999998</v>
      </c>
      <c r="BT166" s="215">
        <f>IF(AND(ISNUMBER(BT165),ISNUMBER(BO165)),IFERROR(BT165/BO165-1,""),"")</f>
        <v>0.0499999999999998</v>
      </c>
      <c r="BU166" s="215">
        <f>IF(AND(ISNUMBER(BU165),ISNUMBER(BP165)),IFERROR(BU165/BP165-1,""),"")</f>
        <v>0.0499999999999998</v>
      </c>
      <c r="BV166" s="215">
        <f>IF(AND(ISNUMBER(BV165),ISNUMBER(BQ165)),IFERROR(BV165/BQ165-1,""),"")</f>
        <v>0.383333333333333</v>
      </c>
      <c r="BW166" s="215">
        <f>IF(AND(ISNUMBER(BW165),ISNUMBER(BR165)),IFERROR(BW165/BR165-1,""),"")</f>
        <v>0.0499999999999998</v>
      </c>
      <c r="BX166" s="215">
        <f>IF(AND(ISNUMBER(BX165),ISNUMBER(BS165)),IFERROR(BX165/BS165-1,""),"")</f>
        <v>0.0476190476190477</v>
      </c>
      <c r="BY166" s="256">
        <f>IF(AND(ISNUMBER(BY165),ISNUMBER(BT165)),IFERROR(BY165/BT165-1,""),"")</f>
        <v>0.0476190476190477</v>
      </c>
      <c r="BZ166" s="256">
        <f>IF(AND(ISNUMBER(BZ165),ISNUMBER(BU165)),IFERROR(BZ165/BU165-1,""),"")</f>
        <v>0.0476190476190477</v>
      </c>
      <c r="CA166" s="256">
        <f>IF(AND(ISNUMBER(CA165),ISNUMBER(BV165)),IFERROR(CA165/BV165-1,""),"")</f>
        <v>0.0481927710843375</v>
      </c>
      <c r="CB166" s="268" t="n">
        <v>0.05</v>
      </c>
      <c r="CC166" s="268" t="n">
        <v>0.05</v>
      </c>
      <c r="CD166" s="268" t="n">
        <v>0.05</v>
      </c>
      <c r="CE166" s="268" t="n">
        <v>0.05</v>
      </c>
      <c r="CF166" s="19" t="n"/>
    </row>
    <row r="167" ht="15" customHeight="1" s="251">
      <c r="CN167" s="11" t="n"/>
      <c r="CO167" s="12" t="n"/>
      <c r="CP167" s="12" t="n"/>
      <c r="CQ167" s="12" t="n"/>
      <c r="CR167" s="13" t="n"/>
    </row>
    <row r="168" ht="15" customHeight="1" s="251">
      <c r="B168" s="10" t="inlineStr">
        <is>
          <t>RECONCILIATION: INCOME FROM OPERATIONS → ADJUSTED OPERATING INCOME (model definition; company-published where available)</t>
        </is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n"/>
      <c r="AN168" s="10" t="n"/>
      <c r="AO168" s="10" t="n"/>
      <c r="AP168" s="10" t="n"/>
      <c r="AQ168" s="10" t="n"/>
      <c r="AR168" s="10" t="n"/>
      <c r="AS168" s="10" t="n"/>
      <c r="AT168" s="10" t="n"/>
      <c r="AU168" s="10" t="n"/>
      <c r="AV168" s="10" t="n"/>
      <c r="AW168" s="10" t="n"/>
      <c r="AX168" s="10" t="n"/>
      <c r="AY168" s="10" t="n"/>
      <c r="AZ168" s="10" t="n"/>
      <c r="BA168" s="10" t="n"/>
      <c r="BB168" s="10" t="n"/>
      <c r="BC168" s="10" t="n"/>
      <c r="BD168" s="10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inlineStr">
        <is>
          <t>ADJUSTED OI — model definition: GAAP operating income + items the company itself excluded in a published non-GAAP reconciliation (EC fines; severance &amp; office-space charges)</t>
        </is>
      </c>
    </row>
    <row r="169" ht="15" customHeight="1" s="251">
      <c r="B169" s="16" t="inlineStr">
        <is>
          <t>Income from operations (GAAP)</t>
        </is>
      </c>
      <c r="C169" s="261">
        <f>C140</f>
        <v>3549.996</v>
      </c>
      <c r="D169" s="261">
        <f>D140</f>
        <v>5084.4</v>
      </c>
      <c r="E169" s="261">
        <f>E140</f>
        <v>6631.969</v>
      </c>
      <c r="F169" s="261">
        <f>F140</f>
        <v>8312.186</v>
      </c>
      <c r="G169" s="261">
        <f>G140</f>
        <v>10381</v>
      </c>
      <c r="H169" s="261">
        <f>H140</f>
        <v>11742</v>
      </c>
      <c r="I169" s="261">
        <f>I140</f>
        <v>12760</v>
      </c>
      <c r="J169" s="261">
        <f>J140</f>
        <v>3477</v>
      </c>
      <c r="K169" s="261">
        <f>K140</f>
        <v>3123</v>
      </c>
      <c r="L169" s="261">
        <f>L140</f>
        <v>3444</v>
      </c>
      <c r="M169" s="261">
        <f>M140</f>
        <v>3922</v>
      </c>
      <c r="N169" s="261">
        <f>N140</f>
        <v>13966</v>
      </c>
      <c r="O169" s="261">
        <f>O140</f>
        <v>4115</v>
      </c>
      <c r="P169" s="261">
        <f>P140</f>
        <v>4258</v>
      </c>
      <c r="Q169" s="261">
        <f>Q140</f>
        <v>3724</v>
      </c>
      <c r="R169" s="261">
        <f>R140</f>
        <v>4399</v>
      </c>
      <c r="S169" s="261">
        <f>S140</f>
        <v>16496</v>
      </c>
      <c r="T169" s="261">
        <f>T140</f>
        <v>4447</v>
      </c>
      <c r="U169" s="261">
        <f>U140</f>
        <v>4825</v>
      </c>
      <c r="V169" s="261">
        <f>V140</f>
        <v>4708</v>
      </c>
      <c r="W169" s="261">
        <f>W140</f>
        <v>5380</v>
      </c>
      <c r="X169" s="261">
        <f>X140</f>
        <v>19360</v>
      </c>
      <c r="Y169" s="261">
        <f>Y140</f>
        <v>5342</v>
      </c>
      <c r="Z169" s="261">
        <f>Z140</f>
        <v>5968</v>
      </c>
      <c r="AA169" s="261">
        <f>AA140</f>
        <v>5767</v>
      </c>
      <c r="AB169" s="261">
        <f>AB140</f>
        <v>6639</v>
      </c>
      <c r="AC169" s="261">
        <f>AC140</f>
        <v>23716</v>
      </c>
      <c r="AD169" s="261">
        <f>AD140</f>
        <v>6568</v>
      </c>
      <c r="AE169" s="261">
        <f>AE140</f>
        <v>4132</v>
      </c>
      <c r="AF169" s="261">
        <f>AF140</f>
        <v>7782</v>
      </c>
      <c r="AG169" s="261">
        <f>AG140</f>
        <v>7664</v>
      </c>
      <c r="AH169" s="261">
        <f>AH140</f>
        <v>26146</v>
      </c>
      <c r="AI169" s="261">
        <f>AI140</f>
        <v>7001</v>
      </c>
      <c r="AJ169" s="261">
        <f>AJ140</f>
        <v>2807</v>
      </c>
      <c r="AK169" s="261">
        <f>AK140</f>
        <v>8310</v>
      </c>
      <c r="AL169" s="261">
        <f>AL140</f>
        <v>8203</v>
      </c>
      <c r="AM169" s="261">
        <f>AM140</f>
        <v>26321</v>
      </c>
      <c r="AN169" s="261">
        <f>AN140</f>
        <v>6608</v>
      </c>
      <c r="AO169" s="261">
        <f>AO140</f>
        <v>9180</v>
      </c>
      <c r="AP169" s="261">
        <f>AP140</f>
        <v>9177</v>
      </c>
      <c r="AQ169" s="261">
        <f>AQ140</f>
        <v>9266</v>
      </c>
      <c r="AR169" s="261">
        <f>AR140</f>
        <v>34231</v>
      </c>
      <c r="AS169" s="261">
        <f>AS140</f>
        <v>7977</v>
      </c>
      <c r="AT169" s="261">
        <f>AT140</f>
        <v>6383</v>
      </c>
      <c r="AU169" s="261">
        <f>AU140</f>
        <v>11213</v>
      </c>
      <c r="AV169" s="261">
        <f>AV140</f>
        <v>15651</v>
      </c>
      <c r="AW169" s="261">
        <f>AW140</f>
        <v>41224</v>
      </c>
      <c r="AX169" s="261">
        <f>AX140</f>
        <v>16437</v>
      </c>
      <c r="AY169" s="261">
        <f>AY140</f>
        <v>19361</v>
      </c>
      <c r="AZ169" s="261">
        <f>AZ140</f>
        <v>21031</v>
      </c>
      <c r="BA169" s="261">
        <f>BA140</f>
        <v>21885</v>
      </c>
      <c r="BB169" s="261">
        <f>BB140</f>
        <v>78714</v>
      </c>
      <c r="BC169" s="261">
        <f>BC140</f>
        <v>20094</v>
      </c>
      <c r="BD169" s="261">
        <f>BD140</f>
        <v>19453</v>
      </c>
      <c r="BE169" s="261">
        <f>BE140</f>
        <v>17135</v>
      </c>
      <c r="BF169" s="261">
        <f>BF140</f>
        <v>18160</v>
      </c>
      <c r="BG169" s="261">
        <f>BG140</f>
        <v>74842</v>
      </c>
      <c r="BH169" s="261">
        <f>BH140</f>
        <v>17415</v>
      </c>
      <c r="BI169" s="261">
        <f>BI140</f>
        <v>21838</v>
      </c>
      <c r="BJ169" s="261">
        <f>BJ140</f>
        <v>21343</v>
      </c>
      <c r="BK169" s="261">
        <f>BK140</f>
        <v>23697</v>
      </c>
      <c r="BL169" s="261">
        <f>BL140</f>
        <v>84293</v>
      </c>
      <c r="BM169" s="261">
        <f>BM140</f>
        <v>25472</v>
      </c>
      <c r="BN169" s="261">
        <f>BN140</f>
        <v>27425</v>
      </c>
      <c r="BO169" s="261">
        <f>BO140</f>
        <v>28521</v>
      </c>
      <c r="BP169" s="261">
        <f>BP140</f>
        <v>30972</v>
      </c>
      <c r="BQ169" s="261">
        <f>BQ140</f>
        <v>112390</v>
      </c>
      <c r="BR169" s="261">
        <f>BR140</f>
        <v>30606</v>
      </c>
      <c r="BS169" s="261">
        <f>BS140</f>
        <v>31271</v>
      </c>
      <c r="BT169" s="261">
        <f>BT140</f>
        <v>31228</v>
      </c>
      <c r="BU169" s="261">
        <f>BU140</f>
        <v>35934</v>
      </c>
      <c r="BV169" s="261">
        <f>BV140</f>
        <v>129039</v>
      </c>
      <c r="BW169" s="261">
        <f>BW140</f>
        <v>39696</v>
      </c>
      <c r="BX169" s="261">
        <f>BX140</f>
        <v>40770</v>
      </c>
      <c r="BY169" s="262">
        <f>BY140</f>
        <v>41781.7884184666</v>
      </c>
      <c r="BZ169" s="262">
        <f>BZ140</f>
        <v>50691.0437823207</v>
      </c>
      <c r="CA169" s="262">
        <f>CA140</f>
        <v>172938.832200787</v>
      </c>
      <c r="CB169" s="262">
        <f>CB140</f>
        <v>194643.240084932</v>
      </c>
      <c r="CC169" s="262">
        <f>CC140</f>
        <v>212421.8802008</v>
      </c>
      <c r="CD169" s="262">
        <f>CD140</f>
        <v>234774.621414897</v>
      </c>
      <c r="CE169" s="262">
        <f>CE140</f>
        <v>256717.05000939</v>
      </c>
      <c r="CF169" s="153" t="n"/>
    </row>
    <row r="170" ht="15" customHeight="1" s="251">
      <c r="B170" s="25" t="inlineStr">
        <is>
          <t xml:space="preserve">  (+) European Commission fines</t>
        </is>
      </c>
      <c r="C170" s="211">
        <f>C120</f>
        <v>0</v>
      </c>
      <c r="D170" s="211">
        <f>D120</f>
        <v>0</v>
      </c>
      <c r="E170" s="211">
        <f>E120</f>
        <v>0</v>
      </c>
      <c r="F170" s="211">
        <f>F120</f>
        <v>0</v>
      </c>
      <c r="G170" s="211">
        <f>G120</f>
        <v>0</v>
      </c>
      <c r="H170" s="211">
        <f>H120</f>
        <v>0</v>
      </c>
      <c r="I170" s="211">
        <f>I120</f>
        <v>0</v>
      </c>
      <c r="J170" s="211">
        <f>J120</f>
        <v>0</v>
      </c>
      <c r="K170" s="211">
        <f>K120</f>
        <v>0</v>
      </c>
      <c r="L170" s="211">
        <f>L120</f>
        <v>0</v>
      </c>
      <c r="M170" s="211">
        <f>M120</f>
        <v>0</v>
      </c>
      <c r="N170" s="211">
        <f>N120</f>
        <v>0</v>
      </c>
      <c r="O170" s="211">
        <f>O120</f>
        <v>0</v>
      </c>
      <c r="P170" s="211">
        <f>P120</f>
        <v>0</v>
      </c>
      <c r="Q170" s="211">
        <f>Q120</f>
        <v>0</v>
      </c>
      <c r="R170" s="211">
        <f>R120</f>
        <v>0</v>
      </c>
      <c r="S170" s="211">
        <f>S120</f>
        <v>0</v>
      </c>
      <c r="T170" s="211">
        <f>T120</f>
        <v>0</v>
      </c>
      <c r="U170" s="211">
        <f>U120</f>
        <v>0</v>
      </c>
      <c r="V170" s="211">
        <f>V120</f>
        <v>0</v>
      </c>
      <c r="W170" s="211">
        <f>W120</f>
        <v>0</v>
      </c>
      <c r="X170" s="211">
        <f>X120</f>
        <v>0</v>
      </c>
      <c r="Y170" s="211">
        <f>Y120</f>
        <v>0</v>
      </c>
      <c r="Z170" s="211">
        <f>Z120</f>
        <v>0</v>
      </c>
      <c r="AA170" s="211">
        <f>AA120</f>
        <v>0</v>
      </c>
      <c r="AB170" s="211">
        <f>AB120</f>
        <v>0</v>
      </c>
      <c r="AC170" s="211">
        <f>AC120</f>
        <v>0</v>
      </c>
      <c r="AD170" s="211">
        <f>AD120</f>
        <v>0</v>
      </c>
      <c r="AE170" s="211">
        <f>AE120</f>
        <v>2736</v>
      </c>
      <c r="AF170" s="211">
        <f>AF120</f>
        <v>0</v>
      </c>
      <c r="AG170" s="211">
        <f>AG120</f>
        <v>0</v>
      </c>
      <c r="AH170" s="211">
        <f>AH120</f>
        <v>2736</v>
      </c>
      <c r="AI170" s="211">
        <f>AI120</f>
        <v>0</v>
      </c>
      <c r="AJ170" s="211">
        <f>AJ120</f>
        <v>5071</v>
      </c>
      <c r="AK170" s="211">
        <f>AK120</f>
        <v>0</v>
      </c>
      <c r="AL170" s="211">
        <f>AL120</f>
        <v>0</v>
      </c>
      <c r="AM170" s="211">
        <f>AM120</f>
        <v>5071</v>
      </c>
      <c r="AN170" s="211">
        <f>AN120</f>
        <v>1697</v>
      </c>
      <c r="AO170" s="211">
        <f>AO120</f>
        <v>0</v>
      </c>
      <c r="AP170" s="211">
        <f>AP120</f>
        <v>0</v>
      </c>
      <c r="AQ170" s="211">
        <f>AQ120</f>
        <v>0</v>
      </c>
      <c r="AR170" s="211">
        <f>AR120</f>
        <v>1697</v>
      </c>
      <c r="AS170" s="211">
        <f>AS120</f>
        <v>0</v>
      </c>
      <c r="AT170" s="211">
        <f>AT120</f>
        <v>0</v>
      </c>
      <c r="AU170" s="211">
        <f>AU120</f>
        <v>0</v>
      </c>
      <c r="AV170" s="211">
        <f>AV120</f>
        <v>0</v>
      </c>
      <c r="AW170" s="211">
        <f>AW120</f>
        <v>0</v>
      </c>
      <c r="AX170" s="211">
        <f>AX120</f>
        <v>0</v>
      </c>
      <c r="AY170" s="211">
        <f>AY120</f>
        <v>0</v>
      </c>
      <c r="AZ170" s="211">
        <f>AZ120</f>
        <v>0</v>
      </c>
      <c r="BA170" s="211">
        <f>BA120</f>
        <v>0</v>
      </c>
      <c r="BB170" s="211">
        <f>BB120</f>
        <v>0</v>
      </c>
      <c r="BC170" s="211">
        <f>BC120</f>
        <v>0</v>
      </c>
      <c r="BD170" s="211">
        <f>BD120</f>
        <v>0</v>
      </c>
      <c r="BE170" s="211">
        <f>BE120</f>
        <v>0</v>
      </c>
      <c r="BF170" s="211">
        <f>BF120</f>
        <v>0</v>
      </c>
      <c r="BG170" s="211">
        <f>BG120</f>
        <v>0</v>
      </c>
      <c r="BH170" s="211">
        <f>BH120</f>
        <v>0</v>
      </c>
      <c r="BI170" s="211">
        <f>BI120</f>
        <v>0</v>
      </c>
      <c r="BJ170" s="211">
        <f>BJ120</f>
        <v>0</v>
      </c>
      <c r="BK170" s="211">
        <f>BK120</f>
        <v>0</v>
      </c>
      <c r="BL170" s="211">
        <f>BL120</f>
        <v>0</v>
      </c>
      <c r="BM170" s="211">
        <f>BM120</f>
        <v>0</v>
      </c>
      <c r="BN170" s="211">
        <f>BN120</f>
        <v>0</v>
      </c>
      <c r="BO170" s="211">
        <f>BO120</f>
        <v>0</v>
      </c>
      <c r="BP170" s="211">
        <f>BP120</f>
        <v>0</v>
      </c>
      <c r="BQ170" s="211">
        <f>BQ120</f>
        <v>0</v>
      </c>
      <c r="BR170" s="211">
        <f>BR120</f>
        <v>0</v>
      </c>
      <c r="BS170" s="211">
        <f>BS120</f>
        <v>0</v>
      </c>
      <c r="BT170" s="211">
        <f>BT120</f>
        <v>3457</v>
      </c>
      <c r="BU170" s="211">
        <f>BU120</f>
        <v>0</v>
      </c>
      <c r="BV170" s="211">
        <f>BV120</f>
        <v>3457</v>
      </c>
      <c r="BW170" s="211">
        <f>BW120</f>
        <v>0</v>
      </c>
      <c r="BX170" s="211">
        <f>BX120</f>
        <v>0</v>
      </c>
      <c r="BY170" s="254">
        <f>BY120</f>
        <v>0</v>
      </c>
      <c r="BZ170" s="254">
        <f>BZ120</f>
        <v>0</v>
      </c>
      <c r="CA170" s="254">
        <f>CA120</f>
        <v>0</v>
      </c>
      <c r="CB170" s="254">
        <f>CB120</f>
        <v>0</v>
      </c>
      <c r="CC170" s="254">
        <f>CC120</f>
        <v>0</v>
      </c>
      <c r="CD170" s="254">
        <f>CD120</f>
        <v>0</v>
      </c>
      <c r="CE170" s="254">
        <f>CE120</f>
        <v>0</v>
      </c>
      <c r="CF170" s="19" t="n"/>
    </row>
    <row r="171" ht="15" customHeight="1" s="251">
      <c r="B171" s="25" t="inlineStr">
        <is>
          <t xml:space="preserve">  (+) Employee severance &amp; office-space charges</t>
        </is>
      </c>
      <c r="C171" s="211">
        <f>C121</f>
        <v>0</v>
      </c>
      <c r="D171" s="211">
        <f>D121</f>
        <v>0</v>
      </c>
      <c r="E171" s="211">
        <f>E121</f>
        <v>0</v>
      </c>
      <c r="F171" s="211">
        <f>F121</f>
        <v>0</v>
      </c>
      <c r="G171" s="211">
        <f>G121</f>
        <v>0</v>
      </c>
      <c r="H171" s="211">
        <f>H121</f>
        <v>0</v>
      </c>
      <c r="I171" s="211">
        <f>I121</f>
        <v>0</v>
      </c>
      <c r="J171" s="211">
        <f>J121</f>
        <v>0</v>
      </c>
      <c r="K171" s="211">
        <f>K121</f>
        <v>0</v>
      </c>
      <c r="L171" s="211">
        <f>L121</f>
        <v>0</v>
      </c>
      <c r="M171" s="211">
        <f>M121</f>
        <v>0</v>
      </c>
      <c r="N171" s="211">
        <f>N121</f>
        <v>0</v>
      </c>
      <c r="O171" s="211">
        <f>O121</f>
        <v>0</v>
      </c>
      <c r="P171" s="211">
        <f>P121</f>
        <v>0</v>
      </c>
      <c r="Q171" s="211">
        <f>Q121</f>
        <v>0</v>
      </c>
      <c r="R171" s="211">
        <f>R121</f>
        <v>0</v>
      </c>
      <c r="S171" s="211">
        <f>S121</f>
        <v>0</v>
      </c>
      <c r="T171" s="211">
        <f>T121</f>
        <v>0</v>
      </c>
      <c r="U171" s="211">
        <f>U121</f>
        <v>0</v>
      </c>
      <c r="V171" s="211">
        <f>V121</f>
        <v>0</v>
      </c>
      <c r="W171" s="211">
        <f>W121</f>
        <v>0</v>
      </c>
      <c r="X171" s="211">
        <f>X121</f>
        <v>0</v>
      </c>
      <c r="Y171" s="211">
        <f>Y121</f>
        <v>0</v>
      </c>
      <c r="Z171" s="211">
        <f>Z121</f>
        <v>0</v>
      </c>
      <c r="AA171" s="211">
        <f>AA121</f>
        <v>0</v>
      </c>
      <c r="AB171" s="211">
        <f>AB121</f>
        <v>0</v>
      </c>
      <c r="AC171" s="211">
        <f>AC121</f>
        <v>0</v>
      </c>
      <c r="AD171" s="211">
        <f>AD121</f>
        <v>0</v>
      </c>
      <c r="AE171" s="211">
        <f>AE121</f>
        <v>0</v>
      </c>
      <c r="AF171" s="211">
        <f>AF121</f>
        <v>0</v>
      </c>
      <c r="AG171" s="211">
        <f>AG121</f>
        <v>0</v>
      </c>
      <c r="AH171" s="211">
        <f>AH121</f>
        <v>0</v>
      </c>
      <c r="AI171" s="211">
        <f>AI121</f>
        <v>0</v>
      </c>
      <c r="AJ171" s="211">
        <f>AJ121</f>
        <v>0</v>
      </c>
      <c r="AK171" s="211">
        <f>AK121</f>
        <v>0</v>
      </c>
      <c r="AL171" s="211">
        <f>AL121</f>
        <v>0</v>
      </c>
      <c r="AM171" s="211">
        <f>AM121</f>
        <v>0</v>
      </c>
      <c r="AN171" s="211">
        <f>AN121</f>
        <v>0</v>
      </c>
      <c r="AO171" s="211">
        <f>AO121</f>
        <v>0</v>
      </c>
      <c r="AP171" s="211">
        <f>AP121</f>
        <v>0</v>
      </c>
      <c r="AQ171" s="211">
        <f>AQ121</f>
        <v>0</v>
      </c>
      <c r="AR171" s="211">
        <f>AR121</f>
        <v>0</v>
      </c>
      <c r="AS171" s="211">
        <f>AS121</f>
        <v>0</v>
      </c>
      <c r="AT171" s="211">
        <f>AT121</f>
        <v>0</v>
      </c>
      <c r="AU171" s="211">
        <f>AU121</f>
        <v>0</v>
      </c>
      <c r="AV171" s="211">
        <f>AV121</f>
        <v>0</v>
      </c>
      <c r="AW171" s="211">
        <f>AW121</f>
        <v>0</v>
      </c>
      <c r="AX171" s="211">
        <f>AX121</f>
        <v>0</v>
      </c>
      <c r="AY171" s="211">
        <f>AY121</f>
        <v>0</v>
      </c>
      <c r="AZ171" s="211">
        <f>AZ121</f>
        <v>0</v>
      </c>
      <c r="BA171" s="211">
        <f>BA121</f>
        <v>0</v>
      </c>
      <c r="BB171" s="211">
        <f>BB121</f>
        <v>0</v>
      </c>
      <c r="BC171" s="211">
        <f>BC121</f>
        <v>0</v>
      </c>
      <c r="BD171" s="211">
        <f>BD121</f>
        <v>0</v>
      </c>
      <c r="BE171" s="211">
        <f>BE121</f>
        <v>0</v>
      </c>
      <c r="BF171" s="211">
        <f>BF121</f>
        <v>0</v>
      </c>
      <c r="BG171" s="211">
        <f>BG121</f>
        <v>0</v>
      </c>
      <c r="BH171" s="211">
        <f>BH121</f>
        <v>2558</v>
      </c>
      <c r="BI171" s="211">
        <f>BI121</f>
        <v>0</v>
      </c>
      <c r="BJ171" s="211">
        <f>BJ121</f>
        <v>0</v>
      </c>
      <c r="BK171" s="211">
        <f>BK121</f>
        <v>0</v>
      </c>
      <c r="BL171" s="211">
        <f>BL121</f>
        <v>2558</v>
      </c>
      <c r="BM171" s="211">
        <f>BM121</f>
        <v>716</v>
      </c>
      <c r="BN171" s="211">
        <f>BN121</f>
        <v>0</v>
      </c>
      <c r="BO171" s="211">
        <f>BO121</f>
        <v>0</v>
      </c>
      <c r="BP171" s="211">
        <f>BP121</f>
        <v>0</v>
      </c>
      <c r="BQ171" s="211">
        <f>BQ121</f>
        <v>716</v>
      </c>
      <c r="BR171" s="211">
        <f>BR121</f>
        <v>0</v>
      </c>
      <c r="BS171" s="211">
        <f>BS121</f>
        <v>0</v>
      </c>
      <c r="BT171" s="211">
        <f>BT121</f>
        <v>0</v>
      </c>
      <c r="BU171" s="211">
        <f>BU121</f>
        <v>0</v>
      </c>
      <c r="BV171" s="211">
        <f>BV121</f>
        <v>0</v>
      </c>
      <c r="BW171" s="211">
        <f>BW121</f>
        <v>0</v>
      </c>
      <c r="BX171" s="211">
        <f>BX121</f>
        <v>0</v>
      </c>
      <c r="BY171" s="254">
        <f>BY121</f>
        <v>0</v>
      </c>
      <c r="BZ171" s="254">
        <f>BZ121</f>
        <v>0</v>
      </c>
      <c r="CA171" s="254">
        <f>CA121</f>
        <v>0</v>
      </c>
      <c r="CB171" s="254">
        <f>CB121</f>
        <v>0</v>
      </c>
      <c r="CC171" s="254">
        <f>CC121</f>
        <v>0</v>
      </c>
      <c r="CD171" s="254">
        <f>CD121</f>
        <v>0</v>
      </c>
      <c r="CE171" s="254">
        <f>CE121</f>
        <v>0</v>
      </c>
      <c r="CF171" s="19" t="n"/>
    </row>
    <row r="172" ht="15" customHeight="1" s="251">
      <c r="B172" s="16" t="inlineStr">
        <is>
          <t xml:space="preserve">  Total adjusting items (pre-tax)</t>
        </is>
      </c>
      <c r="C172" s="261">
        <f>IF(ISNUMBER(C170),N(C170)+N(C171),"")</f>
        <v>0</v>
      </c>
      <c r="D172" s="261">
        <f>IF(ISNUMBER(D170),N(D170)+N(D171),"")</f>
        <v>0</v>
      </c>
      <c r="E172" s="261">
        <f>IF(ISNUMBER(E170),N(E170)+N(E171),"")</f>
        <v>0</v>
      </c>
      <c r="F172" s="261">
        <f>IF(ISNUMBER(F170),N(F170)+N(F171),"")</f>
        <v>0</v>
      </c>
      <c r="G172" s="261">
        <f>IF(ISNUMBER(G170),N(G170)+N(G171),"")</f>
        <v>0</v>
      </c>
      <c r="H172" s="261">
        <f>IF(ISNUMBER(H170),N(H170)+N(H171),"")</f>
        <v>0</v>
      </c>
      <c r="I172" s="261">
        <f>IF(ISNUMBER(I170),N(I170)+N(I171),"")</f>
        <v>0</v>
      </c>
      <c r="J172" s="261">
        <f>IF(ISNUMBER(J170),N(J170)+N(J171),"")</f>
        <v>0</v>
      </c>
      <c r="K172" s="261">
        <f>IF(ISNUMBER(K170),N(K170)+N(K171),"")</f>
        <v>0</v>
      </c>
      <c r="L172" s="261">
        <f>IF(ISNUMBER(L170),N(L170)+N(L171),"")</f>
        <v>0</v>
      </c>
      <c r="M172" s="261">
        <f>IF(ISNUMBER(M170),N(M170)+N(M171),"")</f>
        <v>0</v>
      </c>
      <c r="N172" s="261">
        <f>IF(ISNUMBER(N170),N(N170)+N(N171),"")</f>
        <v>0</v>
      </c>
      <c r="O172" s="261">
        <f>IF(ISNUMBER(O170),N(O170)+N(O171),"")</f>
        <v>0</v>
      </c>
      <c r="P172" s="261">
        <f>IF(ISNUMBER(P170),N(P170)+N(P171),"")</f>
        <v>0</v>
      </c>
      <c r="Q172" s="261">
        <f>IF(ISNUMBER(Q170),N(Q170)+N(Q171),"")</f>
        <v>0</v>
      </c>
      <c r="R172" s="261">
        <f>IF(ISNUMBER(R170),N(R170)+N(R171),"")</f>
        <v>0</v>
      </c>
      <c r="S172" s="261">
        <f>IF(ISNUMBER(S170),N(S170)+N(S171),"")</f>
        <v>0</v>
      </c>
      <c r="T172" s="261">
        <f>IF(ISNUMBER(T170),N(T170)+N(T171),"")</f>
        <v>0</v>
      </c>
      <c r="U172" s="261">
        <f>IF(ISNUMBER(U170),N(U170)+N(U171),"")</f>
        <v>0</v>
      </c>
      <c r="V172" s="261">
        <f>IF(ISNUMBER(V170),N(V170)+N(V171),"")</f>
        <v>0</v>
      </c>
      <c r="W172" s="261">
        <f>IF(ISNUMBER(W170),N(W170)+N(W171),"")</f>
        <v>0</v>
      </c>
      <c r="X172" s="261">
        <f>IF(ISNUMBER(X170),N(X170)+N(X171),"")</f>
        <v>0</v>
      </c>
      <c r="Y172" s="261">
        <f>IF(ISNUMBER(Y170),N(Y170)+N(Y171),"")</f>
        <v>0</v>
      </c>
      <c r="Z172" s="261">
        <f>IF(ISNUMBER(Z170),N(Z170)+N(Z171),"")</f>
        <v>0</v>
      </c>
      <c r="AA172" s="261">
        <f>IF(ISNUMBER(AA170),N(AA170)+N(AA171),"")</f>
        <v>0</v>
      </c>
      <c r="AB172" s="261">
        <f>IF(ISNUMBER(AB170),N(AB170)+N(AB171),"")</f>
        <v>0</v>
      </c>
      <c r="AC172" s="261">
        <f>IF(ISNUMBER(AC170),N(AC170)+N(AC171),"")</f>
        <v>0</v>
      </c>
      <c r="AD172" s="261">
        <f>IF(ISNUMBER(AD170),N(AD170)+N(AD171),"")</f>
        <v>0</v>
      </c>
      <c r="AE172" s="261">
        <f>IF(ISNUMBER(AE170),N(AE170)+N(AE171),"")</f>
        <v>2736</v>
      </c>
      <c r="AF172" s="261">
        <f>IF(ISNUMBER(AF170),N(AF170)+N(AF171),"")</f>
        <v>0</v>
      </c>
      <c r="AG172" s="261">
        <f>IF(ISNUMBER(AG170),N(AG170)+N(AG171),"")</f>
        <v>0</v>
      </c>
      <c r="AH172" s="261">
        <f>IF(ISNUMBER(AH170),N(AH170)+N(AH171),"")</f>
        <v>2736</v>
      </c>
      <c r="AI172" s="261">
        <f>IF(ISNUMBER(AI170),N(AI170)+N(AI171),"")</f>
        <v>0</v>
      </c>
      <c r="AJ172" s="261">
        <f>IF(ISNUMBER(AJ170),N(AJ170)+N(AJ171),"")</f>
        <v>5071</v>
      </c>
      <c r="AK172" s="261">
        <f>IF(ISNUMBER(AK170),N(AK170)+N(AK171),"")</f>
        <v>0</v>
      </c>
      <c r="AL172" s="261">
        <f>IF(ISNUMBER(AL170),N(AL170)+N(AL171),"")</f>
        <v>0</v>
      </c>
      <c r="AM172" s="261">
        <f>IF(ISNUMBER(AM170),N(AM170)+N(AM171),"")</f>
        <v>5071</v>
      </c>
      <c r="AN172" s="261">
        <f>IF(ISNUMBER(AN170),N(AN170)+N(AN171),"")</f>
        <v>1697</v>
      </c>
      <c r="AO172" s="261">
        <f>IF(ISNUMBER(AO170),N(AO170)+N(AO171),"")</f>
        <v>0</v>
      </c>
      <c r="AP172" s="261">
        <f>IF(ISNUMBER(AP170),N(AP170)+N(AP171),"")</f>
        <v>0</v>
      </c>
      <c r="AQ172" s="261">
        <f>IF(ISNUMBER(AQ170),N(AQ170)+N(AQ171),"")</f>
        <v>0</v>
      </c>
      <c r="AR172" s="261">
        <f>IF(ISNUMBER(AR170),N(AR170)+N(AR171),"")</f>
        <v>1697</v>
      </c>
      <c r="AS172" s="261">
        <f>IF(ISNUMBER(AS170),N(AS170)+N(AS171),"")</f>
        <v>0</v>
      </c>
      <c r="AT172" s="261">
        <f>IF(ISNUMBER(AT170),N(AT170)+N(AT171),"")</f>
        <v>0</v>
      </c>
      <c r="AU172" s="261">
        <f>IF(ISNUMBER(AU170),N(AU170)+N(AU171),"")</f>
        <v>0</v>
      </c>
      <c r="AV172" s="261">
        <f>IF(ISNUMBER(AV170),N(AV170)+N(AV171),"")</f>
        <v>0</v>
      </c>
      <c r="AW172" s="261">
        <f>IF(ISNUMBER(AW170),N(AW170)+N(AW171),"")</f>
        <v>0</v>
      </c>
      <c r="AX172" s="261">
        <f>IF(ISNUMBER(AX170),N(AX170)+N(AX171),"")</f>
        <v>0</v>
      </c>
      <c r="AY172" s="261">
        <f>IF(ISNUMBER(AY170),N(AY170)+N(AY171),"")</f>
        <v>0</v>
      </c>
      <c r="AZ172" s="261">
        <f>IF(ISNUMBER(AZ170),N(AZ170)+N(AZ171),"")</f>
        <v>0</v>
      </c>
      <c r="BA172" s="261">
        <f>IF(ISNUMBER(BA170),N(BA170)+N(BA171),"")</f>
        <v>0</v>
      </c>
      <c r="BB172" s="261">
        <f>IF(ISNUMBER(BB170),N(BB170)+N(BB171),"")</f>
        <v>0</v>
      </c>
      <c r="BC172" s="261">
        <f>IF(ISNUMBER(BC170),N(BC170)+N(BC171),"")</f>
        <v>0</v>
      </c>
      <c r="BD172" s="261">
        <f>IF(ISNUMBER(BD170),N(BD170)+N(BD171),"")</f>
        <v>0</v>
      </c>
      <c r="BE172" s="261">
        <f>IF(ISNUMBER(BE170),N(BE170)+N(BE171),"")</f>
        <v>0</v>
      </c>
      <c r="BF172" s="261">
        <f>IF(ISNUMBER(BF170),N(BF170)+N(BF171),"")</f>
        <v>0</v>
      </c>
      <c r="BG172" s="261">
        <f>IF(ISNUMBER(BG170),N(BG170)+N(BG171),"")</f>
        <v>0</v>
      </c>
      <c r="BH172" s="261">
        <f>IF(ISNUMBER(BH170),N(BH170)+N(BH171),"")</f>
        <v>2558</v>
      </c>
      <c r="BI172" s="261">
        <f>IF(ISNUMBER(BI170),N(BI170)+N(BI171),"")</f>
        <v>0</v>
      </c>
      <c r="BJ172" s="261">
        <f>IF(ISNUMBER(BJ170),N(BJ170)+N(BJ171),"")</f>
        <v>0</v>
      </c>
      <c r="BK172" s="261">
        <f>IF(ISNUMBER(BK170),N(BK170)+N(BK171),"")</f>
        <v>0</v>
      </c>
      <c r="BL172" s="261">
        <f>IF(ISNUMBER(BL170),N(BL170)+N(BL171),"")</f>
        <v>2558</v>
      </c>
      <c r="BM172" s="261">
        <f>IF(ISNUMBER(BM170),N(BM170)+N(BM171),"")</f>
        <v>716</v>
      </c>
      <c r="BN172" s="261">
        <f>IF(ISNUMBER(BN170),N(BN170)+N(BN171),"")</f>
        <v>0</v>
      </c>
      <c r="BO172" s="261">
        <f>IF(ISNUMBER(BO170),N(BO170)+N(BO171),"")</f>
        <v>0</v>
      </c>
      <c r="BP172" s="261">
        <f>IF(ISNUMBER(BP170),N(BP170)+N(BP171),"")</f>
        <v>0</v>
      </c>
      <c r="BQ172" s="261">
        <f>IF(ISNUMBER(BQ170),N(BQ170)+N(BQ171),"")</f>
        <v>716</v>
      </c>
      <c r="BR172" s="261">
        <f>IF(ISNUMBER(BR170),N(BR170)+N(BR171),"")</f>
        <v>0</v>
      </c>
      <c r="BS172" s="261">
        <f>IF(ISNUMBER(BS170),N(BS170)+N(BS171),"")</f>
        <v>0</v>
      </c>
      <c r="BT172" s="261">
        <f>IF(ISNUMBER(BT170),N(BT170)+N(BT171),"")</f>
        <v>3457</v>
      </c>
      <c r="BU172" s="261">
        <f>IF(ISNUMBER(BU170),N(BU170)+N(BU171),"")</f>
        <v>0</v>
      </c>
      <c r="BV172" s="261">
        <f>IF(ISNUMBER(BV170),N(BV170)+N(BV171),"")</f>
        <v>3457</v>
      </c>
      <c r="BW172" s="261">
        <f>IF(ISNUMBER(BW170),N(BW170)+N(BW171),"")</f>
        <v>0</v>
      </c>
      <c r="BX172" s="261">
        <f>IF(ISNUMBER(BX170),N(BX170)+N(BX171),"")</f>
        <v>0</v>
      </c>
      <c r="BY172" s="262">
        <f>IF(ISNUMBER(BY170),N(BY170)+N(BY171),"")</f>
        <v>0</v>
      </c>
      <c r="BZ172" s="262">
        <f>IF(ISNUMBER(BZ170),N(BZ170)+N(BZ171),"")</f>
        <v>0</v>
      </c>
      <c r="CA172" s="262">
        <f>IF(ISNUMBER(CA170),N(CA170)+N(CA171),"")</f>
        <v>0</v>
      </c>
      <c r="CB172" s="262">
        <f>IF(ISNUMBER(CB170),N(CB170)+N(CB171),"")</f>
        <v>0</v>
      </c>
      <c r="CC172" s="262">
        <f>IF(ISNUMBER(CC170),N(CC170)+N(CC171),"")</f>
        <v>0</v>
      </c>
      <c r="CD172" s="262">
        <f>IF(ISNUMBER(CD170),N(CD170)+N(CD171),"")</f>
        <v>0</v>
      </c>
      <c r="CE172" s="262">
        <f>IF(ISNUMBER(CE170),N(CE170)+N(CE171),"")</f>
        <v>0</v>
      </c>
      <c r="CF172" s="153" t="n"/>
    </row>
    <row r="173" ht="15" customHeight="1" s="251">
      <c r="B173" s="55" t="inlineStr">
        <is>
          <t xml:space="preserve">  = Adjusted operating income (model)</t>
        </is>
      </c>
      <c r="C173" s="260">
        <f>IF(ISNUMBER(C169),C169+N(C172),"")</f>
        <v>3549.996</v>
      </c>
      <c r="D173" s="260">
        <f>IF(ISNUMBER(D169),D169+N(D172),"")</f>
        <v>5084.4</v>
      </c>
      <c r="E173" s="260">
        <f>IF(ISNUMBER(E169),E169+N(E172),"")</f>
        <v>6631.969</v>
      </c>
      <c r="F173" s="260">
        <f>IF(ISNUMBER(F169),F169+N(F172),"")</f>
        <v>8312.186</v>
      </c>
      <c r="G173" s="260">
        <f>IF(ISNUMBER(G169),G169+N(G172),"")</f>
        <v>10381</v>
      </c>
      <c r="H173" s="260">
        <f>IF(ISNUMBER(H169),H169+N(H172),"")</f>
        <v>11742</v>
      </c>
      <c r="I173" s="260">
        <f>IF(ISNUMBER(I169),I169+N(I172),"")</f>
        <v>12760</v>
      </c>
      <c r="J173" s="260">
        <f>IF(ISNUMBER(J169),J169+N(J172),"")</f>
        <v>3477</v>
      </c>
      <c r="K173" s="260">
        <f>IF(ISNUMBER(K169),K169+N(K172),"")</f>
        <v>3123</v>
      </c>
      <c r="L173" s="260">
        <f>IF(ISNUMBER(L169),L169+N(L172),"")</f>
        <v>3444</v>
      </c>
      <c r="M173" s="260">
        <f>IF(ISNUMBER(M169),M169+N(M172),"")</f>
        <v>3922</v>
      </c>
      <c r="N173" s="260">
        <f>IF(ISNUMBER(N169),N169+N(N172),"")</f>
        <v>13966</v>
      </c>
      <c r="O173" s="260">
        <f>IF(ISNUMBER(O169),O169+N(O172),"")</f>
        <v>4115</v>
      </c>
      <c r="P173" s="260">
        <f>IF(ISNUMBER(P169),P169+N(P172),"")</f>
        <v>4258</v>
      </c>
      <c r="Q173" s="260">
        <f>IF(ISNUMBER(Q169),Q169+N(Q172),"")</f>
        <v>3724</v>
      </c>
      <c r="R173" s="260">
        <f>IF(ISNUMBER(R169),R169+N(R172),"")</f>
        <v>4399</v>
      </c>
      <c r="S173" s="260">
        <f>IF(ISNUMBER(S169),S169+N(S172),"")</f>
        <v>16496</v>
      </c>
      <c r="T173" s="260">
        <f>IF(ISNUMBER(T169),T169+N(T172),"")</f>
        <v>4447</v>
      </c>
      <c r="U173" s="260">
        <f>IF(ISNUMBER(U169),U169+N(U172),"")</f>
        <v>4825</v>
      </c>
      <c r="V173" s="260">
        <f>IF(ISNUMBER(V169),V169+N(V172),"")</f>
        <v>4708</v>
      </c>
      <c r="W173" s="260">
        <f>IF(ISNUMBER(W169),W169+N(W172),"")</f>
        <v>5380</v>
      </c>
      <c r="X173" s="260">
        <f>IF(ISNUMBER(X169),X169+N(X172),"")</f>
        <v>19360</v>
      </c>
      <c r="Y173" s="260">
        <f>IF(ISNUMBER(Y169),Y169+N(Y172),"")</f>
        <v>5342</v>
      </c>
      <c r="Z173" s="260">
        <f>IF(ISNUMBER(Z169),Z169+N(Z172),"")</f>
        <v>5968</v>
      </c>
      <c r="AA173" s="260">
        <f>IF(ISNUMBER(AA169),AA169+N(AA172),"")</f>
        <v>5767</v>
      </c>
      <c r="AB173" s="260">
        <f>IF(ISNUMBER(AB169),AB169+N(AB172),"")</f>
        <v>6639</v>
      </c>
      <c r="AC173" s="260">
        <f>IF(ISNUMBER(AC169),AC169+N(AC172),"")</f>
        <v>23716</v>
      </c>
      <c r="AD173" s="260">
        <f>IF(ISNUMBER(AD169),AD169+N(AD172),"")</f>
        <v>6568</v>
      </c>
      <c r="AE173" s="260">
        <f>IF(ISNUMBER(AE169),AE169+N(AE172),"")</f>
        <v>6868</v>
      </c>
      <c r="AF173" s="260">
        <f>IF(ISNUMBER(AF169),AF169+N(AF172),"")</f>
        <v>7782</v>
      </c>
      <c r="AG173" s="260">
        <f>IF(ISNUMBER(AG169),AG169+N(AG172),"")</f>
        <v>7664</v>
      </c>
      <c r="AH173" s="260">
        <f>IF(ISNUMBER(AH169),AH169+N(AH172),"")</f>
        <v>28882</v>
      </c>
      <c r="AI173" s="260">
        <f>IF(ISNUMBER(AI169),AI169+N(AI172),"")</f>
        <v>7001</v>
      </c>
      <c r="AJ173" s="260">
        <f>IF(ISNUMBER(AJ169),AJ169+N(AJ172),"")</f>
        <v>7878</v>
      </c>
      <c r="AK173" s="260">
        <f>IF(ISNUMBER(AK169),AK169+N(AK172),"")</f>
        <v>8310</v>
      </c>
      <c r="AL173" s="260">
        <f>IF(ISNUMBER(AL169),AL169+N(AL172),"")</f>
        <v>8203</v>
      </c>
      <c r="AM173" s="260">
        <f>IF(ISNUMBER(AM169),AM169+N(AM172),"")</f>
        <v>31392</v>
      </c>
      <c r="AN173" s="260">
        <f>IF(ISNUMBER(AN169),AN169+N(AN172),"")</f>
        <v>8305</v>
      </c>
      <c r="AO173" s="260">
        <f>IF(ISNUMBER(AO169),AO169+N(AO172),"")</f>
        <v>9180</v>
      </c>
      <c r="AP173" s="260">
        <f>IF(ISNUMBER(AP169),AP169+N(AP172),"")</f>
        <v>9177</v>
      </c>
      <c r="AQ173" s="260">
        <f>IF(ISNUMBER(AQ169),AQ169+N(AQ172),"")</f>
        <v>9266</v>
      </c>
      <c r="AR173" s="260">
        <f>IF(ISNUMBER(AR169),AR169+N(AR172),"")</f>
        <v>35928</v>
      </c>
      <c r="AS173" s="260">
        <f>IF(ISNUMBER(AS169),AS169+N(AS172),"")</f>
        <v>7977</v>
      </c>
      <c r="AT173" s="260">
        <f>IF(ISNUMBER(AT169),AT169+N(AT172),"")</f>
        <v>6383</v>
      </c>
      <c r="AU173" s="260">
        <f>IF(ISNUMBER(AU169),AU169+N(AU172),"")</f>
        <v>11213</v>
      </c>
      <c r="AV173" s="260">
        <f>IF(ISNUMBER(AV169),AV169+N(AV172),"")</f>
        <v>15651</v>
      </c>
      <c r="AW173" s="260">
        <f>IF(ISNUMBER(AW169),AW169+N(AW172),"")</f>
        <v>41224</v>
      </c>
      <c r="AX173" s="260">
        <f>IF(ISNUMBER(AX169),AX169+N(AX172),"")</f>
        <v>16437</v>
      </c>
      <c r="AY173" s="260">
        <f>IF(ISNUMBER(AY169),AY169+N(AY172),"")</f>
        <v>19361</v>
      </c>
      <c r="AZ173" s="260">
        <f>IF(ISNUMBER(AZ169),AZ169+N(AZ172),"")</f>
        <v>21031</v>
      </c>
      <c r="BA173" s="260">
        <f>IF(ISNUMBER(BA169),BA169+N(BA172),"")</f>
        <v>21885</v>
      </c>
      <c r="BB173" s="260">
        <f>IF(ISNUMBER(BB169),BB169+N(BB172),"")</f>
        <v>78714</v>
      </c>
      <c r="BC173" s="260">
        <f>IF(ISNUMBER(BC169),BC169+N(BC172),"")</f>
        <v>20094</v>
      </c>
      <c r="BD173" s="260">
        <f>IF(ISNUMBER(BD169),BD169+N(BD172),"")</f>
        <v>19453</v>
      </c>
      <c r="BE173" s="260">
        <f>IF(ISNUMBER(BE169),BE169+N(BE172),"")</f>
        <v>17135</v>
      </c>
      <c r="BF173" s="260">
        <f>IF(ISNUMBER(BF169),BF169+N(BF172),"")</f>
        <v>18160</v>
      </c>
      <c r="BG173" s="260">
        <f>IF(ISNUMBER(BG169),BG169+N(BG172),"")</f>
        <v>74842</v>
      </c>
      <c r="BH173" s="260">
        <f>IF(ISNUMBER(BH169),BH169+N(BH172),"")</f>
        <v>19973</v>
      </c>
      <c r="BI173" s="260">
        <f>IF(ISNUMBER(BI169),BI169+N(BI172),"")</f>
        <v>21838</v>
      </c>
      <c r="BJ173" s="260">
        <f>IF(ISNUMBER(BJ169),BJ169+N(BJ172),"")</f>
        <v>21343</v>
      </c>
      <c r="BK173" s="260">
        <f>IF(ISNUMBER(BK169),BK169+N(BK172),"")</f>
        <v>23697</v>
      </c>
      <c r="BL173" s="260">
        <f>IF(ISNUMBER(BL169),BL169+N(BL172),"")</f>
        <v>86851</v>
      </c>
      <c r="BM173" s="260">
        <f>IF(ISNUMBER(BM169),BM169+N(BM172),"")</f>
        <v>26188</v>
      </c>
      <c r="BN173" s="260">
        <f>IF(ISNUMBER(BN169),BN169+N(BN172),"")</f>
        <v>27425</v>
      </c>
      <c r="BO173" s="260">
        <f>IF(ISNUMBER(BO169),BO169+N(BO172),"")</f>
        <v>28521</v>
      </c>
      <c r="BP173" s="260">
        <f>IF(ISNUMBER(BP169),BP169+N(BP172),"")</f>
        <v>30972</v>
      </c>
      <c r="BQ173" s="260">
        <f>IF(ISNUMBER(BQ169),BQ169+N(BQ172),"")</f>
        <v>113106</v>
      </c>
      <c r="BR173" s="260">
        <f>IF(ISNUMBER(BR169),BR169+N(BR172),"")</f>
        <v>30606</v>
      </c>
      <c r="BS173" s="260">
        <f>IF(ISNUMBER(BS169),BS169+N(BS172),"")</f>
        <v>31271</v>
      </c>
      <c r="BT173" s="260">
        <f>IF(ISNUMBER(BT169),BT169+N(BT172),"")</f>
        <v>34685</v>
      </c>
      <c r="BU173" s="260">
        <f>IF(ISNUMBER(BU169),BU169+N(BU172),"")</f>
        <v>35934</v>
      </c>
      <c r="BV173" s="260">
        <f>IF(ISNUMBER(BV169),BV169+N(BV172),"")</f>
        <v>132496</v>
      </c>
      <c r="BW173" s="260">
        <f>IF(ISNUMBER(BW169),BW169+N(BW172),"")</f>
        <v>39696</v>
      </c>
      <c r="BX173" s="260">
        <f>IF(ISNUMBER(BX169),BX169+N(BX172),"")</f>
        <v>40770</v>
      </c>
      <c r="BY173" s="260">
        <f>IF(ISNUMBER(BY169),BY169+N(BY172),"")</f>
        <v>41781.7884184666</v>
      </c>
      <c r="BZ173" s="260">
        <f>IF(ISNUMBER(BZ169),BZ169+N(BZ172),"")</f>
        <v>50691.0437823207</v>
      </c>
      <c r="CA173" s="260">
        <f>IF(ISNUMBER(CA169),CA169+N(CA172),"")</f>
        <v>172938.832200787</v>
      </c>
      <c r="CB173" s="260">
        <f>IF(ISNUMBER(CB169),CB169+N(CB172),"")</f>
        <v>194643.240084932</v>
      </c>
      <c r="CC173" s="260">
        <f>IF(ISNUMBER(CC169),CC169+N(CC172),"")</f>
        <v>212421.8802008</v>
      </c>
      <c r="CD173" s="260">
        <f>IF(ISNUMBER(CD169),CD169+N(CD172),"")</f>
        <v>234774.621414897</v>
      </c>
      <c r="CE173" s="260">
        <f>IF(ISNUMBER(CE169),CE169+N(CE172),"")</f>
        <v>256717.05000939</v>
      </c>
      <c r="CF173" s="153" t="n"/>
      <c r="CH173" s="20">
        <f>IFERROR((CE173/BV173)^(1/5)-1,"n/m")</f>
        <v>0.141432907894648</v>
      </c>
      <c r="CI173" s="20">
        <f>IFERROR((BV173/AW173)^(1/5)-1,"n/m")</f>
        <v>0.263020872112277</v>
      </c>
      <c r="CJ173" s="20">
        <f>IFERROR((BV173/X173)^(1/10)-1,"n/m")</f>
        <v>0.212075691517604</v>
      </c>
      <c r="CK173" s="20">
        <f>IFERROR((BV173/C173)^(1/19)-1,"n/m")</f>
        <v>0.209861122068954</v>
      </c>
    </row>
    <row r="174" ht="15" customHeight="1" s="251">
      <c r="B174" s="25" t="inlineStr">
        <is>
          <t xml:space="preserve">  Adjusted operating margin %</t>
        </is>
      </c>
      <c r="C174" s="215">
        <f>IF(AND(ISNUMBER(C173),ISNUMBER(C132)),IFERROR(C173/C132,""),"")</f>
        <v>0.334750003229634</v>
      </c>
      <c r="D174" s="215">
        <f>IF(AND(ISNUMBER(D173),ISNUMBER(D132)),IFERROR(D173/D132,""),"")</f>
        <v>0.306400162082817</v>
      </c>
      <c r="E174" s="215">
        <f>IF(AND(ISNUMBER(E173),ISNUMBER(E132)),IFERROR(E173/E132,""),"")</f>
        <v>0.304280873848102</v>
      </c>
      <c r="F174" s="215">
        <f>IF(AND(ISNUMBER(F173),ISNUMBER(F132)),IFERROR(F173/F132,""),"")</f>
        <v>0.351458271839026</v>
      </c>
      <c r="G174" s="215">
        <f>IF(AND(ISNUMBER(G173),ISNUMBER(G132)),IFERROR(G173/G132,""),"")</f>
        <v>0.354046587769858</v>
      </c>
      <c r="H174" s="215">
        <f>IF(AND(ISNUMBER(H173),ISNUMBER(H132)),IFERROR(H173/H132,""),"")</f>
        <v>0.309774436090226</v>
      </c>
      <c r="I174" s="215">
        <f>IF(AND(ISNUMBER(I173),ISNUMBER(I132)),IFERROR(I173/I132,""),"")</f>
        <v>0.254309915296462</v>
      </c>
      <c r="J174" s="215">
        <f>IF(AND(ISNUMBER(J173),ISNUMBER(J132)),IFERROR(J173/J132,""),"")</f>
        <v>0.248908296943231</v>
      </c>
      <c r="K174" s="215">
        <f>IF(AND(ISNUMBER(K173),ISNUMBER(K132)),IFERROR(K173/K132,""),"")</f>
        <v>0.221410847217299</v>
      </c>
      <c r="L174" s="215">
        <f>IF(AND(ISNUMBER(L173),ISNUMBER(L132)),IFERROR(L173/L132,""),"")</f>
        <v>0.231249580339757</v>
      </c>
      <c r="M174" s="215">
        <f>IF(AND(ISNUMBER(M173),ISNUMBER(M132)),IFERROR(M173/M132,""),"")</f>
        <v>0.232649187329458</v>
      </c>
      <c r="N174" s="215">
        <f>IF(AND(ISNUMBER(N173),ISNUMBER(N132)),IFERROR(N173/N132,""),"")</f>
        <v>0.233447555369829</v>
      </c>
      <c r="O174" s="215">
        <f>IF(AND(ISNUMBER(O173),ISNUMBER(O132)),IFERROR(O173/O132,""),"")</f>
        <v>0.26686121919585</v>
      </c>
      <c r="P174" s="215">
        <f>IF(AND(ISNUMBER(P173),ISNUMBER(P132)),IFERROR(P173/P132,""),"")</f>
        <v>0.266875587590097</v>
      </c>
      <c r="Q174" s="215">
        <f>IF(AND(ISNUMBER(Q173),ISNUMBER(Q132)),IFERROR(Q173/Q132,""),"")</f>
        <v>0.225382799733705</v>
      </c>
      <c r="R174" s="215">
        <f>IF(AND(ISNUMBER(R173),ISNUMBER(R132)),IFERROR(R173/R132,""),"")</f>
        <v>0.242998398055571</v>
      </c>
      <c r="S174" s="215">
        <f>IF(AND(ISNUMBER(S173),ISNUMBER(S132)),IFERROR(S173/S132,""),"")</f>
        <v>0.249935607036257</v>
      </c>
      <c r="T174" s="215">
        <f>IF(AND(ISNUMBER(T173),ISNUMBER(T132)),IFERROR(T173/T132,""),"")</f>
        <v>0.257677598794762</v>
      </c>
      <c r="U174" s="215">
        <f>IF(AND(ISNUMBER(U173),ISNUMBER(U132)),IFERROR(U173/U132,""),"")</f>
        <v>0.272183674620635</v>
      </c>
      <c r="V174" s="215">
        <f>IF(AND(ISNUMBER(V173),ISNUMBER(V132)),IFERROR(V173/V132,""),"")</f>
        <v>0.252101740294511</v>
      </c>
      <c r="W174" s="215">
        <f>IF(AND(ISNUMBER(W173),ISNUMBER(W132)),IFERROR(W173/W132,""),"")</f>
        <v>0.252238735993249</v>
      </c>
      <c r="X174" s="215">
        <f>IF(AND(ISNUMBER(X173),ISNUMBER(X132)),IFERROR(X173/X132,""),"")</f>
        <v>0.258171198442438</v>
      </c>
      <c r="Y174" s="215">
        <f>IF(AND(ISNUMBER(Y173),ISNUMBER(Y132)),IFERROR(Y173/Y132,""),"")</f>
        <v>0.263711309670731</v>
      </c>
      <c r="Z174" s="215">
        <f>IF(AND(ISNUMBER(Z173),ISNUMBER(Z132)),IFERROR(Z173/Z132,""),"")</f>
        <v>0.277581395348837</v>
      </c>
      <c r="AA174" s="215">
        <f>IF(AND(ISNUMBER(AA173),ISNUMBER(AA132)),IFERROR(AA173/AA132,""),"")</f>
        <v>0.256870518017015</v>
      </c>
      <c r="AB174" s="215">
        <f>IF(AND(ISNUMBER(AB173),ISNUMBER(AB132)),IFERROR(AB173/AB132,""),"")</f>
        <v>0.254719152854512</v>
      </c>
      <c r="AC174" s="215">
        <f>IF(AND(ISNUMBER(AC173),ISNUMBER(AC132)),IFERROR(AC173/AC132,""),"")</f>
        <v>0.262717121588089</v>
      </c>
      <c r="AD174" s="215">
        <f>IF(AND(ISNUMBER(AD173),ISNUMBER(AD132)),IFERROR(AD173/AD132,""),"")</f>
        <v>0.265373737373737</v>
      </c>
      <c r="AE174" s="215">
        <f>IF(AND(ISNUMBER(AE173),ISNUMBER(AE132)),IFERROR(AE173/AE132,""),"")</f>
        <v>0.264052287581699</v>
      </c>
      <c r="AF174" s="215">
        <f>IF(AND(ISNUMBER(AF173),ISNUMBER(AF132)),IFERROR(AF173/AF132,""),"")</f>
        <v>0.280210283739018</v>
      </c>
      <c r="AG174" s="215">
        <f>IF(AND(ISNUMBER(AG173),ISNUMBER(AG132)),IFERROR(AG173/AG132,""),"")</f>
        <v>0.237106704204436</v>
      </c>
      <c r="AH174" s="215">
        <f>IF(AND(ISNUMBER(AH173),ISNUMBER(AH132)),IFERROR(AH173/AH132,""),"")</f>
        <v>0.260538541337784</v>
      </c>
      <c r="AI174" s="215">
        <f>IF(AND(ISNUMBER(AI173),ISNUMBER(AI132)),IFERROR(AI173/AI132,""),"")</f>
        <v>0.224780068066525</v>
      </c>
      <c r="AJ174" s="215">
        <f>IF(AND(ISNUMBER(AJ173),ISNUMBER(AJ132)),IFERROR(AJ173/AJ132,""),"")</f>
        <v>0.241234651070215</v>
      </c>
      <c r="AK174" s="215">
        <f>IF(AND(ISNUMBER(AK173),ISNUMBER(AK132)),IFERROR(AK173/AK132,""),"")</f>
        <v>0.246295198577356</v>
      </c>
      <c r="AL174" s="215">
        <f>IF(AND(ISNUMBER(AL173),ISNUMBER(AL132)),IFERROR(AL173/AL132,""),"")</f>
        <v>0.20885528057847</v>
      </c>
      <c r="AM174" s="215">
        <f>IF(AND(ISNUMBER(AM173),ISNUMBER(AM132)),IFERROR(AM173/AM132,""),"")</f>
        <v>0.229441817291458</v>
      </c>
      <c r="AN174" s="215">
        <f>IF(AND(ISNUMBER(AN173),ISNUMBER(AN132)),IFERROR(AN173/AN132,""),"")</f>
        <v>0.228542337433611</v>
      </c>
      <c r="AO174" s="215">
        <f>IF(AND(ISNUMBER(AO173),ISNUMBER(AO132)),IFERROR(AO173/AO132,""),"")</f>
        <v>0.235723089564503</v>
      </c>
      <c r="AP174" s="215">
        <f>IF(AND(ISNUMBER(AP173),ISNUMBER(AP132)),IFERROR(AP173/AP132,""),"")</f>
        <v>0.226598187609571</v>
      </c>
      <c r="AQ174" s="215">
        <f>IF(AND(ISNUMBER(AQ173),ISNUMBER(AQ132)),IFERROR(AQ173/AQ132,""),"")</f>
        <v>0.201106890938687</v>
      </c>
      <c r="AR174" s="215">
        <f>IF(AND(ISNUMBER(AR173),ISNUMBER(AR132)),IFERROR(AR173/AR132,""),"")</f>
        <v>0.221973717540792</v>
      </c>
      <c r="AS174" s="215">
        <f>IF(AND(ISNUMBER(AS173),ISNUMBER(AS132)),IFERROR(AS173/AS132,""),"")</f>
        <v>0.193809373405574</v>
      </c>
      <c r="AT174" s="215">
        <f>IF(AND(ISNUMBER(AT173),ISNUMBER(AT132)),IFERROR(AT173/AT132,""),"")</f>
        <v>0.166671018617646</v>
      </c>
      <c r="AU174" s="215">
        <f>IF(AND(ISNUMBER(AU173),ISNUMBER(AU132)),IFERROR(AU173/AU132,""),"")</f>
        <v>0.24284755159942</v>
      </c>
      <c r="AV174" s="215">
        <f>IF(AND(ISNUMBER(AV173),ISNUMBER(AV132)),IFERROR(AV173/AV132,""),"")</f>
        <v>0.275071180006327</v>
      </c>
      <c r="AW174" s="215">
        <f>IF(AND(ISNUMBER(AW173),ISNUMBER(AW132)),IFERROR(AW173/AW132,""),"")</f>
        <v>0.225851517857632</v>
      </c>
      <c r="AX174" s="215">
        <f>IF(AND(ISNUMBER(AX173),ISNUMBER(AX132)),IFERROR(AX173/AX132,""),"")</f>
        <v>0.297158043171711</v>
      </c>
      <c r="AY174" s="215">
        <f>IF(AND(ISNUMBER(AY173),ISNUMBER(AY132)),IFERROR(AY173/AY132,""),"")</f>
        <v>0.312879767291532</v>
      </c>
      <c r="AZ174" s="215">
        <f>IF(AND(ISNUMBER(AZ173),ISNUMBER(AZ132)),IFERROR(AZ173/AZ132,""),"")</f>
        <v>0.322967535857981</v>
      </c>
      <c r="BA174" s="215">
        <f>IF(AND(ISNUMBER(BA173),ISNUMBER(BA132)),IFERROR(BA173/BA132,""),"")</f>
        <v>0.290540989047461</v>
      </c>
      <c r="BB174" s="215">
        <f>IF(AND(ISNUMBER(BB173),ISNUMBER(BB132)),IFERROR(BB173/BB132,""),"")</f>
        <v>0.305522886852432</v>
      </c>
      <c r="BC174" s="215">
        <f>IF(AND(ISNUMBER(BC173),ISNUMBER(BC132)),IFERROR(BC173/BC132,""),"")</f>
        <v>0.295452206260752</v>
      </c>
      <c r="BD174" s="215">
        <f>IF(AND(ISNUMBER(BD173),ISNUMBER(BD132)),IFERROR(BD173/BD132,""),"")</f>
        <v>0.279156202913109</v>
      </c>
      <c r="BE174" s="215">
        <f>IF(AND(ISNUMBER(BE173),ISNUMBER(BE132)),IFERROR(BE173/BE132,""),"")</f>
        <v>0.248002663115846</v>
      </c>
      <c r="BF174" s="215">
        <f>IF(AND(ISNUMBER(BF173),ISNUMBER(BF132)),IFERROR(BF173/BF132,""),"")</f>
        <v>0.238796549547654</v>
      </c>
      <c r="BG174" s="215">
        <f>IF(AND(ISNUMBER(BG173),ISNUMBER(BG132)),IFERROR(BG173/BG132,""),"")</f>
        <v>0.26461270842467</v>
      </c>
      <c r="BH174" s="215">
        <f>IF(AND(ISNUMBER(BH173),ISNUMBER(BH132)),IFERROR(BH173/BH132,""),"")</f>
        <v>0.286199435424936</v>
      </c>
      <c r="BI174" s="215">
        <f>IF(AND(ISNUMBER(BI173),ISNUMBER(BI132)),IFERROR(BI173/BI132,""),"")</f>
        <v>0.29271888906761</v>
      </c>
      <c r="BJ174" s="215">
        <f>IF(AND(ISNUMBER(BJ173),ISNUMBER(BJ132)),IFERROR(BJ173/BJ132,""),"")</f>
        <v>0.278291369486133</v>
      </c>
      <c r="BK174" s="215">
        <f>IF(AND(ISNUMBER(BK173),ISNUMBER(BK132)),IFERROR(BK173/BK132,""),"")</f>
        <v>0.274556830031283</v>
      </c>
      <c r="BL174" s="215">
        <f>IF(AND(ISNUMBER(BL173),ISNUMBER(BL132)),IFERROR(BL173/BL132,""),"")</f>
        <v>0.28253967221221</v>
      </c>
      <c r="BM174" s="215">
        <f>IF(AND(ISNUMBER(BM173),ISNUMBER(BM132)),IFERROR(BM173/BM132,""),"")</f>
        <v>0.32515923962304</v>
      </c>
      <c r="BN174" s="215">
        <f>IF(AND(ISNUMBER(BN173),ISNUMBER(BN132)),IFERROR(BN173/BN132,""),"")</f>
        <v>0.32362936914399</v>
      </c>
      <c r="BO174" s="215">
        <f>IF(AND(ISNUMBER(BO173),ISNUMBER(BO132)),IFERROR(BO173/BO132,""),"")</f>
        <v>0.323118230842434</v>
      </c>
      <c r="BP174" s="215">
        <f>IF(AND(ISNUMBER(BP173),ISNUMBER(BP132)),IFERROR(BP173/BP132,""),"")</f>
        <v>0.321056505198561</v>
      </c>
      <c r="BQ174" s="215">
        <f>IF(AND(ISNUMBER(BQ173),ISNUMBER(BQ132)),IFERROR(BQ173/BQ132,""),"")</f>
        <v>0.323143381197538</v>
      </c>
      <c r="BR174" s="215">
        <f>IF(AND(ISNUMBER(BR173),ISNUMBER(BR132)),IFERROR(BR173/BR132,""),"")</f>
        <v>0.339184786222488</v>
      </c>
      <c r="BS174" s="215">
        <f>IF(AND(ISNUMBER(BS173),ISNUMBER(BS132)),IFERROR(BS173/BS132,""),"")</f>
        <v>0.324293773592732</v>
      </c>
      <c r="BT174" s="215">
        <f>IF(AND(ISNUMBER(BT173),ISNUMBER(BT132)),IFERROR(BT173/BT132,""),"")</f>
        <v>0.338899419615813</v>
      </c>
      <c r="BU174" s="215">
        <f>IF(AND(ISNUMBER(BU173),ISNUMBER(BU132)),IFERROR(BU173/BU132,""),"")</f>
        <v>0.315684052394381</v>
      </c>
      <c r="BV174" s="215">
        <f>IF(AND(ISNUMBER(BV173),ISNUMBER(BV132)),IFERROR(BV173/BV132,""),"")</f>
        <v>0.328908041982345</v>
      </c>
      <c r="BW174" s="215">
        <f>IF(AND(ISNUMBER(BW173),ISNUMBER(BW132)),IFERROR(BW173/BW132,""),"")</f>
        <v>0.361214238916794</v>
      </c>
      <c r="BX174" s="215">
        <f>IF(AND(ISNUMBER(BX173),ISNUMBER(BX132)),IFERROR(BX173/BX132,""),"")</f>
        <v>0.340328558549534</v>
      </c>
      <c r="BY174" s="256">
        <f>IF(AND(ISNUMBER(BY173),ISNUMBER(BY132)),IFERROR(BY173/BY132,""),"")</f>
        <v>0.32898903500358</v>
      </c>
      <c r="BZ174" s="256">
        <f>IF(AND(ISNUMBER(BZ173),ISNUMBER(BZ132)),IFERROR(BZ173/BZ132,""),"")</f>
        <v>0.358031371137155</v>
      </c>
      <c r="CA174" s="256">
        <f>IF(AND(ISNUMBER(CA173),ISNUMBER(CA132)),IFERROR(CA173/CA132,""),"")</f>
        <v>0.34707490781977</v>
      </c>
      <c r="CB174" s="256">
        <f>IF(AND(ISNUMBER(CB173),ISNUMBER(CB132)),IFERROR(CB173/CB132,""),"")</f>
        <v>0.332789418828486</v>
      </c>
      <c r="CC174" s="256">
        <f>IF(AND(ISNUMBER(CC173),ISNUMBER(CC132)),IFERROR(CC173/CC132,""),"")</f>
        <v>0.316592899650073</v>
      </c>
      <c r="CD174" s="256">
        <f>IF(AND(ISNUMBER(CD173),ISNUMBER(CD132)),IFERROR(CD173/CD132,""),"")</f>
        <v>0.309725151160693</v>
      </c>
      <c r="CE174" s="256">
        <f>IF(AND(ISNUMBER(CE173),ISNUMBER(CE132)),IFERROR(CE173/CE132,""),"")</f>
        <v>0.304254092831352</v>
      </c>
      <c r="CF174" s="153" t="n"/>
      <c r="CH174" s="37">
        <f>IFERROR(AVERAGE(CA174,CB174,CC174,CD174,CE174),"n/m")</f>
        <v>0.322087294058075</v>
      </c>
      <c r="CI174" s="37">
        <f>IFERROR(AVERAGE(BB174,BG174,BL174,BQ174,BV174),"n/m")</f>
        <v>0.300945338133839</v>
      </c>
      <c r="CJ174" s="37">
        <f>IFERROR(AVERAGE(AC174,AH174,AM174,AR174,AW174,BB174,BG174,BL174,BQ174,BV174),"n/m")</f>
        <v>0.270524940628495</v>
      </c>
      <c r="CK174" s="37">
        <f>IFERROR(AVERAGE(C174,D174,E174,F174,G174,H174,I174,N174,S174,X174,AC174,AH174,AM174,AR174,AW174,BB174,BG174,BL174,BQ174,BV174),"n/m")</f>
        <v>0.28309120086448</v>
      </c>
    </row>
    <row r="175" ht="15" customHeight="1" s="251">
      <c r="B175" s="156" t="inlineStr">
        <is>
          <t xml:space="preserve">  Company-published operating income excluding the items (non-GAAP; Q2-17, Q2-18, Q1-19, Q1-23, Q1-24, Q3-25)</t>
        </is>
      </c>
      <c r="C175" s="34" t="n"/>
      <c r="D175" s="34" t="n"/>
      <c r="E175" s="34" t="n"/>
      <c r="F175" s="34" t="n"/>
      <c r="G175" s="34" t="n"/>
      <c r="H175" s="34" t="n"/>
      <c r="I175" s="34" t="n"/>
      <c r="J175" s="34" t="n"/>
      <c r="K175" s="34" t="n"/>
      <c r="L175" s="34" t="n"/>
      <c r="M175" s="34" t="n"/>
      <c r="N175" s="34" t="n"/>
      <c r="O175" s="34" t="n"/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  <c r="AA175" s="34" t="n"/>
      <c r="AB175" s="34" t="n"/>
      <c r="AC175" s="34" t="n"/>
      <c r="AD175" s="34" t="n"/>
      <c r="AE175" s="253" t="n">
        <v>6868</v>
      </c>
      <c r="AF175" s="34" t="n"/>
      <c r="AG175" s="34" t="n"/>
      <c r="AH175" s="34" t="n"/>
      <c r="AI175" s="34" t="n"/>
      <c r="AJ175" s="253" t="n">
        <v>7878</v>
      </c>
      <c r="AK175" s="34" t="n"/>
      <c r="AL175" s="34" t="n"/>
      <c r="AM175" s="34" t="n"/>
      <c r="AN175" s="253" t="n">
        <v>8305</v>
      </c>
      <c r="AO175" s="34" t="n"/>
      <c r="AP175" s="34" t="n"/>
      <c r="AQ175" s="34" t="n"/>
      <c r="AR175" s="34" t="n"/>
      <c r="AS175" s="34" t="n"/>
      <c r="AT175" s="34" t="n"/>
      <c r="AU175" s="34" t="n"/>
      <c r="AV175" s="34" t="n"/>
      <c r="AW175" s="34" t="n"/>
      <c r="AX175" s="34" t="n"/>
      <c r="AY175" s="34" t="n"/>
      <c r="AZ175" s="34" t="n"/>
      <c r="BA175" s="34" t="n"/>
      <c r="BB175" s="34" t="n"/>
      <c r="BC175" s="34" t="n"/>
      <c r="BD175" s="34" t="n"/>
      <c r="BE175" s="34" t="n"/>
      <c r="BF175" s="34" t="n"/>
      <c r="BG175" s="34" t="n"/>
      <c r="BH175" s="253" t="n">
        <v>19973</v>
      </c>
      <c r="BI175" s="34" t="n"/>
      <c r="BJ175" s="34" t="n"/>
      <c r="BK175" s="34" t="n"/>
      <c r="BL175" s="34" t="n"/>
      <c r="BM175" s="253" t="n">
        <v>26188</v>
      </c>
      <c r="BN175" s="34" t="n"/>
      <c r="BO175" s="34" t="n"/>
      <c r="BP175" s="34" t="n"/>
      <c r="BQ175" s="34" t="n"/>
      <c r="BR175" s="34" t="n"/>
      <c r="BS175" s="34" t="n"/>
      <c r="BT175" s="253" t="n">
        <v>34685</v>
      </c>
      <c r="BU175" s="34" t="n"/>
      <c r="BV175" s="34" t="n"/>
      <c r="BW175" s="34" t="n"/>
      <c r="BX175" s="34" t="n"/>
      <c r="BY175" s="153" t="n"/>
      <c r="BZ175" s="153" t="n"/>
      <c r="CA175" s="153" t="n"/>
      <c r="CB175" s="153" t="n"/>
      <c r="CC175" s="153" t="n"/>
      <c r="CD175" s="153" t="n"/>
      <c r="CE175" s="153" t="n"/>
      <c r="CF175" s="153" t="n"/>
    </row>
    <row r="176" ht="15" customHeight="1" s="251">
      <c r="B176" s="57" t="inlineStr">
        <is>
          <t xml:space="preserve">  Check: model vs company-published (should be 0)</t>
        </is>
      </c>
      <c r="C176" s="211" t="str">
        <f>IF(ISNUMBER(C175),IF(ABS(C173-C175)&lt;=1,0,ROUND(C173-C175,0)),"n/p")</f>
        <v>n/p</v>
      </c>
      <c r="D176" s="211" t="str">
        <f>IF(ISNUMBER(D175),IF(ABS(D173-D175)&lt;=1,0,ROUND(D173-D175,0)),"n/p")</f>
        <v>n/p</v>
      </c>
      <c r="E176" s="211" t="str">
        <f>IF(ISNUMBER(E175),IF(ABS(E173-E175)&lt;=1,0,ROUND(E173-E175,0)),"n/p")</f>
        <v>n/p</v>
      </c>
      <c r="F176" s="211" t="str">
        <f>IF(ISNUMBER(F175),IF(ABS(F173-F175)&lt;=1,0,ROUND(F173-F175,0)),"n/p")</f>
        <v>n/p</v>
      </c>
      <c r="G176" s="211" t="str">
        <f>IF(ISNUMBER(G175),IF(ABS(G173-G175)&lt;=1,0,ROUND(G173-G175,0)),"n/p")</f>
        <v>n/p</v>
      </c>
      <c r="H176" s="211" t="str">
        <f>IF(ISNUMBER(H175),IF(ABS(H173-H175)&lt;=1,0,ROUND(H173-H175,0)),"n/p")</f>
        <v>n/p</v>
      </c>
      <c r="I176" s="211" t="str">
        <f>IF(ISNUMBER(I175),IF(ABS(I173-I175)&lt;=1,0,ROUND(I173-I175,0)),"n/p")</f>
        <v>n/p</v>
      </c>
      <c r="J176" s="211" t="str">
        <f>IF(ISNUMBER(J175),IF(ABS(J173-J175)&lt;=1,0,ROUND(J173-J175,0)),"n/p")</f>
        <v>n/p</v>
      </c>
      <c r="K176" s="211" t="str">
        <f>IF(ISNUMBER(K175),IF(ABS(K173-K175)&lt;=1,0,ROUND(K173-K175,0)),"n/p")</f>
        <v>n/p</v>
      </c>
      <c r="L176" s="211" t="str">
        <f>IF(ISNUMBER(L175),IF(ABS(L173-L175)&lt;=1,0,ROUND(L173-L175,0)),"n/p")</f>
        <v>n/p</v>
      </c>
      <c r="M176" s="211" t="str">
        <f>IF(ISNUMBER(M175),IF(ABS(M173-M175)&lt;=1,0,ROUND(M173-M175,0)),"n/p")</f>
        <v>n/p</v>
      </c>
      <c r="N176" s="211" t="str">
        <f>IF(ISNUMBER(N175),IF(ABS(N173-N175)&lt;=1,0,ROUND(N173-N175,0)),"n/p")</f>
        <v>n/p</v>
      </c>
      <c r="O176" s="211" t="str">
        <f>IF(ISNUMBER(O175),IF(ABS(O173-O175)&lt;=1,0,ROUND(O173-O175,0)),"n/p")</f>
        <v>n/p</v>
      </c>
      <c r="P176" s="211" t="str">
        <f>IF(ISNUMBER(P175),IF(ABS(P173-P175)&lt;=1,0,ROUND(P173-P175,0)),"n/p")</f>
        <v>n/p</v>
      </c>
      <c r="Q176" s="211" t="str">
        <f>IF(ISNUMBER(Q175),IF(ABS(Q173-Q175)&lt;=1,0,ROUND(Q173-Q175,0)),"n/p")</f>
        <v>n/p</v>
      </c>
      <c r="R176" s="211" t="str">
        <f>IF(ISNUMBER(R175),IF(ABS(R173-R175)&lt;=1,0,ROUND(R173-R175,0)),"n/p")</f>
        <v>n/p</v>
      </c>
      <c r="S176" s="211" t="str">
        <f>IF(ISNUMBER(S175),IF(ABS(S173-S175)&lt;=1,0,ROUND(S173-S175,0)),"n/p")</f>
        <v>n/p</v>
      </c>
      <c r="T176" s="211" t="str">
        <f>IF(ISNUMBER(T175),IF(ABS(T173-T175)&lt;=1,0,ROUND(T173-T175,0)),"n/p")</f>
        <v>n/p</v>
      </c>
      <c r="U176" s="211" t="str">
        <f>IF(ISNUMBER(U175),IF(ABS(U173-U175)&lt;=1,0,ROUND(U173-U175,0)),"n/p")</f>
        <v>n/p</v>
      </c>
      <c r="V176" s="211" t="str">
        <f>IF(ISNUMBER(V175),IF(ABS(V173-V175)&lt;=1,0,ROUND(V173-V175,0)),"n/p")</f>
        <v>n/p</v>
      </c>
      <c r="W176" s="211" t="str">
        <f>IF(ISNUMBER(W175),IF(ABS(W173-W175)&lt;=1,0,ROUND(W173-W175,0)),"n/p")</f>
        <v>n/p</v>
      </c>
      <c r="X176" s="211" t="str">
        <f>IF(ISNUMBER(X175),IF(ABS(X173-X175)&lt;=1,0,ROUND(X173-X175,0)),"n/p")</f>
        <v>n/p</v>
      </c>
      <c r="Y176" s="211" t="str">
        <f>IF(ISNUMBER(Y175),IF(ABS(Y173-Y175)&lt;=1,0,ROUND(Y173-Y175,0)),"n/p")</f>
        <v>n/p</v>
      </c>
      <c r="Z176" s="211" t="str">
        <f>IF(ISNUMBER(Z175),IF(ABS(Z173-Z175)&lt;=1,0,ROUND(Z173-Z175,0)),"n/p")</f>
        <v>n/p</v>
      </c>
      <c r="AA176" s="211" t="str">
        <f>IF(ISNUMBER(AA175),IF(ABS(AA173-AA175)&lt;=1,0,ROUND(AA173-AA175,0)),"n/p")</f>
        <v>n/p</v>
      </c>
      <c r="AB176" s="211" t="str">
        <f>IF(ISNUMBER(AB175),IF(ABS(AB173-AB175)&lt;=1,0,ROUND(AB173-AB175,0)),"n/p")</f>
        <v>n/p</v>
      </c>
      <c r="AC176" s="211" t="str">
        <f>IF(ISNUMBER(AC175),IF(ABS(AC173-AC175)&lt;=1,0,ROUND(AC173-AC175,0)),"n/p")</f>
        <v>n/p</v>
      </c>
      <c r="AD176" s="211" t="str">
        <f>IF(ISNUMBER(AD175),IF(ABS(AD173-AD175)&lt;=1,0,ROUND(AD173-AD175,0)),"n/p")</f>
        <v>n/p</v>
      </c>
      <c r="AE176" s="211">
        <f>IF(ISNUMBER(AE175),IF(ABS(AE173-AE175)&lt;=1,0,ROUND(AE173-AE175,0)),"n/p")</f>
        <v>0</v>
      </c>
      <c r="AF176" s="211" t="str">
        <f>IF(ISNUMBER(AF175),IF(ABS(AF173-AF175)&lt;=1,0,ROUND(AF173-AF175,0)),"n/p")</f>
        <v>n/p</v>
      </c>
      <c r="AG176" s="211" t="str">
        <f>IF(ISNUMBER(AG175),IF(ABS(AG173-AG175)&lt;=1,0,ROUND(AG173-AG175,0)),"n/p")</f>
        <v>n/p</v>
      </c>
      <c r="AH176" s="211" t="str">
        <f>IF(ISNUMBER(AH175),IF(ABS(AH173-AH175)&lt;=1,0,ROUND(AH173-AH175,0)),"n/p")</f>
        <v>n/p</v>
      </c>
      <c r="AI176" s="211" t="str">
        <f>IF(ISNUMBER(AI175),IF(ABS(AI173-AI175)&lt;=1,0,ROUND(AI173-AI175,0)),"n/p")</f>
        <v>n/p</v>
      </c>
      <c r="AJ176" s="211">
        <f>IF(ISNUMBER(AJ175),IF(ABS(AJ173-AJ175)&lt;=1,0,ROUND(AJ173-AJ175,0)),"n/p")</f>
        <v>0</v>
      </c>
      <c r="AK176" s="211" t="str">
        <f>IF(ISNUMBER(AK175),IF(ABS(AK173-AK175)&lt;=1,0,ROUND(AK173-AK175,0)),"n/p")</f>
        <v>n/p</v>
      </c>
      <c r="AL176" s="211" t="str">
        <f>IF(ISNUMBER(AL175),IF(ABS(AL173-AL175)&lt;=1,0,ROUND(AL173-AL175,0)),"n/p")</f>
        <v>n/p</v>
      </c>
      <c r="AM176" s="211" t="str">
        <f>IF(ISNUMBER(AM175),IF(ABS(AM173-AM175)&lt;=1,0,ROUND(AM173-AM175,0)),"n/p")</f>
        <v>n/p</v>
      </c>
      <c r="AN176" s="211">
        <f>IF(ISNUMBER(AN175),IF(ABS(AN173-AN175)&lt;=1,0,ROUND(AN173-AN175,0)),"n/p")</f>
        <v>0</v>
      </c>
      <c r="AO176" s="211" t="str">
        <f>IF(ISNUMBER(AO175),IF(ABS(AO173-AO175)&lt;=1,0,ROUND(AO173-AO175,0)),"n/p")</f>
        <v>n/p</v>
      </c>
      <c r="AP176" s="211" t="str">
        <f>IF(ISNUMBER(AP175),IF(ABS(AP173-AP175)&lt;=1,0,ROUND(AP173-AP175,0)),"n/p")</f>
        <v>n/p</v>
      </c>
      <c r="AQ176" s="211" t="str">
        <f>IF(ISNUMBER(AQ175),IF(ABS(AQ173-AQ175)&lt;=1,0,ROUND(AQ173-AQ175,0)),"n/p")</f>
        <v>n/p</v>
      </c>
      <c r="AR176" s="211" t="str">
        <f>IF(ISNUMBER(AR175),IF(ABS(AR173-AR175)&lt;=1,0,ROUND(AR173-AR175,0)),"n/p")</f>
        <v>n/p</v>
      </c>
      <c r="AS176" s="211" t="str">
        <f>IF(ISNUMBER(AS175),IF(ABS(AS173-AS175)&lt;=1,0,ROUND(AS173-AS175,0)),"n/p")</f>
        <v>n/p</v>
      </c>
      <c r="AT176" s="211" t="str">
        <f>IF(ISNUMBER(AT175),IF(ABS(AT173-AT175)&lt;=1,0,ROUND(AT173-AT175,0)),"n/p")</f>
        <v>n/p</v>
      </c>
      <c r="AU176" s="211" t="str">
        <f>IF(ISNUMBER(AU175),IF(ABS(AU173-AU175)&lt;=1,0,ROUND(AU173-AU175,0)),"n/p")</f>
        <v>n/p</v>
      </c>
      <c r="AV176" s="211" t="str">
        <f>IF(ISNUMBER(AV175),IF(ABS(AV173-AV175)&lt;=1,0,ROUND(AV173-AV175,0)),"n/p")</f>
        <v>n/p</v>
      </c>
      <c r="AW176" s="211" t="str">
        <f>IF(ISNUMBER(AW175),IF(ABS(AW173-AW175)&lt;=1,0,ROUND(AW173-AW175,0)),"n/p")</f>
        <v>n/p</v>
      </c>
      <c r="AX176" s="211" t="str">
        <f>IF(ISNUMBER(AX175),IF(ABS(AX173-AX175)&lt;=1,0,ROUND(AX173-AX175,0)),"n/p")</f>
        <v>n/p</v>
      </c>
      <c r="AY176" s="211" t="str">
        <f>IF(ISNUMBER(AY175),IF(ABS(AY173-AY175)&lt;=1,0,ROUND(AY173-AY175,0)),"n/p")</f>
        <v>n/p</v>
      </c>
      <c r="AZ176" s="211" t="str">
        <f>IF(ISNUMBER(AZ175),IF(ABS(AZ173-AZ175)&lt;=1,0,ROUND(AZ173-AZ175,0)),"n/p")</f>
        <v>n/p</v>
      </c>
      <c r="BA176" s="211" t="str">
        <f>IF(ISNUMBER(BA175),IF(ABS(BA173-BA175)&lt;=1,0,ROUND(BA173-BA175,0)),"n/p")</f>
        <v>n/p</v>
      </c>
      <c r="BB176" s="211" t="str">
        <f>IF(ISNUMBER(BB175),IF(ABS(BB173-BB175)&lt;=1,0,ROUND(BB173-BB175,0)),"n/p")</f>
        <v>n/p</v>
      </c>
      <c r="BC176" s="211" t="str">
        <f>IF(ISNUMBER(BC175),IF(ABS(BC173-BC175)&lt;=1,0,ROUND(BC173-BC175,0)),"n/p")</f>
        <v>n/p</v>
      </c>
      <c r="BD176" s="211" t="str">
        <f>IF(ISNUMBER(BD175),IF(ABS(BD173-BD175)&lt;=1,0,ROUND(BD173-BD175,0)),"n/p")</f>
        <v>n/p</v>
      </c>
      <c r="BE176" s="211" t="str">
        <f>IF(ISNUMBER(BE175),IF(ABS(BE173-BE175)&lt;=1,0,ROUND(BE173-BE175,0)),"n/p")</f>
        <v>n/p</v>
      </c>
      <c r="BF176" s="211" t="str">
        <f>IF(ISNUMBER(BF175),IF(ABS(BF173-BF175)&lt;=1,0,ROUND(BF173-BF175,0)),"n/p")</f>
        <v>n/p</v>
      </c>
      <c r="BG176" s="211" t="str">
        <f>IF(ISNUMBER(BG175),IF(ABS(BG173-BG175)&lt;=1,0,ROUND(BG173-BG175,0)),"n/p")</f>
        <v>n/p</v>
      </c>
      <c r="BH176" s="211">
        <f>IF(ISNUMBER(BH175),IF(ABS(BH173-BH175)&lt;=1,0,ROUND(BH173-BH175,0)),"n/p")</f>
        <v>0</v>
      </c>
      <c r="BI176" s="211" t="str">
        <f>IF(ISNUMBER(BI175),IF(ABS(BI173-BI175)&lt;=1,0,ROUND(BI173-BI175,0)),"n/p")</f>
        <v>n/p</v>
      </c>
      <c r="BJ176" s="211" t="str">
        <f>IF(ISNUMBER(BJ175),IF(ABS(BJ173-BJ175)&lt;=1,0,ROUND(BJ173-BJ175,0)),"n/p")</f>
        <v>n/p</v>
      </c>
      <c r="BK176" s="211" t="str">
        <f>IF(ISNUMBER(BK175),IF(ABS(BK173-BK175)&lt;=1,0,ROUND(BK173-BK175,0)),"n/p")</f>
        <v>n/p</v>
      </c>
      <c r="BL176" s="211" t="str">
        <f>IF(ISNUMBER(BL175),IF(ABS(BL173-BL175)&lt;=1,0,ROUND(BL173-BL175,0)),"n/p")</f>
        <v>n/p</v>
      </c>
      <c r="BM176" s="211">
        <f>IF(ISNUMBER(BM175),IF(ABS(BM173-BM175)&lt;=1,0,ROUND(BM173-BM175,0)),"n/p")</f>
        <v>0</v>
      </c>
      <c r="BN176" s="211" t="str">
        <f>IF(ISNUMBER(BN175),IF(ABS(BN173-BN175)&lt;=1,0,ROUND(BN173-BN175,0)),"n/p")</f>
        <v>n/p</v>
      </c>
      <c r="BO176" s="211" t="str">
        <f>IF(ISNUMBER(BO175),IF(ABS(BO173-BO175)&lt;=1,0,ROUND(BO173-BO175,0)),"n/p")</f>
        <v>n/p</v>
      </c>
      <c r="BP176" s="211" t="str">
        <f>IF(ISNUMBER(BP175),IF(ABS(BP173-BP175)&lt;=1,0,ROUND(BP173-BP175,0)),"n/p")</f>
        <v>n/p</v>
      </c>
      <c r="BQ176" s="211" t="str">
        <f>IF(ISNUMBER(BQ175),IF(ABS(BQ173-BQ175)&lt;=1,0,ROUND(BQ173-BQ175,0)),"n/p")</f>
        <v>n/p</v>
      </c>
      <c r="BR176" s="211" t="str">
        <f>IF(ISNUMBER(BR175),IF(ABS(BR173-BR175)&lt;=1,0,ROUND(BR173-BR175,0)),"n/p")</f>
        <v>n/p</v>
      </c>
      <c r="BS176" s="211" t="str">
        <f>IF(ISNUMBER(BS175),IF(ABS(BS173-BS175)&lt;=1,0,ROUND(BS173-BS175,0)),"n/p")</f>
        <v>n/p</v>
      </c>
      <c r="BT176" s="211">
        <f>IF(ISNUMBER(BT175),IF(ABS(BT173-BT175)&lt;=1,0,ROUND(BT173-BT175,0)),"n/p")</f>
        <v>0</v>
      </c>
      <c r="BU176" s="211" t="str">
        <f>IF(ISNUMBER(BU175),IF(ABS(BU173-BU175)&lt;=1,0,ROUND(BU173-BU175,0)),"n/p")</f>
        <v>n/p</v>
      </c>
      <c r="BV176" s="211" t="str">
        <f>IF(ISNUMBER(BV175),IF(ABS(BV173-BV175)&lt;=1,0,ROUND(BV173-BV175,0)),"n/p")</f>
        <v>n/p</v>
      </c>
      <c r="BW176" s="211" t="str">
        <f>IF(ISNUMBER(BW175),IF(ABS(BW173-BW175)&lt;=1,0,ROUND(BW173-BW175,0)),"n/p")</f>
        <v>n/p</v>
      </c>
      <c r="BX176" s="211" t="str">
        <f>IF(ISNUMBER(BX175),IF(ABS(BX173-BX175)&lt;=1,0,ROUND(BX173-BX175,0)),"n/p")</f>
        <v>n/p</v>
      </c>
      <c r="BY176" s="153" t="n"/>
      <c r="BZ176" s="153" t="n"/>
      <c r="CA176" s="153" t="n"/>
      <c r="CB176" s="153" t="n"/>
      <c r="CC176" s="153" t="n"/>
      <c r="CD176" s="153" t="n"/>
      <c r="CE176" s="153" t="n"/>
      <c r="CF176" s="153" t="n"/>
    </row>
    <row r="177" ht="15" customHeight="1" s="251">
      <c r="B177" s="158" t="inlineStr">
        <is>
          <t xml:space="preserve">  Definition / basis (company non-GAAP in force)</t>
        </is>
      </c>
      <c r="C177" s="276" t="inlineStr">
        <is>
          <t>2006–Q4-16: company non-GAAP operating income excluded stock-based compensation (model adjusted OI = GAAP; SBC treated as a cost)</t>
        </is>
      </c>
      <c r="AE177" s="276" t="inlineStr">
        <is>
          <t>Q2-17: operating income excluding the EC fine ($2,736m) — published; the model adds back company-reconciled items only</t>
        </is>
      </c>
      <c r="AJ177" s="276" t="inlineStr">
        <is>
          <t>Q2-18: excluding the EC fines ($5,071m)</t>
        </is>
      </c>
      <c r="AN177" s="276" t="inlineStr">
        <is>
          <t>Q1-19: excluding the EC fine ($1,697m)</t>
        </is>
      </c>
      <c r="BH177" s="276" t="inlineStr">
        <is>
          <t>Q1-23 / Q1-24: excluding severance &amp; office-space charges (published in the Q1-24 release)</t>
        </is>
      </c>
      <c r="BT177" s="276" t="inlineStr">
        <is>
          <t>Q3-25: excluding the EC fine ($3,457m; in G&amp;A)</t>
        </is>
      </c>
      <c r="BY177" s="153" t="n"/>
      <c r="BZ177" s="153" t="n"/>
      <c r="CA177" s="153" t="n"/>
      <c r="CB177" s="153" t="n"/>
      <c r="CC177" s="153" t="n"/>
      <c r="CD177" s="153" t="n"/>
      <c r="CE177" s="153" t="n"/>
      <c r="CF177" s="19" t="inlineStr">
        <is>
          <t>Definition changes are flagged in the column where they take effect (cell comment gives the detail).</t>
        </is>
      </c>
    </row>
    <row r="178" ht="15" customHeight="1" s="251">
      <c r="B178" s="22" t="inlineStr">
        <is>
          <t xml:space="preserve">  Adjusted operating income y/y %</t>
        </is>
      </c>
      <c r="C178" s="23" t="n"/>
      <c r="D178" s="255">
        <f>IF(AND(ISNUMBER(D173),ISNUMBER(C173)),IFERROR(D173/C173-1,""),"")</f>
        <v>0.43222696588954</v>
      </c>
      <c r="E178" s="255">
        <f>IF(AND(ISNUMBER(E173),ISNUMBER(D173)),IFERROR(E173/D173-1,""),"")</f>
        <v>0.304375934230194</v>
      </c>
      <c r="F178" s="255">
        <f>IF(AND(ISNUMBER(F173),ISNUMBER(E173)),IFERROR(F173/E173-1,""),"")</f>
        <v>0.253351154084104</v>
      </c>
      <c r="G178" s="255">
        <f>IF(AND(ISNUMBER(G173),ISNUMBER(F173)),IFERROR(G173/F173-1,""),"")</f>
        <v>0.2488892813515</v>
      </c>
      <c r="H178" s="255">
        <f>IF(AND(ISNUMBER(H173),ISNUMBER(G173)),IFERROR(H173/G173-1,""),"")</f>
        <v>0.131104903188517</v>
      </c>
      <c r="I178" s="255">
        <f>IF(AND(ISNUMBER(I173),ISNUMBER(H173)),IFERROR(I173/H173-1,""),"")</f>
        <v>0.086697325838869</v>
      </c>
      <c r="J178" s="23" t="n"/>
      <c r="K178" s="23" t="n"/>
      <c r="L178" s="23" t="n"/>
      <c r="M178" s="23" t="n"/>
      <c r="N178" s="255">
        <f>IF(AND(ISNUMBER(N173),ISNUMBER(I173)),IFERROR(N173/I173-1,""),"")</f>
        <v>0.0945141065830721</v>
      </c>
      <c r="O178" s="255">
        <f>IF(AND(ISNUMBER(O173),ISNUMBER(J173)),IFERROR(O173/J173-1,""),"")</f>
        <v>0.183491515674432</v>
      </c>
      <c r="P178" s="255">
        <f>IF(AND(ISNUMBER(P173),ISNUMBER(K173)),IFERROR(P173/K173-1,""),"")</f>
        <v>0.363432596861992</v>
      </c>
      <c r="Q178" s="255">
        <f>IF(AND(ISNUMBER(Q173),ISNUMBER(L173)),IFERROR(Q173/L173-1,""),"")</f>
        <v>0.0813008130081301</v>
      </c>
      <c r="R178" s="255">
        <f>IF(AND(ISNUMBER(R173),ISNUMBER(M173)),IFERROR(R173/M173-1,""),"")</f>
        <v>0.121621621621622</v>
      </c>
      <c r="S178" s="255">
        <f>IF(AND(ISNUMBER(S173),ISNUMBER(N173)),IFERROR(S173/N173-1,""),"")</f>
        <v>0.181154231705571</v>
      </c>
      <c r="T178" s="255">
        <f>IF(AND(ISNUMBER(T173),ISNUMBER(O173)),IFERROR(T173/O173-1,""),"")</f>
        <v>0.0806804374240584</v>
      </c>
      <c r="U178" s="255">
        <f>IF(AND(ISNUMBER(U173),ISNUMBER(P173)),IFERROR(U173/P173-1,""),"")</f>
        <v>0.133161108501644</v>
      </c>
      <c r="V178" s="255">
        <f>IF(AND(ISNUMBER(V173),ISNUMBER(Q173)),IFERROR(V173/Q173-1,""),"")</f>
        <v>0.264232008592911</v>
      </c>
      <c r="W178" s="255">
        <f>IF(AND(ISNUMBER(W173),ISNUMBER(R173)),IFERROR(W173/R173-1,""),"")</f>
        <v>0.223005228461014</v>
      </c>
      <c r="X178" s="255">
        <f>IF(AND(ISNUMBER(X173),ISNUMBER(S173)),IFERROR(X173/S173-1,""),"")</f>
        <v>0.173617846750727</v>
      </c>
      <c r="Y178" s="255">
        <f>IF(AND(ISNUMBER(Y173),ISNUMBER(T173)),IFERROR(Y173/T173-1,""),"")</f>
        <v>0.201259275916348</v>
      </c>
      <c r="Z178" s="255">
        <f>IF(AND(ISNUMBER(Z173),ISNUMBER(U173)),IFERROR(Z173/U173-1,""),"")</f>
        <v>0.236891191709845</v>
      </c>
      <c r="AA178" s="255">
        <f>IF(AND(ISNUMBER(AA173),ISNUMBER(V173)),IFERROR(AA173/V173-1,""),"")</f>
        <v>0.224936278674597</v>
      </c>
      <c r="AB178" s="255">
        <f>IF(AND(ISNUMBER(AB173),ISNUMBER(W173)),IFERROR(AB173/W173-1,""),"")</f>
        <v>0.234014869888476</v>
      </c>
      <c r="AC178" s="255">
        <f>IF(AND(ISNUMBER(AC173),ISNUMBER(X173)),IFERROR(AC173/X173-1,""),"")</f>
        <v>0.225</v>
      </c>
      <c r="AD178" s="255">
        <f>IF(AND(ISNUMBER(AD173),ISNUMBER(Y173)),IFERROR(AD173/Y173-1,""),"")</f>
        <v>0.229502059153875</v>
      </c>
      <c r="AE178" s="255">
        <f>IF(AND(ISNUMBER(AE173),ISNUMBER(Z173)),IFERROR(AE173/Z173-1,""),"")</f>
        <v>0.150804289544236</v>
      </c>
      <c r="AF178" s="255">
        <f>IF(AND(ISNUMBER(AF173),ISNUMBER(AA173)),IFERROR(AF173/AA173-1,""),"")</f>
        <v>0.349401768683891</v>
      </c>
      <c r="AG178" s="255">
        <f>IF(AND(ISNUMBER(AG173),ISNUMBER(AB173)),IFERROR(AG173/AB173-1,""),"")</f>
        <v>0.154390721494201</v>
      </c>
      <c r="AH178" s="255">
        <f>IF(AND(ISNUMBER(AH173),ISNUMBER(AC173)),IFERROR(AH173/AC173-1,""),"")</f>
        <v>0.217827626918536</v>
      </c>
      <c r="AI178" s="255">
        <f>IF(AND(ISNUMBER(AI173),ISNUMBER(AD173)),IFERROR(AI173/AD173-1,""),"")</f>
        <v>0.0659257003654081</v>
      </c>
      <c r="AJ178" s="255">
        <f>IF(AND(ISNUMBER(AJ173),ISNUMBER(AE173)),IFERROR(AJ173/AE173-1,""),"")</f>
        <v>0.147058823529412</v>
      </c>
      <c r="AK178" s="255">
        <f>IF(AND(ISNUMBER(AK173),ISNUMBER(AF173)),IFERROR(AK173/AF173-1,""),"")</f>
        <v>0.0678488820354664</v>
      </c>
      <c r="AL178" s="255">
        <f>IF(AND(ISNUMBER(AL173),ISNUMBER(AG173)),IFERROR(AL173/AG173-1,""),"")</f>
        <v>0.0703288100208768</v>
      </c>
      <c r="AM178" s="255">
        <f>IF(AND(ISNUMBER(AM173),ISNUMBER(AH173)),IFERROR(AM173/AH173-1,""),"")</f>
        <v>0.0869053389654455</v>
      </c>
      <c r="AN178" s="255">
        <f>IF(AND(ISNUMBER(AN173),ISNUMBER(AI173)),IFERROR(AN173/AI173-1,""),"")</f>
        <v>0.186259105842023</v>
      </c>
      <c r="AO178" s="255">
        <f>IF(AND(ISNUMBER(AO173),ISNUMBER(AJ173)),IFERROR(AO173/AJ173-1,""),"")</f>
        <v>0.165270373191165</v>
      </c>
      <c r="AP178" s="255">
        <f>IF(AND(ISNUMBER(AP173),ISNUMBER(AK173)),IFERROR(AP173/AK173-1,""),"")</f>
        <v>0.104332129963899</v>
      </c>
      <c r="AQ178" s="255">
        <f>IF(AND(ISNUMBER(AQ173),ISNUMBER(AL173)),IFERROR(AQ173/AL173-1,""),"")</f>
        <v>0.129586736559795</v>
      </c>
      <c r="AR178" s="255">
        <f>IF(AND(ISNUMBER(AR173),ISNUMBER(AM173)),IFERROR(AR173/AM173-1,""),"")</f>
        <v>0.144495412844037</v>
      </c>
      <c r="AS178" s="255">
        <f>IF(AND(ISNUMBER(AS173),ISNUMBER(AN173)),IFERROR(AS173/AN173-1,""),"")</f>
        <v>-0.0394942805538832</v>
      </c>
      <c r="AT178" s="255">
        <f>IF(AND(ISNUMBER(AT173),ISNUMBER(AO173)),IFERROR(AT173/AO173-1,""),"")</f>
        <v>-0.304684095860566</v>
      </c>
      <c r="AU178" s="255">
        <f>IF(AND(ISNUMBER(AU173),ISNUMBER(AP173)),IFERROR(AU173/AP173-1,""),"")</f>
        <v>0.221858995314373</v>
      </c>
      <c r="AV178" s="255">
        <f>IF(AND(ISNUMBER(AV173),ISNUMBER(AQ173)),IFERROR(AV173/AQ173-1,""),"")</f>
        <v>0.689078350960501</v>
      </c>
      <c r="AW178" s="255">
        <f>IF(AND(ISNUMBER(AW173),ISNUMBER(AR173)),IFERROR(AW173/AR173-1,""),"")</f>
        <v>0.147405922957025</v>
      </c>
      <c r="AX178" s="255">
        <f>IF(AND(ISNUMBER(AX173),ISNUMBER(AS173)),IFERROR(AX173/AS173-1,""),"")</f>
        <v>1.06054907860098</v>
      </c>
      <c r="AY178" s="255">
        <f>IF(AND(ISNUMBER(AY173),ISNUMBER(AT173)),IFERROR(AY173/AT173-1,""),"")</f>
        <v>2.03321322262259</v>
      </c>
      <c r="AZ178" s="255">
        <f>IF(AND(ISNUMBER(AZ173),ISNUMBER(AU173)),IFERROR(AZ173/AU173-1,""),"")</f>
        <v>0.875590832069919</v>
      </c>
      <c r="BA178" s="255">
        <f>IF(AND(ISNUMBER(BA173),ISNUMBER(AV173)),IFERROR(BA173/AV173-1,""),"")</f>
        <v>0.398313206823845</v>
      </c>
      <c r="BB178" s="255">
        <f>IF(AND(ISNUMBER(BB173),ISNUMBER(AW173)),IFERROR(BB173/AW173-1,""),"")</f>
        <v>0.90942169609936</v>
      </c>
      <c r="BC178" s="255">
        <f>IF(AND(ISNUMBER(BC173),ISNUMBER(AX173)),IFERROR(BC173/AX173-1,""),"")</f>
        <v>0.222485855083044</v>
      </c>
      <c r="BD178" s="255">
        <f>IF(AND(ISNUMBER(BD173),ISNUMBER(AY173)),IFERROR(BD173/AY173-1,""),"")</f>
        <v>0.00475182067042002</v>
      </c>
      <c r="BE178" s="255">
        <f>IF(AND(ISNUMBER(BE173),ISNUMBER(AZ173)),IFERROR(BE173/AZ173-1,""),"")</f>
        <v>-0.185250344729209</v>
      </c>
      <c r="BF178" s="255">
        <f>IF(AND(ISNUMBER(BF173),ISNUMBER(BA173)),IFERROR(BF173/BA173-1,""),"")</f>
        <v>-0.170207904957734</v>
      </c>
      <c r="BG178" s="255">
        <f>IF(AND(ISNUMBER(BG173),ISNUMBER(BB173)),IFERROR(BG173/BB173-1,""),"")</f>
        <v>-0.0491907411642147</v>
      </c>
      <c r="BH178" s="255">
        <f>IF(AND(ISNUMBER(BH173),ISNUMBER(BC173)),IFERROR(BH173/BC173-1,""),"")</f>
        <v>-0.0060216980193093</v>
      </c>
      <c r="BI178" s="255">
        <f>IF(AND(ISNUMBER(BI173),ISNUMBER(BD173)),IFERROR(BI173/BD173-1,""),"")</f>
        <v>0.122603197450265</v>
      </c>
      <c r="BJ178" s="255">
        <f>IF(AND(ISNUMBER(BJ173),ISNUMBER(BE173)),IFERROR(BJ173/BE173-1,""),"")</f>
        <v>0.245579223810913</v>
      </c>
      <c r="BK178" s="255">
        <f>IF(AND(ISNUMBER(BK173),ISNUMBER(BF173)),IFERROR(BK173/BF173-1,""),"")</f>
        <v>0.304900881057269</v>
      </c>
      <c r="BL178" s="255">
        <f>IF(AND(ISNUMBER(BL173),ISNUMBER(BG173)),IFERROR(BL173/BG173-1,""),"")</f>
        <v>0.160458031586542</v>
      </c>
      <c r="BM178" s="255">
        <f>IF(AND(ISNUMBER(BM173),ISNUMBER(BH173)),IFERROR(BM173/BH173-1,""),"")</f>
        <v>0.31117007960747</v>
      </c>
      <c r="BN178" s="255">
        <f>IF(AND(ISNUMBER(BN173),ISNUMBER(BI173)),IFERROR(BN173/BI173-1,""),"")</f>
        <v>0.255838446744207</v>
      </c>
      <c r="BO178" s="255">
        <f>IF(AND(ISNUMBER(BO173),ISNUMBER(BJ173)),IFERROR(BO173/BJ173-1,""),"")</f>
        <v>0.336316356650893</v>
      </c>
      <c r="BP178" s="255">
        <f>IF(AND(ISNUMBER(BP173),ISNUMBER(BK173)),IFERROR(BP173/BK173-1,""),"")</f>
        <v>0.307000886188125</v>
      </c>
      <c r="BQ178" s="255">
        <f>IF(AND(ISNUMBER(BQ173),ISNUMBER(BL173)),IFERROR(BQ173/BL173-1,""),"")</f>
        <v>0.302299340249393</v>
      </c>
      <c r="BR178" s="255">
        <f>IF(AND(ISNUMBER(BR173),ISNUMBER(BM173)),IFERROR(BR173/BM173-1,""),"")</f>
        <v>0.16870322285016</v>
      </c>
      <c r="BS178" s="255">
        <f>IF(AND(ISNUMBER(BS173),ISNUMBER(BN173)),IFERROR(BS173/BN173-1,""),"")</f>
        <v>0.140237010027347</v>
      </c>
      <c r="BT178" s="255">
        <f>IF(AND(ISNUMBER(BT173),ISNUMBER(BO173)),IFERROR(BT173/BO173-1,""),"")</f>
        <v>0.216121454366958</v>
      </c>
      <c r="BU178" s="255">
        <f>IF(AND(ISNUMBER(BU173),ISNUMBER(BP173)),IFERROR(BU173/BP173-1,""),"")</f>
        <v>0.16020922123208</v>
      </c>
      <c r="BV178" s="255">
        <f>IF(AND(ISNUMBER(BV173),ISNUMBER(BQ173)),IFERROR(BV173/BQ173-1,""),"")</f>
        <v>0.17143210793415</v>
      </c>
      <c r="BW178" s="255">
        <f>IF(AND(ISNUMBER(BW173),ISNUMBER(BR173)),IFERROR(BW173/BR173-1,""),"")</f>
        <v>0.297000588119976</v>
      </c>
      <c r="BX178" s="255">
        <f>IF(AND(ISNUMBER(BX173),ISNUMBER(BS173)),IFERROR(BX173/BS173-1,""),"")</f>
        <v>0.303763870678904</v>
      </c>
      <c r="BY178" s="256">
        <f>IF(AND(ISNUMBER(BY173),ISNUMBER(BT173)),IFERROR(BY173/BT173-1,""),"")</f>
        <v>0.204606844989667</v>
      </c>
      <c r="BZ178" s="256">
        <f>IF(AND(ISNUMBER(BZ173),ISNUMBER(BU173)),IFERROR(BZ173/BU173-1,""),"")</f>
        <v>0.410670779270904</v>
      </c>
      <c r="CA178" s="256">
        <f>IF(AND(ISNUMBER(CA173),ISNUMBER(BV173)),IFERROR(CA173/BV173-1,""),"")</f>
        <v>0.305238137006304</v>
      </c>
      <c r="CB178" s="256">
        <f>IF(AND(ISNUMBER(CB173),ISNUMBER(CA173)),IFERROR(CB173/CA173-1,""),"")</f>
        <v>0.125503379477808</v>
      </c>
      <c r="CC178" s="256">
        <f>IF(AND(ISNUMBER(CC173),ISNUMBER(CB173)),IFERROR(CC173/CB173-1,""),"")</f>
        <v>0.0913396227277692</v>
      </c>
      <c r="CD178" s="256">
        <f>IF(AND(ISNUMBER(CD173),ISNUMBER(CC173)),IFERROR(CD173/CC173-1,""),"")</f>
        <v>0.105228054628681</v>
      </c>
      <c r="CE178" s="256">
        <f>IF(AND(ISNUMBER(CE173),ISNUMBER(CD173)),IFERROR(CE173/CD173-1,""),"")</f>
        <v>0.0934616717184105</v>
      </c>
      <c r="CF178" s="153" t="n"/>
    </row>
    <row r="179" ht="15" customHeight="1" s="251">
      <c r="B179" s="25" t="inlineStr">
        <is>
          <t xml:space="preserve">  Incremental adjusted operating margin (Δ adjusted OI / Δ revenues)</t>
        </is>
      </c>
      <c r="C179" s="36" t="n"/>
      <c r="D179" s="215">
        <f>IFERROR((D173-C173)/(D132-C132),"")</f>
        <v>0.256200755075622</v>
      </c>
      <c r="E179" s="215">
        <f>IFERROR((E173-D173)/(E132-D132),"")</f>
        <v>0.297519938233962</v>
      </c>
      <c r="F179" s="215">
        <f>IFERROR((F173-E173)/(F132-E132),"")</f>
        <v>0.905771010769197</v>
      </c>
      <c r="G179" s="215">
        <f>IFERROR((G173-F173)/(G132-F132),"")</f>
        <v>0.364842074781891</v>
      </c>
      <c r="H179" s="215">
        <f>IFERROR((H173-G173)/(H132-G132),"")</f>
        <v>0.158550792171482</v>
      </c>
      <c r="I179" s="215">
        <f>IFERROR((I173-H173)/(I132-H132),"")</f>
        <v>0.0829665851670742</v>
      </c>
      <c r="J179" s="36" t="n"/>
      <c r="K179" s="36" t="n"/>
      <c r="L179" s="36" t="n"/>
      <c r="M179" s="36" t="n"/>
      <c r="N179" s="215">
        <f>IFERROR((N173-I173)/(N132-I132),"")</f>
        <v>0.124974093264249</v>
      </c>
      <c r="O179" s="215">
        <f>IFERROR((O173-J173)/(O132-J132),"")</f>
        <v>0.439696760854583</v>
      </c>
      <c r="P179" s="215">
        <f>IFERROR((P173-K173)/(P132-K132),"")</f>
        <v>0.613513513513514</v>
      </c>
      <c r="Q179" s="215">
        <f>IFERROR((Q173-L173)/(Q132-L132),"")</f>
        <v>0.171779141104294</v>
      </c>
      <c r="R179" s="215">
        <f>IFERROR((R173-M173)/(R132-M132),"")</f>
        <v>0.383132530120482</v>
      </c>
      <c r="S179" s="215">
        <f>IFERROR((S173-N173)/(S132-N132),"")</f>
        <v>0.409650259067358</v>
      </c>
      <c r="T179" s="215">
        <f>IFERROR((T173-O173)/(T132-O132),"")</f>
        <v>0.18063112078346</v>
      </c>
      <c r="U179" s="215">
        <f>IFERROR((U173-P173)/(U132-P132),"")</f>
        <v>0.319977426636569</v>
      </c>
      <c r="V179" s="215">
        <f>IFERROR((V173-Q173)/(V132-Q132),"")</f>
        <v>0.45724907063197</v>
      </c>
      <c r="W179" s="215">
        <f>IFERROR((W173-R173)/(W132-R132),"")</f>
        <v>0.30409175449473</v>
      </c>
      <c r="X179" s="215">
        <f>IFERROR((X173-S173)/(X132-S132),"")</f>
        <v>0.318647085002225</v>
      </c>
      <c r="Y179" s="215">
        <f>IFERROR((Y173-T173)/(Y132-T132),"")</f>
        <v>0.298432810936979</v>
      </c>
      <c r="Z179" s="215">
        <f>IFERROR((Z173-U173)/(Z132-U132),"")</f>
        <v>0.30294195600318</v>
      </c>
      <c r="AA179" s="215">
        <f>IFERROR((AA173-V173)/(AA132-V132),"")</f>
        <v>0.280455508474576</v>
      </c>
      <c r="AB179" s="215">
        <f>IFERROR((AB173-W173)/(AB132-W132),"")</f>
        <v>0.265892291446674</v>
      </c>
      <c r="AC179" s="215">
        <f>IFERROR((AC173-X173)/(AC132-X132),"")</f>
        <v>0.285022574101943</v>
      </c>
      <c r="AD179" s="215">
        <f>IFERROR((AD173-Y173)/(AD132-Y132),"")</f>
        <v>0.272868907188961</v>
      </c>
      <c r="AE179" s="215">
        <f>IFERROR((AE173-Z173)/(AE132-Z132),"")</f>
        <v>0.199556541019956</v>
      </c>
      <c r="AF179" s="215">
        <f>IFERROR((AF173-AA173)/(AF132-AA132),"")</f>
        <v>0.378688216500658</v>
      </c>
      <c r="AG179" s="215">
        <f>IFERROR((AG173-AB173)/(AG132-AB132),"")</f>
        <v>0.163764179581403</v>
      </c>
      <c r="AH179" s="215">
        <f>IFERROR((AH173-AC173)/(AH132-AC132),"")</f>
        <v>0.25098382160035</v>
      </c>
      <c r="AI179" s="215">
        <f>IFERROR((AI173-AD173)/(AI132-AD132),"")</f>
        <v>0.0676985616010006</v>
      </c>
      <c r="AJ179" s="215">
        <f>IFERROR((AJ173-AE173)/(AJ132-AE132),"")</f>
        <v>0.151948247329622</v>
      </c>
      <c r="AK179" s="215">
        <f>IFERROR((AK173-AF173)/(AK132-AF132),"")</f>
        <v>0.0884718498659518</v>
      </c>
      <c r="AL179" s="215">
        <f>IFERROR((AL173-AG173)/(AL132-AG132),"")</f>
        <v>0.0775204947504674</v>
      </c>
      <c r="AM179" s="215">
        <f>IFERROR((AM173-AH173)/(AM132-AH132),"")</f>
        <v>0.0966723155137883</v>
      </c>
      <c r="AN179" s="215">
        <f>IFERROR((AN173-AI173)/(AN132-AI132),"")</f>
        <v>0.251107259772771</v>
      </c>
      <c r="AO179" s="215">
        <f>IFERROR((AO173-AJ173)/(AO132-AJ132),"")</f>
        <v>0.207094003499284</v>
      </c>
      <c r="AP179" s="215">
        <f>IFERROR((AP173-AK173)/(AP132-AK132),"")</f>
        <v>0.128273413226809</v>
      </c>
      <c r="AQ179" s="215">
        <f>IFERROR((AQ173-AL173)/(AQ132-AL132),"")</f>
        <v>0.156346521547286</v>
      </c>
      <c r="AR179" s="215">
        <f>IFERROR((AR173-AM173)/(AR132-AM132),"")</f>
        <v>0.181164629762761</v>
      </c>
      <c r="AS179" s="215">
        <f>IFERROR((AS173-AN173)/(AS132-AN132),"")</f>
        <v>-0.0680497925311203</v>
      </c>
      <c r="AT179" s="215">
        <f>IFERROR((AT173-AO173)/(AT132-AO132),"")</f>
        <v>4.32302936630603</v>
      </c>
      <c r="AU179" s="215">
        <f>IFERROR((AU173-AP173)/(AU132-AP132),"")</f>
        <v>0.358829749735636</v>
      </c>
      <c r="AV179" s="215">
        <f>IFERROR((AV173-AQ173)/(AV132-AQ132),"")</f>
        <v>0.589947334380486</v>
      </c>
      <c r="AW179" s="215">
        <f>IFERROR((AW173-AR173)/(AW132-AR132),"")</f>
        <v>0.256216739235607</v>
      </c>
      <c r="AX179" s="215">
        <f>IFERROR((AX173-AS173)/(AX132-AS132),"")</f>
        <v>0.597668668315083</v>
      </c>
      <c r="AY179" s="215">
        <f>IFERROR((AY173-AT173)/(AY132-AT132),"")</f>
        <v>0.550311665182547</v>
      </c>
      <c r="AZ179" s="215">
        <f>IFERROR((AZ173-AU173)/(AZ132-AU132),"")</f>
        <v>0.518237001847453</v>
      </c>
      <c r="BA179" s="215">
        <f>IFERROR((BA173-AV173)/(BA132-AV132),"")</f>
        <v>0.338307917729419</v>
      </c>
      <c r="BB179" s="215">
        <f>IFERROR((BB173-AW173)/(BB132-AW132),"")</f>
        <v>0.499134602582878</v>
      </c>
      <c r="BC179" s="215">
        <f>IFERROR((BC173-AX173)/(BC132-AX132),"")</f>
        <v>0.288020792313145</v>
      </c>
      <c r="BD179" s="215">
        <f>IFERROR((BD173-AY173)/(BD132-AY132),"")</f>
        <v>0.0117873158231903</v>
      </c>
      <c r="BE179" s="215">
        <f>IFERROR((BE173-AZ173)/(BE132-AZ132),"")</f>
        <v>-0.980372420734776</v>
      </c>
      <c r="BF179" s="215">
        <f>IFERROR((BF173-BA173)/(BF132-BA132),"")</f>
        <v>-5.1521438450899</v>
      </c>
      <c r="BG179" s="215">
        <f>IFERROR((BG173-BB173)/(BG132-BB132),"")</f>
        <v>-0.153656891146474</v>
      </c>
      <c r="BH179" s="215">
        <f>IFERROR((BH173-BC173)/(BH132-BC132),"")</f>
        <v>-0.0681306306306306</v>
      </c>
      <c r="BI179" s="215">
        <f>IFERROR((BI173-BD173)/(BI132-BD132),"")</f>
        <v>0.4848546452531</v>
      </c>
      <c r="BJ179" s="215">
        <f>IFERROR((BJ173-BE173)/(BJ132-BE132),"")</f>
        <v>0.553611366925405</v>
      </c>
      <c r="BK179" s="215">
        <f>IFERROR((BK173-BF173)/(BK132-BF132),"")</f>
        <v>0.53956343792633</v>
      </c>
      <c r="BL179" s="215">
        <f>IFERROR((BL173-BG173)/(BL132-BG132),"")</f>
        <v>0.48900561935011</v>
      </c>
      <c r="BM179" s="215">
        <f>IFERROR((BM173-BH173)/(BM132-BH132),"")</f>
        <v>0.578031994047619</v>
      </c>
      <c r="BN179" s="215">
        <f>IFERROR((BN173-BI173)/(BN132-BI132),"")</f>
        <v>0.551094890510949</v>
      </c>
      <c r="BO179" s="215">
        <f>IFERROR((BO173-BJ173)/(BO132-BJ132),"")</f>
        <v>0.620129589632829</v>
      </c>
      <c r="BP179" s="215">
        <f>IFERROR((BP173-BK173)/(BP132-BK132),"")</f>
        <v>0.716113790727434</v>
      </c>
      <c r="BQ179" s="215">
        <f>IFERROR((BQ173-BL173)/(BQ132-BL132),"")</f>
        <v>0.61596753003003</v>
      </c>
      <c r="BR179" s="215">
        <f>IFERROR((BR173-BM173)/(BR132-BM132),"")</f>
        <v>0.455698813821558</v>
      </c>
      <c r="BS179" s="215">
        <f>IFERROR((BS173-BN173)/(BS132-BN132),"")</f>
        <v>0.329111757658737</v>
      </c>
      <c r="BT179" s="215">
        <f>IFERROR((BT173-BO173)/(BT132-BO132),"")</f>
        <v>0.437846284983662</v>
      </c>
      <c r="BU179" s="215">
        <f>IFERROR((BU173-BP173)/(BU132-BP132),"")</f>
        <v>0.285829493087558</v>
      </c>
      <c r="BV179" s="215">
        <f>IFERROR((BV173-BQ173)/(BV132-BQ132),"")</f>
        <v>0.367109697451626</v>
      </c>
      <c r="BW179" s="215">
        <f>IFERROR((BW173-BR173)/(BW132-BR132),"")</f>
        <v>0.46231309124199</v>
      </c>
      <c r="BX179" s="215">
        <f>IFERROR((BX173-BS173)/(BX132-BS132),"")</f>
        <v>0.406496062992126</v>
      </c>
      <c r="BY179" s="256">
        <f>IFERROR((BY173-BT173)/(BY132-BT132),"")</f>
        <v>0.287849033669473</v>
      </c>
      <c r="BZ179" s="256">
        <f>IFERROR((BZ173-BU173)/(BZ132-BU132),"")</f>
        <v>0.531714703205054</v>
      </c>
      <c r="CA179" s="256">
        <f>IFERROR((CA173-BV173)/(CA132-BV132),"")</f>
        <v>0.42375476970112</v>
      </c>
      <c r="CB179" s="256">
        <f>IFERROR((CB173-CA173)/(CB132-CA132),"")</f>
        <v>0.25060261777963</v>
      </c>
      <c r="CC179" s="256">
        <f>IFERROR((CC173-CB173)/(CC132-CB132),"")</f>
        <v>0.206540719160988</v>
      </c>
      <c r="CD179" s="256">
        <f>IFERROR((CD173-CC173)/(CD132-CC132),"")</f>
        <v>0.256788421526755</v>
      </c>
      <c r="CE179" s="256">
        <f>IFERROR((CE173-CD173)/(CE132-CD132),"")</f>
        <v>0.255890787229056</v>
      </c>
      <c r="CF179" s="153" t="n"/>
    </row>
    <row r="180" ht="15" customHeight="1" s="251">
      <c r="CN180" s="11" t="n"/>
      <c r="CO180" s="12" t="n"/>
      <c r="CP180" s="12" t="n"/>
      <c r="CQ180" s="12" t="n"/>
      <c r="CR180" s="13" t="n"/>
    </row>
    <row r="181" ht="15" customHeight="1" s="251">
      <c r="B181" s="10" t="inlineStr">
        <is>
          <t>RECONCILIATION: NET INCOME → EBITDA → ADJUSTED EBITDA (model definitions; Alphabet publishes no EBITDA)</t>
        </is>
      </c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n"/>
      <c r="AN181" s="10" t="n"/>
      <c r="AO181" s="10" t="n"/>
      <c r="AP181" s="10" t="n"/>
      <c r="AQ181" s="10" t="n"/>
      <c r="AR181" s="10" t="n"/>
      <c r="AS181" s="10" t="n"/>
      <c r="AT181" s="10" t="n"/>
      <c r="AU181" s="10" t="n"/>
      <c r="AV181" s="10" t="n"/>
      <c r="AW181" s="10" t="n"/>
      <c r="AX181" s="10" t="n"/>
      <c r="AY181" s="10" t="n"/>
      <c r="AZ181" s="10" t="n"/>
      <c r="BA181" s="10" t="n"/>
      <c r="BB181" s="10" t="n"/>
      <c r="BC181" s="10" t="n"/>
      <c r="BD181" s="10" t="n"/>
      <c r="BE181" s="10" t="n"/>
      <c r="BF181" s="10" t="n"/>
      <c r="BG181" s="10" t="n"/>
      <c r="BH181" s="10" t="n"/>
      <c r="BI181" s="10" t="n"/>
      <c r="BJ181" s="10" t="n"/>
      <c r="BK181" s="10" t="n"/>
      <c r="BL181" s="10" t="n"/>
      <c r="BM181" s="10" t="n"/>
      <c r="BN181" s="10" t="n"/>
      <c r="BO181" s="10" t="n"/>
      <c r="BP181" s="10" t="n"/>
      <c r="BQ181" s="10" t="n"/>
      <c r="BR181" s="10" t="n"/>
      <c r="BS181" s="10" t="n"/>
      <c r="BT181" s="10" t="n"/>
      <c r="BU181" s="10" t="n"/>
      <c r="BV181" s="10" t="n"/>
      <c r="BW181" s="10" t="n"/>
      <c r="BX181" s="10" t="n"/>
      <c r="BY181" s="10" t="n"/>
      <c r="BZ181" s="10" t="n"/>
      <c r="CA181" s="10" t="n"/>
      <c r="CB181" s="10" t="n"/>
      <c r="CC181" s="10" t="n"/>
      <c r="CD181" s="10" t="n"/>
      <c r="CE181" s="10" t="n"/>
      <c r="CF181" s="10" t="inlineStr">
        <is>
          <t>EBITDA — model: net income − discontinued operations + taxes − other income (expense), net = operating income; + D&amp;A = EBITDA; + adjusting items = adjusted EBITDA</t>
        </is>
      </c>
    </row>
    <row r="182" ht="15" customHeight="1" s="251">
      <c r="B182" s="16" t="inlineStr">
        <is>
          <t>Net income (GAAP)</t>
        </is>
      </c>
      <c r="C182" s="261">
        <f>C149</f>
        <v>3077.446</v>
      </c>
      <c r="D182" s="261">
        <f>D149</f>
        <v>4203.72</v>
      </c>
      <c r="E182" s="261">
        <f>E149</f>
        <v>4226.858</v>
      </c>
      <c r="F182" s="261">
        <f>F149</f>
        <v>6520.448</v>
      </c>
      <c r="G182" s="261">
        <f>G149</f>
        <v>8505</v>
      </c>
      <c r="H182" s="261">
        <f>H149</f>
        <v>9737</v>
      </c>
      <c r="I182" s="261">
        <f>I149</f>
        <v>10737</v>
      </c>
      <c r="J182" s="261">
        <f>J149</f>
        <v>3346</v>
      </c>
      <c r="K182" s="261">
        <f>K149</f>
        <v>3228</v>
      </c>
      <c r="L182" s="261">
        <f>L149</f>
        <v>2970</v>
      </c>
      <c r="M182" s="261">
        <f>M149</f>
        <v>3376</v>
      </c>
      <c r="N182" s="261">
        <f>N149</f>
        <v>12920</v>
      </c>
      <c r="O182" s="261">
        <f>O149</f>
        <v>3452</v>
      </c>
      <c r="P182" s="261">
        <f>P149</f>
        <v>3422</v>
      </c>
      <c r="Q182" s="261">
        <f>Q149</f>
        <v>2813</v>
      </c>
      <c r="R182" s="261">
        <f>R149</f>
        <v>4757</v>
      </c>
      <c r="S182" s="261">
        <f>S149</f>
        <v>14444</v>
      </c>
      <c r="T182" s="261">
        <f>T149</f>
        <v>3586</v>
      </c>
      <c r="U182" s="261">
        <f>U149</f>
        <v>3931</v>
      </c>
      <c r="V182" s="261">
        <f>V149</f>
        <v>3979</v>
      </c>
      <c r="W182" s="261">
        <f>W149</f>
        <v>4923</v>
      </c>
      <c r="X182" s="261">
        <f>X149</f>
        <v>16348</v>
      </c>
      <c r="Y182" s="261">
        <f>Y149</f>
        <v>4207</v>
      </c>
      <c r="Z182" s="261">
        <f>Z149</f>
        <v>4877</v>
      </c>
      <c r="AA182" s="261">
        <f>AA149</f>
        <v>5061</v>
      </c>
      <c r="AB182" s="261">
        <f>AB149</f>
        <v>5333</v>
      </c>
      <c r="AC182" s="261">
        <f>AC149</f>
        <v>19478</v>
      </c>
      <c r="AD182" s="261">
        <f>AD149</f>
        <v>5426</v>
      </c>
      <c r="AE182" s="261">
        <f>AE149</f>
        <v>3524</v>
      </c>
      <c r="AF182" s="261">
        <f>AF149</f>
        <v>6732</v>
      </c>
      <c r="AG182" s="261">
        <f>AG149</f>
        <v>-3020</v>
      </c>
      <c r="AH182" s="261">
        <f>AH149</f>
        <v>12662</v>
      </c>
      <c r="AI182" s="261">
        <f>AI149</f>
        <v>9401</v>
      </c>
      <c r="AJ182" s="261">
        <f>AJ149</f>
        <v>3195</v>
      </c>
      <c r="AK182" s="261">
        <f>AK149</f>
        <v>9192</v>
      </c>
      <c r="AL182" s="261">
        <f>AL149</f>
        <v>8948</v>
      </c>
      <c r="AM182" s="261">
        <f>AM149</f>
        <v>30736</v>
      </c>
      <c r="AN182" s="261">
        <f>AN149</f>
        <v>6657</v>
      </c>
      <c r="AO182" s="261">
        <f>AO149</f>
        <v>9947</v>
      </c>
      <c r="AP182" s="261">
        <f>AP149</f>
        <v>7068</v>
      </c>
      <c r="AQ182" s="261">
        <f>AQ149</f>
        <v>10671</v>
      </c>
      <c r="AR182" s="261">
        <f>AR149</f>
        <v>34343</v>
      </c>
      <c r="AS182" s="261">
        <f>AS149</f>
        <v>6836</v>
      </c>
      <c r="AT182" s="261">
        <f>AT149</f>
        <v>6959</v>
      </c>
      <c r="AU182" s="261">
        <f>AU149</f>
        <v>11247</v>
      </c>
      <c r="AV182" s="261">
        <f>AV149</f>
        <v>15227</v>
      </c>
      <c r="AW182" s="261">
        <f>AW149</f>
        <v>40269</v>
      </c>
      <c r="AX182" s="261">
        <f>AX149</f>
        <v>17930</v>
      </c>
      <c r="AY182" s="261">
        <f>AY149</f>
        <v>18525</v>
      </c>
      <c r="AZ182" s="261">
        <f>AZ149</f>
        <v>18936</v>
      </c>
      <c r="BA182" s="261">
        <f>BA149</f>
        <v>20642</v>
      </c>
      <c r="BB182" s="261">
        <f>BB149</f>
        <v>76033</v>
      </c>
      <c r="BC182" s="261">
        <f>BC149</f>
        <v>16436</v>
      </c>
      <c r="BD182" s="261">
        <f>BD149</f>
        <v>16002</v>
      </c>
      <c r="BE182" s="261">
        <f>BE149</f>
        <v>13910</v>
      </c>
      <c r="BF182" s="261">
        <f>BF149</f>
        <v>13624</v>
      </c>
      <c r="BG182" s="261">
        <f>BG149</f>
        <v>59972</v>
      </c>
      <c r="BH182" s="261">
        <f>BH149</f>
        <v>15051</v>
      </c>
      <c r="BI182" s="261">
        <f>BI149</f>
        <v>18368</v>
      </c>
      <c r="BJ182" s="261">
        <f>BJ149</f>
        <v>19689</v>
      </c>
      <c r="BK182" s="261">
        <f>BK149</f>
        <v>20687</v>
      </c>
      <c r="BL182" s="261">
        <f>BL149</f>
        <v>73795</v>
      </c>
      <c r="BM182" s="261">
        <f>BM149</f>
        <v>23662</v>
      </c>
      <c r="BN182" s="261">
        <f>BN149</f>
        <v>23619</v>
      </c>
      <c r="BO182" s="261">
        <f>BO149</f>
        <v>26301</v>
      </c>
      <c r="BP182" s="261">
        <f>BP149</f>
        <v>26536</v>
      </c>
      <c r="BQ182" s="261">
        <f>BQ149</f>
        <v>100118</v>
      </c>
      <c r="BR182" s="261">
        <f>BR149</f>
        <v>34540</v>
      </c>
      <c r="BS182" s="261">
        <f>BS149</f>
        <v>28196</v>
      </c>
      <c r="BT182" s="261">
        <f>BT149</f>
        <v>34979</v>
      </c>
      <c r="BU182" s="261">
        <f>BU149</f>
        <v>34455</v>
      </c>
      <c r="BV182" s="261">
        <f>BV149</f>
        <v>132170</v>
      </c>
      <c r="BW182" s="261">
        <f>BW149</f>
        <v>62578</v>
      </c>
      <c r="BX182" s="261">
        <f>BX149</f>
        <v>112193</v>
      </c>
      <c r="BY182" s="262">
        <f>BY149</f>
        <v>34958.4031131426</v>
      </c>
      <c r="BZ182" s="262">
        <f>BZ149</f>
        <v>42263.992511503</v>
      </c>
      <c r="CA182" s="262">
        <f>CA149</f>
        <v>251993.395624646</v>
      </c>
      <c r="CB182" s="262">
        <f>CB149</f>
        <v>162952.157327398</v>
      </c>
      <c r="CC182" s="262">
        <f>CC149</f>
        <v>176055.03063457</v>
      </c>
      <c r="CD182" s="262">
        <f>CD149</f>
        <v>194039.034820097</v>
      </c>
      <c r="CE182" s="262">
        <f>CE149</f>
        <v>212409.076164546</v>
      </c>
      <c r="CF182" s="153" t="n"/>
    </row>
    <row r="183" ht="15" customHeight="1" s="251">
      <c r="B183" s="25" t="inlineStr">
        <is>
          <t xml:space="preserve">  (−) Net income from discontinued operations</t>
        </is>
      </c>
      <c r="C183" s="211">
        <f>-N(C148)</f>
        <v>0</v>
      </c>
      <c r="D183" s="211">
        <f>-N(D148)</f>
        <v>0</v>
      </c>
      <c r="E183" s="211">
        <f>-N(E148)</f>
        <v>0</v>
      </c>
      <c r="F183" s="211">
        <f>-N(F148)</f>
        <v>0</v>
      </c>
      <c r="G183" s="211">
        <f>-N(G148)</f>
        <v>0</v>
      </c>
      <c r="H183" s="211">
        <f>-N(H148)</f>
        <v>0</v>
      </c>
      <c r="I183" s="211">
        <f>-N(I148)</f>
        <v>51</v>
      </c>
      <c r="J183" s="211">
        <f>-N(J148)</f>
        <v>-22</v>
      </c>
      <c r="K183" s="211">
        <f>-N(K148)</f>
        <v>-674</v>
      </c>
      <c r="L183" s="211">
        <f>-N(L148)</f>
        <v>-15</v>
      </c>
      <c r="M183" s="211">
        <f>-N(M148)</f>
        <v>5</v>
      </c>
      <c r="N183" s="211">
        <f>-N(N148)</f>
        <v>-706</v>
      </c>
      <c r="O183" s="211">
        <f>-N(O148)</f>
        <v>198</v>
      </c>
      <c r="P183" s="211">
        <f>-N(P148)</f>
        <v>68</v>
      </c>
      <c r="Q183" s="211">
        <f>-N(Q148)</f>
        <v>185</v>
      </c>
      <c r="R183" s="211">
        <f>-N(R148)</f>
        <v>-967</v>
      </c>
      <c r="S183" s="211">
        <f>-N(S148)</f>
        <v>-516</v>
      </c>
      <c r="T183" s="211">
        <f>-N(T148)</f>
        <v>0</v>
      </c>
      <c r="U183" s="211">
        <f>-N(U148)</f>
        <v>0</v>
      </c>
      <c r="V183" s="211">
        <f>-N(V148)</f>
        <v>0</v>
      </c>
      <c r="W183" s="211">
        <f>-N(W148)</f>
        <v>0</v>
      </c>
      <c r="X183" s="211">
        <f>-N(X148)</f>
        <v>0</v>
      </c>
      <c r="Y183" s="211">
        <f>-N(Y148)</f>
        <v>0</v>
      </c>
      <c r="Z183" s="211">
        <f>-N(Z148)</f>
        <v>0</v>
      </c>
      <c r="AA183" s="211">
        <f>-N(AA148)</f>
        <v>0</v>
      </c>
      <c r="AB183" s="211">
        <f>-N(AB148)</f>
        <v>0</v>
      </c>
      <c r="AC183" s="211">
        <f>-N(AC148)</f>
        <v>0</v>
      </c>
      <c r="AD183" s="211">
        <f>-N(AD148)</f>
        <v>0</v>
      </c>
      <c r="AE183" s="211">
        <f>-N(AE148)</f>
        <v>0</v>
      </c>
      <c r="AF183" s="211">
        <f>-N(AF148)</f>
        <v>0</v>
      </c>
      <c r="AG183" s="211">
        <f>-N(AG148)</f>
        <v>0</v>
      </c>
      <c r="AH183" s="211">
        <f>-N(AH148)</f>
        <v>0</v>
      </c>
      <c r="AI183" s="211">
        <f>-N(AI148)</f>
        <v>0</v>
      </c>
      <c r="AJ183" s="211">
        <f>-N(AJ148)</f>
        <v>0</v>
      </c>
      <c r="AK183" s="211">
        <f>-N(AK148)</f>
        <v>0</v>
      </c>
      <c r="AL183" s="211">
        <f>-N(AL148)</f>
        <v>0</v>
      </c>
      <c r="AM183" s="211">
        <f>-N(AM148)</f>
        <v>0</v>
      </c>
      <c r="AN183" s="211">
        <f>-N(AN148)</f>
        <v>0</v>
      </c>
      <c r="AO183" s="211">
        <f>-N(AO148)</f>
        <v>0</v>
      </c>
      <c r="AP183" s="211">
        <f>-N(AP148)</f>
        <v>0</v>
      </c>
      <c r="AQ183" s="211">
        <f>-N(AQ148)</f>
        <v>0</v>
      </c>
      <c r="AR183" s="211">
        <f>-N(AR148)</f>
        <v>0</v>
      </c>
      <c r="AS183" s="211">
        <f>-N(AS148)</f>
        <v>0</v>
      </c>
      <c r="AT183" s="211">
        <f>-N(AT148)</f>
        <v>0</v>
      </c>
      <c r="AU183" s="211">
        <f>-N(AU148)</f>
        <v>0</v>
      </c>
      <c r="AV183" s="211">
        <f>-N(AV148)</f>
        <v>0</v>
      </c>
      <c r="AW183" s="211">
        <f>-N(AW148)</f>
        <v>0</v>
      </c>
      <c r="AX183" s="211">
        <f>-N(AX148)</f>
        <v>0</v>
      </c>
      <c r="AY183" s="211">
        <f>-N(AY148)</f>
        <v>0</v>
      </c>
      <c r="AZ183" s="211">
        <f>-N(AZ148)</f>
        <v>0</v>
      </c>
      <c r="BA183" s="211">
        <f>-N(BA148)</f>
        <v>0</v>
      </c>
      <c r="BB183" s="211">
        <f>-N(BB148)</f>
        <v>0</v>
      </c>
      <c r="BC183" s="211">
        <f>-N(BC148)</f>
        <v>0</v>
      </c>
      <c r="BD183" s="211">
        <f>-N(BD148)</f>
        <v>0</v>
      </c>
      <c r="BE183" s="211">
        <f>-N(BE148)</f>
        <v>0</v>
      </c>
      <c r="BF183" s="211">
        <f>-N(BF148)</f>
        <v>0</v>
      </c>
      <c r="BG183" s="211">
        <f>-N(BG148)</f>
        <v>0</v>
      </c>
      <c r="BH183" s="211">
        <f>-N(BH148)</f>
        <v>0</v>
      </c>
      <c r="BI183" s="211">
        <f>-N(BI148)</f>
        <v>0</v>
      </c>
      <c r="BJ183" s="211">
        <f>-N(BJ148)</f>
        <v>0</v>
      </c>
      <c r="BK183" s="211">
        <f>-N(BK148)</f>
        <v>0</v>
      </c>
      <c r="BL183" s="211">
        <f>-N(BL148)</f>
        <v>0</v>
      </c>
      <c r="BM183" s="211">
        <f>-N(BM148)</f>
        <v>0</v>
      </c>
      <c r="BN183" s="211">
        <f>-N(BN148)</f>
        <v>0</v>
      </c>
      <c r="BO183" s="211">
        <f>-N(BO148)</f>
        <v>0</v>
      </c>
      <c r="BP183" s="211">
        <f>-N(BP148)</f>
        <v>0</v>
      </c>
      <c r="BQ183" s="211">
        <f>-N(BQ148)</f>
        <v>0</v>
      </c>
      <c r="BR183" s="211">
        <f>-N(BR148)</f>
        <v>0</v>
      </c>
      <c r="BS183" s="211">
        <f>-N(BS148)</f>
        <v>0</v>
      </c>
      <c r="BT183" s="211">
        <f>-N(BT148)</f>
        <v>0</v>
      </c>
      <c r="BU183" s="211">
        <f>-N(BU148)</f>
        <v>0</v>
      </c>
      <c r="BV183" s="211">
        <f>-N(BV148)</f>
        <v>0</v>
      </c>
      <c r="BW183" s="211">
        <f>-N(BW148)</f>
        <v>0</v>
      </c>
      <c r="BX183" s="211">
        <f>-N(BX148)</f>
        <v>0</v>
      </c>
      <c r="BY183" s="254">
        <f>-N(BY148)</f>
        <v>0</v>
      </c>
      <c r="BZ183" s="254">
        <f>-N(BZ148)</f>
        <v>0</v>
      </c>
      <c r="CA183" s="254">
        <f>-N(CA148)</f>
        <v>0</v>
      </c>
      <c r="CB183" s="254">
        <f>-N(CB148)</f>
        <v>0</v>
      </c>
      <c r="CC183" s="254">
        <f>-N(CC148)</f>
        <v>0</v>
      </c>
      <c r="CD183" s="254">
        <f>-N(CD148)</f>
        <v>0</v>
      </c>
      <c r="CE183" s="254">
        <f>-N(CE148)</f>
        <v>0</v>
      </c>
      <c r="CF183" s="19" t="n"/>
    </row>
    <row r="184" ht="15" customHeight="1" s="251">
      <c r="B184" s="25" t="inlineStr">
        <is>
          <t xml:space="preserve">  (+) Provision for income taxes</t>
        </is>
      </c>
      <c r="C184" s="211">
        <f>C146</f>
        <v>933.594</v>
      </c>
      <c r="D184" s="211">
        <f>D146</f>
        <v>1470.26</v>
      </c>
      <c r="E184" s="211">
        <f>E146</f>
        <v>1626.738</v>
      </c>
      <c r="F184" s="211">
        <f>F146</f>
        <v>1860.741</v>
      </c>
      <c r="G184" s="211">
        <f>G146</f>
        <v>2291</v>
      </c>
      <c r="H184" s="211">
        <f>H146</f>
        <v>2589</v>
      </c>
      <c r="I184" s="211">
        <f>I146</f>
        <v>2598</v>
      </c>
      <c r="J184" s="211">
        <f>J146</f>
        <v>287</v>
      </c>
      <c r="K184" s="211">
        <f>K146</f>
        <v>816</v>
      </c>
      <c r="L184" s="211">
        <f>L146</f>
        <v>513</v>
      </c>
      <c r="M184" s="211">
        <f>M146</f>
        <v>666</v>
      </c>
      <c r="N184" s="211">
        <f>N146</f>
        <v>2282</v>
      </c>
      <c r="O184" s="211">
        <f>O146</f>
        <v>822</v>
      </c>
      <c r="P184" s="211">
        <f>P146</f>
        <v>913</v>
      </c>
      <c r="Q184" s="211">
        <f>Q146</f>
        <v>859</v>
      </c>
      <c r="R184" s="211">
        <f>R146</f>
        <v>737</v>
      </c>
      <c r="S184" s="211">
        <f>S146</f>
        <v>3331</v>
      </c>
      <c r="T184" s="211">
        <f>T146</f>
        <v>1018</v>
      </c>
      <c r="U184" s="211">
        <f>U146</f>
        <v>1025</v>
      </c>
      <c r="V184" s="211">
        <f>V146</f>
        <v>912</v>
      </c>
      <c r="W184" s="211">
        <f>W146</f>
        <v>277</v>
      </c>
      <c r="X184" s="211">
        <f>X146</f>
        <v>3303</v>
      </c>
      <c r="Y184" s="211">
        <f>Y146</f>
        <v>922</v>
      </c>
      <c r="Z184" s="211">
        <f>Z146</f>
        <v>1242</v>
      </c>
      <c r="AA184" s="211">
        <f>AA146</f>
        <v>984</v>
      </c>
      <c r="AB184" s="211">
        <f>AB146</f>
        <v>1524</v>
      </c>
      <c r="AC184" s="211">
        <f>AC146</f>
        <v>4672</v>
      </c>
      <c r="AD184" s="211">
        <f>AD146</f>
        <v>1393</v>
      </c>
      <c r="AE184" s="211">
        <f>AE146</f>
        <v>853</v>
      </c>
      <c r="AF184" s="211">
        <f>AF146</f>
        <v>1247</v>
      </c>
      <c r="AG184" s="211">
        <f>AG146</f>
        <v>11038</v>
      </c>
      <c r="AH184" s="211">
        <f>AH146</f>
        <v>14531</v>
      </c>
      <c r="AI184" s="211">
        <f>AI146</f>
        <v>1142</v>
      </c>
      <c r="AJ184" s="211">
        <f>AJ146</f>
        <v>1020</v>
      </c>
      <c r="AK184" s="211">
        <f>AK146</f>
        <v>891</v>
      </c>
      <c r="AL184" s="211">
        <f>AL146</f>
        <v>1124</v>
      </c>
      <c r="AM184" s="211">
        <f>AM146</f>
        <v>4177</v>
      </c>
      <c r="AN184" s="211">
        <f>AN146</f>
        <v>1489</v>
      </c>
      <c r="AO184" s="211">
        <f>AO146</f>
        <v>2200</v>
      </c>
      <c r="AP184" s="211">
        <f>AP146</f>
        <v>1560</v>
      </c>
      <c r="AQ184" s="211">
        <f>AQ146</f>
        <v>33</v>
      </c>
      <c r="AR184" s="211">
        <f>AR146</f>
        <v>5282</v>
      </c>
      <c r="AS184" s="211">
        <f>AS146</f>
        <v>921</v>
      </c>
      <c r="AT184" s="211">
        <f>AT146</f>
        <v>1318</v>
      </c>
      <c r="AU184" s="211">
        <f>AU146</f>
        <v>2112</v>
      </c>
      <c r="AV184" s="211">
        <f>AV146</f>
        <v>3462</v>
      </c>
      <c r="AW184" s="211">
        <f>AW146</f>
        <v>7813</v>
      </c>
      <c r="AX184" s="211">
        <f>AX146</f>
        <v>3353</v>
      </c>
      <c r="AY184" s="211">
        <f>AY146</f>
        <v>3460</v>
      </c>
      <c r="AZ184" s="211">
        <f>AZ146</f>
        <v>4128</v>
      </c>
      <c r="BA184" s="211">
        <f>BA146</f>
        <v>3760</v>
      </c>
      <c r="BB184" s="211">
        <f>BB146</f>
        <v>14701</v>
      </c>
      <c r="BC184" s="211">
        <f>BC146</f>
        <v>2498</v>
      </c>
      <c r="BD184" s="211">
        <f>BD146</f>
        <v>3012</v>
      </c>
      <c r="BE184" s="211">
        <f>BE146</f>
        <v>2323</v>
      </c>
      <c r="BF184" s="211">
        <f>BF146</f>
        <v>3523</v>
      </c>
      <c r="BG184" s="211">
        <f>BG146</f>
        <v>11356</v>
      </c>
      <c r="BH184" s="211">
        <f>BH146</f>
        <v>3154</v>
      </c>
      <c r="BI184" s="211">
        <f>BI146</f>
        <v>3535</v>
      </c>
      <c r="BJ184" s="211">
        <f>BJ146</f>
        <v>1508</v>
      </c>
      <c r="BK184" s="211">
        <f>BK146</f>
        <v>3725</v>
      </c>
      <c r="BL184" s="211">
        <f>BL146</f>
        <v>11922</v>
      </c>
      <c r="BM184" s="211">
        <f>BM146</f>
        <v>4653</v>
      </c>
      <c r="BN184" s="211">
        <f>BN146</f>
        <v>3932</v>
      </c>
      <c r="BO184" s="211">
        <f>BO146</f>
        <v>5405</v>
      </c>
      <c r="BP184" s="211">
        <f>BP146</f>
        <v>5707</v>
      </c>
      <c r="BQ184" s="211">
        <f>BQ146</f>
        <v>19697</v>
      </c>
      <c r="BR184" s="211">
        <f>BR146</f>
        <v>7249</v>
      </c>
      <c r="BS184" s="211">
        <f>BS146</f>
        <v>5737</v>
      </c>
      <c r="BT184" s="211">
        <f>BT146</f>
        <v>9008</v>
      </c>
      <c r="BU184" s="211">
        <f>BU146</f>
        <v>4662</v>
      </c>
      <c r="BV184" s="211">
        <f>BV146</f>
        <v>26656</v>
      </c>
      <c r="BW184" s="211">
        <f>BW146</f>
        <v>14834</v>
      </c>
      <c r="BX184" s="211">
        <f>BX146</f>
        <v>26560</v>
      </c>
      <c r="BY184" s="254">
        <f>BY146</f>
        <v>7673.79580532399</v>
      </c>
      <c r="BZ184" s="254">
        <f>BZ146</f>
        <v>9277.46177081772</v>
      </c>
      <c r="CA184" s="254">
        <f>CA146</f>
        <v>58345.2575761417</v>
      </c>
      <c r="CB184" s="254">
        <f>CB146</f>
        <v>34565.6091300541</v>
      </c>
      <c r="CC184" s="254">
        <f>CC146</f>
        <v>37345.0064982422</v>
      </c>
      <c r="CD184" s="254">
        <f>CD146</f>
        <v>41159.7952648691</v>
      </c>
      <c r="CE184" s="254">
        <f>CE146</f>
        <v>45056.4707015704</v>
      </c>
      <c r="CF184" s="19" t="n"/>
    </row>
    <row r="185" ht="15" customHeight="1" s="251">
      <c r="B185" s="25" t="inlineStr">
        <is>
          <t xml:space="preserve">  (−) Other income (expense), net (incl. equity-security gains)</t>
        </is>
      </c>
      <c r="C185" s="211">
        <f>-C144</f>
        <v>-461.044</v>
      </c>
      <c r="D185" s="211">
        <f>-D144</f>
        <v>-589.58</v>
      </c>
      <c r="E185" s="211">
        <f>-E144</f>
        <v>778.373</v>
      </c>
      <c r="F185" s="211">
        <f>-F144</f>
        <v>-69.003</v>
      </c>
      <c r="G185" s="211">
        <f>-G144</f>
        <v>-415</v>
      </c>
      <c r="H185" s="211">
        <f>-H144</f>
        <v>-584</v>
      </c>
      <c r="I185" s="211">
        <f>-I144</f>
        <v>-626</v>
      </c>
      <c r="J185" s="211">
        <f>-J144</f>
        <v>-134</v>
      </c>
      <c r="K185" s="211">
        <f>-K144</f>
        <v>-247</v>
      </c>
      <c r="L185" s="211">
        <f>-L144</f>
        <v>-24</v>
      </c>
      <c r="M185" s="211">
        <f>-M144</f>
        <v>-125</v>
      </c>
      <c r="N185" s="211">
        <f>-N144</f>
        <v>-530</v>
      </c>
      <c r="O185" s="211">
        <f>-O144</f>
        <v>-357</v>
      </c>
      <c r="P185" s="211">
        <f>-P144</f>
        <v>-145</v>
      </c>
      <c r="Q185" s="211">
        <f>-Q144</f>
        <v>-133</v>
      </c>
      <c r="R185" s="211">
        <f>-R144</f>
        <v>-128</v>
      </c>
      <c r="S185" s="211">
        <f>-S144</f>
        <v>-763</v>
      </c>
      <c r="T185" s="211">
        <f>-T144</f>
        <v>-157</v>
      </c>
      <c r="U185" s="211">
        <f>-U144</f>
        <v>-131</v>
      </c>
      <c r="V185" s="211">
        <f>-V144</f>
        <v>-183</v>
      </c>
      <c r="W185" s="211">
        <f>-W144</f>
        <v>180</v>
      </c>
      <c r="X185" s="211">
        <f>-X144</f>
        <v>-291</v>
      </c>
      <c r="Y185" s="211">
        <f>-Y144</f>
        <v>213</v>
      </c>
      <c r="Z185" s="211">
        <f>-Z144</f>
        <v>-151</v>
      </c>
      <c r="AA185" s="211">
        <f>-AA144</f>
        <v>-278</v>
      </c>
      <c r="AB185" s="211">
        <f>-AB144</f>
        <v>-218</v>
      </c>
      <c r="AC185" s="211">
        <f>-AC144</f>
        <v>-434</v>
      </c>
      <c r="AD185" s="211">
        <f>-AD144</f>
        <v>-251</v>
      </c>
      <c r="AE185" s="211">
        <f>-AE144</f>
        <v>-245</v>
      </c>
      <c r="AF185" s="211">
        <f>-AF144</f>
        <v>-197</v>
      </c>
      <c r="AG185" s="211">
        <f>-AG144</f>
        <v>-354</v>
      </c>
      <c r="AH185" s="211">
        <f>-AH144</f>
        <v>-1047</v>
      </c>
      <c r="AI185" s="211">
        <f>-AI144</f>
        <v>-3542</v>
      </c>
      <c r="AJ185" s="211">
        <f>-AJ144</f>
        <v>-1408</v>
      </c>
      <c r="AK185" s="211">
        <f>-AK144</f>
        <v>-1773</v>
      </c>
      <c r="AL185" s="211">
        <f>-AL144</f>
        <v>-1869</v>
      </c>
      <c r="AM185" s="211">
        <f>-AM144</f>
        <v>-8592</v>
      </c>
      <c r="AN185" s="211">
        <f>-AN144</f>
        <v>-1538</v>
      </c>
      <c r="AO185" s="211">
        <f>-AO144</f>
        <v>-2967</v>
      </c>
      <c r="AP185" s="211">
        <f>-AP144</f>
        <v>549</v>
      </c>
      <c r="AQ185" s="211">
        <f>-AQ144</f>
        <v>-1438</v>
      </c>
      <c r="AR185" s="211">
        <f>-AR144</f>
        <v>-5394</v>
      </c>
      <c r="AS185" s="211">
        <f>-AS144</f>
        <v>220</v>
      </c>
      <c r="AT185" s="211">
        <f>-AT144</f>
        <v>-1894</v>
      </c>
      <c r="AU185" s="211">
        <f>-AU144</f>
        <v>-2146</v>
      </c>
      <c r="AV185" s="211">
        <f>-AV144</f>
        <v>-3038</v>
      </c>
      <c r="AW185" s="211">
        <f>-AW144</f>
        <v>-6858</v>
      </c>
      <c r="AX185" s="211">
        <f>-AX144</f>
        <v>-4846</v>
      </c>
      <c r="AY185" s="211">
        <f>-AY144</f>
        <v>-2624</v>
      </c>
      <c r="AZ185" s="211">
        <f>-AZ144</f>
        <v>-2033</v>
      </c>
      <c r="BA185" s="211">
        <f>-BA144</f>
        <v>-2517</v>
      </c>
      <c r="BB185" s="211">
        <f>-BB144</f>
        <v>-12020</v>
      </c>
      <c r="BC185" s="211">
        <f>-BC144</f>
        <v>1160</v>
      </c>
      <c r="BD185" s="211">
        <f>-BD144</f>
        <v>439</v>
      </c>
      <c r="BE185" s="211">
        <f>-BE144</f>
        <v>902</v>
      </c>
      <c r="BF185" s="211">
        <f>-BF144</f>
        <v>1013</v>
      </c>
      <c r="BG185" s="211">
        <f>-BG144</f>
        <v>3514</v>
      </c>
      <c r="BH185" s="211">
        <f>-BH144</f>
        <v>-790</v>
      </c>
      <c r="BI185" s="211">
        <f>-BI144</f>
        <v>-65</v>
      </c>
      <c r="BJ185" s="211">
        <f>-BJ144</f>
        <v>146</v>
      </c>
      <c r="BK185" s="211">
        <f>-BK144</f>
        <v>-715</v>
      </c>
      <c r="BL185" s="211">
        <f>-BL144</f>
        <v>-1424</v>
      </c>
      <c r="BM185" s="211">
        <f>-BM144</f>
        <v>-2843</v>
      </c>
      <c r="BN185" s="211">
        <f>-BN144</f>
        <v>-126</v>
      </c>
      <c r="BO185" s="211">
        <f>-BO144</f>
        <v>-3185</v>
      </c>
      <c r="BP185" s="211">
        <f>-BP144</f>
        <v>-1271</v>
      </c>
      <c r="BQ185" s="211">
        <f>-BQ144</f>
        <v>-7425</v>
      </c>
      <c r="BR185" s="211">
        <f>-BR144</f>
        <v>-11183</v>
      </c>
      <c r="BS185" s="211">
        <f>-BS144</f>
        <v>-2662</v>
      </c>
      <c r="BT185" s="211">
        <f>-BT144</f>
        <v>-12759</v>
      </c>
      <c r="BU185" s="211">
        <f>-BU144</f>
        <v>-3183</v>
      </c>
      <c r="BV185" s="211">
        <f>-BV144</f>
        <v>-29787</v>
      </c>
      <c r="BW185" s="211">
        <f>-BW144</f>
        <v>-37716</v>
      </c>
      <c r="BX185" s="211">
        <f>-BX144</f>
        <v>-97983</v>
      </c>
      <c r="BY185" s="254">
        <f>-BY144</f>
        <v>-850.4105</v>
      </c>
      <c r="BZ185" s="254">
        <f>-BZ144</f>
        <v>-850.4105</v>
      </c>
      <c r="CA185" s="254">
        <f>-CA144</f>
        <v>-137399.821</v>
      </c>
      <c r="CB185" s="254">
        <f>-CB144</f>
        <v>-2874.52637252054</v>
      </c>
      <c r="CC185" s="254">
        <f>-CC144</f>
        <v>-978.156932012573</v>
      </c>
      <c r="CD185" s="254">
        <f>-CD144</f>
        <v>-424.208670069707</v>
      </c>
      <c r="CE185" s="254">
        <f>-CE144</f>
        <v>-748.496856726458</v>
      </c>
      <c r="CF185" s="19" t="n"/>
    </row>
    <row r="186" ht="15" customHeight="1" s="251">
      <c r="B186" s="16" t="inlineStr">
        <is>
          <t xml:space="preserve">  = Income from operations (EBIT, model definition)</t>
        </is>
      </c>
      <c r="C186" s="261">
        <f>IF(ISNUMBER(C182),C182+C183+C184+C185,"")</f>
        <v>3549.996</v>
      </c>
      <c r="D186" s="261">
        <f>IF(ISNUMBER(D182),D182+D183+D184+D185,"")</f>
        <v>5084.4</v>
      </c>
      <c r="E186" s="261">
        <f>IF(ISNUMBER(E182),E182+E183+E184+E185,"")</f>
        <v>6631.969</v>
      </c>
      <c r="F186" s="261">
        <f>IF(ISNUMBER(F182),F182+F183+F184+F185,"")</f>
        <v>8312.186</v>
      </c>
      <c r="G186" s="261">
        <f>IF(ISNUMBER(G182),G182+G183+G184+G185,"")</f>
        <v>10381</v>
      </c>
      <c r="H186" s="261">
        <f>IF(ISNUMBER(H182),H182+H183+H184+H185,"")</f>
        <v>11742</v>
      </c>
      <c r="I186" s="261">
        <f>IF(ISNUMBER(I182),I182+I183+I184+I185,"")</f>
        <v>12760</v>
      </c>
      <c r="J186" s="261">
        <f>IF(ISNUMBER(J182),J182+J183+J184+J185,"")</f>
        <v>3477</v>
      </c>
      <c r="K186" s="261">
        <f>IF(ISNUMBER(K182),K182+K183+K184+K185,"")</f>
        <v>3123</v>
      </c>
      <c r="L186" s="261">
        <f>IF(ISNUMBER(L182),L182+L183+L184+L185,"")</f>
        <v>3444</v>
      </c>
      <c r="M186" s="261">
        <f>IF(ISNUMBER(M182),M182+M183+M184+M185,"")</f>
        <v>3922</v>
      </c>
      <c r="N186" s="261">
        <f>IF(ISNUMBER(N182),N182+N183+N184+N185,"")</f>
        <v>13966</v>
      </c>
      <c r="O186" s="261">
        <f>IF(ISNUMBER(O182),O182+O183+O184+O185,"")</f>
        <v>4115</v>
      </c>
      <c r="P186" s="261">
        <f>IF(ISNUMBER(P182),P182+P183+P184+P185,"")</f>
        <v>4258</v>
      </c>
      <c r="Q186" s="261">
        <f>IF(ISNUMBER(Q182),Q182+Q183+Q184+Q185,"")</f>
        <v>3724</v>
      </c>
      <c r="R186" s="261">
        <f>IF(ISNUMBER(R182),R182+R183+R184+R185,"")</f>
        <v>4399</v>
      </c>
      <c r="S186" s="261">
        <f>IF(ISNUMBER(S182),S182+S183+S184+S185,"")</f>
        <v>16496</v>
      </c>
      <c r="T186" s="261">
        <f>IF(ISNUMBER(T182),T182+T183+T184+T185,"")</f>
        <v>4447</v>
      </c>
      <c r="U186" s="261">
        <f>IF(ISNUMBER(U182),U182+U183+U184+U185,"")</f>
        <v>4825</v>
      </c>
      <c r="V186" s="261">
        <f>IF(ISNUMBER(V182),V182+V183+V184+V185,"")</f>
        <v>4708</v>
      </c>
      <c r="W186" s="261">
        <f>IF(ISNUMBER(W182),W182+W183+W184+W185,"")</f>
        <v>5380</v>
      </c>
      <c r="X186" s="261">
        <f>IF(ISNUMBER(X182),X182+X183+X184+X185,"")</f>
        <v>19360</v>
      </c>
      <c r="Y186" s="261">
        <f>IF(ISNUMBER(Y182),Y182+Y183+Y184+Y185,"")</f>
        <v>5342</v>
      </c>
      <c r="Z186" s="261">
        <f>IF(ISNUMBER(Z182),Z182+Z183+Z184+Z185,"")</f>
        <v>5968</v>
      </c>
      <c r="AA186" s="261">
        <f>IF(ISNUMBER(AA182),AA182+AA183+AA184+AA185,"")</f>
        <v>5767</v>
      </c>
      <c r="AB186" s="261">
        <f>IF(ISNUMBER(AB182),AB182+AB183+AB184+AB185,"")</f>
        <v>6639</v>
      </c>
      <c r="AC186" s="261">
        <f>IF(ISNUMBER(AC182),AC182+AC183+AC184+AC185,"")</f>
        <v>23716</v>
      </c>
      <c r="AD186" s="261">
        <f>IF(ISNUMBER(AD182),AD182+AD183+AD184+AD185,"")</f>
        <v>6568</v>
      </c>
      <c r="AE186" s="261">
        <f>IF(ISNUMBER(AE182),AE182+AE183+AE184+AE185,"")</f>
        <v>4132</v>
      </c>
      <c r="AF186" s="261">
        <f>IF(ISNUMBER(AF182),AF182+AF183+AF184+AF185,"")</f>
        <v>7782</v>
      </c>
      <c r="AG186" s="261">
        <f>IF(ISNUMBER(AG182),AG182+AG183+AG184+AG185,"")</f>
        <v>7664</v>
      </c>
      <c r="AH186" s="261">
        <f>IF(ISNUMBER(AH182),AH182+AH183+AH184+AH185,"")</f>
        <v>26146</v>
      </c>
      <c r="AI186" s="261">
        <f>IF(ISNUMBER(AI182),AI182+AI183+AI184+AI185,"")</f>
        <v>7001</v>
      </c>
      <c r="AJ186" s="261">
        <f>IF(ISNUMBER(AJ182),AJ182+AJ183+AJ184+AJ185,"")</f>
        <v>2807</v>
      </c>
      <c r="AK186" s="261">
        <f>IF(ISNUMBER(AK182),AK182+AK183+AK184+AK185,"")</f>
        <v>8310</v>
      </c>
      <c r="AL186" s="261">
        <f>IF(ISNUMBER(AL182),AL182+AL183+AL184+AL185,"")</f>
        <v>8203</v>
      </c>
      <c r="AM186" s="261">
        <f>IF(ISNUMBER(AM182),AM182+AM183+AM184+AM185,"")</f>
        <v>26321</v>
      </c>
      <c r="AN186" s="261">
        <f>IF(ISNUMBER(AN182),AN182+AN183+AN184+AN185,"")</f>
        <v>6608</v>
      </c>
      <c r="AO186" s="261">
        <f>IF(ISNUMBER(AO182),AO182+AO183+AO184+AO185,"")</f>
        <v>9180</v>
      </c>
      <c r="AP186" s="261">
        <f>IF(ISNUMBER(AP182),AP182+AP183+AP184+AP185,"")</f>
        <v>9177</v>
      </c>
      <c r="AQ186" s="261">
        <f>IF(ISNUMBER(AQ182),AQ182+AQ183+AQ184+AQ185,"")</f>
        <v>9266</v>
      </c>
      <c r="AR186" s="261">
        <f>IF(ISNUMBER(AR182),AR182+AR183+AR184+AR185,"")</f>
        <v>34231</v>
      </c>
      <c r="AS186" s="261">
        <f>IF(ISNUMBER(AS182),AS182+AS183+AS184+AS185,"")</f>
        <v>7977</v>
      </c>
      <c r="AT186" s="261">
        <f>IF(ISNUMBER(AT182),AT182+AT183+AT184+AT185,"")</f>
        <v>6383</v>
      </c>
      <c r="AU186" s="261">
        <f>IF(ISNUMBER(AU182),AU182+AU183+AU184+AU185,"")</f>
        <v>11213</v>
      </c>
      <c r="AV186" s="261">
        <f>IF(ISNUMBER(AV182),AV182+AV183+AV184+AV185,"")</f>
        <v>15651</v>
      </c>
      <c r="AW186" s="261">
        <f>IF(ISNUMBER(AW182),AW182+AW183+AW184+AW185,"")</f>
        <v>41224</v>
      </c>
      <c r="AX186" s="261">
        <f>IF(ISNUMBER(AX182),AX182+AX183+AX184+AX185,"")</f>
        <v>16437</v>
      </c>
      <c r="AY186" s="261">
        <f>IF(ISNUMBER(AY182),AY182+AY183+AY184+AY185,"")</f>
        <v>19361</v>
      </c>
      <c r="AZ186" s="261">
        <f>IF(ISNUMBER(AZ182),AZ182+AZ183+AZ184+AZ185,"")</f>
        <v>21031</v>
      </c>
      <c r="BA186" s="261">
        <f>IF(ISNUMBER(BA182),BA182+BA183+BA184+BA185,"")</f>
        <v>21885</v>
      </c>
      <c r="BB186" s="261">
        <f>IF(ISNUMBER(BB182),BB182+BB183+BB184+BB185,"")</f>
        <v>78714</v>
      </c>
      <c r="BC186" s="261">
        <f>IF(ISNUMBER(BC182),BC182+BC183+BC184+BC185,"")</f>
        <v>20094</v>
      </c>
      <c r="BD186" s="261">
        <f>IF(ISNUMBER(BD182),BD182+BD183+BD184+BD185,"")</f>
        <v>19453</v>
      </c>
      <c r="BE186" s="261">
        <f>IF(ISNUMBER(BE182),BE182+BE183+BE184+BE185,"")</f>
        <v>17135</v>
      </c>
      <c r="BF186" s="261">
        <f>IF(ISNUMBER(BF182),BF182+BF183+BF184+BF185,"")</f>
        <v>18160</v>
      </c>
      <c r="BG186" s="261">
        <f>IF(ISNUMBER(BG182),BG182+BG183+BG184+BG185,"")</f>
        <v>74842</v>
      </c>
      <c r="BH186" s="261">
        <f>IF(ISNUMBER(BH182),BH182+BH183+BH184+BH185,"")</f>
        <v>17415</v>
      </c>
      <c r="BI186" s="261">
        <f>IF(ISNUMBER(BI182),BI182+BI183+BI184+BI185,"")</f>
        <v>21838</v>
      </c>
      <c r="BJ186" s="261">
        <f>IF(ISNUMBER(BJ182),BJ182+BJ183+BJ184+BJ185,"")</f>
        <v>21343</v>
      </c>
      <c r="BK186" s="261">
        <f>IF(ISNUMBER(BK182),BK182+BK183+BK184+BK185,"")</f>
        <v>23697</v>
      </c>
      <c r="BL186" s="261">
        <f>IF(ISNUMBER(BL182),BL182+BL183+BL184+BL185,"")</f>
        <v>84293</v>
      </c>
      <c r="BM186" s="261">
        <f>IF(ISNUMBER(BM182),BM182+BM183+BM184+BM185,"")</f>
        <v>25472</v>
      </c>
      <c r="BN186" s="261">
        <f>IF(ISNUMBER(BN182),BN182+BN183+BN184+BN185,"")</f>
        <v>27425</v>
      </c>
      <c r="BO186" s="261">
        <f>IF(ISNUMBER(BO182),BO182+BO183+BO184+BO185,"")</f>
        <v>28521</v>
      </c>
      <c r="BP186" s="261">
        <f>IF(ISNUMBER(BP182),BP182+BP183+BP184+BP185,"")</f>
        <v>30972</v>
      </c>
      <c r="BQ186" s="261">
        <f>IF(ISNUMBER(BQ182),BQ182+BQ183+BQ184+BQ185,"")</f>
        <v>112390</v>
      </c>
      <c r="BR186" s="261">
        <f>IF(ISNUMBER(BR182),BR182+BR183+BR184+BR185,"")</f>
        <v>30606</v>
      </c>
      <c r="BS186" s="261">
        <f>IF(ISNUMBER(BS182),BS182+BS183+BS184+BS185,"")</f>
        <v>31271</v>
      </c>
      <c r="BT186" s="261">
        <f>IF(ISNUMBER(BT182),BT182+BT183+BT184+BT185,"")</f>
        <v>31228</v>
      </c>
      <c r="BU186" s="261">
        <f>IF(ISNUMBER(BU182),BU182+BU183+BU184+BU185,"")</f>
        <v>35934</v>
      </c>
      <c r="BV186" s="261">
        <f>IF(ISNUMBER(BV182),BV182+BV183+BV184+BV185,"")</f>
        <v>129039</v>
      </c>
      <c r="BW186" s="261">
        <f>IF(ISNUMBER(BW182),BW182+BW183+BW184+BW185,"")</f>
        <v>39696</v>
      </c>
      <c r="BX186" s="261">
        <f>IF(ISNUMBER(BX182),BX182+BX183+BX184+BX185,"")</f>
        <v>40770</v>
      </c>
      <c r="BY186" s="262">
        <f>IF(ISNUMBER(BY182),BY182+BY183+BY184+BY185,"")</f>
        <v>41781.7884184666</v>
      </c>
      <c r="BZ186" s="262">
        <f>IF(ISNUMBER(BZ182),BZ182+BZ183+BZ184+BZ185,"")</f>
        <v>50691.0437823207</v>
      </c>
      <c r="CA186" s="262">
        <f>IF(ISNUMBER(CA182),CA182+CA183+CA184+CA185,"")</f>
        <v>172938.832200787</v>
      </c>
      <c r="CB186" s="262">
        <f>IF(ISNUMBER(CB182),CB182+CB183+CB184+CB185,"")</f>
        <v>194643.240084932</v>
      </c>
      <c r="CC186" s="262">
        <f>IF(ISNUMBER(CC182),CC182+CC183+CC184+CC185,"")</f>
        <v>212421.8802008</v>
      </c>
      <c r="CD186" s="262">
        <f>IF(ISNUMBER(CD182),CD182+CD183+CD184+CD185,"")</f>
        <v>234774.621414897</v>
      </c>
      <c r="CE186" s="262">
        <f>IF(ISNUMBER(CE182),CE182+CE183+CE184+CE185,"")</f>
        <v>256717.05000939</v>
      </c>
      <c r="CF186" s="153" t="n"/>
    </row>
    <row r="187" ht="15" customHeight="1" s="251">
      <c r="B187" s="57" t="inlineStr">
        <is>
          <t xml:space="preserve">  Check: vs income from operations (should be 0)</t>
        </is>
      </c>
      <c r="C187" s="211">
        <f>IF(ISNUMBER(C186),IF(ABS(C186-C140)&lt;=1,0,ROUND(C186-C140,0)),"")</f>
        <v>0</v>
      </c>
      <c r="D187" s="211">
        <f>IF(ISNUMBER(D186),IF(ABS(D186-D140)&lt;=1,0,ROUND(D186-D140,0)),"")</f>
        <v>0</v>
      </c>
      <c r="E187" s="211">
        <f>IF(ISNUMBER(E186),IF(ABS(E186-E140)&lt;=1,0,ROUND(E186-E140,0)),"")</f>
        <v>0</v>
      </c>
      <c r="F187" s="211">
        <f>IF(ISNUMBER(F186),IF(ABS(F186-F140)&lt;=1,0,ROUND(F186-F140,0)),"")</f>
        <v>0</v>
      </c>
      <c r="G187" s="211">
        <f>IF(ISNUMBER(G186),IF(ABS(G186-G140)&lt;=1,0,ROUND(G186-G140,0)),"")</f>
        <v>0</v>
      </c>
      <c r="H187" s="211">
        <f>IF(ISNUMBER(H186),IF(ABS(H186-H140)&lt;=1,0,ROUND(H186-H140,0)),"")</f>
        <v>0</v>
      </c>
      <c r="I187" s="211">
        <f>IF(ISNUMBER(I186),IF(ABS(I186-I140)&lt;=1,0,ROUND(I186-I140,0)),"")</f>
        <v>0</v>
      </c>
      <c r="J187" s="211">
        <f>IF(ISNUMBER(J186),IF(ABS(J186-J140)&lt;=1,0,ROUND(J186-J140,0)),"")</f>
        <v>0</v>
      </c>
      <c r="K187" s="211">
        <f>IF(ISNUMBER(K186),IF(ABS(K186-K140)&lt;=1,0,ROUND(K186-K140,0)),"")</f>
        <v>0</v>
      </c>
      <c r="L187" s="211">
        <f>IF(ISNUMBER(L186),IF(ABS(L186-L140)&lt;=1,0,ROUND(L186-L140,0)),"")</f>
        <v>0</v>
      </c>
      <c r="M187" s="211">
        <f>IF(ISNUMBER(M186),IF(ABS(M186-M140)&lt;=1,0,ROUND(M186-M140,0)),"")</f>
        <v>0</v>
      </c>
      <c r="N187" s="211">
        <f>IF(ISNUMBER(N186),IF(ABS(N186-N140)&lt;=1,0,ROUND(N186-N140,0)),"")</f>
        <v>0</v>
      </c>
      <c r="O187" s="211">
        <f>IF(ISNUMBER(O186),IF(ABS(O186-O140)&lt;=1,0,ROUND(O186-O140,0)),"")</f>
        <v>0</v>
      </c>
      <c r="P187" s="211">
        <f>IF(ISNUMBER(P186),IF(ABS(P186-P140)&lt;=1,0,ROUND(P186-P140,0)),"")</f>
        <v>0</v>
      </c>
      <c r="Q187" s="211">
        <f>IF(ISNUMBER(Q186),IF(ABS(Q186-Q140)&lt;=1,0,ROUND(Q186-Q140,0)),"")</f>
        <v>0</v>
      </c>
      <c r="R187" s="211">
        <f>IF(ISNUMBER(R186),IF(ABS(R186-R140)&lt;=1,0,ROUND(R186-R140,0)),"")</f>
        <v>0</v>
      </c>
      <c r="S187" s="211">
        <f>IF(ISNUMBER(S186),IF(ABS(S186-S140)&lt;=1,0,ROUND(S186-S140,0)),"")</f>
        <v>0</v>
      </c>
      <c r="T187" s="211">
        <f>IF(ISNUMBER(T186),IF(ABS(T186-T140)&lt;=1,0,ROUND(T186-T140,0)),"")</f>
        <v>0</v>
      </c>
      <c r="U187" s="211">
        <f>IF(ISNUMBER(U186),IF(ABS(U186-U140)&lt;=1,0,ROUND(U186-U140,0)),"")</f>
        <v>0</v>
      </c>
      <c r="V187" s="211">
        <f>IF(ISNUMBER(V186),IF(ABS(V186-V140)&lt;=1,0,ROUND(V186-V140,0)),"")</f>
        <v>0</v>
      </c>
      <c r="W187" s="211">
        <f>IF(ISNUMBER(W186),IF(ABS(W186-W140)&lt;=1,0,ROUND(W186-W140,0)),"")</f>
        <v>0</v>
      </c>
      <c r="X187" s="211">
        <f>IF(ISNUMBER(X186),IF(ABS(X186-X140)&lt;=1,0,ROUND(X186-X140,0)),"")</f>
        <v>0</v>
      </c>
      <c r="Y187" s="211">
        <f>IF(ISNUMBER(Y186),IF(ABS(Y186-Y140)&lt;=1,0,ROUND(Y186-Y140,0)),"")</f>
        <v>0</v>
      </c>
      <c r="Z187" s="211">
        <f>IF(ISNUMBER(Z186),IF(ABS(Z186-Z140)&lt;=1,0,ROUND(Z186-Z140,0)),"")</f>
        <v>0</v>
      </c>
      <c r="AA187" s="211">
        <f>IF(ISNUMBER(AA186),IF(ABS(AA186-AA140)&lt;=1,0,ROUND(AA186-AA140,0)),"")</f>
        <v>0</v>
      </c>
      <c r="AB187" s="211">
        <f>IF(ISNUMBER(AB186),IF(ABS(AB186-AB140)&lt;=1,0,ROUND(AB186-AB140,0)),"")</f>
        <v>0</v>
      </c>
      <c r="AC187" s="211">
        <f>IF(ISNUMBER(AC186),IF(ABS(AC186-AC140)&lt;=1,0,ROUND(AC186-AC140,0)),"")</f>
        <v>0</v>
      </c>
      <c r="AD187" s="211">
        <f>IF(ISNUMBER(AD186),IF(ABS(AD186-AD140)&lt;=1,0,ROUND(AD186-AD140,0)),"")</f>
        <v>0</v>
      </c>
      <c r="AE187" s="211">
        <f>IF(ISNUMBER(AE186),IF(ABS(AE186-AE140)&lt;=1,0,ROUND(AE186-AE140,0)),"")</f>
        <v>0</v>
      </c>
      <c r="AF187" s="211">
        <f>IF(ISNUMBER(AF186),IF(ABS(AF186-AF140)&lt;=1,0,ROUND(AF186-AF140,0)),"")</f>
        <v>0</v>
      </c>
      <c r="AG187" s="211">
        <f>IF(ISNUMBER(AG186),IF(ABS(AG186-AG140)&lt;=1,0,ROUND(AG186-AG140,0)),"")</f>
        <v>0</v>
      </c>
      <c r="AH187" s="211">
        <f>IF(ISNUMBER(AH186),IF(ABS(AH186-AH140)&lt;=1,0,ROUND(AH186-AH140,0)),"")</f>
        <v>0</v>
      </c>
      <c r="AI187" s="211">
        <f>IF(ISNUMBER(AI186),IF(ABS(AI186-AI140)&lt;=1,0,ROUND(AI186-AI140,0)),"")</f>
        <v>0</v>
      </c>
      <c r="AJ187" s="211">
        <f>IF(ISNUMBER(AJ186),IF(ABS(AJ186-AJ140)&lt;=1,0,ROUND(AJ186-AJ140,0)),"")</f>
        <v>0</v>
      </c>
      <c r="AK187" s="211">
        <f>IF(ISNUMBER(AK186),IF(ABS(AK186-AK140)&lt;=1,0,ROUND(AK186-AK140,0)),"")</f>
        <v>0</v>
      </c>
      <c r="AL187" s="211">
        <f>IF(ISNUMBER(AL186),IF(ABS(AL186-AL140)&lt;=1,0,ROUND(AL186-AL140,0)),"")</f>
        <v>0</v>
      </c>
      <c r="AM187" s="211">
        <f>IF(ISNUMBER(AM186),IF(ABS(AM186-AM140)&lt;=1,0,ROUND(AM186-AM140,0)),"")</f>
        <v>0</v>
      </c>
      <c r="AN187" s="211">
        <f>IF(ISNUMBER(AN186),IF(ABS(AN186-AN140)&lt;=1,0,ROUND(AN186-AN140,0)),"")</f>
        <v>0</v>
      </c>
      <c r="AO187" s="211">
        <f>IF(ISNUMBER(AO186),IF(ABS(AO186-AO140)&lt;=1,0,ROUND(AO186-AO140,0)),"")</f>
        <v>0</v>
      </c>
      <c r="AP187" s="211">
        <f>IF(ISNUMBER(AP186),IF(ABS(AP186-AP140)&lt;=1,0,ROUND(AP186-AP140,0)),"")</f>
        <v>0</v>
      </c>
      <c r="AQ187" s="211">
        <f>IF(ISNUMBER(AQ186),IF(ABS(AQ186-AQ140)&lt;=1,0,ROUND(AQ186-AQ140,0)),"")</f>
        <v>0</v>
      </c>
      <c r="AR187" s="211">
        <f>IF(ISNUMBER(AR186),IF(ABS(AR186-AR140)&lt;=1,0,ROUND(AR186-AR140,0)),"")</f>
        <v>0</v>
      </c>
      <c r="AS187" s="211">
        <f>IF(ISNUMBER(AS186),IF(ABS(AS186-AS140)&lt;=1,0,ROUND(AS186-AS140,0)),"")</f>
        <v>0</v>
      </c>
      <c r="AT187" s="211">
        <f>IF(ISNUMBER(AT186),IF(ABS(AT186-AT140)&lt;=1,0,ROUND(AT186-AT140,0)),"")</f>
        <v>0</v>
      </c>
      <c r="AU187" s="211">
        <f>IF(ISNUMBER(AU186),IF(ABS(AU186-AU140)&lt;=1,0,ROUND(AU186-AU140,0)),"")</f>
        <v>0</v>
      </c>
      <c r="AV187" s="211">
        <f>IF(ISNUMBER(AV186),IF(ABS(AV186-AV140)&lt;=1,0,ROUND(AV186-AV140,0)),"")</f>
        <v>0</v>
      </c>
      <c r="AW187" s="211">
        <f>IF(ISNUMBER(AW186),IF(ABS(AW186-AW140)&lt;=1,0,ROUND(AW186-AW140,0)),"")</f>
        <v>0</v>
      </c>
      <c r="AX187" s="211">
        <f>IF(ISNUMBER(AX186),IF(ABS(AX186-AX140)&lt;=1,0,ROUND(AX186-AX140,0)),"")</f>
        <v>0</v>
      </c>
      <c r="AY187" s="211">
        <f>IF(ISNUMBER(AY186),IF(ABS(AY186-AY140)&lt;=1,0,ROUND(AY186-AY140,0)),"")</f>
        <v>0</v>
      </c>
      <c r="AZ187" s="211">
        <f>IF(ISNUMBER(AZ186),IF(ABS(AZ186-AZ140)&lt;=1,0,ROUND(AZ186-AZ140,0)),"")</f>
        <v>0</v>
      </c>
      <c r="BA187" s="211">
        <f>IF(ISNUMBER(BA186),IF(ABS(BA186-BA140)&lt;=1,0,ROUND(BA186-BA140,0)),"")</f>
        <v>0</v>
      </c>
      <c r="BB187" s="211">
        <f>IF(ISNUMBER(BB186),IF(ABS(BB186-BB140)&lt;=1,0,ROUND(BB186-BB140,0)),"")</f>
        <v>0</v>
      </c>
      <c r="BC187" s="211">
        <f>IF(ISNUMBER(BC186),IF(ABS(BC186-BC140)&lt;=1,0,ROUND(BC186-BC140,0)),"")</f>
        <v>0</v>
      </c>
      <c r="BD187" s="211">
        <f>IF(ISNUMBER(BD186),IF(ABS(BD186-BD140)&lt;=1,0,ROUND(BD186-BD140,0)),"")</f>
        <v>0</v>
      </c>
      <c r="BE187" s="211">
        <f>IF(ISNUMBER(BE186),IF(ABS(BE186-BE140)&lt;=1,0,ROUND(BE186-BE140,0)),"")</f>
        <v>0</v>
      </c>
      <c r="BF187" s="211">
        <f>IF(ISNUMBER(BF186),IF(ABS(BF186-BF140)&lt;=1,0,ROUND(BF186-BF140,0)),"")</f>
        <v>0</v>
      </c>
      <c r="BG187" s="211">
        <f>IF(ISNUMBER(BG186),IF(ABS(BG186-BG140)&lt;=1,0,ROUND(BG186-BG140,0)),"")</f>
        <v>0</v>
      </c>
      <c r="BH187" s="211">
        <f>IF(ISNUMBER(BH186),IF(ABS(BH186-BH140)&lt;=1,0,ROUND(BH186-BH140,0)),"")</f>
        <v>0</v>
      </c>
      <c r="BI187" s="211">
        <f>IF(ISNUMBER(BI186),IF(ABS(BI186-BI140)&lt;=1,0,ROUND(BI186-BI140,0)),"")</f>
        <v>0</v>
      </c>
      <c r="BJ187" s="211">
        <f>IF(ISNUMBER(BJ186),IF(ABS(BJ186-BJ140)&lt;=1,0,ROUND(BJ186-BJ140,0)),"")</f>
        <v>0</v>
      </c>
      <c r="BK187" s="211">
        <f>IF(ISNUMBER(BK186),IF(ABS(BK186-BK140)&lt;=1,0,ROUND(BK186-BK140,0)),"")</f>
        <v>0</v>
      </c>
      <c r="BL187" s="211">
        <f>IF(ISNUMBER(BL186),IF(ABS(BL186-BL140)&lt;=1,0,ROUND(BL186-BL140,0)),"")</f>
        <v>0</v>
      </c>
      <c r="BM187" s="211">
        <f>IF(ISNUMBER(BM186),IF(ABS(BM186-BM140)&lt;=1,0,ROUND(BM186-BM140,0)),"")</f>
        <v>0</v>
      </c>
      <c r="BN187" s="211">
        <f>IF(ISNUMBER(BN186),IF(ABS(BN186-BN140)&lt;=1,0,ROUND(BN186-BN140,0)),"")</f>
        <v>0</v>
      </c>
      <c r="BO187" s="211">
        <f>IF(ISNUMBER(BO186),IF(ABS(BO186-BO140)&lt;=1,0,ROUND(BO186-BO140,0)),"")</f>
        <v>0</v>
      </c>
      <c r="BP187" s="211">
        <f>IF(ISNUMBER(BP186),IF(ABS(BP186-BP140)&lt;=1,0,ROUND(BP186-BP140,0)),"")</f>
        <v>0</v>
      </c>
      <c r="BQ187" s="211">
        <f>IF(ISNUMBER(BQ186),IF(ABS(BQ186-BQ140)&lt;=1,0,ROUND(BQ186-BQ140,0)),"")</f>
        <v>0</v>
      </c>
      <c r="BR187" s="211">
        <f>IF(ISNUMBER(BR186),IF(ABS(BR186-BR140)&lt;=1,0,ROUND(BR186-BR140,0)),"")</f>
        <v>0</v>
      </c>
      <c r="BS187" s="211">
        <f>IF(ISNUMBER(BS186),IF(ABS(BS186-BS140)&lt;=1,0,ROUND(BS186-BS140,0)),"")</f>
        <v>0</v>
      </c>
      <c r="BT187" s="211">
        <f>IF(ISNUMBER(BT186),IF(ABS(BT186-BT140)&lt;=1,0,ROUND(BT186-BT140,0)),"")</f>
        <v>0</v>
      </c>
      <c r="BU187" s="211">
        <f>IF(ISNUMBER(BU186),IF(ABS(BU186-BU140)&lt;=1,0,ROUND(BU186-BU140,0)),"")</f>
        <v>0</v>
      </c>
      <c r="BV187" s="211">
        <f>IF(ISNUMBER(BV186),IF(ABS(BV186-BV140)&lt;=1,0,ROUND(BV186-BV140,0)),"")</f>
        <v>0</v>
      </c>
      <c r="BW187" s="211">
        <f>IF(ISNUMBER(BW186),IF(ABS(BW186-BW140)&lt;=1,0,ROUND(BW186-BW140,0)),"")</f>
        <v>0</v>
      </c>
      <c r="BX187" s="211">
        <f>IF(ISNUMBER(BX186),IF(ABS(BX186-BX140)&lt;=1,0,ROUND(BX186-BX140,0)),"")</f>
        <v>0</v>
      </c>
      <c r="BY187" s="264">
        <f>IF(ISNUMBER(BY186),IF(ABS(BY186-BY140)&lt;=1,0,ROUND(BY186-BY140,0)),"")</f>
        <v>0</v>
      </c>
      <c r="BZ187" s="264">
        <f>IF(ISNUMBER(BZ186),IF(ABS(BZ186-BZ140)&lt;=1,0,ROUND(BZ186-BZ140,0)),"")</f>
        <v>0</v>
      </c>
      <c r="CA187" s="264">
        <f>IF(ISNUMBER(CA186),IF(ABS(CA186-CA140)&lt;=1,0,ROUND(CA186-CA140,0)),"")</f>
        <v>0</v>
      </c>
      <c r="CB187" s="264">
        <f>IF(ISNUMBER(CB186),IF(ABS(CB186-CB140)&lt;=1,0,ROUND(CB186-CB140,0)),"")</f>
        <v>0</v>
      </c>
      <c r="CC187" s="264">
        <f>IF(ISNUMBER(CC186),IF(ABS(CC186-CC140)&lt;=1,0,ROUND(CC186-CC140,0)),"")</f>
        <v>0</v>
      </c>
      <c r="CD187" s="264">
        <f>IF(ISNUMBER(CD186),IF(ABS(CD186-CD140)&lt;=1,0,ROUND(CD186-CD140,0)),"")</f>
        <v>0</v>
      </c>
      <c r="CE187" s="264">
        <f>IF(ISNUMBER(CE186),IF(ABS(CE186-CE140)&lt;=1,0,ROUND(CE186-CE140,0)),"")</f>
        <v>0</v>
      </c>
      <c r="CF187" s="153" t="n"/>
    </row>
    <row r="188" ht="15" customHeight="1" s="251">
      <c r="B188" s="25" t="inlineStr">
        <is>
          <t xml:space="preserve">  (+) Depreciation &amp; amortization</t>
        </is>
      </c>
      <c r="C188" s="211">
        <f>C113</f>
        <v>571.939</v>
      </c>
      <c r="D188" s="211">
        <f>D113</f>
        <v>967.658</v>
      </c>
      <c r="E188" s="211">
        <f>E113</f>
        <v>1499.887</v>
      </c>
      <c r="F188" s="211">
        <f>F113</f>
        <v>1524.308</v>
      </c>
      <c r="G188" s="211">
        <f>G113</f>
        <v>1396</v>
      </c>
      <c r="H188" s="211">
        <f>H113</f>
        <v>1851</v>
      </c>
      <c r="I188" s="211">
        <f>I113</f>
        <v>2962</v>
      </c>
      <c r="J188" s="211">
        <f>J113</f>
        <v>899</v>
      </c>
      <c r="K188" s="211">
        <f>K113</f>
        <v>1030</v>
      </c>
      <c r="L188" s="211">
        <f>L113</f>
        <v>974</v>
      </c>
      <c r="M188" s="211">
        <f>M113</f>
        <v>1036</v>
      </c>
      <c r="N188" s="211">
        <f>N113</f>
        <v>3939</v>
      </c>
      <c r="O188" s="211">
        <f>O113</f>
        <v>1086</v>
      </c>
      <c r="P188" s="211">
        <f>P113</f>
        <v>1079</v>
      </c>
      <c r="Q188" s="211">
        <f>Q113</f>
        <v>1547</v>
      </c>
      <c r="R188" s="211">
        <f>R113</f>
        <v>1267</v>
      </c>
      <c r="S188" s="211">
        <f>S113</f>
        <v>4979</v>
      </c>
      <c r="T188" s="211">
        <f>T113</f>
        <v>1177</v>
      </c>
      <c r="U188" s="211">
        <f>U113</f>
        <v>1234</v>
      </c>
      <c r="V188" s="211">
        <f>V113</f>
        <v>1248</v>
      </c>
      <c r="W188" s="211">
        <f>W113</f>
        <v>1404</v>
      </c>
      <c r="X188" s="211">
        <f>X113</f>
        <v>5063</v>
      </c>
      <c r="Y188" s="211">
        <f>Y113</f>
        <v>1371</v>
      </c>
      <c r="Z188" s="211">
        <f>Z113</f>
        <v>1490</v>
      </c>
      <c r="AA188" s="211">
        <f>AA113</f>
        <v>1596</v>
      </c>
      <c r="AB188" s="211">
        <f>AB113</f>
        <v>1687</v>
      </c>
      <c r="AC188" s="211">
        <f>AC113</f>
        <v>6144</v>
      </c>
      <c r="AD188" s="211">
        <f>AD113</f>
        <v>1503</v>
      </c>
      <c r="AE188" s="211">
        <f>AE113</f>
        <v>1625</v>
      </c>
      <c r="AF188" s="211">
        <f>AF113</f>
        <v>1761</v>
      </c>
      <c r="AG188" s="211">
        <f>AG113</f>
        <v>2026</v>
      </c>
      <c r="AH188" s="211">
        <f>AH113</f>
        <v>6915</v>
      </c>
      <c r="AI188" s="211">
        <f>AI113</f>
        <v>1986</v>
      </c>
      <c r="AJ188" s="211">
        <f>AJ113</f>
        <v>2114</v>
      </c>
      <c r="AK188" s="211">
        <f>AK113</f>
        <v>2355</v>
      </c>
      <c r="AL188" s="211">
        <f>AL113</f>
        <v>2580</v>
      </c>
      <c r="AM188" s="211">
        <f>AM113</f>
        <v>9035</v>
      </c>
      <c r="AN188" s="211">
        <f>AN113</f>
        <v>2613</v>
      </c>
      <c r="AO188" s="211">
        <f>AO113</f>
        <v>2835</v>
      </c>
      <c r="AP188" s="211">
        <f>AP113</f>
        <v>2920</v>
      </c>
      <c r="AQ188" s="211">
        <f>AQ113</f>
        <v>3413</v>
      </c>
      <c r="AR188" s="211">
        <f>AR113</f>
        <v>11781</v>
      </c>
      <c r="AS188" s="211">
        <f>AS113</f>
        <v>3108</v>
      </c>
      <c r="AT188" s="211">
        <f>AT113</f>
        <v>3386</v>
      </c>
      <c r="AU188" s="211">
        <f>AU113</f>
        <v>3478</v>
      </c>
      <c r="AV188" s="211">
        <f>AV113</f>
        <v>3725</v>
      </c>
      <c r="AW188" s="211">
        <f>AW113</f>
        <v>13697</v>
      </c>
      <c r="AX188" s="211">
        <f>AX113</f>
        <v>2753</v>
      </c>
      <c r="AY188" s="211">
        <f>AY113</f>
        <v>2945</v>
      </c>
      <c r="AZ188" s="211">
        <f>AZ113</f>
        <v>3304</v>
      </c>
      <c r="BA188" s="211">
        <f>BA113</f>
        <v>3439</v>
      </c>
      <c r="BB188" s="211">
        <f>BB113</f>
        <v>12441</v>
      </c>
      <c r="BC188" s="211">
        <f>BC113</f>
        <v>3782</v>
      </c>
      <c r="BD188" s="211">
        <f>BD113</f>
        <v>3899</v>
      </c>
      <c r="BE188" s="211">
        <f>BE113</f>
        <v>4046</v>
      </c>
      <c r="BF188" s="211">
        <f>BF113</f>
        <v>4201</v>
      </c>
      <c r="BG188" s="211">
        <f>BG113</f>
        <v>15928</v>
      </c>
      <c r="BH188" s="211">
        <f>BH113</f>
        <v>3186</v>
      </c>
      <c r="BI188" s="211">
        <f>BI113</f>
        <v>3397</v>
      </c>
      <c r="BJ188" s="211">
        <f>BJ113</f>
        <v>3800</v>
      </c>
      <c r="BK188" s="211">
        <f>BK113</f>
        <v>1563</v>
      </c>
      <c r="BL188" s="211">
        <f>BL113</f>
        <v>11946</v>
      </c>
      <c r="BM188" s="211">
        <f>BM113</f>
        <v>3413</v>
      </c>
      <c r="BN188" s="211">
        <f>BN113</f>
        <v>3708</v>
      </c>
      <c r="BO188" s="211">
        <f>BO113</f>
        <v>3985</v>
      </c>
      <c r="BP188" s="211">
        <f>BP113</f>
        <v>4205</v>
      </c>
      <c r="BQ188" s="211">
        <f>BQ113</f>
        <v>15311</v>
      </c>
      <c r="BR188" s="211">
        <f>BR113</f>
        <v>4487</v>
      </c>
      <c r="BS188" s="211">
        <f>BS113</f>
        <v>4998</v>
      </c>
      <c r="BT188" s="211">
        <f>BT113</f>
        <v>5611</v>
      </c>
      <c r="BU188" s="211">
        <f>BU113</f>
        <v>6040</v>
      </c>
      <c r="BV188" s="211">
        <f>BV113</f>
        <v>21136</v>
      </c>
      <c r="BW188" s="211">
        <f>BW113</f>
        <v>6660</v>
      </c>
      <c r="BX188" s="211">
        <f>BX113</f>
        <v>7471</v>
      </c>
      <c r="BY188" s="254">
        <f>BY113</f>
        <v>8155.984</v>
      </c>
      <c r="BZ188" s="254">
        <f>BZ113</f>
        <v>8903.438464</v>
      </c>
      <c r="CA188" s="254">
        <f>CA113</f>
        <v>31190.422464</v>
      </c>
      <c r="CB188" s="254">
        <f>CB113</f>
        <v>50331.37641664</v>
      </c>
      <c r="CC188" s="254">
        <f>CC113</f>
        <v>73595.0806287264</v>
      </c>
      <c r="CD188" s="254">
        <f>CD113</f>
        <v>96497.8338564229</v>
      </c>
      <c r="CE188" s="254">
        <f>CE113</f>
        <v>118506.145462934</v>
      </c>
      <c r="CF188" s="19" t="n"/>
    </row>
    <row r="189" ht="15" customHeight="1" s="251">
      <c r="B189" s="55" t="inlineStr">
        <is>
          <t xml:space="preserve">  = EBITDA (model)</t>
        </is>
      </c>
      <c r="C189" s="260">
        <f>IF(AND(ISNUMBER(C186),ISNUMBER(C188)),C186+C188,"")</f>
        <v>4121.935</v>
      </c>
      <c r="D189" s="260">
        <f>IF(AND(ISNUMBER(D186),ISNUMBER(D188)),D186+D188,"")</f>
        <v>6052.058</v>
      </c>
      <c r="E189" s="260">
        <f>IF(AND(ISNUMBER(E186),ISNUMBER(E188)),E186+E188,"")</f>
        <v>8131.856</v>
      </c>
      <c r="F189" s="260">
        <f>IF(AND(ISNUMBER(F186),ISNUMBER(F188)),F186+F188,"")</f>
        <v>9836.494</v>
      </c>
      <c r="G189" s="260">
        <f>IF(AND(ISNUMBER(G186),ISNUMBER(G188)),G186+G188,"")</f>
        <v>11777</v>
      </c>
      <c r="H189" s="260">
        <f>IF(AND(ISNUMBER(H186),ISNUMBER(H188)),H186+H188,"")</f>
        <v>13593</v>
      </c>
      <c r="I189" s="260">
        <f>IF(AND(ISNUMBER(I186),ISNUMBER(I188)),I186+I188,"")</f>
        <v>15722</v>
      </c>
      <c r="J189" s="260">
        <f>IF(AND(ISNUMBER(J186),ISNUMBER(J188)),J186+J188,"")</f>
        <v>4376</v>
      </c>
      <c r="K189" s="260">
        <f>IF(AND(ISNUMBER(K186),ISNUMBER(K188)),K186+K188,"")</f>
        <v>4153</v>
      </c>
      <c r="L189" s="260">
        <f>IF(AND(ISNUMBER(L186),ISNUMBER(L188)),L186+L188,"")</f>
        <v>4418</v>
      </c>
      <c r="M189" s="260">
        <f>IF(AND(ISNUMBER(M186),ISNUMBER(M188)),M186+M188,"")</f>
        <v>4958</v>
      </c>
      <c r="N189" s="260">
        <f>IF(AND(ISNUMBER(N186),ISNUMBER(N188)),N186+N188,"")</f>
        <v>17905</v>
      </c>
      <c r="O189" s="260">
        <f>IF(AND(ISNUMBER(O186),ISNUMBER(O188)),O186+O188,"")</f>
        <v>5201</v>
      </c>
      <c r="P189" s="260">
        <f>IF(AND(ISNUMBER(P186),ISNUMBER(P188)),P186+P188,"")</f>
        <v>5337</v>
      </c>
      <c r="Q189" s="260">
        <f>IF(AND(ISNUMBER(Q186),ISNUMBER(Q188)),Q186+Q188,"")</f>
        <v>5271</v>
      </c>
      <c r="R189" s="260">
        <f>IF(AND(ISNUMBER(R186),ISNUMBER(R188)),R186+R188,"")</f>
        <v>5666</v>
      </c>
      <c r="S189" s="260">
        <f>IF(AND(ISNUMBER(S186),ISNUMBER(S188)),S186+S188,"")</f>
        <v>21475</v>
      </c>
      <c r="T189" s="260">
        <f>IF(AND(ISNUMBER(T186),ISNUMBER(T188)),T186+T188,"")</f>
        <v>5624</v>
      </c>
      <c r="U189" s="260">
        <f>IF(AND(ISNUMBER(U186),ISNUMBER(U188)),U186+U188,"")</f>
        <v>6059</v>
      </c>
      <c r="V189" s="260">
        <f>IF(AND(ISNUMBER(V186),ISNUMBER(V188)),V186+V188,"")</f>
        <v>5956</v>
      </c>
      <c r="W189" s="260">
        <f>IF(AND(ISNUMBER(W186),ISNUMBER(W188)),W186+W188,"")</f>
        <v>6784</v>
      </c>
      <c r="X189" s="260">
        <f>IF(AND(ISNUMBER(X186),ISNUMBER(X188)),X186+X188,"")</f>
        <v>24423</v>
      </c>
      <c r="Y189" s="260">
        <f>IF(AND(ISNUMBER(Y186),ISNUMBER(Y188)),Y186+Y188,"")</f>
        <v>6713</v>
      </c>
      <c r="Z189" s="260">
        <f>IF(AND(ISNUMBER(Z186),ISNUMBER(Z188)),Z186+Z188,"")</f>
        <v>7458</v>
      </c>
      <c r="AA189" s="260">
        <f>IF(AND(ISNUMBER(AA186),ISNUMBER(AA188)),AA186+AA188,"")</f>
        <v>7363</v>
      </c>
      <c r="AB189" s="260">
        <f>IF(AND(ISNUMBER(AB186),ISNUMBER(AB188)),AB186+AB188,"")</f>
        <v>8326</v>
      </c>
      <c r="AC189" s="260">
        <f>IF(AND(ISNUMBER(AC186),ISNUMBER(AC188)),AC186+AC188,"")</f>
        <v>29860</v>
      </c>
      <c r="AD189" s="260">
        <f>IF(AND(ISNUMBER(AD186),ISNUMBER(AD188)),AD186+AD188,"")</f>
        <v>8071</v>
      </c>
      <c r="AE189" s="260">
        <f>IF(AND(ISNUMBER(AE186),ISNUMBER(AE188)),AE186+AE188,"")</f>
        <v>5757</v>
      </c>
      <c r="AF189" s="260">
        <f>IF(AND(ISNUMBER(AF186),ISNUMBER(AF188)),AF186+AF188,"")</f>
        <v>9543</v>
      </c>
      <c r="AG189" s="260">
        <f>IF(AND(ISNUMBER(AG186),ISNUMBER(AG188)),AG186+AG188,"")</f>
        <v>9690</v>
      </c>
      <c r="AH189" s="260">
        <f>IF(AND(ISNUMBER(AH186),ISNUMBER(AH188)),AH186+AH188,"")</f>
        <v>33061</v>
      </c>
      <c r="AI189" s="260">
        <f>IF(AND(ISNUMBER(AI186),ISNUMBER(AI188)),AI186+AI188,"")</f>
        <v>8987</v>
      </c>
      <c r="AJ189" s="260">
        <f>IF(AND(ISNUMBER(AJ186),ISNUMBER(AJ188)),AJ186+AJ188,"")</f>
        <v>4921</v>
      </c>
      <c r="AK189" s="260">
        <f>IF(AND(ISNUMBER(AK186),ISNUMBER(AK188)),AK186+AK188,"")</f>
        <v>10665</v>
      </c>
      <c r="AL189" s="260">
        <f>IF(AND(ISNUMBER(AL186),ISNUMBER(AL188)),AL186+AL188,"")</f>
        <v>10783</v>
      </c>
      <c r="AM189" s="260">
        <f>IF(AND(ISNUMBER(AM186),ISNUMBER(AM188)),AM186+AM188,"")</f>
        <v>35356</v>
      </c>
      <c r="AN189" s="260">
        <f>IF(AND(ISNUMBER(AN186),ISNUMBER(AN188)),AN186+AN188,"")</f>
        <v>9221</v>
      </c>
      <c r="AO189" s="260">
        <f>IF(AND(ISNUMBER(AO186),ISNUMBER(AO188)),AO186+AO188,"")</f>
        <v>12015</v>
      </c>
      <c r="AP189" s="260">
        <f>IF(AND(ISNUMBER(AP186),ISNUMBER(AP188)),AP186+AP188,"")</f>
        <v>12097</v>
      </c>
      <c r="AQ189" s="260">
        <f>IF(AND(ISNUMBER(AQ186),ISNUMBER(AQ188)),AQ186+AQ188,"")</f>
        <v>12679</v>
      </c>
      <c r="AR189" s="260">
        <f>IF(AND(ISNUMBER(AR186),ISNUMBER(AR188)),AR186+AR188,"")</f>
        <v>46012</v>
      </c>
      <c r="AS189" s="260">
        <f>IF(AND(ISNUMBER(AS186),ISNUMBER(AS188)),AS186+AS188,"")</f>
        <v>11085</v>
      </c>
      <c r="AT189" s="260">
        <f>IF(AND(ISNUMBER(AT186),ISNUMBER(AT188)),AT186+AT188,"")</f>
        <v>9769</v>
      </c>
      <c r="AU189" s="260">
        <f>IF(AND(ISNUMBER(AU186),ISNUMBER(AU188)),AU186+AU188,"")</f>
        <v>14691</v>
      </c>
      <c r="AV189" s="260">
        <f>IF(AND(ISNUMBER(AV186),ISNUMBER(AV188)),AV186+AV188,"")</f>
        <v>19376</v>
      </c>
      <c r="AW189" s="260">
        <f>IF(AND(ISNUMBER(AW186),ISNUMBER(AW188)),AW186+AW188,"")</f>
        <v>54921</v>
      </c>
      <c r="AX189" s="260">
        <f>IF(AND(ISNUMBER(AX186),ISNUMBER(AX188)),AX186+AX188,"")</f>
        <v>19190</v>
      </c>
      <c r="AY189" s="260">
        <f>IF(AND(ISNUMBER(AY186),ISNUMBER(AY188)),AY186+AY188,"")</f>
        <v>22306</v>
      </c>
      <c r="AZ189" s="260">
        <f>IF(AND(ISNUMBER(AZ186),ISNUMBER(AZ188)),AZ186+AZ188,"")</f>
        <v>24335</v>
      </c>
      <c r="BA189" s="260">
        <f>IF(AND(ISNUMBER(BA186),ISNUMBER(BA188)),BA186+BA188,"")</f>
        <v>25324</v>
      </c>
      <c r="BB189" s="260">
        <f>IF(AND(ISNUMBER(BB186),ISNUMBER(BB188)),BB186+BB188,"")</f>
        <v>91155</v>
      </c>
      <c r="BC189" s="260">
        <f>IF(AND(ISNUMBER(BC186),ISNUMBER(BC188)),BC186+BC188,"")</f>
        <v>23876</v>
      </c>
      <c r="BD189" s="260">
        <f>IF(AND(ISNUMBER(BD186),ISNUMBER(BD188)),BD186+BD188,"")</f>
        <v>23352</v>
      </c>
      <c r="BE189" s="260">
        <f>IF(AND(ISNUMBER(BE186),ISNUMBER(BE188)),BE186+BE188,"")</f>
        <v>21181</v>
      </c>
      <c r="BF189" s="260">
        <f>IF(AND(ISNUMBER(BF186),ISNUMBER(BF188)),BF186+BF188,"")</f>
        <v>22361</v>
      </c>
      <c r="BG189" s="260">
        <f>IF(AND(ISNUMBER(BG186),ISNUMBER(BG188)),BG186+BG188,"")</f>
        <v>90770</v>
      </c>
      <c r="BH189" s="260">
        <f>IF(AND(ISNUMBER(BH186),ISNUMBER(BH188)),BH186+BH188,"")</f>
        <v>20601</v>
      </c>
      <c r="BI189" s="260">
        <f>IF(AND(ISNUMBER(BI186),ISNUMBER(BI188)),BI186+BI188,"")</f>
        <v>25235</v>
      </c>
      <c r="BJ189" s="260">
        <f>IF(AND(ISNUMBER(BJ186),ISNUMBER(BJ188)),BJ186+BJ188,"")</f>
        <v>25143</v>
      </c>
      <c r="BK189" s="260">
        <f>IF(AND(ISNUMBER(BK186),ISNUMBER(BK188)),BK186+BK188,"")</f>
        <v>25260</v>
      </c>
      <c r="BL189" s="260">
        <f>IF(AND(ISNUMBER(BL186),ISNUMBER(BL188)),BL186+BL188,"")</f>
        <v>96239</v>
      </c>
      <c r="BM189" s="260">
        <f>IF(AND(ISNUMBER(BM186),ISNUMBER(BM188)),BM186+BM188,"")</f>
        <v>28885</v>
      </c>
      <c r="BN189" s="260">
        <f>IF(AND(ISNUMBER(BN186),ISNUMBER(BN188)),BN186+BN188,"")</f>
        <v>31133</v>
      </c>
      <c r="BO189" s="260">
        <f>IF(AND(ISNUMBER(BO186),ISNUMBER(BO188)),BO186+BO188,"")</f>
        <v>32506</v>
      </c>
      <c r="BP189" s="260">
        <f>IF(AND(ISNUMBER(BP186),ISNUMBER(BP188)),BP186+BP188,"")</f>
        <v>35177</v>
      </c>
      <c r="BQ189" s="260">
        <f>IF(AND(ISNUMBER(BQ186),ISNUMBER(BQ188)),BQ186+BQ188,"")</f>
        <v>127701</v>
      </c>
      <c r="BR189" s="260">
        <f>IF(AND(ISNUMBER(BR186),ISNUMBER(BR188)),BR186+BR188,"")</f>
        <v>35093</v>
      </c>
      <c r="BS189" s="260">
        <f>IF(AND(ISNUMBER(BS186),ISNUMBER(BS188)),BS186+BS188,"")</f>
        <v>36269</v>
      </c>
      <c r="BT189" s="260">
        <f>IF(AND(ISNUMBER(BT186),ISNUMBER(BT188)),BT186+BT188,"")</f>
        <v>36839</v>
      </c>
      <c r="BU189" s="260">
        <f>IF(AND(ISNUMBER(BU186),ISNUMBER(BU188)),BU186+BU188,"")</f>
        <v>41974</v>
      </c>
      <c r="BV189" s="260">
        <f>IF(AND(ISNUMBER(BV186),ISNUMBER(BV188)),BV186+BV188,"")</f>
        <v>150175</v>
      </c>
      <c r="BW189" s="260">
        <f>IF(AND(ISNUMBER(BW186),ISNUMBER(BW188)),BW186+BW188,"")</f>
        <v>46356</v>
      </c>
      <c r="BX189" s="260">
        <f>IF(AND(ISNUMBER(BX186),ISNUMBER(BX188)),BX186+BX188,"")</f>
        <v>48241</v>
      </c>
      <c r="BY189" s="260">
        <f>IF(AND(ISNUMBER(BY186),ISNUMBER(BY188)),BY186+BY188,"")</f>
        <v>49937.7724184666</v>
      </c>
      <c r="BZ189" s="260">
        <f>IF(AND(ISNUMBER(BZ186),ISNUMBER(BZ188)),BZ186+BZ188,"")</f>
        <v>59594.4822463207</v>
      </c>
      <c r="CA189" s="260">
        <f>IF(AND(ISNUMBER(CA186),ISNUMBER(CA188)),CA186+CA188,"")</f>
        <v>204129.254664787</v>
      </c>
      <c r="CB189" s="260">
        <f>IF(AND(ISNUMBER(CB186),ISNUMBER(CB188)),CB186+CB188,"")</f>
        <v>244974.616501572</v>
      </c>
      <c r="CC189" s="260">
        <f>IF(AND(ISNUMBER(CC186),ISNUMBER(CC188)),CC186+CC188,"")</f>
        <v>286016.960829526</v>
      </c>
      <c r="CD189" s="260">
        <f>IF(AND(ISNUMBER(CD186),ISNUMBER(CD188)),CD186+CD188,"")</f>
        <v>331272.45527132</v>
      </c>
      <c r="CE189" s="260">
        <f>IF(AND(ISNUMBER(CE186),ISNUMBER(CE188)),CE186+CE188,"")</f>
        <v>375223.195472324</v>
      </c>
      <c r="CF189" s="153" t="n"/>
      <c r="CH189" s="20">
        <f>IFERROR((CE189/BV189)^(1/5)-1,"n/m")</f>
        <v>0.200987279223588</v>
      </c>
      <c r="CI189" s="20">
        <f>IFERROR((BV189/AW189)^(1/5)-1,"n/m")</f>
        <v>0.222846207189944</v>
      </c>
      <c r="CJ189" s="20">
        <f>IFERROR((BV189/X189)^(1/10)-1,"n/m")</f>
        <v>0.199167537065741</v>
      </c>
      <c r="CK189" s="20">
        <f>IFERROR((BV189/C189)^(1/19)-1,"n/m")</f>
        <v>0.208325738302001</v>
      </c>
    </row>
    <row r="190" ht="15" customHeight="1" s="251">
      <c r="B190" s="25" t="inlineStr">
        <is>
          <t xml:space="preserve">  (+) Adjusting items (EC fines; severance &amp; office-space charges)</t>
        </is>
      </c>
      <c r="C190" s="211">
        <f>C172</f>
        <v>0</v>
      </c>
      <c r="D190" s="211">
        <f>D172</f>
        <v>0</v>
      </c>
      <c r="E190" s="211">
        <f>E172</f>
        <v>0</v>
      </c>
      <c r="F190" s="211">
        <f>F172</f>
        <v>0</v>
      </c>
      <c r="G190" s="211">
        <f>G172</f>
        <v>0</v>
      </c>
      <c r="H190" s="211">
        <f>H172</f>
        <v>0</v>
      </c>
      <c r="I190" s="211">
        <f>I172</f>
        <v>0</v>
      </c>
      <c r="J190" s="211">
        <f>J172</f>
        <v>0</v>
      </c>
      <c r="K190" s="211">
        <f>K172</f>
        <v>0</v>
      </c>
      <c r="L190" s="211">
        <f>L172</f>
        <v>0</v>
      </c>
      <c r="M190" s="211">
        <f>M172</f>
        <v>0</v>
      </c>
      <c r="N190" s="211">
        <f>N172</f>
        <v>0</v>
      </c>
      <c r="O190" s="211">
        <f>O172</f>
        <v>0</v>
      </c>
      <c r="P190" s="211">
        <f>P172</f>
        <v>0</v>
      </c>
      <c r="Q190" s="211">
        <f>Q172</f>
        <v>0</v>
      </c>
      <c r="R190" s="211">
        <f>R172</f>
        <v>0</v>
      </c>
      <c r="S190" s="211">
        <f>S172</f>
        <v>0</v>
      </c>
      <c r="T190" s="211">
        <f>T172</f>
        <v>0</v>
      </c>
      <c r="U190" s="211">
        <f>U172</f>
        <v>0</v>
      </c>
      <c r="V190" s="211">
        <f>V172</f>
        <v>0</v>
      </c>
      <c r="W190" s="211">
        <f>W172</f>
        <v>0</v>
      </c>
      <c r="X190" s="211">
        <f>X172</f>
        <v>0</v>
      </c>
      <c r="Y190" s="211">
        <f>Y172</f>
        <v>0</v>
      </c>
      <c r="Z190" s="211">
        <f>Z172</f>
        <v>0</v>
      </c>
      <c r="AA190" s="211">
        <f>AA172</f>
        <v>0</v>
      </c>
      <c r="AB190" s="211">
        <f>AB172</f>
        <v>0</v>
      </c>
      <c r="AC190" s="211">
        <f>AC172</f>
        <v>0</v>
      </c>
      <c r="AD190" s="211">
        <f>AD172</f>
        <v>0</v>
      </c>
      <c r="AE190" s="211">
        <f>AE172</f>
        <v>2736</v>
      </c>
      <c r="AF190" s="211">
        <f>AF172</f>
        <v>0</v>
      </c>
      <c r="AG190" s="211">
        <f>AG172</f>
        <v>0</v>
      </c>
      <c r="AH190" s="211">
        <f>AH172</f>
        <v>2736</v>
      </c>
      <c r="AI190" s="211">
        <f>AI172</f>
        <v>0</v>
      </c>
      <c r="AJ190" s="211">
        <f>AJ172</f>
        <v>5071</v>
      </c>
      <c r="AK190" s="211">
        <f>AK172</f>
        <v>0</v>
      </c>
      <c r="AL190" s="211">
        <f>AL172</f>
        <v>0</v>
      </c>
      <c r="AM190" s="211">
        <f>AM172</f>
        <v>5071</v>
      </c>
      <c r="AN190" s="211">
        <f>AN172</f>
        <v>1697</v>
      </c>
      <c r="AO190" s="211">
        <f>AO172</f>
        <v>0</v>
      </c>
      <c r="AP190" s="211">
        <f>AP172</f>
        <v>0</v>
      </c>
      <c r="AQ190" s="211">
        <f>AQ172</f>
        <v>0</v>
      </c>
      <c r="AR190" s="211">
        <f>AR172</f>
        <v>1697</v>
      </c>
      <c r="AS190" s="211">
        <f>AS172</f>
        <v>0</v>
      </c>
      <c r="AT190" s="211">
        <f>AT172</f>
        <v>0</v>
      </c>
      <c r="AU190" s="211">
        <f>AU172</f>
        <v>0</v>
      </c>
      <c r="AV190" s="211">
        <f>AV172</f>
        <v>0</v>
      </c>
      <c r="AW190" s="211">
        <f>AW172</f>
        <v>0</v>
      </c>
      <c r="AX190" s="211">
        <f>AX172</f>
        <v>0</v>
      </c>
      <c r="AY190" s="211">
        <f>AY172</f>
        <v>0</v>
      </c>
      <c r="AZ190" s="211">
        <f>AZ172</f>
        <v>0</v>
      </c>
      <c r="BA190" s="211">
        <f>BA172</f>
        <v>0</v>
      </c>
      <c r="BB190" s="211">
        <f>BB172</f>
        <v>0</v>
      </c>
      <c r="BC190" s="211">
        <f>BC172</f>
        <v>0</v>
      </c>
      <c r="BD190" s="211">
        <f>BD172</f>
        <v>0</v>
      </c>
      <c r="BE190" s="211">
        <f>BE172</f>
        <v>0</v>
      </c>
      <c r="BF190" s="211">
        <f>BF172</f>
        <v>0</v>
      </c>
      <c r="BG190" s="211">
        <f>BG172</f>
        <v>0</v>
      </c>
      <c r="BH190" s="211">
        <f>BH172</f>
        <v>2558</v>
      </c>
      <c r="BI190" s="211">
        <f>BI172</f>
        <v>0</v>
      </c>
      <c r="BJ190" s="211">
        <f>BJ172</f>
        <v>0</v>
      </c>
      <c r="BK190" s="211">
        <f>BK172</f>
        <v>0</v>
      </c>
      <c r="BL190" s="211">
        <f>BL172</f>
        <v>2558</v>
      </c>
      <c r="BM190" s="211">
        <f>BM172</f>
        <v>716</v>
      </c>
      <c r="BN190" s="211">
        <f>BN172</f>
        <v>0</v>
      </c>
      <c r="BO190" s="211">
        <f>BO172</f>
        <v>0</v>
      </c>
      <c r="BP190" s="211">
        <f>BP172</f>
        <v>0</v>
      </c>
      <c r="BQ190" s="211">
        <f>BQ172</f>
        <v>716</v>
      </c>
      <c r="BR190" s="211">
        <f>BR172</f>
        <v>0</v>
      </c>
      <c r="BS190" s="211">
        <f>BS172</f>
        <v>0</v>
      </c>
      <c r="BT190" s="211">
        <f>BT172</f>
        <v>3457</v>
      </c>
      <c r="BU190" s="211">
        <f>BU172</f>
        <v>0</v>
      </c>
      <c r="BV190" s="211">
        <f>BV172</f>
        <v>3457</v>
      </c>
      <c r="BW190" s="211">
        <f>BW172</f>
        <v>0</v>
      </c>
      <c r="BX190" s="211">
        <f>BX172</f>
        <v>0</v>
      </c>
      <c r="BY190" s="254">
        <f>BY172</f>
        <v>0</v>
      </c>
      <c r="BZ190" s="254">
        <f>BZ172</f>
        <v>0</v>
      </c>
      <c r="CA190" s="254">
        <f>CA172</f>
        <v>0</v>
      </c>
      <c r="CB190" s="254">
        <f>CB172</f>
        <v>0</v>
      </c>
      <c r="CC190" s="254">
        <f>CC172</f>
        <v>0</v>
      </c>
      <c r="CD190" s="254">
        <f>CD172</f>
        <v>0</v>
      </c>
      <c r="CE190" s="254">
        <f>CE172</f>
        <v>0</v>
      </c>
      <c r="CF190" s="19" t="n"/>
    </row>
    <row r="191" ht="15" customHeight="1" s="251">
      <c r="B191" s="55" t="inlineStr">
        <is>
          <t xml:space="preserve">  = Adjusted EBITDA (model)</t>
        </is>
      </c>
      <c r="C191" s="260">
        <f>IF(ISNUMBER(C189),C189+N(C190),"")</f>
        <v>4121.935</v>
      </c>
      <c r="D191" s="260">
        <f>IF(ISNUMBER(D189),D189+N(D190),"")</f>
        <v>6052.058</v>
      </c>
      <c r="E191" s="260">
        <f>IF(ISNUMBER(E189),E189+N(E190),"")</f>
        <v>8131.856</v>
      </c>
      <c r="F191" s="260">
        <f>IF(ISNUMBER(F189),F189+N(F190),"")</f>
        <v>9836.494</v>
      </c>
      <c r="G191" s="260">
        <f>IF(ISNUMBER(G189),G189+N(G190),"")</f>
        <v>11777</v>
      </c>
      <c r="H191" s="260">
        <f>IF(ISNUMBER(H189),H189+N(H190),"")</f>
        <v>13593</v>
      </c>
      <c r="I191" s="260">
        <f>IF(ISNUMBER(I189),I189+N(I190),"")</f>
        <v>15722</v>
      </c>
      <c r="J191" s="260">
        <f>IF(ISNUMBER(J189),J189+N(J190),"")</f>
        <v>4376</v>
      </c>
      <c r="K191" s="260">
        <f>IF(ISNUMBER(K189),K189+N(K190),"")</f>
        <v>4153</v>
      </c>
      <c r="L191" s="260">
        <f>IF(ISNUMBER(L189),L189+N(L190),"")</f>
        <v>4418</v>
      </c>
      <c r="M191" s="260">
        <f>IF(ISNUMBER(M189),M189+N(M190),"")</f>
        <v>4958</v>
      </c>
      <c r="N191" s="260">
        <f>IF(ISNUMBER(N189),N189+N(N190),"")</f>
        <v>17905</v>
      </c>
      <c r="O191" s="260">
        <f>IF(ISNUMBER(O189),O189+N(O190),"")</f>
        <v>5201</v>
      </c>
      <c r="P191" s="260">
        <f>IF(ISNUMBER(P189),P189+N(P190),"")</f>
        <v>5337</v>
      </c>
      <c r="Q191" s="260">
        <f>IF(ISNUMBER(Q189),Q189+N(Q190),"")</f>
        <v>5271</v>
      </c>
      <c r="R191" s="260">
        <f>IF(ISNUMBER(R189),R189+N(R190),"")</f>
        <v>5666</v>
      </c>
      <c r="S191" s="260">
        <f>IF(ISNUMBER(S189),S189+N(S190),"")</f>
        <v>21475</v>
      </c>
      <c r="T191" s="260">
        <f>IF(ISNUMBER(T189),T189+N(T190),"")</f>
        <v>5624</v>
      </c>
      <c r="U191" s="260">
        <f>IF(ISNUMBER(U189),U189+N(U190),"")</f>
        <v>6059</v>
      </c>
      <c r="V191" s="260">
        <f>IF(ISNUMBER(V189),V189+N(V190),"")</f>
        <v>5956</v>
      </c>
      <c r="W191" s="260">
        <f>IF(ISNUMBER(W189),W189+N(W190),"")</f>
        <v>6784</v>
      </c>
      <c r="X191" s="260">
        <f>IF(ISNUMBER(X189),X189+N(X190),"")</f>
        <v>24423</v>
      </c>
      <c r="Y191" s="260">
        <f>IF(ISNUMBER(Y189),Y189+N(Y190),"")</f>
        <v>6713</v>
      </c>
      <c r="Z191" s="260">
        <f>IF(ISNUMBER(Z189),Z189+N(Z190),"")</f>
        <v>7458</v>
      </c>
      <c r="AA191" s="260">
        <f>IF(ISNUMBER(AA189),AA189+N(AA190),"")</f>
        <v>7363</v>
      </c>
      <c r="AB191" s="260">
        <f>IF(ISNUMBER(AB189),AB189+N(AB190),"")</f>
        <v>8326</v>
      </c>
      <c r="AC191" s="260">
        <f>IF(ISNUMBER(AC189),AC189+N(AC190),"")</f>
        <v>29860</v>
      </c>
      <c r="AD191" s="260">
        <f>IF(ISNUMBER(AD189),AD189+N(AD190),"")</f>
        <v>8071</v>
      </c>
      <c r="AE191" s="260">
        <f>IF(ISNUMBER(AE189),AE189+N(AE190),"")</f>
        <v>8493</v>
      </c>
      <c r="AF191" s="260">
        <f>IF(ISNUMBER(AF189),AF189+N(AF190),"")</f>
        <v>9543</v>
      </c>
      <c r="AG191" s="260">
        <f>IF(ISNUMBER(AG189),AG189+N(AG190),"")</f>
        <v>9690</v>
      </c>
      <c r="AH191" s="260">
        <f>IF(ISNUMBER(AH189),AH189+N(AH190),"")</f>
        <v>35797</v>
      </c>
      <c r="AI191" s="260">
        <f>IF(ISNUMBER(AI189),AI189+N(AI190),"")</f>
        <v>8987</v>
      </c>
      <c r="AJ191" s="260">
        <f>IF(ISNUMBER(AJ189),AJ189+N(AJ190),"")</f>
        <v>9992</v>
      </c>
      <c r="AK191" s="260">
        <f>IF(ISNUMBER(AK189),AK189+N(AK190),"")</f>
        <v>10665</v>
      </c>
      <c r="AL191" s="260">
        <f>IF(ISNUMBER(AL189),AL189+N(AL190),"")</f>
        <v>10783</v>
      </c>
      <c r="AM191" s="260">
        <f>IF(ISNUMBER(AM189),AM189+N(AM190),"")</f>
        <v>40427</v>
      </c>
      <c r="AN191" s="260">
        <f>IF(ISNUMBER(AN189),AN189+N(AN190),"")</f>
        <v>10918</v>
      </c>
      <c r="AO191" s="260">
        <f>IF(ISNUMBER(AO189),AO189+N(AO190),"")</f>
        <v>12015</v>
      </c>
      <c r="AP191" s="260">
        <f>IF(ISNUMBER(AP189),AP189+N(AP190),"")</f>
        <v>12097</v>
      </c>
      <c r="AQ191" s="260">
        <f>IF(ISNUMBER(AQ189),AQ189+N(AQ190),"")</f>
        <v>12679</v>
      </c>
      <c r="AR191" s="260">
        <f>IF(ISNUMBER(AR189),AR189+N(AR190),"")</f>
        <v>47709</v>
      </c>
      <c r="AS191" s="260">
        <f>IF(ISNUMBER(AS189),AS189+N(AS190),"")</f>
        <v>11085</v>
      </c>
      <c r="AT191" s="260">
        <f>IF(ISNUMBER(AT189),AT189+N(AT190),"")</f>
        <v>9769</v>
      </c>
      <c r="AU191" s="260">
        <f>IF(ISNUMBER(AU189),AU189+N(AU190),"")</f>
        <v>14691</v>
      </c>
      <c r="AV191" s="260">
        <f>IF(ISNUMBER(AV189),AV189+N(AV190),"")</f>
        <v>19376</v>
      </c>
      <c r="AW191" s="260">
        <f>IF(ISNUMBER(AW189),AW189+N(AW190),"")</f>
        <v>54921</v>
      </c>
      <c r="AX191" s="260">
        <f>IF(ISNUMBER(AX189),AX189+N(AX190),"")</f>
        <v>19190</v>
      </c>
      <c r="AY191" s="260">
        <f>IF(ISNUMBER(AY189),AY189+N(AY190),"")</f>
        <v>22306</v>
      </c>
      <c r="AZ191" s="260">
        <f>IF(ISNUMBER(AZ189),AZ189+N(AZ190),"")</f>
        <v>24335</v>
      </c>
      <c r="BA191" s="260">
        <f>IF(ISNUMBER(BA189),BA189+N(BA190),"")</f>
        <v>25324</v>
      </c>
      <c r="BB191" s="260">
        <f>IF(ISNUMBER(BB189),BB189+N(BB190),"")</f>
        <v>91155</v>
      </c>
      <c r="BC191" s="260">
        <f>IF(ISNUMBER(BC189),BC189+N(BC190),"")</f>
        <v>23876</v>
      </c>
      <c r="BD191" s="260">
        <f>IF(ISNUMBER(BD189),BD189+N(BD190),"")</f>
        <v>23352</v>
      </c>
      <c r="BE191" s="260">
        <f>IF(ISNUMBER(BE189),BE189+N(BE190),"")</f>
        <v>21181</v>
      </c>
      <c r="BF191" s="260">
        <f>IF(ISNUMBER(BF189),BF189+N(BF190),"")</f>
        <v>22361</v>
      </c>
      <c r="BG191" s="260">
        <f>IF(ISNUMBER(BG189),BG189+N(BG190),"")</f>
        <v>90770</v>
      </c>
      <c r="BH191" s="260">
        <f>IF(ISNUMBER(BH189),BH189+N(BH190),"")</f>
        <v>23159</v>
      </c>
      <c r="BI191" s="260">
        <f>IF(ISNUMBER(BI189),BI189+N(BI190),"")</f>
        <v>25235</v>
      </c>
      <c r="BJ191" s="260">
        <f>IF(ISNUMBER(BJ189),BJ189+N(BJ190),"")</f>
        <v>25143</v>
      </c>
      <c r="BK191" s="260">
        <f>IF(ISNUMBER(BK189),BK189+N(BK190),"")</f>
        <v>25260</v>
      </c>
      <c r="BL191" s="260">
        <f>IF(ISNUMBER(BL189),BL189+N(BL190),"")</f>
        <v>98797</v>
      </c>
      <c r="BM191" s="260">
        <f>IF(ISNUMBER(BM189),BM189+N(BM190),"")</f>
        <v>29601</v>
      </c>
      <c r="BN191" s="260">
        <f>IF(ISNUMBER(BN189),BN189+N(BN190),"")</f>
        <v>31133</v>
      </c>
      <c r="BO191" s="260">
        <f>IF(ISNUMBER(BO189),BO189+N(BO190),"")</f>
        <v>32506</v>
      </c>
      <c r="BP191" s="260">
        <f>IF(ISNUMBER(BP189),BP189+N(BP190),"")</f>
        <v>35177</v>
      </c>
      <c r="BQ191" s="260">
        <f>IF(ISNUMBER(BQ189),BQ189+N(BQ190),"")</f>
        <v>128417</v>
      </c>
      <c r="BR191" s="260">
        <f>IF(ISNUMBER(BR189),BR189+N(BR190),"")</f>
        <v>35093</v>
      </c>
      <c r="BS191" s="260">
        <f>IF(ISNUMBER(BS189),BS189+N(BS190),"")</f>
        <v>36269</v>
      </c>
      <c r="BT191" s="260">
        <f>IF(ISNUMBER(BT189),BT189+N(BT190),"")</f>
        <v>40296</v>
      </c>
      <c r="BU191" s="260">
        <f>IF(ISNUMBER(BU189),BU189+N(BU190),"")</f>
        <v>41974</v>
      </c>
      <c r="BV191" s="260">
        <f>IF(ISNUMBER(BV189),BV189+N(BV190),"")</f>
        <v>153632</v>
      </c>
      <c r="BW191" s="260">
        <f>IF(ISNUMBER(BW189),BW189+N(BW190),"")</f>
        <v>46356</v>
      </c>
      <c r="BX191" s="260">
        <f>IF(ISNUMBER(BX189),BX189+N(BX190),"")</f>
        <v>48241</v>
      </c>
      <c r="BY191" s="260">
        <f>IF(ISNUMBER(BY189),BY189+N(BY190),"")</f>
        <v>49937.7724184666</v>
      </c>
      <c r="BZ191" s="260">
        <f>IF(ISNUMBER(BZ189),BZ189+N(BZ190),"")</f>
        <v>59594.4822463207</v>
      </c>
      <c r="CA191" s="260">
        <f>IF(ISNUMBER(CA189),CA189+N(CA190),"")</f>
        <v>204129.254664787</v>
      </c>
      <c r="CB191" s="260">
        <f>IF(ISNUMBER(CB189),CB189+N(CB190),"")</f>
        <v>244974.616501572</v>
      </c>
      <c r="CC191" s="260">
        <f>IF(ISNUMBER(CC189),CC189+N(CC190),"")</f>
        <v>286016.960829526</v>
      </c>
      <c r="CD191" s="260">
        <f>IF(ISNUMBER(CD189),CD189+N(CD190),"")</f>
        <v>331272.45527132</v>
      </c>
      <c r="CE191" s="260">
        <f>IF(ISNUMBER(CE189),CE189+N(CE190),"")</f>
        <v>375223.195472324</v>
      </c>
      <c r="CF191" s="153" t="inlineStr">
        <is>
          <t>Model definition (Alphabet publishes no EBITDA): stock-based compensation is NOT added back. Used for leverage (net debt / adjusted EBITDA) and EV / EBITDA.</t>
        </is>
      </c>
      <c r="CH191" s="20">
        <f>IFERROR((CE191/BV191)^(1/5)-1,"n/m")</f>
        <v>0.195533083508404</v>
      </c>
      <c r="CI191" s="20">
        <f>IFERROR((BV191/AW191)^(1/5)-1,"n/m")</f>
        <v>0.228425009345726</v>
      </c>
      <c r="CJ191" s="20">
        <f>IFERROR((BV191/X191)^(1/10)-1,"n/m")</f>
        <v>0.201899812662568</v>
      </c>
      <c r="CK191" s="20">
        <f>IFERROR((BV191/C191)^(1/19)-1,"n/m")</f>
        <v>0.209773979514668</v>
      </c>
    </row>
    <row r="192" ht="15" customHeight="1" s="251">
      <c r="B192" s="25" t="inlineStr">
        <is>
          <t xml:space="preserve">  Adjusted EBITDA margin %</t>
        </is>
      </c>
      <c r="C192" s="215">
        <f>IF(AND(ISNUMBER(C191),ISNUMBER(C132)),IFERROR(C191/C132,""),"")</f>
        <v>0.388681495574176</v>
      </c>
      <c r="D192" s="215">
        <f>IF(AND(ISNUMBER(D191),ISNUMBER(D132)),IFERROR(D191/D132,""),"")</f>
        <v>0.364713939134335</v>
      </c>
      <c r="E192" s="215">
        <f>IF(AND(ISNUMBER(E191),ISNUMBER(E132)),IFERROR(E191/E132,""),"")</f>
        <v>0.373097077155658</v>
      </c>
      <c r="F192" s="215">
        <f>IF(AND(ISNUMBER(F191),ISNUMBER(F132)),IFERROR(F191/F132,""),"")</f>
        <v>0.415909507101374</v>
      </c>
      <c r="G192" s="215">
        <f>IF(AND(ISNUMBER(G191),ISNUMBER(G132)),IFERROR(G191/G132,""),"")</f>
        <v>0.401657515091573</v>
      </c>
      <c r="H192" s="215">
        <f>IF(AND(ISNUMBER(H191),ISNUMBER(H132)),IFERROR(H191/H132,""),"")</f>
        <v>0.358607043925604</v>
      </c>
      <c r="I192" s="215">
        <f>IF(AND(ISNUMBER(I191),ISNUMBER(I132)),IFERROR(I191/I132,""),"")</f>
        <v>0.313343298455406</v>
      </c>
      <c r="J192" s="215">
        <f>IF(AND(ISNUMBER(J191),ISNUMBER(J132)),IFERROR(J191/J132,""),"")</f>
        <v>0.313265086978309</v>
      </c>
      <c r="K192" s="215">
        <f>IF(AND(ISNUMBER(K191),ISNUMBER(K132)),IFERROR(K191/K132,""),"")</f>
        <v>0.294434597660404</v>
      </c>
      <c r="L192" s="215">
        <f>IF(AND(ISNUMBER(L191),ISNUMBER(L132)),IFERROR(L191/L132,""),"")</f>
        <v>0.296649432619351</v>
      </c>
      <c r="M192" s="215">
        <f>IF(AND(ISNUMBER(M191),ISNUMBER(M132)),IFERROR(M191/M132,""),"")</f>
        <v>0.2941036896429</v>
      </c>
      <c r="N192" s="215">
        <f>IF(AND(ISNUMBER(N191),ISNUMBER(N132)),IFERROR(N191/N132,""),"")</f>
        <v>0.299289594651066</v>
      </c>
      <c r="O192" s="215">
        <f>IF(AND(ISNUMBER(O191),ISNUMBER(O132)),IFERROR(O191/O132,""),"")</f>
        <v>0.337289234760052</v>
      </c>
      <c r="P192" s="215">
        <f>IF(AND(ISNUMBER(P191),ISNUMBER(P132)),IFERROR(P191/P132,""),"")</f>
        <v>0.334503290504544</v>
      </c>
      <c r="Q192" s="215">
        <f>IF(AND(ISNUMBER(Q191),ISNUMBER(Q132)),IFERROR(Q191/Q132,""),"")</f>
        <v>0.319009865036616</v>
      </c>
      <c r="R192" s="215">
        <f>IF(AND(ISNUMBER(R191),ISNUMBER(R132)),IFERROR(R191/R132,""),"")</f>
        <v>0.312986797768326</v>
      </c>
      <c r="S192" s="215">
        <f>IF(AND(ISNUMBER(S191),ISNUMBER(S132)),IFERROR(S191/S132,""),"")</f>
        <v>0.325373857971849</v>
      </c>
      <c r="T192" s="215">
        <f>IF(AND(ISNUMBER(T191),ISNUMBER(T132)),IFERROR(T191/T132,""),"")</f>
        <v>0.325877853748986</v>
      </c>
      <c r="U192" s="215">
        <f>IF(AND(ISNUMBER(U191),ISNUMBER(U132)),IFERROR(U191/U132,""),"")</f>
        <v>0.341795001974389</v>
      </c>
      <c r="V192" s="215">
        <f>IF(AND(ISNUMBER(V191),ISNUMBER(V132)),IFERROR(V191/V132,""),"")</f>
        <v>0.318929049531459</v>
      </c>
      <c r="W192" s="215">
        <f>IF(AND(ISNUMBER(W191),ISNUMBER(W132)),IFERROR(W191/W132,""),"")</f>
        <v>0.318064606873271</v>
      </c>
      <c r="X192" s="215">
        <f>IF(AND(ISNUMBER(X191),ISNUMBER(X132)),IFERROR(X191/X132,""),"")</f>
        <v>0.325687767539239</v>
      </c>
      <c r="Y192" s="215">
        <f>IF(AND(ISNUMBER(Y191),ISNUMBER(Y132)),IFERROR(Y191/Y132,""),"")</f>
        <v>0.331391617712396</v>
      </c>
      <c r="Z192" s="215">
        <f>IF(AND(ISNUMBER(Z191),ISNUMBER(Z132)),IFERROR(Z191/Z132,""),"")</f>
        <v>0.346883720930233</v>
      </c>
      <c r="AA192" s="215">
        <f>IF(AND(ISNUMBER(AA191),ISNUMBER(AA132)),IFERROR(AA191/AA132,""),"")</f>
        <v>0.327958665538283</v>
      </c>
      <c r="AB192" s="215">
        <f>IF(AND(ISNUMBER(AB191),ISNUMBER(AB132)),IFERROR(AB191/AB132,""),"")</f>
        <v>0.319444444444444</v>
      </c>
      <c r="AC192" s="215">
        <f>IF(AND(ISNUMBER(AC191),ISNUMBER(AC132)),IFERROR(AC191/AC132,""),"")</f>
        <v>0.330778092874867</v>
      </c>
      <c r="AD192" s="215">
        <f>IF(AND(ISNUMBER(AD191),ISNUMBER(AD132)),IFERROR(AD191/AD132,""),"")</f>
        <v>0.32610101010101</v>
      </c>
      <c r="AE192" s="215">
        <f>IF(AND(ISNUMBER(AE191),ISNUMBER(AE132)),IFERROR(AE191/AE132,""),"")</f>
        <v>0.326528258362168</v>
      </c>
      <c r="AF192" s="215">
        <f>IF(AND(ISNUMBER(AF191),ISNUMBER(AF132)),IFERROR(AF191/AF132,""),"")</f>
        <v>0.343619472850353</v>
      </c>
      <c r="AG192" s="215">
        <f>IF(AND(ISNUMBER(AG191),ISNUMBER(AG132)),IFERROR(AG191/AG132,""),"")</f>
        <v>0.299786529715682</v>
      </c>
      <c r="AH192" s="215">
        <f>IF(AND(ISNUMBER(AH191),ISNUMBER(AH132)),IFERROR(AH191/AH132,""),"")</f>
        <v>0.322917324432818</v>
      </c>
      <c r="AI192" s="215">
        <f>IF(AND(ISNUMBER(AI191),ISNUMBER(AI132)),IFERROR(AI191/AI132,""),"")</f>
        <v>0.288544275348359</v>
      </c>
      <c r="AJ192" s="215">
        <f>IF(AND(ISNUMBER(AJ191),ISNUMBER(AJ132)),IFERROR(AJ191/AJ132,""),"")</f>
        <v>0.30596809259883</v>
      </c>
      <c r="AK192" s="215">
        <f>IF(AND(ISNUMBER(AK191),ISNUMBER(AK132)),IFERROR(AK191/AK132,""),"")</f>
        <v>0.316093657379964</v>
      </c>
      <c r="AL192" s="215">
        <f>IF(AND(ISNUMBER(AL191),ISNUMBER(AL132)),IFERROR(AL191/AL132,""),"")</f>
        <v>0.274544250942051</v>
      </c>
      <c r="AM192" s="215">
        <f>IF(AND(ISNUMBER(AM191),ISNUMBER(AM132)),IFERROR(AM191/AM132,""),"")</f>
        <v>0.295477967241392</v>
      </c>
      <c r="AN192" s="215">
        <f>IF(AND(ISNUMBER(AN191),ISNUMBER(AN132)),IFERROR(AN191/AN132,""),"")</f>
        <v>0.300448553895264</v>
      </c>
      <c r="AO192" s="215">
        <f>IF(AND(ISNUMBER(AO191),ISNUMBER(AO132)),IFERROR(AO191/AO132,""),"")</f>
        <v>0.308519926047658</v>
      </c>
      <c r="AP192" s="215">
        <f>IF(AND(ISNUMBER(AP191),ISNUMBER(AP132)),IFERROR(AP191/AP132,""),"")</f>
        <v>0.298698733302057</v>
      </c>
      <c r="AQ192" s="215">
        <f>IF(AND(ISNUMBER(AQ191),ISNUMBER(AQ132)),IFERROR(AQ191/AQ132,""),"")</f>
        <v>0.275181768855128</v>
      </c>
      <c r="AR192" s="215">
        <f>IF(AND(ISNUMBER(AR191),ISNUMBER(AR132)),IFERROR(AR191/AR132,""),"")</f>
        <v>0.294760189550035</v>
      </c>
      <c r="AS192" s="215">
        <f>IF(AND(ISNUMBER(AS191),ISNUMBER(AS132)),IFERROR(AS191/AS132,""),"")</f>
        <v>0.269321412084842</v>
      </c>
      <c r="AT192" s="215">
        <f>IF(AND(ISNUMBER(AT191),ISNUMBER(AT132)),IFERROR(AT191/AT132,""),"")</f>
        <v>0.255085254719691</v>
      </c>
      <c r="AU192" s="215">
        <f>IF(AND(ISNUMBER(AU191),ISNUMBER(AU132)),IFERROR(AU191/AU132,""),"")</f>
        <v>0.318172958222338</v>
      </c>
      <c r="AV192" s="215">
        <f>IF(AND(ISNUMBER(AV191),ISNUMBER(AV132)),IFERROR(AV191/AV132,""),"")</f>
        <v>0.340539210517066</v>
      </c>
      <c r="AW192" s="215">
        <f>IF(AND(ISNUMBER(AW191),ISNUMBER(AW132)),IFERROR(AW191/AW132,""),"")</f>
        <v>0.300892470702965</v>
      </c>
      <c r="AX192" s="215">
        <f>IF(AND(ISNUMBER(AX191),ISNUMBER(AX132)),IFERROR(AX191/AX132,""),"")</f>
        <v>0.346928444878331</v>
      </c>
      <c r="AY192" s="215">
        <f>IF(AND(ISNUMBER(AY191),ISNUMBER(AY132)),IFERROR(AY191/AY132,""),"")</f>
        <v>0.360471881060116</v>
      </c>
      <c r="AZ192" s="215">
        <f>IF(AND(ISNUMBER(AZ191),ISNUMBER(AZ132)),IFERROR(AZ191/AZ132,""),"")</f>
        <v>0.373706194907706</v>
      </c>
      <c r="BA192" s="215">
        <f>IF(AND(ISNUMBER(BA191),ISNUMBER(BA132)),IFERROR(BA191/BA132,""),"")</f>
        <v>0.336196481911716</v>
      </c>
      <c r="BB192" s="215">
        <f>IF(AND(ISNUMBER(BB191),ISNUMBER(BB132)),IFERROR(BB191/BB132,""),"")</f>
        <v>0.353811758404267</v>
      </c>
      <c r="BC192" s="215">
        <f>IF(AND(ISNUMBER(BC191),ISNUMBER(BC132)),IFERROR(BC191/BC132,""),"")</f>
        <v>0.351060857802414</v>
      </c>
      <c r="BD192" s="215">
        <f>IF(AND(ISNUMBER(BD191),ISNUMBER(BD132)),IFERROR(BD191/BD132,""),"")</f>
        <v>0.335107985936715</v>
      </c>
      <c r="BE192" s="215">
        <f>IF(AND(ISNUMBER(BE191),ISNUMBER(BE132)),IFERROR(BE191/BE132,""),"")</f>
        <v>0.306562264806345</v>
      </c>
      <c r="BF192" s="215">
        <f>IF(AND(ISNUMBER(BF191),ISNUMBER(BF132)),IFERROR(BF191/BF132,""),"")</f>
        <v>0.294037976015148</v>
      </c>
      <c r="BG192" s="215">
        <f>IF(AND(ISNUMBER(BG191),ISNUMBER(BG132)),IFERROR(BG191/BG132,""),"")</f>
        <v>0.320928028963781</v>
      </c>
      <c r="BH192" s="215">
        <f>IF(AND(ISNUMBER(BH191),ISNUMBER(BH132)),IFERROR(BH191/BH132,""),"")</f>
        <v>0.331852637310674</v>
      </c>
      <c r="BI192" s="215">
        <f>IF(AND(ISNUMBER(BI191),ISNUMBER(BI132)),IFERROR(BI191/BI132,""),"")</f>
        <v>0.338252640609083</v>
      </c>
      <c r="BJ192" s="215">
        <f>IF(AND(ISNUMBER(BJ191),ISNUMBER(BJ132)),IFERROR(BJ191/BJ132,""),"")</f>
        <v>0.327839568148332</v>
      </c>
      <c r="BK192" s="215">
        <f>IF(AND(ISNUMBER(BK191),ISNUMBER(BK132)),IFERROR(BK191/BK132,""),"")</f>
        <v>0.292665971498088</v>
      </c>
      <c r="BL192" s="215">
        <f>IF(AND(ISNUMBER(BL191),ISNUMBER(BL132)),IFERROR(BL191/BL132,""),"")</f>
        <v>0.321401849092695</v>
      </c>
      <c r="BM192" s="215">
        <f>IF(AND(ISNUMBER(BM191),ISNUMBER(BM132)),IFERROR(BM191/BM132,""),"")</f>
        <v>0.367536224686177</v>
      </c>
      <c r="BN192" s="215">
        <f>IF(AND(ISNUMBER(BN191),ISNUMBER(BN132)),IFERROR(BN191/BN132,""),"")</f>
        <v>0.36738571192561</v>
      </c>
      <c r="BO192" s="215">
        <f>IF(AND(ISNUMBER(BO191),ISNUMBER(BO132)),IFERROR(BO191/BO132,""),"")</f>
        <v>0.368264829836407</v>
      </c>
      <c r="BP192" s="215">
        <f>IF(AND(ISNUMBER(BP191),ISNUMBER(BP132)),IFERROR(BP191/BP132,""),"")</f>
        <v>0.364645637458665</v>
      </c>
      <c r="BQ192" s="215">
        <f>IF(AND(ISNUMBER(BQ191),ISNUMBER(BQ132)),IFERROR(BQ191/BQ132,""),"")</f>
        <v>0.366886845819358</v>
      </c>
      <c r="BR192" s="215">
        <f>IF(AND(ISNUMBER(BR191),ISNUMBER(BR132)),IFERROR(BR191/BR132,""),"")</f>
        <v>0.388911053483166</v>
      </c>
      <c r="BS192" s="215">
        <f>IF(AND(ISNUMBER(BS191),ISNUMBER(BS132)),IFERROR(BS191/BS132,""),"")</f>
        <v>0.376125191852989</v>
      </c>
      <c r="BT192" s="215">
        <f>IF(AND(ISNUMBER(BT191),ISNUMBER(BT132)),IFERROR(BT191/BT132,""),"")</f>
        <v>0.393723252496434</v>
      </c>
      <c r="BU192" s="215">
        <f>IF(AND(ISNUMBER(BU191),ISNUMBER(BU132)),IFERROR(BU191/BU132,""),"")</f>
        <v>0.368746101608553</v>
      </c>
      <c r="BV192" s="215">
        <f>IF(AND(ISNUMBER(BV191),ISNUMBER(BV132)),IFERROR(BV191/BV132,""),"")</f>
        <v>0.38137604384911</v>
      </c>
      <c r="BW192" s="215">
        <f>IF(AND(ISNUMBER(BW191),ISNUMBER(BW132)),IFERROR(BW191/BW132,""),"")</f>
        <v>0.421816990609303</v>
      </c>
      <c r="BX192" s="215">
        <f>IF(AND(ISNUMBER(BX191),ISNUMBER(BX132)),IFERROR(BX191/BX132,""),"")</f>
        <v>0.402692911282514</v>
      </c>
      <c r="BY192" s="256">
        <f>IF(AND(ISNUMBER(BY191),ISNUMBER(BY132)),IFERROR(BY191/BY132,""),"")</f>
        <v>0.393209103297227</v>
      </c>
      <c r="BZ192" s="256">
        <f>IF(AND(ISNUMBER(BZ191),ISNUMBER(BZ132)),IFERROR(BZ191/BZ132,""),"")</f>
        <v>0.420916449905507</v>
      </c>
      <c r="CA192" s="256">
        <f>IF(AND(ISNUMBER(CA191),ISNUMBER(CA132)),IFERROR(CA191/CA132,""),"")</f>
        <v>0.409671681857101</v>
      </c>
      <c r="CB192" s="256">
        <f>IF(AND(ISNUMBER(CB191),ISNUMBER(CB132)),IFERROR(CB191/CB132,""),"")</f>
        <v>0.418843008458533</v>
      </c>
      <c r="CC192" s="256">
        <f>IF(AND(ISNUMBER(CC191),ISNUMBER(CC132)),IFERROR(CC191/CC132,""),"")</f>
        <v>0.426278775484542</v>
      </c>
      <c r="CD192" s="256">
        <f>IF(AND(ISNUMBER(CD191),ISNUMBER(CD132)),IFERROR(CD191/CD132,""),"")</f>
        <v>0.437029397240349</v>
      </c>
      <c r="CE192" s="256">
        <f>IF(AND(ISNUMBER(CE191),ISNUMBER(CE132)),IFERROR(CE191/CE132,""),"")</f>
        <v>0.444704365929483</v>
      </c>
      <c r="CF192" s="153" t="n"/>
      <c r="CH192" s="37">
        <f>IFERROR(AVERAGE(CA192,CB192,CC192,CD192,CE192),"n/m")</f>
        <v>0.427305445794001</v>
      </c>
      <c r="CI192" s="37">
        <f>IFERROR(AVERAGE(BB192,BG192,BL192,BQ192,BV192),"n/m")</f>
        <v>0.348880905225842</v>
      </c>
      <c r="CJ192" s="37">
        <f>IFERROR(AVERAGE(AC192,AH192,AM192,AR192,AW192,BB192,BG192,BL192,BQ192,BV192),"n/m")</f>
        <v>0.328923057093129</v>
      </c>
      <c r="CK192" s="37">
        <f>IFERROR(AVERAGE(C192,D192,E192,F192,G192,H192,I192,N192,S192,X192,AC192,AH192,AM192,AR192,AW192,BB192,BG192,BL192,BQ192,BV192),"n/m")</f>
        <v>0.342779583376578</v>
      </c>
    </row>
    <row r="193" ht="15" customHeight="1" s="251">
      <c r="B193" s="25" t="inlineStr">
        <is>
          <t>To adjusted EBIT (for NOPAT, ROIC and the DCF):</t>
        </is>
      </c>
      <c r="CF193" s="153" t="n"/>
    </row>
    <row r="194" ht="15" customHeight="1" s="251">
      <c r="B194" s="25" t="inlineStr">
        <is>
          <t xml:space="preserve">  (−) Depreciation &amp; amortization</t>
        </is>
      </c>
      <c r="C194" s="211">
        <f>IF(ISNUMBER(C113),-C113,"")</f>
        <v>-571.939</v>
      </c>
      <c r="D194" s="211">
        <f>IF(ISNUMBER(D113),-D113,"")</f>
        <v>-967.658</v>
      </c>
      <c r="E194" s="211">
        <f>IF(ISNUMBER(E113),-E113,"")</f>
        <v>-1499.887</v>
      </c>
      <c r="F194" s="211">
        <f>IF(ISNUMBER(F113),-F113,"")</f>
        <v>-1524.308</v>
      </c>
      <c r="G194" s="211">
        <f>IF(ISNUMBER(G113),-G113,"")</f>
        <v>-1396</v>
      </c>
      <c r="H194" s="211">
        <f>IF(ISNUMBER(H113),-H113,"")</f>
        <v>-1851</v>
      </c>
      <c r="I194" s="211">
        <f>IF(ISNUMBER(I113),-I113,"")</f>
        <v>-2962</v>
      </c>
      <c r="J194" s="211">
        <f>IF(ISNUMBER(J113),-J113,"")</f>
        <v>-899</v>
      </c>
      <c r="K194" s="211">
        <f>IF(ISNUMBER(K113),-K113,"")</f>
        <v>-1030</v>
      </c>
      <c r="L194" s="211">
        <f>IF(ISNUMBER(L113),-L113,"")</f>
        <v>-974</v>
      </c>
      <c r="M194" s="211">
        <f>IF(ISNUMBER(M113),-M113,"")</f>
        <v>-1036</v>
      </c>
      <c r="N194" s="211">
        <f>IF(ISNUMBER(N113),-N113,"")</f>
        <v>-3939</v>
      </c>
      <c r="O194" s="211">
        <f>IF(ISNUMBER(O113),-O113,"")</f>
        <v>-1086</v>
      </c>
      <c r="P194" s="211">
        <f>IF(ISNUMBER(P113),-P113,"")</f>
        <v>-1079</v>
      </c>
      <c r="Q194" s="211">
        <f>IF(ISNUMBER(Q113),-Q113,"")</f>
        <v>-1547</v>
      </c>
      <c r="R194" s="211">
        <f>IF(ISNUMBER(R113),-R113,"")</f>
        <v>-1267</v>
      </c>
      <c r="S194" s="211">
        <f>IF(ISNUMBER(S113),-S113,"")</f>
        <v>-4979</v>
      </c>
      <c r="T194" s="211">
        <f>IF(ISNUMBER(T113),-T113,"")</f>
        <v>-1177</v>
      </c>
      <c r="U194" s="211">
        <f>IF(ISNUMBER(U113),-U113,"")</f>
        <v>-1234</v>
      </c>
      <c r="V194" s="211">
        <f>IF(ISNUMBER(V113),-V113,"")</f>
        <v>-1248</v>
      </c>
      <c r="W194" s="211">
        <f>IF(ISNUMBER(W113),-W113,"")</f>
        <v>-1404</v>
      </c>
      <c r="X194" s="211">
        <f>IF(ISNUMBER(X113),-X113,"")</f>
        <v>-5063</v>
      </c>
      <c r="Y194" s="211">
        <f>IF(ISNUMBER(Y113),-Y113,"")</f>
        <v>-1371</v>
      </c>
      <c r="Z194" s="211">
        <f>IF(ISNUMBER(Z113),-Z113,"")</f>
        <v>-1490</v>
      </c>
      <c r="AA194" s="211">
        <f>IF(ISNUMBER(AA113),-AA113,"")</f>
        <v>-1596</v>
      </c>
      <c r="AB194" s="211">
        <f>IF(ISNUMBER(AB113),-AB113,"")</f>
        <v>-1687</v>
      </c>
      <c r="AC194" s="211">
        <f>IF(ISNUMBER(AC113),-AC113,"")</f>
        <v>-6144</v>
      </c>
      <c r="AD194" s="211">
        <f>IF(ISNUMBER(AD113),-AD113,"")</f>
        <v>-1503</v>
      </c>
      <c r="AE194" s="211">
        <f>IF(ISNUMBER(AE113),-AE113,"")</f>
        <v>-1625</v>
      </c>
      <c r="AF194" s="211">
        <f>IF(ISNUMBER(AF113),-AF113,"")</f>
        <v>-1761</v>
      </c>
      <c r="AG194" s="211">
        <f>IF(ISNUMBER(AG113),-AG113,"")</f>
        <v>-2026</v>
      </c>
      <c r="AH194" s="211">
        <f>IF(ISNUMBER(AH113),-AH113,"")</f>
        <v>-6915</v>
      </c>
      <c r="AI194" s="211">
        <f>IF(ISNUMBER(AI113),-AI113,"")</f>
        <v>-1986</v>
      </c>
      <c r="AJ194" s="211">
        <f>IF(ISNUMBER(AJ113),-AJ113,"")</f>
        <v>-2114</v>
      </c>
      <c r="AK194" s="211">
        <f>IF(ISNUMBER(AK113),-AK113,"")</f>
        <v>-2355</v>
      </c>
      <c r="AL194" s="211">
        <f>IF(ISNUMBER(AL113),-AL113,"")</f>
        <v>-2580</v>
      </c>
      <c r="AM194" s="211">
        <f>IF(ISNUMBER(AM113),-AM113,"")</f>
        <v>-9035</v>
      </c>
      <c r="AN194" s="211">
        <f>IF(ISNUMBER(AN113),-AN113,"")</f>
        <v>-2613</v>
      </c>
      <c r="AO194" s="211">
        <f>IF(ISNUMBER(AO113),-AO113,"")</f>
        <v>-2835</v>
      </c>
      <c r="AP194" s="211">
        <f>IF(ISNUMBER(AP113),-AP113,"")</f>
        <v>-2920</v>
      </c>
      <c r="AQ194" s="211">
        <f>IF(ISNUMBER(AQ113),-AQ113,"")</f>
        <v>-3413</v>
      </c>
      <c r="AR194" s="211">
        <f>IF(ISNUMBER(AR113),-AR113,"")</f>
        <v>-11781</v>
      </c>
      <c r="AS194" s="211">
        <f>IF(ISNUMBER(AS113),-AS113,"")</f>
        <v>-3108</v>
      </c>
      <c r="AT194" s="211">
        <f>IF(ISNUMBER(AT113),-AT113,"")</f>
        <v>-3386</v>
      </c>
      <c r="AU194" s="211">
        <f>IF(ISNUMBER(AU113),-AU113,"")</f>
        <v>-3478</v>
      </c>
      <c r="AV194" s="211">
        <f>IF(ISNUMBER(AV113),-AV113,"")</f>
        <v>-3725</v>
      </c>
      <c r="AW194" s="211">
        <f>IF(ISNUMBER(AW113),-AW113,"")</f>
        <v>-13697</v>
      </c>
      <c r="AX194" s="211">
        <f>IF(ISNUMBER(AX113),-AX113,"")</f>
        <v>-2753</v>
      </c>
      <c r="AY194" s="211">
        <f>IF(ISNUMBER(AY113),-AY113,"")</f>
        <v>-2945</v>
      </c>
      <c r="AZ194" s="211">
        <f>IF(ISNUMBER(AZ113),-AZ113,"")</f>
        <v>-3304</v>
      </c>
      <c r="BA194" s="211">
        <f>IF(ISNUMBER(BA113),-BA113,"")</f>
        <v>-3439</v>
      </c>
      <c r="BB194" s="211">
        <f>IF(ISNUMBER(BB113),-BB113,"")</f>
        <v>-12441</v>
      </c>
      <c r="BC194" s="211">
        <f>IF(ISNUMBER(BC113),-BC113,"")</f>
        <v>-3782</v>
      </c>
      <c r="BD194" s="211">
        <f>IF(ISNUMBER(BD113),-BD113,"")</f>
        <v>-3899</v>
      </c>
      <c r="BE194" s="211">
        <f>IF(ISNUMBER(BE113),-BE113,"")</f>
        <v>-4046</v>
      </c>
      <c r="BF194" s="211">
        <f>IF(ISNUMBER(BF113),-BF113,"")</f>
        <v>-4201</v>
      </c>
      <c r="BG194" s="211">
        <f>IF(ISNUMBER(BG113),-BG113,"")</f>
        <v>-15928</v>
      </c>
      <c r="BH194" s="211">
        <f>IF(ISNUMBER(BH113),-BH113,"")</f>
        <v>-3186</v>
      </c>
      <c r="BI194" s="211">
        <f>IF(ISNUMBER(BI113),-BI113,"")</f>
        <v>-3397</v>
      </c>
      <c r="BJ194" s="211">
        <f>IF(ISNUMBER(BJ113),-BJ113,"")</f>
        <v>-3800</v>
      </c>
      <c r="BK194" s="211">
        <f>IF(ISNUMBER(BK113),-BK113,"")</f>
        <v>-1563</v>
      </c>
      <c r="BL194" s="211">
        <f>IF(ISNUMBER(BL113),-BL113,"")</f>
        <v>-11946</v>
      </c>
      <c r="BM194" s="211">
        <f>IF(ISNUMBER(BM113),-BM113,"")</f>
        <v>-3413</v>
      </c>
      <c r="BN194" s="211">
        <f>IF(ISNUMBER(BN113),-BN113,"")</f>
        <v>-3708</v>
      </c>
      <c r="BO194" s="211">
        <f>IF(ISNUMBER(BO113),-BO113,"")</f>
        <v>-3985</v>
      </c>
      <c r="BP194" s="211">
        <f>IF(ISNUMBER(BP113),-BP113,"")</f>
        <v>-4205</v>
      </c>
      <c r="BQ194" s="211">
        <f>IF(ISNUMBER(BQ113),-BQ113,"")</f>
        <v>-15311</v>
      </c>
      <c r="BR194" s="211">
        <f>IF(ISNUMBER(BR113),-BR113,"")</f>
        <v>-4487</v>
      </c>
      <c r="BS194" s="211">
        <f>IF(ISNUMBER(BS113),-BS113,"")</f>
        <v>-4998</v>
      </c>
      <c r="BT194" s="211">
        <f>IF(ISNUMBER(BT113),-BT113,"")</f>
        <v>-5611</v>
      </c>
      <c r="BU194" s="211">
        <f>IF(ISNUMBER(BU113),-BU113,"")</f>
        <v>-6040</v>
      </c>
      <c r="BV194" s="211">
        <f>IF(ISNUMBER(BV113),-BV113,"")</f>
        <v>-21136</v>
      </c>
      <c r="BW194" s="211">
        <f>IF(ISNUMBER(BW113),-BW113,"")</f>
        <v>-6660</v>
      </c>
      <c r="BX194" s="211">
        <f>IF(ISNUMBER(BX113),-BX113,"")</f>
        <v>-7471</v>
      </c>
      <c r="BY194" s="254">
        <f>IF(ISNUMBER(BY113),-BY113,"")</f>
        <v>-8155.984</v>
      </c>
      <c r="BZ194" s="254">
        <f>IF(ISNUMBER(BZ113),-BZ113,"")</f>
        <v>-8903.438464</v>
      </c>
      <c r="CA194" s="254">
        <f>IF(ISNUMBER(CA113),-CA113,"")</f>
        <v>-31190.422464</v>
      </c>
      <c r="CB194" s="254">
        <f>IF(ISNUMBER(CB113),-CB113,"")</f>
        <v>-50331.37641664</v>
      </c>
      <c r="CC194" s="254">
        <f>IF(ISNUMBER(CC113),-CC113,"")</f>
        <v>-73595.0806287264</v>
      </c>
      <c r="CD194" s="254">
        <f>IF(ISNUMBER(CD113),-CD113,"")</f>
        <v>-96497.8338564229</v>
      </c>
      <c r="CE194" s="254">
        <f>IF(ISNUMBER(CE113),-CE113,"")</f>
        <v>-118506.145462934</v>
      </c>
      <c r="CF194" s="19" t="n"/>
    </row>
    <row r="195" ht="15" customHeight="1" s="251">
      <c r="B195" s="55" t="inlineStr">
        <is>
          <t xml:space="preserve">  = Adjusted EBIT (= adjusted operating income; full-cost, after stock-based compensation and amortization)</t>
        </is>
      </c>
      <c r="C195" s="260">
        <f>IF(ISNUMBER(C191),C191+C194,"")</f>
        <v>3549.996</v>
      </c>
      <c r="D195" s="260">
        <f>IF(ISNUMBER(D191),D191+D194,"")</f>
        <v>5084.4</v>
      </c>
      <c r="E195" s="260">
        <f>IF(ISNUMBER(E191),E191+E194,"")</f>
        <v>6631.969</v>
      </c>
      <c r="F195" s="260">
        <f>IF(ISNUMBER(F191),F191+F194,"")</f>
        <v>8312.186</v>
      </c>
      <c r="G195" s="260">
        <f>IF(ISNUMBER(G191),G191+G194,"")</f>
        <v>10381</v>
      </c>
      <c r="H195" s="260">
        <f>IF(ISNUMBER(H191),H191+H194,"")</f>
        <v>11742</v>
      </c>
      <c r="I195" s="260">
        <f>IF(ISNUMBER(I191),I191+I194,"")</f>
        <v>12760</v>
      </c>
      <c r="J195" s="260">
        <f>IF(ISNUMBER(J191),J191+J194,"")</f>
        <v>3477</v>
      </c>
      <c r="K195" s="260">
        <f>IF(ISNUMBER(K191),K191+K194,"")</f>
        <v>3123</v>
      </c>
      <c r="L195" s="260">
        <f>IF(ISNUMBER(L191),L191+L194,"")</f>
        <v>3444</v>
      </c>
      <c r="M195" s="260">
        <f>IF(ISNUMBER(M191),M191+M194,"")</f>
        <v>3922</v>
      </c>
      <c r="N195" s="260">
        <f>IF(ISNUMBER(N191),N191+N194,"")</f>
        <v>13966</v>
      </c>
      <c r="O195" s="260">
        <f>IF(ISNUMBER(O191),O191+O194,"")</f>
        <v>4115</v>
      </c>
      <c r="P195" s="260">
        <f>IF(ISNUMBER(P191),P191+P194,"")</f>
        <v>4258</v>
      </c>
      <c r="Q195" s="260">
        <f>IF(ISNUMBER(Q191),Q191+Q194,"")</f>
        <v>3724</v>
      </c>
      <c r="R195" s="260">
        <f>IF(ISNUMBER(R191),R191+R194,"")</f>
        <v>4399</v>
      </c>
      <c r="S195" s="260">
        <f>IF(ISNUMBER(S191),S191+S194,"")</f>
        <v>16496</v>
      </c>
      <c r="T195" s="260">
        <f>IF(ISNUMBER(T191),T191+T194,"")</f>
        <v>4447</v>
      </c>
      <c r="U195" s="260">
        <f>IF(ISNUMBER(U191),U191+U194,"")</f>
        <v>4825</v>
      </c>
      <c r="V195" s="260">
        <f>IF(ISNUMBER(V191),V191+V194,"")</f>
        <v>4708</v>
      </c>
      <c r="W195" s="260">
        <f>IF(ISNUMBER(W191),W191+W194,"")</f>
        <v>5380</v>
      </c>
      <c r="X195" s="260">
        <f>IF(ISNUMBER(X191),X191+X194,"")</f>
        <v>19360</v>
      </c>
      <c r="Y195" s="260">
        <f>IF(ISNUMBER(Y191),Y191+Y194,"")</f>
        <v>5342</v>
      </c>
      <c r="Z195" s="260">
        <f>IF(ISNUMBER(Z191),Z191+Z194,"")</f>
        <v>5968</v>
      </c>
      <c r="AA195" s="260">
        <f>IF(ISNUMBER(AA191),AA191+AA194,"")</f>
        <v>5767</v>
      </c>
      <c r="AB195" s="260">
        <f>IF(ISNUMBER(AB191),AB191+AB194,"")</f>
        <v>6639</v>
      </c>
      <c r="AC195" s="260">
        <f>IF(ISNUMBER(AC191),AC191+AC194,"")</f>
        <v>23716</v>
      </c>
      <c r="AD195" s="260">
        <f>IF(ISNUMBER(AD191),AD191+AD194,"")</f>
        <v>6568</v>
      </c>
      <c r="AE195" s="260">
        <f>IF(ISNUMBER(AE191),AE191+AE194,"")</f>
        <v>6868</v>
      </c>
      <c r="AF195" s="260">
        <f>IF(ISNUMBER(AF191),AF191+AF194,"")</f>
        <v>7782</v>
      </c>
      <c r="AG195" s="260">
        <f>IF(ISNUMBER(AG191),AG191+AG194,"")</f>
        <v>7664</v>
      </c>
      <c r="AH195" s="260">
        <f>IF(ISNUMBER(AH191),AH191+AH194,"")</f>
        <v>28882</v>
      </c>
      <c r="AI195" s="260">
        <f>IF(ISNUMBER(AI191),AI191+AI194,"")</f>
        <v>7001</v>
      </c>
      <c r="AJ195" s="260">
        <f>IF(ISNUMBER(AJ191),AJ191+AJ194,"")</f>
        <v>7878</v>
      </c>
      <c r="AK195" s="260">
        <f>IF(ISNUMBER(AK191),AK191+AK194,"")</f>
        <v>8310</v>
      </c>
      <c r="AL195" s="260">
        <f>IF(ISNUMBER(AL191),AL191+AL194,"")</f>
        <v>8203</v>
      </c>
      <c r="AM195" s="260">
        <f>IF(ISNUMBER(AM191),AM191+AM194,"")</f>
        <v>31392</v>
      </c>
      <c r="AN195" s="260">
        <f>IF(ISNUMBER(AN191),AN191+AN194,"")</f>
        <v>8305</v>
      </c>
      <c r="AO195" s="260">
        <f>IF(ISNUMBER(AO191),AO191+AO194,"")</f>
        <v>9180</v>
      </c>
      <c r="AP195" s="260">
        <f>IF(ISNUMBER(AP191),AP191+AP194,"")</f>
        <v>9177</v>
      </c>
      <c r="AQ195" s="260">
        <f>IF(ISNUMBER(AQ191),AQ191+AQ194,"")</f>
        <v>9266</v>
      </c>
      <c r="AR195" s="260">
        <f>IF(ISNUMBER(AR191),AR191+AR194,"")</f>
        <v>35928</v>
      </c>
      <c r="AS195" s="260">
        <f>IF(ISNUMBER(AS191),AS191+AS194,"")</f>
        <v>7977</v>
      </c>
      <c r="AT195" s="260">
        <f>IF(ISNUMBER(AT191),AT191+AT194,"")</f>
        <v>6383</v>
      </c>
      <c r="AU195" s="260">
        <f>IF(ISNUMBER(AU191),AU191+AU194,"")</f>
        <v>11213</v>
      </c>
      <c r="AV195" s="260">
        <f>IF(ISNUMBER(AV191),AV191+AV194,"")</f>
        <v>15651</v>
      </c>
      <c r="AW195" s="260">
        <f>IF(ISNUMBER(AW191),AW191+AW194,"")</f>
        <v>41224</v>
      </c>
      <c r="AX195" s="260">
        <f>IF(ISNUMBER(AX191),AX191+AX194,"")</f>
        <v>16437</v>
      </c>
      <c r="AY195" s="260">
        <f>IF(ISNUMBER(AY191),AY191+AY194,"")</f>
        <v>19361</v>
      </c>
      <c r="AZ195" s="260">
        <f>IF(ISNUMBER(AZ191),AZ191+AZ194,"")</f>
        <v>21031</v>
      </c>
      <c r="BA195" s="260">
        <f>IF(ISNUMBER(BA191),BA191+BA194,"")</f>
        <v>21885</v>
      </c>
      <c r="BB195" s="260">
        <f>IF(ISNUMBER(BB191),BB191+BB194,"")</f>
        <v>78714</v>
      </c>
      <c r="BC195" s="260">
        <f>IF(ISNUMBER(BC191),BC191+BC194,"")</f>
        <v>20094</v>
      </c>
      <c r="BD195" s="260">
        <f>IF(ISNUMBER(BD191),BD191+BD194,"")</f>
        <v>19453</v>
      </c>
      <c r="BE195" s="260">
        <f>IF(ISNUMBER(BE191),BE191+BE194,"")</f>
        <v>17135</v>
      </c>
      <c r="BF195" s="260">
        <f>IF(ISNUMBER(BF191),BF191+BF194,"")</f>
        <v>18160</v>
      </c>
      <c r="BG195" s="260">
        <f>IF(ISNUMBER(BG191),BG191+BG194,"")</f>
        <v>74842</v>
      </c>
      <c r="BH195" s="260">
        <f>IF(ISNUMBER(BH191),BH191+BH194,"")</f>
        <v>19973</v>
      </c>
      <c r="BI195" s="260">
        <f>IF(ISNUMBER(BI191),BI191+BI194,"")</f>
        <v>21838</v>
      </c>
      <c r="BJ195" s="260">
        <f>IF(ISNUMBER(BJ191),BJ191+BJ194,"")</f>
        <v>21343</v>
      </c>
      <c r="BK195" s="260">
        <f>IF(ISNUMBER(BK191),BK191+BK194,"")</f>
        <v>23697</v>
      </c>
      <c r="BL195" s="260">
        <f>IF(ISNUMBER(BL191),BL191+BL194,"")</f>
        <v>86851</v>
      </c>
      <c r="BM195" s="260">
        <f>IF(ISNUMBER(BM191),BM191+BM194,"")</f>
        <v>26188</v>
      </c>
      <c r="BN195" s="260">
        <f>IF(ISNUMBER(BN191),BN191+BN194,"")</f>
        <v>27425</v>
      </c>
      <c r="BO195" s="260">
        <f>IF(ISNUMBER(BO191),BO191+BO194,"")</f>
        <v>28521</v>
      </c>
      <c r="BP195" s="260">
        <f>IF(ISNUMBER(BP191),BP191+BP194,"")</f>
        <v>30972</v>
      </c>
      <c r="BQ195" s="260">
        <f>IF(ISNUMBER(BQ191),BQ191+BQ194,"")</f>
        <v>113106</v>
      </c>
      <c r="BR195" s="260">
        <f>IF(ISNUMBER(BR191),BR191+BR194,"")</f>
        <v>30606</v>
      </c>
      <c r="BS195" s="260">
        <f>IF(ISNUMBER(BS191),BS191+BS194,"")</f>
        <v>31271</v>
      </c>
      <c r="BT195" s="260">
        <f>IF(ISNUMBER(BT191),BT191+BT194,"")</f>
        <v>34685</v>
      </c>
      <c r="BU195" s="260">
        <f>IF(ISNUMBER(BU191),BU191+BU194,"")</f>
        <v>35934</v>
      </c>
      <c r="BV195" s="260">
        <f>IF(ISNUMBER(BV191),BV191+BV194,"")</f>
        <v>132496</v>
      </c>
      <c r="BW195" s="260">
        <f>IF(ISNUMBER(BW191),BW191+BW194,"")</f>
        <v>39696</v>
      </c>
      <c r="BX195" s="260">
        <f>IF(ISNUMBER(BX191),BX191+BX194,"")</f>
        <v>40770</v>
      </c>
      <c r="BY195" s="260">
        <f>IF(ISNUMBER(BY191),BY191+BY194,"")</f>
        <v>41781.7884184666</v>
      </c>
      <c r="BZ195" s="260">
        <f>IF(ISNUMBER(BZ191),BZ191+BZ194,"")</f>
        <v>50691.0437823207</v>
      </c>
      <c r="CA195" s="260">
        <f>IF(ISNUMBER(CA191),CA191+CA194,"")</f>
        <v>172938.832200787</v>
      </c>
      <c r="CB195" s="260">
        <f>IF(ISNUMBER(CB191),CB191+CB194,"")</f>
        <v>194643.240084932</v>
      </c>
      <c r="CC195" s="260">
        <f>IF(ISNUMBER(CC191),CC191+CC194,"")</f>
        <v>212421.8802008</v>
      </c>
      <c r="CD195" s="260">
        <f>IF(ISNUMBER(CD191),CD191+CD194,"")</f>
        <v>234774.621414897</v>
      </c>
      <c r="CE195" s="260">
        <f>IF(ISNUMBER(CE191),CE191+CE194,"")</f>
        <v>256717.05000939</v>
      </c>
      <c r="CF195" s="153" t="n"/>
    </row>
    <row r="196" ht="15" customHeight="1" s="251">
      <c r="B196" s="25" t="inlineStr">
        <is>
          <t xml:space="preserve">  Adjusted EBIT margin %</t>
        </is>
      </c>
      <c r="C196" s="215">
        <f>IF(AND(ISNUMBER(C195),ISNUMBER(C132)),IFERROR(C195/C132,""),"")</f>
        <v>0.334750003229634</v>
      </c>
      <c r="D196" s="215">
        <f>IF(AND(ISNUMBER(D195),ISNUMBER(D132)),IFERROR(D195/D132,""),"")</f>
        <v>0.306400162082817</v>
      </c>
      <c r="E196" s="215">
        <f>IF(AND(ISNUMBER(E195),ISNUMBER(E132)),IFERROR(E195/E132,""),"")</f>
        <v>0.304280873848102</v>
      </c>
      <c r="F196" s="215">
        <f>IF(AND(ISNUMBER(F195),ISNUMBER(F132)),IFERROR(F195/F132,""),"")</f>
        <v>0.351458271839026</v>
      </c>
      <c r="G196" s="215">
        <f>IF(AND(ISNUMBER(G195),ISNUMBER(G132)),IFERROR(G195/G132,""),"")</f>
        <v>0.354046587769858</v>
      </c>
      <c r="H196" s="215">
        <f>IF(AND(ISNUMBER(H195),ISNUMBER(H132)),IFERROR(H195/H132,""),"")</f>
        <v>0.309774436090226</v>
      </c>
      <c r="I196" s="215">
        <f>IF(AND(ISNUMBER(I195),ISNUMBER(I132)),IFERROR(I195/I132,""),"")</f>
        <v>0.254309915296462</v>
      </c>
      <c r="J196" s="215">
        <f>IF(AND(ISNUMBER(J195),ISNUMBER(J132)),IFERROR(J195/J132,""),"")</f>
        <v>0.248908296943231</v>
      </c>
      <c r="K196" s="215">
        <f>IF(AND(ISNUMBER(K195),ISNUMBER(K132)),IFERROR(K195/K132,""),"")</f>
        <v>0.221410847217299</v>
      </c>
      <c r="L196" s="215">
        <f>IF(AND(ISNUMBER(L195),ISNUMBER(L132)),IFERROR(L195/L132,""),"")</f>
        <v>0.231249580339757</v>
      </c>
      <c r="M196" s="215">
        <f>IF(AND(ISNUMBER(M195),ISNUMBER(M132)),IFERROR(M195/M132,""),"")</f>
        <v>0.232649187329458</v>
      </c>
      <c r="N196" s="215">
        <f>IF(AND(ISNUMBER(N195),ISNUMBER(N132)),IFERROR(N195/N132,""),"")</f>
        <v>0.233447555369829</v>
      </c>
      <c r="O196" s="215">
        <f>IF(AND(ISNUMBER(O195),ISNUMBER(O132)),IFERROR(O195/O132,""),"")</f>
        <v>0.26686121919585</v>
      </c>
      <c r="P196" s="215">
        <f>IF(AND(ISNUMBER(P195),ISNUMBER(P132)),IFERROR(P195/P132,""),"")</f>
        <v>0.266875587590097</v>
      </c>
      <c r="Q196" s="215">
        <f>IF(AND(ISNUMBER(Q195),ISNUMBER(Q132)),IFERROR(Q195/Q132,""),"")</f>
        <v>0.225382799733705</v>
      </c>
      <c r="R196" s="215">
        <f>IF(AND(ISNUMBER(R195),ISNUMBER(R132)),IFERROR(R195/R132,""),"")</f>
        <v>0.242998398055571</v>
      </c>
      <c r="S196" s="215">
        <f>IF(AND(ISNUMBER(S195),ISNUMBER(S132)),IFERROR(S195/S132,""),"")</f>
        <v>0.249935607036257</v>
      </c>
      <c r="T196" s="215">
        <f>IF(AND(ISNUMBER(T195),ISNUMBER(T132)),IFERROR(T195/T132,""),"")</f>
        <v>0.257677598794762</v>
      </c>
      <c r="U196" s="215">
        <f>IF(AND(ISNUMBER(U195),ISNUMBER(U132)),IFERROR(U195/U132,""),"")</f>
        <v>0.272183674620635</v>
      </c>
      <c r="V196" s="215">
        <f>IF(AND(ISNUMBER(V195),ISNUMBER(V132)),IFERROR(V195/V132,""),"")</f>
        <v>0.252101740294511</v>
      </c>
      <c r="W196" s="215">
        <f>IF(AND(ISNUMBER(W195),ISNUMBER(W132)),IFERROR(W195/W132,""),"")</f>
        <v>0.252238735993249</v>
      </c>
      <c r="X196" s="215">
        <f>IF(AND(ISNUMBER(X195),ISNUMBER(X132)),IFERROR(X195/X132,""),"")</f>
        <v>0.258171198442438</v>
      </c>
      <c r="Y196" s="215">
        <f>IF(AND(ISNUMBER(Y195),ISNUMBER(Y132)),IFERROR(Y195/Y132,""),"")</f>
        <v>0.263711309670731</v>
      </c>
      <c r="Z196" s="215">
        <f>IF(AND(ISNUMBER(Z195),ISNUMBER(Z132)),IFERROR(Z195/Z132,""),"")</f>
        <v>0.277581395348837</v>
      </c>
      <c r="AA196" s="215">
        <f>IF(AND(ISNUMBER(AA195),ISNUMBER(AA132)),IFERROR(AA195/AA132,""),"")</f>
        <v>0.256870518017015</v>
      </c>
      <c r="AB196" s="215">
        <f>IF(AND(ISNUMBER(AB195),ISNUMBER(AB132)),IFERROR(AB195/AB132,""),"")</f>
        <v>0.254719152854512</v>
      </c>
      <c r="AC196" s="215">
        <f>IF(AND(ISNUMBER(AC195),ISNUMBER(AC132)),IFERROR(AC195/AC132,""),"")</f>
        <v>0.262717121588089</v>
      </c>
      <c r="AD196" s="215">
        <f>IF(AND(ISNUMBER(AD195),ISNUMBER(AD132)),IFERROR(AD195/AD132,""),"")</f>
        <v>0.265373737373737</v>
      </c>
      <c r="AE196" s="215">
        <f>IF(AND(ISNUMBER(AE195),ISNUMBER(AE132)),IFERROR(AE195/AE132,""),"")</f>
        <v>0.264052287581699</v>
      </c>
      <c r="AF196" s="215">
        <f>IF(AND(ISNUMBER(AF195),ISNUMBER(AF132)),IFERROR(AF195/AF132,""),"")</f>
        <v>0.280210283739018</v>
      </c>
      <c r="AG196" s="215">
        <f>IF(AND(ISNUMBER(AG195),ISNUMBER(AG132)),IFERROR(AG195/AG132,""),"")</f>
        <v>0.237106704204436</v>
      </c>
      <c r="AH196" s="215">
        <f>IF(AND(ISNUMBER(AH195),ISNUMBER(AH132)),IFERROR(AH195/AH132,""),"")</f>
        <v>0.260538541337784</v>
      </c>
      <c r="AI196" s="215">
        <f>IF(AND(ISNUMBER(AI195),ISNUMBER(AI132)),IFERROR(AI195/AI132,""),"")</f>
        <v>0.224780068066525</v>
      </c>
      <c r="AJ196" s="215">
        <f>IF(AND(ISNUMBER(AJ195),ISNUMBER(AJ132)),IFERROR(AJ195/AJ132,""),"")</f>
        <v>0.241234651070215</v>
      </c>
      <c r="AK196" s="215">
        <f>IF(AND(ISNUMBER(AK195),ISNUMBER(AK132)),IFERROR(AK195/AK132,""),"")</f>
        <v>0.246295198577356</v>
      </c>
      <c r="AL196" s="215">
        <f>IF(AND(ISNUMBER(AL195),ISNUMBER(AL132)),IFERROR(AL195/AL132,""),"")</f>
        <v>0.20885528057847</v>
      </c>
      <c r="AM196" s="215">
        <f>IF(AND(ISNUMBER(AM195),ISNUMBER(AM132)),IFERROR(AM195/AM132,""),"")</f>
        <v>0.229441817291458</v>
      </c>
      <c r="AN196" s="215">
        <f>IF(AND(ISNUMBER(AN195),ISNUMBER(AN132)),IFERROR(AN195/AN132,""),"")</f>
        <v>0.228542337433611</v>
      </c>
      <c r="AO196" s="215">
        <f>IF(AND(ISNUMBER(AO195),ISNUMBER(AO132)),IFERROR(AO195/AO132,""),"")</f>
        <v>0.235723089564503</v>
      </c>
      <c r="AP196" s="215">
        <f>IF(AND(ISNUMBER(AP195),ISNUMBER(AP132)),IFERROR(AP195/AP132,""),"")</f>
        <v>0.226598187609571</v>
      </c>
      <c r="AQ196" s="215">
        <f>IF(AND(ISNUMBER(AQ195),ISNUMBER(AQ132)),IFERROR(AQ195/AQ132,""),"")</f>
        <v>0.201106890938687</v>
      </c>
      <c r="AR196" s="215">
        <f>IF(AND(ISNUMBER(AR195),ISNUMBER(AR132)),IFERROR(AR195/AR132,""),"")</f>
        <v>0.221973717540792</v>
      </c>
      <c r="AS196" s="215">
        <f>IF(AND(ISNUMBER(AS195),ISNUMBER(AS132)),IFERROR(AS195/AS132,""),"")</f>
        <v>0.193809373405574</v>
      </c>
      <c r="AT196" s="215">
        <f>IF(AND(ISNUMBER(AT195),ISNUMBER(AT132)),IFERROR(AT195/AT132,""),"")</f>
        <v>0.166671018617646</v>
      </c>
      <c r="AU196" s="215">
        <f>IF(AND(ISNUMBER(AU195),ISNUMBER(AU132)),IFERROR(AU195/AU132,""),"")</f>
        <v>0.24284755159942</v>
      </c>
      <c r="AV196" s="215">
        <f>IF(AND(ISNUMBER(AV195),ISNUMBER(AV132)),IFERROR(AV195/AV132,""),"")</f>
        <v>0.275071180006327</v>
      </c>
      <c r="AW196" s="215">
        <f>IF(AND(ISNUMBER(AW195),ISNUMBER(AW132)),IFERROR(AW195/AW132,""),"")</f>
        <v>0.225851517857632</v>
      </c>
      <c r="AX196" s="215">
        <f>IF(AND(ISNUMBER(AX195),ISNUMBER(AX132)),IFERROR(AX195/AX132,""),"")</f>
        <v>0.297158043171711</v>
      </c>
      <c r="AY196" s="215">
        <f>IF(AND(ISNUMBER(AY195),ISNUMBER(AY132)),IFERROR(AY195/AY132,""),"")</f>
        <v>0.312879767291532</v>
      </c>
      <c r="AZ196" s="215">
        <f>IF(AND(ISNUMBER(AZ195),ISNUMBER(AZ132)),IFERROR(AZ195/AZ132,""),"")</f>
        <v>0.322967535857981</v>
      </c>
      <c r="BA196" s="215">
        <f>IF(AND(ISNUMBER(BA195),ISNUMBER(BA132)),IFERROR(BA195/BA132,""),"")</f>
        <v>0.290540989047461</v>
      </c>
      <c r="BB196" s="215">
        <f>IF(AND(ISNUMBER(BB195),ISNUMBER(BB132)),IFERROR(BB195/BB132,""),"")</f>
        <v>0.305522886852432</v>
      </c>
      <c r="BC196" s="215">
        <f>IF(AND(ISNUMBER(BC195),ISNUMBER(BC132)),IFERROR(BC195/BC132,""),"")</f>
        <v>0.295452206260752</v>
      </c>
      <c r="BD196" s="215">
        <f>IF(AND(ISNUMBER(BD195),ISNUMBER(BD132)),IFERROR(BD195/BD132,""),"")</f>
        <v>0.279156202913109</v>
      </c>
      <c r="BE196" s="215">
        <f>IF(AND(ISNUMBER(BE195),ISNUMBER(BE132)),IFERROR(BE195/BE132,""),"")</f>
        <v>0.248002663115846</v>
      </c>
      <c r="BF196" s="215">
        <f>IF(AND(ISNUMBER(BF195),ISNUMBER(BF132)),IFERROR(BF195/BF132,""),"")</f>
        <v>0.238796549547654</v>
      </c>
      <c r="BG196" s="215">
        <f>IF(AND(ISNUMBER(BG195),ISNUMBER(BG132)),IFERROR(BG195/BG132,""),"")</f>
        <v>0.26461270842467</v>
      </c>
      <c r="BH196" s="215">
        <f>IF(AND(ISNUMBER(BH195),ISNUMBER(BH132)),IFERROR(BH195/BH132,""),"")</f>
        <v>0.286199435424936</v>
      </c>
      <c r="BI196" s="215">
        <f>IF(AND(ISNUMBER(BI195),ISNUMBER(BI132)),IFERROR(BI195/BI132,""),"")</f>
        <v>0.29271888906761</v>
      </c>
      <c r="BJ196" s="215">
        <f>IF(AND(ISNUMBER(BJ195),ISNUMBER(BJ132)),IFERROR(BJ195/BJ132,""),"")</f>
        <v>0.278291369486133</v>
      </c>
      <c r="BK196" s="215">
        <f>IF(AND(ISNUMBER(BK195),ISNUMBER(BK132)),IFERROR(BK195/BK132,""),"")</f>
        <v>0.274556830031283</v>
      </c>
      <c r="BL196" s="215">
        <f>IF(AND(ISNUMBER(BL195),ISNUMBER(BL132)),IFERROR(BL195/BL132,""),"")</f>
        <v>0.28253967221221</v>
      </c>
      <c r="BM196" s="215">
        <f>IF(AND(ISNUMBER(BM195),ISNUMBER(BM132)),IFERROR(BM195/BM132,""),"")</f>
        <v>0.32515923962304</v>
      </c>
      <c r="BN196" s="215">
        <f>IF(AND(ISNUMBER(BN195),ISNUMBER(BN132)),IFERROR(BN195/BN132,""),"")</f>
        <v>0.32362936914399</v>
      </c>
      <c r="BO196" s="215">
        <f>IF(AND(ISNUMBER(BO195),ISNUMBER(BO132)),IFERROR(BO195/BO132,""),"")</f>
        <v>0.323118230842434</v>
      </c>
      <c r="BP196" s="215">
        <f>IF(AND(ISNUMBER(BP195),ISNUMBER(BP132)),IFERROR(BP195/BP132,""),"")</f>
        <v>0.321056505198561</v>
      </c>
      <c r="BQ196" s="215">
        <f>IF(AND(ISNUMBER(BQ195),ISNUMBER(BQ132)),IFERROR(BQ195/BQ132,""),"")</f>
        <v>0.323143381197538</v>
      </c>
      <c r="BR196" s="215">
        <f>IF(AND(ISNUMBER(BR195),ISNUMBER(BR132)),IFERROR(BR195/BR132,""),"")</f>
        <v>0.339184786222488</v>
      </c>
      <c r="BS196" s="215">
        <f>IF(AND(ISNUMBER(BS195),ISNUMBER(BS132)),IFERROR(BS195/BS132,""),"")</f>
        <v>0.324293773592732</v>
      </c>
      <c r="BT196" s="215">
        <f>IF(AND(ISNUMBER(BT195),ISNUMBER(BT132)),IFERROR(BT195/BT132,""),"")</f>
        <v>0.338899419615813</v>
      </c>
      <c r="BU196" s="215">
        <f>IF(AND(ISNUMBER(BU195),ISNUMBER(BU132)),IFERROR(BU195/BU132,""),"")</f>
        <v>0.315684052394381</v>
      </c>
      <c r="BV196" s="215">
        <f>IF(AND(ISNUMBER(BV195),ISNUMBER(BV132)),IFERROR(BV195/BV132,""),"")</f>
        <v>0.328908041982345</v>
      </c>
      <c r="BW196" s="215">
        <f>IF(AND(ISNUMBER(BW195),ISNUMBER(BW132)),IFERROR(BW195/BW132,""),"")</f>
        <v>0.361214238916794</v>
      </c>
      <c r="BX196" s="215">
        <f>IF(AND(ISNUMBER(BX195),ISNUMBER(BX132)),IFERROR(BX195/BX132,""),"")</f>
        <v>0.340328558549534</v>
      </c>
      <c r="BY196" s="256">
        <f>IF(AND(ISNUMBER(BY195),ISNUMBER(BY132)),IFERROR(BY195/BY132,""),"")</f>
        <v>0.32898903500358</v>
      </c>
      <c r="BZ196" s="256">
        <f>IF(AND(ISNUMBER(BZ195),ISNUMBER(BZ132)),IFERROR(BZ195/BZ132,""),"")</f>
        <v>0.358031371137155</v>
      </c>
      <c r="CA196" s="256">
        <f>IF(AND(ISNUMBER(CA195),ISNUMBER(CA132)),IFERROR(CA195/CA132,""),"")</f>
        <v>0.34707490781977</v>
      </c>
      <c r="CB196" s="256">
        <f>IF(AND(ISNUMBER(CB195),ISNUMBER(CB132)),IFERROR(CB195/CB132,""),"")</f>
        <v>0.332789418828486</v>
      </c>
      <c r="CC196" s="256">
        <f>IF(AND(ISNUMBER(CC195),ISNUMBER(CC132)),IFERROR(CC195/CC132,""),"")</f>
        <v>0.316592899650073</v>
      </c>
      <c r="CD196" s="256">
        <f>IF(AND(ISNUMBER(CD195),ISNUMBER(CD132)),IFERROR(CD195/CD132,""),"")</f>
        <v>0.309725151160693</v>
      </c>
      <c r="CE196" s="256">
        <f>IF(AND(ISNUMBER(CE195),ISNUMBER(CE132)),IFERROR(CE195/CE132,""),"")</f>
        <v>0.304254092831353</v>
      </c>
      <c r="CF196" s="153" t="n"/>
      <c r="CH196" s="37">
        <f>IFERROR(AVERAGE(CA196,CB196,CC196,CD196,CE196),"n/m")</f>
        <v>0.322087294058075</v>
      </c>
      <c r="CI196" s="37">
        <f>IFERROR(AVERAGE(BB196,BG196,BL196,BQ196,BV196),"n/m")</f>
        <v>0.300945338133839</v>
      </c>
      <c r="CJ196" s="37">
        <f>IFERROR(AVERAGE(AC196,AH196,AM196,AR196,AW196,BB196,BG196,BL196,BQ196,BV196),"n/m")</f>
        <v>0.270524940628495</v>
      </c>
      <c r="CK196" s="37">
        <f>IFERROR(AVERAGE(C196,D196,E196,F196,G196,H196,I196,N196,S196,X196,AC196,AH196,AM196,AR196,AW196,BB196,BG196,BL196,BQ196,BV196),"n/m")</f>
        <v>0.28309120086448</v>
      </c>
    </row>
    <row r="197" ht="15" customHeight="1" s="251">
      <c r="B197" s="156" t="inlineStr">
        <is>
          <t xml:space="preserve">  Memo: cash adjusting items (fines, severance &amp; office space; adjusted out, deducted in the DCF)</t>
        </is>
      </c>
      <c r="C197" s="211">
        <f>IF(ISNUMBER(C172),C172,"")</f>
        <v>0</v>
      </c>
      <c r="D197" s="211">
        <f>IF(ISNUMBER(D172),D172,"")</f>
        <v>0</v>
      </c>
      <c r="E197" s="211">
        <f>IF(ISNUMBER(E172),E172,"")</f>
        <v>0</v>
      </c>
      <c r="F197" s="211">
        <f>IF(ISNUMBER(F172),F172,"")</f>
        <v>0</v>
      </c>
      <c r="G197" s="211">
        <f>IF(ISNUMBER(G172),G172,"")</f>
        <v>0</v>
      </c>
      <c r="H197" s="211">
        <f>IF(ISNUMBER(H172),H172,"")</f>
        <v>0</v>
      </c>
      <c r="I197" s="211">
        <f>IF(ISNUMBER(I172),I172,"")</f>
        <v>0</v>
      </c>
      <c r="J197" s="211">
        <f>IF(ISNUMBER(J172),J172,"")</f>
        <v>0</v>
      </c>
      <c r="K197" s="211">
        <f>IF(ISNUMBER(K172),K172,"")</f>
        <v>0</v>
      </c>
      <c r="L197" s="211">
        <f>IF(ISNUMBER(L172),L172,"")</f>
        <v>0</v>
      </c>
      <c r="M197" s="211">
        <f>IF(ISNUMBER(M172),M172,"")</f>
        <v>0</v>
      </c>
      <c r="N197" s="211">
        <f>IF(ISNUMBER(N172),N172,"")</f>
        <v>0</v>
      </c>
      <c r="O197" s="211">
        <f>IF(ISNUMBER(O172),O172,"")</f>
        <v>0</v>
      </c>
      <c r="P197" s="211">
        <f>IF(ISNUMBER(P172),P172,"")</f>
        <v>0</v>
      </c>
      <c r="Q197" s="211">
        <f>IF(ISNUMBER(Q172),Q172,"")</f>
        <v>0</v>
      </c>
      <c r="R197" s="211">
        <f>IF(ISNUMBER(R172),R172,"")</f>
        <v>0</v>
      </c>
      <c r="S197" s="211">
        <f>IF(ISNUMBER(S172),S172,"")</f>
        <v>0</v>
      </c>
      <c r="T197" s="211">
        <f>IF(ISNUMBER(T172),T172,"")</f>
        <v>0</v>
      </c>
      <c r="U197" s="211">
        <f>IF(ISNUMBER(U172),U172,"")</f>
        <v>0</v>
      </c>
      <c r="V197" s="211">
        <f>IF(ISNUMBER(V172),V172,"")</f>
        <v>0</v>
      </c>
      <c r="W197" s="211">
        <f>IF(ISNUMBER(W172),W172,"")</f>
        <v>0</v>
      </c>
      <c r="X197" s="211">
        <f>IF(ISNUMBER(X172),X172,"")</f>
        <v>0</v>
      </c>
      <c r="Y197" s="211">
        <f>IF(ISNUMBER(Y172),Y172,"")</f>
        <v>0</v>
      </c>
      <c r="Z197" s="211">
        <f>IF(ISNUMBER(Z172),Z172,"")</f>
        <v>0</v>
      </c>
      <c r="AA197" s="211">
        <f>IF(ISNUMBER(AA172),AA172,"")</f>
        <v>0</v>
      </c>
      <c r="AB197" s="211">
        <f>IF(ISNUMBER(AB172),AB172,"")</f>
        <v>0</v>
      </c>
      <c r="AC197" s="211">
        <f>IF(ISNUMBER(AC172),AC172,"")</f>
        <v>0</v>
      </c>
      <c r="AD197" s="211">
        <f>IF(ISNUMBER(AD172),AD172,"")</f>
        <v>0</v>
      </c>
      <c r="AE197" s="211">
        <f>IF(ISNUMBER(AE172),AE172,"")</f>
        <v>2736</v>
      </c>
      <c r="AF197" s="211">
        <f>IF(ISNUMBER(AF172),AF172,"")</f>
        <v>0</v>
      </c>
      <c r="AG197" s="211">
        <f>IF(ISNUMBER(AG172),AG172,"")</f>
        <v>0</v>
      </c>
      <c r="AH197" s="211">
        <f>IF(ISNUMBER(AH172),AH172,"")</f>
        <v>2736</v>
      </c>
      <c r="AI197" s="211">
        <f>IF(ISNUMBER(AI172),AI172,"")</f>
        <v>0</v>
      </c>
      <c r="AJ197" s="211">
        <f>IF(ISNUMBER(AJ172),AJ172,"")</f>
        <v>5071</v>
      </c>
      <c r="AK197" s="211">
        <f>IF(ISNUMBER(AK172),AK172,"")</f>
        <v>0</v>
      </c>
      <c r="AL197" s="211">
        <f>IF(ISNUMBER(AL172),AL172,"")</f>
        <v>0</v>
      </c>
      <c r="AM197" s="211">
        <f>IF(ISNUMBER(AM172),AM172,"")</f>
        <v>5071</v>
      </c>
      <c r="AN197" s="211">
        <f>IF(ISNUMBER(AN172),AN172,"")</f>
        <v>1697</v>
      </c>
      <c r="AO197" s="211">
        <f>IF(ISNUMBER(AO172),AO172,"")</f>
        <v>0</v>
      </c>
      <c r="AP197" s="211">
        <f>IF(ISNUMBER(AP172),AP172,"")</f>
        <v>0</v>
      </c>
      <c r="AQ197" s="211">
        <f>IF(ISNUMBER(AQ172),AQ172,"")</f>
        <v>0</v>
      </c>
      <c r="AR197" s="211">
        <f>IF(ISNUMBER(AR172),AR172,"")</f>
        <v>1697</v>
      </c>
      <c r="AS197" s="211">
        <f>IF(ISNUMBER(AS172),AS172,"")</f>
        <v>0</v>
      </c>
      <c r="AT197" s="211">
        <f>IF(ISNUMBER(AT172),AT172,"")</f>
        <v>0</v>
      </c>
      <c r="AU197" s="211">
        <f>IF(ISNUMBER(AU172),AU172,"")</f>
        <v>0</v>
      </c>
      <c r="AV197" s="211">
        <f>IF(ISNUMBER(AV172),AV172,"")</f>
        <v>0</v>
      </c>
      <c r="AW197" s="211">
        <f>IF(ISNUMBER(AW172),AW172,"")</f>
        <v>0</v>
      </c>
      <c r="AX197" s="211">
        <f>IF(ISNUMBER(AX172),AX172,"")</f>
        <v>0</v>
      </c>
      <c r="AY197" s="211">
        <f>IF(ISNUMBER(AY172),AY172,"")</f>
        <v>0</v>
      </c>
      <c r="AZ197" s="211">
        <f>IF(ISNUMBER(AZ172),AZ172,"")</f>
        <v>0</v>
      </c>
      <c r="BA197" s="211">
        <f>IF(ISNUMBER(BA172),BA172,"")</f>
        <v>0</v>
      </c>
      <c r="BB197" s="211">
        <f>IF(ISNUMBER(BB172),BB172,"")</f>
        <v>0</v>
      </c>
      <c r="BC197" s="211">
        <f>IF(ISNUMBER(BC172),BC172,"")</f>
        <v>0</v>
      </c>
      <c r="BD197" s="211">
        <f>IF(ISNUMBER(BD172),BD172,"")</f>
        <v>0</v>
      </c>
      <c r="BE197" s="211">
        <f>IF(ISNUMBER(BE172),BE172,"")</f>
        <v>0</v>
      </c>
      <c r="BF197" s="211">
        <f>IF(ISNUMBER(BF172),BF172,"")</f>
        <v>0</v>
      </c>
      <c r="BG197" s="211">
        <f>IF(ISNUMBER(BG172),BG172,"")</f>
        <v>0</v>
      </c>
      <c r="BH197" s="211">
        <f>IF(ISNUMBER(BH172),BH172,"")</f>
        <v>2558</v>
      </c>
      <c r="BI197" s="211">
        <f>IF(ISNUMBER(BI172),BI172,"")</f>
        <v>0</v>
      </c>
      <c r="BJ197" s="211">
        <f>IF(ISNUMBER(BJ172),BJ172,"")</f>
        <v>0</v>
      </c>
      <c r="BK197" s="211">
        <f>IF(ISNUMBER(BK172),BK172,"")</f>
        <v>0</v>
      </c>
      <c r="BL197" s="211">
        <f>IF(ISNUMBER(BL172),BL172,"")</f>
        <v>2558</v>
      </c>
      <c r="BM197" s="211">
        <f>IF(ISNUMBER(BM172),BM172,"")</f>
        <v>716</v>
      </c>
      <c r="BN197" s="211">
        <f>IF(ISNUMBER(BN172),BN172,"")</f>
        <v>0</v>
      </c>
      <c r="BO197" s="211">
        <f>IF(ISNUMBER(BO172),BO172,"")</f>
        <v>0</v>
      </c>
      <c r="BP197" s="211">
        <f>IF(ISNUMBER(BP172),BP172,"")</f>
        <v>0</v>
      </c>
      <c r="BQ197" s="211">
        <f>IF(ISNUMBER(BQ172),BQ172,"")</f>
        <v>716</v>
      </c>
      <c r="BR197" s="211">
        <f>IF(ISNUMBER(BR172),BR172,"")</f>
        <v>0</v>
      </c>
      <c r="BS197" s="211">
        <f>IF(ISNUMBER(BS172),BS172,"")</f>
        <v>0</v>
      </c>
      <c r="BT197" s="211">
        <f>IF(ISNUMBER(BT172),BT172,"")</f>
        <v>3457</v>
      </c>
      <c r="BU197" s="211">
        <f>IF(ISNUMBER(BU172),BU172,"")</f>
        <v>0</v>
      </c>
      <c r="BV197" s="211">
        <f>IF(ISNUMBER(BV172),BV172,"")</f>
        <v>3457</v>
      </c>
      <c r="BW197" s="211">
        <f>IF(ISNUMBER(BW172),BW172,"")</f>
        <v>0</v>
      </c>
      <c r="BX197" s="211">
        <f>IF(ISNUMBER(BX172),BX172,"")</f>
        <v>0</v>
      </c>
      <c r="BY197" s="254">
        <f>IF(ISNUMBER(BY172),BY172,"")</f>
        <v>0</v>
      </c>
      <c r="BZ197" s="254">
        <f>IF(ISNUMBER(BZ172),BZ172,"")</f>
        <v>0</v>
      </c>
      <c r="CA197" s="254">
        <f>IF(ISNUMBER(CA172),CA172,"")</f>
        <v>0</v>
      </c>
      <c r="CB197" s="254">
        <f>IF(ISNUMBER(CB172),CB172,"")</f>
        <v>0</v>
      </c>
      <c r="CC197" s="254">
        <f>IF(ISNUMBER(CC172),CC172,"")</f>
        <v>0</v>
      </c>
      <c r="CD197" s="254">
        <f>IF(ISNUMBER(CD172),CD172,"")</f>
        <v>0</v>
      </c>
      <c r="CE197" s="254">
        <f>IF(ISNUMBER(CE172),CE172,"")</f>
        <v>0</v>
      </c>
      <c r="CF197" s="153" t="n"/>
    </row>
    <row r="198" ht="15" customHeight="1" s="251">
      <c r="CN198" s="11" t="n"/>
      <c r="CO198" s="12" t="n"/>
      <c r="CP198" s="12" t="n"/>
      <c r="CQ198" s="12" t="n"/>
      <c r="CR198" s="13" t="n"/>
    </row>
    <row r="199" ht="15" customHeight="1" s="251">
      <c r="B199" s="10" t="inlineStr">
        <is>
          <t>RECONCILIATION: NET INCOME → ADJUSTED NET INCOME → ADJUSTED EPS (model definition; company non-GAAP as memo)</t>
        </is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0" t="n"/>
      <c r="CE199" s="10" t="n"/>
      <c r="CF199" s="10" t="inlineStr">
        <is>
          <t>ADJUSTED EPS — model: net income − discontinued operations + adjusting items − equity-security gains (losses) − model tax effect + discrete tax items</t>
        </is>
      </c>
    </row>
    <row r="200" ht="15" customHeight="1" s="251">
      <c r="B200" s="16" t="inlineStr">
        <is>
          <t>Net income (GAAP)</t>
        </is>
      </c>
      <c r="C200" s="261">
        <f>C149</f>
        <v>3077.446</v>
      </c>
      <c r="D200" s="261">
        <f>D149</f>
        <v>4203.72</v>
      </c>
      <c r="E200" s="261">
        <f>E149</f>
        <v>4226.858</v>
      </c>
      <c r="F200" s="261">
        <f>F149</f>
        <v>6520.448</v>
      </c>
      <c r="G200" s="261">
        <f>G149</f>
        <v>8505</v>
      </c>
      <c r="H200" s="261">
        <f>H149</f>
        <v>9737</v>
      </c>
      <c r="I200" s="261">
        <f>I149</f>
        <v>10737</v>
      </c>
      <c r="J200" s="261">
        <f>J149</f>
        <v>3346</v>
      </c>
      <c r="K200" s="261">
        <f>K149</f>
        <v>3228</v>
      </c>
      <c r="L200" s="261">
        <f>L149</f>
        <v>2970</v>
      </c>
      <c r="M200" s="261">
        <f>M149</f>
        <v>3376</v>
      </c>
      <c r="N200" s="261">
        <f>N149</f>
        <v>12920</v>
      </c>
      <c r="O200" s="261">
        <f>O149</f>
        <v>3452</v>
      </c>
      <c r="P200" s="261">
        <f>P149</f>
        <v>3422</v>
      </c>
      <c r="Q200" s="261">
        <f>Q149</f>
        <v>2813</v>
      </c>
      <c r="R200" s="261">
        <f>R149</f>
        <v>4757</v>
      </c>
      <c r="S200" s="261">
        <f>S149</f>
        <v>14444</v>
      </c>
      <c r="T200" s="261">
        <f>T149</f>
        <v>3586</v>
      </c>
      <c r="U200" s="261">
        <f>U149</f>
        <v>3931</v>
      </c>
      <c r="V200" s="261">
        <f>V149</f>
        <v>3979</v>
      </c>
      <c r="W200" s="261">
        <f>W149</f>
        <v>4923</v>
      </c>
      <c r="X200" s="261">
        <f>X149</f>
        <v>16348</v>
      </c>
      <c r="Y200" s="261">
        <f>Y149</f>
        <v>4207</v>
      </c>
      <c r="Z200" s="261">
        <f>Z149</f>
        <v>4877</v>
      </c>
      <c r="AA200" s="261">
        <f>AA149</f>
        <v>5061</v>
      </c>
      <c r="AB200" s="261">
        <f>AB149</f>
        <v>5333</v>
      </c>
      <c r="AC200" s="261">
        <f>AC149</f>
        <v>19478</v>
      </c>
      <c r="AD200" s="261">
        <f>AD149</f>
        <v>5426</v>
      </c>
      <c r="AE200" s="261">
        <f>AE149</f>
        <v>3524</v>
      </c>
      <c r="AF200" s="261">
        <f>AF149</f>
        <v>6732</v>
      </c>
      <c r="AG200" s="261">
        <f>AG149</f>
        <v>-3020</v>
      </c>
      <c r="AH200" s="261">
        <f>AH149</f>
        <v>12662</v>
      </c>
      <c r="AI200" s="261">
        <f>AI149</f>
        <v>9401</v>
      </c>
      <c r="AJ200" s="261">
        <f>AJ149</f>
        <v>3195</v>
      </c>
      <c r="AK200" s="261">
        <f>AK149</f>
        <v>9192</v>
      </c>
      <c r="AL200" s="261">
        <f>AL149</f>
        <v>8948</v>
      </c>
      <c r="AM200" s="261">
        <f>AM149</f>
        <v>30736</v>
      </c>
      <c r="AN200" s="261">
        <f>AN149</f>
        <v>6657</v>
      </c>
      <c r="AO200" s="261">
        <f>AO149</f>
        <v>9947</v>
      </c>
      <c r="AP200" s="261">
        <f>AP149</f>
        <v>7068</v>
      </c>
      <c r="AQ200" s="261">
        <f>AQ149</f>
        <v>10671</v>
      </c>
      <c r="AR200" s="261">
        <f>AR149</f>
        <v>34343</v>
      </c>
      <c r="AS200" s="261">
        <f>AS149</f>
        <v>6836</v>
      </c>
      <c r="AT200" s="261">
        <f>AT149</f>
        <v>6959</v>
      </c>
      <c r="AU200" s="261">
        <f>AU149</f>
        <v>11247</v>
      </c>
      <c r="AV200" s="261">
        <f>AV149</f>
        <v>15227</v>
      </c>
      <c r="AW200" s="261">
        <f>AW149</f>
        <v>40269</v>
      </c>
      <c r="AX200" s="261">
        <f>AX149</f>
        <v>17930</v>
      </c>
      <c r="AY200" s="261">
        <f>AY149</f>
        <v>18525</v>
      </c>
      <c r="AZ200" s="261">
        <f>AZ149</f>
        <v>18936</v>
      </c>
      <c r="BA200" s="261">
        <f>BA149</f>
        <v>20642</v>
      </c>
      <c r="BB200" s="261">
        <f>BB149</f>
        <v>76033</v>
      </c>
      <c r="BC200" s="261">
        <f>BC149</f>
        <v>16436</v>
      </c>
      <c r="BD200" s="261">
        <f>BD149</f>
        <v>16002</v>
      </c>
      <c r="BE200" s="261">
        <f>BE149</f>
        <v>13910</v>
      </c>
      <c r="BF200" s="261">
        <f>BF149</f>
        <v>13624</v>
      </c>
      <c r="BG200" s="261">
        <f>BG149</f>
        <v>59972</v>
      </c>
      <c r="BH200" s="261">
        <f>BH149</f>
        <v>15051</v>
      </c>
      <c r="BI200" s="261">
        <f>BI149</f>
        <v>18368</v>
      </c>
      <c r="BJ200" s="261">
        <f>BJ149</f>
        <v>19689</v>
      </c>
      <c r="BK200" s="261">
        <f>BK149</f>
        <v>20687</v>
      </c>
      <c r="BL200" s="261">
        <f>BL149</f>
        <v>73795</v>
      </c>
      <c r="BM200" s="261">
        <f>BM149</f>
        <v>23662</v>
      </c>
      <c r="BN200" s="261">
        <f>BN149</f>
        <v>23619</v>
      </c>
      <c r="BO200" s="261">
        <f>BO149</f>
        <v>26301</v>
      </c>
      <c r="BP200" s="261">
        <f>BP149</f>
        <v>26536</v>
      </c>
      <c r="BQ200" s="261">
        <f>BQ149</f>
        <v>100118</v>
      </c>
      <c r="BR200" s="261">
        <f>BR149</f>
        <v>34540</v>
      </c>
      <c r="BS200" s="261">
        <f>BS149</f>
        <v>28196</v>
      </c>
      <c r="BT200" s="261">
        <f>BT149</f>
        <v>34979</v>
      </c>
      <c r="BU200" s="261">
        <f>BU149</f>
        <v>34455</v>
      </c>
      <c r="BV200" s="261">
        <f>BV149</f>
        <v>132170</v>
      </c>
      <c r="BW200" s="261">
        <f>BW149</f>
        <v>62578</v>
      </c>
      <c r="BX200" s="261">
        <f>BX149</f>
        <v>112193</v>
      </c>
      <c r="BY200" s="262">
        <f>BY149</f>
        <v>34958.4031131426</v>
      </c>
      <c r="BZ200" s="262">
        <f>BZ149</f>
        <v>42263.992511503</v>
      </c>
      <c r="CA200" s="262">
        <f>CA149</f>
        <v>251993.395624646</v>
      </c>
      <c r="CB200" s="262">
        <f>CB149</f>
        <v>162952.157327398</v>
      </c>
      <c r="CC200" s="262">
        <f>CC149</f>
        <v>176055.03063457</v>
      </c>
      <c r="CD200" s="262">
        <f>CD149</f>
        <v>194039.034820097</v>
      </c>
      <c r="CE200" s="262">
        <f>CE149</f>
        <v>212409.076164546</v>
      </c>
      <c r="CF200" s="153" t="n"/>
    </row>
    <row r="201" ht="15" customHeight="1" s="251">
      <c r="B201" s="25" t="inlineStr">
        <is>
          <t xml:space="preserve">  (−) Discontinued operations</t>
        </is>
      </c>
      <c r="C201" s="211">
        <f>-N(C148)</f>
        <v>0</v>
      </c>
      <c r="D201" s="211">
        <f>-N(D148)</f>
        <v>0</v>
      </c>
      <c r="E201" s="211">
        <f>-N(E148)</f>
        <v>0</v>
      </c>
      <c r="F201" s="211">
        <f>-N(F148)</f>
        <v>0</v>
      </c>
      <c r="G201" s="211">
        <f>-N(G148)</f>
        <v>0</v>
      </c>
      <c r="H201" s="211">
        <f>-N(H148)</f>
        <v>0</v>
      </c>
      <c r="I201" s="211">
        <f>-N(I148)</f>
        <v>51</v>
      </c>
      <c r="J201" s="211">
        <f>-N(J148)</f>
        <v>-22</v>
      </c>
      <c r="K201" s="211">
        <f>-N(K148)</f>
        <v>-674</v>
      </c>
      <c r="L201" s="211">
        <f>-N(L148)</f>
        <v>-15</v>
      </c>
      <c r="M201" s="211">
        <f>-N(M148)</f>
        <v>5</v>
      </c>
      <c r="N201" s="211">
        <f>-N(N148)</f>
        <v>-706</v>
      </c>
      <c r="O201" s="211">
        <f>-N(O148)</f>
        <v>198</v>
      </c>
      <c r="P201" s="211">
        <f>-N(P148)</f>
        <v>68</v>
      </c>
      <c r="Q201" s="211">
        <f>-N(Q148)</f>
        <v>185</v>
      </c>
      <c r="R201" s="211">
        <f>-N(R148)</f>
        <v>-967</v>
      </c>
      <c r="S201" s="211">
        <f>-N(S148)</f>
        <v>-516</v>
      </c>
      <c r="T201" s="211">
        <f>-N(T148)</f>
        <v>0</v>
      </c>
      <c r="U201" s="211">
        <f>-N(U148)</f>
        <v>0</v>
      </c>
      <c r="V201" s="211">
        <f>-N(V148)</f>
        <v>0</v>
      </c>
      <c r="W201" s="211">
        <f>-N(W148)</f>
        <v>0</v>
      </c>
      <c r="X201" s="211">
        <f>-N(X148)</f>
        <v>0</v>
      </c>
      <c r="Y201" s="211">
        <f>-N(Y148)</f>
        <v>0</v>
      </c>
      <c r="Z201" s="211">
        <f>-N(Z148)</f>
        <v>0</v>
      </c>
      <c r="AA201" s="211">
        <f>-N(AA148)</f>
        <v>0</v>
      </c>
      <c r="AB201" s="211">
        <f>-N(AB148)</f>
        <v>0</v>
      </c>
      <c r="AC201" s="211">
        <f>-N(AC148)</f>
        <v>0</v>
      </c>
      <c r="AD201" s="211">
        <f>-N(AD148)</f>
        <v>0</v>
      </c>
      <c r="AE201" s="211">
        <f>-N(AE148)</f>
        <v>0</v>
      </c>
      <c r="AF201" s="211">
        <f>-N(AF148)</f>
        <v>0</v>
      </c>
      <c r="AG201" s="211">
        <f>-N(AG148)</f>
        <v>0</v>
      </c>
      <c r="AH201" s="211">
        <f>-N(AH148)</f>
        <v>0</v>
      </c>
      <c r="AI201" s="211">
        <f>-N(AI148)</f>
        <v>0</v>
      </c>
      <c r="AJ201" s="211">
        <f>-N(AJ148)</f>
        <v>0</v>
      </c>
      <c r="AK201" s="211">
        <f>-N(AK148)</f>
        <v>0</v>
      </c>
      <c r="AL201" s="211">
        <f>-N(AL148)</f>
        <v>0</v>
      </c>
      <c r="AM201" s="211">
        <f>-N(AM148)</f>
        <v>0</v>
      </c>
      <c r="AN201" s="211">
        <f>-N(AN148)</f>
        <v>0</v>
      </c>
      <c r="AO201" s="211">
        <f>-N(AO148)</f>
        <v>0</v>
      </c>
      <c r="AP201" s="211">
        <f>-N(AP148)</f>
        <v>0</v>
      </c>
      <c r="AQ201" s="211">
        <f>-N(AQ148)</f>
        <v>0</v>
      </c>
      <c r="AR201" s="211">
        <f>-N(AR148)</f>
        <v>0</v>
      </c>
      <c r="AS201" s="211">
        <f>-N(AS148)</f>
        <v>0</v>
      </c>
      <c r="AT201" s="211">
        <f>-N(AT148)</f>
        <v>0</v>
      </c>
      <c r="AU201" s="211">
        <f>-N(AU148)</f>
        <v>0</v>
      </c>
      <c r="AV201" s="211">
        <f>-N(AV148)</f>
        <v>0</v>
      </c>
      <c r="AW201" s="211">
        <f>-N(AW148)</f>
        <v>0</v>
      </c>
      <c r="AX201" s="211">
        <f>-N(AX148)</f>
        <v>0</v>
      </c>
      <c r="AY201" s="211">
        <f>-N(AY148)</f>
        <v>0</v>
      </c>
      <c r="AZ201" s="211">
        <f>-N(AZ148)</f>
        <v>0</v>
      </c>
      <c r="BA201" s="211">
        <f>-N(BA148)</f>
        <v>0</v>
      </c>
      <c r="BB201" s="211">
        <f>-N(BB148)</f>
        <v>0</v>
      </c>
      <c r="BC201" s="211">
        <f>-N(BC148)</f>
        <v>0</v>
      </c>
      <c r="BD201" s="211">
        <f>-N(BD148)</f>
        <v>0</v>
      </c>
      <c r="BE201" s="211">
        <f>-N(BE148)</f>
        <v>0</v>
      </c>
      <c r="BF201" s="211">
        <f>-N(BF148)</f>
        <v>0</v>
      </c>
      <c r="BG201" s="211">
        <f>-N(BG148)</f>
        <v>0</v>
      </c>
      <c r="BH201" s="211">
        <f>-N(BH148)</f>
        <v>0</v>
      </c>
      <c r="BI201" s="211">
        <f>-N(BI148)</f>
        <v>0</v>
      </c>
      <c r="BJ201" s="211">
        <f>-N(BJ148)</f>
        <v>0</v>
      </c>
      <c r="BK201" s="211">
        <f>-N(BK148)</f>
        <v>0</v>
      </c>
      <c r="BL201" s="211">
        <f>-N(BL148)</f>
        <v>0</v>
      </c>
      <c r="BM201" s="211">
        <f>-N(BM148)</f>
        <v>0</v>
      </c>
      <c r="BN201" s="211">
        <f>-N(BN148)</f>
        <v>0</v>
      </c>
      <c r="BO201" s="211">
        <f>-N(BO148)</f>
        <v>0</v>
      </c>
      <c r="BP201" s="211">
        <f>-N(BP148)</f>
        <v>0</v>
      </c>
      <c r="BQ201" s="211">
        <f>-N(BQ148)</f>
        <v>0</v>
      </c>
      <c r="BR201" s="211">
        <f>-N(BR148)</f>
        <v>0</v>
      </c>
      <c r="BS201" s="211">
        <f>-N(BS148)</f>
        <v>0</v>
      </c>
      <c r="BT201" s="211">
        <f>-N(BT148)</f>
        <v>0</v>
      </c>
      <c r="BU201" s="211">
        <f>-N(BU148)</f>
        <v>0</v>
      </c>
      <c r="BV201" s="211">
        <f>-N(BV148)</f>
        <v>0</v>
      </c>
      <c r="BW201" s="211">
        <f>-N(BW148)</f>
        <v>0</v>
      </c>
      <c r="BX201" s="211">
        <f>-N(BX148)</f>
        <v>0</v>
      </c>
      <c r="BY201" s="254">
        <f>-N(BY148)</f>
        <v>0</v>
      </c>
      <c r="BZ201" s="254">
        <f>-N(BZ148)</f>
        <v>0</v>
      </c>
      <c r="CA201" s="254">
        <f>-N(CA148)</f>
        <v>0</v>
      </c>
      <c r="CB201" s="254">
        <f>-N(CB148)</f>
        <v>0</v>
      </c>
      <c r="CC201" s="254">
        <f>-N(CC148)</f>
        <v>0</v>
      </c>
      <c r="CD201" s="254">
        <f>-N(CD148)</f>
        <v>0</v>
      </c>
      <c r="CE201" s="254">
        <f>-N(CE148)</f>
        <v>0</v>
      </c>
      <c r="CF201" s="19" t="n"/>
    </row>
    <row r="202" ht="15" customHeight="1" s="251">
      <c r="B202" s="25" t="inlineStr">
        <is>
          <t xml:space="preserve">  (+) Operating adjusting items (EC fines; severance &amp; office space)</t>
        </is>
      </c>
      <c r="C202" s="211">
        <f>C172</f>
        <v>0</v>
      </c>
      <c r="D202" s="211">
        <f>D172</f>
        <v>0</v>
      </c>
      <c r="E202" s="211">
        <f>E172</f>
        <v>0</v>
      </c>
      <c r="F202" s="211">
        <f>F172</f>
        <v>0</v>
      </c>
      <c r="G202" s="211">
        <f>G172</f>
        <v>0</v>
      </c>
      <c r="H202" s="211">
        <f>H172</f>
        <v>0</v>
      </c>
      <c r="I202" s="211">
        <f>I172</f>
        <v>0</v>
      </c>
      <c r="J202" s="211">
        <f>J172</f>
        <v>0</v>
      </c>
      <c r="K202" s="211">
        <f>K172</f>
        <v>0</v>
      </c>
      <c r="L202" s="211">
        <f>L172</f>
        <v>0</v>
      </c>
      <c r="M202" s="211">
        <f>M172</f>
        <v>0</v>
      </c>
      <c r="N202" s="211">
        <f>N172</f>
        <v>0</v>
      </c>
      <c r="O202" s="211">
        <f>O172</f>
        <v>0</v>
      </c>
      <c r="P202" s="211">
        <f>P172</f>
        <v>0</v>
      </c>
      <c r="Q202" s="211">
        <f>Q172</f>
        <v>0</v>
      </c>
      <c r="R202" s="211">
        <f>R172</f>
        <v>0</v>
      </c>
      <c r="S202" s="211">
        <f>S172</f>
        <v>0</v>
      </c>
      <c r="T202" s="211">
        <f>T172</f>
        <v>0</v>
      </c>
      <c r="U202" s="211">
        <f>U172</f>
        <v>0</v>
      </c>
      <c r="V202" s="211">
        <f>V172</f>
        <v>0</v>
      </c>
      <c r="W202" s="211">
        <f>W172</f>
        <v>0</v>
      </c>
      <c r="X202" s="211">
        <f>X172</f>
        <v>0</v>
      </c>
      <c r="Y202" s="211">
        <f>Y172</f>
        <v>0</v>
      </c>
      <c r="Z202" s="211">
        <f>Z172</f>
        <v>0</v>
      </c>
      <c r="AA202" s="211">
        <f>AA172</f>
        <v>0</v>
      </c>
      <c r="AB202" s="211">
        <f>AB172</f>
        <v>0</v>
      </c>
      <c r="AC202" s="211">
        <f>AC172</f>
        <v>0</v>
      </c>
      <c r="AD202" s="211">
        <f>AD172</f>
        <v>0</v>
      </c>
      <c r="AE202" s="211">
        <f>AE172</f>
        <v>2736</v>
      </c>
      <c r="AF202" s="211">
        <f>AF172</f>
        <v>0</v>
      </c>
      <c r="AG202" s="211">
        <f>AG172</f>
        <v>0</v>
      </c>
      <c r="AH202" s="211">
        <f>AH172</f>
        <v>2736</v>
      </c>
      <c r="AI202" s="211">
        <f>AI172</f>
        <v>0</v>
      </c>
      <c r="AJ202" s="211">
        <f>AJ172</f>
        <v>5071</v>
      </c>
      <c r="AK202" s="211">
        <f>AK172</f>
        <v>0</v>
      </c>
      <c r="AL202" s="211">
        <f>AL172</f>
        <v>0</v>
      </c>
      <c r="AM202" s="211">
        <f>AM172</f>
        <v>5071</v>
      </c>
      <c r="AN202" s="211">
        <f>AN172</f>
        <v>1697</v>
      </c>
      <c r="AO202" s="211">
        <f>AO172</f>
        <v>0</v>
      </c>
      <c r="AP202" s="211">
        <f>AP172</f>
        <v>0</v>
      </c>
      <c r="AQ202" s="211">
        <f>AQ172</f>
        <v>0</v>
      </c>
      <c r="AR202" s="211">
        <f>AR172</f>
        <v>1697</v>
      </c>
      <c r="AS202" s="211">
        <f>AS172</f>
        <v>0</v>
      </c>
      <c r="AT202" s="211">
        <f>AT172</f>
        <v>0</v>
      </c>
      <c r="AU202" s="211">
        <f>AU172</f>
        <v>0</v>
      </c>
      <c r="AV202" s="211">
        <f>AV172</f>
        <v>0</v>
      </c>
      <c r="AW202" s="211">
        <f>AW172</f>
        <v>0</v>
      </c>
      <c r="AX202" s="211">
        <f>AX172</f>
        <v>0</v>
      </c>
      <c r="AY202" s="211">
        <f>AY172</f>
        <v>0</v>
      </c>
      <c r="AZ202" s="211">
        <f>AZ172</f>
        <v>0</v>
      </c>
      <c r="BA202" s="211">
        <f>BA172</f>
        <v>0</v>
      </c>
      <c r="BB202" s="211">
        <f>BB172</f>
        <v>0</v>
      </c>
      <c r="BC202" s="211">
        <f>BC172</f>
        <v>0</v>
      </c>
      <c r="BD202" s="211">
        <f>BD172</f>
        <v>0</v>
      </c>
      <c r="BE202" s="211">
        <f>BE172</f>
        <v>0</v>
      </c>
      <c r="BF202" s="211">
        <f>BF172</f>
        <v>0</v>
      </c>
      <c r="BG202" s="211">
        <f>BG172</f>
        <v>0</v>
      </c>
      <c r="BH202" s="211">
        <f>BH172</f>
        <v>2558</v>
      </c>
      <c r="BI202" s="211">
        <f>BI172</f>
        <v>0</v>
      </c>
      <c r="BJ202" s="211">
        <f>BJ172</f>
        <v>0</v>
      </c>
      <c r="BK202" s="211">
        <f>BK172</f>
        <v>0</v>
      </c>
      <c r="BL202" s="211">
        <f>BL172</f>
        <v>2558</v>
      </c>
      <c r="BM202" s="211">
        <f>BM172</f>
        <v>716</v>
      </c>
      <c r="BN202" s="211">
        <f>BN172</f>
        <v>0</v>
      </c>
      <c r="BO202" s="211">
        <f>BO172</f>
        <v>0</v>
      </c>
      <c r="BP202" s="211">
        <f>BP172</f>
        <v>0</v>
      </c>
      <c r="BQ202" s="211">
        <f>BQ172</f>
        <v>716</v>
      </c>
      <c r="BR202" s="211">
        <f>BR172</f>
        <v>0</v>
      </c>
      <c r="BS202" s="211">
        <f>BS172</f>
        <v>0</v>
      </c>
      <c r="BT202" s="211">
        <f>BT172</f>
        <v>3457</v>
      </c>
      <c r="BU202" s="211">
        <f>BU172</f>
        <v>0</v>
      </c>
      <c r="BV202" s="211">
        <f>BV172</f>
        <v>3457</v>
      </c>
      <c r="BW202" s="211">
        <f>BW172</f>
        <v>0</v>
      </c>
      <c r="BX202" s="211">
        <f>BX172</f>
        <v>0</v>
      </c>
      <c r="BY202" s="254">
        <f>BY172</f>
        <v>0</v>
      </c>
      <c r="BZ202" s="254">
        <f>BZ172</f>
        <v>0</v>
      </c>
      <c r="CA202" s="254">
        <f>CA172</f>
        <v>0</v>
      </c>
      <c r="CB202" s="254">
        <f>CB172</f>
        <v>0</v>
      </c>
      <c r="CC202" s="254">
        <f>CC172</f>
        <v>0</v>
      </c>
      <c r="CD202" s="254">
        <f>CD172</f>
        <v>0</v>
      </c>
      <c r="CE202" s="254">
        <f>CE172</f>
        <v>0</v>
      </c>
      <c r="CF202" s="19" t="n"/>
    </row>
    <row r="203" ht="15" customHeight="1" s="251">
      <c r="B203" s="25" t="inlineStr">
        <is>
          <t xml:space="preserve">  (−) Gains (losses) on equity securities, net / (+) equity-investment impairment</t>
        </is>
      </c>
      <c r="C203" s="211">
        <f>-N(C122)</f>
        <v>0</v>
      </c>
      <c r="D203" s="211">
        <f>-N(D122)</f>
        <v>0</v>
      </c>
      <c r="E203" s="211">
        <f>-N(E122)</f>
        <v>1094.757</v>
      </c>
      <c r="F203" s="211">
        <f>-N(F122)</f>
        <v>0</v>
      </c>
      <c r="G203" s="211">
        <f>-N(G122)</f>
        <v>0</v>
      </c>
      <c r="H203" s="211">
        <f>-N(H122)</f>
        <v>0</v>
      </c>
      <c r="I203" s="211">
        <f>-N(I122)</f>
        <v>0</v>
      </c>
      <c r="J203" s="211">
        <f>-N(J122)</f>
        <v>0</v>
      </c>
      <c r="K203" s="211">
        <f>-N(K122)</f>
        <v>0</v>
      </c>
      <c r="L203" s="211">
        <f>-N(L122)</f>
        <v>0</v>
      </c>
      <c r="M203" s="211">
        <f>-N(M122)</f>
        <v>0</v>
      </c>
      <c r="N203" s="211">
        <f>-N(N122)</f>
        <v>0</v>
      </c>
      <c r="O203" s="211">
        <f>-N(O122)</f>
        <v>0</v>
      </c>
      <c r="P203" s="211">
        <f>-N(P122)</f>
        <v>0</v>
      </c>
      <c r="Q203" s="211">
        <f>-N(Q122)</f>
        <v>0</v>
      </c>
      <c r="R203" s="211">
        <f>-N(R122)</f>
        <v>0</v>
      </c>
      <c r="S203" s="211">
        <f>-N(S122)</f>
        <v>0</v>
      </c>
      <c r="T203" s="211">
        <f>-N(T122)</f>
        <v>0</v>
      </c>
      <c r="U203" s="211">
        <f>-N(U122)</f>
        <v>0</v>
      </c>
      <c r="V203" s="211">
        <f>-N(V122)</f>
        <v>0</v>
      </c>
      <c r="W203" s="211">
        <f>-N(W122)</f>
        <v>0</v>
      </c>
      <c r="X203" s="211">
        <f>-N(X122)</f>
        <v>0</v>
      </c>
      <c r="Y203" s="211">
        <f>-N(Y122)</f>
        <v>0</v>
      </c>
      <c r="Z203" s="211">
        <f>-N(Z122)</f>
        <v>0</v>
      </c>
      <c r="AA203" s="211">
        <f>-N(AA122)</f>
        <v>0</v>
      </c>
      <c r="AB203" s="211">
        <f>-N(AB122)</f>
        <v>0</v>
      </c>
      <c r="AC203" s="211">
        <f>-N(AC122)</f>
        <v>0</v>
      </c>
      <c r="AD203" s="211">
        <f>-N(AD122)</f>
        <v>0</v>
      </c>
      <c r="AE203" s="211">
        <f>-N(AE122)</f>
        <v>0</v>
      </c>
      <c r="AF203" s="211">
        <f>-N(AF122)</f>
        <v>0</v>
      </c>
      <c r="AG203" s="211">
        <f>-N(AG122)</f>
        <v>0</v>
      </c>
      <c r="AH203" s="211">
        <f>-N(AH122)</f>
        <v>0</v>
      </c>
      <c r="AI203" s="211">
        <f>-N(AI122)</f>
        <v>-3031</v>
      </c>
      <c r="AJ203" s="211">
        <f>-N(AJ122)</f>
        <v>-1062</v>
      </c>
      <c r="AK203" s="211">
        <f>-N(AK122)</f>
        <v>-1382</v>
      </c>
      <c r="AL203" s="211">
        <f>-N(AL122)</f>
        <v>15</v>
      </c>
      <c r="AM203" s="211">
        <f>-N(AM122)</f>
        <v>-5460</v>
      </c>
      <c r="AN203" s="211">
        <f>-N(AN122)</f>
        <v>-1083</v>
      </c>
      <c r="AO203" s="211">
        <f>-N(AO122)</f>
        <v>-2699</v>
      </c>
      <c r="AP203" s="211">
        <f>-N(AP122)</f>
        <v>1528</v>
      </c>
      <c r="AQ203" s="211">
        <f>-N(AQ122)</f>
        <v>-395</v>
      </c>
      <c r="AR203" s="211">
        <f>-N(AR122)</f>
        <v>-2649</v>
      </c>
      <c r="AS203" s="211">
        <f>-N(AS122)</f>
        <v>814</v>
      </c>
      <c r="AT203" s="211">
        <f>-N(AT122)</f>
        <v>-1455</v>
      </c>
      <c r="AU203" s="211">
        <f>-N(AU122)</f>
        <v>-1899</v>
      </c>
      <c r="AV203" s="211">
        <f>-N(AV122)</f>
        <v>-3052</v>
      </c>
      <c r="AW203" s="211">
        <f>-N(AW122)</f>
        <v>-5592</v>
      </c>
      <c r="AX203" s="211">
        <f>-N(AX122)</f>
        <v>-4837</v>
      </c>
      <c r="AY203" s="211">
        <f>-N(AY122)</f>
        <v>-2772</v>
      </c>
      <c r="AZ203" s="211">
        <f>-N(AZ122)</f>
        <v>-2121</v>
      </c>
      <c r="BA203" s="211">
        <f>-N(BA122)</f>
        <v>-2650</v>
      </c>
      <c r="BB203" s="211">
        <f>-N(BB122)</f>
        <v>-12380</v>
      </c>
      <c r="BC203" s="211">
        <f>-N(BC122)</f>
        <v>1070</v>
      </c>
      <c r="BD203" s="211">
        <f>-N(BD122)</f>
        <v>251</v>
      </c>
      <c r="BE203" s="211">
        <f>-N(BE122)</f>
        <v>647</v>
      </c>
      <c r="BF203" s="211">
        <f>-N(BF122)</f>
        <v>1487</v>
      </c>
      <c r="BG203" s="211">
        <f>-N(BG122)</f>
        <v>3455</v>
      </c>
      <c r="BH203" s="211">
        <f>-N(BH122)</f>
        <v>-377</v>
      </c>
      <c r="BI203" s="211">
        <f>-N(BI122)</f>
        <v>205</v>
      </c>
      <c r="BJ203" s="211">
        <f>-N(BJ122)</f>
        <v>366</v>
      </c>
      <c r="BK203" s="211">
        <f>-N(BK122)</f>
        <v>-586</v>
      </c>
      <c r="BL203" s="211">
        <f>-N(BL122)</f>
        <v>-392</v>
      </c>
      <c r="BM203" s="211">
        <f>-N(BM122)</f>
        <v>-2243</v>
      </c>
      <c r="BN203" s="211">
        <f>-N(BN122)</f>
        <v>714</v>
      </c>
      <c r="BO203" s="211">
        <f>-N(BO122)</f>
        <v>-1821</v>
      </c>
      <c r="BP203" s="211">
        <f>-N(BP122)</f>
        <v>-364</v>
      </c>
      <c r="BQ203" s="211">
        <f>-N(BQ122)</f>
        <v>-3714</v>
      </c>
      <c r="BR203" s="211">
        <f>-N(BR122)</f>
        <v>-9758</v>
      </c>
      <c r="BS203" s="211">
        <f>-N(BS122)</f>
        <v>-1286</v>
      </c>
      <c r="BT203" s="211">
        <f>-N(BT122)</f>
        <v>-10734</v>
      </c>
      <c r="BU203" s="211">
        <f>-N(BU122)</f>
        <v>-2302</v>
      </c>
      <c r="BV203" s="211">
        <f>-N(BV122)</f>
        <v>-24080</v>
      </c>
      <c r="BW203" s="211">
        <f>-N(BW122)</f>
        <v>-36915</v>
      </c>
      <c r="BX203" s="211">
        <f>-N(BX122)</f>
        <v>-99031</v>
      </c>
      <c r="BY203" s="254">
        <f>-N(BY122)</f>
        <v>0</v>
      </c>
      <c r="BZ203" s="254">
        <f>-N(BZ122)</f>
        <v>0</v>
      </c>
      <c r="CA203" s="254">
        <f>-N(CA122)</f>
        <v>-135946</v>
      </c>
      <c r="CB203" s="254">
        <f>-N(CB122)</f>
        <v>0</v>
      </c>
      <c r="CC203" s="254">
        <f>-N(CC122)</f>
        <v>0</v>
      </c>
      <c r="CD203" s="254">
        <f>-N(CD122)</f>
        <v>0</v>
      </c>
      <c r="CE203" s="254">
        <f>-N(CE122)</f>
        <v>0</v>
      </c>
      <c r="CF203" s="19" t="n"/>
    </row>
    <row r="204" ht="15" customHeight="1" s="251">
      <c r="B204" s="25" t="inlineStr">
        <is>
          <t xml:space="preserve">  (−) Tax effect of the adjustments (model: statutory rate; EC fines not deductible)</t>
        </is>
      </c>
      <c r="C204" s="211">
        <f>-(C203+N(C171))*C205</f>
        <v>0</v>
      </c>
      <c r="D204" s="211">
        <f>-(D203+N(D171))*D205</f>
        <v>0</v>
      </c>
      <c r="E204" s="211">
        <f>-(E203+N(E171))*E205</f>
        <v>-383.16495</v>
      </c>
      <c r="F204" s="211">
        <f>-(F203+N(F171))*F205</f>
        <v>0</v>
      </c>
      <c r="G204" s="211">
        <f>-(G203+N(G171))*G205</f>
        <v>0</v>
      </c>
      <c r="H204" s="211">
        <f>-(H203+N(H171))*H205</f>
        <v>0</v>
      </c>
      <c r="I204" s="211">
        <f>-(I203+N(I171))*I205</f>
        <v>0</v>
      </c>
      <c r="J204" s="211">
        <f>-(J203+N(J171))*J205</f>
        <v>0</v>
      </c>
      <c r="K204" s="211">
        <f>-(K203+N(K171))*K205</f>
        <v>0</v>
      </c>
      <c r="L204" s="211">
        <f>-(L203+N(L171))*L205</f>
        <v>0</v>
      </c>
      <c r="M204" s="211">
        <f>-(M203+N(M171))*M205</f>
        <v>0</v>
      </c>
      <c r="N204" s="211">
        <f>-(N203+N(N171))*N205</f>
        <v>0</v>
      </c>
      <c r="O204" s="211">
        <f>-(O203+N(O171))*O205</f>
        <v>0</v>
      </c>
      <c r="P204" s="211">
        <f>-(P203+N(P171))*P205</f>
        <v>0</v>
      </c>
      <c r="Q204" s="211">
        <f>-(Q203+N(Q171))*Q205</f>
        <v>0</v>
      </c>
      <c r="R204" s="211">
        <f>-(R203+N(R171))*R205</f>
        <v>0</v>
      </c>
      <c r="S204" s="211">
        <f>-(S203+N(S171))*S205</f>
        <v>0</v>
      </c>
      <c r="T204" s="211">
        <f>-(T203+N(T171))*T205</f>
        <v>0</v>
      </c>
      <c r="U204" s="211">
        <f>-(U203+N(U171))*U205</f>
        <v>0</v>
      </c>
      <c r="V204" s="211">
        <f>-(V203+N(V171))*V205</f>
        <v>0</v>
      </c>
      <c r="W204" s="211">
        <f>-(W203+N(W171))*W205</f>
        <v>0</v>
      </c>
      <c r="X204" s="211">
        <f>-(X203+N(X171))*X205</f>
        <v>0</v>
      </c>
      <c r="Y204" s="211">
        <f>-(Y203+N(Y171))*Y205</f>
        <v>0</v>
      </c>
      <c r="Z204" s="211">
        <f>-(Z203+N(Z171))*Z205</f>
        <v>0</v>
      </c>
      <c r="AA204" s="211">
        <f>-(AA203+N(AA171))*AA205</f>
        <v>0</v>
      </c>
      <c r="AB204" s="211">
        <f>-(AB203+N(AB171))*AB205</f>
        <v>0</v>
      </c>
      <c r="AC204" s="211">
        <f>-(AC203+N(AC171))*AC205</f>
        <v>0</v>
      </c>
      <c r="AD204" s="211">
        <f>-(AD203+N(AD171))*AD205</f>
        <v>0</v>
      </c>
      <c r="AE204" s="211">
        <f>-(AE203+N(AE171))*AE205</f>
        <v>0</v>
      </c>
      <c r="AF204" s="211">
        <f>-(AF203+N(AF171))*AF205</f>
        <v>0</v>
      </c>
      <c r="AG204" s="211">
        <f>-(AG203+N(AG171))*AG205</f>
        <v>0</v>
      </c>
      <c r="AH204" s="211">
        <f>-(AH203+N(AH171))*AH205</f>
        <v>0</v>
      </c>
      <c r="AI204" s="211">
        <f>-(AI203+N(AI171))*AI205</f>
        <v>636.51</v>
      </c>
      <c r="AJ204" s="211">
        <f>-(AJ203+N(AJ171))*AJ205</f>
        <v>223.02</v>
      </c>
      <c r="AK204" s="211">
        <f>-(AK203+N(AK171))*AK205</f>
        <v>290.22</v>
      </c>
      <c r="AL204" s="211">
        <f>-(AL203+N(AL171))*AL205</f>
        <v>-3.15</v>
      </c>
      <c r="AM204" s="211">
        <f>-(AM203+N(AM171))*AM205</f>
        <v>1146.6</v>
      </c>
      <c r="AN204" s="211">
        <f>-(AN203+N(AN171))*AN205</f>
        <v>227.43</v>
      </c>
      <c r="AO204" s="211">
        <f>-(AO203+N(AO171))*AO205</f>
        <v>566.79</v>
      </c>
      <c r="AP204" s="211">
        <f>-(AP203+N(AP171))*AP205</f>
        <v>-320.88</v>
      </c>
      <c r="AQ204" s="211">
        <f>-(AQ203+N(AQ171))*AQ205</f>
        <v>82.95</v>
      </c>
      <c r="AR204" s="211">
        <f>-(AR203+N(AR171))*AR205</f>
        <v>556.29</v>
      </c>
      <c r="AS204" s="211">
        <f>-(AS203+N(AS171))*AS205</f>
        <v>-170.94</v>
      </c>
      <c r="AT204" s="211">
        <f>-(AT203+N(AT171))*AT205</f>
        <v>305.55</v>
      </c>
      <c r="AU204" s="211">
        <f>-(AU203+N(AU171))*AU205</f>
        <v>398.79</v>
      </c>
      <c r="AV204" s="211">
        <f>-(AV203+N(AV171))*AV205</f>
        <v>640.92</v>
      </c>
      <c r="AW204" s="211">
        <f>-(AW203+N(AW171))*AW205</f>
        <v>1174.32</v>
      </c>
      <c r="AX204" s="211">
        <f>-(AX203+N(AX171))*AX205</f>
        <v>1015.77</v>
      </c>
      <c r="AY204" s="211">
        <f>-(AY203+N(AY171))*AY205</f>
        <v>582.12</v>
      </c>
      <c r="AZ204" s="211">
        <f>-(AZ203+N(AZ171))*AZ205</f>
        <v>445.41</v>
      </c>
      <c r="BA204" s="211">
        <f>-(BA203+N(BA171))*BA205</f>
        <v>556.5</v>
      </c>
      <c r="BB204" s="211">
        <f>-(BB203+N(BB171))*BB205</f>
        <v>2599.8</v>
      </c>
      <c r="BC204" s="211">
        <f>-(BC203+N(BC171))*BC205</f>
        <v>-224.7</v>
      </c>
      <c r="BD204" s="211">
        <f>-(BD203+N(BD171))*BD205</f>
        <v>-52.71</v>
      </c>
      <c r="BE204" s="211">
        <f>-(BE203+N(BE171))*BE205</f>
        <v>-135.87</v>
      </c>
      <c r="BF204" s="211">
        <f>-(BF203+N(BF171))*BF205</f>
        <v>-312.27</v>
      </c>
      <c r="BG204" s="211">
        <f>-(BG203+N(BG171))*BG205</f>
        <v>-725.55</v>
      </c>
      <c r="BH204" s="211">
        <f>-(BH203+N(BH171))*BH205</f>
        <v>-458.01</v>
      </c>
      <c r="BI204" s="211">
        <f>-(BI203+N(BI171))*BI205</f>
        <v>-43.05</v>
      </c>
      <c r="BJ204" s="211">
        <f>-(BJ203+N(BJ171))*BJ205</f>
        <v>-76.86</v>
      </c>
      <c r="BK204" s="211">
        <f>-(BK203+N(BK171))*BK205</f>
        <v>123.06</v>
      </c>
      <c r="BL204" s="211">
        <f>-(BL203+N(BL171))*BL205</f>
        <v>-454.86</v>
      </c>
      <c r="BM204" s="211">
        <f>-(BM203+N(BM171))*BM205</f>
        <v>320.67</v>
      </c>
      <c r="BN204" s="211">
        <f>-(BN203+N(BN171))*BN205</f>
        <v>-149.94</v>
      </c>
      <c r="BO204" s="211">
        <f>-(BO203+N(BO171))*BO205</f>
        <v>382.41</v>
      </c>
      <c r="BP204" s="211">
        <f>-(BP203+N(BP171))*BP205</f>
        <v>76.44</v>
      </c>
      <c r="BQ204" s="211">
        <f>-(BQ203+N(BQ171))*BQ205</f>
        <v>629.58</v>
      </c>
      <c r="BR204" s="211">
        <f>-(BR203+N(BR171))*BR205</f>
        <v>2049.18</v>
      </c>
      <c r="BS204" s="211">
        <f>-(BS203+N(BS171))*BS205</f>
        <v>270.06</v>
      </c>
      <c r="BT204" s="211">
        <f>-(BT203+N(BT171))*BT205</f>
        <v>2254.14</v>
      </c>
      <c r="BU204" s="211">
        <f>-(BU203+N(BU171))*BU205</f>
        <v>483.42</v>
      </c>
      <c r="BV204" s="211">
        <f>-(BV203+N(BV171))*BV205</f>
        <v>5056.8</v>
      </c>
      <c r="BW204" s="211">
        <f>-(BW203+N(BW171))*BW205</f>
        <v>7752.15</v>
      </c>
      <c r="BX204" s="211">
        <f>-(BX203+N(BX171))*BX205</f>
        <v>20796.51</v>
      </c>
      <c r="BY204" s="254">
        <f>-(BY203+N(BY171))*BY205</f>
        <v>0</v>
      </c>
      <c r="BZ204" s="254">
        <f>-(BZ203+N(BZ171))*BZ205</f>
        <v>0</v>
      </c>
      <c r="CA204" s="254">
        <f>-(CA203+N(CA171))*CA205</f>
        <v>28548.66</v>
      </c>
      <c r="CB204" s="254">
        <f>-(CB203+N(CB171))*CB205</f>
        <v>0</v>
      </c>
      <c r="CC204" s="254">
        <f>-(CC203+N(CC171))*CC205</f>
        <v>0</v>
      </c>
      <c r="CD204" s="254">
        <f>-(CD203+N(CD171))*CD205</f>
        <v>0</v>
      </c>
      <c r="CE204" s="254">
        <f>-(CE203+N(CE171))*CE205</f>
        <v>0</v>
      </c>
      <c r="CF204" s="19" t="n"/>
    </row>
    <row r="205" ht="15" customHeight="1" s="251">
      <c r="B205" s="25" t="inlineStr">
        <is>
          <t xml:space="preserve">    Statutory rate applied (35% to 2017; 21% from 2018)</t>
        </is>
      </c>
      <c r="C205" s="215">
        <f>0.35</f>
        <v>0.35</v>
      </c>
      <c r="D205" s="215">
        <f>0.35</f>
        <v>0.35</v>
      </c>
      <c r="E205" s="215">
        <f>0.35</f>
        <v>0.35</v>
      </c>
      <c r="F205" s="215">
        <f>0.35</f>
        <v>0.35</v>
      </c>
      <c r="G205" s="215">
        <f>0.35</f>
        <v>0.35</v>
      </c>
      <c r="H205" s="215">
        <f>0.35</f>
        <v>0.35</v>
      </c>
      <c r="I205" s="215">
        <f>0.35</f>
        <v>0.35</v>
      </c>
      <c r="J205" s="215">
        <f>0.35</f>
        <v>0.35</v>
      </c>
      <c r="K205" s="215">
        <f>0.35</f>
        <v>0.35</v>
      </c>
      <c r="L205" s="215">
        <f>0.35</f>
        <v>0.35</v>
      </c>
      <c r="M205" s="215">
        <f>0.35</f>
        <v>0.35</v>
      </c>
      <c r="N205" s="215">
        <f>0.35</f>
        <v>0.35</v>
      </c>
      <c r="O205" s="215">
        <f>0.35</f>
        <v>0.35</v>
      </c>
      <c r="P205" s="215">
        <f>0.35</f>
        <v>0.35</v>
      </c>
      <c r="Q205" s="215">
        <f>0.35</f>
        <v>0.35</v>
      </c>
      <c r="R205" s="215">
        <f>0.35</f>
        <v>0.35</v>
      </c>
      <c r="S205" s="215">
        <f>0.35</f>
        <v>0.35</v>
      </c>
      <c r="T205" s="215">
        <f>0.35</f>
        <v>0.35</v>
      </c>
      <c r="U205" s="215">
        <f>0.35</f>
        <v>0.35</v>
      </c>
      <c r="V205" s="215">
        <f>0.35</f>
        <v>0.35</v>
      </c>
      <c r="W205" s="215">
        <f>0.35</f>
        <v>0.35</v>
      </c>
      <c r="X205" s="215">
        <f>0.35</f>
        <v>0.35</v>
      </c>
      <c r="Y205" s="215">
        <f>0.35</f>
        <v>0.35</v>
      </c>
      <c r="Z205" s="215">
        <f>0.35</f>
        <v>0.35</v>
      </c>
      <c r="AA205" s="215">
        <f>0.35</f>
        <v>0.35</v>
      </c>
      <c r="AB205" s="215">
        <f>0.35</f>
        <v>0.35</v>
      </c>
      <c r="AC205" s="215">
        <f>0.35</f>
        <v>0.35</v>
      </c>
      <c r="AD205" s="215">
        <f>0.35</f>
        <v>0.35</v>
      </c>
      <c r="AE205" s="215">
        <f>0.35</f>
        <v>0.35</v>
      </c>
      <c r="AF205" s="215">
        <f>0.35</f>
        <v>0.35</v>
      </c>
      <c r="AG205" s="215">
        <f>0.35</f>
        <v>0.35</v>
      </c>
      <c r="AH205" s="215">
        <f>0.35</f>
        <v>0.35</v>
      </c>
      <c r="AI205" s="215">
        <f>0.21</f>
        <v>0.21</v>
      </c>
      <c r="AJ205" s="215">
        <f>0.21</f>
        <v>0.21</v>
      </c>
      <c r="AK205" s="215">
        <f>0.21</f>
        <v>0.21</v>
      </c>
      <c r="AL205" s="215">
        <f>0.21</f>
        <v>0.21</v>
      </c>
      <c r="AM205" s="215">
        <f>0.21</f>
        <v>0.21</v>
      </c>
      <c r="AN205" s="215">
        <f>0.21</f>
        <v>0.21</v>
      </c>
      <c r="AO205" s="215">
        <f>0.21</f>
        <v>0.21</v>
      </c>
      <c r="AP205" s="215">
        <f>0.21</f>
        <v>0.21</v>
      </c>
      <c r="AQ205" s="215">
        <f>0.21</f>
        <v>0.21</v>
      </c>
      <c r="AR205" s="215">
        <f>0.21</f>
        <v>0.21</v>
      </c>
      <c r="AS205" s="215">
        <f>0.21</f>
        <v>0.21</v>
      </c>
      <c r="AT205" s="215">
        <f>0.21</f>
        <v>0.21</v>
      </c>
      <c r="AU205" s="215">
        <f>0.21</f>
        <v>0.21</v>
      </c>
      <c r="AV205" s="215">
        <f>0.21</f>
        <v>0.21</v>
      </c>
      <c r="AW205" s="215">
        <f>0.21</f>
        <v>0.21</v>
      </c>
      <c r="AX205" s="215">
        <f>0.21</f>
        <v>0.21</v>
      </c>
      <c r="AY205" s="215">
        <f>0.21</f>
        <v>0.21</v>
      </c>
      <c r="AZ205" s="215">
        <f>0.21</f>
        <v>0.21</v>
      </c>
      <c r="BA205" s="215">
        <f>0.21</f>
        <v>0.21</v>
      </c>
      <c r="BB205" s="215">
        <f>0.21</f>
        <v>0.21</v>
      </c>
      <c r="BC205" s="215">
        <f>0.21</f>
        <v>0.21</v>
      </c>
      <c r="BD205" s="215">
        <f>0.21</f>
        <v>0.21</v>
      </c>
      <c r="BE205" s="215">
        <f>0.21</f>
        <v>0.21</v>
      </c>
      <c r="BF205" s="215">
        <f>0.21</f>
        <v>0.21</v>
      </c>
      <c r="BG205" s="215">
        <f>0.21</f>
        <v>0.21</v>
      </c>
      <c r="BH205" s="215">
        <f>0.21</f>
        <v>0.21</v>
      </c>
      <c r="BI205" s="215">
        <f>0.21</f>
        <v>0.21</v>
      </c>
      <c r="BJ205" s="215">
        <f>0.21</f>
        <v>0.21</v>
      </c>
      <c r="BK205" s="215">
        <f>0.21</f>
        <v>0.21</v>
      </c>
      <c r="BL205" s="215">
        <f>0.21</f>
        <v>0.21</v>
      </c>
      <c r="BM205" s="215">
        <f>0.21</f>
        <v>0.21</v>
      </c>
      <c r="BN205" s="215">
        <f>0.21</f>
        <v>0.21</v>
      </c>
      <c r="BO205" s="215">
        <f>0.21</f>
        <v>0.21</v>
      </c>
      <c r="BP205" s="215">
        <f>0.21</f>
        <v>0.21</v>
      </c>
      <c r="BQ205" s="215">
        <f>0.21</f>
        <v>0.21</v>
      </c>
      <c r="BR205" s="215">
        <f>0.21</f>
        <v>0.21</v>
      </c>
      <c r="BS205" s="215">
        <f>0.21</f>
        <v>0.21</v>
      </c>
      <c r="BT205" s="215">
        <f>0.21</f>
        <v>0.21</v>
      </c>
      <c r="BU205" s="215">
        <f>0.21</f>
        <v>0.21</v>
      </c>
      <c r="BV205" s="215">
        <f>0.21</f>
        <v>0.21</v>
      </c>
      <c r="BW205" s="215">
        <f>0.21</f>
        <v>0.21</v>
      </c>
      <c r="BX205" s="215">
        <f>0.21</f>
        <v>0.21</v>
      </c>
      <c r="BY205" s="256">
        <f>0.21</f>
        <v>0.21</v>
      </c>
      <c r="BZ205" s="256">
        <f>0.21</f>
        <v>0.21</v>
      </c>
      <c r="CA205" s="256">
        <f>0.21</f>
        <v>0.21</v>
      </c>
      <c r="CB205" s="277">
        <f>0.21</f>
        <v>0.21</v>
      </c>
      <c r="CC205" s="277">
        <f>0.21</f>
        <v>0.21</v>
      </c>
      <c r="CD205" s="277">
        <f>0.21</f>
        <v>0.21</v>
      </c>
      <c r="CE205" s="277">
        <f>0.21</f>
        <v>0.21</v>
      </c>
      <c r="CF205" s="19" t="n"/>
    </row>
    <row r="206" ht="15" customHeight="1" s="251">
      <c r="B206" s="25" t="inlineStr">
        <is>
          <t xml:space="preserve">  (+) Discrete tax items (Tax Act charge Q4-17)</t>
        </is>
      </c>
      <c r="C206" s="211">
        <f>C125</f>
        <v>0</v>
      </c>
      <c r="D206" s="211">
        <f>D125</f>
        <v>0</v>
      </c>
      <c r="E206" s="211">
        <f>E125</f>
        <v>0</v>
      </c>
      <c r="F206" s="211">
        <f>F125</f>
        <v>0</v>
      </c>
      <c r="G206" s="211">
        <f>G125</f>
        <v>0</v>
      </c>
      <c r="H206" s="211">
        <f>H125</f>
        <v>0</v>
      </c>
      <c r="I206" s="211">
        <f>I125</f>
        <v>0</v>
      </c>
      <c r="J206" s="211">
        <f>J125</f>
        <v>0</v>
      </c>
      <c r="K206" s="211">
        <f>K125</f>
        <v>0</v>
      </c>
      <c r="L206" s="211">
        <f>L125</f>
        <v>0</v>
      </c>
      <c r="M206" s="211">
        <f>M125</f>
        <v>0</v>
      </c>
      <c r="N206" s="211">
        <f>N125</f>
        <v>0</v>
      </c>
      <c r="O206" s="211">
        <f>O125</f>
        <v>0</v>
      </c>
      <c r="P206" s="211">
        <f>P125</f>
        <v>0</v>
      </c>
      <c r="Q206" s="211">
        <f>Q125</f>
        <v>0</v>
      </c>
      <c r="R206" s="211">
        <f>R125</f>
        <v>0</v>
      </c>
      <c r="S206" s="211">
        <f>S125</f>
        <v>0</v>
      </c>
      <c r="T206" s="211">
        <f>T125</f>
        <v>0</v>
      </c>
      <c r="U206" s="211">
        <f>U125</f>
        <v>0</v>
      </c>
      <c r="V206" s="211">
        <f>V125</f>
        <v>0</v>
      </c>
      <c r="W206" s="211">
        <f>W125</f>
        <v>0</v>
      </c>
      <c r="X206" s="211">
        <f>X125</f>
        <v>0</v>
      </c>
      <c r="Y206" s="211">
        <f>Y125</f>
        <v>0</v>
      </c>
      <c r="Z206" s="211">
        <f>Z125</f>
        <v>0</v>
      </c>
      <c r="AA206" s="211">
        <f>AA125</f>
        <v>0</v>
      </c>
      <c r="AB206" s="211">
        <f>AB125</f>
        <v>0</v>
      </c>
      <c r="AC206" s="211">
        <f>AC125</f>
        <v>0</v>
      </c>
      <c r="AD206" s="211">
        <f>AD125</f>
        <v>0</v>
      </c>
      <c r="AE206" s="211">
        <f>AE125</f>
        <v>0</v>
      </c>
      <c r="AF206" s="211">
        <f>AF125</f>
        <v>0</v>
      </c>
      <c r="AG206" s="211">
        <f>AG125</f>
        <v>9857</v>
      </c>
      <c r="AH206" s="211">
        <f>AH125</f>
        <v>9857</v>
      </c>
      <c r="AI206" s="211">
        <f>AI125</f>
        <v>0</v>
      </c>
      <c r="AJ206" s="211">
        <f>AJ125</f>
        <v>0</v>
      </c>
      <c r="AK206" s="211">
        <f>AK125</f>
        <v>0</v>
      </c>
      <c r="AL206" s="211">
        <f>AL125</f>
        <v>0</v>
      </c>
      <c r="AM206" s="211">
        <f>AM125</f>
        <v>0</v>
      </c>
      <c r="AN206" s="211">
        <f>AN125</f>
        <v>0</v>
      </c>
      <c r="AO206" s="211">
        <f>AO125</f>
        <v>0</v>
      </c>
      <c r="AP206" s="211">
        <f>AP125</f>
        <v>0</v>
      </c>
      <c r="AQ206" s="211">
        <f>AQ125</f>
        <v>0</v>
      </c>
      <c r="AR206" s="211">
        <f>AR125</f>
        <v>0</v>
      </c>
      <c r="AS206" s="211">
        <f>AS125</f>
        <v>0</v>
      </c>
      <c r="AT206" s="211">
        <f>AT125</f>
        <v>0</v>
      </c>
      <c r="AU206" s="211">
        <f>AU125</f>
        <v>0</v>
      </c>
      <c r="AV206" s="211">
        <f>AV125</f>
        <v>0</v>
      </c>
      <c r="AW206" s="211">
        <f>AW125</f>
        <v>0</v>
      </c>
      <c r="AX206" s="211">
        <f>AX125</f>
        <v>0</v>
      </c>
      <c r="AY206" s="211">
        <f>AY125</f>
        <v>0</v>
      </c>
      <c r="AZ206" s="211">
        <f>AZ125</f>
        <v>0</v>
      </c>
      <c r="BA206" s="211">
        <f>BA125</f>
        <v>0</v>
      </c>
      <c r="BB206" s="211">
        <f>BB125</f>
        <v>0</v>
      </c>
      <c r="BC206" s="211">
        <f>BC125</f>
        <v>0</v>
      </c>
      <c r="BD206" s="211">
        <f>BD125</f>
        <v>0</v>
      </c>
      <c r="BE206" s="211">
        <f>BE125</f>
        <v>0</v>
      </c>
      <c r="BF206" s="211">
        <f>BF125</f>
        <v>0</v>
      </c>
      <c r="BG206" s="211">
        <f>BG125</f>
        <v>0</v>
      </c>
      <c r="BH206" s="211">
        <f>BH125</f>
        <v>0</v>
      </c>
      <c r="BI206" s="211">
        <f>BI125</f>
        <v>0</v>
      </c>
      <c r="BJ206" s="211">
        <f>BJ125</f>
        <v>0</v>
      </c>
      <c r="BK206" s="211">
        <f>BK125</f>
        <v>0</v>
      </c>
      <c r="BL206" s="211">
        <f>BL125</f>
        <v>0</v>
      </c>
      <c r="BM206" s="211">
        <f>BM125</f>
        <v>0</v>
      </c>
      <c r="BN206" s="211">
        <f>BN125</f>
        <v>0</v>
      </c>
      <c r="BO206" s="211">
        <f>BO125</f>
        <v>0</v>
      </c>
      <c r="BP206" s="211">
        <f>BP125</f>
        <v>0</v>
      </c>
      <c r="BQ206" s="211">
        <f>BQ125</f>
        <v>0</v>
      </c>
      <c r="BR206" s="211">
        <f>BR125</f>
        <v>0</v>
      </c>
      <c r="BS206" s="211">
        <f>BS125</f>
        <v>0</v>
      </c>
      <c r="BT206" s="211">
        <f>BT125</f>
        <v>0</v>
      </c>
      <c r="BU206" s="211">
        <f>BU125</f>
        <v>0</v>
      </c>
      <c r="BV206" s="211">
        <f>BV125</f>
        <v>0</v>
      </c>
      <c r="BW206" s="211">
        <f>BW125</f>
        <v>0</v>
      </c>
      <c r="BX206" s="211">
        <f>BX125</f>
        <v>0</v>
      </c>
      <c r="BY206" s="254">
        <f>BY125</f>
        <v>0</v>
      </c>
      <c r="BZ206" s="254">
        <f>BZ125</f>
        <v>0</v>
      </c>
      <c r="CA206" s="254">
        <f>CA125</f>
        <v>0</v>
      </c>
      <c r="CB206" s="254">
        <f>CB125</f>
        <v>0</v>
      </c>
      <c r="CC206" s="254">
        <f>CC125</f>
        <v>0</v>
      </c>
      <c r="CD206" s="254">
        <f>CD125</f>
        <v>0</v>
      </c>
      <c r="CE206" s="254">
        <f>CE125</f>
        <v>0</v>
      </c>
      <c r="CF206" s="19" t="n"/>
    </row>
    <row r="207" ht="15" customHeight="1" s="251">
      <c r="B207" s="55" t="inlineStr">
        <is>
          <t xml:space="preserve">  = Adjusted net income (model)</t>
        </is>
      </c>
      <c r="C207" s="260">
        <f>IF(ISNUMBER(C200),C200+C201+N(C202)+C203+C204+N(C206),"")</f>
        <v>3077.446</v>
      </c>
      <c r="D207" s="260">
        <f>IF(ISNUMBER(D200),D200+D201+N(D202)+D203+D204+N(D206),"")</f>
        <v>4203.72</v>
      </c>
      <c r="E207" s="260">
        <f>IF(ISNUMBER(E200),E200+E201+N(E202)+E203+E204+N(E206),"")</f>
        <v>4938.45005</v>
      </c>
      <c r="F207" s="260">
        <f>IF(ISNUMBER(F200),F200+F201+N(F202)+F203+F204+N(F206),"")</f>
        <v>6520.448</v>
      </c>
      <c r="G207" s="260">
        <f>IF(ISNUMBER(G200),G200+G201+N(G202)+G203+G204+N(G206),"")</f>
        <v>8505</v>
      </c>
      <c r="H207" s="260">
        <f>IF(ISNUMBER(H200),H200+H201+N(H202)+H203+H204+N(H206),"")</f>
        <v>9737</v>
      </c>
      <c r="I207" s="260">
        <f>IF(ISNUMBER(I200),I200+I201+N(I202)+I203+I204+N(I206),"")</f>
        <v>10788</v>
      </c>
      <c r="J207" s="260">
        <f>IF(ISNUMBER(J200),J200+J201+N(J202)+J203+J204+N(J206),"")</f>
        <v>3324</v>
      </c>
      <c r="K207" s="260">
        <f>IF(ISNUMBER(K200),K200+K201+N(K202)+K203+K204+N(K206),"")</f>
        <v>2554</v>
      </c>
      <c r="L207" s="260">
        <f>IF(ISNUMBER(L200),L200+L201+N(L202)+L203+L204+N(L206),"")</f>
        <v>2955</v>
      </c>
      <c r="M207" s="260">
        <f>IF(ISNUMBER(M200),M200+M201+N(M202)+M203+M204+N(M206),"")</f>
        <v>3381</v>
      </c>
      <c r="N207" s="260">
        <f>IF(ISNUMBER(N200),N200+N201+N(N202)+N203+N204+N(N206),"")</f>
        <v>12214</v>
      </c>
      <c r="O207" s="260">
        <f>IF(ISNUMBER(O200),O200+O201+N(O202)+O203+O204+N(O206),"")</f>
        <v>3650</v>
      </c>
      <c r="P207" s="260">
        <f>IF(ISNUMBER(P200),P200+P201+N(P202)+P203+P204+N(P206),"")</f>
        <v>3490</v>
      </c>
      <c r="Q207" s="260">
        <f>IF(ISNUMBER(Q200),Q200+Q201+N(Q202)+Q203+Q204+N(Q206),"")</f>
        <v>2998</v>
      </c>
      <c r="R207" s="260">
        <f>IF(ISNUMBER(R200),R200+R201+N(R202)+R203+R204+N(R206),"")</f>
        <v>3790</v>
      </c>
      <c r="S207" s="260">
        <f>IF(ISNUMBER(S200),S200+S201+N(S202)+S203+S204+N(S206),"")</f>
        <v>13928</v>
      </c>
      <c r="T207" s="260">
        <f>IF(ISNUMBER(T200),T200+T201+N(T202)+T203+T204+N(T206),"")</f>
        <v>3586</v>
      </c>
      <c r="U207" s="260">
        <f>IF(ISNUMBER(U200),U200+U201+N(U202)+U203+U204+N(U206),"")</f>
        <v>3931</v>
      </c>
      <c r="V207" s="260">
        <f>IF(ISNUMBER(V200),V200+V201+N(V202)+V203+V204+N(V206),"")</f>
        <v>3979</v>
      </c>
      <c r="W207" s="260">
        <f>IF(ISNUMBER(W200),W200+W201+N(W202)+W203+W204+N(W206),"")</f>
        <v>4923</v>
      </c>
      <c r="X207" s="260">
        <f>IF(ISNUMBER(X200),X200+X201+N(X202)+X203+X204+N(X206),"")</f>
        <v>16348</v>
      </c>
      <c r="Y207" s="260">
        <f>IF(ISNUMBER(Y200),Y200+Y201+N(Y202)+Y203+Y204+N(Y206),"")</f>
        <v>4207</v>
      </c>
      <c r="Z207" s="260">
        <f>IF(ISNUMBER(Z200),Z200+Z201+N(Z202)+Z203+Z204+N(Z206),"")</f>
        <v>4877</v>
      </c>
      <c r="AA207" s="260">
        <f>IF(ISNUMBER(AA200),AA200+AA201+N(AA202)+AA203+AA204+N(AA206),"")</f>
        <v>5061</v>
      </c>
      <c r="AB207" s="260">
        <f>IF(ISNUMBER(AB200),AB200+AB201+N(AB202)+AB203+AB204+N(AB206),"")</f>
        <v>5333</v>
      </c>
      <c r="AC207" s="260">
        <f>IF(ISNUMBER(AC200),AC200+AC201+N(AC202)+AC203+AC204+N(AC206),"")</f>
        <v>19478</v>
      </c>
      <c r="AD207" s="260">
        <f>IF(ISNUMBER(AD200),AD200+AD201+N(AD202)+AD203+AD204+N(AD206),"")</f>
        <v>5426</v>
      </c>
      <c r="AE207" s="260">
        <f>IF(ISNUMBER(AE200),AE200+AE201+N(AE202)+AE203+AE204+N(AE206),"")</f>
        <v>6260</v>
      </c>
      <c r="AF207" s="260">
        <f>IF(ISNUMBER(AF200),AF200+AF201+N(AF202)+AF203+AF204+N(AF206),"")</f>
        <v>6732</v>
      </c>
      <c r="AG207" s="260">
        <f>IF(ISNUMBER(AG200),AG200+AG201+N(AG202)+AG203+AG204+N(AG206),"")</f>
        <v>6837</v>
      </c>
      <c r="AH207" s="260">
        <f>IF(ISNUMBER(AH200),AH200+AH201+N(AH202)+AH203+AH204+N(AH206),"")</f>
        <v>25255</v>
      </c>
      <c r="AI207" s="260">
        <f>IF(ISNUMBER(AI200),AI200+AI201+N(AI202)+AI203+AI204+N(AI206),"")</f>
        <v>7006.51</v>
      </c>
      <c r="AJ207" s="260">
        <f>IF(ISNUMBER(AJ200),AJ200+AJ201+N(AJ202)+AJ203+AJ204+N(AJ206),"")</f>
        <v>7427.02</v>
      </c>
      <c r="AK207" s="260">
        <f>IF(ISNUMBER(AK200),AK200+AK201+N(AK202)+AK203+AK204+N(AK206),"")</f>
        <v>8100.22</v>
      </c>
      <c r="AL207" s="260">
        <f>IF(ISNUMBER(AL200),AL200+AL201+N(AL202)+AL203+AL204+N(AL206),"")</f>
        <v>8959.85</v>
      </c>
      <c r="AM207" s="260">
        <f>IF(ISNUMBER(AM200),AM200+AM201+N(AM202)+AM203+AM204+N(AM206),"")</f>
        <v>31493.6</v>
      </c>
      <c r="AN207" s="260">
        <f>IF(ISNUMBER(AN200),AN200+AN201+N(AN202)+AN203+AN204+N(AN206),"")</f>
        <v>7498.43</v>
      </c>
      <c r="AO207" s="260">
        <f>IF(ISNUMBER(AO200),AO200+AO201+N(AO202)+AO203+AO204+N(AO206),"")</f>
        <v>7814.79</v>
      </c>
      <c r="AP207" s="260">
        <f>IF(ISNUMBER(AP200),AP200+AP201+N(AP202)+AP203+AP204+N(AP206),"")</f>
        <v>8275.12</v>
      </c>
      <c r="AQ207" s="260">
        <f>IF(ISNUMBER(AQ200),AQ200+AQ201+N(AQ202)+AQ203+AQ204+N(AQ206),"")</f>
        <v>10358.95</v>
      </c>
      <c r="AR207" s="260">
        <f>IF(ISNUMBER(AR200),AR200+AR201+N(AR202)+AR203+AR204+N(AR206),"")</f>
        <v>33947.29</v>
      </c>
      <c r="AS207" s="260">
        <f>IF(ISNUMBER(AS200),AS200+AS201+N(AS202)+AS203+AS204+N(AS206),"")</f>
        <v>7479.06</v>
      </c>
      <c r="AT207" s="260">
        <f>IF(ISNUMBER(AT200),AT200+AT201+N(AT202)+AT203+AT204+N(AT206),"")</f>
        <v>5809.55</v>
      </c>
      <c r="AU207" s="260">
        <f>IF(ISNUMBER(AU200),AU200+AU201+N(AU202)+AU203+AU204+N(AU206),"")</f>
        <v>9746.79</v>
      </c>
      <c r="AV207" s="260">
        <f>IF(ISNUMBER(AV200),AV200+AV201+N(AV202)+AV203+AV204+N(AV206),"")</f>
        <v>12815.92</v>
      </c>
      <c r="AW207" s="260">
        <f>IF(ISNUMBER(AW200),AW200+AW201+N(AW202)+AW203+AW204+N(AW206),"")</f>
        <v>35851.32</v>
      </c>
      <c r="AX207" s="260">
        <f>IF(ISNUMBER(AX200),AX200+AX201+N(AX202)+AX203+AX204+N(AX206),"")</f>
        <v>14108.77</v>
      </c>
      <c r="AY207" s="260">
        <f>IF(ISNUMBER(AY200),AY200+AY201+N(AY202)+AY203+AY204+N(AY206),"")</f>
        <v>16335.12</v>
      </c>
      <c r="AZ207" s="260">
        <f>IF(ISNUMBER(AZ200),AZ200+AZ201+N(AZ202)+AZ203+AZ204+N(AZ206),"")</f>
        <v>17260.41</v>
      </c>
      <c r="BA207" s="260">
        <f>IF(ISNUMBER(BA200),BA200+BA201+N(BA202)+BA203+BA204+N(BA206),"")</f>
        <v>18548.5</v>
      </c>
      <c r="BB207" s="260">
        <f>IF(ISNUMBER(BB200),BB200+BB201+N(BB202)+BB203+BB204+N(BB206),"")</f>
        <v>66252.8</v>
      </c>
      <c r="BC207" s="260">
        <f>IF(ISNUMBER(BC200),BC200+BC201+N(BC202)+BC203+BC204+N(BC206),"")</f>
        <v>17281.3</v>
      </c>
      <c r="BD207" s="260">
        <f>IF(ISNUMBER(BD200),BD200+BD201+N(BD202)+BD203+BD204+N(BD206),"")</f>
        <v>16200.29</v>
      </c>
      <c r="BE207" s="260">
        <f>IF(ISNUMBER(BE200),BE200+BE201+N(BE202)+BE203+BE204+N(BE206),"")</f>
        <v>14421.13</v>
      </c>
      <c r="BF207" s="260">
        <f>IF(ISNUMBER(BF200),BF200+BF201+N(BF202)+BF203+BF204+N(BF206),"")</f>
        <v>14798.73</v>
      </c>
      <c r="BG207" s="260">
        <f>IF(ISNUMBER(BG200),BG200+BG201+N(BG202)+BG203+BG204+N(BG206),"")</f>
        <v>62701.45</v>
      </c>
      <c r="BH207" s="260">
        <f>IF(ISNUMBER(BH200),BH200+BH201+N(BH202)+BH203+BH204+N(BH206),"")</f>
        <v>16773.99</v>
      </c>
      <c r="BI207" s="260">
        <f>IF(ISNUMBER(BI200),BI200+BI201+N(BI202)+BI203+BI204+N(BI206),"")</f>
        <v>18529.95</v>
      </c>
      <c r="BJ207" s="260">
        <f>IF(ISNUMBER(BJ200),BJ200+BJ201+N(BJ202)+BJ203+BJ204+N(BJ206),"")</f>
        <v>19978.14</v>
      </c>
      <c r="BK207" s="260">
        <f>IF(ISNUMBER(BK200),BK200+BK201+N(BK202)+BK203+BK204+N(BK206),"")</f>
        <v>20224.06</v>
      </c>
      <c r="BL207" s="260">
        <f>IF(ISNUMBER(BL200),BL200+BL201+N(BL202)+BL203+BL204+N(BL206),"")</f>
        <v>75506.14</v>
      </c>
      <c r="BM207" s="260">
        <f>IF(ISNUMBER(BM200),BM200+BM201+N(BM202)+BM203+BM204+N(BM206),"")</f>
        <v>22455.67</v>
      </c>
      <c r="BN207" s="260">
        <f>IF(ISNUMBER(BN200),BN200+BN201+N(BN202)+BN203+BN204+N(BN206),"")</f>
        <v>24183.06</v>
      </c>
      <c r="BO207" s="260">
        <f>IF(ISNUMBER(BO200),BO200+BO201+N(BO202)+BO203+BO204+N(BO206),"")</f>
        <v>24862.41</v>
      </c>
      <c r="BP207" s="260">
        <f>IF(ISNUMBER(BP200),BP200+BP201+N(BP202)+BP203+BP204+N(BP206),"")</f>
        <v>26248.44</v>
      </c>
      <c r="BQ207" s="260">
        <f>IF(ISNUMBER(BQ200),BQ200+BQ201+N(BQ202)+BQ203+BQ204+N(BQ206),"")</f>
        <v>97749.58</v>
      </c>
      <c r="BR207" s="260">
        <f>IF(ISNUMBER(BR200),BR200+BR201+N(BR202)+BR203+BR204+N(BR206),"")</f>
        <v>26831.18</v>
      </c>
      <c r="BS207" s="260">
        <f>IF(ISNUMBER(BS200),BS200+BS201+N(BS202)+BS203+BS204+N(BS206),"")</f>
        <v>27180.06</v>
      </c>
      <c r="BT207" s="260">
        <f>IF(ISNUMBER(BT200),BT200+BT201+N(BT202)+BT203+BT204+N(BT206),"")</f>
        <v>29956.14</v>
      </c>
      <c r="BU207" s="260">
        <f>IF(ISNUMBER(BU200),BU200+BU201+N(BU202)+BU203+BU204+N(BU206),"")</f>
        <v>32636.42</v>
      </c>
      <c r="BV207" s="260">
        <f>IF(ISNUMBER(BV200),BV200+BV201+N(BV202)+BV203+BV204+N(BV206),"")</f>
        <v>116603.8</v>
      </c>
      <c r="BW207" s="260">
        <f>IF(ISNUMBER(BW200),BW200+BW201+N(BW202)+BW203+BW204+N(BW206),"")</f>
        <v>33415.15</v>
      </c>
      <c r="BX207" s="260">
        <f>IF(ISNUMBER(BX200),BX200+BX201+N(BX202)+BX203+BX204+N(BX206),"")</f>
        <v>33958.51</v>
      </c>
      <c r="BY207" s="260">
        <f>IF(ISNUMBER(BY200),BY200+BY201+N(BY202)+BY203+BY204+N(BY206),"")</f>
        <v>34958.4031131426</v>
      </c>
      <c r="BZ207" s="260">
        <f>IF(ISNUMBER(BZ200),BZ200+BZ201+N(BZ202)+BZ203+BZ204+N(BZ206),"")</f>
        <v>42263.992511503</v>
      </c>
      <c r="CA207" s="260">
        <f>IF(ISNUMBER(CA200),CA200+CA201+N(CA202)+CA203+CA204+N(CA206),"")</f>
        <v>144596.055624646</v>
      </c>
      <c r="CB207" s="260">
        <f>IF(ISNUMBER(CB200),CB200+CB201+N(CB202)+CB203+CB204+N(CB206),"")</f>
        <v>162952.157327398</v>
      </c>
      <c r="CC207" s="260">
        <f>IF(ISNUMBER(CC200),CC200+CC201+N(CC202)+CC203+CC204+N(CC206),"")</f>
        <v>176055.03063457</v>
      </c>
      <c r="CD207" s="260">
        <f>IF(ISNUMBER(CD200),CD200+CD201+N(CD202)+CD203+CD204+N(CD206),"")</f>
        <v>194039.034820097</v>
      </c>
      <c r="CE207" s="260">
        <f>IF(ISNUMBER(CE200),CE200+CE201+N(CE202)+CE203+CE204+N(CE206),"")</f>
        <v>212409.076164546</v>
      </c>
      <c r="CF207" s="153" t="n"/>
      <c r="CH207" s="20">
        <f>IFERROR((CE207/BV207)^(1/5)-1,"n/m")</f>
        <v>0.127436454654124</v>
      </c>
      <c r="CI207" s="20">
        <f>IFERROR((BV207/AW207)^(1/5)-1,"n/m")</f>
        <v>0.266022752345103</v>
      </c>
      <c r="CJ207" s="20">
        <f>IFERROR((BV207/X207)^(1/10)-1,"n/m")</f>
        <v>0.217095922569818</v>
      </c>
      <c r="CK207" s="20">
        <f>IFERROR((BV207/C207)^(1/19)-1,"n/m")</f>
        <v>0.210821486542807</v>
      </c>
    </row>
    <row r="208" ht="15" customHeight="1" s="251">
      <c r="B208" s="25" t="inlineStr">
        <is>
          <t xml:space="preserve">  Weighted-average diluted shares (m)</t>
        </is>
      </c>
      <c r="C208" s="211">
        <f>IF(ISNUMBER(C159),C159,"")</f>
        <v>12381.92</v>
      </c>
      <c r="D208" s="211">
        <f>IF(ISNUMBER(D159),D159,"")</f>
        <v>12648.4</v>
      </c>
      <c r="E208" s="211">
        <f>IF(ISNUMBER(E159),E159,"")</f>
        <v>12700.56</v>
      </c>
      <c r="F208" s="211">
        <f>IF(ISNUMBER(F159),F159,"")</f>
        <v>12776.64</v>
      </c>
      <c r="G208" s="211">
        <f>IF(ISNUMBER(G159),G159,"")</f>
        <v>12930.04</v>
      </c>
      <c r="H208" s="211">
        <f>IF(ISNUMBER(H159),H159,"")</f>
        <v>13088.56</v>
      </c>
      <c r="I208" s="211">
        <f>IF(ISNUMBER(I159),I159,"")</f>
        <v>13292.2</v>
      </c>
      <c r="J208" s="211">
        <f>IF(ISNUMBER(J159),J159,"")</f>
        <v>13466.52</v>
      </c>
      <c r="K208" s="211">
        <f>IF(ISNUMBER(K159),K159,"")</f>
        <v>13533.48</v>
      </c>
      <c r="L208" s="211">
        <f>IF(ISNUMBER(L159),L159,"")</f>
        <v>13569.4</v>
      </c>
      <c r="M208" s="211">
        <f>IF(ISNUMBER(M159),M159,"")</f>
        <v>13640.04</v>
      </c>
      <c r="N208" s="211">
        <f>IF(ISNUMBER(N159),N159,"")</f>
        <v>13552.36</v>
      </c>
      <c r="O208" s="211">
        <f>IF(ISNUMBER(O159),O159,"")</f>
        <v>13704.24</v>
      </c>
      <c r="P208" s="211">
        <f>IF(ISNUMBER(P159),P159,"")</f>
        <v>13727.26</v>
      </c>
      <c r="Q208" s="211">
        <f>IF(ISNUMBER(Q159),Q159,"")</f>
        <v>13764.3</v>
      </c>
      <c r="R208" s="211">
        <f>IF(ISNUMBER(R159),R159,"")</f>
        <v>13769.8</v>
      </c>
      <c r="S208" s="211">
        <f>IF(ISNUMBER(S159),S159,"")</f>
        <v>13741.4</v>
      </c>
      <c r="T208" s="211">
        <f>IF(ISNUMBER(T159),T159,"")</f>
        <v>13789.96</v>
      </c>
      <c r="U208" s="211">
        <f>IF(ISNUMBER(U159),U159,"")</f>
        <v>13817.56</v>
      </c>
      <c r="V208" s="211">
        <f>IF(ISNUMBER(V159),V159,"")</f>
        <v>13886.38</v>
      </c>
      <c r="W208" s="211">
        <f>IF(ISNUMBER(W159),W159,"")</f>
        <v>13940.5</v>
      </c>
      <c r="X208" s="211">
        <f>IF(ISNUMBER(X159),X159,"")</f>
        <v>13858.6</v>
      </c>
      <c r="Y208" s="211">
        <f>IF(ISNUMBER(Y159),Y159,"")</f>
        <v>13986.22</v>
      </c>
      <c r="Z208" s="211">
        <f>IF(ISNUMBER(Z159),Z159,"")</f>
        <v>13936.94</v>
      </c>
      <c r="AA208" s="211">
        <f>IF(ISNUMBER(AA159),AA159,"")</f>
        <v>13968.8</v>
      </c>
      <c r="AB208" s="211">
        <f>IF(ISNUMBER(AB159),AB159,"")</f>
        <v>14004.52</v>
      </c>
      <c r="AC208" s="211">
        <f>IF(ISNUMBER(AC159),AC159,"")</f>
        <v>13974.12</v>
      </c>
      <c r="AD208" s="211">
        <f>IF(ISNUMBER(AD159),AD159,"")</f>
        <v>14040.72</v>
      </c>
      <c r="AE208" s="211">
        <f>IF(ISNUMBER(AE159),AE159,"")</f>
        <v>14070.06</v>
      </c>
      <c r="AF208" s="211">
        <f>IF(ISNUMBER(AF159),AF159,"")</f>
        <v>14074.32</v>
      </c>
      <c r="AG208" s="211">
        <f>IF(ISNUMBER(AG159),AG159,"")</f>
        <v>14101.62</v>
      </c>
      <c r="AH208" s="211">
        <f>IF(ISNUMBER(AH159),AH159,"")</f>
        <v>14071.68</v>
      </c>
      <c r="AI208" s="211">
        <f>IF(ISNUMBER(AI159),AI159,"")</f>
        <v>14102.68</v>
      </c>
      <c r="AJ208" s="211">
        <f>IF(ISNUMBER(AJ159),AJ159,"")</f>
        <v>14064.94</v>
      </c>
      <c r="AK208" s="211">
        <f>IF(ISNUMBER(AK159),AK159,"")</f>
        <v>14077.18</v>
      </c>
      <c r="AL208" s="211">
        <f>IF(ISNUMBER(AL159),AL159,"")</f>
        <v>14018</v>
      </c>
      <c r="AM208" s="211">
        <f>IF(ISNUMBER(AM159),AM159,"")</f>
        <v>14065.7</v>
      </c>
      <c r="AN208" s="211">
        <f>IF(ISNUMBER(AN159),AN159,"")</f>
        <v>14017.58</v>
      </c>
      <c r="AO208" s="211">
        <f>IF(ISNUMBER(AO159),AO159,"")</f>
        <v>13999.08</v>
      </c>
      <c r="AP208" s="211">
        <f>IF(ISNUMBER(AP159),AP159,"")</f>
        <v>13963.98</v>
      </c>
      <c r="AQ208" s="211">
        <f>IF(ISNUMBER(AQ159),AQ159,"")</f>
        <v>13903.84</v>
      </c>
      <c r="AR208" s="211">
        <f>IF(ISNUMBER(AR159),AR159,"")</f>
        <v>13971.12</v>
      </c>
      <c r="AS208" s="211">
        <f>IF(ISNUMBER(AS159),AS159,"")</f>
        <v>13845.34</v>
      </c>
      <c r="AT208" s="211">
        <f>IF(ISNUMBER(AT159),AT159,"")</f>
        <v>13740.48</v>
      </c>
      <c r="AU208" s="211">
        <f>IF(ISNUMBER(AU159),AU159,"")</f>
        <v>13717.02</v>
      </c>
      <c r="AV208" s="211">
        <f>IF(ISNUMBER(AV159),AV159,"")</f>
        <v>13659.4</v>
      </c>
      <c r="AW208" s="211">
        <f>IF(ISNUMBER(AW159),AW159,"")</f>
        <v>13740.56</v>
      </c>
      <c r="AX208" s="211">
        <f>IF(ISNUMBER(AX159),AX159,"")</f>
        <v>13641.42</v>
      </c>
      <c r="AY208" s="211">
        <f>IF(ISNUMBER(AY159),AY159,"")</f>
        <v>13592.24</v>
      </c>
      <c r="AZ208" s="211">
        <f>IF(ISNUMBER(AZ159),AZ159,"")</f>
        <v>13530.38</v>
      </c>
      <c r="BA208" s="211">
        <f>IF(ISNUMBER(BA159),BA159,"")</f>
        <v>13449.88</v>
      </c>
      <c r="BB208" s="211">
        <f>IF(ISNUMBER(BB159),BB159,"")</f>
        <v>13553.48</v>
      </c>
      <c r="BC208" s="211">
        <f>IF(ISNUMBER(BC159),BC159,"")</f>
        <v>13351.02</v>
      </c>
      <c r="BD208" s="211">
        <f>IF(ISNUMBER(BD159),BD159,"")</f>
        <v>13239</v>
      </c>
      <c r="BE208" s="211">
        <f>IF(ISNUMBER(BE159),BE159,"")</f>
        <v>13097</v>
      </c>
      <c r="BF208" s="211">
        <f>IF(ISNUMBER(BF159),BF159,"")</f>
        <v>12948.98</v>
      </c>
      <c r="BG208" s="211">
        <f>IF(ISNUMBER(BG159),BG159,"")</f>
        <v>13159</v>
      </c>
      <c r="BH208" s="211">
        <f>IF(ISNUMBER(BH159),BH159,"")</f>
        <v>12823</v>
      </c>
      <c r="BI208" s="211">
        <f>IF(ISNUMBER(BI159),BI159,"")</f>
        <v>12764</v>
      </c>
      <c r="BJ208" s="211">
        <f>IF(ISNUMBER(BJ159),BJ159,"")</f>
        <v>12696</v>
      </c>
      <c r="BK208" s="211">
        <f>IF(ISNUMBER(BK159),BK159,"")</f>
        <v>12605</v>
      </c>
      <c r="BL208" s="211">
        <f>IF(ISNUMBER(BL159),BL159,"")</f>
        <v>12722</v>
      </c>
      <c r="BM208" s="211">
        <f>IF(ISNUMBER(BM159),BM159,"")</f>
        <v>12527</v>
      </c>
      <c r="BN208" s="211">
        <f>IF(ISNUMBER(BN159),BN159,"")</f>
        <v>12495</v>
      </c>
      <c r="BO208" s="211">
        <f>IF(ISNUMBER(BO159),BO159,"")</f>
        <v>12419</v>
      </c>
      <c r="BP208" s="211">
        <f>IF(ISNUMBER(BP159),BP159,"")</f>
        <v>12347</v>
      </c>
      <c r="BQ208" s="211">
        <f>IF(ISNUMBER(BQ159),BQ159,"")</f>
        <v>12447</v>
      </c>
      <c r="BR208" s="211">
        <f>IF(ISNUMBER(BR159),BR159,"")</f>
        <v>12291</v>
      </c>
      <c r="BS208" s="211">
        <f>IF(ISNUMBER(BS159),BS159,"")</f>
        <v>12198</v>
      </c>
      <c r="BT208" s="211">
        <f>IF(ISNUMBER(BT159),BT159,"")</f>
        <v>12203</v>
      </c>
      <c r="BU208" s="211">
        <f>IF(ISNUMBER(BU159),BU159,"")</f>
        <v>12228</v>
      </c>
      <c r="BV208" s="211">
        <f>IF(ISNUMBER(BV159),BV159,"")</f>
        <v>12230</v>
      </c>
      <c r="BW208" s="211">
        <f>IF(ISNUMBER(BW159),BW159,"")</f>
        <v>12238</v>
      </c>
      <c r="BX208" s="211">
        <f>IF(ISNUMBER(BX159),BX159,"")</f>
        <v>12309</v>
      </c>
      <c r="BY208" s="254">
        <f>IF(ISNUMBER(BY159),BY159,"")</f>
        <v>12440.751</v>
      </c>
      <c r="BZ208" s="254">
        <f>IF(ISNUMBER(BZ159),BZ159,"")</f>
        <v>12470.751</v>
      </c>
      <c r="CA208" s="254">
        <f>IF(ISNUMBER(CA159),CA159,"")</f>
        <v>12364.6255</v>
      </c>
      <c r="CB208" s="254">
        <f>IF(ISNUMBER(CB159),CB159,"")</f>
        <v>12508.8094489148</v>
      </c>
      <c r="CC208" s="254">
        <f>IF(ISNUMBER(CC159),CC159,"")</f>
        <v>12588.6310475454</v>
      </c>
      <c r="CD208" s="254">
        <f>IF(ISNUMBER(CD159),CD159,"")</f>
        <v>12699.7968287489</v>
      </c>
      <c r="CE208" s="254">
        <f>IF(ISNUMBER(CE159),CE159,"")</f>
        <v>12825.1835475273</v>
      </c>
      <c r="CF208" s="19" t="n"/>
    </row>
    <row r="209" ht="15" customHeight="1" s="251">
      <c r="B209" s="55" t="inlineStr">
        <is>
          <t>Adjusted EPS – diluted ($) (model)</t>
        </is>
      </c>
      <c r="C209" s="271">
        <f>IF(ISNUMBER(C208),IFERROR((C207-N(C153)-(1-N(C161))*N(C152))/C208,""),"")</f>
        <v>0.248543521521703</v>
      </c>
      <c r="D209" s="271">
        <f>IF(ISNUMBER(D208),IFERROR((D207-N(D153)-(1-N(D161))*N(D152))/D208,""),"")</f>
        <v>0.332351918029158</v>
      </c>
      <c r="E209" s="271">
        <f>IF(ISNUMBER(E208),IFERROR((E207-N(E153)-(1-N(E161))*N(E152))/E208,""),"")</f>
        <v>0.388837189068828</v>
      </c>
      <c r="F209" s="271">
        <f>IF(ISNUMBER(F208),IFERROR((F207-N(F153)-(1-N(F161))*N(F152))/F208,""),"")</f>
        <v>0.510341373005735</v>
      </c>
      <c r="G209" s="271">
        <f>IF(ISNUMBER(G208),IFERROR((G207-N(G153)-(1-N(G161))*N(G152))/G208,""),"")</f>
        <v>0.657770586943273</v>
      </c>
      <c r="H209" s="271">
        <f>IF(ISNUMBER(H208),IFERROR((H207-N(H153)-(1-N(H161))*N(H152))/H208,""),"")</f>
        <v>0.743932105594504</v>
      </c>
      <c r="I209" s="271">
        <f>IF(ISNUMBER(I208),IFERROR((I207-N(I153)-(1-N(I161))*N(I152))/I208,""),"")</f>
        <v>0.811603797715954</v>
      </c>
      <c r="J209" s="271">
        <f>IF(ISNUMBER(J208),IFERROR((J207-N(J153)-(1-N(J161))*N(J152))/J208,""),"")</f>
        <v>0.246834371463452</v>
      </c>
      <c r="K209" s="271">
        <f>IF(ISNUMBER(K208),IFERROR((K207-N(K153)-(1-N(K161))*N(K152))/K208,""),"")</f>
        <v>0.188717166611987</v>
      </c>
      <c r="L209" s="271">
        <f>IF(ISNUMBER(L208),IFERROR((L207-N(L153)-(1-N(L161))*N(L152))/L208,""),"")</f>
        <v>0.217769392898728</v>
      </c>
      <c r="M209" s="271">
        <f>IF(ISNUMBER(M208),IFERROR((M207-N(M153)-(1-N(M161))*N(M152))/M208,""),"")</f>
        <v>0.247873173392453</v>
      </c>
      <c r="N209" s="271">
        <f>IF(ISNUMBER(N208),IFERROR((N207-N(N153)-(1-N(N161))*N(N152))/N208,""),"")</f>
        <v>0.901245244370722</v>
      </c>
      <c r="O209" s="271">
        <f>IF(ISNUMBER(O208),IFERROR((O207-N(O153)-(1-N(O161))*N(O152))/O208,""),"")</f>
        <v>0.26634092806314</v>
      </c>
      <c r="P209" s="271">
        <f>IF(ISNUMBER(P208),IFERROR((P207-N(P153)-(1-N(P161))*N(P152))/P208,""),"")</f>
        <v>0.254238646313977</v>
      </c>
      <c r="Q209" s="271">
        <f>IF(ISNUMBER(Q208),IFERROR((Q207-N(Q153)-(1-N(Q161))*N(Q152))/Q208,""),"")</f>
        <v>0.217809841401306</v>
      </c>
      <c r="R209" s="271">
        <f>IF(ISNUMBER(R208),IFERROR((R207-N(R153)-(1-N(R161))*N(R152))/R208,""),"")</f>
        <v>0.275240018010429</v>
      </c>
      <c r="S209" s="271">
        <f>IF(ISNUMBER(S208),IFERROR((S207-N(S153)-(1-N(S161))*N(S152))/S208,""),"")</f>
        <v>1.01357940238986</v>
      </c>
      <c r="T209" s="271">
        <f>IF(ISNUMBER(T208),IFERROR((T207-N(T153)-(1-N(T161))*N(T152))/T208,""),"")</f>
        <v>0.260044264087786</v>
      </c>
      <c r="U209" s="271">
        <f>IF(ISNUMBER(U208),IFERROR((U207-N(U153)-(1-N(U161))*N(U152))/U208,""),"")</f>
        <v>0.246715049545651</v>
      </c>
      <c r="V209" s="271">
        <f>IF(ISNUMBER(V208),IFERROR((V207-N(V153)-(1-N(V161))*N(V152))/V208,""),"")</f>
        <v>0.286539760542344</v>
      </c>
      <c r="W209" s="271">
        <f>IF(ISNUMBER(W208),IFERROR((W207-N(W153)-(1-N(W161))*N(W152))/W208,""),"")</f>
        <v>0.35314371794412</v>
      </c>
      <c r="X209" s="271">
        <f>IF(ISNUMBER(X208),IFERROR((X207-N(X153)-(1-N(X161))*N(X152))/X208,""),"")</f>
        <v>1.14196239158357</v>
      </c>
      <c r="Y209" s="271">
        <f>IF(ISNUMBER(Y208),IFERROR((Y207-N(Y153)-(1-N(Y161))*N(Y152))/Y208,""),"")</f>
        <v>0.3007960692739</v>
      </c>
      <c r="Z209" s="271">
        <f>IF(ISNUMBER(Z208),IFERROR((Z207-N(Z153)-(1-N(Z161))*N(Z152))/Z208,""),"")</f>
        <v>0.349933342613228</v>
      </c>
      <c r="AA209" s="271">
        <f>IF(ISNUMBER(AA208),IFERROR((AA207-N(AA153)-(1-N(AA161))*N(AA152))/AA208,""),"")</f>
        <v>0.362307427982361</v>
      </c>
      <c r="AB209" s="271">
        <f>IF(ISNUMBER(AB208),IFERROR((AB207-N(AB153)-(1-N(AB161))*N(AB152))/AB208,""),"")</f>
        <v>0.380805625612302</v>
      </c>
      <c r="AC209" s="271">
        <f>IF(ISNUMBER(AC208),IFERROR((AC207-N(AC153)-(1-N(AC161))*N(AC152))/AC208,""),"")</f>
        <v>1.39386236843536</v>
      </c>
      <c r="AD209" s="271">
        <f>IF(ISNUMBER(AD208),IFERROR((AD207-N(AD153)-(1-N(AD161))*N(AD152))/AD208,""),"")</f>
        <v>0.386447418650895</v>
      </c>
      <c r="AE209" s="271">
        <f>IF(ISNUMBER(AE208),IFERROR((AE207-N(AE153)-(1-N(AE161))*N(AE152))/AE208,""),"")</f>
        <v>0.444916368515841</v>
      </c>
      <c r="AF209" s="271">
        <f>IF(ISNUMBER(AF208),IFERROR((AF207-N(AF153)-(1-N(AF161))*N(AF152))/AF208,""),"")</f>
        <v>0.478317957812527</v>
      </c>
      <c r="AG209" s="271">
        <f>IF(ISNUMBER(AG208),IFERROR((AG207-N(AG153)-(1-N(AG161))*N(AG152))/AG208,""),"")</f>
        <v>0.48483791223987</v>
      </c>
      <c r="AH209" s="271">
        <f>IF(ISNUMBER(AH208),IFERROR((AH207-N(AH153)-(1-N(AH161))*N(AH152))/AH208,""),"")</f>
        <v>1.79473950516214</v>
      </c>
      <c r="AI209" s="271">
        <f>IF(ISNUMBER(AI208),IFERROR((AI207-N(AI153)-(1-N(AI161))*N(AI152))/AI208,""),"")</f>
        <v>0.496821171578735</v>
      </c>
      <c r="AJ209" s="271">
        <f>IF(ISNUMBER(AJ208),IFERROR((AJ207-N(AJ153)-(1-N(AJ161))*N(AJ152))/AJ208,""),"")</f>
        <v>0.528052021551461</v>
      </c>
      <c r="AK209" s="271">
        <f>IF(ISNUMBER(AK208),IFERROR((AK207-N(AK153)-(1-N(AK161))*N(AK152))/AK208,""),"")</f>
        <v>0.575414962371725</v>
      </c>
      <c r="AL209" s="271">
        <f>IF(ISNUMBER(AL208),IFERROR((AL207-N(AL153)-(1-N(AL161))*N(AL152))/AL208,""),"")</f>
        <v>0.639167498929947</v>
      </c>
      <c r="AM209" s="271">
        <f>IF(ISNUMBER(AM208),IFERROR((AM207-N(AM153)-(1-N(AM161))*N(AM152))/AM208,""),"")</f>
        <v>2.23903538394819</v>
      </c>
      <c r="AN209" s="271">
        <f>IF(ISNUMBER(AN208),IFERROR((AN207-N(AN153)-(1-N(AN161))*N(AN152))/AN208,""),"")</f>
        <v>0.534930423083014</v>
      </c>
      <c r="AO209" s="271">
        <f>IF(ISNUMBER(AO208),IFERROR((AO207-N(AO153)-(1-N(AO161))*N(AO152))/AO208,""),"")</f>
        <v>0.558235969792301</v>
      </c>
      <c r="AP209" s="271">
        <f>IF(ISNUMBER(AP208),IFERROR((AP207-N(AP153)-(1-N(AP161))*N(AP152))/AP208,""),"")</f>
        <v>0.592604687202359</v>
      </c>
      <c r="AQ209" s="271">
        <f>IF(ISNUMBER(AQ208),IFERROR((AQ207-N(AQ153)-(1-N(AQ161))*N(AQ152))/AQ208,""),"")</f>
        <v>0.745042376782242</v>
      </c>
      <c r="AR209" s="271">
        <f>IF(ISNUMBER(AR208),IFERROR((AR207-N(AR153)-(1-N(AR161))*N(AR152))/AR208,""),"")</f>
        <v>2.42981879763398</v>
      </c>
      <c r="AS209" s="271">
        <f>IF(ISNUMBER(AS208),IFERROR((AS207-N(AS153)-(1-N(AS161))*N(AS152))/AS208,""),"")</f>
        <v>0.540186084270953</v>
      </c>
      <c r="AT209" s="271">
        <f>IF(ISNUMBER(AT208),IFERROR((AT207-N(AT153)-(1-N(AT161))*N(AT152))/AT208,""),"")</f>
        <v>0.422805462400149</v>
      </c>
      <c r="AU209" s="271">
        <f>IF(ISNUMBER(AU208),IFERROR((AU207-N(AU153)-(1-N(AU161))*N(AU152))/AU208,""),"")</f>
        <v>0.710561769247256</v>
      </c>
      <c r="AV209" s="271">
        <f>IF(ISNUMBER(AV208),IFERROR((AV207-N(AV153)-(1-N(AV161))*N(AV152))/AV208,""),"")</f>
        <v>0.938249117823623</v>
      </c>
      <c r="AW209" s="271">
        <f>IF(ISNUMBER(AW208),IFERROR((AW207-N(AW153)-(1-N(AW161))*N(AW152))/AW208,""),"")</f>
        <v>2.60916003423441</v>
      </c>
      <c r="AX209" s="271">
        <f>IF(ISNUMBER(AX208),IFERROR((AX207-N(AX153)-(1-N(AX161))*N(AX152))/AX208,""),"")</f>
        <v>1.03425962986258</v>
      </c>
      <c r="AY209" s="271">
        <f>IF(ISNUMBER(AY208),IFERROR((AY207-N(AY153)-(1-N(AY161))*N(AY152))/AY208,""),"")</f>
        <v>1.20179749621843</v>
      </c>
      <c r="AZ209" s="271">
        <f>IF(ISNUMBER(AZ208),IFERROR((AZ207-N(AZ153)-(1-N(AZ161))*N(AZ152))/AZ208,""),"")</f>
        <v>1.27567814059916</v>
      </c>
      <c r="BA209" s="271">
        <f>IF(ISNUMBER(BA208),IFERROR((BA207-N(BA153)-(1-N(BA161))*N(BA152))/BA208,""),"")</f>
        <v>1.37908293605594</v>
      </c>
      <c r="BB209" s="271">
        <f>IF(ISNUMBER(BB208),IFERROR((BB207-N(BB153)-(1-N(BB161))*N(BB152))/BB208,""),"")</f>
        <v>4.88825010255669</v>
      </c>
      <c r="BC209" s="271">
        <f>IF(ISNUMBER(BC208),IFERROR((BC207-N(BC153)-(1-N(BC161))*N(BC152))/BC208,""),"")</f>
        <v>1.2943805042611</v>
      </c>
      <c r="BD209" s="271">
        <f>IF(ISNUMBER(BD208),IFERROR((BD207-N(BD153)-(1-N(BD161))*N(BD152))/BD208,""),"")</f>
        <v>1.22367928091246</v>
      </c>
      <c r="BE209" s="271">
        <f>IF(ISNUMBER(BE208),IFERROR((BE207-N(BE153)-(1-N(BE161))*N(BE152))/BE208,""),"")</f>
        <v>1.10110177903337</v>
      </c>
      <c r="BF209" s="271">
        <f>IF(ISNUMBER(BF208),IFERROR((BF207-N(BF153)-(1-N(BF161))*N(BF152))/BF208,""),"")</f>
        <v>1.1428490892719</v>
      </c>
      <c r="BG209" s="271">
        <f>IF(ISNUMBER(BG208),IFERROR((BG207-N(BG153)-(1-N(BG161))*N(BG152))/BG208,""),"")</f>
        <v>4.7649099475644</v>
      </c>
      <c r="BH209" s="271">
        <f>IF(ISNUMBER(BH208),IFERROR((BH207-N(BH153)-(1-N(BH161))*N(BH152))/BH208,""),"")</f>
        <v>1.30811744521563</v>
      </c>
      <c r="BI209" s="271">
        <f>IF(ISNUMBER(BI208),IFERROR((BI207-N(BI153)-(1-N(BI161))*N(BI152))/BI208,""),"")</f>
        <v>1.45173534942024</v>
      </c>
      <c r="BJ209" s="271">
        <f>IF(ISNUMBER(BJ208),IFERROR((BJ207-N(BJ153)-(1-N(BJ161))*N(BJ152))/BJ208,""),"")</f>
        <v>1.5735775047259</v>
      </c>
      <c r="BK209" s="271">
        <f>IF(ISNUMBER(BK208),IFERROR((BK207-N(BK153)-(1-N(BK161))*N(BK152))/BK208,""),"")</f>
        <v>1.60444744149147</v>
      </c>
      <c r="BL209" s="271">
        <f>IF(ISNUMBER(BL208),IFERROR((BL207-N(BL153)-(1-N(BL161))*N(BL152))/BL208,""),"")</f>
        <v>5.9350841062726</v>
      </c>
      <c r="BM209" s="271">
        <f>IF(ISNUMBER(BM208),IFERROR((BM207-N(BM153)-(1-N(BM161))*N(BM152))/BM208,""),"")</f>
        <v>1.79258162369282</v>
      </c>
      <c r="BN209" s="271">
        <f>IF(ISNUMBER(BN208),IFERROR((BN207-N(BN153)-(1-N(BN161))*N(BN152))/BN208,""),"")</f>
        <v>1.93541896758704</v>
      </c>
      <c r="BO209" s="271">
        <f>IF(ISNUMBER(BO208),IFERROR((BO207-N(BO153)-(1-N(BO161))*N(BO152))/BO208,""),"")</f>
        <v>2.00196553667767</v>
      </c>
      <c r="BP209" s="271">
        <f>IF(ISNUMBER(BP208),IFERROR((BP207-N(BP153)-(1-N(BP161))*N(BP152))/BP208,""),"")</f>
        <v>2.12589616910991</v>
      </c>
      <c r="BQ209" s="271">
        <f>IF(ISNUMBER(BQ208),IFERROR((BQ207-N(BQ153)-(1-N(BQ161))*N(BQ152))/BQ208,""),"")</f>
        <v>7.85326424037921</v>
      </c>
      <c r="BR209" s="271">
        <f>IF(ISNUMBER(BR208),IFERROR((BR207-N(BR153)-(1-N(BR161))*N(BR152))/BR208,""),"")</f>
        <v>2.18299406069482</v>
      </c>
      <c r="BS209" s="271">
        <f>IF(ISNUMBER(BS208),IFERROR((BS207-N(BS153)-(1-N(BS161))*N(BS152))/BS208,""),"")</f>
        <v>2.22823905558288</v>
      </c>
      <c r="BT209" s="271">
        <f>IF(ISNUMBER(BT208),IFERROR((BT207-N(BT153)-(1-N(BT161))*N(BT152))/BT208,""),"")</f>
        <v>2.45481766778661</v>
      </c>
      <c r="BU209" s="271">
        <f>IF(ISNUMBER(BU208),IFERROR((BU207-N(BU153)-(1-N(BU161))*N(BU152))/BU208,""),"")</f>
        <v>2.66899084069349</v>
      </c>
      <c r="BV209" s="271">
        <f>IF(ISNUMBER(BV208),IFERROR((BV207-N(BV153)-(1-N(BV161))*N(BV152))/BV208,""),"")</f>
        <v>9.53424366312347</v>
      </c>
      <c r="BW209" s="271">
        <f>IF(ISNUMBER(BW208),IFERROR((BW207-N(BW153)-(1-N(BW161))*N(BW152))/BW208,""),"")</f>
        <v>2.73044206569701</v>
      </c>
      <c r="BX209" s="271">
        <f>IF(ISNUMBER(BX208),IFERROR((BX207-N(BX153)-(1-N(BX161))*N(BX152))/BX208,""),"")</f>
        <v>2.75184905353806</v>
      </c>
      <c r="BY209" s="271">
        <f>IF(ISNUMBER(BY208),IFERROR((BY207-N(BY153)-(1-N(BY161))*N(BY152))/BY208,""),"")</f>
        <v>2.80999138340946</v>
      </c>
      <c r="BZ209" s="271">
        <f>IF(ISNUMBER(BZ208),IFERROR((BZ207-N(BZ153)-(1-N(BZ161))*N(BZ152))/BZ208,""),"")</f>
        <v>3.38904950563947</v>
      </c>
      <c r="CA209" s="271">
        <f>IF(ISNUMBER(CA208),IFERROR((CA207-N(CA153)-(1-N(CA161))*N(CA152))/CA208,""),"")</f>
        <v>11.6943336152515</v>
      </c>
      <c r="CB209" s="271">
        <f>IF(ISNUMBER(CB208),IFERROR((CB207-N(CB153)-(1-N(CB161))*N(CB152))/CB208,""),"")</f>
        <v>13.0269917367344</v>
      </c>
      <c r="CC209" s="271">
        <f>IF(ISNUMBER(CC208),IFERROR((CC207-N(CC153)-(1-N(CC161))*N(CC152))/CC208,""),"")</f>
        <v>13.9852403307108</v>
      </c>
      <c r="CD209" s="271">
        <f>IF(ISNUMBER(CD208),IFERROR((CD207-N(CD153)-(1-N(CD161))*N(CD152))/CD208,""),"")</f>
        <v>15.2789085870134</v>
      </c>
      <c r="CE209" s="271">
        <f>IF(ISNUMBER(CE208),IFERROR((CE207-N(CE153)-(1-N(CE161))*N(CE152))/CE208,""),"")</f>
        <v>16.5618741733719</v>
      </c>
      <c r="CF209" s="19" t="n"/>
      <c r="CH209" s="20">
        <f>IFERROR((CE209/BV209)^(1/5)-1,"n/m")</f>
        <v>0.116772334617097</v>
      </c>
      <c r="CI209" s="20">
        <f>IFERROR((BV209/AW209)^(1/5)-1,"n/m")</f>
        <v>0.295857079950166</v>
      </c>
      <c r="CJ209" s="20">
        <f>IFERROR((BV209/X209)^(1/10)-1,"n/m")</f>
        <v>0.236412663564374</v>
      </c>
      <c r="CK209" s="20">
        <f>IFERROR((BV209/C209)^(1/19)-1,"n/m")</f>
        <v>0.211608482655661</v>
      </c>
    </row>
    <row r="210" ht="15" customHeight="1" s="251">
      <c r="B210" s="22" t="inlineStr">
        <is>
          <t xml:space="preserve">  Adjusted EPS y/y %</t>
        </is>
      </c>
      <c r="C210" s="23" t="n"/>
      <c r="D210" s="255">
        <f>IF(AND(ISNUMBER(D209),ISNUMBER(C209)),IFERROR(D209/C209-1,""),"")</f>
        <v>0.337198072974666</v>
      </c>
      <c r="E210" s="255">
        <f>IF(AND(ISNUMBER(E209),ISNUMBER(D209)),IFERROR(E209/D209-1,""),"")</f>
        <v>0.169956205983788</v>
      </c>
      <c r="F210" s="255">
        <f>IF(AND(ISNUMBER(F209),ISNUMBER(E209)),IFERROR(F209/E209-1,""),"")</f>
        <v>0.312480872078826</v>
      </c>
      <c r="G210" s="255">
        <f>IF(AND(ISNUMBER(G209),ISNUMBER(F209)),IFERROR(G209/F209-1,""),"")</f>
        <v>0.288883523335038</v>
      </c>
      <c r="H210" s="255">
        <f>IF(AND(ISNUMBER(H209),ISNUMBER(G209)),IFERROR(H209/G209-1,""),"")</f>
        <v>0.130990227233529</v>
      </c>
      <c r="I210" s="255">
        <f>IF(AND(ISNUMBER(I209),ISNUMBER(H209)),IFERROR(I209/H209-1,""),"")</f>
        <v>0.0909648765156745</v>
      </c>
      <c r="J210" s="23" t="n"/>
      <c r="K210" s="23" t="n"/>
      <c r="L210" s="23" t="n"/>
      <c r="M210" s="23" t="n"/>
      <c r="N210" s="255">
        <f>IF(AND(ISNUMBER(N209),ISNUMBER(I209)),IFERROR(N209/I209-1,""),"")</f>
        <v>0.11044976244202</v>
      </c>
      <c r="O210" s="255">
        <f>IF(AND(ISNUMBER(O209),ISNUMBER(J209)),IFERROR(O209/J209-1,""),"")</f>
        <v>0.0790269057102377</v>
      </c>
      <c r="P210" s="255">
        <f>IF(AND(ISNUMBER(P209),ISNUMBER(K209)),IFERROR(P209/K209-1,""),"")</f>
        <v>0.347194062301205</v>
      </c>
      <c r="Q210" s="255">
        <f>IF(AND(ISNUMBER(Q209),ISNUMBER(L209)),IFERROR(Q209/L209-1,""),"")</f>
        <v>0.000185740071365847</v>
      </c>
      <c r="R210" s="255">
        <f>IF(AND(ISNUMBER(R209),ISNUMBER(M209)),IFERROR(R209/M209-1,""),"")</f>
        <v>0.110406641603954</v>
      </c>
      <c r="S210" s="255">
        <f>IF(AND(ISNUMBER(S209),ISNUMBER(N209)),IFERROR(S209/N209-1,""),"")</f>
        <v>0.124643274093026</v>
      </c>
      <c r="T210" s="255">
        <f>IF(AND(ISNUMBER(T209),ISNUMBER(O209)),IFERROR(T209/O209-1,""),"")</f>
        <v>-0.023641368306193</v>
      </c>
      <c r="U210" s="255">
        <f>IF(AND(ISNUMBER(U209),ISNUMBER(P209)),IFERROR(U209/P209-1,""),"")</f>
        <v>-0.0295926558664675</v>
      </c>
      <c r="V210" s="255">
        <f>IF(AND(ISNUMBER(V209),ISNUMBER(Q209)),IFERROR(V209/Q209-1,""),"")</f>
        <v>0.315550108750164</v>
      </c>
      <c r="W210" s="255">
        <f>IF(AND(ISNUMBER(W209),ISNUMBER(R209)),IFERROR(W209/R209-1,""),"")</f>
        <v>0.28303914705724</v>
      </c>
      <c r="X210" s="255">
        <f>IF(AND(ISNUMBER(X209),ISNUMBER(S209)),IFERROR(X209/S209-1,""),"")</f>
        <v>0.12666298159868</v>
      </c>
      <c r="Y210" s="255">
        <f>IF(AND(ISNUMBER(Y209),ISNUMBER(T209)),IFERROR(Y209/T209-1,""),"")</f>
        <v>0.156711032750782</v>
      </c>
      <c r="Z210" s="255">
        <f>IF(AND(ISNUMBER(Z209),ISNUMBER(U209)),IFERROR(Z209/U209-1,""),"")</f>
        <v>0.418370477429989</v>
      </c>
      <c r="AA210" s="255">
        <f>IF(AND(ISNUMBER(AA209),ISNUMBER(V209)),IFERROR(AA209/V209-1,""),"")</f>
        <v>0.264422875543024</v>
      </c>
      <c r="AB210" s="255">
        <f>IF(AND(ISNUMBER(AB209),ISNUMBER(W209)),IFERROR(AB209/W209-1,""),"")</f>
        <v>0.078330453757526</v>
      </c>
      <c r="AC210" s="255">
        <f>IF(AND(ISNUMBER(AC209),ISNUMBER(X209)),IFERROR(AC209/X209-1,""),"")</f>
        <v>0.220585177505266</v>
      </c>
      <c r="AD210" s="255">
        <f>IF(AND(ISNUMBER(AD209),ISNUMBER(Y209)),IFERROR(AD209/Y209-1,""),"")</f>
        <v>0.28474889842727</v>
      </c>
      <c r="AE210" s="255">
        <f>IF(AND(ISNUMBER(AE209),ISNUMBER(Z209)),IFERROR(AE209/Z209-1,""),"")</f>
        <v>0.271431768099892</v>
      </c>
      <c r="AF210" s="255">
        <f>IF(AND(ISNUMBER(AF209),ISNUMBER(AA209)),IFERROR(AF209/AA209-1,""),"")</f>
        <v>0.320199148210161</v>
      </c>
      <c r="AG210" s="255">
        <f>IF(AND(ISNUMBER(AG209),ISNUMBER(AB209)),IFERROR(AG209/AB209-1,""),"")</f>
        <v>0.273189994134916</v>
      </c>
      <c r="AH210" s="255">
        <f>IF(AND(ISNUMBER(AH209),ISNUMBER(AC209)),IFERROR(AH209/AC209-1,""),"")</f>
        <v>0.287601664127548</v>
      </c>
      <c r="AI210" s="255">
        <f>IF(AND(ISNUMBER(AI209),ISNUMBER(AD209)),IFERROR(AI209/AD209-1,""),"")</f>
        <v>0.285611308553074</v>
      </c>
      <c r="AJ210" s="255">
        <f>IF(AND(ISNUMBER(AJ209),ISNUMBER(AE209)),IFERROR(AJ209/AE209-1,""),"")</f>
        <v>0.186856809321141</v>
      </c>
      <c r="AK210" s="255">
        <f>IF(AND(ISNUMBER(AK209),ISNUMBER(AF209)),IFERROR(AK209/AF209-1,""),"")</f>
        <v>0.202996778551339</v>
      </c>
      <c r="AL210" s="255">
        <f>IF(AND(ISNUMBER(AL209),ISNUMBER(AG209)),IFERROR(AL209/AG209-1,""),"")</f>
        <v>0.318311713655189</v>
      </c>
      <c r="AM210" s="255">
        <f>IF(AND(ISNUMBER(AM209),ISNUMBER(AH209)),IFERROR(AM209/AH209-1,""),"")</f>
        <v>0.247554521148129</v>
      </c>
      <c r="AN210" s="255">
        <f>IF(AND(ISNUMBER(AN209),ISNUMBER(AI209)),IFERROR(AN209/AI209-1,""),"")</f>
        <v>0.0767061745440119</v>
      </c>
      <c r="AO210" s="255">
        <f>IF(AND(ISNUMBER(AO209),ISNUMBER(AJ209)),IFERROR(AO209/AJ209-1,""),"")</f>
        <v>0.0571609368186057</v>
      </c>
      <c r="AP210" s="255">
        <f>IF(AND(ISNUMBER(AP209),ISNUMBER(AK209)),IFERROR(AP209/AK209-1,""),"")</f>
        <v>0.0298736146168015</v>
      </c>
      <c r="AQ210" s="255">
        <f>IF(AND(ISNUMBER(AQ209),ISNUMBER(AL209)),IFERROR(AQ209/AL209-1,""),"")</f>
        <v>0.165644964785511</v>
      </c>
      <c r="AR210" s="255">
        <f>IF(AND(ISNUMBER(AR209),ISNUMBER(AM209)),IFERROR(AR209/AM209-1,""),"")</f>
        <v>0.0852078600693547</v>
      </c>
      <c r="AS210" s="255">
        <f>IF(AND(ISNUMBER(AS209),ISNUMBER(AN209)),IFERROR(AS209/AN209-1,""),"")</f>
        <v>0.00982494350881846</v>
      </c>
      <c r="AT210" s="255">
        <f>IF(AND(ISNUMBER(AT209),ISNUMBER(AO209)),IFERROR(AT209/AO209-1,""),"")</f>
        <v>-0.242604408745893</v>
      </c>
      <c r="AU210" s="255">
        <f>IF(AND(ISNUMBER(AU209),ISNUMBER(AP209)),IFERROR(AU209/AP209-1,""),"")</f>
        <v>0.199048513439479</v>
      </c>
      <c r="AV210" s="255">
        <f>IF(AND(ISNUMBER(AV209),ISNUMBER(AQ209)),IFERROR(AV209/AQ209-1,""),"")</f>
        <v>0.259323156725422</v>
      </c>
      <c r="AW210" s="255">
        <f>IF(AND(ISNUMBER(AW209),ISNUMBER(AR209)),IFERROR(AW209/AR209-1,""),"")</f>
        <v>0.0738084818403204</v>
      </c>
      <c r="AX210" s="255">
        <f>IF(AND(ISNUMBER(AX209),ISNUMBER(AS209)),IFERROR(AX209/AS209-1,""),"")</f>
        <v>0.914635826390158</v>
      </c>
      <c r="AY210" s="255">
        <f>IF(AND(ISNUMBER(AY209),ISNUMBER(AT209)),IFERROR(AY209/AT209-1,""),"")</f>
        <v>1.84243606834254</v>
      </c>
      <c r="AZ210" s="255">
        <f>IF(AND(ISNUMBER(AZ209),ISNUMBER(AU209)),IFERROR(AZ209/AU209-1,""),"")</f>
        <v>0.795309283175428</v>
      </c>
      <c r="BA210" s="255">
        <f>IF(AND(ISNUMBER(BA209),ISNUMBER(AV209)),IFERROR(BA209/AV209-1,""),"")</f>
        <v>0.469847303725557</v>
      </c>
      <c r="BB210" s="255">
        <f>IF(AND(ISNUMBER(BB209),ISNUMBER(AW209)),IFERROR(BB209/AW209-1,""),"")</f>
        <v>0.87349569915937</v>
      </c>
      <c r="BC210" s="255">
        <f>IF(AND(ISNUMBER(BC209),ISNUMBER(AX209)),IFERROR(BC209/AX209-1,""),"")</f>
        <v>0.251504425859761</v>
      </c>
      <c r="BD210" s="255">
        <f>IF(AND(ISNUMBER(BD209),ISNUMBER(AY209)),IFERROR(BD209/AY209-1,""),"")</f>
        <v>0.0182075472472512</v>
      </c>
      <c r="BE210" s="255">
        <f>IF(AND(ISNUMBER(BE209),ISNUMBER(AZ209)),IFERROR(BE209/AZ209-1,""),"")</f>
        <v>-0.136849849511253</v>
      </c>
      <c r="BF210" s="255">
        <f>IF(AND(ISNUMBER(BF209),ISNUMBER(BA209)),IFERROR(BF209/BA209-1,""),"")</f>
        <v>-0.171297781016455</v>
      </c>
      <c r="BG210" s="255">
        <f>IF(AND(ISNUMBER(BG209),ISNUMBER(BB209)),IFERROR(BG209/BB209-1,""),"")</f>
        <v>-0.0252319648963486</v>
      </c>
      <c r="BH210" s="255">
        <f>IF(AND(ISNUMBER(BH209),ISNUMBER(BC209)),IFERROR(BH209/BC209-1,""),"")</f>
        <v>0.0106127532895535</v>
      </c>
      <c r="BI210" s="255">
        <f>IF(AND(ISNUMBER(BI209),ISNUMBER(BD209)),IFERROR(BI209/BD209-1,""),"")</f>
        <v>0.186369150859313</v>
      </c>
      <c r="BJ210" s="255">
        <f>IF(AND(ISNUMBER(BJ209),ISNUMBER(BE209)),IFERROR(BJ209/BE209-1,""),"")</f>
        <v>0.4290935994194</v>
      </c>
      <c r="BK210" s="255">
        <f>IF(AND(ISNUMBER(BK209),ISNUMBER(BF209)),IFERROR(BK209/BF209-1,""),"")</f>
        <v>0.403901404439721</v>
      </c>
      <c r="BL210" s="255">
        <f>IF(AND(ISNUMBER(BL209),ISNUMBER(BG209)),IFERROR(BL209/BG209-1,""),"")</f>
        <v>0.245581589491808</v>
      </c>
      <c r="BM210" s="255">
        <f>IF(AND(ISNUMBER(BM209),ISNUMBER(BH209)),IFERROR(BM209/BH209-1,""),"")</f>
        <v>0.370352203656558</v>
      </c>
      <c r="BN210" s="255">
        <f>IF(AND(ISNUMBER(BN209),ISNUMBER(BI209)),IFERROR(BN209/BI209-1,""),"")</f>
        <v>0.333176166275727</v>
      </c>
      <c r="BO210" s="255">
        <f>IF(AND(ISNUMBER(BO209),ISNUMBER(BJ209)),IFERROR(BO209/BJ209-1,""),"")</f>
        <v>0.272238279122066</v>
      </c>
      <c r="BP210" s="255">
        <f>IF(AND(ISNUMBER(BP209),ISNUMBER(BK209)),IFERROR(BP209/BK209-1,""),"")</f>
        <v>0.325002062475603</v>
      </c>
      <c r="BQ210" s="255">
        <f>IF(AND(ISNUMBER(BQ209),ISNUMBER(BL209)),IFERROR(BQ209/BL209-1,""),"")</f>
        <v>0.323193420642405</v>
      </c>
      <c r="BR210" s="255">
        <f>IF(AND(ISNUMBER(BR209),ISNUMBER(BM209)),IFERROR(BR209/BM209-1,""),"")</f>
        <v>0.217793394644826</v>
      </c>
      <c r="BS210" s="255">
        <f>IF(AND(ISNUMBER(BS209),ISNUMBER(BN209)),IFERROR(BS209/BN209-1,""),"")</f>
        <v>0.151295452250795</v>
      </c>
      <c r="BT210" s="255">
        <f>IF(AND(ISNUMBER(BT209),ISNUMBER(BO209)),IFERROR(BT209/BO209-1,""),"")</f>
        <v>0.226203759661348</v>
      </c>
      <c r="BU210" s="255">
        <f>IF(AND(ISNUMBER(BU209),ISNUMBER(BP209)),IFERROR(BU209/BP209-1,""),"")</f>
        <v>0.255466226184967</v>
      </c>
      <c r="BV210" s="255">
        <f>IF(AND(ISNUMBER(BV209),ISNUMBER(BQ209)),IFERROR(BV209/BQ209-1,""),"")</f>
        <v>0.214048498979717</v>
      </c>
      <c r="BW210" s="255">
        <f>IF(AND(ISNUMBER(BW209),ISNUMBER(BR209)),IFERROR(BW209/BR209-1,""),"")</f>
        <v>0.250778513262627</v>
      </c>
      <c r="BX210" s="255">
        <f>IF(AND(ISNUMBER(BX209),ISNUMBER(BS209)),IFERROR(BX209/BS209-1,""),"")</f>
        <v>0.234988250763879</v>
      </c>
      <c r="BY210" s="256">
        <f>IF(AND(ISNUMBER(BY209),ISNUMBER(BT209)),IFERROR(BY209/BT209-1,""),"")</f>
        <v>0.14468435692134</v>
      </c>
      <c r="BZ210" s="256">
        <f>IF(AND(ISNUMBER(BZ209),ISNUMBER(BU209)),IFERROR(BZ209/BU209-1,""),"")</f>
        <v>0.26978686249777</v>
      </c>
      <c r="CA210" s="256">
        <f>IF(AND(ISNUMBER(CA209),ISNUMBER(BV209)),IFERROR(CA209/BV209-1,""),"")</f>
        <v>0.226561227974779</v>
      </c>
      <c r="CB210" s="256">
        <f>IF(AND(ISNUMBER(CB209),ISNUMBER(CA209)),IFERROR(CB209/CA209-1,""),"")</f>
        <v>0.113957593936341</v>
      </c>
      <c r="CC210" s="256">
        <f>IF(AND(ISNUMBER(CC209),ISNUMBER(CB209)),IFERROR(CC209/CB209-1,""),"")</f>
        <v>0.0735587012981871</v>
      </c>
      <c r="CD210" s="256">
        <f>IF(AND(ISNUMBER(CD209),ISNUMBER(CC209)),IFERROR(CD209/CC209-1,""),"")</f>
        <v>0.0925023972210022</v>
      </c>
      <c r="CE210" s="256">
        <f>IF(AND(ISNUMBER(CE209),ISNUMBER(CD209)),IFERROR(CE209/CD209-1,""),"")</f>
        <v>0.083969714135798</v>
      </c>
      <c r="CF210" s="153" t="n"/>
    </row>
    <row r="211" ht="15" customHeight="1" s="251">
      <c r="B211" s="158" t="inlineStr">
        <is>
          <t xml:space="preserve">  Definition / basis (company non-GAAP EPS in force)</t>
        </is>
      </c>
      <c r="C211" s="276" t="inlineStr">
        <is>
          <t>Model adjusted EPS (all periods): excl. discontinued operations, company-reconciled operating items (EC fines; severance &amp; office space), equity-security gains / losses (2018+; 2008 impairment) and the Tax Act; company non-GAAP EPS (excl. SBC net of tax) published to Q4-16 — memo with check</t>
        </is>
      </c>
      <c r="AE211" s="276" t="inlineStr">
        <is>
          <t>2017–19: company EPS excluding the EC fine (Q2-17, Q2-18, Q1-19) / the Tax Act (Q4-17) — memo with check</t>
        </is>
      </c>
      <c r="AM211" s="276" t="inlineStr">
        <is>
          <t>2018+: ASU 2016-01 — equity-security fair-value changes through OI&amp;E (excluded by the model)</t>
        </is>
      </c>
      <c r="BY211" s="153" t="n"/>
      <c r="BZ211" s="153" t="n"/>
      <c r="CA211" s="153" t="n"/>
      <c r="CB211" s="153" t="n"/>
      <c r="CC211" s="153" t="n"/>
      <c r="CD211" s="153" t="n"/>
      <c r="CE211" s="153" t="n"/>
      <c r="CF211" s="19" t="n"/>
    </row>
    <row r="212" ht="15" customHeight="1" s="251">
      <c r="B212" s="25" t="inlineStr">
        <is>
          <t xml:space="preserve">  Company-published non-GAAP net income / EPS (definition in force; memo with checks):</t>
        </is>
      </c>
      <c r="CF212" s="153" t="n"/>
    </row>
    <row r="213" ht="15" customHeight="1" s="251">
      <c r="B213" s="156" t="inlineStr">
        <is>
          <t xml:space="preserve">    Company items, pre-tax (stock-based compensation to Q4-16; EC fines; Tax Act)</t>
        </is>
      </c>
      <c r="C213" s="211">
        <f>IF(ISNUMBER(C216),N(C214)+IF(ISNUMBER(C214),0,N(C120)+N(C125)),"")</f>
      </c>
      <c r="D213" s="211">
        <f>IF(ISNUMBER(D216),N(D214)+IF(ISNUMBER(D214),0,N(D120)+N(D125)),"")</f>
      </c>
      <c r="E213" s="211">
        <f>IF(ISNUMBER(E216),N(E214)+IF(ISNUMBER(E214),0,N(E120)+N(E125)),"")</f>
      </c>
      <c r="F213" s="211">
        <f>IF(ISNUMBER(F216),N(F214)+IF(ISNUMBER(F214),0,N(F120)+N(F125)),"")</f>
      </c>
      <c r="G213" s="211">
        <f>IF(ISNUMBER(G216),N(G214)+IF(ISNUMBER(G214),0,N(G120)+N(G125)),"")</f>
      </c>
      <c r="H213" s="211">
        <f>IF(ISNUMBER(H216),N(H214)+IF(ISNUMBER(H214),0,N(H120)+N(H125)),"")</f>
      </c>
      <c r="I213" s="211">
        <f>IF(ISNUMBER(I216),N(I214)+IF(ISNUMBER(I214),0,N(I120)+N(I125)),"")</f>
      </c>
      <c r="J213" s="211">
        <f>IF(ISNUMBER(J216),N(J214)+IF(ISNUMBER(J214),0,N(J120)+N(J125)),"")</f>
        <v>655</v>
      </c>
      <c r="K213" s="211">
        <f>IF(ISNUMBER(K216),N(K214)+IF(ISNUMBER(K214),0,N(K120)+N(K125)),"")</f>
        <v>743</v>
      </c>
      <c r="L213" s="211">
        <f>IF(ISNUMBER(L216),N(L214)+IF(ISNUMBER(L214),0,N(L120)+N(L125)),"")</f>
        <v>898</v>
      </c>
      <c r="M213" s="211">
        <f>IF(ISNUMBER(M216),N(M214)+IF(ISNUMBER(M214),0,N(M120)+N(M125)),"")</f>
        <v>917</v>
      </c>
      <c r="N213" s="211">
        <f>IF(ISNUMBER(N216),N(N214)+IF(ISNUMBER(N214),0,N(N120)+N(N125)),"")</f>
      </c>
      <c r="O213" s="211">
        <f>IF(ISNUMBER(O216),N(O214)+IF(ISNUMBER(O214),0,N(O120)+N(O125)),"")</f>
      </c>
      <c r="P213" s="211">
        <f>IF(ISNUMBER(P216),N(P214)+IF(ISNUMBER(P214),0,N(P120)+N(P125)),"")</f>
        <v>880</v>
      </c>
      <c r="Q213" s="211">
        <f>IF(ISNUMBER(Q216),N(Q214)+IF(ISNUMBER(Q214),0,N(Q120)+N(Q125)),"")</f>
        <v>1633</v>
      </c>
      <c r="R213" s="211">
        <f>IF(ISNUMBER(R216),N(R214)+IF(ISNUMBER(R214),0,N(R120)+N(R125)),"")</f>
        <v>1201</v>
      </c>
      <c r="S213" s="211">
        <f>IF(ISNUMBER(S216),N(S214)+IF(ISNUMBER(S214),0,N(S120)+N(S125)),"")</f>
      </c>
      <c r="T213" s="211">
        <f>IF(ISNUMBER(T216),N(T214)+IF(ISNUMBER(T214),0,N(T120)+N(T125)),"")</f>
        <v>1203</v>
      </c>
      <c r="U213" s="211">
        <f>IF(ISNUMBER(U216),N(U214)+IF(ISNUMBER(U214),0,N(U120)+N(U125)),"")</f>
      </c>
      <c r="V213" s="211">
        <f>IF(ISNUMBER(V216),N(V214)+IF(ISNUMBER(V214),0,N(V120)+N(V125)),"")</f>
      </c>
      <c r="W213" s="211">
        <f>IF(ISNUMBER(W216),N(W214)+IF(ISNUMBER(W214),0,N(W120)+N(W125)),"")</f>
      </c>
      <c r="X213" s="211">
        <f>IF(ISNUMBER(X216),N(X214)+IF(ISNUMBER(X214),0,N(X120)+N(X125)),"")</f>
      </c>
      <c r="Y213" s="211">
        <f>IF(ISNUMBER(Y216),N(Y214)+IF(ISNUMBER(Y214),0,N(Y120)+N(Y125)),"")</f>
      </c>
      <c r="Z213" s="211">
        <f>IF(ISNUMBER(Z216),N(Z214)+IF(ISNUMBER(Z214),0,N(Z120)+N(Z125)),"")</f>
      </c>
      <c r="AA213" s="211">
        <f>IF(ISNUMBER(AA216),N(AA214)+IF(ISNUMBER(AA214),0,N(AA120)+N(AA125)),"")</f>
      </c>
      <c r="AB213" s="211">
        <f>IF(ISNUMBER(AB216),N(AB214)+IF(ISNUMBER(AB214),0,N(AB120)+N(AB125)),"")</f>
      </c>
      <c r="AC213" s="211">
        <f>IF(ISNUMBER(AC216),N(AC214)+IF(ISNUMBER(AC214),0,N(AC120)+N(AC125)),"")</f>
      </c>
      <c r="AD213" s="211">
        <f>IF(ISNUMBER(AD216),N(AD214)+IF(ISNUMBER(AD214),0,N(AD120)+N(AD125)),"")</f>
      </c>
      <c r="AE213" s="211">
        <f>IF(ISNUMBER(AE216),N(AE214)+IF(ISNUMBER(AE214),0,N(AE120)+N(AE125)),"")</f>
        <v>2736</v>
      </c>
      <c r="AF213" s="211">
        <f>IF(ISNUMBER(AF216),N(AF214)+IF(ISNUMBER(AF214),0,N(AF120)+N(AF125)),"")</f>
      </c>
      <c r="AG213" s="211">
        <f>IF(ISNUMBER(AG216),N(AG214)+IF(ISNUMBER(AG214),0,N(AG120)+N(AG125)),"")</f>
        <v>9857</v>
      </c>
      <c r="AH213" s="211">
        <f>IF(ISNUMBER(AH216),N(AH214)+IF(ISNUMBER(AH214),0,N(AH120)+N(AH125)),"")</f>
      </c>
      <c r="AI213" s="211">
        <f>IF(ISNUMBER(AI216),N(AI214)+IF(ISNUMBER(AI214),0,N(AI120)+N(AI125)),"")</f>
      </c>
      <c r="AJ213" s="211">
        <f>IF(ISNUMBER(AJ216),N(AJ214)+IF(ISNUMBER(AJ214),0,N(AJ120)+N(AJ125)),"")</f>
        <v>5071</v>
      </c>
      <c r="AK213" s="211">
        <f>IF(ISNUMBER(AK216),N(AK214)+IF(ISNUMBER(AK214),0,N(AK120)+N(AK125)),"")</f>
      </c>
      <c r="AL213" s="211">
        <f>IF(ISNUMBER(AL216),N(AL214)+IF(ISNUMBER(AL214),0,N(AL120)+N(AL125)),"")</f>
      </c>
      <c r="AM213" s="211">
        <f>IF(ISNUMBER(AM216),N(AM214)+IF(ISNUMBER(AM214),0,N(AM120)+N(AM125)),"")</f>
      </c>
      <c r="AN213" s="211">
        <f>IF(ISNUMBER(AN216),N(AN214)+IF(ISNUMBER(AN214),0,N(AN120)+N(AN125)),"")</f>
        <v>1697</v>
      </c>
      <c r="AO213" s="211">
        <f>IF(ISNUMBER(AO216),N(AO214)+IF(ISNUMBER(AO214),0,N(AO120)+N(AO125)),"")</f>
      </c>
      <c r="AP213" s="211">
        <f>IF(ISNUMBER(AP216),N(AP214)+IF(ISNUMBER(AP214),0,N(AP120)+N(AP125)),"")</f>
      </c>
      <c r="AQ213" s="211">
        <f>IF(ISNUMBER(AQ216),N(AQ214)+IF(ISNUMBER(AQ214),0,N(AQ120)+N(AQ125)),"")</f>
      </c>
      <c r="AR213" s="211">
        <f>IF(ISNUMBER(AR216),N(AR214)+IF(ISNUMBER(AR214),0,N(AR120)+N(AR125)),"")</f>
      </c>
      <c r="AS213" s="211">
        <f>IF(ISNUMBER(AS216),N(AS214)+IF(ISNUMBER(AS214),0,N(AS120)+N(AS125)),"")</f>
      </c>
      <c r="AT213" s="211">
        <f>IF(ISNUMBER(AT216),N(AT214)+IF(ISNUMBER(AT214),0,N(AT120)+N(AT125)),"")</f>
      </c>
      <c r="AU213" s="211">
        <f>IF(ISNUMBER(AU216),N(AU214)+IF(ISNUMBER(AU214),0,N(AU120)+N(AU125)),"")</f>
      </c>
      <c r="AV213" s="211">
        <f>IF(ISNUMBER(AV216),N(AV214)+IF(ISNUMBER(AV214),0,N(AV120)+N(AV125)),"")</f>
      </c>
      <c r="AW213" s="211">
        <f>IF(ISNUMBER(AW216),N(AW214)+IF(ISNUMBER(AW214),0,N(AW120)+N(AW125)),"")</f>
      </c>
      <c r="AX213" s="211">
        <f>IF(ISNUMBER(AX216),N(AX214)+IF(ISNUMBER(AX214),0,N(AX120)+N(AX125)),"")</f>
      </c>
      <c r="AY213" s="211">
        <f>IF(ISNUMBER(AY216),N(AY214)+IF(ISNUMBER(AY214),0,N(AY120)+N(AY125)),"")</f>
      </c>
      <c r="AZ213" s="211">
        <f>IF(ISNUMBER(AZ216),N(AZ214)+IF(ISNUMBER(AZ214),0,N(AZ120)+N(AZ125)),"")</f>
      </c>
      <c r="BA213" s="211">
        <f>IF(ISNUMBER(BA216),N(BA214)+IF(ISNUMBER(BA214),0,N(BA120)+N(BA125)),"")</f>
      </c>
      <c r="BB213" s="211">
        <f>IF(ISNUMBER(BB216),N(BB214)+IF(ISNUMBER(BB214),0,N(BB120)+N(BB125)),"")</f>
      </c>
      <c r="BC213" s="211">
        <f>IF(ISNUMBER(BC216),N(BC214)+IF(ISNUMBER(BC214),0,N(BC120)+N(BC125)),"")</f>
      </c>
      <c r="BD213" s="211">
        <f>IF(ISNUMBER(BD216),N(BD214)+IF(ISNUMBER(BD214),0,N(BD120)+N(BD125)),"")</f>
      </c>
      <c r="BE213" s="211">
        <f>IF(ISNUMBER(BE216),N(BE214)+IF(ISNUMBER(BE214),0,N(BE120)+N(BE125)),"")</f>
      </c>
      <c r="BF213" s="211">
        <f>IF(ISNUMBER(BF216),N(BF214)+IF(ISNUMBER(BF214),0,N(BF120)+N(BF125)),"")</f>
      </c>
      <c r="BG213" s="211">
        <f>IF(ISNUMBER(BG216),N(BG214)+IF(ISNUMBER(BG214),0,N(BG120)+N(BG125)),"")</f>
      </c>
      <c r="BH213" s="211">
        <f>IF(ISNUMBER(BH216),N(BH214)+IF(ISNUMBER(BH214),0,N(BH120)+N(BH125)),"")</f>
      </c>
      <c r="BI213" s="211">
        <f>IF(ISNUMBER(BI216),N(BI214)+IF(ISNUMBER(BI214),0,N(BI120)+N(BI125)),"")</f>
      </c>
      <c r="BJ213" s="211">
        <f>IF(ISNUMBER(BJ216),N(BJ214)+IF(ISNUMBER(BJ214),0,N(BJ120)+N(BJ125)),"")</f>
      </c>
      <c r="BK213" s="211">
        <f>IF(ISNUMBER(BK216),N(BK214)+IF(ISNUMBER(BK214),0,N(BK120)+N(BK125)),"")</f>
      </c>
      <c r="BL213" s="211">
        <f>IF(ISNUMBER(BL216),N(BL214)+IF(ISNUMBER(BL214),0,N(BL120)+N(BL125)),"")</f>
      </c>
      <c r="BM213" s="211">
        <f>IF(ISNUMBER(BM216),N(BM214)+IF(ISNUMBER(BM214),0,N(BM120)+N(BM125)),"")</f>
      </c>
      <c r="BN213" s="211">
        <f>IF(ISNUMBER(BN216),N(BN214)+IF(ISNUMBER(BN214),0,N(BN120)+N(BN125)),"")</f>
      </c>
      <c r="BO213" s="211">
        <f>IF(ISNUMBER(BO216),N(BO214)+IF(ISNUMBER(BO214),0,N(BO120)+N(BO125)),"")</f>
      </c>
      <c r="BP213" s="211">
        <f>IF(ISNUMBER(BP216),N(BP214)+IF(ISNUMBER(BP214),0,N(BP120)+N(BP125)),"")</f>
      </c>
      <c r="BQ213" s="211">
        <f>IF(ISNUMBER(BQ216),N(BQ214)+IF(ISNUMBER(BQ214),0,N(BQ120)+N(BQ125)),"")</f>
      </c>
      <c r="BR213" s="211">
        <f>IF(ISNUMBER(BR216),N(BR214)+IF(ISNUMBER(BR214),0,N(BR120)+N(BR125)),"")</f>
      </c>
      <c r="BS213" s="211">
        <f>IF(ISNUMBER(BS216),N(BS214)+IF(ISNUMBER(BS214),0,N(BS120)+N(BS125)),"")</f>
      </c>
      <c r="BT213" s="211">
        <f>IF(ISNUMBER(BT216),N(BT214)+IF(ISNUMBER(BT214),0,N(BT120)+N(BT125)),"")</f>
      </c>
      <c r="BU213" s="211">
        <f>IF(ISNUMBER(BU216),N(BU214)+IF(ISNUMBER(BU214),0,N(BU120)+N(BU125)),"")</f>
      </c>
      <c r="BV213" s="211">
        <f>IF(ISNUMBER(BV216),N(BV214)+IF(ISNUMBER(BV214),0,N(BV120)+N(BV125)),"")</f>
      </c>
      <c r="BW213" s="211">
        <f>IF(ISNUMBER(BW216),N(BW214)+IF(ISNUMBER(BW214),0,N(BW120)+N(BW125)),"")</f>
      </c>
      <c r="BX213" s="211">
        <f>IF(ISNUMBER(BX216),N(BX214)+IF(ISNUMBER(BX214),0,N(BX120)+N(BX125)),"")</f>
      </c>
      <c r="BY213" s="153" t="n"/>
      <c r="BZ213" s="153" t="n"/>
      <c r="CA213" s="153" t="n"/>
      <c r="CB213" s="153" t="n"/>
      <c r="CC213" s="153" t="n"/>
      <c r="CD213" s="153" t="n"/>
      <c r="CE213" s="153" t="n"/>
      <c r="CF213" s="153" t="n"/>
    </row>
    <row r="214" ht="15" customHeight="1" s="251">
      <c r="B214" s="156" t="inlineStr">
        <is>
          <t xml:space="preserve">      Memo: stock-based compensation excluded by Google (release, continuing operations)</t>
        </is>
      </c>
      <c r="C214" s="34" t="n"/>
      <c r="D214" s="34" t="n"/>
      <c r="E214" s="34" t="n"/>
      <c r="F214" s="34" t="n"/>
      <c r="G214" s="34" t="n"/>
      <c r="H214" s="34" t="n"/>
      <c r="I214" s="34" t="n"/>
      <c r="J214" s="253" t="n">
        <v>655</v>
      </c>
      <c r="K214" s="253" t="n">
        <v>743</v>
      </c>
      <c r="L214" s="253" t="n">
        <v>898</v>
      </c>
      <c r="M214" s="253" t="n">
        <v>917</v>
      </c>
      <c r="N214" s="34" t="n"/>
      <c r="O214" s="34" t="n"/>
      <c r="P214" s="253" t="n">
        <v>880</v>
      </c>
      <c r="Q214" s="253" t="n">
        <v>1633</v>
      </c>
      <c r="R214" s="253" t="n">
        <v>1201</v>
      </c>
      <c r="S214" s="34" t="n"/>
      <c r="T214" s="253" t="n">
        <v>1203</v>
      </c>
      <c r="U214" s="34" t="n"/>
      <c r="V214" s="34" t="n"/>
      <c r="W214" s="34" t="n"/>
      <c r="X214" s="34" t="n"/>
      <c r="Y214" s="34" t="n"/>
      <c r="Z214" s="34" t="n"/>
      <c r="AA214" s="34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34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34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153" t="n"/>
      <c r="BZ214" s="153" t="n"/>
      <c r="CA214" s="153" t="n"/>
      <c r="CB214" s="153" t="n"/>
      <c r="CC214" s="153" t="n"/>
      <c r="CD214" s="153" t="n"/>
      <c r="CE214" s="153" t="n"/>
      <c r="CF214" s="153" t="n"/>
    </row>
    <row r="215" ht="15" customHeight="1" s="251">
      <c r="B215" s="156" t="inlineStr">
        <is>
          <t xml:space="preserve">    Tax effect of the company items (derived: published − net income + discontinued operations − items)</t>
        </is>
      </c>
      <c r="C215" s="211">
        <f>IF(ISNUMBER(C216),C216-C200-C201-C213,"")</f>
      </c>
      <c r="D215" s="211">
        <f>IF(ISNUMBER(D216),D216-D200-D201-D213,"")</f>
      </c>
      <c r="E215" s="211">
        <f>IF(ISNUMBER(E216),E216-E200-E201-E213,"")</f>
      </c>
      <c r="F215" s="211">
        <f>IF(ISNUMBER(F216),F216-F200-F201-F213,"")</f>
      </c>
      <c r="G215" s="211">
        <f>IF(ISNUMBER(G216),G216-G200-G201-G213,"")</f>
      </c>
      <c r="H215" s="211">
        <f>IF(ISNUMBER(H216),H216-H200-H201-H213,"")</f>
      </c>
      <c r="I215" s="211">
        <f>IF(ISNUMBER(I216),I216-I200-I201-I213,"")</f>
      </c>
      <c r="J215" s="211">
        <f>IF(ISNUMBER(J216),J216-J200-J201-J213,"")</f>
        <v>-80</v>
      </c>
      <c r="K215" s="211">
        <f>IF(ISNUMBER(K216),K216-K200-K201-K213,"")</f>
        <v>-64</v>
      </c>
      <c r="L215" s="211">
        <f>IF(ISNUMBER(L216),L216-L200-L201-L213,"")</f>
        <v>-210</v>
      </c>
      <c r="M215" s="211">
        <f>IF(ISNUMBER(M216),M216-M200-M201-M213,"")</f>
        <v>-202</v>
      </c>
      <c r="N215" s="211">
        <f>IF(ISNUMBER(N216),N216-N200-N201-N213,"")</f>
      </c>
      <c r="O215" s="211">
        <f>IF(ISNUMBER(O216),O216-O200-O201-O213,"")</f>
      </c>
      <c r="P215" s="211">
        <f>IF(ISNUMBER(P216),P216-P200-P201-P213,"")</f>
        <v>-195</v>
      </c>
      <c r="Q215" s="211">
        <f>IF(ISNUMBER(Q216),Q216-Q200-Q201-Q213,"")</f>
        <v>-258</v>
      </c>
      <c r="R215" s="211">
        <f>IF(ISNUMBER(R216),R216-R200-R201-R213,"")</f>
        <v>-255</v>
      </c>
      <c r="S215" s="211">
        <f>IF(ISNUMBER(S216),S216-S200-S201-S213,"")</f>
      </c>
      <c r="T215" s="211">
        <f>IF(ISNUMBER(T216),T216-T200-T201-T213,"")</f>
        <v>-257</v>
      </c>
      <c r="U215" s="211">
        <f>IF(ISNUMBER(U216),U216-U200-U201-U213,"")</f>
      </c>
      <c r="V215" s="211">
        <f>IF(ISNUMBER(V216),V216-V200-V201-V213,"")</f>
      </c>
      <c r="W215" s="211">
        <f>IF(ISNUMBER(W216),W216-W200-W201-W213,"")</f>
      </c>
      <c r="X215" s="211">
        <f>IF(ISNUMBER(X216),X216-X200-X201-X213,"")</f>
      </c>
      <c r="Y215" s="211">
        <f>IF(ISNUMBER(Y216),Y216-Y200-Y201-Y213,"")</f>
      </c>
      <c r="Z215" s="211">
        <f>IF(ISNUMBER(Z216),Z216-Z200-Z201-Z213,"")</f>
      </c>
      <c r="AA215" s="211">
        <f>IF(ISNUMBER(AA216),AA216-AA200-AA201-AA213,"")</f>
      </c>
      <c r="AB215" s="211">
        <f>IF(ISNUMBER(AB216),AB216-AB200-AB201-AB213,"")</f>
      </c>
      <c r="AC215" s="211">
        <f>IF(ISNUMBER(AC216),AC216-AC200-AC201-AC213,"")</f>
      </c>
      <c r="AD215" s="211">
        <f>IF(ISNUMBER(AD216),AD216-AD200-AD201-AD213,"")</f>
      </c>
      <c r="AE215" s="211">
        <f>IF(ISNUMBER(AE216),AE216-AE200-AE201-AE213,"")</f>
        <v>0</v>
      </c>
      <c r="AF215" s="211">
        <f>IF(ISNUMBER(AF216),AF216-AF200-AF201-AF213,"")</f>
      </c>
      <c r="AG215" s="211">
        <f>IF(ISNUMBER(AG216),AG216-AG200-AG201-AG213,"")</f>
        <v>0</v>
      </c>
      <c r="AH215" s="211">
        <f>IF(ISNUMBER(AH216),AH216-AH200-AH201-AH213,"")</f>
      </c>
      <c r="AI215" s="211">
        <f>IF(ISNUMBER(AI216),AI216-AI200-AI201-AI213,"")</f>
      </c>
      <c r="AJ215" s="211">
        <f>IF(ISNUMBER(AJ216),AJ216-AJ200-AJ201-AJ213,"")</f>
        <v>0</v>
      </c>
      <c r="AK215" s="211">
        <f>IF(ISNUMBER(AK216),AK216-AK200-AK201-AK213,"")</f>
      </c>
      <c r="AL215" s="211">
        <f>IF(ISNUMBER(AL216),AL216-AL200-AL201-AL213,"")</f>
      </c>
      <c r="AM215" s="211">
        <f>IF(ISNUMBER(AM216),AM216-AM200-AM201-AM213,"")</f>
      </c>
      <c r="AN215" s="211">
        <f>IF(ISNUMBER(AN216),AN216-AN200-AN201-AN213,"")</f>
        <v>-15</v>
      </c>
      <c r="AO215" s="211">
        <f>IF(ISNUMBER(AO216),AO216-AO200-AO201-AO213,"")</f>
      </c>
      <c r="AP215" s="211">
        <f>IF(ISNUMBER(AP216),AP216-AP200-AP201-AP213,"")</f>
      </c>
      <c r="AQ215" s="211">
        <f>IF(ISNUMBER(AQ216),AQ216-AQ200-AQ201-AQ213,"")</f>
      </c>
      <c r="AR215" s="211">
        <f>IF(ISNUMBER(AR216),AR216-AR200-AR201-AR213,"")</f>
      </c>
      <c r="AS215" s="211">
        <f>IF(ISNUMBER(AS216),AS216-AS200-AS201-AS213,"")</f>
      </c>
      <c r="AT215" s="211">
        <f>IF(ISNUMBER(AT216),AT216-AT200-AT201-AT213,"")</f>
      </c>
      <c r="AU215" s="211">
        <f>IF(ISNUMBER(AU216),AU216-AU200-AU201-AU213,"")</f>
      </c>
      <c r="AV215" s="211">
        <f>IF(ISNUMBER(AV216),AV216-AV200-AV201-AV213,"")</f>
      </c>
      <c r="AW215" s="211">
        <f>IF(ISNUMBER(AW216),AW216-AW200-AW201-AW213,"")</f>
      </c>
      <c r="AX215" s="211">
        <f>IF(ISNUMBER(AX216),AX216-AX200-AX201-AX213,"")</f>
      </c>
      <c r="AY215" s="211">
        <f>IF(ISNUMBER(AY216),AY216-AY200-AY201-AY213,"")</f>
      </c>
      <c r="AZ215" s="211">
        <f>IF(ISNUMBER(AZ216),AZ216-AZ200-AZ201-AZ213,"")</f>
      </c>
      <c r="BA215" s="211">
        <f>IF(ISNUMBER(BA216),BA216-BA200-BA201-BA213,"")</f>
      </c>
      <c r="BB215" s="211">
        <f>IF(ISNUMBER(BB216),BB216-BB200-BB201-BB213,"")</f>
      </c>
      <c r="BC215" s="211">
        <f>IF(ISNUMBER(BC216),BC216-BC200-BC201-BC213,"")</f>
      </c>
      <c r="BD215" s="211">
        <f>IF(ISNUMBER(BD216),BD216-BD200-BD201-BD213,"")</f>
      </c>
      <c r="BE215" s="211">
        <f>IF(ISNUMBER(BE216),BE216-BE200-BE201-BE213,"")</f>
      </c>
      <c r="BF215" s="211">
        <f>IF(ISNUMBER(BF216),BF216-BF200-BF201-BF213,"")</f>
      </c>
      <c r="BG215" s="211">
        <f>IF(ISNUMBER(BG216),BG216-BG200-BG201-BG213,"")</f>
      </c>
      <c r="BH215" s="211">
        <f>IF(ISNUMBER(BH216),BH216-BH200-BH201-BH213,"")</f>
      </c>
      <c r="BI215" s="211">
        <f>IF(ISNUMBER(BI216),BI216-BI200-BI201-BI213,"")</f>
      </c>
      <c r="BJ215" s="211">
        <f>IF(ISNUMBER(BJ216),BJ216-BJ200-BJ201-BJ213,"")</f>
      </c>
      <c r="BK215" s="211">
        <f>IF(ISNUMBER(BK216),BK216-BK200-BK201-BK213,"")</f>
      </c>
      <c r="BL215" s="211">
        <f>IF(ISNUMBER(BL216),BL216-BL200-BL201-BL213,"")</f>
      </c>
      <c r="BM215" s="211">
        <f>IF(ISNUMBER(BM216),BM216-BM200-BM201-BM213,"")</f>
      </c>
      <c r="BN215" s="211">
        <f>IF(ISNUMBER(BN216),BN216-BN200-BN201-BN213,"")</f>
      </c>
      <c r="BO215" s="211">
        <f>IF(ISNUMBER(BO216),BO216-BO200-BO201-BO213,"")</f>
      </c>
      <c r="BP215" s="211">
        <f>IF(ISNUMBER(BP216),BP216-BP200-BP201-BP213,"")</f>
      </c>
      <c r="BQ215" s="211">
        <f>IF(ISNUMBER(BQ216),BQ216-BQ200-BQ201-BQ213,"")</f>
      </c>
      <c r="BR215" s="211">
        <f>IF(ISNUMBER(BR216),BR216-BR200-BR201-BR213,"")</f>
      </c>
      <c r="BS215" s="211">
        <f>IF(ISNUMBER(BS216),BS216-BS200-BS201-BS213,"")</f>
      </c>
      <c r="BT215" s="211">
        <f>IF(ISNUMBER(BT216),BT216-BT200-BT201-BT213,"")</f>
      </c>
      <c r="BU215" s="211">
        <f>IF(ISNUMBER(BU216),BU216-BU200-BU201-BU213,"")</f>
      </c>
      <c r="BV215" s="211">
        <f>IF(ISNUMBER(BV216),BV216-BV200-BV201-BV213,"")</f>
      </c>
      <c r="BW215" s="211">
        <f>IF(ISNUMBER(BW216),BW216-BW200-BW201-BW213,"")</f>
      </c>
      <c r="BX215" s="211">
        <f>IF(ISNUMBER(BX216),BX216-BX200-BX201-BX213,"")</f>
      </c>
      <c r="BY215" s="35" t="n"/>
      <c r="BZ215" s="35" t="n"/>
      <c r="CA215" s="35" t="n"/>
      <c r="CB215" s="35" t="n"/>
      <c r="CC215" s="35" t="n"/>
      <c r="CD215" s="35" t="n"/>
      <c r="CE215" s="35" t="n"/>
      <c r="CF215" s="153" t="n"/>
    </row>
    <row r="216" ht="15" customHeight="1" s="251">
      <c r="B216" s="156" t="inlineStr">
        <is>
          <t xml:space="preserve">    Company-published non-GAAP net income</t>
        </is>
      </c>
      <c r="C216" s="211">
        <f>IF(ISNUMBER(C217),C217,IF(ISNUMBER(C218),C218,IF(ISNUMBER(C222),C200+C125,"")))</f>
      </c>
      <c r="D216" s="211">
        <f>IF(ISNUMBER(D217),D217,IF(ISNUMBER(D218),D218,IF(ISNUMBER(D222),D200+D125,"")))</f>
      </c>
      <c r="E216" s="211">
        <f>IF(ISNUMBER(E217),E217,IF(ISNUMBER(E218),E218,IF(ISNUMBER(E222),E200+E125,"")))</f>
      </c>
      <c r="F216" s="211">
        <f>IF(ISNUMBER(F217),F217,IF(ISNUMBER(F218),F218,IF(ISNUMBER(F222),F200+F125,"")))</f>
      </c>
      <c r="G216" s="211">
        <f>IF(ISNUMBER(G217),G217,IF(ISNUMBER(G218),G218,IF(ISNUMBER(G222),G200+G125,"")))</f>
      </c>
      <c r="H216" s="211">
        <f>IF(ISNUMBER(H217),H217,IF(ISNUMBER(H218),H218,IF(ISNUMBER(H222),H200+H125,"")))</f>
      </c>
      <c r="I216" s="211">
        <f>IF(ISNUMBER(I217),I217,IF(ISNUMBER(I218),I218,IF(ISNUMBER(I222),I200+I125,"")))</f>
      </c>
      <c r="J216" s="211">
        <f>IF(ISNUMBER(J217),J217,IF(ISNUMBER(J218),J218,IF(ISNUMBER(J222),J200+J125,"")))</f>
        <v>3899</v>
      </c>
      <c r="K216" s="211">
        <f>IF(ISNUMBER(K217),K217,IF(ISNUMBER(K218),K218,IF(ISNUMBER(K222),K200+K125,"")))</f>
        <v>3233</v>
      </c>
      <c r="L216" s="211">
        <f>IF(ISNUMBER(L217),L217,IF(ISNUMBER(L218),L218,IF(ISNUMBER(L222),L200+L125,"")))</f>
        <v>3643</v>
      </c>
      <c r="M216" s="211">
        <f>IF(ISNUMBER(M217),M217,IF(ISNUMBER(M218),M218,IF(ISNUMBER(M222),M200+M125,"")))</f>
        <v>4096</v>
      </c>
      <c r="N216" s="211">
        <f>IF(ISNUMBER(N217),N217,IF(ISNUMBER(N218),N218,IF(ISNUMBER(N222),N200+N125,"")))</f>
      </c>
      <c r="O216" s="211">
        <f>IF(ISNUMBER(O217),O217,IF(ISNUMBER(O218),O218,IF(ISNUMBER(O222),O200+O125,"")))</f>
      </c>
      <c r="P216" s="211">
        <f>IF(ISNUMBER(P217),P217,IF(ISNUMBER(P218),P218,IF(ISNUMBER(P222),P200+P125,"")))</f>
        <v>4175</v>
      </c>
      <c r="Q216" s="211">
        <f>IF(ISNUMBER(Q217),Q217,IF(ISNUMBER(Q218),Q218,IF(ISNUMBER(Q222),Q200+Q125,"")))</f>
        <v>4373</v>
      </c>
      <c r="R216" s="211">
        <f>IF(ISNUMBER(R217),R217,IF(ISNUMBER(R218),R218,IF(ISNUMBER(R222),R200+R125,"")))</f>
        <v>4736</v>
      </c>
      <c r="S216" s="211">
        <f>IF(ISNUMBER(S217),S217,IF(ISNUMBER(S218),S218,IF(ISNUMBER(S222),S200+S125,"")))</f>
      </c>
      <c r="T216" s="211">
        <f>IF(ISNUMBER(T217),T217,IF(ISNUMBER(T218),T218,IF(ISNUMBER(T222),T200+T125,"")))</f>
        <v>4532</v>
      </c>
      <c r="U216" s="211">
        <f>IF(ISNUMBER(U217),U217,IF(ISNUMBER(U218),U218,IF(ISNUMBER(U222),U200+U125,"")))</f>
      </c>
      <c r="V216" s="211">
        <f>IF(ISNUMBER(V217),V217,IF(ISNUMBER(V218),V218,IF(ISNUMBER(V222),V200+V125,"")))</f>
      </c>
      <c r="W216" s="211">
        <f>IF(ISNUMBER(W217),W217,IF(ISNUMBER(W218),W218,IF(ISNUMBER(W222),W200+W125,"")))</f>
      </c>
      <c r="X216" s="211">
        <f>IF(ISNUMBER(X217),X217,IF(ISNUMBER(X218),X218,IF(ISNUMBER(X222),X200+X125,"")))</f>
      </c>
      <c r="Y216" s="211">
        <f>IF(ISNUMBER(Y217),Y217,IF(ISNUMBER(Y218),Y218,IF(ISNUMBER(Y222),Y200+Y125,"")))</f>
      </c>
      <c r="Z216" s="211">
        <f>IF(ISNUMBER(Z217),Z217,IF(ISNUMBER(Z218),Z218,IF(ISNUMBER(Z222),Z200+Z125,"")))</f>
      </c>
      <c r="AA216" s="211">
        <f>IF(ISNUMBER(AA217),AA217,IF(ISNUMBER(AA218),AA218,IF(ISNUMBER(AA222),AA200+AA125,"")))</f>
      </c>
      <c r="AB216" s="211">
        <f>IF(ISNUMBER(AB217),AB217,IF(ISNUMBER(AB218),AB218,IF(ISNUMBER(AB222),AB200+AB125,"")))</f>
      </c>
      <c r="AC216" s="211">
        <f>IF(ISNUMBER(AC217),AC217,IF(ISNUMBER(AC218),AC218,IF(ISNUMBER(AC222),AC200+AC125,"")))</f>
      </c>
      <c r="AD216" s="211">
        <f>IF(ISNUMBER(AD217),AD217,IF(ISNUMBER(AD218),AD218,IF(ISNUMBER(AD222),AD200+AD125,"")))</f>
      </c>
      <c r="AE216" s="211">
        <f>IF(ISNUMBER(AE217),AE217,IF(ISNUMBER(AE218),AE218,IF(ISNUMBER(AE222),AE200+AE125,"")))</f>
        <v>6260</v>
      </c>
      <c r="AF216" s="211">
        <f>IF(ISNUMBER(AF217),AF217,IF(ISNUMBER(AF218),AF218,IF(ISNUMBER(AF222),AF200+AF125,"")))</f>
      </c>
      <c r="AG216" s="211">
        <f>IF(ISNUMBER(AG217),AG217,IF(ISNUMBER(AG218),AG218,IF(ISNUMBER(AG222),AG200+AG125,"")))</f>
        <v>6837</v>
      </c>
      <c r="AH216" s="211">
        <f>IF(ISNUMBER(AH217),AH217,IF(ISNUMBER(AH218),AH218,IF(ISNUMBER(AH222),AH200+AH125,"")))</f>
      </c>
      <c r="AI216" s="211">
        <f>IF(ISNUMBER(AI217),AI217,IF(ISNUMBER(AI218),AI218,IF(ISNUMBER(AI222),AI200+AI125,"")))</f>
      </c>
      <c r="AJ216" s="211">
        <f>IF(ISNUMBER(AJ217),AJ217,IF(ISNUMBER(AJ218),AJ218,IF(ISNUMBER(AJ222),AJ200+AJ125,"")))</f>
        <v>8266</v>
      </c>
      <c r="AK216" s="211">
        <f>IF(ISNUMBER(AK217),AK217,IF(ISNUMBER(AK218),AK218,IF(ISNUMBER(AK222),AK200+AK125,"")))</f>
      </c>
      <c r="AL216" s="211">
        <f>IF(ISNUMBER(AL217),AL217,IF(ISNUMBER(AL218),AL218,IF(ISNUMBER(AL222),AL200+AL125,"")))</f>
      </c>
      <c r="AM216" s="211">
        <f>IF(ISNUMBER(AM217),AM217,IF(ISNUMBER(AM218),AM218,IF(ISNUMBER(AM222),AM200+AM125,"")))</f>
      </c>
      <c r="AN216" s="211">
        <f>IF(ISNUMBER(AN217),AN217,IF(ISNUMBER(AN218),AN218,IF(ISNUMBER(AN222),AN200+AN125,"")))</f>
        <v>8339</v>
      </c>
      <c r="AO216" s="211">
        <f>IF(ISNUMBER(AO217),AO217,IF(ISNUMBER(AO218),AO218,IF(ISNUMBER(AO222),AO200+AO125,"")))</f>
      </c>
      <c r="AP216" s="211">
        <f>IF(ISNUMBER(AP217),AP217,IF(ISNUMBER(AP218),AP218,IF(ISNUMBER(AP222),AP200+AP125,"")))</f>
      </c>
      <c r="AQ216" s="211">
        <f>IF(ISNUMBER(AQ217),AQ217,IF(ISNUMBER(AQ218),AQ218,IF(ISNUMBER(AQ222),AQ200+AQ125,"")))</f>
      </c>
      <c r="AR216" s="211">
        <f>IF(ISNUMBER(AR217),AR217,IF(ISNUMBER(AR218),AR218,IF(ISNUMBER(AR222),AR200+AR125,"")))</f>
      </c>
      <c r="AS216" s="211">
        <f>IF(ISNUMBER(AS217),AS217,IF(ISNUMBER(AS218),AS218,IF(ISNUMBER(AS222),AS200+AS125,"")))</f>
      </c>
      <c r="AT216" s="211">
        <f>IF(ISNUMBER(AT217),AT217,IF(ISNUMBER(AT218),AT218,IF(ISNUMBER(AT222),AT200+AT125,"")))</f>
      </c>
      <c r="AU216" s="211">
        <f>IF(ISNUMBER(AU217),AU217,IF(ISNUMBER(AU218),AU218,IF(ISNUMBER(AU222),AU200+AU125,"")))</f>
      </c>
      <c r="AV216" s="211">
        <f>IF(ISNUMBER(AV217),AV217,IF(ISNUMBER(AV218),AV218,IF(ISNUMBER(AV222),AV200+AV125,"")))</f>
      </c>
      <c r="AW216" s="211">
        <f>IF(ISNUMBER(AW217),AW217,IF(ISNUMBER(AW218),AW218,IF(ISNUMBER(AW222),AW200+AW125,"")))</f>
      </c>
      <c r="AX216" s="211">
        <f>IF(ISNUMBER(AX217),AX217,IF(ISNUMBER(AX218),AX218,IF(ISNUMBER(AX222),AX200+AX125,"")))</f>
      </c>
      <c r="AY216" s="211">
        <f>IF(ISNUMBER(AY217),AY217,IF(ISNUMBER(AY218),AY218,IF(ISNUMBER(AY222),AY200+AY125,"")))</f>
      </c>
      <c r="AZ216" s="211">
        <f>IF(ISNUMBER(AZ217),AZ217,IF(ISNUMBER(AZ218),AZ218,IF(ISNUMBER(AZ222),AZ200+AZ125,"")))</f>
      </c>
      <c r="BA216" s="211">
        <f>IF(ISNUMBER(BA217),BA217,IF(ISNUMBER(BA218),BA218,IF(ISNUMBER(BA222),BA200+BA125,"")))</f>
      </c>
      <c r="BB216" s="211">
        <f>IF(ISNUMBER(BB217),BB217,IF(ISNUMBER(BB218),BB218,IF(ISNUMBER(BB222),BB200+BB125,"")))</f>
      </c>
      <c r="BC216" s="211">
        <f>IF(ISNUMBER(BC217),BC217,IF(ISNUMBER(BC218),BC218,IF(ISNUMBER(BC222),BC200+BC125,"")))</f>
      </c>
      <c r="BD216" s="211">
        <f>IF(ISNUMBER(BD217),BD217,IF(ISNUMBER(BD218),BD218,IF(ISNUMBER(BD222),BD200+BD125,"")))</f>
      </c>
      <c r="BE216" s="211">
        <f>IF(ISNUMBER(BE217),BE217,IF(ISNUMBER(BE218),BE218,IF(ISNUMBER(BE222),BE200+BE125,"")))</f>
      </c>
      <c r="BF216" s="211">
        <f>IF(ISNUMBER(BF217),BF217,IF(ISNUMBER(BF218),BF218,IF(ISNUMBER(BF222),BF200+BF125,"")))</f>
      </c>
      <c r="BG216" s="211">
        <f>IF(ISNUMBER(BG217),BG217,IF(ISNUMBER(BG218),BG218,IF(ISNUMBER(BG222),BG200+BG125,"")))</f>
      </c>
      <c r="BH216" s="211">
        <f>IF(ISNUMBER(BH217),BH217,IF(ISNUMBER(BH218),BH218,IF(ISNUMBER(BH222),BH200+BH125,"")))</f>
      </c>
      <c r="BI216" s="211">
        <f>IF(ISNUMBER(BI217),BI217,IF(ISNUMBER(BI218),BI218,IF(ISNUMBER(BI222),BI200+BI125,"")))</f>
      </c>
      <c r="BJ216" s="211">
        <f>IF(ISNUMBER(BJ217),BJ217,IF(ISNUMBER(BJ218),BJ218,IF(ISNUMBER(BJ222),BJ200+BJ125,"")))</f>
      </c>
      <c r="BK216" s="211">
        <f>IF(ISNUMBER(BK217),BK217,IF(ISNUMBER(BK218),BK218,IF(ISNUMBER(BK222),BK200+BK125,"")))</f>
      </c>
      <c r="BL216" s="211">
        <f>IF(ISNUMBER(BL217),BL217,IF(ISNUMBER(BL218),BL218,IF(ISNUMBER(BL222),BL200+BL125,"")))</f>
      </c>
      <c r="BM216" s="211">
        <f>IF(ISNUMBER(BM217),BM217,IF(ISNUMBER(BM218),BM218,IF(ISNUMBER(BM222),BM200+BM125,"")))</f>
      </c>
      <c r="BN216" s="211">
        <f>IF(ISNUMBER(BN217),BN217,IF(ISNUMBER(BN218),BN218,IF(ISNUMBER(BN222),BN200+BN125,"")))</f>
      </c>
      <c r="BO216" s="211">
        <f>IF(ISNUMBER(BO217),BO217,IF(ISNUMBER(BO218),BO218,IF(ISNUMBER(BO222),BO200+BO125,"")))</f>
      </c>
      <c r="BP216" s="211">
        <f>IF(ISNUMBER(BP217),BP217,IF(ISNUMBER(BP218),BP218,IF(ISNUMBER(BP222),BP200+BP125,"")))</f>
      </c>
      <c r="BQ216" s="211">
        <f>IF(ISNUMBER(BQ217),BQ217,IF(ISNUMBER(BQ218),BQ218,IF(ISNUMBER(BQ222),BQ200+BQ125,"")))</f>
      </c>
      <c r="BR216" s="211">
        <f>IF(ISNUMBER(BR217),BR217,IF(ISNUMBER(BR218),BR218,IF(ISNUMBER(BR222),BR200+BR125,"")))</f>
      </c>
      <c r="BS216" s="211">
        <f>IF(ISNUMBER(BS217),BS217,IF(ISNUMBER(BS218),BS218,IF(ISNUMBER(BS222),BS200+BS125,"")))</f>
      </c>
      <c r="BT216" s="211">
        <f>IF(ISNUMBER(BT217),BT217,IF(ISNUMBER(BT218),BT218,IF(ISNUMBER(BT222),BT200+BT125,"")))</f>
      </c>
      <c r="BU216" s="211">
        <f>IF(ISNUMBER(BU217),BU217,IF(ISNUMBER(BU218),BU218,IF(ISNUMBER(BU222),BU200+BU125,"")))</f>
      </c>
      <c r="BV216" s="211">
        <f>IF(ISNUMBER(BV217),BV217,IF(ISNUMBER(BV218),BV218,IF(ISNUMBER(BV222),BV200+BV125,"")))</f>
      </c>
      <c r="BW216" s="211">
        <f>IF(ISNUMBER(BW217),BW217,IF(ISNUMBER(BW218),BW218,IF(ISNUMBER(BW222),BW200+BW125,"")))</f>
      </c>
      <c r="BX216" s="211">
        <f>IF(ISNUMBER(BX217),BX217,IF(ISNUMBER(BX218),BX218,IF(ISNUMBER(BX222),BX200+BX125,"")))</f>
      </c>
      <c r="BY216" s="153" t="n"/>
      <c r="BZ216" s="153" t="n"/>
      <c r="CA216" s="153" t="n"/>
      <c r="CB216" s="153" t="n"/>
      <c r="CC216" s="153" t="n"/>
      <c r="CD216" s="153" t="n"/>
      <c r="CE216" s="153" t="n"/>
      <c r="CF216" s="153" t="n"/>
    </row>
    <row r="217" ht="15" customHeight="1" s="251">
      <c r="B217" s="156" t="inlineStr">
        <is>
          <t xml:space="preserve">      Memo: Google non-GAAP net income (release; to Q4-16)</t>
        </is>
      </c>
      <c r="C217" s="34" t="n"/>
      <c r="D217" s="34" t="n"/>
      <c r="E217" s="34" t="n"/>
      <c r="F217" s="34" t="n"/>
      <c r="G217" s="34" t="n"/>
      <c r="H217" s="34" t="n"/>
      <c r="I217" s="34" t="n"/>
      <c r="J217" s="253" t="n">
        <v>3899</v>
      </c>
      <c r="K217" s="253" t="n">
        <v>3233</v>
      </c>
      <c r="L217" s="253" t="n">
        <v>3643</v>
      </c>
      <c r="M217" s="253" t="n">
        <v>4096</v>
      </c>
      <c r="N217" s="34" t="n"/>
      <c r="O217" s="34" t="n"/>
      <c r="P217" s="253" t="n">
        <v>4175</v>
      </c>
      <c r="Q217" s="253" t="n">
        <v>4373</v>
      </c>
      <c r="R217" s="253" t="n">
        <v>4736</v>
      </c>
      <c r="S217" s="34" t="n"/>
      <c r="T217" s="253" t="n">
        <v>4532</v>
      </c>
      <c r="U217" s="34" t="n"/>
      <c r="V217" s="34" t="n"/>
      <c r="W217" s="34" t="n"/>
      <c r="X217" s="34" t="n"/>
      <c r="Y217" s="34" t="n"/>
      <c r="Z217" s="34" t="n"/>
      <c r="AA217" s="34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34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34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153" t="n"/>
      <c r="BZ217" s="153" t="n"/>
      <c r="CA217" s="153" t="n"/>
      <c r="CB217" s="153" t="n"/>
      <c r="CC217" s="153" t="n"/>
      <c r="CD217" s="153" t="n"/>
      <c r="CE217" s="153" t="n"/>
      <c r="CF217" s="153" t="n"/>
    </row>
    <row r="218" ht="15" customHeight="1" s="251">
      <c r="B218" s="156" t="inlineStr">
        <is>
          <t xml:space="preserve">      Memo: net income excluding the EC fine (release; Q2-17, Q2-18, Q1-19)</t>
        </is>
      </c>
      <c r="C218" s="34" t="n"/>
      <c r="D218" s="34" t="n"/>
      <c r="E218" s="34" t="n"/>
      <c r="F218" s="34" t="n"/>
      <c r="G218" s="34" t="n"/>
      <c r="H218" s="34" t="n"/>
      <c r="I218" s="34" t="n"/>
      <c r="J218" s="34" t="n"/>
      <c r="K218" s="34" t="n"/>
      <c r="L218" s="34" t="n"/>
      <c r="M218" s="34" t="n"/>
      <c r="N218" s="34" t="n"/>
      <c r="O218" s="34" t="n"/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  <c r="AA218" s="34" t="n"/>
      <c r="AB218" s="34" t="n"/>
      <c r="AC218" s="34" t="n"/>
      <c r="AD218" s="34" t="n"/>
      <c r="AE218" s="253" t="n">
        <v>6260</v>
      </c>
      <c r="AF218" s="34" t="n"/>
      <c r="AG218" s="34" t="n"/>
      <c r="AH218" s="34" t="n"/>
      <c r="AI218" s="34" t="n"/>
      <c r="AJ218" s="253" t="n">
        <v>8266</v>
      </c>
      <c r="AK218" s="34" t="n"/>
      <c r="AL218" s="34" t="n"/>
      <c r="AM218" s="34" t="n"/>
      <c r="AN218" s="253" t="n">
        <v>8339</v>
      </c>
      <c r="AO218" s="34" t="n"/>
      <c r="AP218" s="34" t="n"/>
      <c r="AQ218" s="34" t="n"/>
      <c r="AR218" s="34" t="n"/>
      <c r="AS218" s="34" t="n"/>
      <c r="AT218" s="34" t="n"/>
      <c r="AU218" s="34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34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153" t="n"/>
      <c r="BZ218" s="153" t="n"/>
      <c r="CA218" s="153" t="n"/>
      <c r="CB218" s="153" t="n"/>
      <c r="CC218" s="153" t="n"/>
      <c r="CD218" s="153" t="n"/>
      <c r="CE218" s="153" t="n"/>
      <c r="CF218" s="153" t="n"/>
    </row>
    <row r="219" ht="15" customHeight="1" s="251">
      <c r="B219" s="156" t="inlineStr">
        <is>
          <t xml:space="preserve">    Company non-GAAP net income ÷ diluted shares ($)</t>
        </is>
      </c>
      <c r="C219" s="273">
        <f>IF(ISNUMBER(C216),IFERROR(C216/C159,""),"")</f>
      </c>
      <c r="D219" s="273">
        <f>IF(ISNUMBER(D216),IFERROR(D216/D159,""),"")</f>
      </c>
      <c r="E219" s="273">
        <f>IF(ISNUMBER(E216),IFERROR(E216/E159,""),"")</f>
      </c>
      <c r="F219" s="273">
        <f>IF(ISNUMBER(F216),IFERROR(F216/F159,""),"")</f>
      </c>
      <c r="G219" s="273">
        <f>IF(ISNUMBER(G216),IFERROR(G216/G159,""),"")</f>
      </c>
      <c r="H219" s="273">
        <f>IF(ISNUMBER(H216),IFERROR(H216/H159,""),"")</f>
      </c>
      <c r="I219" s="273">
        <f>IF(ISNUMBER(I216),IFERROR(I216/I159,""),"")</f>
      </c>
      <c r="J219" s="273">
        <f>IF(ISNUMBER(J216),IFERROR(J216/J159,""),"")</f>
        <v>0.289532856298435</v>
      </c>
      <c r="K219" s="273">
        <f>IF(ISNUMBER(K216),IFERROR(K216/K159,""),"")</f>
        <v>0.238889036670539</v>
      </c>
      <c r="L219" s="273">
        <f>IF(ISNUMBER(L216),IFERROR(L216/L159,""),"")</f>
        <v>0.26847170840273</v>
      </c>
      <c r="M219" s="273">
        <f>IF(ISNUMBER(M216),IFERROR(M216/M159,""),"")</f>
        <v>0.300292374509166</v>
      </c>
      <c r="N219" s="273">
        <f>IF(ISNUMBER(N216),IFERROR(N216/N159,""),"")</f>
      </c>
      <c r="O219" s="273">
        <f>IF(ISNUMBER(O216),IFERROR(O216/O159,""),"")</f>
      </c>
      <c r="P219" s="273">
        <f>IF(ISNUMBER(P216),IFERROR(P216/P159,""),"")</f>
        <v>0.30413935483119</v>
      </c>
      <c r="Q219" s="273">
        <f>IF(ISNUMBER(Q216),IFERROR(Q216/Q159,""),"")</f>
        <v>0.317705949448937</v>
      </c>
      <c r="R219" s="273">
        <f>IF(ISNUMBER(R216),IFERROR(R216/R159,""),"")</f>
        <v>0.343941088468968</v>
      </c>
      <c r="S219" s="273">
        <f>IF(ISNUMBER(S216),IFERROR(S216/S159,""),"")</f>
      </c>
      <c r="T219" s="273">
        <f>IF(ISNUMBER(T216),IFERROR(T216/T159,""),"")</f>
        <v>0.328644898172294</v>
      </c>
      <c r="U219" s="273">
        <f>IF(ISNUMBER(U216),IFERROR(U216/U159,""),"")</f>
      </c>
      <c r="V219" s="273">
        <f>IF(ISNUMBER(V216),IFERROR(V216/V159,""),"")</f>
      </c>
      <c r="W219" s="273">
        <f>IF(ISNUMBER(W216),IFERROR(W216/W159,""),"")</f>
      </c>
      <c r="X219" s="273">
        <f>IF(ISNUMBER(X216),IFERROR(X216/X159,""),"")</f>
      </c>
      <c r="Y219" s="273">
        <f>IF(ISNUMBER(Y216),IFERROR(Y216/Y159,""),"")</f>
      </c>
      <c r="Z219" s="273">
        <f>IF(ISNUMBER(Z216),IFERROR(Z216/Z159,""),"")</f>
      </c>
      <c r="AA219" s="273">
        <f>IF(ISNUMBER(AA216),IFERROR(AA216/AA159,""),"")</f>
      </c>
      <c r="AB219" s="273">
        <f>IF(ISNUMBER(AB216),IFERROR(AB216/AB159,""),"")</f>
      </c>
      <c r="AC219" s="273">
        <f>IF(ISNUMBER(AC216),IFERROR(AC216/AC159,""),"")</f>
      </c>
      <c r="AD219" s="273">
        <f>IF(ISNUMBER(AD216),IFERROR(AD216/AD159,""),"")</f>
      </c>
      <c r="AE219" s="273">
        <f>IF(ISNUMBER(AE216),IFERROR(AE216/AE159,""),"")</f>
        <v>0.444916368515841</v>
      </c>
      <c r="AF219" s="273">
        <f>IF(ISNUMBER(AF216),IFERROR(AF216/AF159,""),"")</f>
      </c>
      <c r="AG219" s="273">
        <f>IF(ISNUMBER(AG216),IFERROR(AG216/AG159,""),"")</f>
        <v>0.48483791223987</v>
      </c>
      <c r="AH219" s="273">
        <f>IF(ISNUMBER(AH216),IFERROR(AH216/AH159,""),"")</f>
      </c>
      <c r="AI219" s="273">
        <f>IF(ISNUMBER(AI216),IFERROR(AI216/AI159,""),"")</f>
      </c>
      <c r="AJ219" s="273">
        <f>IF(ISNUMBER(AJ216),IFERROR(AJ216/AJ159,""),"")</f>
        <v>0.587702471535606</v>
      </c>
      <c r="AK219" s="273">
        <f>IF(ISNUMBER(AK216),IFERROR(AK216/AK159,""),"")</f>
      </c>
      <c r="AL219" s="273">
        <f>IF(ISNUMBER(AL216),IFERROR(AL216/AL159,""),"")</f>
      </c>
      <c r="AM219" s="273">
        <f>IF(ISNUMBER(AM216),IFERROR(AM216/AM159,""),"")</f>
      </c>
      <c r="AN219" s="273">
        <f>IF(ISNUMBER(AN216),IFERROR(AN216/AN159,""),"")</f>
        <v>0.594895837940643</v>
      </c>
      <c r="AO219" s="273">
        <f>IF(ISNUMBER(AO216),IFERROR(AO216/AO159,""),"")</f>
      </c>
      <c r="AP219" s="273">
        <f>IF(ISNUMBER(AP216),IFERROR(AP216/AP159,""),"")</f>
      </c>
      <c r="AQ219" s="273">
        <f>IF(ISNUMBER(AQ216),IFERROR(AQ216/AQ159,""),"")</f>
      </c>
      <c r="AR219" s="273">
        <f>IF(ISNUMBER(AR216),IFERROR(AR216/AR159,""),"")</f>
      </c>
      <c r="AS219" s="273">
        <f>IF(ISNUMBER(AS216),IFERROR(AS216/AS159,""),"")</f>
      </c>
      <c r="AT219" s="273">
        <f>IF(ISNUMBER(AT216),IFERROR(AT216/AT159,""),"")</f>
      </c>
      <c r="AU219" s="273">
        <f>IF(ISNUMBER(AU216),IFERROR(AU216/AU159,""),"")</f>
      </c>
      <c r="AV219" s="273">
        <f>IF(ISNUMBER(AV216),IFERROR(AV216/AV159,""),"")</f>
      </c>
      <c r="AW219" s="273">
        <f>IF(ISNUMBER(AW216),IFERROR(AW216/AW159,""),"")</f>
      </c>
      <c r="AX219" s="273">
        <f>IF(ISNUMBER(AX216),IFERROR(AX216/AX159,""),"")</f>
      </c>
      <c r="AY219" s="273">
        <f>IF(ISNUMBER(AY216),IFERROR(AY216/AY159,""),"")</f>
      </c>
      <c r="AZ219" s="273">
        <f>IF(ISNUMBER(AZ216),IFERROR(AZ216/AZ159,""),"")</f>
      </c>
      <c r="BA219" s="273">
        <f>IF(ISNUMBER(BA216),IFERROR(BA216/BA159,""),"")</f>
      </c>
      <c r="BB219" s="273">
        <f>IF(ISNUMBER(BB216),IFERROR(BB216/BB159,""),"")</f>
      </c>
      <c r="BC219" s="273">
        <f>IF(ISNUMBER(BC216),IFERROR(BC216/BC159,""),"")</f>
      </c>
      <c r="BD219" s="273">
        <f>IF(ISNUMBER(BD216),IFERROR(BD216/BD159,""),"")</f>
      </c>
      <c r="BE219" s="273">
        <f>IF(ISNUMBER(BE216),IFERROR(BE216/BE159,""),"")</f>
      </c>
      <c r="BF219" s="273">
        <f>IF(ISNUMBER(BF216),IFERROR(BF216/BF159,""),"")</f>
      </c>
      <c r="BG219" s="273">
        <f>IF(ISNUMBER(BG216),IFERROR(BG216/BG159,""),"")</f>
      </c>
      <c r="BH219" s="273">
        <f>IF(ISNUMBER(BH216),IFERROR(BH216/BH159,""),"")</f>
      </c>
      <c r="BI219" s="273">
        <f>IF(ISNUMBER(BI216),IFERROR(BI216/BI159,""),"")</f>
      </c>
      <c r="BJ219" s="273">
        <f>IF(ISNUMBER(BJ216),IFERROR(BJ216/BJ159,""),"")</f>
      </c>
      <c r="BK219" s="273">
        <f>IF(ISNUMBER(BK216),IFERROR(BK216/BK159,""),"")</f>
      </c>
      <c r="BL219" s="273">
        <f>IF(ISNUMBER(BL216),IFERROR(BL216/BL159,""),"")</f>
      </c>
      <c r="BM219" s="273">
        <f>IF(ISNUMBER(BM216),IFERROR(BM216/BM159,""),"")</f>
      </c>
      <c r="BN219" s="273">
        <f>IF(ISNUMBER(BN216),IFERROR(BN216/BN159,""),"")</f>
      </c>
      <c r="BO219" s="273">
        <f>IF(ISNUMBER(BO216),IFERROR(BO216/BO159,""),"")</f>
      </c>
      <c r="BP219" s="273">
        <f>IF(ISNUMBER(BP216),IFERROR(BP216/BP159,""),"")</f>
      </c>
      <c r="BQ219" s="273">
        <f>IF(ISNUMBER(BQ216),IFERROR(BQ216/BQ159,""),"")</f>
      </c>
      <c r="BR219" s="273">
        <f>IF(ISNUMBER(BR216),IFERROR(BR216/BR159,""),"")</f>
      </c>
      <c r="BS219" s="273">
        <f>IF(ISNUMBER(BS216),IFERROR(BS216/BS159,""),"")</f>
      </c>
      <c r="BT219" s="273">
        <f>IF(ISNUMBER(BT216),IFERROR(BT216/BT159,""),"")</f>
      </c>
      <c r="BU219" s="273">
        <f>IF(ISNUMBER(BU216),IFERROR(BU216/BU159,""),"")</f>
      </c>
      <c r="BV219" s="273">
        <f>IF(ISNUMBER(BV216),IFERROR(BV216/BV159,""),"")</f>
      </c>
      <c r="BW219" s="273">
        <f>IF(ISNUMBER(BW216),IFERROR(BW216/BW159,""),"")</f>
      </c>
      <c r="BX219" s="273">
        <f>IF(ISNUMBER(BX216),IFERROR(BX216/BX159,""),"")</f>
      </c>
      <c r="BY219" s="153" t="n"/>
      <c r="BZ219" s="153" t="n"/>
      <c r="CA219" s="153" t="n"/>
      <c r="CB219" s="153" t="n"/>
      <c r="CC219" s="153" t="n"/>
      <c r="CD219" s="153" t="n"/>
      <c r="CE219" s="153" t="n"/>
      <c r="CF219" s="153" t="n"/>
    </row>
    <row r="220" ht="15" customHeight="1" s="251">
      <c r="B220" s="156" t="inlineStr">
        <is>
          <t xml:space="preserve">    Company-published non-GAAP diluted EPS ($, split-adjusted)</t>
        </is>
      </c>
      <c r="C220" s="273">
        <f>IF(ISNUMBER(C221),C221,IF(ISNUMBER(C222),C222,""))</f>
      </c>
      <c r="D220" s="273">
        <f>IF(ISNUMBER(D221),D221,IF(ISNUMBER(D222),D222,""))</f>
      </c>
      <c r="E220" s="273">
        <f>IF(ISNUMBER(E221),E221,IF(ISNUMBER(E222),E222,""))</f>
      </c>
      <c r="F220" s="273">
        <f>IF(ISNUMBER(F221),F221,IF(ISNUMBER(F222),F222,""))</f>
      </c>
      <c r="G220" s="273">
        <f>IF(ISNUMBER(G221),G221,IF(ISNUMBER(G222),G222,""))</f>
      </c>
      <c r="H220" s="273">
        <f>IF(ISNUMBER(H221),H221,IF(ISNUMBER(H222),H222,""))</f>
      </c>
      <c r="I220" s="273">
        <f>IF(ISNUMBER(I221),I221,IF(ISNUMBER(I222),I222,""))</f>
      </c>
      <c r="J220" s="273">
        <f>IF(ISNUMBER(J221),J221,IF(ISNUMBER(J222),J222,""))</f>
        <v>0.2895</v>
      </c>
      <c r="K220" s="273">
        <f>IF(ISNUMBER(K221),K221,IF(ISNUMBER(K222),K222,""))</f>
        <v>0.239</v>
      </c>
      <c r="L220" s="273">
        <f>IF(ISNUMBER(L221),L221,IF(ISNUMBER(L222),L222,""))</f>
        <v>0.2685</v>
      </c>
      <c r="M220" s="273">
        <f>IF(ISNUMBER(M221),M221,IF(ISNUMBER(M222),M222,""))</f>
        <v>0.30025</v>
      </c>
      <c r="N220" s="273">
        <f>IF(ISNUMBER(N221),N221,IF(ISNUMBER(N222),N222,""))</f>
      </c>
      <c r="O220" s="273">
        <f>IF(ISNUMBER(O221),O221,IF(ISNUMBER(O222),O222,""))</f>
      </c>
      <c r="P220" s="273">
        <f>IF(ISNUMBER(P221),P221,IF(ISNUMBER(P222),P222,""))</f>
        <v>0.304</v>
      </c>
      <c r="Q220" s="273">
        <f>IF(ISNUMBER(Q221),Q221,IF(ISNUMBER(Q222),Q222,""))</f>
        <v>0.3175</v>
      </c>
      <c r="R220" s="273">
        <f>IF(ISNUMBER(R221),R221,IF(ISNUMBER(R222),R222,""))</f>
        <v>0.344</v>
      </c>
      <c r="S220" s="273">
        <f>IF(ISNUMBER(S221),S221,IF(ISNUMBER(S222),S222,""))</f>
      </c>
      <c r="T220" s="273">
        <f>IF(ISNUMBER(T221),T221,IF(ISNUMBER(T222),T222,""))</f>
        <v>0.3285</v>
      </c>
      <c r="U220" s="273">
        <f>IF(ISNUMBER(U221),U221,IF(ISNUMBER(U222),U222,""))</f>
      </c>
      <c r="V220" s="273">
        <f>IF(ISNUMBER(V221),V221,IF(ISNUMBER(V222),V222,""))</f>
      </c>
      <c r="W220" s="273">
        <f>IF(ISNUMBER(W221),W221,IF(ISNUMBER(W222),W222,""))</f>
      </c>
      <c r="X220" s="273">
        <f>IF(ISNUMBER(X221),X221,IF(ISNUMBER(X222),X222,""))</f>
      </c>
      <c r="Y220" s="273">
        <f>IF(ISNUMBER(Y221),Y221,IF(ISNUMBER(Y222),Y222,""))</f>
      </c>
      <c r="Z220" s="273">
        <f>IF(ISNUMBER(Z221),Z221,IF(ISNUMBER(Z222),Z222,""))</f>
      </c>
      <c r="AA220" s="273">
        <f>IF(ISNUMBER(AA221),AA221,IF(ISNUMBER(AA222),AA222,""))</f>
      </c>
      <c r="AB220" s="273">
        <f>IF(ISNUMBER(AB221),AB221,IF(ISNUMBER(AB222),AB222,""))</f>
      </c>
      <c r="AC220" s="273">
        <f>IF(ISNUMBER(AC221),AC221,IF(ISNUMBER(AC222),AC222,""))</f>
      </c>
      <c r="AD220" s="273">
        <f>IF(ISNUMBER(AD221),AD221,IF(ISNUMBER(AD222),AD222,""))</f>
      </c>
      <c r="AE220" s="273">
        <f>IF(ISNUMBER(AE221),AE221,IF(ISNUMBER(AE222),AE222,""))</f>
        <v>0.445</v>
      </c>
      <c r="AF220" s="273">
        <f>IF(ISNUMBER(AF221),AF221,IF(ISNUMBER(AF222),AF222,""))</f>
      </c>
      <c r="AG220" s="273">
        <f>IF(ISNUMBER(AG221),AG221,IF(ISNUMBER(AG222),AG222,""))</f>
        <v>0.485</v>
      </c>
      <c r="AH220" s="273">
        <f>IF(ISNUMBER(AH221),AH221,IF(ISNUMBER(AH222),AH222,""))</f>
      </c>
      <c r="AI220" s="273">
        <f>IF(ISNUMBER(AI221),AI221,IF(ISNUMBER(AI222),AI222,""))</f>
      </c>
      <c r="AJ220" s="273">
        <f>IF(ISNUMBER(AJ221),AJ221,IF(ISNUMBER(AJ222),AJ222,""))</f>
        <v>0.5875</v>
      </c>
      <c r="AK220" s="273">
        <f>IF(ISNUMBER(AK221),AK221,IF(ISNUMBER(AK222),AK222,""))</f>
      </c>
      <c r="AL220" s="273">
        <f>IF(ISNUMBER(AL221),AL221,IF(ISNUMBER(AL222),AL222,""))</f>
      </c>
      <c r="AM220" s="273">
        <f>IF(ISNUMBER(AM221),AM221,IF(ISNUMBER(AM222),AM222,""))</f>
      </c>
      <c r="AN220" s="273">
        <f>IF(ISNUMBER(AN221),AN221,IF(ISNUMBER(AN222),AN222,""))</f>
        <v>0.595</v>
      </c>
      <c r="AO220" s="273">
        <f>IF(ISNUMBER(AO221),AO221,IF(ISNUMBER(AO222),AO222,""))</f>
      </c>
      <c r="AP220" s="273">
        <f>IF(ISNUMBER(AP221),AP221,IF(ISNUMBER(AP222),AP222,""))</f>
      </c>
      <c r="AQ220" s="273">
        <f>IF(ISNUMBER(AQ221),AQ221,IF(ISNUMBER(AQ222),AQ222,""))</f>
      </c>
      <c r="AR220" s="273">
        <f>IF(ISNUMBER(AR221),AR221,IF(ISNUMBER(AR222),AR222,""))</f>
      </c>
      <c r="AS220" s="273">
        <f>IF(ISNUMBER(AS221),AS221,IF(ISNUMBER(AS222),AS222,""))</f>
      </c>
      <c r="AT220" s="273">
        <f>IF(ISNUMBER(AT221),AT221,IF(ISNUMBER(AT222),AT222,""))</f>
      </c>
      <c r="AU220" s="273">
        <f>IF(ISNUMBER(AU221),AU221,IF(ISNUMBER(AU222),AU222,""))</f>
      </c>
      <c r="AV220" s="273">
        <f>IF(ISNUMBER(AV221),AV221,IF(ISNUMBER(AV222),AV222,""))</f>
      </c>
      <c r="AW220" s="273">
        <f>IF(ISNUMBER(AW221),AW221,IF(ISNUMBER(AW222),AW222,""))</f>
      </c>
      <c r="AX220" s="273">
        <f>IF(ISNUMBER(AX221),AX221,IF(ISNUMBER(AX222),AX222,""))</f>
      </c>
      <c r="AY220" s="273">
        <f>IF(ISNUMBER(AY221),AY221,IF(ISNUMBER(AY222),AY222,""))</f>
      </c>
      <c r="AZ220" s="273">
        <f>IF(ISNUMBER(AZ221),AZ221,IF(ISNUMBER(AZ222),AZ222,""))</f>
      </c>
      <c r="BA220" s="273">
        <f>IF(ISNUMBER(BA221),BA221,IF(ISNUMBER(BA222),BA222,""))</f>
      </c>
      <c r="BB220" s="273">
        <f>IF(ISNUMBER(BB221),BB221,IF(ISNUMBER(BB222),BB222,""))</f>
      </c>
      <c r="BC220" s="273">
        <f>IF(ISNUMBER(BC221),BC221,IF(ISNUMBER(BC222),BC222,""))</f>
      </c>
      <c r="BD220" s="273">
        <f>IF(ISNUMBER(BD221),BD221,IF(ISNUMBER(BD222),BD222,""))</f>
      </c>
      <c r="BE220" s="273">
        <f>IF(ISNUMBER(BE221),BE221,IF(ISNUMBER(BE222),BE222,""))</f>
      </c>
      <c r="BF220" s="273">
        <f>IF(ISNUMBER(BF221),BF221,IF(ISNUMBER(BF222),BF222,""))</f>
      </c>
      <c r="BG220" s="273">
        <f>IF(ISNUMBER(BG221),BG221,IF(ISNUMBER(BG222),BG222,""))</f>
      </c>
      <c r="BH220" s="273">
        <f>IF(ISNUMBER(BH221),BH221,IF(ISNUMBER(BH222),BH222,""))</f>
      </c>
      <c r="BI220" s="273">
        <f>IF(ISNUMBER(BI221),BI221,IF(ISNUMBER(BI222),BI222,""))</f>
      </c>
      <c r="BJ220" s="273">
        <f>IF(ISNUMBER(BJ221),BJ221,IF(ISNUMBER(BJ222),BJ222,""))</f>
      </c>
      <c r="BK220" s="273">
        <f>IF(ISNUMBER(BK221),BK221,IF(ISNUMBER(BK222),BK222,""))</f>
      </c>
      <c r="BL220" s="273">
        <f>IF(ISNUMBER(BL221),BL221,IF(ISNUMBER(BL222),BL222,""))</f>
      </c>
      <c r="BM220" s="273">
        <f>IF(ISNUMBER(BM221),BM221,IF(ISNUMBER(BM222),BM222,""))</f>
      </c>
      <c r="BN220" s="273">
        <f>IF(ISNUMBER(BN221),BN221,IF(ISNUMBER(BN222),BN222,""))</f>
      </c>
      <c r="BO220" s="273">
        <f>IF(ISNUMBER(BO221),BO221,IF(ISNUMBER(BO222),BO222,""))</f>
      </c>
      <c r="BP220" s="273">
        <f>IF(ISNUMBER(BP221),BP221,IF(ISNUMBER(BP222),BP222,""))</f>
      </c>
      <c r="BQ220" s="273">
        <f>IF(ISNUMBER(BQ221),BQ221,IF(ISNUMBER(BQ222),BQ222,""))</f>
      </c>
      <c r="BR220" s="273">
        <f>IF(ISNUMBER(BR221),BR221,IF(ISNUMBER(BR222),BR222,""))</f>
      </c>
      <c r="BS220" s="273">
        <f>IF(ISNUMBER(BS221),BS221,IF(ISNUMBER(BS222),BS222,""))</f>
      </c>
      <c r="BT220" s="273">
        <f>IF(ISNUMBER(BT221),BT221,IF(ISNUMBER(BT222),BT222,""))</f>
      </c>
      <c r="BU220" s="273">
        <f>IF(ISNUMBER(BU221),BU221,IF(ISNUMBER(BU222),BU222,""))</f>
      </c>
      <c r="BV220" s="273">
        <f>IF(ISNUMBER(BV221),BV221,IF(ISNUMBER(BV222),BV222,""))</f>
      </c>
      <c r="BW220" s="273">
        <f>IF(ISNUMBER(BW221),BW221,IF(ISNUMBER(BW222),BW222,""))</f>
      </c>
      <c r="BX220" s="273">
        <f>IF(ISNUMBER(BX221),BX221,IF(ISNUMBER(BX222),BX222,""))</f>
      </c>
      <c r="BY220" s="153" t="n"/>
      <c r="BZ220" s="153" t="n"/>
      <c r="CA220" s="153" t="n"/>
      <c r="CB220" s="153" t="n"/>
      <c r="CC220" s="153" t="n"/>
      <c r="CD220" s="153" t="n"/>
      <c r="CE220" s="153" t="n"/>
      <c r="CF220" s="153" t="n"/>
    </row>
    <row r="221" ht="15" customHeight="1" s="251">
      <c r="B221" s="156" t="inlineStr">
        <is>
          <t xml:space="preserve">      Memo: Google non-GAAP EPS (release)</t>
        </is>
      </c>
      <c r="C221" s="27" t="n"/>
      <c r="D221" s="27" t="n"/>
      <c r="E221" s="27" t="n"/>
      <c r="F221" s="27" t="n"/>
      <c r="G221" s="27" t="n"/>
      <c r="H221" s="27" t="n"/>
      <c r="I221" s="27" t="n"/>
      <c r="J221" s="272" t="n">
        <v>0.2895</v>
      </c>
      <c r="K221" s="272" t="n">
        <v>0.239</v>
      </c>
      <c r="L221" s="272" t="n">
        <v>0.2685</v>
      </c>
      <c r="M221" s="272" t="n">
        <v>0.30025</v>
      </c>
      <c r="N221" s="27" t="n"/>
      <c r="O221" s="27" t="n"/>
      <c r="P221" s="272" t="n">
        <v>0.304</v>
      </c>
      <c r="Q221" s="272" t="n">
        <v>0.3175</v>
      </c>
      <c r="R221" s="272" t="n">
        <v>0.344</v>
      </c>
      <c r="S221" s="27" t="n"/>
      <c r="T221" s="272" t="n">
        <v>0.3285</v>
      </c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7" t="n"/>
      <c r="AK221" s="27" t="n"/>
      <c r="AL221" s="27" t="n"/>
      <c r="AM221" s="27" t="n"/>
      <c r="AN221" s="27" t="n"/>
      <c r="AO221" s="27" t="n"/>
      <c r="AP221" s="27" t="n"/>
      <c r="AQ221" s="27" t="n"/>
      <c r="AR221" s="27" t="n"/>
      <c r="AS221" s="27" t="n"/>
      <c r="AT221" s="27" t="n"/>
      <c r="AU221" s="27" t="n"/>
      <c r="AV221" s="27" t="n"/>
      <c r="AW221" s="27" t="n"/>
      <c r="AX221" s="27" t="n"/>
      <c r="AY221" s="27" t="n"/>
      <c r="AZ221" s="27" t="n"/>
      <c r="BA221" s="27" t="n"/>
      <c r="BB221" s="27" t="n"/>
      <c r="BC221" s="27" t="n"/>
      <c r="BD221" s="27" t="n"/>
      <c r="BE221" s="27" t="n"/>
      <c r="BF221" s="27" t="n"/>
      <c r="BG221" s="27" t="n"/>
      <c r="BH221" s="27" t="n"/>
      <c r="BI221" s="27" t="n"/>
      <c r="BJ221" s="27" t="n"/>
      <c r="BK221" s="27" t="n"/>
      <c r="BL221" s="27" t="n"/>
      <c r="BM221" s="27" t="n"/>
      <c r="BN221" s="27" t="n"/>
      <c r="BO221" s="27" t="n"/>
      <c r="BP221" s="27" t="n"/>
      <c r="BQ221" s="27" t="n"/>
      <c r="BR221" s="27" t="n"/>
      <c r="BS221" s="27" t="n"/>
      <c r="BT221" s="27" t="n"/>
      <c r="BU221" s="27" t="n"/>
      <c r="BV221" s="27" t="n"/>
      <c r="BW221" s="27" t="n"/>
      <c r="BX221" s="27" t="n"/>
      <c r="BY221" s="153" t="n"/>
      <c r="BZ221" s="153" t="n"/>
      <c r="CA221" s="153" t="n"/>
      <c r="CB221" s="153" t="n"/>
      <c r="CC221" s="153" t="n"/>
      <c r="CD221" s="153" t="n"/>
      <c r="CE221" s="153" t="n"/>
      <c r="CF221" s="153" t="n"/>
    </row>
    <row r="222" collapsed="1" ht="15" customHeight="1" s="251">
      <c r="B222" s="156" t="inlineStr">
        <is>
          <t xml:space="preserve">      Memo: EPS excluding the EC fine / Tax Act (release; split-adjusted)</t>
        </is>
      </c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2" t="n">
        <v>0.445</v>
      </c>
      <c r="AF222" s="27" t="n"/>
      <c r="AG222" s="272" t="n">
        <v>0.485</v>
      </c>
      <c r="AH222" s="27" t="n"/>
      <c r="AI222" s="27" t="n"/>
      <c r="AJ222" s="272" t="n">
        <v>0.5875</v>
      </c>
      <c r="AK222" s="27" t="n"/>
      <c r="AL222" s="27" t="n"/>
      <c r="AM222" s="27" t="n"/>
      <c r="AN222" s="272" t="n">
        <v>0.595</v>
      </c>
      <c r="AO222" s="27" t="n"/>
      <c r="AP222" s="27" t="n"/>
      <c r="AQ222" s="27" t="n"/>
      <c r="AR222" s="27" t="n"/>
      <c r="AS222" s="27" t="n"/>
      <c r="AT222" s="27" t="n"/>
      <c r="AU222" s="27" t="n"/>
      <c r="AV222" s="27" t="n"/>
      <c r="AW222" s="27" t="n"/>
      <c r="AX222" s="27" t="n"/>
      <c r="AY222" s="27" t="n"/>
      <c r="AZ222" s="27" t="n"/>
      <c r="BA222" s="27" t="n"/>
      <c r="BB222" s="27" t="n"/>
      <c r="BC222" s="27" t="n"/>
      <c r="BD222" s="27" t="n"/>
      <c r="BE222" s="27" t="n"/>
      <c r="BF222" s="27" t="n"/>
      <c r="BG222" s="27" t="n"/>
      <c r="BH222" s="27" t="n"/>
      <c r="BI222" s="27" t="n"/>
      <c r="BJ222" s="27" t="n"/>
      <c r="BK222" s="27" t="n"/>
      <c r="BL222" s="27" t="n"/>
      <c r="BM222" s="27" t="n"/>
      <c r="BN222" s="27" t="n"/>
      <c r="BO222" s="27" t="n"/>
      <c r="BP222" s="27" t="n"/>
      <c r="BQ222" s="27" t="n"/>
      <c r="BR222" s="27" t="n"/>
      <c r="BS222" s="27" t="n"/>
      <c r="BT222" s="27" t="n"/>
      <c r="BU222" s="27" t="n"/>
      <c r="BV222" s="27" t="n"/>
      <c r="BW222" s="27" t="n"/>
      <c r="BX222" s="27" t="n"/>
      <c r="BY222" s="153" t="n"/>
      <c r="BZ222" s="153" t="n"/>
      <c r="CA222" s="153" t="n"/>
      <c r="CB222" s="153" t="n"/>
      <c r="CC222" s="153" t="n"/>
      <c r="CD222" s="153" t="n"/>
      <c r="CE222" s="153" t="n"/>
      <c r="CF222" s="153" t="n"/>
    </row>
    <row r="223" ht="15" customHeight="1" s="251">
      <c r="B223" s="57" t="inlineStr">
        <is>
          <t xml:space="preserve">    Check: rebuilt vs company-published non-GAAP EPS (should be 0.00; ±0.015)</t>
        </is>
      </c>
      <c r="C223" s="273" t="str">
        <f>IF(AND(ISNUMBER(C220),ISNUMBER(C219)),IF(ABS(C219-C220)&lt;=0.0151,0,ROUND(C219-C220,2)),"n/p")</f>
        <v>n/p</v>
      </c>
      <c r="D223" s="273" t="str">
        <f>IF(AND(ISNUMBER(D220),ISNUMBER(D219)),IF(ABS(D219-D220)&lt;=0.0151,0,ROUND(D219-D220,2)),"n/p")</f>
        <v>n/p</v>
      </c>
      <c r="E223" s="273" t="str">
        <f>IF(AND(ISNUMBER(E220),ISNUMBER(E219)),IF(ABS(E219-E220)&lt;=0.0151,0,ROUND(E219-E220,2)),"n/p")</f>
        <v>n/p</v>
      </c>
      <c r="F223" s="273" t="str">
        <f>IF(AND(ISNUMBER(F220),ISNUMBER(F219)),IF(ABS(F219-F220)&lt;=0.0151,0,ROUND(F219-F220,2)),"n/p")</f>
        <v>n/p</v>
      </c>
      <c r="G223" s="273" t="str">
        <f>IF(AND(ISNUMBER(G220),ISNUMBER(G219)),IF(ABS(G219-G220)&lt;=0.0151,0,ROUND(G219-G220,2)),"n/p")</f>
        <v>n/p</v>
      </c>
      <c r="H223" s="273" t="str">
        <f>IF(AND(ISNUMBER(H220),ISNUMBER(H219)),IF(ABS(H219-H220)&lt;=0.0151,0,ROUND(H219-H220,2)),"n/p")</f>
        <v>n/p</v>
      </c>
      <c r="I223" s="273" t="str">
        <f>IF(AND(ISNUMBER(I220),ISNUMBER(I219)),IF(ABS(I219-I220)&lt;=0.0151,0,ROUND(I219-I220,2)),"n/p")</f>
        <v>n/p</v>
      </c>
      <c r="J223" s="273">
        <f>IF(AND(ISNUMBER(J220),ISNUMBER(J219)),IF(ABS(J219-J220)&lt;=0.0151,0,ROUND(J219-J220,2)),"n/p")</f>
        <v>0</v>
      </c>
      <c r="K223" s="273">
        <f>IF(AND(ISNUMBER(K220),ISNUMBER(K219)),IF(ABS(K219-K220)&lt;=0.0151,0,ROUND(K219-K220,2)),"n/p")</f>
        <v>0</v>
      </c>
      <c r="L223" s="273">
        <f>IF(AND(ISNUMBER(L220),ISNUMBER(L219)),IF(ABS(L219-L220)&lt;=0.0151,0,ROUND(L219-L220,2)),"n/p")</f>
        <v>0</v>
      </c>
      <c r="M223" s="273">
        <f>IF(AND(ISNUMBER(M220),ISNUMBER(M219)),IF(ABS(M219-M220)&lt;=0.0151,0,ROUND(M219-M220,2)),"n/p")</f>
        <v>0</v>
      </c>
      <c r="N223" s="273" t="str">
        <f>IF(AND(ISNUMBER(N220),ISNUMBER(N219)),IF(ABS(N219-N220)&lt;=0.0151,0,ROUND(N219-N220,2)),"n/p")</f>
        <v>n/p</v>
      </c>
      <c r="O223" s="273" t="str">
        <f>IF(AND(ISNUMBER(O220),ISNUMBER(O219)),IF(ABS(O219-O220)&lt;=0.0151,0,ROUND(O219-O220,2)),"n/p")</f>
        <v>n/p</v>
      </c>
      <c r="P223" s="273">
        <f>IF(AND(ISNUMBER(P220),ISNUMBER(P219)),IF(ABS(P219-P220)&lt;=0.0151,0,ROUND(P219-P220,2)),"n/p")</f>
        <v>0</v>
      </c>
      <c r="Q223" s="273">
        <f>IF(AND(ISNUMBER(Q220),ISNUMBER(Q219)),IF(ABS(Q219-Q220)&lt;=0.0151,0,ROUND(Q219-Q220,2)),"n/p")</f>
        <v>0</v>
      </c>
      <c r="R223" s="273">
        <f>IF(AND(ISNUMBER(R220),ISNUMBER(R219)),IF(ABS(R219-R220)&lt;=0.0151,0,ROUND(R219-R220,2)),"n/p")</f>
        <v>0</v>
      </c>
      <c r="S223" s="273" t="str">
        <f>IF(AND(ISNUMBER(S220),ISNUMBER(S219)),IF(ABS(S219-S220)&lt;=0.0151,0,ROUND(S219-S220,2)),"n/p")</f>
        <v>n/p</v>
      </c>
      <c r="T223" s="273">
        <f>IF(AND(ISNUMBER(T220),ISNUMBER(T219)),IF(ABS(T219-T220)&lt;=0.0151,0,ROUND(T219-T220,2)),"n/p")</f>
        <v>0</v>
      </c>
      <c r="U223" s="273" t="str">
        <f>IF(AND(ISNUMBER(U220),ISNUMBER(U219)),IF(ABS(U219-U220)&lt;=0.0151,0,ROUND(U219-U220,2)),"n/p")</f>
        <v>n/p</v>
      </c>
      <c r="V223" s="273" t="str">
        <f>IF(AND(ISNUMBER(V220),ISNUMBER(V219)),IF(ABS(V219-V220)&lt;=0.0151,0,ROUND(V219-V220,2)),"n/p")</f>
        <v>n/p</v>
      </c>
      <c r="W223" s="273" t="str">
        <f>IF(AND(ISNUMBER(W220),ISNUMBER(W219)),IF(ABS(W219-W220)&lt;=0.0151,0,ROUND(W219-W220,2)),"n/p")</f>
        <v>n/p</v>
      </c>
      <c r="X223" s="273" t="str">
        <f>IF(AND(ISNUMBER(X220),ISNUMBER(X219)),IF(ABS(X219-X220)&lt;=0.0151,0,ROUND(X219-X220,2)),"n/p")</f>
        <v>n/p</v>
      </c>
      <c r="Y223" s="273" t="str">
        <f>IF(AND(ISNUMBER(Y220),ISNUMBER(Y219)),IF(ABS(Y219-Y220)&lt;=0.0151,0,ROUND(Y219-Y220,2)),"n/p")</f>
        <v>n/p</v>
      </c>
      <c r="Z223" s="273" t="str">
        <f>IF(AND(ISNUMBER(Z220),ISNUMBER(Z219)),IF(ABS(Z219-Z220)&lt;=0.0151,0,ROUND(Z219-Z220,2)),"n/p")</f>
        <v>n/p</v>
      </c>
      <c r="AA223" s="273" t="str">
        <f>IF(AND(ISNUMBER(AA220),ISNUMBER(AA219)),IF(ABS(AA219-AA220)&lt;=0.0151,0,ROUND(AA219-AA220,2)),"n/p")</f>
        <v>n/p</v>
      </c>
      <c r="AB223" s="273" t="str">
        <f>IF(AND(ISNUMBER(AB220),ISNUMBER(AB219)),IF(ABS(AB219-AB220)&lt;=0.0151,0,ROUND(AB219-AB220,2)),"n/p")</f>
        <v>n/p</v>
      </c>
      <c r="AC223" s="273" t="str">
        <f>IF(AND(ISNUMBER(AC220),ISNUMBER(AC219)),IF(ABS(AC219-AC220)&lt;=0.0151,0,ROUND(AC219-AC220,2)),"n/p")</f>
        <v>n/p</v>
      </c>
      <c r="AD223" s="273" t="str">
        <f>IF(AND(ISNUMBER(AD220),ISNUMBER(AD219)),IF(ABS(AD219-AD220)&lt;=0.0151,0,ROUND(AD219-AD220,2)),"n/p")</f>
        <v>n/p</v>
      </c>
      <c r="AE223" s="273">
        <f>IF(AND(ISNUMBER(AE220),ISNUMBER(AE219)),IF(ABS(AE219-AE220)&lt;=0.0151,0,ROUND(AE219-AE220,2)),"n/p")</f>
        <v>0</v>
      </c>
      <c r="AF223" s="273" t="str">
        <f>IF(AND(ISNUMBER(AF220),ISNUMBER(AF219)),IF(ABS(AF219-AF220)&lt;=0.0151,0,ROUND(AF219-AF220,2)),"n/p")</f>
        <v>n/p</v>
      </c>
      <c r="AG223" s="273">
        <f>IF(AND(ISNUMBER(AG220),ISNUMBER(AG219)),IF(ABS(AG219-AG220)&lt;=0.0151,0,ROUND(AG219-AG220,2)),"n/p")</f>
        <v>0</v>
      </c>
      <c r="AH223" s="273" t="str">
        <f>IF(AND(ISNUMBER(AH220),ISNUMBER(AH219)),IF(ABS(AH219-AH220)&lt;=0.0151,0,ROUND(AH219-AH220,2)),"n/p")</f>
        <v>n/p</v>
      </c>
      <c r="AI223" s="273" t="str">
        <f>IF(AND(ISNUMBER(AI220),ISNUMBER(AI219)),IF(ABS(AI219-AI220)&lt;=0.0151,0,ROUND(AI219-AI220,2)),"n/p")</f>
        <v>n/p</v>
      </c>
      <c r="AJ223" s="273">
        <f>IF(AND(ISNUMBER(AJ220),ISNUMBER(AJ219)),IF(ABS(AJ219-AJ220)&lt;=0.0151,0,ROUND(AJ219-AJ220,2)),"n/p")</f>
        <v>0</v>
      </c>
      <c r="AK223" s="273" t="str">
        <f>IF(AND(ISNUMBER(AK220),ISNUMBER(AK219)),IF(ABS(AK219-AK220)&lt;=0.0151,0,ROUND(AK219-AK220,2)),"n/p")</f>
        <v>n/p</v>
      </c>
      <c r="AL223" s="273" t="str">
        <f>IF(AND(ISNUMBER(AL220),ISNUMBER(AL219)),IF(ABS(AL219-AL220)&lt;=0.0151,0,ROUND(AL219-AL220,2)),"n/p")</f>
        <v>n/p</v>
      </c>
      <c r="AM223" s="273" t="str">
        <f>IF(AND(ISNUMBER(AM220),ISNUMBER(AM219)),IF(ABS(AM219-AM220)&lt;=0.0151,0,ROUND(AM219-AM220,2)),"n/p")</f>
        <v>n/p</v>
      </c>
      <c r="AN223" s="273">
        <f>IF(AND(ISNUMBER(AN220),ISNUMBER(AN219)),IF(ABS(AN219-AN220)&lt;=0.0151,0,ROUND(AN219-AN220,2)),"n/p")</f>
        <v>0</v>
      </c>
      <c r="AO223" s="273" t="str">
        <f>IF(AND(ISNUMBER(AO220),ISNUMBER(AO219)),IF(ABS(AO219-AO220)&lt;=0.0151,0,ROUND(AO219-AO220,2)),"n/p")</f>
        <v>n/p</v>
      </c>
      <c r="AP223" s="273" t="str">
        <f>IF(AND(ISNUMBER(AP220),ISNUMBER(AP219)),IF(ABS(AP219-AP220)&lt;=0.0151,0,ROUND(AP219-AP220,2)),"n/p")</f>
        <v>n/p</v>
      </c>
      <c r="AQ223" s="273" t="str">
        <f>IF(AND(ISNUMBER(AQ220),ISNUMBER(AQ219)),IF(ABS(AQ219-AQ220)&lt;=0.0151,0,ROUND(AQ219-AQ220,2)),"n/p")</f>
        <v>n/p</v>
      </c>
      <c r="AR223" s="273" t="str">
        <f>IF(AND(ISNUMBER(AR220),ISNUMBER(AR219)),IF(ABS(AR219-AR220)&lt;=0.0151,0,ROUND(AR219-AR220,2)),"n/p")</f>
        <v>n/p</v>
      </c>
      <c r="AS223" s="273" t="str">
        <f>IF(AND(ISNUMBER(AS220),ISNUMBER(AS219)),IF(ABS(AS219-AS220)&lt;=0.0151,0,ROUND(AS219-AS220,2)),"n/p")</f>
        <v>n/p</v>
      </c>
      <c r="AT223" s="273" t="str">
        <f>IF(AND(ISNUMBER(AT220),ISNUMBER(AT219)),IF(ABS(AT219-AT220)&lt;=0.0151,0,ROUND(AT219-AT220,2)),"n/p")</f>
        <v>n/p</v>
      </c>
      <c r="AU223" s="273" t="str">
        <f>IF(AND(ISNUMBER(AU220),ISNUMBER(AU219)),IF(ABS(AU219-AU220)&lt;=0.0151,0,ROUND(AU219-AU220,2)),"n/p")</f>
        <v>n/p</v>
      </c>
      <c r="AV223" s="273" t="str">
        <f>IF(AND(ISNUMBER(AV220),ISNUMBER(AV219)),IF(ABS(AV219-AV220)&lt;=0.0151,0,ROUND(AV219-AV220,2)),"n/p")</f>
        <v>n/p</v>
      </c>
      <c r="AW223" s="273" t="str">
        <f>IF(AND(ISNUMBER(AW220),ISNUMBER(AW219)),IF(ABS(AW219-AW220)&lt;=0.0151,0,ROUND(AW219-AW220,2)),"n/p")</f>
        <v>n/p</v>
      </c>
      <c r="AX223" s="273" t="str">
        <f>IF(AND(ISNUMBER(AX220),ISNUMBER(AX219)),IF(ABS(AX219-AX220)&lt;=0.0151,0,ROUND(AX219-AX220,2)),"n/p")</f>
        <v>n/p</v>
      </c>
      <c r="AY223" s="273" t="str">
        <f>IF(AND(ISNUMBER(AY220),ISNUMBER(AY219)),IF(ABS(AY219-AY220)&lt;=0.0151,0,ROUND(AY219-AY220,2)),"n/p")</f>
        <v>n/p</v>
      </c>
      <c r="AZ223" s="273" t="str">
        <f>IF(AND(ISNUMBER(AZ220),ISNUMBER(AZ219)),IF(ABS(AZ219-AZ220)&lt;=0.0151,0,ROUND(AZ219-AZ220,2)),"n/p")</f>
        <v>n/p</v>
      </c>
      <c r="BA223" s="273" t="str">
        <f>IF(AND(ISNUMBER(BA220),ISNUMBER(BA219)),IF(ABS(BA219-BA220)&lt;=0.0151,0,ROUND(BA219-BA220,2)),"n/p")</f>
        <v>n/p</v>
      </c>
      <c r="BB223" s="273" t="str">
        <f>IF(AND(ISNUMBER(BB220),ISNUMBER(BB219)),IF(ABS(BB219-BB220)&lt;=0.0151,0,ROUND(BB219-BB220,2)),"n/p")</f>
        <v>n/p</v>
      </c>
      <c r="BC223" s="273" t="str">
        <f>IF(AND(ISNUMBER(BC220),ISNUMBER(BC219)),IF(ABS(BC219-BC220)&lt;=0.0151,0,ROUND(BC219-BC220,2)),"n/p")</f>
        <v>n/p</v>
      </c>
      <c r="BD223" s="273" t="str">
        <f>IF(AND(ISNUMBER(BD220),ISNUMBER(BD219)),IF(ABS(BD219-BD220)&lt;=0.0151,0,ROUND(BD219-BD220,2)),"n/p")</f>
        <v>n/p</v>
      </c>
      <c r="BE223" s="273" t="str">
        <f>IF(AND(ISNUMBER(BE220),ISNUMBER(BE219)),IF(ABS(BE219-BE220)&lt;=0.0151,0,ROUND(BE219-BE220,2)),"n/p")</f>
        <v>n/p</v>
      </c>
      <c r="BF223" s="273" t="str">
        <f>IF(AND(ISNUMBER(BF220),ISNUMBER(BF219)),IF(ABS(BF219-BF220)&lt;=0.0151,0,ROUND(BF219-BF220,2)),"n/p")</f>
        <v>n/p</v>
      </c>
      <c r="BG223" s="273" t="str">
        <f>IF(AND(ISNUMBER(BG220),ISNUMBER(BG219)),IF(ABS(BG219-BG220)&lt;=0.0151,0,ROUND(BG219-BG220,2)),"n/p")</f>
        <v>n/p</v>
      </c>
      <c r="BH223" s="273" t="str">
        <f>IF(AND(ISNUMBER(BH220),ISNUMBER(BH219)),IF(ABS(BH219-BH220)&lt;=0.0151,0,ROUND(BH219-BH220,2)),"n/p")</f>
        <v>n/p</v>
      </c>
      <c r="BI223" s="273" t="str">
        <f>IF(AND(ISNUMBER(BI220),ISNUMBER(BI219)),IF(ABS(BI219-BI220)&lt;=0.0151,0,ROUND(BI219-BI220,2)),"n/p")</f>
        <v>n/p</v>
      </c>
      <c r="BJ223" s="273" t="str">
        <f>IF(AND(ISNUMBER(BJ220),ISNUMBER(BJ219)),IF(ABS(BJ219-BJ220)&lt;=0.0151,0,ROUND(BJ219-BJ220,2)),"n/p")</f>
        <v>n/p</v>
      </c>
      <c r="BK223" s="273" t="str">
        <f>IF(AND(ISNUMBER(BK220),ISNUMBER(BK219)),IF(ABS(BK219-BK220)&lt;=0.0151,0,ROUND(BK219-BK220,2)),"n/p")</f>
        <v>n/p</v>
      </c>
      <c r="BL223" s="273" t="str">
        <f>IF(AND(ISNUMBER(BL220),ISNUMBER(BL219)),IF(ABS(BL219-BL220)&lt;=0.0151,0,ROUND(BL219-BL220,2)),"n/p")</f>
        <v>n/p</v>
      </c>
      <c r="BM223" s="273" t="str">
        <f>IF(AND(ISNUMBER(BM220),ISNUMBER(BM219)),IF(ABS(BM219-BM220)&lt;=0.0151,0,ROUND(BM219-BM220,2)),"n/p")</f>
        <v>n/p</v>
      </c>
      <c r="BN223" s="273" t="str">
        <f>IF(AND(ISNUMBER(BN220),ISNUMBER(BN219)),IF(ABS(BN219-BN220)&lt;=0.0151,0,ROUND(BN219-BN220,2)),"n/p")</f>
        <v>n/p</v>
      </c>
      <c r="BO223" s="273" t="str">
        <f>IF(AND(ISNUMBER(BO220),ISNUMBER(BO219)),IF(ABS(BO219-BO220)&lt;=0.0151,0,ROUND(BO219-BO220,2)),"n/p")</f>
        <v>n/p</v>
      </c>
      <c r="BP223" s="273" t="str">
        <f>IF(AND(ISNUMBER(BP220),ISNUMBER(BP219)),IF(ABS(BP219-BP220)&lt;=0.0151,0,ROUND(BP219-BP220,2)),"n/p")</f>
        <v>n/p</v>
      </c>
      <c r="BQ223" s="273" t="str">
        <f>IF(AND(ISNUMBER(BQ220),ISNUMBER(BQ219)),IF(ABS(BQ219-BQ220)&lt;=0.0151,0,ROUND(BQ219-BQ220,2)),"n/p")</f>
        <v>n/p</v>
      </c>
      <c r="BR223" s="273" t="str">
        <f>IF(AND(ISNUMBER(BR220),ISNUMBER(BR219)),IF(ABS(BR219-BR220)&lt;=0.0151,0,ROUND(BR219-BR220,2)),"n/p")</f>
        <v>n/p</v>
      </c>
      <c r="BS223" s="273" t="str">
        <f>IF(AND(ISNUMBER(BS220),ISNUMBER(BS219)),IF(ABS(BS219-BS220)&lt;=0.0151,0,ROUND(BS219-BS220,2)),"n/p")</f>
        <v>n/p</v>
      </c>
      <c r="BT223" s="273" t="str">
        <f>IF(AND(ISNUMBER(BT220),ISNUMBER(BT219)),IF(ABS(BT219-BT220)&lt;=0.0151,0,ROUND(BT219-BT220,2)),"n/p")</f>
        <v>n/p</v>
      </c>
      <c r="BU223" s="273" t="str">
        <f>IF(AND(ISNUMBER(BU220),ISNUMBER(BU219)),IF(ABS(BU219-BU220)&lt;=0.0151,0,ROUND(BU219-BU220,2)),"n/p")</f>
        <v>n/p</v>
      </c>
      <c r="BV223" s="273" t="str">
        <f>IF(AND(ISNUMBER(BV220),ISNUMBER(BV219)),IF(ABS(BV219-BV220)&lt;=0.0151,0,ROUND(BV219-BV220,2)),"n/p")</f>
        <v>n/p</v>
      </c>
      <c r="BW223" s="273" t="str">
        <f>IF(AND(ISNUMBER(BW220),ISNUMBER(BW219)),IF(ABS(BW219-BW220)&lt;=0.0151,0,ROUND(BW219-BW220,2)),"n/p")</f>
        <v>n/p</v>
      </c>
      <c r="BX223" s="273" t="str">
        <f>IF(AND(ISNUMBER(BX220),ISNUMBER(BX219)),IF(ABS(BX219-BX220)&lt;=0.0151,0,ROUND(BX219-BX220,2)),"n/p")</f>
        <v>n/p</v>
      </c>
      <c r="BY223" s="153" t="n"/>
      <c r="BZ223" s="153" t="n"/>
      <c r="CA223" s="153" t="n"/>
      <c r="CB223" s="153" t="n"/>
      <c r="CC223" s="153" t="n"/>
      <c r="CD223" s="153" t="n"/>
      <c r="CE223" s="153" t="n"/>
      <c r="CF223" s="153" t="n"/>
    </row>
    <row r="224" ht="15" customHeight="1" s="251">
      <c r="B224" s="25" t="inlineStr">
        <is>
          <t xml:space="preserve">  Adjusted earnings before tax (adjusted OI + interest income − interest expense + other OI&amp;E)</t>
        </is>
      </c>
      <c r="C224" s="211">
        <f>IF(ISNUMBER(C173),C173+N(C144)-N(C122),"")</f>
        <v>4011.04</v>
      </c>
      <c r="D224" s="211">
        <f>IF(ISNUMBER(D173),D173+N(D144)-N(D122),"")</f>
        <v>5673.98</v>
      </c>
      <c r="E224" s="211">
        <f>IF(ISNUMBER(E173),E173+N(E144)-N(E122),"")</f>
        <v>6948.353</v>
      </c>
      <c r="F224" s="211">
        <f>IF(ISNUMBER(F173),F173+N(F144)-N(F122),"")</f>
        <v>8381.189</v>
      </c>
      <c r="G224" s="211">
        <f>IF(ISNUMBER(G173),G173+N(G144)-N(G122),"")</f>
        <v>10796</v>
      </c>
      <c r="H224" s="211">
        <f>IF(ISNUMBER(H173),H173+N(H144)-N(H122),"")</f>
        <v>12326</v>
      </c>
      <c r="I224" s="211">
        <f>IF(ISNUMBER(I173),I173+N(I144)-N(I122),"")</f>
        <v>13386</v>
      </c>
      <c r="J224" s="211">
        <f>IF(ISNUMBER(J173),J173+N(J144)-N(J122),"")</f>
        <v>3611</v>
      </c>
      <c r="K224" s="211">
        <f>IF(ISNUMBER(K173),K173+N(K144)-N(K122),"")</f>
        <v>3370</v>
      </c>
      <c r="L224" s="211">
        <f>IF(ISNUMBER(L173),L173+N(L144)-N(L122),"")</f>
        <v>3468</v>
      </c>
      <c r="M224" s="211">
        <f>IF(ISNUMBER(M173),M173+N(M144)-N(M122),"")</f>
        <v>4047</v>
      </c>
      <c r="N224" s="211">
        <f>IF(ISNUMBER(N173),N173+N(N144)-N(N122),"")</f>
        <v>14496</v>
      </c>
      <c r="O224" s="211">
        <f>IF(ISNUMBER(O173),O173+N(O144)-N(O122),"")</f>
        <v>4472</v>
      </c>
      <c r="P224" s="211">
        <f>IF(ISNUMBER(P173),P173+N(P144)-N(P122),"")</f>
        <v>4403</v>
      </c>
      <c r="Q224" s="211">
        <f>IF(ISNUMBER(Q173),Q173+N(Q144)-N(Q122),"")</f>
        <v>3857</v>
      </c>
      <c r="R224" s="211">
        <f>IF(ISNUMBER(R173),R173+N(R144)-N(R122),"")</f>
        <v>4527</v>
      </c>
      <c r="S224" s="211">
        <f>IF(ISNUMBER(S173),S173+N(S144)-N(S122),"")</f>
        <v>17259</v>
      </c>
      <c r="T224" s="211">
        <f>IF(ISNUMBER(T173),T173+N(T144)-N(T122),"")</f>
        <v>4604</v>
      </c>
      <c r="U224" s="211">
        <f>IF(ISNUMBER(U173),U173+N(U144)-N(U122),"")</f>
        <v>4956</v>
      </c>
      <c r="V224" s="211">
        <f>IF(ISNUMBER(V173),V173+N(V144)-N(V122),"")</f>
        <v>4891</v>
      </c>
      <c r="W224" s="211">
        <f>IF(ISNUMBER(W173),W173+N(W144)-N(W122),"")</f>
        <v>5200</v>
      </c>
      <c r="X224" s="211">
        <f>IF(ISNUMBER(X173),X173+N(X144)-N(X122),"")</f>
        <v>19651</v>
      </c>
      <c r="Y224" s="211">
        <f>IF(ISNUMBER(Y173),Y173+N(Y144)-N(Y122),"")</f>
        <v>5129</v>
      </c>
      <c r="Z224" s="211">
        <f>IF(ISNUMBER(Z173),Z173+N(Z144)-N(Z122),"")</f>
        <v>6119</v>
      </c>
      <c r="AA224" s="211">
        <f>IF(ISNUMBER(AA173),AA173+N(AA144)-N(AA122),"")</f>
        <v>6045</v>
      </c>
      <c r="AB224" s="211">
        <f>IF(ISNUMBER(AB173),AB173+N(AB144)-N(AB122),"")</f>
        <v>6857</v>
      </c>
      <c r="AC224" s="211">
        <f>IF(ISNUMBER(AC173),AC173+N(AC144)-N(AC122),"")</f>
        <v>24150</v>
      </c>
      <c r="AD224" s="211">
        <f>IF(ISNUMBER(AD173),AD173+N(AD144)-N(AD122),"")</f>
        <v>6819</v>
      </c>
      <c r="AE224" s="211">
        <f>IF(ISNUMBER(AE173),AE173+N(AE144)-N(AE122),"")</f>
        <v>7113</v>
      </c>
      <c r="AF224" s="211">
        <f>IF(ISNUMBER(AF173),AF173+N(AF144)-N(AF122),"")</f>
        <v>7979</v>
      </c>
      <c r="AG224" s="211">
        <f>IF(ISNUMBER(AG173),AG173+N(AG144)-N(AG122),"")</f>
        <v>8018</v>
      </c>
      <c r="AH224" s="211">
        <f>IF(ISNUMBER(AH173),AH173+N(AH144)-N(AH122),"")</f>
        <v>29929</v>
      </c>
      <c r="AI224" s="211">
        <f>IF(ISNUMBER(AI173),AI173+N(AI144)-N(AI122),"")</f>
        <v>7512</v>
      </c>
      <c r="AJ224" s="211">
        <f>IF(ISNUMBER(AJ173),AJ173+N(AJ144)-N(AJ122),"")</f>
        <v>8224</v>
      </c>
      <c r="AK224" s="211">
        <f>IF(ISNUMBER(AK173),AK173+N(AK144)-N(AK122),"")</f>
        <v>8701</v>
      </c>
      <c r="AL224" s="211">
        <f>IF(ISNUMBER(AL173),AL173+N(AL144)-N(AL122),"")</f>
        <v>10087</v>
      </c>
      <c r="AM224" s="211">
        <f>IF(ISNUMBER(AM173),AM173+N(AM144)-N(AM122),"")</f>
        <v>34524</v>
      </c>
      <c r="AN224" s="211">
        <f>IF(ISNUMBER(AN173),AN173+N(AN144)-N(AN122),"")</f>
        <v>8760</v>
      </c>
      <c r="AO224" s="211">
        <f>IF(ISNUMBER(AO173),AO173+N(AO144)-N(AO122),"")</f>
        <v>9448</v>
      </c>
      <c r="AP224" s="211">
        <f>IF(ISNUMBER(AP173),AP173+N(AP144)-N(AP122),"")</f>
        <v>10156</v>
      </c>
      <c r="AQ224" s="211">
        <f>IF(ISNUMBER(AQ173),AQ173+N(AQ144)-N(AQ122),"")</f>
        <v>10309</v>
      </c>
      <c r="AR224" s="211">
        <f>IF(ISNUMBER(AR173),AR173+N(AR144)-N(AR122),"")</f>
        <v>38673</v>
      </c>
      <c r="AS224" s="211">
        <f>IF(ISNUMBER(AS173),AS173+N(AS144)-N(AS122),"")</f>
        <v>8571</v>
      </c>
      <c r="AT224" s="211">
        <f>IF(ISNUMBER(AT173),AT173+N(AT144)-N(AT122),"")</f>
        <v>6822</v>
      </c>
      <c r="AU224" s="211">
        <f>IF(ISNUMBER(AU173),AU173+N(AU144)-N(AU122),"")</f>
        <v>11460</v>
      </c>
      <c r="AV224" s="211">
        <f>IF(ISNUMBER(AV173),AV173+N(AV144)-N(AV122),"")</f>
        <v>15637</v>
      </c>
      <c r="AW224" s="211">
        <f>IF(ISNUMBER(AW173),AW173+N(AW144)-N(AW122),"")</f>
        <v>42490</v>
      </c>
      <c r="AX224" s="211">
        <f>IF(ISNUMBER(AX173),AX173+N(AX144)-N(AX122),"")</f>
        <v>16446</v>
      </c>
      <c r="AY224" s="211">
        <f>IF(ISNUMBER(AY173),AY173+N(AY144)-N(AY122),"")</f>
        <v>19213</v>
      </c>
      <c r="AZ224" s="211">
        <f>IF(ISNUMBER(AZ173),AZ173+N(AZ144)-N(AZ122),"")</f>
        <v>20943</v>
      </c>
      <c r="BA224" s="211">
        <f>IF(ISNUMBER(BA173),BA173+N(BA144)-N(BA122),"")</f>
        <v>21752</v>
      </c>
      <c r="BB224" s="211">
        <f>IF(ISNUMBER(BB173),BB173+N(BB144)-N(BB122),"")</f>
        <v>78354</v>
      </c>
      <c r="BC224" s="211">
        <f>IF(ISNUMBER(BC173),BC173+N(BC144)-N(BC122),"")</f>
        <v>20004</v>
      </c>
      <c r="BD224" s="211">
        <f>IF(ISNUMBER(BD173),BD173+N(BD144)-N(BD122),"")</f>
        <v>19265</v>
      </c>
      <c r="BE224" s="211">
        <f>IF(ISNUMBER(BE173),BE173+N(BE144)-N(BE122),"")</f>
        <v>16880</v>
      </c>
      <c r="BF224" s="211">
        <f>IF(ISNUMBER(BF173),BF173+N(BF144)-N(BF122),"")</f>
        <v>18634</v>
      </c>
      <c r="BG224" s="211">
        <f>IF(ISNUMBER(BG173),BG173+N(BG144)-N(BG122),"")</f>
        <v>74783</v>
      </c>
      <c r="BH224" s="211">
        <f>IF(ISNUMBER(BH173),BH173+N(BH144)-N(BH122),"")</f>
        <v>20386</v>
      </c>
      <c r="BI224" s="211">
        <f>IF(ISNUMBER(BI173),BI173+N(BI144)-N(BI122),"")</f>
        <v>22108</v>
      </c>
      <c r="BJ224" s="211">
        <f>IF(ISNUMBER(BJ173),BJ173+N(BJ144)-N(BJ122),"")</f>
        <v>21563</v>
      </c>
      <c r="BK224" s="211">
        <f>IF(ISNUMBER(BK173),BK173+N(BK144)-N(BK122),"")</f>
        <v>23826</v>
      </c>
      <c r="BL224" s="211">
        <f>IF(ISNUMBER(BL173),BL173+N(BL144)-N(BL122),"")</f>
        <v>87883</v>
      </c>
      <c r="BM224" s="211">
        <f>IF(ISNUMBER(BM173),BM173+N(BM144)-N(BM122),"")</f>
        <v>26788</v>
      </c>
      <c r="BN224" s="211">
        <f>IF(ISNUMBER(BN173),BN173+N(BN144)-N(BN122),"")</f>
        <v>28265</v>
      </c>
      <c r="BO224" s="211">
        <f>IF(ISNUMBER(BO173),BO173+N(BO144)-N(BO122),"")</f>
        <v>29885</v>
      </c>
      <c r="BP224" s="211">
        <f>IF(ISNUMBER(BP173),BP173+N(BP144)-N(BP122),"")</f>
        <v>31879</v>
      </c>
      <c r="BQ224" s="211">
        <f>IF(ISNUMBER(BQ173),BQ173+N(BQ144)-N(BQ122),"")</f>
        <v>116817</v>
      </c>
      <c r="BR224" s="211">
        <f>IF(ISNUMBER(BR173),BR173+N(BR144)-N(BR122),"")</f>
        <v>32031</v>
      </c>
      <c r="BS224" s="211">
        <f>IF(ISNUMBER(BS173),BS173+N(BS144)-N(BS122),"")</f>
        <v>32647</v>
      </c>
      <c r="BT224" s="211">
        <f>IF(ISNUMBER(BT173),BT173+N(BT144)-N(BT122),"")</f>
        <v>36710</v>
      </c>
      <c r="BU224" s="211">
        <f>IF(ISNUMBER(BU173),BU173+N(BU144)-N(BU122),"")</f>
        <v>36815</v>
      </c>
      <c r="BV224" s="211">
        <f>IF(ISNUMBER(BV173),BV173+N(BV144)-N(BV122),"")</f>
        <v>138203</v>
      </c>
      <c r="BW224" s="211">
        <f>IF(ISNUMBER(BW173),BW173+N(BW144)-N(BW122),"")</f>
        <v>40497</v>
      </c>
      <c r="BX224" s="211">
        <f>IF(ISNUMBER(BX173),BX173+N(BX144)-N(BX122),"")</f>
        <v>39722</v>
      </c>
      <c r="BY224" s="254">
        <f>IF(ISNUMBER(BY173),BY173+N(BY144)-N(BY122),"")</f>
        <v>42632.1989184666</v>
      </c>
      <c r="BZ224" s="254">
        <f>IF(ISNUMBER(BZ173),BZ173+N(BZ144)-N(BZ122),"")</f>
        <v>51541.4542823207</v>
      </c>
      <c r="CA224" s="254">
        <f>IF(ISNUMBER(CA173),CA173+N(CA144)-N(CA122),"")</f>
        <v>174392.653200787</v>
      </c>
      <c r="CB224" s="254">
        <f>IF(ISNUMBER(CB173),CB173+N(CB144)-N(CB122),"")</f>
        <v>197517.766457452</v>
      </c>
      <c r="CC224" s="254">
        <f>IF(ISNUMBER(CC173),CC173+N(CC144)-N(CC122),"")</f>
        <v>213400.037132813</v>
      </c>
      <c r="CD224" s="254">
        <f>IF(ISNUMBER(CD173),CD173+N(CD144)-N(CD122),"")</f>
        <v>235198.830084967</v>
      </c>
      <c r="CE224" s="254">
        <f>IF(ISNUMBER(CE173),CE173+N(CE144)-N(CE122),"")</f>
        <v>257465.546866116</v>
      </c>
      <c r="CF224" s="19" t="n"/>
    </row>
    <row r="225" ht="15" customHeight="1" s="251">
      <c r="B225" s="25" t="inlineStr">
        <is>
          <t xml:space="preserve">  Adjusted effective tax rate (1 − adjusted NI / adjusted EBT, continuing operations)</t>
        </is>
      </c>
      <c r="C225" s="215">
        <f>IF(AND(ISNUMBER(C207),ISNUMBER(C224)),IFERROR(1-C207/C224,""),"")</f>
        <v>0.232756093182816</v>
      </c>
      <c r="D225" s="215">
        <f>IF(AND(ISNUMBER(D207),ISNUMBER(D224)),IFERROR(1-D207/D224,""),"")</f>
        <v>0.259123225672279</v>
      </c>
      <c r="E225" s="215">
        <f>IF(AND(ISNUMBER(E207),ISNUMBER(E224)),IFERROR(1-E207/E224,""),"")</f>
        <v>0.289263218204372</v>
      </c>
      <c r="F225" s="215">
        <f>IF(AND(ISNUMBER(F207),ISNUMBER(F224)),IFERROR(1-F207/F224,""),"")</f>
        <v>0.222013964844368</v>
      </c>
      <c r="G225" s="215">
        <f>IF(AND(ISNUMBER(G207),ISNUMBER(G224)),IFERROR(1-G207/G224,""),"")</f>
        <v>0.212208225268618</v>
      </c>
      <c r="H225" s="215">
        <f>IF(AND(ISNUMBER(H207),ISNUMBER(H224)),IFERROR(1-H207/H224,""),"")</f>
        <v>0.210043809832874</v>
      </c>
      <c r="I225" s="215">
        <f>IF(AND(ISNUMBER(I207),ISNUMBER(I224)),IFERROR(1-I207/I224,""),"")</f>
        <v>0.194083370685791</v>
      </c>
      <c r="J225" s="215">
        <f>IF(AND(ISNUMBER(J207),ISNUMBER(J224)),IFERROR(1-J207/J224,""),"")</f>
        <v>0.0794793685959568</v>
      </c>
      <c r="K225" s="215">
        <f>IF(AND(ISNUMBER(K207),ISNUMBER(K224)),IFERROR(1-K207/K224,""),"")</f>
        <v>0.24213649851632</v>
      </c>
      <c r="L225" s="215">
        <f>IF(AND(ISNUMBER(L207),ISNUMBER(L224)),IFERROR(1-L207/L224,""),"")</f>
        <v>0.147923875432526</v>
      </c>
      <c r="M225" s="215">
        <f>IF(AND(ISNUMBER(M207),ISNUMBER(M224)),IFERROR(1-M207/M224,""),"")</f>
        <v>0.164566345441067</v>
      </c>
      <c r="N225" s="215">
        <f>IF(AND(ISNUMBER(N207),ISNUMBER(N224)),IFERROR(1-N207/N224,""),"")</f>
        <v>0.157422737306843</v>
      </c>
      <c r="O225" s="215">
        <f>IF(AND(ISNUMBER(O207),ISNUMBER(O224)),IFERROR(1-O207/O224,""),"")</f>
        <v>0.183810375670841</v>
      </c>
      <c r="P225" s="215">
        <f>IF(AND(ISNUMBER(P207),ISNUMBER(P224)),IFERROR(1-P207/P224,""),"")</f>
        <v>0.207358619123325</v>
      </c>
      <c r="Q225" s="215">
        <f>IF(AND(ISNUMBER(Q207),ISNUMBER(Q224)),IFERROR(1-Q207/Q224,""),"")</f>
        <v>0.222711952294529</v>
      </c>
      <c r="R225" s="215">
        <f>IF(AND(ISNUMBER(R207),ISNUMBER(R224)),IFERROR(1-R207/R224,""),"")</f>
        <v>0.162800971946101</v>
      </c>
      <c r="S225" s="215">
        <f>IF(AND(ISNUMBER(S207),ISNUMBER(S224)),IFERROR(1-S207/S224,""),"")</f>
        <v>0.193000753230199</v>
      </c>
      <c r="T225" s="215">
        <f>IF(AND(ISNUMBER(T207),ISNUMBER(T224)),IFERROR(1-T207/T224,""),"")</f>
        <v>0.221112076455256</v>
      </c>
      <c r="U225" s="215">
        <f>IF(AND(ISNUMBER(U207),ISNUMBER(U224)),IFERROR(1-U207/U224,""),"")</f>
        <v>0.20682001614205</v>
      </c>
      <c r="V225" s="215">
        <f>IF(AND(ISNUMBER(V207),ISNUMBER(V224)),IFERROR(1-V207/V224,""),"")</f>
        <v>0.186464935595993</v>
      </c>
      <c r="W225" s="215">
        <f>IF(AND(ISNUMBER(W207),ISNUMBER(W224)),IFERROR(1-W207/W224,""),"")</f>
        <v>0.0532692307692307</v>
      </c>
      <c r="X225" s="215">
        <f>IF(AND(ISNUMBER(X207),ISNUMBER(X224)),IFERROR(1-X207/X224,""),"")</f>
        <v>0.168083049208692</v>
      </c>
      <c r="Y225" s="215">
        <f>IF(AND(ISNUMBER(Y207),ISNUMBER(Y224)),IFERROR(1-Y207/Y224,""),"")</f>
        <v>0.179762136868785</v>
      </c>
      <c r="Z225" s="215">
        <f>IF(AND(ISNUMBER(Z207),ISNUMBER(Z224)),IFERROR(1-Z207/Z224,""),"")</f>
        <v>0.20297434221278</v>
      </c>
      <c r="AA225" s="215">
        <f>IF(AND(ISNUMBER(AA207),ISNUMBER(AA224)),IFERROR(1-AA207/AA224,""),"")</f>
        <v>0.162779156327543</v>
      </c>
      <c r="AB225" s="215">
        <f>IF(AND(ISNUMBER(AB207),ISNUMBER(AB224)),IFERROR(1-AB207/AB224,""),"")</f>
        <v>0.222254630304798</v>
      </c>
      <c r="AC225" s="215">
        <f>IF(AND(ISNUMBER(AC207),ISNUMBER(AC224)),IFERROR(1-AC207/AC224,""),"")</f>
        <v>0.193457556935818</v>
      </c>
      <c r="AD225" s="215">
        <f>IF(AND(ISNUMBER(AD207),ISNUMBER(AD224)),IFERROR(1-AD207/AD224,""),"")</f>
        <v>0.20428215280833</v>
      </c>
      <c r="AE225" s="215">
        <f>IF(AND(ISNUMBER(AE207),ISNUMBER(AE224)),IFERROR(1-AE207/AE224,""),"")</f>
        <v>0.119921270912414</v>
      </c>
      <c r="AF225" s="215">
        <f>IF(AND(ISNUMBER(AF207),ISNUMBER(AF224)),IFERROR(1-AF207/AF224,""),"")</f>
        <v>0.156285248778042</v>
      </c>
      <c r="AG225" s="215">
        <f>IF(AND(ISNUMBER(AG207),ISNUMBER(AG224)),IFERROR(1-AG207/AG224,""),"")</f>
        <v>0.147293589423796</v>
      </c>
      <c r="AH225" s="215">
        <f>IF(AND(ISNUMBER(AH207),ISNUMBER(AH224)),IFERROR(1-AH207/AH224,""),"")</f>
        <v>0.156169601389956</v>
      </c>
      <c r="AI225" s="215">
        <f>IF(AND(ISNUMBER(AI207),ISNUMBER(AI224)),IFERROR(1-AI207/AI224,""),"")</f>
        <v>0.0672910010649627</v>
      </c>
      <c r="AJ225" s="215">
        <f>IF(AND(ISNUMBER(AJ207),ISNUMBER(AJ224)),IFERROR(1-AJ207/AJ224,""),"")</f>
        <v>0.0969090466926069</v>
      </c>
      <c r="AK225" s="215">
        <f>IF(AND(ISNUMBER(AK207),ISNUMBER(AK224)),IFERROR(1-AK207/AK224,""),"")</f>
        <v>0.0690472359498908</v>
      </c>
      <c r="AL225" s="215">
        <f>IF(AND(ISNUMBER(AL207),ISNUMBER(AL224)),IFERROR(1-AL207/AL224,""),"")</f>
        <v>0.111742837315356</v>
      </c>
      <c r="AM225" s="215">
        <f>IF(AND(ISNUMBER(AM207),ISNUMBER(AM224)),IFERROR(1-AM207/AM224,""),"")</f>
        <v>0.0877766191634806</v>
      </c>
      <c r="AN225" s="215">
        <f>IF(AND(ISNUMBER(AN207),ISNUMBER(AN224)),IFERROR(1-AN207/AN224,""),"")</f>
        <v>0.144014840182648</v>
      </c>
      <c r="AO225" s="215">
        <f>IF(AND(ISNUMBER(AO207),ISNUMBER(AO224)),IFERROR(1-AO207/AO224,""),"")</f>
        <v>0.172863039796782</v>
      </c>
      <c r="AP225" s="215">
        <f>IF(AND(ISNUMBER(AP207),ISNUMBER(AP224)),IFERROR(1-AP207/AP224,""),"")</f>
        <v>0.185198897203623</v>
      </c>
      <c r="AQ225" s="215">
        <f>IF(AND(ISNUMBER(AQ207),ISNUMBER(AQ224)),IFERROR(1-AQ207/AQ224,""),"")</f>
        <v>-0.00484528082258229</v>
      </c>
      <c r="AR225" s="215">
        <f>IF(AND(ISNUMBER(AR207),ISNUMBER(AR224)),IFERROR(1-AR207/AR224,""),"")</f>
        <v>0.122196622966928</v>
      </c>
      <c r="AS225" s="215">
        <f>IF(AND(ISNUMBER(AS207),ISNUMBER(AS224)),IFERROR(1-AS207/AS224,""),"")</f>
        <v>0.127399369968498</v>
      </c>
      <c r="AT225" s="215">
        <f>IF(AND(ISNUMBER(AT207),ISNUMBER(AT224)),IFERROR(1-AT207/AT224,""),"")</f>
        <v>0.148409557314571</v>
      </c>
      <c r="AU225" s="215">
        <f>IF(AND(ISNUMBER(AU207),ISNUMBER(AU224)),IFERROR(1-AU207/AU224,""),"")</f>
        <v>0.149494764397906</v>
      </c>
      <c r="AV225" s="215">
        <f>IF(AND(ISNUMBER(AV207),ISNUMBER(AV224)),IFERROR(1-AV207/AV224,""),"")</f>
        <v>0.180410564686321</v>
      </c>
      <c r="AW225" s="215">
        <f>IF(AND(ISNUMBER(AW207),ISNUMBER(AW224)),IFERROR(1-AW207/AW224,""),"")</f>
        <v>0.156240997881855</v>
      </c>
      <c r="AX225" s="215">
        <f>IF(AND(ISNUMBER(AX207),ISNUMBER(AX224)),IFERROR(1-AX207/AX224,""),"")</f>
        <v>0.142115408001946</v>
      </c>
      <c r="AY225" s="215">
        <f>IF(AND(ISNUMBER(AY207),ISNUMBER(AY224)),IFERROR(1-AY207/AY224,""),"")</f>
        <v>0.14978816426378</v>
      </c>
      <c r="AZ225" s="215">
        <f>IF(AND(ISNUMBER(AZ207),ISNUMBER(AZ224)),IFERROR(1-AZ207/AZ224,""),"")</f>
        <v>0.175838705056582</v>
      </c>
      <c r="BA225" s="215">
        <f>IF(AND(ISNUMBER(BA207),ISNUMBER(BA224)),IFERROR(1-BA207/BA224,""),"")</f>
        <v>0.14727381390217</v>
      </c>
      <c r="BB225" s="215">
        <f>IF(AND(ISNUMBER(BB207),ISNUMBER(BB224)),IFERROR(1-BB207/BB224,""),"")</f>
        <v>0.154442657681803</v>
      </c>
      <c r="BC225" s="215">
        <f>IF(AND(ISNUMBER(BC207),ISNUMBER(BC224)),IFERROR(1-BC207/BC224,""),"")</f>
        <v>0.136107778444311</v>
      </c>
      <c r="BD225" s="215">
        <f>IF(AND(ISNUMBER(BD207),ISNUMBER(BD224)),IFERROR(1-BD207/BD224,""),"")</f>
        <v>0.159081754477031</v>
      </c>
      <c r="BE225" s="215">
        <f>IF(AND(ISNUMBER(BE207),ISNUMBER(BE224)),IFERROR(1-BE207/BE224,""),"")</f>
        <v>0.145667654028436</v>
      </c>
      <c r="BF225" s="215">
        <f>IF(AND(ISNUMBER(BF207),ISNUMBER(BF224)),IFERROR(1-BF207/BF224,""),"")</f>
        <v>0.2058210797467</v>
      </c>
      <c r="BG225" s="215">
        <f>IF(AND(ISNUMBER(BG207),ISNUMBER(BG224)),IFERROR(1-BG207/BG224,""),"")</f>
        <v>0.161554765120415</v>
      </c>
      <c r="BH225" s="215">
        <f>IF(AND(ISNUMBER(BH207),ISNUMBER(BH224)),IFERROR(1-BH207/BH224,""),"")</f>
        <v>0.177180908466595</v>
      </c>
      <c r="BI225" s="215">
        <f>IF(AND(ISNUMBER(BI207),ISNUMBER(BI224)),IFERROR(1-BI207/BI224,""),"")</f>
        <v>0.161844128822146</v>
      </c>
      <c r="BJ225" s="215">
        <f>IF(AND(ISNUMBER(BJ207),ISNUMBER(BJ224)),IFERROR(1-BJ207/BJ224,""),"")</f>
        <v>0.0734990492974076</v>
      </c>
      <c r="BK225" s="215">
        <f>IF(AND(ISNUMBER(BK207),ISNUMBER(BK224)),IFERROR(1-BK207/BK224,""),"")</f>
        <v>0.151176865608999</v>
      </c>
      <c r="BL225" s="215">
        <f>IF(AND(ISNUMBER(BL207),ISNUMBER(BL224)),IFERROR(1-BL207/BL224,""),"")</f>
        <v>0.140833380744854</v>
      </c>
      <c r="BM225" s="215">
        <f>IF(AND(ISNUMBER(BM207),ISNUMBER(BM224)),IFERROR(1-BM207/BM224,""),"")</f>
        <v>0.161726519337017</v>
      </c>
      <c r="BN225" s="215">
        <f>IF(AND(ISNUMBER(BN207),ISNUMBER(BN224)),IFERROR(1-BN207/BN224,""),"")</f>
        <v>0.144416769856713</v>
      </c>
      <c r="BO225" s="215">
        <f>IF(AND(ISNUMBER(BO207),ISNUMBER(BO224)),IFERROR(1-BO207/BO224,""),"")</f>
        <v>0.168063911661369</v>
      </c>
      <c r="BP225" s="215">
        <f>IF(AND(ISNUMBER(BP207),ISNUMBER(BP224)),IFERROR(1-BP207/BP224,""),"")</f>
        <v>0.176622855171116</v>
      </c>
      <c r="BQ225" s="215">
        <f>IF(AND(ISNUMBER(BQ207),ISNUMBER(BQ224)),IFERROR(1-BQ207/BQ224,""),"")</f>
        <v>0.163224701884144</v>
      </c>
      <c r="BR225" s="215">
        <f>IF(AND(ISNUMBER(BR207),ISNUMBER(BR224)),IFERROR(1-BR207/BR224,""),"")</f>
        <v>0.162337110923793</v>
      </c>
      <c r="BS225" s="215">
        <f>IF(AND(ISNUMBER(BS207),ISNUMBER(BS224)),IFERROR(1-BS207/BS224,""),"")</f>
        <v>0.167456121542561</v>
      </c>
      <c r="BT225" s="215">
        <f>IF(AND(ISNUMBER(BT207),ISNUMBER(BT224)),IFERROR(1-BT207/BT224,""),"")</f>
        <v>0.183978752383547</v>
      </c>
      <c r="BU225" s="215">
        <f>IF(AND(ISNUMBER(BU207),ISNUMBER(BU224)),IFERROR(1-BU207/BU224,""),"")</f>
        <v>0.113502105120196</v>
      </c>
      <c r="BV225" s="215">
        <f>IF(AND(ISNUMBER(BV207),ISNUMBER(BV224)),IFERROR(1-BV207/BV224,""),"")</f>
        <v>0.156286042994725</v>
      </c>
      <c r="BW225" s="215">
        <f>IF(AND(ISNUMBER(BW207),ISNUMBER(BW224)),IFERROR(1-BW207/BW224,""),"")</f>
        <v>0.174873447415858</v>
      </c>
      <c r="BX225" s="215">
        <f>IF(AND(ISNUMBER(BX207),ISNUMBER(BX224)),IFERROR(1-BX207/BX224,""),"")</f>
        <v>0.145095664870853</v>
      </c>
      <c r="BY225" s="256">
        <f>IF(AND(ISNUMBER(BY207),ISNUMBER(BY224)),IFERROR(1-BY207/BY224,""),"")</f>
        <v>0.18</v>
      </c>
      <c r="BZ225" s="256">
        <f>IF(AND(ISNUMBER(BZ207),ISNUMBER(BZ224)),IFERROR(1-BZ207/BZ224,""),"")</f>
        <v>0.18</v>
      </c>
      <c r="CA225" s="256">
        <f>IF(AND(ISNUMBER(CA207),ISNUMBER(CA224)),IFERROR(1-CA207/CA224,""),"")</f>
        <v>0.170859247962902</v>
      </c>
      <c r="CB225" s="256">
        <f>IF(AND(ISNUMBER(CB207),ISNUMBER(CB224)),IFERROR(1-CB207/CB224,""),"")</f>
        <v>0.175</v>
      </c>
      <c r="CC225" s="256">
        <f>IF(AND(ISNUMBER(CC207),ISNUMBER(CC224)),IFERROR(1-CC207/CC224,""),"")</f>
        <v>0.175</v>
      </c>
      <c r="CD225" s="256">
        <f>IF(AND(ISNUMBER(CD207),ISNUMBER(CD224)),IFERROR(1-CD207/CD224,""),"")</f>
        <v>0.175</v>
      </c>
      <c r="CE225" s="256">
        <f>IF(AND(ISNUMBER(CE207),ISNUMBER(CE224)),IFERROR(1-CE207/CE224,""),"")</f>
        <v>0.175</v>
      </c>
      <c r="CF225" s="153" t="n"/>
      <c r="CH225" s="37">
        <f>IFERROR(AVERAGE(CA225,CB225,CC225,CD225,CE225),"n/m")</f>
        <v>0.17417184959258</v>
      </c>
      <c r="CI225" s="37">
        <f>IFERROR(AVERAGE(BB225,BG225,BL225,BQ225,BV225),"n/m")</f>
        <v>0.155268309685188</v>
      </c>
      <c r="CJ225" s="37">
        <f>IFERROR(AVERAGE(AC225,AH225,AM225,AR225,AW225,BB225,BG225,BL225,BQ225,BV225),"n/m")</f>
        <v>0.149218294676398</v>
      </c>
      <c r="CK225" s="37">
        <f>IFERROR(AVERAGE(C225,D225,E225,F225,G225,H225,I225,N225,S225,X225,AC225,AH225,AM225,AR225,AW225,BB225,BG225,BL225,BQ225,BV225),"n/m")</f>
        <v>0.181509069710041</v>
      </c>
    </row>
    <row r="226" ht="15" customHeight="1" s="251">
      <c r="CN226" s="11" t="n"/>
      <c r="CO226" s="12" t="n"/>
      <c r="CP226" s="12" t="n"/>
      <c r="CQ226" s="12" t="n"/>
      <c r="CR226" s="13" t="n"/>
    </row>
    <row r="227" ht="15" customHeight="1" s="251">
      <c r="B227" s="10" t="inlineStr">
        <is>
          <t>GROWTH &amp; MARGINS</t>
        </is>
      </c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n"/>
      <c r="AN227" s="10" t="n"/>
      <c r="AO227" s="10" t="n"/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0" t="n"/>
      <c r="BC227" s="10" t="n"/>
      <c r="BD227" s="10" t="n"/>
      <c r="BE227" s="10" t="n"/>
      <c r="BF227" s="10" t="n"/>
      <c r="BG227" s="10" t="n"/>
      <c r="BH227" s="10" t="n"/>
      <c r="BI227" s="10" t="n"/>
      <c r="BJ227" s="10" t="n"/>
      <c r="BK227" s="10" t="n"/>
      <c r="BL227" s="10" t="n"/>
      <c r="BM227" s="10" t="n"/>
      <c r="BN227" s="10" t="n"/>
      <c r="BO227" s="10" t="n"/>
      <c r="BP227" s="10" t="n"/>
      <c r="BQ227" s="10" t="n"/>
      <c r="BR227" s="10" t="n"/>
      <c r="BS227" s="10" t="n"/>
      <c r="BT227" s="10" t="n"/>
      <c r="BU227" s="10" t="n"/>
      <c r="BV227" s="10" t="n"/>
      <c r="BW227" s="10" t="n"/>
      <c r="BX227" s="10" t="n"/>
      <c r="BY227" s="10" t="n"/>
      <c r="BZ227" s="10" t="n"/>
      <c r="CA227" s="10" t="n"/>
      <c r="CB227" s="10" t="n"/>
      <c r="CC227" s="10" t="n"/>
      <c r="CD227" s="10" t="n"/>
      <c r="CE227" s="10" t="n"/>
      <c r="CF227" s="10" t="inlineStr">
        <is>
          <t>GROWTH &amp; MARGINS (consolidated) — forecast outputs</t>
        </is>
      </c>
    </row>
    <row r="228" ht="15" customHeight="1" s="251">
      <c r="B228" s="22" t="inlineStr">
        <is>
          <t xml:space="preserve">  Revenues y/y %</t>
        </is>
      </c>
      <c r="C228" s="23" t="n"/>
      <c r="D228" s="255">
        <f>IF(AND(ISNUMBER(D132),ISNUMBER(C132)),IFERROR(D132/C132-1,""),"")</f>
        <v>0.564744542555119</v>
      </c>
      <c r="E228" s="255">
        <f>IF(AND(ISNUMBER(E132),ISNUMBER(D132)),IFERROR(E132/D132-1,""),"")</f>
        <v>0.313460792361763</v>
      </c>
      <c r="F228" s="255">
        <f>IF(AND(ISNUMBER(F132),ISNUMBER(E132)),IFERROR(F132/E132-1,""),"")</f>
        <v>0.0851097127624676</v>
      </c>
      <c r="G228" s="255">
        <f>IF(AND(ISNUMBER(G132),ISNUMBER(F132)),IFERROR(G132/F132-1,""),"")</f>
        <v>0.239759070428894</v>
      </c>
      <c r="H228" s="255">
        <f>IF(AND(ISNUMBER(H132),ISNUMBER(G132)),IFERROR(H132/G132-1,""),"")</f>
        <v>0.292759455680229</v>
      </c>
      <c r="I228" s="255">
        <f>IF(AND(ISNUMBER(I132),ISNUMBER(H132)),IFERROR(I132/H132-1,""),"")</f>
        <v>0.323703996834191</v>
      </c>
      <c r="J228" s="23" t="n"/>
      <c r="K228" s="23" t="n"/>
      <c r="L228" s="23" t="n"/>
      <c r="M228" s="23" t="n"/>
      <c r="N228" s="255">
        <f>IF(AND(ISNUMBER(N132),ISNUMBER(I132)),IFERROR(N132/I132-1,""),"")</f>
        <v>0.192326856003986</v>
      </c>
      <c r="O228" s="255">
        <f>IF(AND(ISNUMBER(O132),ISNUMBER(J132)),IFERROR(O132/J132-1,""),"")</f>
        <v>0.103872861335815</v>
      </c>
      <c r="P228" s="255">
        <f>IF(AND(ISNUMBER(P132),ISNUMBER(K132)),IFERROR(P132/K132-1,""),"")</f>
        <v>0.131159163417228</v>
      </c>
      <c r="Q228" s="255">
        <f>IF(AND(ISNUMBER(Q132),ISNUMBER(L132)),IFERROR(Q132/L132-1,""),"")</f>
        <v>0.109447391391929</v>
      </c>
      <c r="R228" s="255">
        <f>IF(AND(ISNUMBER(R132),ISNUMBER(M132)),IFERROR(R132/M132-1,""),"")</f>
        <v>0.0738521770079488</v>
      </c>
      <c r="S228" s="255">
        <f>IF(AND(ISNUMBER(S132),ISNUMBER(N132)),IFERROR(S132/N132-1,""),"")</f>
        <v>0.103234433765148</v>
      </c>
      <c r="T228" s="255">
        <f>IF(AND(ISNUMBER(T132),ISNUMBER(O132)),IFERROR(T132/O132-1,""),"")</f>
        <v>0.119195849546044</v>
      </c>
      <c r="U228" s="255">
        <f>IF(AND(ISNUMBER(U132),ISNUMBER(P132)),IFERROR(U132/P132-1,""),"")</f>
        <v>0.111062362895644</v>
      </c>
      <c r="V228" s="255">
        <f>IF(AND(ISNUMBER(V132),ISNUMBER(Q132)),IFERROR(V132/Q132-1,""),"")</f>
        <v>0.130242692005084</v>
      </c>
      <c r="W228" s="255">
        <f>IF(AND(ISNUMBER(W132),ISNUMBER(R132)),IFERROR(W132/R132-1,""),"")</f>
        <v>0.178202507871623</v>
      </c>
      <c r="X228" s="255">
        <f>IF(AND(ISNUMBER(X132),ISNUMBER(S132)),IFERROR(X132/S132-1,""),"")</f>
        <v>0.136179754852199</v>
      </c>
      <c r="Y228" s="255">
        <f>IF(AND(ISNUMBER(Y132),ISNUMBER(T132)),IFERROR(Y132/T132-1,""),"")</f>
        <v>0.17377448139993</v>
      </c>
      <c r="Z228" s="255">
        <f>IF(AND(ISNUMBER(Z132),ISNUMBER(U132)),IFERROR(Z132/U132-1,""),"")</f>
        <v>0.212839171884696</v>
      </c>
      <c r="AA228" s="255">
        <f>IF(AND(ISNUMBER(AA132),ISNUMBER(V132)),IFERROR(AA132/V132-1,""),"")</f>
        <v>0.202195448460509</v>
      </c>
      <c r="AB228" s="255">
        <f>IF(AND(ISNUMBER(AB132),ISNUMBER(W132)),IFERROR(AB132/W132-1,""),"")</f>
        <v>0.22199821838811</v>
      </c>
      <c r="AC228" s="255">
        <f>IF(AND(ISNUMBER(AC132),ISNUMBER(X132)),IFERROR(AC132/X132-1,""),"")</f>
        <v>0.203803224472923</v>
      </c>
      <c r="AD228" s="255">
        <f>IF(AND(ISNUMBER(AD132),ISNUMBER(Y132)),IFERROR(AD132/Y132-1,""),"")</f>
        <v>0.221799871649306</v>
      </c>
      <c r="AE228" s="255">
        <f>IF(AND(ISNUMBER(AE132),ISNUMBER(Z132)),IFERROR(AE132/Z132-1,""),"")</f>
        <v>0.209767441860465</v>
      </c>
      <c r="AF228" s="255">
        <f>IF(AND(ISNUMBER(AF132),ISNUMBER(AA132)),IFERROR(AF132/AA132-1,""),"")</f>
        <v>0.237005033183377</v>
      </c>
      <c r="AG228" s="255">
        <f>IF(AND(ISNUMBER(AG132),ISNUMBER(AB132)),IFERROR(AG132/AB132-1,""),"")</f>
        <v>0.240139656230816</v>
      </c>
      <c r="AH228" s="255">
        <f>IF(AND(ISNUMBER(AH132),ISNUMBER(AC132)),IFERROR(AH132/AC132-1,""),"")</f>
        <v>0.228010900389933</v>
      </c>
      <c r="AI228" s="255">
        <f>IF(AND(ISNUMBER(AI132),ISNUMBER(AD132)),IFERROR(AI132/AD132-1,""),"")</f>
        <v>0.258424242424242</v>
      </c>
      <c r="AJ228" s="255">
        <f>IF(AND(ISNUMBER(AJ132),ISNUMBER(AE132)),IFERROR(AJ132/AE132-1,""),"")</f>
        <v>0.255555555555556</v>
      </c>
      <c r="AK228" s="255">
        <f>IF(AND(ISNUMBER(AK132),ISNUMBER(AF132)),IFERROR(AK132/AF132-1,""),"")</f>
        <v>0.214892697681118</v>
      </c>
      <c r="AL228" s="255">
        <f>IF(AND(ISNUMBER(AL132),ISNUMBER(AG132)),IFERROR(AL132/AG132-1,""),"")</f>
        <v>0.215109983603007</v>
      </c>
      <c r="AM228" s="255">
        <f>IF(AND(ISNUMBER(AM132),ISNUMBER(AH132)),IFERROR(AM132/AH132-1,""),"")</f>
        <v>0.23421586757476</v>
      </c>
      <c r="AN228" s="255">
        <f>IF(AND(ISNUMBER(AN132),ISNUMBER(AI132)),IFERROR(AN132/AI132-1,""),"")</f>
        <v>0.166730880369871</v>
      </c>
      <c r="AO228" s="255">
        <f>IF(AND(ISNUMBER(AO132),ISNUMBER(AJ132)),IFERROR(AO132/AJ132-1,""),"")</f>
        <v>0.192516152739076</v>
      </c>
      <c r="AP228" s="255">
        <f>IF(AND(ISNUMBER(AP132),ISNUMBER(AK132)),IFERROR(AP132/AK132-1,""),"")</f>
        <v>0.200326022525193</v>
      </c>
      <c r="AQ228" s="255">
        <f>IF(AND(ISNUMBER(AQ132),ISNUMBER(AL132)),IFERROR(AQ132/AL132-1,""),"")</f>
        <v>0.173108259496894</v>
      </c>
      <c r="AR228" s="255">
        <f>IF(AND(ISNUMBER(AR132),ISNUMBER(AM132)),IFERROR(AR132/AM132-1,""),"")</f>
        <v>0.183000898997946</v>
      </c>
      <c r="AS228" s="255">
        <f>IF(AND(ISNUMBER(AS132),ISNUMBER(AN132)),IFERROR(AS132/AN132-1,""),"")</f>
        <v>0.132639863507526</v>
      </c>
      <c r="AT228" s="255">
        <f>IF(AND(ISNUMBER(AT132),ISNUMBER(AO132)),IFERROR(AT132/AO132-1,""),"")</f>
        <v>-0.0166135990139688</v>
      </c>
      <c r="AU228" s="255">
        <f>IF(AND(ISNUMBER(AU132),ISNUMBER(AP132)),IFERROR(AU132/AP132-1,""),"")</f>
        <v>0.14010222474629</v>
      </c>
      <c r="AV228" s="255">
        <f>IF(AND(ISNUMBER(AV132),ISNUMBER(AQ132)),IFERROR(AV132/AQ132-1,""),"")</f>
        <v>0.234899620184482</v>
      </c>
      <c r="AW228" s="255">
        <f>IF(AND(ISNUMBER(AW132),ISNUMBER(AR132)),IFERROR(AW132/AR132-1,""),"")</f>
        <v>0.127705320128261</v>
      </c>
      <c r="AX228" s="255">
        <f>IF(AND(ISNUMBER(AX132),ISNUMBER(AS132)),IFERROR(AX132/AS132-1,""),"")</f>
        <v>0.343910201899949</v>
      </c>
      <c r="AY228" s="255">
        <f>IF(AND(ISNUMBER(AY132),ISNUMBER(AT132)),IFERROR(AY132/AT132-1,""),"")</f>
        <v>0.61579235971486</v>
      </c>
      <c r="AZ228" s="255">
        <f>IF(AND(ISNUMBER(AZ132),ISNUMBER(AU132)),IFERROR(AZ132/AU132-1,""),"")</f>
        <v>0.410304723539731</v>
      </c>
      <c r="BA228" s="255">
        <f>IF(AND(ISNUMBER(BA132),ISNUMBER(AV132)),IFERROR(BA132/AV132-1,""),"")</f>
        <v>0.323860241133256</v>
      </c>
      <c r="BB228" s="255">
        <f>IF(AND(ISNUMBER(BB132),ISNUMBER(AW132)),IFERROR(BB132/AW132-1,""),"")</f>
        <v>0.411500764270492</v>
      </c>
      <c r="BC228" s="255">
        <f>IF(AND(ISNUMBER(BC132),ISNUMBER(AX132)),IFERROR(BC132/AX132-1,""),"")</f>
        <v>0.229544057562281</v>
      </c>
      <c r="BD228" s="255">
        <f>IF(AND(ISNUMBER(BD132),ISNUMBER(AY132)),IFERROR(BD132/AY132-1,""),"")</f>
        <v>0.126131221719457</v>
      </c>
      <c r="BE228" s="255">
        <f>IF(AND(ISNUMBER(BE132),ISNUMBER(AZ132)),IFERROR(BE132/AZ132-1,""),"")</f>
        <v>0.0610276728400749</v>
      </c>
      <c r="BF228" s="255">
        <f>IF(AND(ISNUMBER(BF132),ISNUMBER(BA132)),IFERROR(BF132/BA132-1,""),"")</f>
        <v>0.00959840690341851</v>
      </c>
      <c r="BG228" s="255">
        <f>IF(AND(ISNUMBER(BG132),ISNUMBER(BB132)),IFERROR(BG132/BB132-1,""),"")</f>
        <v>0.0978081564371578</v>
      </c>
      <c r="BH228" s="255">
        <f>IF(AND(ISNUMBER(BH132),ISNUMBER(BC132)),IFERROR(BH132/BC132-1,""),"")</f>
        <v>0.0261134228286601</v>
      </c>
      <c r="BI228" s="255">
        <f>IF(AND(ISNUMBER(BI132),ISNUMBER(BD132)),IFERROR(BI132/BD132-1,""),"")</f>
        <v>0.0705890794288584</v>
      </c>
      <c r="BJ228" s="255">
        <f>IF(AND(ISNUMBER(BJ132),ISNUMBER(BE132)),IFERROR(BJ132/BE132-1,""),"")</f>
        <v>0.110012736641</v>
      </c>
      <c r="BK228" s="255">
        <f>IF(AND(ISNUMBER(BK132),ISNUMBER(BF132)),IFERROR(BK132/BF132-1,""),"")</f>
        <v>0.134941089837997</v>
      </c>
      <c r="BL228" s="255">
        <f>IF(AND(ISNUMBER(BL132),ISNUMBER(BG132)),IFERROR(BL132/BG132-1,""),"")</f>
        <v>0.0868277022726951</v>
      </c>
      <c r="BM228" s="255">
        <f>IF(AND(ISNUMBER(BM132),ISNUMBER(BH132)),IFERROR(BM132/BH132-1,""),"")</f>
        <v>0.154068809377105</v>
      </c>
      <c r="BN228" s="255">
        <f>IF(AND(ISNUMBER(BN132),ISNUMBER(BI132)),IFERROR(BN132/BI132-1,""),"")</f>
        <v>0.135890836952442</v>
      </c>
      <c r="BO228" s="255">
        <f>IF(AND(ISNUMBER(BO132),ISNUMBER(BJ132)),IFERROR(BO132/BJ132-1,""),"")</f>
        <v>0.150926420924987</v>
      </c>
      <c r="BP228" s="255">
        <f>IF(AND(ISNUMBER(BP132),ISNUMBER(BK132)),IFERROR(BP132/BK132-1,""),"")</f>
        <v>0.11770362646275</v>
      </c>
      <c r="BQ228" s="255">
        <f>IF(AND(ISNUMBER(BQ132),ISNUMBER(BL132)),IFERROR(BQ132/BL132-1,""),"")</f>
        <v>0.138662433229016</v>
      </c>
      <c r="BR228" s="255">
        <f>IF(AND(ISNUMBER(BR132),ISNUMBER(BM132)),IFERROR(BR132/BM132-1,""),"")</f>
        <v>0.120376463576652</v>
      </c>
      <c r="BS228" s="255">
        <f>IF(AND(ISNUMBER(BS132),ISNUMBER(BN132)),IFERROR(BS132/BN132-1,""),"")</f>
        <v>0.137900922800972</v>
      </c>
      <c r="BT228" s="255">
        <f>IF(AND(ISNUMBER(BT132),ISNUMBER(BO132)),IFERROR(BT132/BO132-1,""),"")</f>
        <v>0.159491548466035</v>
      </c>
      <c r="BU228" s="255">
        <f>IF(AND(ISNUMBER(BU132),ISNUMBER(BP132)),IFERROR(BU132/BP132-1,""),"")</f>
        <v>0.179954182172511</v>
      </c>
      <c r="BV228" s="255">
        <f>IF(AND(ISNUMBER(BV132),ISNUMBER(BQ132)),IFERROR(BV132/BQ132-1,""),"")</f>
        <v>0.150900810815444</v>
      </c>
      <c r="BW228" s="255">
        <f>IF(AND(ISNUMBER(BW132),ISNUMBER(BR132)),IFERROR(BW132/BR132-1,""),"")</f>
        <v>0.217900126338187</v>
      </c>
      <c r="BX228" s="255">
        <f>IF(AND(ISNUMBER(BX132),ISNUMBER(BS132)),IFERROR(BX132/BS132-1,""),"")</f>
        <v>0.242336250881487</v>
      </c>
      <c r="BY228" s="256">
        <f>IF(AND(ISNUMBER(BY132),ISNUMBER(BT132)),IFERROR(BY132/BT132-1,""),"")</f>
        <v>0.240894124716927</v>
      </c>
      <c r="BZ228" s="256">
        <f>IF(AND(ISNUMBER(BZ132),ISNUMBER(BU132)),IFERROR(BZ132/BU132-1,""),"")</f>
        <v>0.243819128977897</v>
      </c>
      <c r="CA228" s="256">
        <f>IF(AND(ISNUMBER(CA132),ISNUMBER(BV132)),IFERROR(CA132/BV132-1,""),"")</f>
        <v>0.23691834324813</v>
      </c>
      <c r="CB228" s="256">
        <f>IF(AND(ISNUMBER(CB132),ISNUMBER(CA132)),IFERROR(CB132/CA132-1,""),"")</f>
        <v>0.173817313838413</v>
      </c>
      <c r="CC228" s="256">
        <f>IF(AND(ISNUMBER(CC132),ISNUMBER(CB132)),IFERROR(CC132/CB132-1,""),"")</f>
        <v>0.147171270086915</v>
      </c>
      <c r="CD228" s="256">
        <f>IF(AND(ISNUMBER(CD132),ISNUMBER(CC132)),IFERROR(CD132/CC132-1,""),"")</f>
        <v>0.129735035331253</v>
      </c>
      <c r="CE228" s="256">
        <f>IF(AND(ISNUMBER(CE132),ISNUMBER(CD132)),IFERROR(CE132/CD132-1,""),"")</f>
        <v>0.113124160170737</v>
      </c>
      <c r="CF228" s="153" t="n"/>
      <c r="CH228" s="37">
        <f>IFERROR(AVERAGE(CA228,CB228,CC228,CD228,CE228),"n/m")</f>
        <v>0.16015322453509</v>
      </c>
      <c r="CI228" s="37">
        <f>IFERROR(AVERAGE(BB228,BG228,BL228,BQ228,BV228),"n/m")</f>
        <v>0.177139973404961</v>
      </c>
      <c r="CJ228" s="37">
        <f>IFERROR(AVERAGE(AC228,AH228,AM228,AR228,AW228,BB228,BG228,BL228,BQ228,BV228),"n/m")</f>
        <v>0.186243607858863</v>
      </c>
      <c r="CK228" s="37">
        <f>IFERROR(AVERAGE(C228,D228,E228,F228,G228,H228,I228,N228,S228,X228,AC228,AH228,AM228,AR228,AW228,BB228,BG228,BL228,BQ228,BV228),"n/m")</f>
        <v>0.216511299675401</v>
      </c>
    </row>
    <row r="229" ht="15" customHeight="1" s="251">
      <c r="B229" s="22" t="inlineStr">
        <is>
          <t xml:space="preserve">  Google Services revenues y/y %</t>
        </is>
      </c>
      <c r="C229" s="23" t="n"/>
      <c r="D229" s="255">
        <f>IF(AND(ISNUMBER(D33),ISNUMBER(C33)),IFERROR(D33/C33-1,""),"")</f>
      </c>
      <c r="E229" s="255">
        <f>IF(AND(ISNUMBER(E33),ISNUMBER(D33)),IFERROR(E33/D33-1,""),"")</f>
      </c>
      <c r="F229" s="255">
        <f>IF(AND(ISNUMBER(F33),ISNUMBER(E33)),IFERROR(F33/E33-1,""),"")</f>
      </c>
      <c r="G229" s="255">
        <f>IF(AND(ISNUMBER(G33),ISNUMBER(F33)),IFERROR(G33/F33-1,""),"")</f>
      </c>
      <c r="H229" s="255">
        <f>IF(AND(ISNUMBER(H33),ISNUMBER(G33)),IFERROR(H33/G33-1,""),"")</f>
      </c>
      <c r="I229" s="255">
        <f>IF(AND(ISNUMBER(I33),ISNUMBER(H33)),IFERROR(I33/H33-1,""),"")</f>
      </c>
      <c r="J229" s="23" t="n"/>
      <c r="K229" s="23" t="n"/>
      <c r="L229" s="23" t="n"/>
      <c r="M229" s="23" t="n"/>
      <c r="N229" s="255">
        <f>IF(AND(ISNUMBER(N33),ISNUMBER(I33)),IFERROR(N33/I33-1,""),"")</f>
      </c>
      <c r="O229" s="255">
        <f>IF(AND(ISNUMBER(O33),ISNUMBER(J33)),IFERROR(O33/J33-1,""),"")</f>
      </c>
      <c r="P229" s="255">
        <f>IF(AND(ISNUMBER(P33),ISNUMBER(K33)),IFERROR(P33/K33-1,""),"")</f>
      </c>
      <c r="Q229" s="255">
        <f>IF(AND(ISNUMBER(Q33),ISNUMBER(L33)),IFERROR(Q33/L33-1,""),"")</f>
      </c>
      <c r="R229" s="255">
        <f>IF(AND(ISNUMBER(R33),ISNUMBER(M33)),IFERROR(R33/M33-1,""),"")</f>
      </c>
      <c r="S229" s="255">
        <f>IF(AND(ISNUMBER(S33),ISNUMBER(N33)),IFERROR(S33/N33-1,""),"")</f>
      </c>
      <c r="T229" s="255">
        <f>IF(AND(ISNUMBER(T33),ISNUMBER(O33)),IFERROR(T33/O33-1,""),"")</f>
      </c>
      <c r="U229" s="255">
        <f>IF(AND(ISNUMBER(U33),ISNUMBER(P33)),IFERROR(U33/P33-1,""),"")</f>
      </c>
      <c r="V229" s="255">
        <f>IF(AND(ISNUMBER(V33),ISNUMBER(Q33)),IFERROR(V33/Q33-1,""),"")</f>
      </c>
      <c r="W229" s="255">
        <f>IF(AND(ISNUMBER(W33),ISNUMBER(R33)),IFERROR(W33/R33-1,""),"")</f>
      </c>
      <c r="X229" s="255">
        <f>IF(AND(ISNUMBER(X33),ISNUMBER(S33)),IFERROR(X33/S33-1,""),"")</f>
      </c>
      <c r="Y229" s="255">
        <f>IF(AND(ISNUMBER(Y33),ISNUMBER(T33)),IFERROR(Y33/T33-1,""),"")</f>
      </c>
      <c r="Z229" s="255">
        <f>IF(AND(ISNUMBER(Z33),ISNUMBER(U33)),IFERROR(Z33/U33-1,""),"")</f>
      </c>
      <c r="AA229" s="255">
        <f>IF(AND(ISNUMBER(AA33),ISNUMBER(V33)),IFERROR(AA33/V33-1,""),"")</f>
      </c>
      <c r="AB229" s="255">
        <f>IF(AND(ISNUMBER(AB33),ISNUMBER(W33)),IFERROR(AB33/W33-1,""),"")</f>
      </c>
      <c r="AC229" s="255">
        <f>IF(AND(ISNUMBER(AC33),ISNUMBER(X33)),IFERROR(AC33/X33-1,""),"")</f>
      </c>
      <c r="AD229" s="255">
        <f>IF(AND(ISNUMBER(AD33),ISNUMBER(Y33)),IFERROR(AD33/Y33-1,""),"")</f>
      </c>
      <c r="AE229" s="255">
        <f>IF(AND(ISNUMBER(AE33),ISNUMBER(Z33)),IFERROR(AE33/Z33-1,""),"")</f>
      </c>
      <c r="AF229" s="255">
        <f>IF(AND(ISNUMBER(AF33),ISNUMBER(AA33)),IFERROR(AF33/AA33-1,""),"")</f>
      </c>
      <c r="AG229" s="255">
        <f>IF(AND(ISNUMBER(AG33),ISNUMBER(AB33)),IFERROR(AG33/AB33-1,""),"")</f>
      </c>
      <c r="AH229" s="255">
        <f>IF(AND(ISNUMBER(AH33),ISNUMBER(AC33)),IFERROR(AH33/AC33-1,""),"")</f>
      </c>
      <c r="AI229" s="255">
        <f>IF(AND(ISNUMBER(AI33),ISNUMBER(AD33)),IFERROR(AI33/AD33-1,""),"")</f>
      </c>
      <c r="AJ229" s="255">
        <f>IF(AND(ISNUMBER(AJ33),ISNUMBER(AE33)),IFERROR(AJ33/AE33-1,""),"")</f>
      </c>
      <c r="AK229" s="255">
        <f>IF(AND(ISNUMBER(AK33),ISNUMBER(AF33)),IFERROR(AK33/AF33-1,""),"")</f>
      </c>
      <c r="AL229" s="255">
        <f>IF(AND(ISNUMBER(AL33),ISNUMBER(AG33)),IFERROR(AL33/AG33-1,""),"")</f>
      </c>
      <c r="AM229" s="255">
        <f>IF(AND(ISNUMBER(AM33),ISNUMBER(AH33)),IFERROR(AM33/AH33-1,""),"")</f>
        <v>0.225681043468462</v>
      </c>
      <c r="AN229" s="255">
        <f>IF(AND(ISNUMBER(AN33),ISNUMBER(AI33)),IFERROR(AN33/AI33-1,""),"")</f>
      </c>
      <c r="AO229" s="255">
        <f>IF(AND(ISNUMBER(AO33),ISNUMBER(AJ33)),IFERROR(AO33/AJ33-1,""),"")</f>
      </c>
      <c r="AP229" s="255">
        <f>IF(AND(ISNUMBER(AP33),ISNUMBER(AK33)),IFERROR(AP33/AK33-1,""),"")</f>
      </c>
      <c r="AQ229" s="255">
        <f>IF(AND(ISNUMBER(AQ33),ISNUMBER(AL33)),IFERROR(AQ33/AL33-1,""),"")</f>
      </c>
      <c r="AR229" s="255">
        <f>IF(AND(ISNUMBER(AR33),ISNUMBER(AM33)),IFERROR(AR33/AM33-1,""),"")</f>
        <v>0.163196040574913</v>
      </c>
      <c r="AS229" s="255">
        <f>IF(AND(ISNUMBER(AS33),ISNUMBER(AN33)),IFERROR(AS33/AN33-1,""),"")</f>
        <v>0.116672026193469</v>
      </c>
      <c r="AT229" s="255">
        <f>IF(AND(ISNUMBER(AT33),ISNUMBER(AO33)),IFERROR(AT33/AO33-1,""),"")</f>
        <v>-0.0432821129764314</v>
      </c>
      <c r="AU229" s="255">
        <f>IF(AND(ISNUMBER(AU33),ISNUMBER(AP33)),IFERROR(AU33/AP33-1,""),"")</f>
        <v>0.124900914231359</v>
      </c>
      <c r="AV229" s="255">
        <f>IF(AND(ISNUMBER(AV33),ISNUMBER(AQ33)),IFERROR(AV33/AQ33-1,""),"")</f>
        <v>0.223968702254734</v>
      </c>
      <c r="AW229" s="255">
        <f>IF(AND(ISNUMBER(AW33),ISNUMBER(AR33)),IFERROR(AW33/AR33-1,""),"")</f>
        <v>0.110719578462045</v>
      </c>
      <c r="AX229" s="255">
        <f>IF(AND(ISNUMBER(AX33),ISNUMBER(AS33)),IFERROR(AX33/AS33-1,""),"")</f>
        <v>0.339808366930206</v>
      </c>
      <c r="AY229" s="255">
        <f>IF(AND(ISNUMBER(AY33),ISNUMBER(AT33)),IFERROR(AY33/AT33-1,""),"")</f>
        <v>0.630905089880255</v>
      </c>
      <c r="AZ229" s="255">
        <f>IF(AND(ISNUMBER(AZ33),ISNUMBER(AU33)),IFERROR(AZ33/AU33-1,""),"")</f>
        <v>0.40661921875367</v>
      </c>
      <c r="BA229" s="255">
        <f>IF(AND(ISNUMBER(BA33),ISNUMBER(AV33)),IFERROR(BA33/AV33-1,""),"")</f>
        <v>0.312579199213209</v>
      </c>
      <c r="BB229" s="255">
        <f>IF(AND(ISNUMBER(BB33),ISNUMBER(AW33)),IFERROR(BB33/AW33-1,""),"")</f>
        <v>0.408539152607703</v>
      </c>
      <c r="BC229" s="255">
        <f>IF(AND(ISNUMBER(BC33),ISNUMBER(AX33)),IFERROR(BC33/AX33-1,""),"")</f>
        <v>0.20114111532299</v>
      </c>
      <c r="BD229" s="255">
        <f>IF(AND(ISNUMBER(BD33),ISNUMBER(AY33)),IFERROR(BD33/AY33-1,""),"")</f>
        <v>0.101179315541381</v>
      </c>
      <c r="BE229" s="255">
        <f>IF(AND(ISNUMBER(BE33),ISNUMBER(AZ33)),IFERROR(BE33/AZ33-1,""),"")</f>
        <v>0.0249315342996459</v>
      </c>
      <c r="BF229" s="255">
        <f>IF(AND(ISNUMBER(BF33),ISNUMBER(BA33)),IFERROR(BF33/BA33-1,""),"")</f>
        <v>-0.022507204610951</v>
      </c>
      <c r="BG229" s="255">
        <f>IF(AND(ISNUMBER(BG33),ISNUMBER(BB33)),IFERROR(BG33/BB33-1,""),"")</f>
        <v>0.0673559860059192</v>
      </c>
      <c r="BH229" s="255">
        <f>IF(AND(ISNUMBER(BH33),ISNUMBER(BC33)),IFERROR(BH33/BC33-1,""),"")</f>
        <v>0.00795484122852685</v>
      </c>
      <c r="BI229" s="255">
        <f>IF(AND(ISNUMBER(BI33),ISNUMBER(BD33)),IFERROR(BI33/BD33-1,""),"")</f>
        <v>0.0548049840072564</v>
      </c>
      <c r="BJ229" s="255">
        <f>IF(AND(ISNUMBER(BJ33),ISNUMBER(BE33)),IFERROR(BJ33/BE33-1,""),"")</f>
        <v>0.107678772178503</v>
      </c>
      <c r="BK229" s="255">
        <f>IF(AND(ISNUMBER(BK33),ISNUMBER(BF33)),IFERROR(BK33/BF33-1,""),"")</f>
        <v>0.124900498245821</v>
      </c>
      <c r="BL229" s="255">
        <f>IF(AND(ISNUMBER(BL33),ISNUMBER(BG33)),IFERROR(BL33/BG33-1,""),"")</f>
        <v>0.0750015777350037</v>
      </c>
      <c r="BM229" s="255">
        <f>IF(AND(ISNUMBER(BM33),ISNUMBER(BH33)),IFERROR(BM33/BH33-1,""),"")</f>
        <v>0.136166298155291</v>
      </c>
      <c r="BN229" s="255">
        <f>IF(AND(ISNUMBER(BN33),ISNUMBER(BI33)),IFERROR(BN33/BI33-1,""),"")</f>
        <v>0.115305121822433</v>
      </c>
      <c r="BO229" s="255">
        <f>IF(AND(ISNUMBER(BO33),ISNUMBER(BJ33)),IFERROR(BO33/BJ33-1,""),"")</f>
        <v>0.125378754449446</v>
      </c>
      <c r="BP229" s="255">
        <f>IF(AND(ISNUMBER(BP33),ISNUMBER(BK33)),IFERROR(BP33/BK33-1,""),"")</f>
        <v>0.101990538716568</v>
      </c>
      <c r="BQ229" s="255">
        <f>IF(AND(ISNUMBER(BQ33),ISNUMBER(BL33)),IFERROR(BQ33/BL33-1,""),"")</f>
        <v>0.118832624576672</v>
      </c>
      <c r="BR229" s="255">
        <f>IF(AND(ISNUMBER(BR33),ISNUMBER(BM33)),IFERROR(BR33/BM33-1,""),"")</f>
        <v>0.0975311798630643</v>
      </c>
      <c r="BS229" s="255">
        <f>IF(AND(ISNUMBER(BS33),ISNUMBER(BN33)),IFERROR(BS33/BN33-1,""),"")</f>
        <v>0.11653230169895</v>
      </c>
      <c r="BT229" s="255">
        <f>IF(AND(ISNUMBER(BT33),ISNUMBER(BO33)),IFERROR(BT33/BO33-1,""),"")</f>
        <v>0.137785910338518</v>
      </c>
      <c r="BU229" s="255">
        <f>IF(AND(ISNUMBER(BU33),ISNUMBER(BP33)),IFERROR(BU33/BP33-1,""),"")</f>
        <v>0.139938640093229</v>
      </c>
      <c r="BV229" s="255">
        <f>IF(AND(ISNUMBER(BV33),ISNUMBER(BQ33)),IFERROR(BV33/BQ33-1,""),"")</f>
        <v>0.123933361755157</v>
      </c>
      <c r="BW229" s="255">
        <f>IF(AND(ISNUMBER(BW33),ISNUMBER(BR33)),IFERROR(BW33/BR33-1,""),"")</f>
        <v>0.160139262787327</v>
      </c>
      <c r="BX229" s="255">
        <f>IF(AND(ISNUMBER(BX33),ISNUMBER(BS33)),IFERROR(BX33/BS33-1,""),"")</f>
        <v>0.145342427583199</v>
      </c>
      <c r="BY229" s="256">
        <f>IF(AND(ISNUMBER(BY33),ISNUMBER(BT33)),IFERROR(BY33/BT33-1,""),"")</f>
        <v>0.153766854316562</v>
      </c>
      <c r="BZ229" s="256">
        <f>IF(AND(ISNUMBER(BZ33),ISNUMBER(BU33)),IFERROR(BZ33/BU33-1,""),"")</f>
        <v>0.154326760901089</v>
      </c>
      <c r="CA229" s="256">
        <f>IF(AND(ISNUMBER(CA33),ISNUMBER(BV33)),IFERROR(CA33/BV33-1,""),"")</f>
        <v>0.153331089006701</v>
      </c>
      <c r="CB229" s="256">
        <f>IF(AND(ISNUMBER(CB33),ISNUMBER(CA33)),IFERROR(CB33/CA33-1,""),"")</f>
        <v>0.103963217623037</v>
      </c>
      <c r="CC229" s="256">
        <f>IF(AND(ISNUMBER(CC33),ISNUMBER(CB33)),IFERROR(CC33/CB33-1,""),"")</f>
        <v>0.0877960428858338</v>
      </c>
      <c r="CD229" s="256">
        <f>IF(AND(ISNUMBER(CD33),ISNUMBER(CC33)),IFERROR(CD33/CC33-1,""),"")</f>
        <v>0.0793572752464349</v>
      </c>
      <c r="CE229" s="256">
        <f>IF(AND(ISNUMBER(CE33),ISNUMBER(CD33)),IFERROR(CE33/CD33-1,""),"")</f>
        <v>0.0706591962246836</v>
      </c>
      <c r="CF229" s="153" t="n"/>
      <c r="CH229" s="37">
        <f>IFERROR(AVERAGE(CA229,CB229,CC229,CD229,CE229),"n/m")</f>
        <v>0.099021364197338</v>
      </c>
      <c r="CI229" s="37">
        <f>IFERROR(AVERAGE(BB229,BG229,BL229,BQ229,BV229),"n/m")</f>
        <v>0.158732540536091</v>
      </c>
      <c r="CJ229" s="37">
        <f>IFERROR(AVERAGE(AC229,AH229,AM229,AR229,AW229,BB229,BG229,BL229,BQ229,BV229),"n/m")</f>
        <v>0.161657420648235</v>
      </c>
      <c r="CK229" s="37">
        <f>IFERROR(AVERAGE(C229,D229,E229,F229,G229,H229,I229,N229,S229,X229,AC229,AH229,AM229,AR229,AW229,BB229,BG229,BL229,BQ229,BV229),"n/m")</f>
        <v>0.161657420648235</v>
      </c>
    </row>
    <row r="230" ht="15" customHeight="1" s="251">
      <c r="B230" s="22" t="inlineStr">
        <is>
          <t xml:space="preserve">  Google Cloud revenues y/y %</t>
        </is>
      </c>
      <c r="C230" s="23" t="n"/>
      <c r="D230" s="255">
        <f>IF(AND(ISNUMBER(D23),ISNUMBER(C23)),IFERROR(D23/C23-1,""),"")</f>
      </c>
      <c r="E230" s="255">
        <f>IF(AND(ISNUMBER(E23),ISNUMBER(D23)),IFERROR(E23/D23-1,""),"")</f>
      </c>
      <c r="F230" s="255">
        <f>IF(AND(ISNUMBER(F23),ISNUMBER(E23)),IFERROR(F23/E23-1,""),"")</f>
      </c>
      <c r="G230" s="255">
        <f>IF(AND(ISNUMBER(G23),ISNUMBER(F23)),IFERROR(G23/F23-1,""),"")</f>
      </c>
      <c r="H230" s="255">
        <f>IF(AND(ISNUMBER(H23),ISNUMBER(G23)),IFERROR(H23/G23-1,""),"")</f>
      </c>
      <c r="I230" s="255">
        <f>IF(AND(ISNUMBER(I23),ISNUMBER(H23)),IFERROR(I23/H23-1,""),"")</f>
      </c>
      <c r="J230" s="23" t="n"/>
      <c r="K230" s="23" t="n"/>
      <c r="L230" s="23" t="n"/>
      <c r="M230" s="23" t="n"/>
      <c r="N230" s="255">
        <f>IF(AND(ISNUMBER(N23),ISNUMBER(I23)),IFERROR(N23/I23-1,""),"")</f>
      </c>
      <c r="O230" s="255">
        <f>IF(AND(ISNUMBER(O23),ISNUMBER(J23)),IFERROR(O23/J23-1,""),"")</f>
      </c>
      <c r="P230" s="255">
        <f>IF(AND(ISNUMBER(P23),ISNUMBER(K23)),IFERROR(P23/K23-1,""),"")</f>
      </c>
      <c r="Q230" s="255">
        <f>IF(AND(ISNUMBER(Q23),ISNUMBER(L23)),IFERROR(Q23/L23-1,""),"")</f>
      </c>
      <c r="R230" s="255">
        <f>IF(AND(ISNUMBER(R23),ISNUMBER(M23)),IFERROR(R23/M23-1,""),"")</f>
      </c>
      <c r="S230" s="255">
        <f>IF(AND(ISNUMBER(S23),ISNUMBER(N23)),IFERROR(S23/N23-1,""),"")</f>
      </c>
      <c r="T230" s="255">
        <f>IF(AND(ISNUMBER(T23),ISNUMBER(O23)),IFERROR(T23/O23-1,""),"")</f>
      </c>
      <c r="U230" s="255">
        <f>IF(AND(ISNUMBER(U23),ISNUMBER(P23)),IFERROR(U23/P23-1,""),"")</f>
      </c>
      <c r="V230" s="255">
        <f>IF(AND(ISNUMBER(V23),ISNUMBER(Q23)),IFERROR(V23/Q23-1,""),"")</f>
      </c>
      <c r="W230" s="255">
        <f>IF(AND(ISNUMBER(W23),ISNUMBER(R23)),IFERROR(W23/R23-1,""),"")</f>
      </c>
      <c r="X230" s="255">
        <f>IF(AND(ISNUMBER(X23),ISNUMBER(S23)),IFERROR(X23/S23-1,""),"")</f>
      </c>
      <c r="Y230" s="255">
        <f>IF(AND(ISNUMBER(Y23),ISNUMBER(T23)),IFERROR(Y23/T23-1,""),"")</f>
      </c>
      <c r="Z230" s="255">
        <f>IF(AND(ISNUMBER(Z23),ISNUMBER(U23)),IFERROR(Z23/U23-1,""),"")</f>
      </c>
      <c r="AA230" s="255">
        <f>IF(AND(ISNUMBER(AA23),ISNUMBER(V23)),IFERROR(AA23/V23-1,""),"")</f>
      </c>
      <c r="AB230" s="255">
        <f>IF(AND(ISNUMBER(AB23),ISNUMBER(W23)),IFERROR(AB23/W23-1,""),"")</f>
      </c>
      <c r="AC230" s="255">
        <f>IF(AND(ISNUMBER(AC23),ISNUMBER(X23)),IFERROR(AC23/X23-1,""),"")</f>
      </c>
      <c r="AD230" s="255">
        <f>IF(AND(ISNUMBER(AD23),ISNUMBER(Y23)),IFERROR(AD23/Y23-1,""),"")</f>
      </c>
      <c r="AE230" s="255">
        <f>IF(AND(ISNUMBER(AE23),ISNUMBER(Z23)),IFERROR(AE23/Z23-1,""),"")</f>
      </c>
      <c r="AF230" s="255">
        <f>IF(AND(ISNUMBER(AF23),ISNUMBER(AA23)),IFERROR(AF23/AA23-1,""),"")</f>
      </c>
      <c r="AG230" s="255">
        <f>IF(AND(ISNUMBER(AG23),ISNUMBER(AB23)),IFERROR(AG23/AB23-1,""),"")</f>
      </c>
      <c r="AH230" s="255">
        <f>IF(AND(ISNUMBER(AH23),ISNUMBER(AC23)),IFERROR(AH23/AC23-1,""),"")</f>
      </c>
      <c r="AI230" s="255">
        <f>IF(AND(ISNUMBER(AI23),ISNUMBER(AD23)),IFERROR(AI23/AD23-1,""),"")</f>
      </c>
      <c r="AJ230" s="255">
        <f>IF(AND(ISNUMBER(AJ23),ISNUMBER(AE23)),IFERROR(AJ23/AE23-1,""),"")</f>
      </c>
      <c r="AK230" s="255">
        <f>IF(AND(ISNUMBER(AK23),ISNUMBER(AF23)),IFERROR(AK23/AF23-1,""),"")</f>
      </c>
      <c r="AL230" s="255">
        <f>IF(AND(ISNUMBER(AL23),ISNUMBER(AG23)),IFERROR(AL23/AG23-1,""),"")</f>
      </c>
      <c r="AM230" s="255">
        <f>IF(AND(ISNUMBER(AM23),ISNUMBER(AH23)),IFERROR(AM23/AH23-1,""),"")</f>
        <v>0.439349112426036</v>
      </c>
      <c r="AN230" s="255">
        <f>IF(AND(ISNUMBER(AN23),ISNUMBER(AI23)),IFERROR(AN23/AI23-1,""),"")</f>
      </c>
      <c r="AO230" s="255">
        <f>IF(AND(ISNUMBER(AO23),ISNUMBER(AJ23)),IFERROR(AO23/AJ23-1,""),"")</f>
      </c>
      <c r="AP230" s="255">
        <f>IF(AND(ISNUMBER(AP23),ISNUMBER(AK23)),IFERROR(AP23/AK23-1,""),"")</f>
      </c>
      <c r="AQ230" s="255">
        <f>IF(AND(ISNUMBER(AQ23),ISNUMBER(AL23)),IFERROR(AQ23/AL23-1,""),"")</f>
      </c>
      <c r="AR230" s="255">
        <f>IF(AND(ISNUMBER(AR23),ISNUMBER(AM23)),IFERROR(AR23/AM23-1,""),"")</f>
        <v>0.52757793764988</v>
      </c>
      <c r="AS230" s="255">
        <f>IF(AND(ISNUMBER(AS23),ISNUMBER(AN23)),IFERROR(AS23/AN23-1,""),"")</f>
        <v>0.521643835616438</v>
      </c>
      <c r="AT230" s="255">
        <f>IF(AND(ISNUMBER(AT23),ISNUMBER(AO23)),IFERROR(AT23/AO23-1,""),"")</f>
        <v>0.431904761904762</v>
      </c>
      <c r="AU230" s="255">
        <f>IF(AND(ISNUMBER(AU23),ISNUMBER(AP23)),IFERROR(AU23/AP23-1,""),"")</f>
        <v>0.447667087011349</v>
      </c>
      <c r="AV230" s="255">
        <f>IF(AND(ISNUMBER(AV23),ISNUMBER(AQ23)),IFERROR(AV23/AQ23-1,""),"")</f>
        <v>0.465570007651109</v>
      </c>
      <c r="AW230" s="255">
        <f>IF(AND(ISNUMBER(AW23),ISNUMBER(AR23)),IFERROR(AW23/AR23-1,""),"")</f>
        <v>0.464341780668311</v>
      </c>
      <c r="AX230" s="255">
        <f>IF(AND(ISNUMBER(AX23),ISNUMBER(AS23)),IFERROR(AX23/AS23-1,""),"")</f>
        <v>0.457328051854519</v>
      </c>
      <c r="AY230" s="255">
        <f>IF(AND(ISNUMBER(AY23),ISNUMBER(AT23)),IFERROR(AY23/AT23-1,""),"")</f>
        <v>0.539075490522115</v>
      </c>
      <c r="AZ230" s="255">
        <f>IF(AND(ISNUMBER(AZ23),ISNUMBER(AU23)),IFERROR(AZ23/AU23-1,""),"")</f>
        <v>0.448896631823461</v>
      </c>
      <c r="BA230" s="255">
        <f>IF(AND(ISNUMBER(BA23),ISNUMBER(AV23)),IFERROR(BA23/AV23-1,""),"")</f>
        <v>0.446358653093187</v>
      </c>
      <c r="BB230" s="255">
        <f>IF(AND(ISNUMBER(BB23),ISNUMBER(AW23)),IFERROR(BB23/AW23-1,""),"")</f>
        <v>0.470709855272226</v>
      </c>
      <c r="BC230" s="255">
        <f>IF(AND(ISNUMBER(BC23),ISNUMBER(AX23)),IFERROR(BC23/AX23-1,""),"")</f>
        <v>0.438349394613294</v>
      </c>
      <c r="BD230" s="255">
        <f>IF(AND(ISNUMBER(BD23),ISNUMBER(AY23)),IFERROR(BD23/AY23-1,""),"")</f>
        <v>0.35609334485739</v>
      </c>
      <c r="BE230" s="255">
        <f>IF(AND(ISNUMBER(BE23),ISNUMBER(AZ23)),IFERROR(BE23/AZ23-1,""),"")</f>
        <v>0.376352705410822</v>
      </c>
      <c r="BF230" s="255">
        <f>IF(AND(ISNUMBER(BF23),ISNUMBER(BA23)),IFERROR(BF23/BA23-1,""),"")</f>
        <v>0.320158816098177</v>
      </c>
      <c r="BG230" s="255">
        <f>IF(AND(ISNUMBER(BG23),ISNUMBER(BB23)),IFERROR(BG23/BB23-1,""),"")</f>
        <v>0.368322399250234</v>
      </c>
      <c r="BH230" s="255">
        <f>IF(AND(ISNUMBER(BH23),ISNUMBER(BC23)),IFERROR(BH23/BC23-1,""),"")</f>
        <v>0.28053599037966</v>
      </c>
      <c r="BI230" s="255">
        <f>IF(AND(ISNUMBER(BI23),ISNUMBER(BD23)),IFERROR(BI23/BD23-1,""),"")</f>
        <v>0.279636711281071</v>
      </c>
      <c r="BJ230" s="255">
        <f>IF(AND(ISNUMBER(BJ23),ISNUMBER(BE23)),IFERROR(BJ23/BE23-1,""),"")</f>
        <v>0.22466511357018</v>
      </c>
      <c r="BK230" s="255">
        <f>IF(AND(ISNUMBER(BK23),ISNUMBER(BF23)),IFERROR(BK23/BF23-1,""),"")</f>
        <v>0.256596035543404</v>
      </c>
      <c r="BL230" s="255">
        <f>IF(AND(ISNUMBER(BL23),ISNUMBER(BG23)),IFERROR(BL23/BG23-1,""),"")</f>
        <v>0.259056316590563</v>
      </c>
      <c r="BM230" s="255">
        <f>IF(AND(ISNUMBER(BM23),ISNUMBER(BH23)),IFERROR(BM23/BH23-1,""),"")</f>
        <v>0.2844110544674</v>
      </c>
      <c r="BN230" s="255">
        <f>IF(AND(ISNUMBER(BN23),ISNUMBER(BI23)),IFERROR(BN23/BI23-1,""),"")</f>
        <v>0.288382517743743</v>
      </c>
      <c r="BO230" s="255">
        <f>IF(AND(ISNUMBER(BO23),ISNUMBER(BJ23)),IFERROR(BO23/BJ23-1,""),"")</f>
        <v>0.34978004993461</v>
      </c>
      <c r="BP230" s="255">
        <f>IF(AND(ISNUMBER(BP23),ISNUMBER(BK23)),IFERROR(BP23/BK23-1,""),"")</f>
        <v>0.300587467362924</v>
      </c>
      <c r="BQ230" s="255">
        <f>IF(AND(ISNUMBER(BQ23),ISNUMBER(BL23)),IFERROR(BQ23/BL23-1,""),"")</f>
        <v>0.306485735009671</v>
      </c>
      <c r="BR230" s="255">
        <f>IF(AND(ISNUMBER(BR23),ISNUMBER(BM23)),IFERROR(BR23/BM23-1,""),"")</f>
        <v>0.280551493628577</v>
      </c>
      <c r="BS230" s="255">
        <f>IF(AND(ISNUMBER(BS23),ISNUMBER(BN23)),IFERROR(BS23/BN23-1,""),"")</f>
        <v>0.316710157533585</v>
      </c>
      <c r="BT230" s="255">
        <f>IF(AND(ISNUMBER(BT23),ISNUMBER(BO23)),IFERROR(BT23/BO23-1,""),"")</f>
        <v>0.335065621421651</v>
      </c>
      <c r="BU230" s="255">
        <f>IF(AND(ISNUMBER(BU23),ISNUMBER(BP23)),IFERROR(BU23/BP23-1,""),"")</f>
        <v>0.477540777917189</v>
      </c>
      <c r="BV230" s="255">
        <f>IF(AND(ISNUMBER(BV23),ISNUMBER(BQ23)),IFERROR(BV23/BQ23-1,""),"")</f>
        <v>0.358000416387148</v>
      </c>
      <c r="BW230" s="255">
        <f>IF(AND(ISNUMBER(BW23),ISNUMBER(BR23)),IFERROR(BW23/BR23-1,""),"")</f>
        <v>0.633605220228385</v>
      </c>
      <c r="BX230" s="255">
        <f>IF(AND(ISNUMBER(BX23),ISNUMBER(BS23)),IFERROR(BX23/BS23-1,""),"")</f>
        <v>0.817968291250734</v>
      </c>
      <c r="BY230" s="256">
        <f>IF(AND(ISNUMBER(BY23),ISNUMBER(BT23)),IFERROR(BY23/BT23-1,""),"")</f>
        <v>0.730644413537321</v>
      </c>
      <c r="BZ230" s="256">
        <f>IF(AND(ISNUMBER(BZ23),ISNUMBER(BU23)),IFERROR(BZ23/BU23-1,""),"")</f>
        <v>0.730644413537321</v>
      </c>
      <c r="CA230" s="256">
        <f>IF(AND(ISNUMBER(CA23),ISNUMBER(BV23)),IFERROR(CA23/BV23-1,""),"")</f>
        <v>0.73064441353732</v>
      </c>
      <c r="CB230" s="256">
        <f>IF(AND(ISNUMBER(CB23),ISNUMBER(CA23)),IFERROR(CB23/CA23-1,""),"")</f>
        <v>0.45</v>
      </c>
      <c r="CC230" s="256">
        <f>IF(AND(ISNUMBER(CC23),ISNUMBER(CB23)),IFERROR(CC23/CB23-1,""),"")</f>
        <v>0.32</v>
      </c>
      <c r="CD230" s="256">
        <f>IF(AND(ISNUMBER(CD23),ISNUMBER(CC23)),IFERROR(CD23/CC23-1,""),"")</f>
        <v>0.25</v>
      </c>
      <c r="CE230" s="256">
        <f>IF(AND(ISNUMBER(CE23),ISNUMBER(CD23)),IFERROR(CE23/CD23-1,""),"")</f>
        <v>0.2</v>
      </c>
      <c r="CF230" s="153" t="n"/>
      <c r="CH230" s="37">
        <f>IFERROR(AVERAGE(CA230,CB230,CC230,CD230,CE230),"n/m")</f>
        <v>0.390128882707464</v>
      </c>
      <c r="CI230" s="37">
        <f>IFERROR(AVERAGE(BB230,BG230,BL230,BQ230,BV230),"n/m")</f>
        <v>0.352514944501968</v>
      </c>
      <c r="CJ230" s="37">
        <f>IFERROR(AVERAGE(AC230,AH230,AM230,AR230,AW230,BB230,BG230,BL230,BQ230,BV230),"n/m")</f>
        <v>0.399230444156759</v>
      </c>
      <c r="CK230" s="37">
        <f>IFERROR(AVERAGE(C230,D230,E230,F230,G230,H230,I230,N230,S230,X230,AC230,AH230,AM230,AR230,AW230,BB230,BG230,BL230,BQ230,BV230),"n/m")</f>
        <v>0.399230444156759</v>
      </c>
    </row>
    <row r="231" ht="15" customHeight="1" s="251">
      <c r="B231" s="22" t="inlineStr">
        <is>
          <t xml:space="preserve">  Adjusted operating income y/y %</t>
        </is>
      </c>
      <c r="C231" s="23" t="n"/>
      <c r="D231" s="255">
        <f>IF(AND(ISNUMBER(D173),ISNUMBER(C173)),IFERROR(D173/C173-1,""),"")</f>
        <v>0.43222696588954</v>
      </c>
      <c r="E231" s="255">
        <f>IF(AND(ISNUMBER(E173),ISNUMBER(D173)),IFERROR(E173/D173-1,""),"")</f>
        <v>0.304375934230194</v>
      </c>
      <c r="F231" s="255">
        <f>IF(AND(ISNUMBER(F173),ISNUMBER(E173)),IFERROR(F173/E173-1,""),"")</f>
        <v>0.253351154084104</v>
      </c>
      <c r="G231" s="255">
        <f>IF(AND(ISNUMBER(G173),ISNUMBER(F173)),IFERROR(G173/F173-1,""),"")</f>
        <v>0.2488892813515</v>
      </c>
      <c r="H231" s="255">
        <f>IF(AND(ISNUMBER(H173),ISNUMBER(G173)),IFERROR(H173/G173-1,""),"")</f>
        <v>0.131104903188517</v>
      </c>
      <c r="I231" s="255">
        <f>IF(AND(ISNUMBER(I173),ISNUMBER(H173)),IFERROR(I173/H173-1,""),"")</f>
        <v>0.086697325838869</v>
      </c>
      <c r="J231" s="23" t="n"/>
      <c r="K231" s="23" t="n"/>
      <c r="L231" s="23" t="n"/>
      <c r="M231" s="23" t="n"/>
      <c r="N231" s="255">
        <f>IF(AND(ISNUMBER(N173),ISNUMBER(I173)),IFERROR(N173/I173-1,""),"")</f>
        <v>0.0945141065830721</v>
      </c>
      <c r="O231" s="255">
        <f>IF(AND(ISNUMBER(O173),ISNUMBER(J173)),IFERROR(O173/J173-1,""),"")</f>
        <v>0.183491515674432</v>
      </c>
      <c r="P231" s="255">
        <f>IF(AND(ISNUMBER(P173),ISNUMBER(K173)),IFERROR(P173/K173-1,""),"")</f>
        <v>0.363432596861992</v>
      </c>
      <c r="Q231" s="255">
        <f>IF(AND(ISNUMBER(Q173),ISNUMBER(L173)),IFERROR(Q173/L173-1,""),"")</f>
        <v>0.0813008130081301</v>
      </c>
      <c r="R231" s="255">
        <f>IF(AND(ISNUMBER(R173),ISNUMBER(M173)),IFERROR(R173/M173-1,""),"")</f>
        <v>0.121621621621622</v>
      </c>
      <c r="S231" s="255">
        <f>IF(AND(ISNUMBER(S173),ISNUMBER(N173)),IFERROR(S173/N173-1,""),"")</f>
        <v>0.181154231705571</v>
      </c>
      <c r="T231" s="255">
        <f>IF(AND(ISNUMBER(T173),ISNUMBER(O173)),IFERROR(T173/O173-1,""),"")</f>
        <v>0.0806804374240584</v>
      </c>
      <c r="U231" s="255">
        <f>IF(AND(ISNUMBER(U173),ISNUMBER(P173)),IFERROR(U173/P173-1,""),"")</f>
        <v>0.133161108501644</v>
      </c>
      <c r="V231" s="255">
        <f>IF(AND(ISNUMBER(V173),ISNUMBER(Q173)),IFERROR(V173/Q173-1,""),"")</f>
        <v>0.264232008592911</v>
      </c>
      <c r="W231" s="255">
        <f>IF(AND(ISNUMBER(W173),ISNUMBER(R173)),IFERROR(W173/R173-1,""),"")</f>
        <v>0.223005228461014</v>
      </c>
      <c r="X231" s="255">
        <f>IF(AND(ISNUMBER(X173),ISNUMBER(S173)),IFERROR(X173/S173-1,""),"")</f>
        <v>0.173617846750727</v>
      </c>
      <c r="Y231" s="255">
        <f>IF(AND(ISNUMBER(Y173),ISNUMBER(T173)),IFERROR(Y173/T173-1,""),"")</f>
        <v>0.201259275916348</v>
      </c>
      <c r="Z231" s="255">
        <f>IF(AND(ISNUMBER(Z173),ISNUMBER(U173)),IFERROR(Z173/U173-1,""),"")</f>
        <v>0.236891191709845</v>
      </c>
      <c r="AA231" s="255">
        <f>IF(AND(ISNUMBER(AA173),ISNUMBER(V173)),IFERROR(AA173/V173-1,""),"")</f>
        <v>0.224936278674597</v>
      </c>
      <c r="AB231" s="255">
        <f>IF(AND(ISNUMBER(AB173),ISNUMBER(W173)),IFERROR(AB173/W173-1,""),"")</f>
        <v>0.234014869888476</v>
      </c>
      <c r="AC231" s="255">
        <f>IF(AND(ISNUMBER(AC173),ISNUMBER(X173)),IFERROR(AC173/X173-1,""),"")</f>
        <v>0.225</v>
      </c>
      <c r="AD231" s="255">
        <f>IF(AND(ISNUMBER(AD173),ISNUMBER(Y173)),IFERROR(AD173/Y173-1,""),"")</f>
        <v>0.229502059153875</v>
      </c>
      <c r="AE231" s="255">
        <f>IF(AND(ISNUMBER(AE173),ISNUMBER(Z173)),IFERROR(AE173/Z173-1,""),"")</f>
        <v>0.150804289544236</v>
      </c>
      <c r="AF231" s="255">
        <f>IF(AND(ISNUMBER(AF173),ISNUMBER(AA173)),IFERROR(AF173/AA173-1,""),"")</f>
        <v>0.349401768683891</v>
      </c>
      <c r="AG231" s="255">
        <f>IF(AND(ISNUMBER(AG173),ISNUMBER(AB173)),IFERROR(AG173/AB173-1,""),"")</f>
        <v>0.154390721494201</v>
      </c>
      <c r="AH231" s="255">
        <f>IF(AND(ISNUMBER(AH173),ISNUMBER(AC173)),IFERROR(AH173/AC173-1,""),"")</f>
        <v>0.217827626918536</v>
      </c>
      <c r="AI231" s="255">
        <f>IF(AND(ISNUMBER(AI173),ISNUMBER(AD173)),IFERROR(AI173/AD173-1,""),"")</f>
        <v>0.0659257003654081</v>
      </c>
      <c r="AJ231" s="255">
        <f>IF(AND(ISNUMBER(AJ173),ISNUMBER(AE173)),IFERROR(AJ173/AE173-1,""),"")</f>
        <v>0.147058823529412</v>
      </c>
      <c r="AK231" s="255">
        <f>IF(AND(ISNUMBER(AK173),ISNUMBER(AF173)),IFERROR(AK173/AF173-1,""),"")</f>
        <v>0.0678488820354664</v>
      </c>
      <c r="AL231" s="255">
        <f>IF(AND(ISNUMBER(AL173),ISNUMBER(AG173)),IFERROR(AL173/AG173-1,""),"")</f>
        <v>0.0703288100208768</v>
      </c>
      <c r="AM231" s="255">
        <f>IF(AND(ISNUMBER(AM173),ISNUMBER(AH173)),IFERROR(AM173/AH173-1,""),"")</f>
        <v>0.0869053389654455</v>
      </c>
      <c r="AN231" s="255">
        <f>IF(AND(ISNUMBER(AN173),ISNUMBER(AI173)),IFERROR(AN173/AI173-1,""),"")</f>
        <v>0.186259105842023</v>
      </c>
      <c r="AO231" s="255">
        <f>IF(AND(ISNUMBER(AO173),ISNUMBER(AJ173)),IFERROR(AO173/AJ173-1,""),"")</f>
        <v>0.165270373191165</v>
      </c>
      <c r="AP231" s="255">
        <f>IF(AND(ISNUMBER(AP173),ISNUMBER(AK173)),IFERROR(AP173/AK173-1,""),"")</f>
        <v>0.104332129963899</v>
      </c>
      <c r="AQ231" s="255">
        <f>IF(AND(ISNUMBER(AQ173),ISNUMBER(AL173)),IFERROR(AQ173/AL173-1,""),"")</f>
        <v>0.129586736559795</v>
      </c>
      <c r="AR231" s="255">
        <f>IF(AND(ISNUMBER(AR173),ISNUMBER(AM173)),IFERROR(AR173/AM173-1,""),"")</f>
        <v>0.144495412844037</v>
      </c>
      <c r="AS231" s="255">
        <f>IF(AND(ISNUMBER(AS173),ISNUMBER(AN173)),IFERROR(AS173/AN173-1,""),"")</f>
        <v>-0.0394942805538832</v>
      </c>
      <c r="AT231" s="255">
        <f>IF(AND(ISNUMBER(AT173),ISNUMBER(AO173)),IFERROR(AT173/AO173-1,""),"")</f>
        <v>-0.304684095860566</v>
      </c>
      <c r="AU231" s="255">
        <f>IF(AND(ISNUMBER(AU173),ISNUMBER(AP173)),IFERROR(AU173/AP173-1,""),"")</f>
        <v>0.221858995314373</v>
      </c>
      <c r="AV231" s="255">
        <f>IF(AND(ISNUMBER(AV173),ISNUMBER(AQ173)),IFERROR(AV173/AQ173-1,""),"")</f>
        <v>0.689078350960501</v>
      </c>
      <c r="AW231" s="255">
        <f>IF(AND(ISNUMBER(AW173),ISNUMBER(AR173)),IFERROR(AW173/AR173-1,""),"")</f>
        <v>0.147405922957025</v>
      </c>
      <c r="AX231" s="255">
        <f>IF(AND(ISNUMBER(AX173),ISNUMBER(AS173)),IFERROR(AX173/AS173-1,""),"")</f>
        <v>1.06054907860098</v>
      </c>
      <c r="AY231" s="255">
        <f>IF(AND(ISNUMBER(AY173),ISNUMBER(AT173)),IFERROR(AY173/AT173-1,""),"")</f>
        <v>2.03321322262259</v>
      </c>
      <c r="AZ231" s="255">
        <f>IF(AND(ISNUMBER(AZ173),ISNUMBER(AU173)),IFERROR(AZ173/AU173-1,""),"")</f>
        <v>0.875590832069919</v>
      </c>
      <c r="BA231" s="255">
        <f>IF(AND(ISNUMBER(BA173),ISNUMBER(AV173)),IFERROR(BA173/AV173-1,""),"")</f>
        <v>0.398313206823845</v>
      </c>
      <c r="BB231" s="255">
        <f>IF(AND(ISNUMBER(BB173),ISNUMBER(AW173)),IFERROR(BB173/AW173-1,""),"")</f>
        <v>0.90942169609936</v>
      </c>
      <c r="BC231" s="255">
        <f>IF(AND(ISNUMBER(BC173),ISNUMBER(AX173)),IFERROR(BC173/AX173-1,""),"")</f>
        <v>0.222485855083044</v>
      </c>
      <c r="BD231" s="255">
        <f>IF(AND(ISNUMBER(BD173),ISNUMBER(AY173)),IFERROR(BD173/AY173-1,""),"")</f>
        <v>0.00475182067042002</v>
      </c>
      <c r="BE231" s="255">
        <f>IF(AND(ISNUMBER(BE173),ISNUMBER(AZ173)),IFERROR(BE173/AZ173-1,""),"")</f>
        <v>-0.185250344729209</v>
      </c>
      <c r="BF231" s="255">
        <f>IF(AND(ISNUMBER(BF173),ISNUMBER(BA173)),IFERROR(BF173/BA173-1,""),"")</f>
        <v>-0.170207904957734</v>
      </c>
      <c r="BG231" s="255">
        <f>IF(AND(ISNUMBER(BG173),ISNUMBER(BB173)),IFERROR(BG173/BB173-1,""),"")</f>
        <v>-0.0491907411642147</v>
      </c>
      <c r="BH231" s="255">
        <f>IF(AND(ISNUMBER(BH173),ISNUMBER(BC173)),IFERROR(BH173/BC173-1,""),"")</f>
        <v>-0.0060216980193093</v>
      </c>
      <c r="BI231" s="255">
        <f>IF(AND(ISNUMBER(BI173),ISNUMBER(BD173)),IFERROR(BI173/BD173-1,""),"")</f>
        <v>0.122603197450265</v>
      </c>
      <c r="BJ231" s="255">
        <f>IF(AND(ISNUMBER(BJ173),ISNUMBER(BE173)),IFERROR(BJ173/BE173-1,""),"")</f>
        <v>0.245579223810913</v>
      </c>
      <c r="BK231" s="255">
        <f>IF(AND(ISNUMBER(BK173),ISNUMBER(BF173)),IFERROR(BK173/BF173-1,""),"")</f>
        <v>0.304900881057269</v>
      </c>
      <c r="BL231" s="255">
        <f>IF(AND(ISNUMBER(BL173),ISNUMBER(BG173)),IFERROR(BL173/BG173-1,""),"")</f>
        <v>0.160458031586542</v>
      </c>
      <c r="BM231" s="255">
        <f>IF(AND(ISNUMBER(BM173),ISNUMBER(BH173)),IFERROR(BM173/BH173-1,""),"")</f>
        <v>0.31117007960747</v>
      </c>
      <c r="BN231" s="255">
        <f>IF(AND(ISNUMBER(BN173),ISNUMBER(BI173)),IFERROR(BN173/BI173-1,""),"")</f>
        <v>0.255838446744207</v>
      </c>
      <c r="BO231" s="255">
        <f>IF(AND(ISNUMBER(BO173),ISNUMBER(BJ173)),IFERROR(BO173/BJ173-1,""),"")</f>
        <v>0.336316356650893</v>
      </c>
      <c r="BP231" s="255">
        <f>IF(AND(ISNUMBER(BP173),ISNUMBER(BK173)),IFERROR(BP173/BK173-1,""),"")</f>
        <v>0.307000886188125</v>
      </c>
      <c r="BQ231" s="255">
        <f>IF(AND(ISNUMBER(BQ173),ISNUMBER(BL173)),IFERROR(BQ173/BL173-1,""),"")</f>
        <v>0.302299340249393</v>
      </c>
      <c r="BR231" s="255">
        <f>IF(AND(ISNUMBER(BR173),ISNUMBER(BM173)),IFERROR(BR173/BM173-1,""),"")</f>
        <v>0.16870322285016</v>
      </c>
      <c r="BS231" s="255">
        <f>IF(AND(ISNUMBER(BS173),ISNUMBER(BN173)),IFERROR(BS173/BN173-1,""),"")</f>
        <v>0.140237010027347</v>
      </c>
      <c r="BT231" s="255">
        <f>IF(AND(ISNUMBER(BT173),ISNUMBER(BO173)),IFERROR(BT173/BO173-1,""),"")</f>
        <v>0.216121454366958</v>
      </c>
      <c r="BU231" s="255">
        <f>IF(AND(ISNUMBER(BU173),ISNUMBER(BP173)),IFERROR(BU173/BP173-1,""),"")</f>
        <v>0.16020922123208</v>
      </c>
      <c r="BV231" s="255">
        <f>IF(AND(ISNUMBER(BV173),ISNUMBER(BQ173)),IFERROR(BV173/BQ173-1,""),"")</f>
        <v>0.17143210793415</v>
      </c>
      <c r="BW231" s="255">
        <f>IF(AND(ISNUMBER(BW173),ISNUMBER(BR173)),IFERROR(BW173/BR173-1,""),"")</f>
        <v>0.297000588119976</v>
      </c>
      <c r="BX231" s="255">
        <f>IF(AND(ISNUMBER(BX173),ISNUMBER(BS173)),IFERROR(BX173/BS173-1,""),"")</f>
        <v>0.303763870678904</v>
      </c>
      <c r="BY231" s="256">
        <f>IF(AND(ISNUMBER(BY173),ISNUMBER(BT173)),IFERROR(BY173/BT173-1,""),"")</f>
        <v>0.204606844989667</v>
      </c>
      <c r="BZ231" s="256">
        <f>IF(AND(ISNUMBER(BZ173),ISNUMBER(BU173)),IFERROR(BZ173/BU173-1,""),"")</f>
        <v>0.410670779270904</v>
      </c>
      <c r="CA231" s="256">
        <f>IF(AND(ISNUMBER(CA173),ISNUMBER(BV173)),IFERROR(CA173/BV173-1,""),"")</f>
        <v>0.305238137006304</v>
      </c>
      <c r="CB231" s="256">
        <f>IF(AND(ISNUMBER(CB173),ISNUMBER(CA173)),IFERROR(CB173/CA173-1,""),"")</f>
        <v>0.125503379477808</v>
      </c>
      <c r="CC231" s="256">
        <f>IF(AND(ISNUMBER(CC173),ISNUMBER(CB173)),IFERROR(CC173/CB173-1,""),"")</f>
        <v>0.0913396227277692</v>
      </c>
      <c r="CD231" s="256">
        <f>IF(AND(ISNUMBER(CD173),ISNUMBER(CC173)),IFERROR(CD173/CC173-1,""),"")</f>
        <v>0.105228054628681</v>
      </c>
      <c r="CE231" s="256">
        <f>IF(AND(ISNUMBER(CE173),ISNUMBER(CD173)),IFERROR(CE173/CD173-1,""),"")</f>
        <v>0.0934616717184105</v>
      </c>
      <c r="CF231" s="153" t="n"/>
    </row>
    <row r="232" ht="15" customHeight="1" s="251">
      <c r="B232" s="22" t="inlineStr">
        <is>
          <t xml:space="preserve">  Adjusted EBITDA y/y %</t>
        </is>
      </c>
      <c r="C232" s="23" t="n"/>
      <c r="D232" s="255">
        <f>IF(AND(ISNUMBER(D191),ISNUMBER(C191)),IFERROR(D191/C191-1,""),"")</f>
        <v>0.468256534855596</v>
      </c>
      <c r="E232" s="255">
        <f>IF(AND(ISNUMBER(E191),ISNUMBER(D191)),IFERROR(E191/D191-1,""),"")</f>
        <v>0.343651366196424</v>
      </c>
      <c r="F232" s="255">
        <f>IF(AND(ISNUMBER(F191),ISNUMBER(E191)),IFERROR(F191/E191-1,""),"")</f>
        <v>0.209624715440116</v>
      </c>
      <c r="G232" s="255">
        <f>IF(AND(ISNUMBER(G191),ISNUMBER(F191)),IFERROR(G191/F191-1,""),"")</f>
        <v>0.19727618397368</v>
      </c>
      <c r="H232" s="255">
        <f>IF(AND(ISNUMBER(H191),ISNUMBER(G191)),IFERROR(H191/G191-1,""),"")</f>
        <v>0.154198862189012</v>
      </c>
      <c r="I232" s="255">
        <f>IF(AND(ISNUMBER(I191),ISNUMBER(H191)),IFERROR(I191/H191-1,""),"")</f>
        <v>0.15662473331862</v>
      </c>
      <c r="J232" s="23" t="n"/>
      <c r="K232" s="23" t="n"/>
      <c r="L232" s="23" t="n"/>
      <c r="M232" s="23" t="n"/>
      <c r="N232" s="255">
        <f>IF(AND(ISNUMBER(N191),ISNUMBER(I191)),IFERROR(N191/I191-1,""),"")</f>
        <v>0.138850019081542</v>
      </c>
      <c r="O232" s="255">
        <f>IF(AND(ISNUMBER(O191),ISNUMBER(J191)),IFERROR(O191/J191-1,""),"")</f>
        <v>0.188528336380256</v>
      </c>
      <c r="P232" s="255">
        <f>IF(AND(ISNUMBER(P191),ISNUMBER(K191)),IFERROR(P191/K191-1,""),"")</f>
        <v>0.285095111967253</v>
      </c>
      <c r="Q232" s="255">
        <f>IF(AND(ISNUMBER(Q191),ISNUMBER(L191)),IFERROR(Q191/L191-1,""),"")</f>
        <v>0.193073789044817</v>
      </c>
      <c r="R232" s="255">
        <f>IF(AND(ISNUMBER(R191),ISNUMBER(M191)),IFERROR(R191/M191-1,""),"")</f>
        <v>0.142799515933844</v>
      </c>
      <c r="S232" s="255">
        <f>IF(AND(ISNUMBER(S191),ISNUMBER(N191)),IFERROR(S191/N191-1,""),"")</f>
        <v>0.199385646467467</v>
      </c>
      <c r="T232" s="255">
        <f>IF(AND(ISNUMBER(T191),ISNUMBER(O191)),IFERROR(T191/O191-1,""),"")</f>
        <v>0.0813305133628148</v>
      </c>
      <c r="U232" s="255">
        <f>IF(AND(ISNUMBER(U191),ISNUMBER(P191)),IFERROR(U191/P191-1,""),"")</f>
        <v>0.13528199362938</v>
      </c>
      <c r="V232" s="255">
        <f>IF(AND(ISNUMBER(V191),ISNUMBER(Q191)),IFERROR(V191/Q191-1,""),"")</f>
        <v>0.129956365016126</v>
      </c>
      <c r="W232" s="255">
        <f>IF(AND(ISNUMBER(W191),ISNUMBER(R191)),IFERROR(W191/R191-1,""),"")</f>
        <v>0.197317331450759</v>
      </c>
      <c r="X232" s="255">
        <f>IF(AND(ISNUMBER(X191),ISNUMBER(S191)),IFERROR(X191/S191-1,""),"")</f>
        <v>0.137275902211874</v>
      </c>
      <c r="Y232" s="255">
        <f>IF(AND(ISNUMBER(Y191),ISNUMBER(T191)),IFERROR(Y191/T191-1,""),"")</f>
        <v>0.193634423897582</v>
      </c>
      <c r="Z232" s="255">
        <f>IF(AND(ISNUMBER(Z191),ISNUMBER(U191)),IFERROR(Z191/U191-1,""),"")</f>
        <v>0.230896187489685</v>
      </c>
      <c r="AA232" s="255">
        <f>IF(AND(ISNUMBER(AA191),ISNUMBER(V191)),IFERROR(AA191/V191-1,""),"")</f>
        <v>0.236232370718603</v>
      </c>
      <c r="AB232" s="255">
        <f>IF(AND(ISNUMBER(AB191),ISNUMBER(W191)),IFERROR(AB191/W191-1,""),"")</f>
        <v>0.227299528301887</v>
      </c>
      <c r="AC232" s="255">
        <f>IF(AND(ISNUMBER(AC191),ISNUMBER(X191)),IFERROR(AC191/X191-1,""),"")</f>
        <v>0.222618023993776</v>
      </c>
      <c r="AD232" s="255">
        <f>IF(AND(ISNUMBER(AD191),ISNUMBER(Y191)),IFERROR(AD191/Y191-1,""),"")</f>
        <v>0.202294056308655</v>
      </c>
      <c r="AE232" s="255">
        <f>IF(AND(ISNUMBER(AE191),ISNUMBER(Z191)),IFERROR(AE191/Z191-1,""),"")</f>
        <v>0.138777152051488</v>
      </c>
      <c r="AF232" s="255">
        <f>IF(AND(ISNUMBER(AF191),ISNUMBER(AA191)),IFERROR(AF191/AA191-1,""),"")</f>
        <v>0.296074969441804</v>
      </c>
      <c r="AG232" s="255">
        <f>IF(AND(ISNUMBER(AG191),ISNUMBER(AB191)),IFERROR(AG191/AB191-1,""),"")</f>
        <v>0.163824165265434</v>
      </c>
      <c r="AH232" s="255">
        <f>IF(AND(ISNUMBER(AH191),ISNUMBER(AC191)),IFERROR(AH191/AC191-1,""),"")</f>
        <v>0.198827863362358</v>
      </c>
      <c r="AI232" s="255">
        <f>IF(AND(ISNUMBER(AI191),ISNUMBER(AD191)),IFERROR(AI191/AD191-1,""),"")</f>
        <v>0.113492751827531</v>
      </c>
      <c r="AJ232" s="255">
        <f>IF(AND(ISNUMBER(AJ191),ISNUMBER(AE191)),IFERROR(AJ191/AE191-1,""),"")</f>
        <v>0.176498292711645</v>
      </c>
      <c r="AK232" s="255">
        <f>IF(AND(ISNUMBER(AK191),ISNUMBER(AF191)),IFERROR(AK191/AF191-1,""),"")</f>
        <v>0.1175730902232</v>
      </c>
      <c r="AL232" s="255">
        <f>IF(AND(ISNUMBER(AL191),ISNUMBER(AG191)),IFERROR(AL191/AG191-1,""),"")</f>
        <v>0.112796697626419</v>
      </c>
      <c r="AM232" s="255">
        <f>IF(AND(ISNUMBER(AM191),ISNUMBER(AH191)),IFERROR(AM191/AH191-1,""),"")</f>
        <v>0.129340447523536</v>
      </c>
      <c r="AN232" s="255">
        <f>IF(AND(ISNUMBER(AN191),ISNUMBER(AI191)),IFERROR(AN191/AI191-1,""),"")</f>
        <v>0.214865917436297</v>
      </c>
      <c r="AO232" s="255">
        <f>IF(AND(ISNUMBER(AO191),ISNUMBER(AJ191)),IFERROR(AO191/AJ191-1,""),"")</f>
        <v>0.20246196957566</v>
      </c>
      <c r="AP232" s="255">
        <f>IF(AND(ISNUMBER(AP191),ISNUMBER(AK191)),IFERROR(AP191/AK191-1,""),"")</f>
        <v>0.1342709798406</v>
      </c>
      <c r="AQ232" s="255">
        <f>IF(AND(ISNUMBER(AQ191),ISNUMBER(AL191)),IFERROR(AQ191/AL191-1,""),"")</f>
        <v>0.175832328665492</v>
      </c>
      <c r="AR232" s="255">
        <f>IF(AND(ISNUMBER(AR191),ISNUMBER(AM191)),IFERROR(AR191/AM191-1,""),"")</f>
        <v>0.180127142751132</v>
      </c>
      <c r="AS232" s="255">
        <f>IF(AND(ISNUMBER(AS191),ISNUMBER(AN191)),IFERROR(AS191/AN191-1,""),"")</f>
        <v>0.0152958417292544</v>
      </c>
      <c r="AT232" s="255">
        <f>IF(AND(ISNUMBER(AT191),ISNUMBER(AO191)),IFERROR(AT191/AO191-1,""),"")</f>
        <v>-0.186933000416146</v>
      </c>
      <c r="AU232" s="255">
        <f>IF(AND(ISNUMBER(AU191),ISNUMBER(AP191)),IFERROR(AU191/AP191-1,""),"")</f>
        <v>0.214433330577829</v>
      </c>
      <c r="AV232" s="255">
        <f>IF(AND(ISNUMBER(AV191),ISNUMBER(AQ191)),IFERROR(AV191/AQ191-1,""),"")</f>
        <v>0.528196229986592</v>
      </c>
      <c r="AW232" s="255">
        <f>IF(AND(ISNUMBER(AW191),ISNUMBER(AR191)),IFERROR(AW191/AR191-1,""),"")</f>
        <v>0.151166446582406</v>
      </c>
      <c r="AX232" s="255">
        <f>IF(AND(ISNUMBER(AX191),ISNUMBER(AS191)),IFERROR(AX191/AS191-1,""),"")</f>
        <v>0.731168245376635</v>
      </c>
      <c r="AY232" s="255">
        <f>IF(AND(ISNUMBER(AY191),ISNUMBER(AT191)),IFERROR(AY191/AT191-1,""),"")</f>
        <v>1.28334527587266</v>
      </c>
      <c r="AZ232" s="255">
        <f>IF(AND(ISNUMBER(AZ191),ISNUMBER(AU191)),IFERROR(AZ191/AU191-1,""),"")</f>
        <v>0.656456333809816</v>
      </c>
      <c r="BA232" s="255">
        <f>IF(AND(ISNUMBER(BA191),ISNUMBER(AV191)),IFERROR(BA191/AV191-1,""),"")</f>
        <v>0.306977704376548</v>
      </c>
      <c r="BB232" s="255">
        <f>IF(AND(ISNUMBER(BB191),ISNUMBER(AW191)),IFERROR(BB191/AW191-1,""),"")</f>
        <v>0.659747637515704</v>
      </c>
      <c r="BC232" s="255">
        <f>IF(AND(ISNUMBER(BC191),ISNUMBER(AX191)),IFERROR(BC191/AX191-1,""),"")</f>
        <v>0.244189682126107</v>
      </c>
      <c r="BD232" s="255">
        <f>IF(AND(ISNUMBER(BD191),ISNUMBER(AY191)),IFERROR(BD191/AY191-1,""),"")</f>
        <v>0.0468932125885413</v>
      </c>
      <c r="BE232" s="255">
        <f>IF(AND(ISNUMBER(BE191),ISNUMBER(AZ191)),IFERROR(BE191/AZ191-1,""),"")</f>
        <v>-0.12960756112595</v>
      </c>
      <c r="BF232" s="255">
        <f>IF(AND(ISNUMBER(BF191),ISNUMBER(BA191)),IFERROR(BF191/BA191-1,""),"")</f>
        <v>-0.117003632917391</v>
      </c>
      <c r="BG232" s="255">
        <f>IF(AND(ISNUMBER(BG191),ISNUMBER(BB191)),IFERROR(BG191/BB191-1,""),"")</f>
        <v>-0.00422357522900552</v>
      </c>
      <c r="BH232" s="255">
        <f>IF(AND(ISNUMBER(BH191),ISNUMBER(BC191)),IFERROR(BH191/BC191-1,""),"")</f>
        <v>-0.0300301558049925</v>
      </c>
      <c r="BI232" s="255">
        <f>IF(AND(ISNUMBER(BI191),ISNUMBER(BD191)),IFERROR(BI191/BD191-1,""),"")</f>
        <v>0.0806354916067147</v>
      </c>
      <c r="BJ232" s="255">
        <f>IF(AND(ISNUMBER(BJ191),ISNUMBER(BE191)),IFERROR(BJ191/BE191-1,""),"")</f>
        <v>0.187054435579057</v>
      </c>
      <c r="BK232" s="255">
        <f>IF(AND(ISNUMBER(BK191),ISNUMBER(BF191)),IFERROR(BK191/BF191-1,""),"")</f>
        <v>0.129645364697464</v>
      </c>
      <c r="BL232" s="255">
        <f>IF(AND(ISNUMBER(BL191),ISNUMBER(BG191)),IFERROR(BL191/BG191-1,""),"")</f>
        <v>0.0884323014211743</v>
      </c>
      <c r="BM232" s="255">
        <f>IF(AND(ISNUMBER(BM191),ISNUMBER(BH191)),IFERROR(BM191/BH191-1,""),"")</f>
        <v>0.278163996718338</v>
      </c>
      <c r="BN232" s="255">
        <f>IF(AND(ISNUMBER(BN191),ISNUMBER(BI191)),IFERROR(BN191/BI191-1,""),"")</f>
        <v>0.233723003764613</v>
      </c>
      <c r="BO232" s="255">
        <f>IF(AND(ISNUMBER(BO191),ISNUMBER(BJ191)),IFERROR(BO191/BJ191-1,""),"")</f>
        <v>0.29284492701746</v>
      </c>
      <c r="BP232" s="255">
        <f>IF(AND(ISNUMBER(BP191),ISNUMBER(BK191)),IFERROR(BP191/BK191-1,""),"")</f>
        <v>0.392596991290578</v>
      </c>
      <c r="BQ232" s="255">
        <f>IF(AND(ISNUMBER(BQ191),ISNUMBER(BL191)),IFERROR(BQ191/BL191-1,""),"")</f>
        <v>0.29980667429173</v>
      </c>
      <c r="BR232" s="255">
        <f>IF(AND(ISNUMBER(BR191),ISNUMBER(BM191)),IFERROR(BR191/BM191-1,""),"")</f>
        <v>0.185534272490794</v>
      </c>
      <c r="BS232" s="255">
        <f>IF(AND(ISNUMBER(BS191),ISNUMBER(BN191)),IFERROR(BS191/BN191-1,""),"")</f>
        <v>0.164969646355957</v>
      </c>
      <c r="BT232" s="255">
        <f>IF(AND(ISNUMBER(BT191),ISNUMBER(BO191)),IFERROR(BT191/BO191-1,""),"")</f>
        <v>0.23964806497262</v>
      </c>
      <c r="BU232" s="255">
        <f>IF(AND(ISNUMBER(BU191),ISNUMBER(BP191)),IFERROR(BU191/BP191-1,""),"")</f>
        <v>0.19322284447224</v>
      </c>
      <c r="BV232" s="255">
        <f>IF(AND(ISNUMBER(BV191),ISNUMBER(BQ191)),IFERROR(BV191/BQ191-1,""),"")</f>
        <v>0.196352507845534</v>
      </c>
      <c r="BW232" s="255">
        <f>IF(AND(ISNUMBER(BW191),ISNUMBER(BR191)),IFERROR(BW191/BR191-1,""),"")</f>
        <v>0.320947197446784</v>
      </c>
      <c r="BX232" s="255">
        <f>IF(AND(ISNUMBER(BX191),ISNUMBER(BS191)),IFERROR(BX191/BS191-1,""),"")</f>
        <v>0.330089056770245</v>
      </c>
      <c r="BY232" s="256">
        <f>IF(AND(ISNUMBER(BY191),ISNUMBER(BT191)),IFERROR(BY191/BT191-1,""),"")</f>
        <v>0.23927368519125</v>
      </c>
      <c r="BZ232" s="256">
        <f>IF(AND(ISNUMBER(BZ191),ISNUMBER(BU191)),IFERROR(BZ191/BU191-1,""),"")</f>
        <v>0.419795164776306</v>
      </c>
      <c r="CA232" s="256">
        <f>IF(AND(ISNUMBER(CA191),ISNUMBER(BV191)),IFERROR(CA191/BV191-1,""),"")</f>
        <v>0.328689691371506</v>
      </c>
      <c r="CB232" s="256">
        <f>IF(AND(ISNUMBER(CB191),ISNUMBER(CA191)),IFERROR(CB191/CA191-1,""),"")</f>
        <v>0.200095581125102</v>
      </c>
      <c r="CC232" s="256">
        <f>IF(AND(ISNUMBER(CC191),ISNUMBER(CB191)),IFERROR(CC191/CB191-1,""),"")</f>
        <v>0.167537130638559</v>
      </c>
      <c r="CD232" s="256">
        <f>IF(AND(ISNUMBER(CD191),ISNUMBER(CC191)),IFERROR(CD191/CC191-1,""),"")</f>
        <v>0.158226611144109</v>
      </c>
      <c r="CE232" s="256">
        <f>IF(AND(ISNUMBER(CE191),ISNUMBER(CD191)),IFERROR(CE191/CD191-1,""),"")</f>
        <v>0.132672486050819</v>
      </c>
      <c r="CF232" s="153" t="n"/>
    </row>
    <row r="233" ht="15" customHeight="1" s="251">
      <c r="B233" s="22" t="inlineStr">
        <is>
          <t xml:space="preserve">  Net income y/y %</t>
        </is>
      </c>
      <c r="C233" s="23" t="n"/>
      <c r="D233" s="255">
        <f>IF(AND(ISNUMBER(D149),ISNUMBER(C149)),IFERROR(D149/C149-1,""),"")</f>
        <v>0.365976852233964</v>
      </c>
      <c r="E233" s="255">
        <f>IF(AND(ISNUMBER(E149),ISNUMBER(D149)),IFERROR(E149/D149-1,""),"")</f>
        <v>0.00550417249483748</v>
      </c>
      <c r="F233" s="255">
        <f>IF(AND(ISNUMBER(F149),ISNUMBER(E149)),IFERROR(F149/E149-1,""),"")</f>
        <v>0.54262291281136</v>
      </c>
      <c r="G233" s="255">
        <f>IF(AND(ISNUMBER(G149),ISNUMBER(F149)),IFERROR(G149/F149-1,""),"")</f>
        <v>0.304358228146287</v>
      </c>
      <c r="H233" s="255">
        <f>IF(AND(ISNUMBER(H149),ISNUMBER(G149)),IFERROR(H149/G149-1,""),"")</f>
        <v>0.144855967078189</v>
      </c>
      <c r="I233" s="255">
        <f>IF(AND(ISNUMBER(I149),ISNUMBER(H149)),IFERROR(I149/H149-1,""),"")</f>
        <v>0.102701037280477</v>
      </c>
      <c r="J233" s="23" t="n"/>
      <c r="K233" s="23" t="n"/>
      <c r="L233" s="23" t="n"/>
      <c r="M233" s="23" t="n"/>
      <c r="N233" s="255">
        <f>IF(AND(ISNUMBER(N149),ISNUMBER(I149)),IFERROR(N149/I149-1,""),"")</f>
        <v>0.203315637515135</v>
      </c>
      <c r="O233" s="255">
        <f>IF(AND(ISNUMBER(O149),ISNUMBER(J149)),IFERROR(O149/J149-1,""),"")</f>
        <v>0.031679617453676</v>
      </c>
      <c r="P233" s="255">
        <f>IF(AND(ISNUMBER(P149),ISNUMBER(K149)),IFERROR(P149/K149-1,""),"")</f>
        <v>0.060099132589839</v>
      </c>
      <c r="Q233" s="255">
        <f>IF(AND(ISNUMBER(Q149),ISNUMBER(L149)),IFERROR(Q149/L149-1,""),"")</f>
        <v>-0.0528619528619528</v>
      </c>
      <c r="R233" s="255">
        <f>IF(AND(ISNUMBER(R149),ISNUMBER(M149)),IFERROR(R149/M149-1,""),"")</f>
        <v>0.409063981042654</v>
      </c>
      <c r="S233" s="255">
        <f>IF(AND(ISNUMBER(S149),ISNUMBER(N149)),IFERROR(S149/N149-1,""),"")</f>
        <v>0.117956656346749</v>
      </c>
      <c r="T233" s="255">
        <f>IF(AND(ISNUMBER(T149),ISNUMBER(O149)),IFERROR(T149/O149-1,""),"")</f>
        <v>0.0388180764774044</v>
      </c>
      <c r="U233" s="255">
        <f>IF(AND(ISNUMBER(U149),ISNUMBER(P149)),IFERROR(U149/P149-1,""),"")</f>
        <v>0.148743424897721</v>
      </c>
      <c r="V233" s="255">
        <f>IF(AND(ISNUMBER(V149),ISNUMBER(Q149)),IFERROR(V149/Q149-1,""),"")</f>
        <v>0.414504088162105</v>
      </c>
      <c r="W233" s="255">
        <f>IF(AND(ISNUMBER(W149),ISNUMBER(R149)),IFERROR(W149/R149-1,""),"")</f>
        <v>0.0348959428211058</v>
      </c>
      <c r="X233" s="255">
        <f>IF(AND(ISNUMBER(X149),ISNUMBER(S149)),IFERROR(X149/S149-1,""),"")</f>
        <v>0.131819440598172</v>
      </c>
      <c r="Y233" s="255">
        <f>IF(AND(ISNUMBER(Y149),ISNUMBER(T149)),IFERROR(Y149/T149-1,""),"")</f>
        <v>0.173173452314557</v>
      </c>
      <c r="Z233" s="255">
        <f>IF(AND(ISNUMBER(Z149),ISNUMBER(U149)),IFERROR(Z149/U149-1,""),"")</f>
        <v>0.240651233782752</v>
      </c>
      <c r="AA233" s="255">
        <f>IF(AND(ISNUMBER(AA149),ISNUMBER(V149)),IFERROR(AA149/V149-1,""),"")</f>
        <v>0.271927620005026</v>
      </c>
      <c r="AB233" s="255">
        <f>IF(AND(ISNUMBER(AB149),ISNUMBER(W149)),IFERROR(AB149/W149-1,""),"")</f>
        <v>0.0832825512898638</v>
      </c>
      <c r="AC233" s="255">
        <f>IF(AND(ISNUMBER(AC149),ISNUMBER(X149)),IFERROR(AC149/X149-1,""),"")</f>
        <v>0.191460729141179</v>
      </c>
      <c r="AD233" s="255">
        <f>IF(AND(ISNUMBER(AD149),ISNUMBER(Y149)),IFERROR(AD149/Y149-1,""),"")</f>
        <v>0.289755169954837</v>
      </c>
      <c r="AE233" s="255">
        <f>IF(AND(ISNUMBER(AE149),ISNUMBER(Z149)),IFERROR(AE149/Z149-1,""),"")</f>
        <v>-0.277424646298954</v>
      </c>
      <c r="AF233" s="255">
        <f>IF(AND(ISNUMBER(AF149),ISNUMBER(AA149)),IFERROR(AF149/AA149-1,""),"")</f>
        <v>0.330171902786011</v>
      </c>
      <c r="AG233" s="255">
        <f>IF(AND(ISNUMBER(AG149),ISNUMBER(AB149)),IFERROR(AG149/AB149-1,""),"")</f>
        <v>-1.56628539283705</v>
      </c>
      <c r="AH233" s="255">
        <f>IF(AND(ISNUMBER(AH149),ISNUMBER(AC149)),IFERROR(AH149/AC149-1,""),"")</f>
        <v>-0.349933258034706</v>
      </c>
      <c r="AI233" s="255">
        <f>IF(AND(ISNUMBER(AI149),ISNUMBER(AD149)),IFERROR(AI149/AD149-1,""),"")</f>
        <v>0.732583855510505</v>
      </c>
      <c r="AJ233" s="255">
        <f>IF(AND(ISNUMBER(AJ149),ISNUMBER(AE149)),IFERROR(AJ149/AE149-1,""),"")</f>
        <v>-0.0933598183881952</v>
      </c>
      <c r="AK233" s="255">
        <f>IF(AND(ISNUMBER(AK149),ISNUMBER(AF149)),IFERROR(AK149/AF149-1,""),"")</f>
        <v>0.36541889483066</v>
      </c>
      <c r="AL233" s="255">
        <f>IF(AND(ISNUMBER(AL149),ISNUMBER(AG149)),IFERROR(AL149/AG149-1,""),"")</f>
        <v>-3.96291390728477</v>
      </c>
      <c r="AM233" s="255">
        <f>IF(AND(ISNUMBER(AM149),ISNUMBER(AH149)),IFERROR(AM149/AH149-1,""),"")</f>
        <v>1.42742062865266</v>
      </c>
      <c r="AN233" s="255">
        <f>IF(AND(ISNUMBER(AN149),ISNUMBER(AI149)),IFERROR(AN149/AI149-1,""),"")</f>
        <v>-0.291883842144453</v>
      </c>
      <c r="AO233" s="255">
        <f>IF(AND(ISNUMBER(AO149),ISNUMBER(AJ149)),IFERROR(AO149/AJ149-1,""),"")</f>
        <v>2.1133020344288</v>
      </c>
      <c r="AP233" s="255">
        <f>IF(AND(ISNUMBER(AP149),ISNUMBER(AK149)),IFERROR(AP149/AK149-1,""),"")</f>
        <v>-0.231070496083551</v>
      </c>
      <c r="AQ233" s="255">
        <f>IF(AND(ISNUMBER(AQ149),ISNUMBER(AL149)),IFERROR(AQ149/AL149-1,""),"")</f>
        <v>0.192556995976755</v>
      </c>
      <c r="AR233" s="255">
        <f>IF(AND(ISNUMBER(AR149),ISNUMBER(AM149)),IFERROR(AR149/AM149-1,""),"")</f>
        <v>0.117354242581988</v>
      </c>
      <c r="AS233" s="255">
        <f>IF(AND(ISNUMBER(AS149),ISNUMBER(AN149)),IFERROR(AS149/AN149-1,""),"")</f>
        <v>0.0268889890340995</v>
      </c>
      <c r="AT233" s="255">
        <f>IF(AND(ISNUMBER(AT149),ISNUMBER(AO149)),IFERROR(AT149/AO149-1,""),"")</f>
        <v>-0.300392078013471</v>
      </c>
      <c r="AU233" s="255">
        <f>IF(AND(ISNUMBER(AU149),ISNUMBER(AP149)),IFERROR(AU149/AP149-1,""),"")</f>
        <v>0.59125636672326</v>
      </c>
      <c r="AV233" s="255">
        <f>IF(AND(ISNUMBER(AV149),ISNUMBER(AQ149)),IFERROR(AV149/AQ149-1,""),"")</f>
        <v>0.426951550932434</v>
      </c>
      <c r="AW233" s="255">
        <f>IF(AND(ISNUMBER(AW149),ISNUMBER(AR149)),IFERROR(AW149/AR149-1,""),"")</f>
        <v>0.172553358763067</v>
      </c>
      <c r="AX233" s="255">
        <f>IF(AND(ISNUMBER(AX149),ISNUMBER(AS149)),IFERROR(AX149/AS149-1,""),"")</f>
        <v>1.62287887653599</v>
      </c>
      <c r="AY233" s="255">
        <f>IF(AND(ISNUMBER(AY149),ISNUMBER(AT149)),IFERROR(AY149/AT149-1,""),"")</f>
        <v>1.66202040523064</v>
      </c>
      <c r="AZ233" s="255">
        <f>IF(AND(ISNUMBER(AZ149),ISNUMBER(AU149)),IFERROR(AZ149/AU149-1,""),"")</f>
        <v>0.683648973059483</v>
      </c>
      <c r="BA233" s="255">
        <f>IF(AND(ISNUMBER(BA149),ISNUMBER(AV149)),IFERROR(BA149/AV149-1,""),"")</f>
        <v>0.355618309581664</v>
      </c>
      <c r="BB233" s="255">
        <f>IF(AND(ISNUMBER(BB149),ISNUMBER(AW149)),IFERROR(BB149/AW149-1,""),"")</f>
        <v>0.888127343614195</v>
      </c>
      <c r="BC233" s="255">
        <f>IF(AND(ISNUMBER(BC149),ISNUMBER(AX149)),IFERROR(BC149/AX149-1,""),"")</f>
        <v>-0.0833240379252649</v>
      </c>
      <c r="BD233" s="255">
        <f>IF(AND(ISNUMBER(BD149),ISNUMBER(AY149)),IFERROR(BD149/AY149-1,""),"")</f>
        <v>-0.136194331983806</v>
      </c>
      <c r="BE233" s="255">
        <f>IF(AND(ISNUMBER(BE149),ISNUMBER(AZ149)),IFERROR(BE149/AZ149-1,""),"")</f>
        <v>-0.265420363329109</v>
      </c>
      <c r="BF233" s="255">
        <f>IF(AND(ISNUMBER(BF149),ISNUMBER(BA149)),IFERROR(BF149/BA149-1,""),"")</f>
        <v>-0.339986435422924</v>
      </c>
      <c r="BG233" s="255">
        <f>IF(AND(ISNUMBER(BG149),ISNUMBER(BB149)),IFERROR(BG149/BB149-1,""),"")</f>
        <v>-0.211237225941368</v>
      </c>
      <c r="BH233" s="255">
        <f>IF(AND(ISNUMBER(BH149),ISNUMBER(BC149)),IFERROR(BH149/BC149-1,""),"")</f>
        <v>-0.0842662448284254</v>
      </c>
      <c r="BI233" s="255">
        <f>IF(AND(ISNUMBER(BI149),ISNUMBER(BD149)),IFERROR(BI149/BD149-1,""),"")</f>
        <v>0.147856517935258</v>
      </c>
      <c r="BJ233" s="255">
        <f>IF(AND(ISNUMBER(BJ149),ISNUMBER(BE149)),IFERROR(BJ149/BE149-1,""),"")</f>
        <v>0.415456506110712</v>
      </c>
      <c r="BK233" s="255">
        <f>IF(AND(ISNUMBER(BK149),ISNUMBER(BF149)),IFERROR(BK149/BF149-1,""),"")</f>
        <v>0.518423370522607</v>
      </c>
      <c r="BL233" s="255">
        <f>IF(AND(ISNUMBER(BL149),ISNUMBER(BG149)),IFERROR(BL149/BG149-1,""),"")</f>
        <v>0.230490895751351</v>
      </c>
      <c r="BM233" s="255">
        <f>IF(AND(ISNUMBER(BM149),ISNUMBER(BH149)),IFERROR(BM149/BH149-1,""),"")</f>
        <v>0.572121453724005</v>
      </c>
      <c r="BN233" s="255">
        <f>IF(AND(ISNUMBER(BN149),ISNUMBER(BI149)),IFERROR(BN149/BI149-1,""),"")</f>
        <v>0.285877613240418</v>
      </c>
      <c r="BO233" s="255">
        <f>IF(AND(ISNUMBER(BO149),ISNUMBER(BJ149)),IFERROR(BO149/BJ149-1,""),"")</f>
        <v>0.335822032607039</v>
      </c>
      <c r="BP233" s="255">
        <f>IF(AND(ISNUMBER(BP149),ISNUMBER(BK149)),IFERROR(BP149/BK149-1,""),"")</f>
        <v>0.282737951370426</v>
      </c>
      <c r="BQ233" s="255">
        <f>IF(AND(ISNUMBER(BQ149),ISNUMBER(BL149)),IFERROR(BQ149/BL149-1,""),"")</f>
        <v>0.356704383765838</v>
      </c>
      <c r="BR233" s="255">
        <f>IF(AND(ISNUMBER(BR149),ISNUMBER(BM149)),IFERROR(BR149/BM149-1,""),"")</f>
        <v>0.459724452708985</v>
      </c>
      <c r="BS233" s="255">
        <f>IF(AND(ISNUMBER(BS149),ISNUMBER(BN149)),IFERROR(BS149/BN149-1,""),"")</f>
        <v>0.193784664888437</v>
      </c>
      <c r="BT233" s="255">
        <f>IF(AND(ISNUMBER(BT149),ISNUMBER(BO149)),IFERROR(BT149/BO149-1,""),"")</f>
        <v>0.329949431580548</v>
      </c>
      <c r="BU233" s="255">
        <f>IF(AND(ISNUMBER(BU149),ISNUMBER(BP149)),IFERROR(BU149/BP149-1,""),"")</f>
        <v>0.298424781429002</v>
      </c>
      <c r="BV233" s="255">
        <f>IF(AND(ISNUMBER(BV149),ISNUMBER(BQ149)),IFERROR(BV149/BQ149-1,""),"")</f>
        <v>0.320142232166044</v>
      </c>
      <c r="BW233" s="255">
        <f>IF(AND(ISNUMBER(BW149),ISNUMBER(BR149)),IFERROR(BW149/BR149-1,""),"")</f>
        <v>0.811754487550666</v>
      </c>
      <c r="BX233" s="255">
        <f>IF(AND(ISNUMBER(BX149),ISNUMBER(BS149)),IFERROR(BX149/BS149-1,""),"")</f>
        <v>2.97903958008228</v>
      </c>
      <c r="BY233" s="256">
        <f>IF(AND(ISNUMBER(BY149),ISNUMBER(BT149)),IFERROR(BY149/BT149-1,""),"")</f>
        <v>-0.00058883578310942</v>
      </c>
      <c r="BZ233" s="256">
        <f>IF(AND(ISNUMBER(BZ149),ISNUMBER(BU149)),IFERROR(BZ149/BU149-1,""),"")</f>
        <v>0.226643230634246</v>
      </c>
      <c r="CA233" s="256">
        <f>IF(AND(ISNUMBER(CA149),ISNUMBER(BV149)),IFERROR(CA149/BV149-1,""),"")</f>
        <v>0.906585425018125</v>
      </c>
      <c r="CB233" s="256">
        <f>IF(AND(ISNUMBER(CB149),ISNUMBER(CA149)),IFERROR(CB149/CA149-1,""),"")</f>
        <v>-0.353347507685789</v>
      </c>
      <c r="CC233" s="256">
        <f>IF(AND(ISNUMBER(CC149),ISNUMBER(CB149)),IFERROR(CC149/CB149-1,""),"")</f>
        <v>0.0804093270201165</v>
      </c>
      <c r="CD233" s="256">
        <f>IF(AND(ISNUMBER(CD149),ISNUMBER(CC149)),IFERROR(CD149/CC149-1,""),"")</f>
        <v>0.102149902338523</v>
      </c>
      <c r="CE233" s="256">
        <f>IF(AND(ISNUMBER(CE149),ISNUMBER(CD149)),IFERROR(CE149/CD149-1,""),"")</f>
        <v>0.0946718857959712</v>
      </c>
      <c r="CF233" s="153" t="n"/>
    </row>
    <row r="234" ht="15" customHeight="1" s="251">
      <c r="B234" s="22" t="inlineStr">
        <is>
          <t xml:space="preserve">  Adjusted EPS y/y %</t>
        </is>
      </c>
      <c r="C234" s="23" t="n"/>
      <c r="D234" s="255">
        <f>IF(AND(ISNUMBER(D209),ISNUMBER(C209)),IFERROR(D209/C209-1,""),"")</f>
        <v>0.337198072974666</v>
      </c>
      <c r="E234" s="255">
        <f>IF(AND(ISNUMBER(E209),ISNUMBER(D209)),IFERROR(E209/D209-1,""),"")</f>
        <v>0.169956205983788</v>
      </c>
      <c r="F234" s="255">
        <f>IF(AND(ISNUMBER(F209),ISNUMBER(E209)),IFERROR(F209/E209-1,""),"")</f>
        <v>0.312480872078826</v>
      </c>
      <c r="G234" s="255">
        <f>IF(AND(ISNUMBER(G209),ISNUMBER(F209)),IFERROR(G209/F209-1,""),"")</f>
        <v>0.288883523335038</v>
      </c>
      <c r="H234" s="255">
        <f>IF(AND(ISNUMBER(H209),ISNUMBER(G209)),IFERROR(H209/G209-1,""),"")</f>
        <v>0.130990227233529</v>
      </c>
      <c r="I234" s="255">
        <f>IF(AND(ISNUMBER(I209),ISNUMBER(H209)),IFERROR(I209/H209-1,""),"")</f>
        <v>0.0909648765156745</v>
      </c>
      <c r="J234" s="23" t="n"/>
      <c r="K234" s="23" t="n"/>
      <c r="L234" s="23" t="n"/>
      <c r="M234" s="23" t="n"/>
      <c r="N234" s="255">
        <f>IF(AND(ISNUMBER(N209),ISNUMBER(I209)),IFERROR(N209/I209-1,""),"")</f>
        <v>0.11044976244202</v>
      </c>
      <c r="O234" s="255">
        <f>IF(AND(ISNUMBER(O209),ISNUMBER(J209)),IFERROR(O209/J209-1,""),"")</f>
        <v>0.0790269057102377</v>
      </c>
      <c r="P234" s="255">
        <f>IF(AND(ISNUMBER(P209),ISNUMBER(K209)),IFERROR(P209/K209-1,""),"")</f>
        <v>0.347194062301205</v>
      </c>
      <c r="Q234" s="255">
        <f>IF(AND(ISNUMBER(Q209),ISNUMBER(L209)),IFERROR(Q209/L209-1,""),"")</f>
        <v>0.000185740071365847</v>
      </c>
      <c r="R234" s="255">
        <f>IF(AND(ISNUMBER(R209),ISNUMBER(M209)),IFERROR(R209/M209-1,""),"")</f>
        <v>0.110406641603954</v>
      </c>
      <c r="S234" s="255">
        <f>IF(AND(ISNUMBER(S209),ISNUMBER(N209)),IFERROR(S209/N209-1,""),"")</f>
        <v>0.124643274093026</v>
      </c>
      <c r="T234" s="255">
        <f>IF(AND(ISNUMBER(T209),ISNUMBER(O209)),IFERROR(T209/O209-1,""),"")</f>
        <v>-0.023641368306193</v>
      </c>
      <c r="U234" s="255">
        <f>IF(AND(ISNUMBER(U209),ISNUMBER(P209)),IFERROR(U209/P209-1,""),"")</f>
        <v>-0.0295926558664675</v>
      </c>
      <c r="V234" s="255">
        <f>IF(AND(ISNUMBER(V209),ISNUMBER(Q209)),IFERROR(V209/Q209-1,""),"")</f>
        <v>0.315550108750164</v>
      </c>
      <c r="W234" s="255">
        <f>IF(AND(ISNUMBER(W209),ISNUMBER(R209)),IFERROR(W209/R209-1,""),"")</f>
        <v>0.28303914705724</v>
      </c>
      <c r="X234" s="255">
        <f>IF(AND(ISNUMBER(X209),ISNUMBER(S209)),IFERROR(X209/S209-1,""),"")</f>
        <v>0.12666298159868</v>
      </c>
      <c r="Y234" s="255">
        <f>IF(AND(ISNUMBER(Y209),ISNUMBER(T209)),IFERROR(Y209/T209-1,""),"")</f>
        <v>0.156711032750782</v>
      </c>
      <c r="Z234" s="255">
        <f>IF(AND(ISNUMBER(Z209),ISNUMBER(U209)),IFERROR(Z209/U209-1,""),"")</f>
        <v>0.418370477429989</v>
      </c>
      <c r="AA234" s="255">
        <f>IF(AND(ISNUMBER(AA209),ISNUMBER(V209)),IFERROR(AA209/V209-1,""),"")</f>
        <v>0.264422875543024</v>
      </c>
      <c r="AB234" s="255">
        <f>IF(AND(ISNUMBER(AB209),ISNUMBER(W209)),IFERROR(AB209/W209-1,""),"")</f>
        <v>0.078330453757526</v>
      </c>
      <c r="AC234" s="255">
        <f>IF(AND(ISNUMBER(AC209),ISNUMBER(X209)),IFERROR(AC209/X209-1,""),"")</f>
        <v>0.220585177505266</v>
      </c>
      <c r="AD234" s="255">
        <f>IF(AND(ISNUMBER(AD209),ISNUMBER(Y209)),IFERROR(AD209/Y209-1,""),"")</f>
        <v>0.28474889842727</v>
      </c>
      <c r="AE234" s="255">
        <f>IF(AND(ISNUMBER(AE209),ISNUMBER(Z209)),IFERROR(AE209/Z209-1,""),"")</f>
        <v>0.271431768099892</v>
      </c>
      <c r="AF234" s="255">
        <f>IF(AND(ISNUMBER(AF209),ISNUMBER(AA209)),IFERROR(AF209/AA209-1,""),"")</f>
        <v>0.320199148210161</v>
      </c>
      <c r="AG234" s="255">
        <f>IF(AND(ISNUMBER(AG209),ISNUMBER(AB209)),IFERROR(AG209/AB209-1,""),"")</f>
        <v>0.273189994134916</v>
      </c>
      <c r="AH234" s="255">
        <f>IF(AND(ISNUMBER(AH209),ISNUMBER(AC209)),IFERROR(AH209/AC209-1,""),"")</f>
        <v>0.287601664127548</v>
      </c>
      <c r="AI234" s="255">
        <f>IF(AND(ISNUMBER(AI209),ISNUMBER(AD209)),IFERROR(AI209/AD209-1,""),"")</f>
        <v>0.285611308553074</v>
      </c>
      <c r="AJ234" s="255">
        <f>IF(AND(ISNUMBER(AJ209),ISNUMBER(AE209)),IFERROR(AJ209/AE209-1,""),"")</f>
        <v>0.186856809321141</v>
      </c>
      <c r="AK234" s="255">
        <f>IF(AND(ISNUMBER(AK209),ISNUMBER(AF209)),IFERROR(AK209/AF209-1,""),"")</f>
        <v>0.202996778551339</v>
      </c>
      <c r="AL234" s="255">
        <f>IF(AND(ISNUMBER(AL209),ISNUMBER(AG209)),IFERROR(AL209/AG209-1,""),"")</f>
        <v>0.318311713655189</v>
      </c>
      <c r="AM234" s="255">
        <f>IF(AND(ISNUMBER(AM209),ISNUMBER(AH209)),IFERROR(AM209/AH209-1,""),"")</f>
        <v>0.247554521148129</v>
      </c>
      <c r="AN234" s="255">
        <f>IF(AND(ISNUMBER(AN209),ISNUMBER(AI209)),IFERROR(AN209/AI209-1,""),"")</f>
        <v>0.0767061745440119</v>
      </c>
      <c r="AO234" s="255">
        <f>IF(AND(ISNUMBER(AO209),ISNUMBER(AJ209)),IFERROR(AO209/AJ209-1,""),"")</f>
        <v>0.0571609368186057</v>
      </c>
      <c r="AP234" s="255">
        <f>IF(AND(ISNUMBER(AP209),ISNUMBER(AK209)),IFERROR(AP209/AK209-1,""),"")</f>
        <v>0.0298736146168015</v>
      </c>
      <c r="AQ234" s="255">
        <f>IF(AND(ISNUMBER(AQ209),ISNUMBER(AL209)),IFERROR(AQ209/AL209-1,""),"")</f>
        <v>0.165644964785511</v>
      </c>
      <c r="AR234" s="255">
        <f>IF(AND(ISNUMBER(AR209),ISNUMBER(AM209)),IFERROR(AR209/AM209-1,""),"")</f>
        <v>0.0852078600693547</v>
      </c>
      <c r="AS234" s="255">
        <f>IF(AND(ISNUMBER(AS209),ISNUMBER(AN209)),IFERROR(AS209/AN209-1,""),"")</f>
        <v>0.00982494350881846</v>
      </c>
      <c r="AT234" s="255">
        <f>IF(AND(ISNUMBER(AT209),ISNUMBER(AO209)),IFERROR(AT209/AO209-1,""),"")</f>
        <v>-0.242604408745893</v>
      </c>
      <c r="AU234" s="255">
        <f>IF(AND(ISNUMBER(AU209),ISNUMBER(AP209)),IFERROR(AU209/AP209-1,""),"")</f>
        <v>0.199048513439479</v>
      </c>
      <c r="AV234" s="255">
        <f>IF(AND(ISNUMBER(AV209),ISNUMBER(AQ209)),IFERROR(AV209/AQ209-1,""),"")</f>
        <v>0.259323156725422</v>
      </c>
      <c r="AW234" s="255">
        <f>IF(AND(ISNUMBER(AW209),ISNUMBER(AR209)),IFERROR(AW209/AR209-1,""),"")</f>
        <v>0.0738084818403204</v>
      </c>
      <c r="AX234" s="255">
        <f>IF(AND(ISNUMBER(AX209),ISNUMBER(AS209)),IFERROR(AX209/AS209-1,""),"")</f>
        <v>0.914635826390158</v>
      </c>
      <c r="AY234" s="255">
        <f>IF(AND(ISNUMBER(AY209),ISNUMBER(AT209)),IFERROR(AY209/AT209-1,""),"")</f>
        <v>1.84243606834254</v>
      </c>
      <c r="AZ234" s="255">
        <f>IF(AND(ISNUMBER(AZ209),ISNUMBER(AU209)),IFERROR(AZ209/AU209-1,""),"")</f>
        <v>0.795309283175428</v>
      </c>
      <c r="BA234" s="255">
        <f>IF(AND(ISNUMBER(BA209),ISNUMBER(AV209)),IFERROR(BA209/AV209-1,""),"")</f>
        <v>0.469847303725557</v>
      </c>
      <c r="BB234" s="255">
        <f>IF(AND(ISNUMBER(BB209),ISNUMBER(AW209)),IFERROR(BB209/AW209-1,""),"")</f>
        <v>0.87349569915937</v>
      </c>
      <c r="BC234" s="255">
        <f>IF(AND(ISNUMBER(BC209),ISNUMBER(AX209)),IFERROR(BC209/AX209-1,""),"")</f>
        <v>0.251504425859761</v>
      </c>
      <c r="BD234" s="255">
        <f>IF(AND(ISNUMBER(BD209),ISNUMBER(AY209)),IFERROR(BD209/AY209-1,""),"")</f>
        <v>0.0182075472472512</v>
      </c>
      <c r="BE234" s="255">
        <f>IF(AND(ISNUMBER(BE209),ISNUMBER(AZ209)),IFERROR(BE209/AZ209-1,""),"")</f>
        <v>-0.136849849511253</v>
      </c>
      <c r="BF234" s="255">
        <f>IF(AND(ISNUMBER(BF209),ISNUMBER(BA209)),IFERROR(BF209/BA209-1,""),"")</f>
        <v>-0.171297781016455</v>
      </c>
      <c r="BG234" s="255">
        <f>IF(AND(ISNUMBER(BG209),ISNUMBER(BB209)),IFERROR(BG209/BB209-1,""),"")</f>
        <v>-0.0252319648963486</v>
      </c>
      <c r="BH234" s="255">
        <f>IF(AND(ISNUMBER(BH209),ISNUMBER(BC209)),IFERROR(BH209/BC209-1,""),"")</f>
        <v>0.0106127532895535</v>
      </c>
      <c r="BI234" s="255">
        <f>IF(AND(ISNUMBER(BI209),ISNUMBER(BD209)),IFERROR(BI209/BD209-1,""),"")</f>
        <v>0.186369150859313</v>
      </c>
      <c r="BJ234" s="255">
        <f>IF(AND(ISNUMBER(BJ209),ISNUMBER(BE209)),IFERROR(BJ209/BE209-1,""),"")</f>
        <v>0.4290935994194</v>
      </c>
      <c r="BK234" s="255">
        <f>IF(AND(ISNUMBER(BK209),ISNUMBER(BF209)),IFERROR(BK209/BF209-1,""),"")</f>
        <v>0.403901404439721</v>
      </c>
      <c r="BL234" s="255">
        <f>IF(AND(ISNUMBER(BL209),ISNUMBER(BG209)),IFERROR(BL209/BG209-1,""),"")</f>
        <v>0.245581589491808</v>
      </c>
      <c r="BM234" s="255">
        <f>IF(AND(ISNUMBER(BM209),ISNUMBER(BH209)),IFERROR(BM209/BH209-1,""),"")</f>
        <v>0.370352203656558</v>
      </c>
      <c r="BN234" s="255">
        <f>IF(AND(ISNUMBER(BN209),ISNUMBER(BI209)),IFERROR(BN209/BI209-1,""),"")</f>
        <v>0.333176166275727</v>
      </c>
      <c r="BO234" s="255">
        <f>IF(AND(ISNUMBER(BO209),ISNUMBER(BJ209)),IFERROR(BO209/BJ209-1,""),"")</f>
        <v>0.272238279122066</v>
      </c>
      <c r="BP234" s="255">
        <f>IF(AND(ISNUMBER(BP209),ISNUMBER(BK209)),IFERROR(BP209/BK209-1,""),"")</f>
        <v>0.325002062475603</v>
      </c>
      <c r="BQ234" s="255">
        <f>IF(AND(ISNUMBER(BQ209),ISNUMBER(BL209)),IFERROR(BQ209/BL209-1,""),"")</f>
        <v>0.323193420642405</v>
      </c>
      <c r="BR234" s="255">
        <f>IF(AND(ISNUMBER(BR209),ISNUMBER(BM209)),IFERROR(BR209/BM209-1,""),"")</f>
        <v>0.217793394644826</v>
      </c>
      <c r="BS234" s="255">
        <f>IF(AND(ISNUMBER(BS209),ISNUMBER(BN209)),IFERROR(BS209/BN209-1,""),"")</f>
        <v>0.151295452250795</v>
      </c>
      <c r="BT234" s="255">
        <f>IF(AND(ISNUMBER(BT209),ISNUMBER(BO209)),IFERROR(BT209/BO209-1,""),"")</f>
        <v>0.226203759661348</v>
      </c>
      <c r="BU234" s="255">
        <f>IF(AND(ISNUMBER(BU209),ISNUMBER(BP209)),IFERROR(BU209/BP209-1,""),"")</f>
        <v>0.255466226184967</v>
      </c>
      <c r="BV234" s="255">
        <f>IF(AND(ISNUMBER(BV209),ISNUMBER(BQ209)),IFERROR(BV209/BQ209-1,""),"")</f>
        <v>0.214048498979717</v>
      </c>
      <c r="BW234" s="255">
        <f>IF(AND(ISNUMBER(BW209),ISNUMBER(BR209)),IFERROR(BW209/BR209-1,""),"")</f>
        <v>0.250778513262627</v>
      </c>
      <c r="BX234" s="255">
        <f>IF(AND(ISNUMBER(BX209),ISNUMBER(BS209)),IFERROR(BX209/BS209-1,""),"")</f>
        <v>0.234988250763879</v>
      </c>
      <c r="BY234" s="256">
        <f>IF(AND(ISNUMBER(BY209),ISNUMBER(BT209)),IFERROR(BY209/BT209-1,""),"")</f>
        <v>0.14468435692134</v>
      </c>
      <c r="BZ234" s="256">
        <f>IF(AND(ISNUMBER(BZ209),ISNUMBER(BU209)),IFERROR(BZ209/BU209-1,""),"")</f>
        <v>0.26978686249777</v>
      </c>
      <c r="CA234" s="256">
        <f>IF(AND(ISNUMBER(CA209),ISNUMBER(BV209)),IFERROR(CA209/BV209-1,""),"")</f>
        <v>0.226561227974779</v>
      </c>
      <c r="CB234" s="256">
        <f>IF(AND(ISNUMBER(CB209),ISNUMBER(CA209)),IFERROR(CB209/CA209-1,""),"")</f>
        <v>0.113957593936341</v>
      </c>
      <c r="CC234" s="256">
        <f>IF(AND(ISNUMBER(CC209),ISNUMBER(CB209)),IFERROR(CC209/CB209-1,""),"")</f>
        <v>0.0735587012981871</v>
      </c>
      <c r="CD234" s="256">
        <f>IF(AND(ISNUMBER(CD209),ISNUMBER(CC209)),IFERROR(CD209/CC209-1,""),"")</f>
        <v>0.0925023972210022</v>
      </c>
      <c r="CE234" s="256">
        <f>IF(AND(ISNUMBER(CE209),ISNUMBER(CD209)),IFERROR(CE209/CD209-1,""),"")</f>
        <v>0.083969714135798</v>
      </c>
      <c r="CF234" s="153" t="n"/>
    </row>
    <row r="235" ht="15" customHeight="1" s="251">
      <c r="B235" s="25" t="inlineStr">
        <is>
          <t xml:space="preserve">  Gross margin %</t>
        </is>
      </c>
      <c r="C235" s="215">
        <f>IF(ISNUMBER(C133),IFERROR(1-C133/C132,""),"")</f>
        <v>0.601597353378626</v>
      </c>
      <c r="D235" s="215">
        <f>IF(ISNUMBER(D133),IFERROR(1-D133/D132,""),"")</f>
        <v>0.599307544311536</v>
      </c>
      <c r="E235" s="215">
        <f>IF(ISNUMBER(E133),IFERROR(1-E133/E132,""),"")</f>
        <v>0.604437327803153</v>
      </c>
      <c r="F235" s="215">
        <f>IF(ISNUMBER(F133),IFERROR(1-F133/F132,""),"")</f>
        <v>0.626050551101046</v>
      </c>
      <c r="G235" s="215">
        <f>IF(ISNUMBER(G133),IFERROR(1-G133/G132,""),"")</f>
        <v>0.644725623273422</v>
      </c>
      <c r="H235" s="215">
        <f>IF(ISNUMBER(H133),IFERROR(1-H133/H132,""),"")</f>
        <v>0.65207756232687</v>
      </c>
      <c r="I235" s="215">
        <f>IF(ISNUMBER(I133),IFERROR(1-I133/I132,""),"")</f>
        <v>0.588759342301943</v>
      </c>
      <c r="J235" s="215">
        <f>IF(ISNUMBER(J133),IFERROR(1-J133/J132,""),"")</f>
        <v>0.574486362660176</v>
      </c>
      <c r="K235" s="215">
        <f>IF(ISNUMBER(K133),IFERROR(1-K133/K132,""),"")</f>
        <v>0.570152428216944</v>
      </c>
      <c r="L235" s="215">
        <f>IF(ISNUMBER(L133),IFERROR(1-L133/L132,""),"")</f>
        <v>0.569395017793594</v>
      </c>
      <c r="M235" s="215">
        <f>IF(ISNUMBER(M133),IFERROR(1-M133/M132,""),"")</f>
        <v>0.558785146517974</v>
      </c>
      <c r="N235" s="215">
        <f>IF(ISNUMBER(N133),IFERROR(1-N133/N132,""),"")</f>
        <v>0.567772670288341</v>
      </c>
      <c r="O235" s="215">
        <f>IF(ISNUMBER(O133),IFERROR(1-O133/O132,""),"")</f>
        <v>0.613424124513619</v>
      </c>
      <c r="P235" s="215">
        <f>IF(ISNUMBER(P133),IFERROR(1-P133/P132,""),"")</f>
        <v>0.616797242243811</v>
      </c>
      <c r="Q235" s="215">
        <f>IF(ISNUMBER(Q133),IFERROR(1-Q133/Q132,""),"")</f>
        <v>0.594807238394965</v>
      </c>
      <c r="R235" s="215">
        <f>IF(ISNUMBER(R133),IFERROR(1-R133/R132,""),"")</f>
        <v>0.617687676075789</v>
      </c>
      <c r="S235" s="215">
        <f>IF(ISNUMBER(S133),IFERROR(1-S133/S132,""),"")</f>
        <v>0.610748321995121</v>
      </c>
      <c r="T235" s="215">
        <f>IF(ISNUMBER(T133),IFERROR(1-T133/T132,""),"")</f>
        <v>0.63170703441882</v>
      </c>
      <c r="U235" s="215">
        <f>IF(ISNUMBER(U133),IFERROR(1-U133/U132,""),"")</f>
        <v>0.628645568906188</v>
      </c>
      <c r="V235" s="215">
        <f>IF(ISNUMBER(V133),IFERROR(1-V133/V132,""),"")</f>
        <v>0.623186077643909</v>
      </c>
      <c r="W235" s="215">
        <f>IF(ISNUMBER(W133),IFERROR(1-W133/W132,""),"")</f>
        <v>0.616109522246706</v>
      </c>
      <c r="X235" s="215">
        <f>IF(ISNUMBER(X133),IFERROR(1-X133/X132,""),"")</f>
        <v>0.624424915654296</v>
      </c>
      <c r="Y235" s="215">
        <f>IF(ISNUMBER(Y133),IFERROR(1-Y133/Y132,""),"")</f>
        <v>0.622451498247519</v>
      </c>
      <c r="Z235" s="215">
        <f>IF(ISNUMBER(Z133),IFERROR(1-Z133/Z132,""),"")</f>
        <v>0.621860465116279</v>
      </c>
      <c r="AA235" s="215">
        <f>IF(ISNUMBER(AA133),IFERROR(1-AA133/AA132,""),"")</f>
        <v>0.612533962852434</v>
      </c>
      <c r="AB235" s="215">
        <f>IF(ISNUMBER(AB133),IFERROR(1-AB133/AB132,""),"")</f>
        <v>0.590968385512585</v>
      </c>
      <c r="AC235" s="215">
        <f>IF(ISNUMBER(AC133),IFERROR(1-AC133/AC132,""),"")</f>
        <v>0.610754165189649</v>
      </c>
      <c r="AD235" s="215">
        <f>IF(ISNUMBER(AD133),IFERROR(1-AD133/AD132,""),"")</f>
        <v>0.604242424242424</v>
      </c>
      <c r="AE235" s="215">
        <f>IF(ISNUMBER(AE133),IFERROR(1-AE133/AE132,""),"")</f>
        <v>0.601191849288735</v>
      </c>
      <c r="AF235" s="215">
        <f>IF(ISNUMBER(AF133),IFERROR(1-AF133/AF132,""),"")</f>
        <v>0.598588506409333</v>
      </c>
      <c r="AG235" s="215">
        <f>IF(ISNUMBER(AG133),IFERROR(1-AG133/AG132,""),"")</f>
        <v>0.558611515020264</v>
      </c>
      <c r="AH235" s="215">
        <f>IF(ISNUMBER(AH133),IFERROR(1-AH133/AH132,""),"")</f>
        <v>0.588805195976726</v>
      </c>
      <c r="AI235" s="215">
        <f>IF(ISNUMBER(AI133),IFERROR(1-AI133/AI132,""),"")</f>
        <v>0.56761702947409</v>
      </c>
      <c r="AJ235" s="215">
        <f>IF(ISNUMBER(AJ133),IFERROR(1-AJ133/AJ132,""),"")</f>
        <v>0.574884404568699</v>
      </c>
      <c r="AK235" s="215">
        <f>IF(ISNUMBER(AK133),IFERROR(1-AK133/AK132,""),"")</f>
        <v>0.576733847065797</v>
      </c>
      <c r="AL235" s="215">
        <f>IF(ISNUMBER(AL133),IFERROR(1-AL133/AL132,""),"")</f>
        <v>0.543792646909054</v>
      </c>
      <c r="AM235" s="215">
        <f>IF(ISNUMBER(AM133),IFERROR(1-AM133/AM132,""),"")</f>
        <v>0.564760742294564</v>
      </c>
      <c r="AN235" s="215">
        <f>IF(ISNUMBER(AN133),IFERROR(1-AN133/AN132,""),"")</f>
        <v>0.559371474173753</v>
      </c>
      <c r="AO235" s="215">
        <f>IF(ISNUMBER(AO133),IFERROR(1-AO133/AO132,""),"")</f>
        <v>0.555875102711586</v>
      </c>
      <c r="AP235" s="215">
        <f>IF(ISNUMBER(AP133),IFERROR(1-AP133/AP132,""),"")</f>
        <v>0.566211511395343</v>
      </c>
      <c r="AQ235" s="215">
        <f>IF(ISNUMBER(AQ133),IFERROR(1-AQ133/AQ132,""),"")</f>
        <v>0.543787303309821</v>
      </c>
      <c r="AR235" s="215">
        <f>IF(ISNUMBER(AR133),IFERROR(1-AR133/AR132,""),"")</f>
        <v>0.555805433191027</v>
      </c>
      <c r="AS235" s="215">
        <f>IF(ISNUMBER(AS133),IFERROR(1-AS133/AS132,""),"")</f>
        <v>0.538812896328871</v>
      </c>
      <c r="AT235" s="215">
        <f>IF(ISNUMBER(AT133),IFERROR(1-AT133/AT132,""),"")</f>
        <v>0.515549520850197</v>
      </c>
      <c r="AU235" s="215">
        <f>IF(ISNUMBER(AU133),IFERROR(1-AU133/AU132,""),"")</f>
        <v>0.542654798258723</v>
      </c>
      <c r="AV235" s="215">
        <f>IF(ISNUMBER(AV133),IFERROR(1-AV133/AV132,""),"")</f>
        <v>0.541635909873809</v>
      </c>
      <c r="AW235" s="215">
        <f>IF(ISNUMBER(AW133),IFERROR(1-AW133/AW132,""),"")</f>
        <v>0.535783747062079</v>
      </c>
      <c r="AX235" s="215">
        <f>IF(ISNUMBER(AX133),IFERROR(1-AX133/AX132,""),"")</f>
        <v>0.564251364934736</v>
      </c>
      <c r="AY235" s="215">
        <f>IF(ISNUMBER(AY133),IFERROR(1-AY133/AY132,""),"")</f>
        <v>0.576163542340013</v>
      </c>
      <c r="AZ235" s="215">
        <f>IF(ISNUMBER(AZ133),IFERROR(1-AZ133/AZ132,""),"")</f>
        <v>0.575831567308578</v>
      </c>
      <c r="BA235" s="215">
        <f>IF(ISNUMBER(BA133),IFERROR(1-BA133/BA132,""),"")</f>
        <v>0.562057749751079</v>
      </c>
      <c r="BB235" s="215">
        <f>IF(ISNUMBER(BB133),IFERROR(1-BB133/BB132,""),"")</f>
        <v>0.569398029009808</v>
      </c>
      <c r="BC235" s="215">
        <f>IF(ISNUMBER(BC133),IFERROR(1-BC133/BC132,""),"")</f>
        <v>0.564790989692844</v>
      </c>
      <c r="BD235" s="215">
        <f>IF(ISNUMBER(BD133),IFERROR(1-BD133/BD132,""),"")</f>
        <v>0.567998851976753</v>
      </c>
      <c r="BE235" s="215">
        <f>IF(ISNUMBER(BE133),IFERROR(1-BE133/BE132,""),"")</f>
        <v>0.54903606785156</v>
      </c>
      <c r="BF235" s="215">
        <f>IF(ISNUMBER(BF133),IFERROR(1-BF133/BF132,""),"")</f>
        <v>0.53526719966337</v>
      </c>
      <c r="BG235" s="215">
        <f>IF(ISNUMBER(BG133),IFERROR(1-BG133/BG132,""),"")</f>
        <v>0.553794425037831</v>
      </c>
      <c r="BH235" s="215">
        <f>IF(ISNUMBER(BH133),IFERROR(1-BH133/BH132,""),"")</f>
        <v>0.561350967945319</v>
      </c>
      <c r="BI235" s="215">
        <f>IF(ISNUMBER(BI133),IFERROR(1-BI133/BI132,""),"")</f>
        <v>0.572194520401051</v>
      </c>
      <c r="BJ235" s="215">
        <f>IF(ISNUMBER(BJ133),IFERROR(1-BJ133/BJ132,""),"")</f>
        <v>0.566727080698369</v>
      </c>
      <c r="BK235" s="215">
        <f>IF(ISNUMBER(BK133),IFERROR(1-BK133/BK132,""),"")</f>
        <v>0.564650677789364</v>
      </c>
      <c r="BL235" s="215">
        <f>IF(ISNUMBER(BL133),IFERROR(1-BL133/BL132,""),"")</f>
        <v>0.566250479840205</v>
      </c>
      <c r="BM235" s="215">
        <f>IF(ISNUMBER(BM133),IFERROR(1-BM133/BM132,""),"")</f>
        <v>0.581420181526962</v>
      </c>
      <c r="BN235" s="215">
        <f>IF(ISNUMBER(BN133),IFERROR(1-BN133/BN132,""),"")</f>
        <v>0.580998796346558</v>
      </c>
      <c r="BO235" s="215">
        <f>IF(ISNUMBER(BO133),IFERROR(1-BO133/BO132,""),"")</f>
        <v>0.586781166447637</v>
      </c>
      <c r="BP235" s="215">
        <f>IF(ISNUMBER(BP133),IFERROR(1-BP133/BP132,""),"")</f>
        <v>0.579004654344919</v>
      </c>
      <c r="BQ235" s="215">
        <f>IF(ISNUMBER(BQ133),IFERROR(1-BQ133/BQ132,""),"")</f>
        <v>0.582004354061791</v>
      </c>
      <c r="BR235" s="215">
        <f>IF(ISNUMBER(BR133),IFERROR(1-BR133/BR132,""),"")</f>
        <v>0.597036593745152</v>
      </c>
      <c r="BS235" s="215">
        <f>IF(ISNUMBER(BS133),IFERROR(1-BS133/BS132,""),"")</f>
        <v>0.595148711992367</v>
      </c>
      <c r="BT235" s="215">
        <f>IF(ISNUMBER(BT133),IFERROR(1-BT133/BT132,""),"")</f>
        <v>0.595792703183319</v>
      </c>
      <c r="BU235" s="215">
        <f>IF(ISNUMBER(BU133),IFERROR(1-BU133/BU132,""),"")</f>
        <v>0.597931985697845</v>
      </c>
      <c r="BV235" s="215">
        <f>IF(ISNUMBER(BV133),IFERROR(1-BV133/BV132,""),"")</f>
        <v>0.5965231508604</v>
      </c>
      <c r="BW235" s="215">
        <f>IF(ISNUMBER(BW133),IFERROR(1-BW133/BW132,""),"")</f>
        <v>0.624454029264032</v>
      </c>
      <c r="BX235" s="215">
        <f>IF(ISNUMBER(BX133),IFERROR(1-BX133/BX132,""),"")</f>
        <v>0.616489699155231</v>
      </c>
      <c r="BY235" s="256">
        <f>IF(ISNUMBER(BY133),IFERROR(1-BY133/BY132,""),"")</f>
        <v>0.59969980952777</v>
      </c>
      <c r="BZ235" s="256">
        <f>IF(ISNUMBER(BZ133),IFERROR(1-BZ133/BZ132,""),"")</f>
        <v>0.645633316785868</v>
      </c>
      <c r="CA235" s="256">
        <f>IF(ISNUMBER(CA133),IFERROR(1-CA133/CA132,""),"")</f>
        <v>0.622247871139915</v>
      </c>
      <c r="CB235" s="256">
        <f>IF(ISNUMBER(CB133),IFERROR(1-CB133/CB132,""),"")</f>
        <v>0.600789418828486</v>
      </c>
      <c r="CC235" s="256">
        <f>IF(ISNUMBER(CC133),IFERROR(1-CC133/CC132,""),"")</f>
        <v>0.584592899650073</v>
      </c>
      <c r="CD235" s="256">
        <f>IF(ISNUMBER(CD133),IFERROR(1-CD133/CD132,""),"")</f>
        <v>0.577725151160693</v>
      </c>
      <c r="CE235" s="256">
        <f>IF(ISNUMBER(CE133),IFERROR(1-CE133/CE132,""),"")</f>
        <v>0.572254092831352</v>
      </c>
      <c r="CF235" s="153" t="n"/>
      <c r="CH235" s="37">
        <f>IFERROR(AVERAGE(CA235,CB235,CC235,CD235,CE235),"n/m")</f>
        <v>0.591521886722104</v>
      </c>
      <c r="CI235" s="37">
        <f>IFERROR(AVERAGE(BB235,BG235,BL235,BQ235,BV235),"n/m")</f>
        <v>0.573594087762007</v>
      </c>
      <c r="CJ235" s="37">
        <f>IFERROR(AVERAGE(AC235,AH235,AM235,AR235,AW235,BB235,BG235,BL235,BQ235,BV235),"n/m")</f>
        <v>0.572387972252408</v>
      </c>
      <c r="CK235" s="37">
        <f>IFERROR(AVERAGE(C235,D235,E235,F235,G235,H235,I235,N235,S235,X235,AC235,AH235,AM235,AR235,AW235,BB235,BG235,BL235,BQ235,BV235),"n/m")</f>
        <v>0.592189046747922</v>
      </c>
    </row>
    <row r="236" ht="15" customHeight="1" s="251">
      <c r="B236" s="25" t="inlineStr">
        <is>
          <t xml:space="preserve">  Adjusted operating margin %</t>
        </is>
      </c>
      <c r="C236" s="215">
        <f>IF(AND(ISNUMBER(C173),ISNUMBER(C132)),IFERROR(C173/C132,""),"")</f>
        <v>0.334750003229634</v>
      </c>
      <c r="D236" s="215">
        <f>IF(AND(ISNUMBER(D173),ISNUMBER(D132)),IFERROR(D173/D132,""),"")</f>
        <v>0.306400162082817</v>
      </c>
      <c r="E236" s="215">
        <f>IF(AND(ISNUMBER(E173),ISNUMBER(E132)),IFERROR(E173/E132,""),"")</f>
        <v>0.304280873848102</v>
      </c>
      <c r="F236" s="215">
        <f>IF(AND(ISNUMBER(F173),ISNUMBER(F132)),IFERROR(F173/F132,""),"")</f>
        <v>0.351458271839026</v>
      </c>
      <c r="G236" s="215">
        <f>IF(AND(ISNUMBER(G173),ISNUMBER(G132)),IFERROR(G173/G132,""),"")</f>
        <v>0.354046587769858</v>
      </c>
      <c r="H236" s="215">
        <f>IF(AND(ISNUMBER(H173),ISNUMBER(H132)),IFERROR(H173/H132,""),"")</f>
        <v>0.309774436090226</v>
      </c>
      <c r="I236" s="215">
        <f>IF(AND(ISNUMBER(I173),ISNUMBER(I132)),IFERROR(I173/I132,""),"")</f>
        <v>0.254309915296462</v>
      </c>
      <c r="J236" s="215">
        <f>IF(AND(ISNUMBER(J173),ISNUMBER(J132)),IFERROR(J173/J132,""),"")</f>
        <v>0.248908296943231</v>
      </c>
      <c r="K236" s="215">
        <f>IF(AND(ISNUMBER(K173),ISNUMBER(K132)),IFERROR(K173/K132,""),"")</f>
        <v>0.221410847217299</v>
      </c>
      <c r="L236" s="215">
        <f>IF(AND(ISNUMBER(L173),ISNUMBER(L132)),IFERROR(L173/L132,""),"")</f>
        <v>0.231249580339757</v>
      </c>
      <c r="M236" s="215">
        <f>IF(AND(ISNUMBER(M173),ISNUMBER(M132)),IFERROR(M173/M132,""),"")</f>
        <v>0.232649187329458</v>
      </c>
      <c r="N236" s="215">
        <f>IF(AND(ISNUMBER(N173),ISNUMBER(N132)),IFERROR(N173/N132,""),"")</f>
        <v>0.233447555369829</v>
      </c>
      <c r="O236" s="215">
        <f>IF(AND(ISNUMBER(O173),ISNUMBER(O132)),IFERROR(O173/O132,""),"")</f>
        <v>0.26686121919585</v>
      </c>
      <c r="P236" s="215">
        <f>IF(AND(ISNUMBER(P173),ISNUMBER(P132)),IFERROR(P173/P132,""),"")</f>
        <v>0.266875587590097</v>
      </c>
      <c r="Q236" s="215">
        <f>IF(AND(ISNUMBER(Q173),ISNUMBER(Q132)),IFERROR(Q173/Q132,""),"")</f>
        <v>0.225382799733705</v>
      </c>
      <c r="R236" s="215">
        <f>IF(AND(ISNUMBER(R173),ISNUMBER(R132)),IFERROR(R173/R132,""),"")</f>
        <v>0.242998398055571</v>
      </c>
      <c r="S236" s="215">
        <f>IF(AND(ISNUMBER(S173),ISNUMBER(S132)),IFERROR(S173/S132,""),"")</f>
        <v>0.249935607036257</v>
      </c>
      <c r="T236" s="215">
        <f>IF(AND(ISNUMBER(T173),ISNUMBER(T132)),IFERROR(T173/T132,""),"")</f>
        <v>0.257677598794762</v>
      </c>
      <c r="U236" s="215">
        <f>IF(AND(ISNUMBER(U173),ISNUMBER(U132)),IFERROR(U173/U132,""),"")</f>
        <v>0.272183674620635</v>
      </c>
      <c r="V236" s="215">
        <f>IF(AND(ISNUMBER(V173),ISNUMBER(V132)),IFERROR(V173/V132,""),"")</f>
        <v>0.252101740294511</v>
      </c>
      <c r="W236" s="215">
        <f>IF(AND(ISNUMBER(W173),ISNUMBER(W132)),IFERROR(W173/W132,""),"")</f>
        <v>0.252238735993249</v>
      </c>
      <c r="X236" s="215">
        <f>IF(AND(ISNUMBER(X173),ISNUMBER(X132)),IFERROR(X173/X132,""),"")</f>
        <v>0.258171198442438</v>
      </c>
      <c r="Y236" s="215">
        <f>IF(AND(ISNUMBER(Y173),ISNUMBER(Y132)),IFERROR(Y173/Y132,""),"")</f>
        <v>0.263711309670731</v>
      </c>
      <c r="Z236" s="215">
        <f>IF(AND(ISNUMBER(Z173),ISNUMBER(Z132)),IFERROR(Z173/Z132,""),"")</f>
        <v>0.277581395348837</v>
      </c>
      <c r="AA236" s="215">
        <f>IF(AND(ISNUMBER(AA173),ISNUMBER(AA132)),IFERROR(AA173/AA132,""),"")</f>
        <v>0.256870518017015</v>
      </c>
      <c r="AB236" s="215">
        <f>IF(AND(ISNUMBER(AB173),ISNUMBER(AB132)),IFERROR(AB173/AB132,""),"")</f>
        <v>0.254719152854512</v>
      </c>
      <c r="AC236" s="215">
        <f>IF(AND(ISNUMBER(AC173),ISNUMBER(AC132)),IFERROR(AC173/AC132,""),"")</f>
        <v>0.262717121588089</v>
      </c>
      <c r="AD236" s="215">
        <f>IF(AND(ISNUMBER(AD173),ISNUMBER(AD132)),IFERROR(AD173/AD132,""),"")</f>
        <v>0.265373737373737</v>
      </c>
      <c r="AE236" s="215">
        <f>IF(AND(ISNUMBER(AE173),ISNUMBER(AE132)),IFERROR(AE173/AE132,""),"")</f>
        <v>0.264052287581699</v>
      </c>
      <c r="AF236" s="215">
        <f>IF(AND(ISNUMBER(AF173),ISNUMBER(AF132)),IFERROR(AF173/AF132,""),"")</f>
        <v>0.280210283739018</v>
      </c>
      <c r="AG236" s="215">
        <f>IF(AND(ISNUMBER(AG173),ISNUMBER(AG132)),IFERROR(AG173/AG132,""),"")</f>
        <v>0.237106704204436</v>
      </c>
      <c r="AH236" s="215">
        <f>IF(AND(ISNUMBER(AH173),ISNUMBER(AH132)),IFERROR(AH173/AH132,""),"")</f>
        <v>0.260538541337784</v>
      </c>
      <c r="AI236" s="215">
        <f>IF(AND(ISNUMBER(AI173),ISNUMBER(AI132)),IFERROR(AI173/AI132,""),"")</f>
        <v>0.224780068066525</v>
      </c>
      <c r="AJ236" s="215">
        <f>IF(AND(ISNUMBER(AJ173),ISNUMBER(AJ132)),IFERROR(AJ173/AJ132,""),"")</f>
        <v>0.241234651070215</v>
      </c>
      <c r="AK236" s="215">
        <f>IF(AND(ISNUMBER(AK173),ISNUMBER(AK132)),IFERROR(AK173/AK132,""),"")</f>
        <v>0.246295198577356</v>
      </c>
      <c r="AL236" s="215">
        <f>IF(AND(ISNUMBER(AL173),ISNUMBER(AL132)),IFERROR(AL173/AL132,""),"")</f>
        <v>0.20885528057847</v>
      </c>
      <c r="AM236" s="215">
        <f>IF(AND(ISNUMBER(AM173),ISNUMBER(AM132)),IFERROR(AM173/AM132,""),"")</f>
        <v>0.229441817291458</v>
      </c>
      <c r="AN236" s="215">
        <f>IF(AND(ISNUMBER(AN173),ISNUMBER(AN132)),IFERROR(AN173/AN132,""),"")</f>
        <v>0.228542337433611</v>
      </c>
      <c r="AO236" s="215">
        <f>IF(AND(ISNUMBER(AO173),ISNUMBER(AO132)),IFERROR(AO173/AO132,""),"")</f>
        <v>0.235723089564503</v>
      </c>
      <c r="AP236" s="215">
        <f>IF(AND(ISNUMBER(AP173),ISNUMBER(AP132)),IFERROR(AP173/AP132,""),"")</f>
        <v>0.226598187609571</v>
      </c>
      <c r="AQ236" s="215">
        <f>IF(AND(ISNUMBER(AQ173),ISNUMBER(AQ132)),IFERROR(AQ173/AQ132,""),"")</f>
        <v>0.201106890938687</v>
      </c>
      <c r="AR236" s="215">
        <f>IF(AND(ISNUMBER(AR173),ISNUMBER(AR132)),IFERROR(AR173/AR132,""),"")</f>
        <v>0.221973717540792</v>
      </c>
      <c r="AS236" s="215">
        <f>IF(AND(ISNUMBER(AS173),ISNUMBER(AS132)),IFERROR(AS173/AS132,""),"")</f>
        <v>0.193809373405574</v>
      </c>
      <c r="AT236" s="215">
        <f>IF(AND(ISNUMBER(AT173),ISNUMBER(AT132)),IFERROR(AT173/AT132,""),"")</f>
        <v>0.166671018617646</v>
      </c>
      <c r="AU236" s="215">
        <f>IF(AND(ISNUMBER(AU173),ISNUMBER(AU132)),IFERROR(AU173/AU132,""),"")</f>
        <v>0.24284755159942</v>
      </c>
      <c r="AV236" s="215">
        <f>IF(AND(ISNUMBER(AV173),ISNUMBER(AV132)),IFERROR(AV173/AV132,""),"")</f>
        <v>0.275071180006327</v>
      </c>
      <c r="AW236" s="215">
        <f>IF(AND(ISNUMBER(AW173),ISNUMBER(AW132)),IFERROR(AW173/AW132,""),"")</f>
        <v>0.225851517857632</v>
      </c>
      <c r="AX236" s="215">
        <f>IF(AND(ISNUMBER(AX173),ISNUMBER(AX132)),IFERROR(AX173/AX132,""),"")</f>
        <v>0.297158043171711</v>
      </c>
      <c r="AY236" s="215">
        <f>IF(AND(ISNUMBER(AY173),ISNUMBER(AY132)),IFERROR(AY173/AY132,""),"")</f>
        <v>0.312879767291532</v>
      </c>
      <c r="AZ236" s="215">
        <f>IF(AND(ISNUMBER(AZ173),ISNUMBER(AZ132)),IFERROR(AZ173/AZ132,""),"")</f>
        <v>0.322967535857981</v>
      </c>
      <c r="BA236" s="215">
        <f>IF(AND(ISNUMBER(BA173),ISNUMBER(BA132)),IFERROR(BA173/BA132,""),"")</f>
        <v>0.290540989047461</v>
      </c>
      <c r="BB236" s="215">
        <f>IF(AND(ISNUMBER(BB173),ISNUMBER(BB132)),IFERROR(BB173/BB132,""),"")</f>
        <v>0.305522886852432</v>
      </c>
      <c r="BC236" s="215">
        <f>IF(AND(ISNUMBER(BC173),ISNUMBER(BC132)),IFERROR(BC173/BC132,""),"")</f>
        <v>0.295452206260752</v>
      </c>
      <c r="BD236" s="215">
        <f>IF(AND(ISNUMBER(BD173),ISNUMBER(BD132)),IFERROR(BD173/BD132,""),"")</f>
        <v>0.279156202913109</v>
      </c>
      <c r="BE236" s="215">
        <f>IF(AND(ISNUMBER(BE173),ISNUMBER(BE132)),IFERROR(BE173/BE132,""),"")</f>
        <v>0.248002663115846</v>
      </c>
      <c r="BF236" s="215">
        <f>IF(AND(ISNUMBER(BF173),ISNUMBER(BF132)),IFERROR(BF173/BF132,""),"")</f>
        <v>0.238796549547654</v>
      </c>
      <c r="BG236" s="215">
        <f>IF(AND(ISNUMBER(BG173),ISNUMBER(BG132)),IFERROR(BG173/BG132,""),"")</f>
        <v>0.26461270842467</v>
      </c>
      <c r="BH236" s="215">
        <f>IF(AND(ISNUMBER(BH173),ISNUMBER(BH132)),IFERROR(BH173/BH132,""),"")</f>
        <v>0.286199435424936</v>
      </c>
      <c r="BI236" s="215">
        <f>IF(AND(ISNUMBER(BI173),ISNUMBER(BI132)),IFERROR(BI173/BI132,""),"")</f>
        <v>0.29271888906761</v>
      </c>
      <c r="BJ236" s="215">
        <f>IF(AND(ISNUMBER(BJ173),ISNUMBER(BJ132)),IFERROR(BJ173/BJ132,""),"")</f>
        <v>0.278291369486133</v>
      </c>
      <c r="BK236" s="215">
        <f>IF(AND(ISNUMBER(BK173),ISNUMBER(BK132)),IFERROR(BK173/BK132,""),"")</f>
        <v>0.274556830031283</v>
      </c>
      <c r="BL236" s="215">
        <f>IF(AND(ISNUMBER(BL173),ISNUMBER(BL132)),IFERROR(BL173/BL132,""),"")</f>
        <v>0.28253967221221</v>
      </c>
      <c r="BM236" s="215">
        <f>IF(AND(ISNUMBER(BM173),ISNUMBER(BM132)),IFERROR(BM173/BM132,""),"")</f>
        <v>0.32515923962304</v>
      </c>
      <c r="BN236" s="215">
        <f>IF(AND(ISNUMBER(BN173),ISNUMBER(BN132)),IFERROR(BN173/BN132,""),"")</f>
        <v>0.32362936914399</v>
      </c>
      <c r="BO236" s="215">
        <f>IF(AND(ISNUMBER(BO173),ISNUMBER(BO132)),IFERROR(BO173/BO132,""),"")</f>
        <v>0.323118230842434</v>
      </c>
      <c r="BP236" s="215">
        <f>IF(AND(ISNUMBER(BP173),ISNUMBER(BP132)),IFERROR(BP173/BP132,""),"")</f>
        <v>0.321056505198561</v>
      </c>
      <c r="BQ236" s="215">
        <f>IF(AND(ISNUMBER(BQ173),ISNUMBER(BQ132)),IFERROR(BQ173/BQ132,""),"")</f>
        <v>0.323143381197538</v>
      </c>
      <c r="BR236" s="215">
        <f>IF(AND(ISNUMBER(BR173),ISNUMBER(BR132)),IFERROR(BR173/BR132,""),"")</f>
        <v>0.339184786222488</v>
      </c>
      <c r="BS236" s="215">
        <f>IF(AND(ISNUMBER(BS173),ISNUMBER(BS132)),IFERROR(BS173/BS132,""),"")</f>
        <v>0.324293773592732</v>
      </c>
      <c r="BT236" s="215">
        <f>IF(AND(ISNUMBER(BT173),ISNUMBER(BT132)),IFERROR(BT173/BT132,""),"")</f>
        <v>0.338899419615813</v>
      </c>
      <c r="BU236" s="215">
        <f>IF(AND(ISNUMBER(BU173),ISNUMBER(BU132)),IFERROR(BU173/BU132,""),"")</f>
        <v>0.315684052394381</v>
      </c>
      <c r="BV236" s="215">
        <f>IF(AND(ISNUMBER(BV173),ISNUMBER(BV132)),IFERROR(BV173/BV132,""),"")</f>
        <v>0.328908041982345</v>
      </c>
      <c r="BW236" s="215">
        <f>IF(AND(ISNUMBER(BW173),ISNUMBER(BW132)),IFERROR(BW173/BW132,""),"")</f>
        <v>0.361214238916794</v>
      </c>
      <c r="BX236" s="215">
        <f>IF(AND(ISNUMBER(BX173),ISNUMBER(BX132)),IFERROR(BX173/BX132,""),"")</f>
        <v>0.340328558549534</v>
      </c>
      <c r="BY236" s="256">
        <f>IF(AND(ISNUMBER(BY173),ISNUMBER(BY132)),IFERROR(BY173/BY132,""),"")</f>
        <v>0.32898903500358</v>
      </c>
      <c r="BZ236" s="256">
        <f>IF(AND(ISNUMBER(BZ173),ISNUMBER(BZ132)),IFERROR(BZ173/BZ132,""),"")</f>
        <v>0.358031371137155</v>
      </c>
      <c r="CA236" s="256">
        <f>IF(AND(ISNUMBER(CA173),ISNUMBER(CA132)),IFERROR(CA173/CA132,""),"")</f>
        <v>0.34707490781977</v>
      </c>
      <c r="CB236" s="256">
        <f>IF(AND(ISNUMBER(CB173),ISNUMBER(CB132)),IFERROR(CB173/CB132,""),"")</f>
        <v>0.332789418828486</v>
      </c>
      <c r="CC236" s="256">
        <f>IF(AND(ISNUMBER(CC173),ISNUMBER(CC132)),IFERROR(CC173/CC132,""),"")</f>
        <v>0.316592899650073</v>
      </c>
      <c r="CD236" s="256">
        <f>IF(AND(ISNUMBER(CD173),ISNUMBER(CD132)),IFERROR(CD173/CD132,""),"")</f>
        <v>0.309725151160693</v>
      </c>
      <c r="CE236" s="256">
        <f>IF(AND(ISNUMBER(CE173),ISNUMBER(CE132)),IFERROR(CE173/CE132,""),"")</f>
        <v>0.304254092831352</v>
      </c>
      <c r="CF236" s="153" t="n"/>
      <c r="CH236" s="37">
        <f>IFERROR(AVERAGE(CA236,CB236,CC236,CD236,CE236),"n/m")</f>
        <v>0.322087294058075</v>
      </c>
      <c r="CI236" s="37">
        <f>IFERROR(AVERAGE(BB236,BG236,BL236,BQ236,BV236),"n/m")</f>
        <v>0.300945338133839</v>
      </c>
      <c r="CJ236" s="37">
        <f>IFERROR(AVERAGE(AC236,AH236,AM236,AR236,AW236,BB236,BG236,BL236,BQ236,BV236),"n/m")</f>
        <v>0.270524940628495</v>
      </c>
      <c r="CK236" s="37">
        <f>IFERROR(AVERAGE(C236,D236,E236,F236,G236,H236,I236,N236,S236,X236,AC236,AH236,AM236,AR236,AW236,BB236,BG236,BL236,BQ236,BV236),"n/m")</f>
        <v>0.28309120086448</v>
      </c>
    </row>
    <row r="237" ht="15" customHeight="1" s="251">
      <c r="B237" s="25" t="inlineStr">
        <is>
          <t xml:space="preserve">  Incremental adjusted operating margin</t>
        </is>
      </c>
      <c r="C237" s="36" t="n"/>
      <c r="D237" s="215">
        <f>IFERROR((D173-C173)/(D132-C132),"")</f>
        <v>0.256200755075622</v>
      </c>
      <c r="E237" s="215">
        <f>IFERROR((E173-D173)/(E132-D132),"")</f>
        <v>0.297519938233962</v>
      </c>
      <c r="F237" s="215">
        <f>IFERROR((F173-E173)/(F132-E132),"")</f>
        <v>0.905771010769197</v>
      </c>
      <c r="G237" s="215">
        <f>IFERROR((G173-F173)/(G132-F132),"")</f>
        <v>0.364842074781891</v>
      </c>
      <c r="H237" s="215">
        <f>IFERROR((H173-G173)/(H132-G132),"")</f>
        <v>0.158550792171482</v>
      </c>
      <c r="I237" s="215">
        <f>IFERROR((I173-H173)/(I132-H132),"")</f>
        <v>0.0829665851670742</v>
      </c>
      <c r="J237" s="36" t="n"/>
      <c r="K237" s="36" t="n"/>
      <c r="L237" s="36" t="n"/>
      <c r="M237" s="36" t="n"/>
      <c r="N237" s="215">
        <f>IFERROR((N173-I173)/(N132-I132),"")</f>
        <v>0.124974093264249</v>
      </c>
      <c r="O237" s="215">
        <f>IFERROR((O173-J173)/(O132-J132),"")</f>
        <v>0.439696760854583</v>
      </c>
      <c r="P237" s="215">
        <f>IFERROR((P173-K173)/(P132-K132),"")</f>
        <v>0.613513513513514</v>
      </c>
      <c r="Q237" s="215">
        <f>IFERROR((Q173-L173)/(Q132-L132),"")</f>
        <v>0.171779141104294</v>
      </c>
      <c r="R237" s="215">
        <f>IFERROR((R173-M173)/(R132-M132),"")</f>
        <v>0.383132530120482</v>
      </c>
      <c r="S237" s="215">
        <f>IFERROR((S173-N173)/(S132-N132),"")</f>
        <v>0.409650259067358</v>
      </c>
      <c r="T237" s="215">
        <f>IFERROR((T173-O173)/(T132-O132),"")</f>
        <v>0.18063112078346</v>
      </c>
      <c r="U237" s="215">
        <f>IFERROR((U173-P173)/(U132-P132),"")</f>
        <v>0.319977426636569</v>
      </c>
      <c r="V237" s="215">
        <f>IFERROR((V173-Q173)/(V132-Q132),"")</f>
        <v>0.45724907063197</v>
      </c>
      <c r="W237" s="215">
        <f>IFERROR((W173-R173)/(W132-R132),"")</f>
        <v>0.30409175449473</v>
      </c>
      <c r="X237" s="215">
        <f>IFERROR((X173-S173)/(X132-S132),"")</f>
        <v>0.318647085002225</v>
      </c>
      <c r="Y237" s="215">
        <f>IFERROR((Y173-T173)/(Y132-T132),"")</f>
        <v>0.298432810936979</v>
      </c>
      <c r="Z237" s="215">
        <f>IFERROR((Z173-U173)/(Z132-U132),"")</f>
        <v>0.30294195600318</v>
      </c>
      <c r="AA237" s="215">
        <f>IFERROR((AA173-V173)/(AA132-V132),"")</f>
        <v>0.280455508474576</v>
      </c>
      <c r="AB237" s="215">
        <f>IFERROR((AB173-W173)/(AB132-W132),"")</f>
        <v>0.265892291446674</v>
      </c>
      <c r="AC237" s="215">
        <f>IFERROR((AC173-X173)/(AC132-X132),"")</f>
        <v>0.285022574101943</v>
      </c>
      <c r="AD237" s="215">
        <f>IFERROR((AD173-Y173)/(AD132-Y132),"")</f>
        <v>0.272868907188961</v>
      </c>
      <c r="AE237" s="215">
        <f>IFERROR((AE173-Z173)/(AE132-Z132),"")</f>
        <v>0.199556541019956</v>
      </c>
      <c r="AF237" s="215">
        <f>IFERROR((AF173-AA173)/(AF132-AA132),"")</f>
        <v>0.378688216500658</v>
      </c>
      <c r="AG237" s="215">
        <f>IFERROR((AG173-AB173)/(AG132-AB132),"")</f>
        <v>0.163764179581403</v>
      </c>
      <c r="AH237" s="215">
        <f>IFERROR((AH173-AC173)/(AH132-AC132),"")</f>
        <v>0.25098382160035</v>
      </c>
      <c r="AI237" s="215">
        <f>IFERROR((AI173-AD173)/(AI132-AD132),"")</f>
        <v>0.0676985616010006</v>
      </c>
      <c r="AJ237" s="215">
        <f>IFERROR((AJ173-AE173)/(AJ132-AE132),"")</f>
        <v>0.151948247329622</v>
      </c>
      <c r="AK237" s="215">
        <f>IFERROR((AK173-AF173)/(AK132-AF132),"")</f>
        <v>0.0884718498659518</v>
      </c>
      <c r="AL237" s="215">
        <f>IFERROR((AL173-AG173)/(AL132-AG132),"")</f>
        <v>0.0775204947504674</v>
      </c>
      <c r="AM237" s="215">
        <f>IFERROR((AM173-AH173)/(AM132-AH132),"")</f>
        <v>0.0966723155137883</v>
      </c>
      <c r="AN237" s="215">
        <f>IFERROR((AN173-AI173)/(AN132-AI132),"")</f>
        <v>0.251107259772771</v>
      </c>
      <c r="AO237" s="215">
        <f>IFERROR((AO173-AJ173)/(AO132-AJ132),"")</f>
        <v>0.207094003499284</v>
      </c>
      <c r="AP237" s="215">
        <f>IFERROR((AP173-AK173)/(AP132-AK132),"")</f>
        <v>0.128273413226809</v>
      </c>
      <c r="AQ237" s="215">
        <f>IFERROR((AQ173-AL173)/(AQ132-AL132),"")</f>
        <v>0.156346521547286</v>
      </c>
      <c r="AR237" s="215">
        <f>IFERROR((AR173-AM173)/(AR132-AM132),"")</f>
        <v>0.181164629762761</v>
      </c>
      <c r="AS237" s="215">
        <f>IFERROR((AS173-AN173)/(AS132-AN132),"")</f>
        <v>-0.0680497925311203</v>
      </c>
      <c r="AT237" s="215">
        <f>IFERROR((AT173-AO173)/(AT132-AO132),"")</f>
        <v>4.32302936630603</v>
      </c>
      <c r="AU237" s="215">
        <f>IFERROR((AU173-AP173)/(AU132-AP132),"")</f>
        <v>0.358829749735636</v>
      </c>
      <c r="AV237" s="215">
        <f>IFERROR((AV173-AQ173)/(AV132-AQ132),"")</f>
        <v>0.589947334380486</v>
      </c>
      <c r="AW237" s="215">
        <f>IFERROR((AW173-AR173)/(AW132-AR132),"")</f>
        <v>0.256216739235607</v>
      </c>
      <c r="AX237" s="215">
        <f>IFERROR((AX173-AS173)/(AX132-AS132),"")</f>
        <v>0.597668668315083</v>
      </c>
      <c r="AY237" s="215">
        <f>IFERROR((AY173-AT173)/(AY132-AT132),"")</f>
        <v>0.550311665182547</v>
      </c>
      <c r="AZ237" s="215">
        <f>IFERROR((AZ173-AU173)/(AZ132-AU132),"")</f>
        <v>0.518237001847453</v>
      </c>
      <c r="BA237" s="215">
        <f>IFERROR((BA173-AV173)/(BA132-AV132),"")</f>
        <v>0.338307917729419</v>
      </c>
      <c r="BB237" s="215">
        <f>IFERROR((BB173-AW173)/(BB132-AW132),"")</f>
        <v>0.499134602582878</v>
      </c>
      <c r="BC237" s="215">
        <f>IFERROR((BC173-AX173)/(BC132-AX132),"")</f>
        <v>0.288020792313145</v>
      </c>
      <c r="BD237" s="215">
        <f>IFERROR((BD173-AY173)/(BD132-AY132),"")</f>
        <v>0.0117873158231903</v>
      </c>
      <c r="BE237" s="215">
        <f>IFERROR((BE173-AZ173)/(BE132-AZ132),"")</f>
        <v>-0.980372420734776</v>
      </c>
      <c r="BF237" s="215">
        <f>IFERROR((BF173-BA173)/(BF132-BA132),"")</f>
        <v>-5.1521438450899</v>
      </c>
      <c r="BG237" s="215">
        <f>IFERROR((BG173-BB173)/(BG132-BB132),"")</f>
        <v>-0.153656891146474</v>
      </c>
      <c r="BH237" s="215">
        <f>IFERROR((BH173-BC173)/(BH132-BC132),"")</f>
        <v>-0.0681306306306306</v>
      </c>
      <c r="BI237" s="215">
        <f>IFERROR((BI173-BD173)/(BI132-BD132),"")</f>
        <v>0.4848546452531</v>
      </c>
      <c r="BJ237" s="215">
        <f>IFERROR((BJ173-BE173)/(BJ132-BE132),"")</f>
        <v>0.553611366925405</v>
      </c>
      <c r="BK237" s="215">
        <f>IFERROR((BK173-BF173)/(BK132-BF132),"")</f>
        <v>0.53956343792633</v>
      </c>
      <c r="BL237" s="215">
        <f>IFERROR((BL173-BG173)/(BL132-BG132),"")</f>
        <v>0.48900561935011</v>
      </c>
      <c r="BM237" s="215">
        <f>IFERROR((BM173-BH173)/(BM132-BH132),"")</f>
        <v>0.578031994047619</v>
      </c>
      <c r="BN237" s="215">
        <f>IFERROR((BN173-BI173)/(BN132-BI132),"")</f>
        <v>0.551094890510949</v>
      </c>
      <c r="BO237" s="215">
        <f>IFERROR((BO173-BJ173)/(BO132-BJ132),"")</f>
        <v>0.620129589632829</v>
      </c>
      <c r="BP237" s="215">
        <f>IFERROR((BP173-BK173)/(BP132-BK132),"")</f>
        <v>0.716113790727434</v>
      </c>
      <c r="BQ237" s="215">
        <f>IFERROR((BQ173-BL173)/(BQ132-BL132),"")</f>
        <v>0.61596753003003</v>
      </c>
      <c r="BR237" s="215">
        <f>IFERROR((BR173-BM173)/(BR132-BM132),"")</f>
        <v>0.455698813821558</v>
      </c>
      <c r="BS237" s="215">
        <f>IFERROR((BS173-BN173)/(BS132-BN132),"")</f>
        <v>0.329111757658737</v>
      </c>
      <c r="BT237" s="215">
        <f>IFERROR((BT173-BO173)/(BT132-BO132),"")</f>
        <v>0.437846284983662</v>
      </c>
      <c r="BU237" s="215">
        <f>IFERROR((BU173-BP173)/(BU132-BP132),"")</f>
        <v>0.285829493087558</v>
      </c>
      <c r="BV237" s="215">
        <f>IFERROR((BV173-BQ173)/(BV132-BQ132),"")</f>
        <v>0.367109697451626</v>
      </c>
      <c r="BW237" s="215">
        <f>IFERROR((BW173-BR173)/(BW132-BR132),"")</f>
        <v>0.46231309124199</v>
      </c>
      <c r="BX237" s="215">
        <f>IFERROR((BX173-BS173)/(BX132-BS132),"")</f>
        <v>0.406496062992126</v>
      </c>
      <c r="BY237" s="256">
        <f>IFERROR((BY173-BT173)/(BY132-BT132),"")</f>
        <v>0.287849033669473</v>
      </c>
      <c r="BZ237" s="256">
        <f>IFERROR((BZ173-BU173)/(BZ132-BU132),"")</f>
        <v>0.531714703205054</v>
      </c>
      <c r="CA237" s="256">
        <f>IFERROR((CA173-BV173)/(CA132-BV132),"")</f>
        <v>0.42375476970112</v>
      </c>
      <c r="CB237" s="256">
        <f>IFERROR((CB173-CA173)/(CB132-CA132),"")</f>
        <v>0.25060261777963</v>
      </c>
      <c r="CC237" s="256">
        <f>IFERROR((CC173-CB173)/(CC132-CB132),"")</f>
        <v>0.206540719160988</v>
      </c>
      <c r="CD237" s="256">
        <f>IFERROR((CD173-CC173)/(CD132-CC132),"")</f>
        <v>0.256788421526755</v>
      </c>
      <c r="CE237" s="256">
        <f>IFERROR((CE173-CD173)/(CE132-CD132),"")</f>
        <v>0.255890787229056</v>
      </c>
      <c r="CF237" s="153" t="n"/>
    </row>
    <row r="238" ht="15" customHeight="1" s="251">
      <c r="B238" s="25" t="inlineStr">
        <is>
          <t xml:space="preserve">  Adjusted EBITDA margin %</t>
        </is>
      </c>
      <c r="C238" s="215">
        <f>IF(AND(ISNUMBER(C191),ISNUMBER(C132)),IFERROR(C191/C132,""),"")</f>
        <v>0.388681495574176</v>
      </c>
      <c r="D238" s="215">
        <f>IF(AND(ISNUMBER(D191),ISNUMBER(D132)),IFERROR(D191/D132,""),"")</f>
        <v>0.364713939134335</v>
      </c>
      <c r="E238" s="215">
        <f>IF(AND(ISNUMBER(E191),ISNUMBER(E132)),IFERROR(E191/E132,""),"")</f>
        <v>0.373097077155658</v>
      </c>
      <c r="F238" s="215">
        <f>IF(AND(ISNUMBER(F191),ISNUMBER(F132)),IFERROR(F191/F132,""),"")</f>
        <v>0.415909507101374</v>
      </c>
      <c r="G238" s="215">
        <f>IF(AND(ISNUMBER(G191),ISNUMBER(G132)),IFERROR(G191/G132,""),"")</f>
        <v>0.401657515091573</v>
      </c>
      <c r="H238" s="215">
        <f>IF(AND(ISNUMBER(H191),ISNUMBER(H132)),IFERROR(H191/H132,""),"")</f>
        <v>0.358607043925604</v>
      </c>
      <c r="I238" s="215">
        <f>IF(AND(ISNUMBER(I191),ISNUMBER(I132)),IFERROR(I191/I132,""),"")</f>
        <v>0.313343298455406</v>
      </c>
      <c r="J238" s="215">
        <f>IF(AND(ISNUMBER(J191),ISNUMBER(J132)),IFERROR(J191/J132,""),"")</f>
        <v>0.313265086978309</v>
      </c>
      <c r="K238" s="215">
        <f>IF(AND(ISNUMBER(K191),ISNUMBER(K132)),IFERROR(K191/K132,""),"")</f>
        <v>0.294434597660404</v>
      </c>
      <c r="L238" s="215">
        <f>IF(AND(ISNUMBER(L191),ISNUMBER(L132)),IFERROR(L191/L132,""),"")</f>
        <v>0.296649432619351</v>
      </c>
      <c r="M238" s="215">
        <f>IF(AND(ISNUMBER(M191),ISNUMBER(M132)),IFERROR(M191/M132,""),"")</f>
        <v>0.2941036896429</v>
      </c>
      <c r="N238" s="215">
        <f>IF(AND(ISNUMBER(N191),ISNUMBER(N132)),IFERROR(N191/N132,""),"")</f>
        <v>0.299289594651066</v>
      </c>
      <c r="O238" s="215">
        <f>IF(AND(ISNUMBER(O191),ISNUMBER(O132)),IFERROR(O191/O132,""),"")</f>
        <v>0.337289234760052</v>
      </c>
      <c r="P238" s="215">
        <f>IF(AND(ISNUMBER(P191),ISNUMBER(P132)),IFERROR(P191/P132,""),"")</f>
        <v>0.334503290504544</v>
      </c>
      <c r="Q238" s="215">
        <f>IF(AND(ISNUMBER(Q191),ISNUMBER(Q132)),IFERROR(Q191/Q132,""),"")</f>
        <v>0.319009865036616</v>
      </c>
      <c r="R238" s="215">
        <f>IF(AND(ISNUMBER(R191),ISNUMBER(R132)),IFERROR(R191/R132,""),"")</f>
        <v>0.312986797768326</v>
      </c>
      <c r="S238" s="215">
        <f>IF(AND(ISNUMBER(S191),ISNUMBER(S132)),IFERROR(S191/S132,""),"")</f>
        <v>0.325373857971849</v>
      </c>
      <c r="T238" s="215">
        <f>IF(AND(ISNUMBER(T191),ISNUMBER(T132)),IFERROR(T191/T132,""),"")</f>
        <v>0.325877853748986</v>
      </c>
      <c r="U238" s="215">
        <f>IF(AND(ISNUMBER(U191),ISNUMBER(U132)),IFERROR(U191/U132,""),"")</f>
        <v>0.341795001974389</v>
      </c>
      <c r="V238" s="215">
        <f>IF(AND(ISNUMBER(V191),ISNUMBER(V132)),IFERROR(V191/V132,""),"")</f>
        <v>0.318929049531459</v>
      </c>
      <c r="W238" s="215">
        <f>IF(AND(ISNUMBER(W191),ISNUMBER(W132)),IFERROR(W191/W132,""),"")</f>
        <v>0.318064606873271</v>
      </c>
      <c r="X238" s="215">
        <f>IF(AND(ISNUMBER(X191),ISNUMBER(X132)),IFERROR(X191/X132,""),"")</f>
        <v>0.325687767539239</v>
      </c>
      <c r="Y238" s="215">
        <f>IF(AND(ISNUMBER(Y191),ISNUMBER(Y132)),IFERROR(Y191/Y132,""),"")</f>
        <v>0.331391617712396</v>
      </c>
      <c r="Z238" s="215">
        <f>IF(AND(ISNUMBER(Z191),ISNUMBER(Z132)),IFERROR(Z191/Z132,""),"")</f>
        <v>0.346883720930233</v>
      </c>
      <c r="AA238" s="215">
        <f>IF(AND(ISNUMBER(AA191),ISNUMBER(AA132)),IFERROR(AA191/AA132,""),"")</f>
        <v>0.327958665538283</v>
      </c>
      <c r="AB238" s="215">
        <f>IF(AND(ISNUMBER(AB191),ISNUMBER(AB132)),IFERROR(AB191/AB132,""),"")</f>
        <v>0.319444444444444</v>
      </c>
      <c r="AC238" s="215">
        <f>IF(AND(ISNUMBER(AC191),ISNUMBER(AC132)),IFERROR(AC191/AC132,""),"")</f>
        <v>0.330778092874867</v>
      </c>
      <c r="AD238" s="215">
        <f>IF(AND(ISNUMBER(AD191),ISNUMBER(AD132)),IFERROR(AD191/AD132,""),"")</f>
        <v>0.32610101010101</v>
      </c>
      <c r="AE238" s="215">
        <f>IF(AND(ISNUMBER(AE191),ISNUMBER(AE132)),IFERROR(AE191/AE132,""),"")</f>
        <v>0.326528258362168</v>
      </c>
      <c r="AF238" s="215">
        <f>IF(AND(ISNUMBER(AF191),ISNUMBER(AF132)),IFERROR(AF191/AF132,""),"")</f>
        <v>0.343619472850353</v>
      </c>
      <c r="AG238" s="215">
        <f>IF(AND(ISNUMBER(AG191),ISNUMBER(AG132)),IFERROR(AG191/AG132,""),"")</f>
        <v>0.299786529715682</v>
      </c>
      <c r="AH238" s="215">
        <f>IF(AND(ISNUMBER(AH191),ISNUMBER(AH132)),IFERROR(AH191/AH132,""),"")</f>
        <v>0.322917324432818</v>
      </c>
      <c r="AI238" s="215">
        <f>IF(AND(ISNUMBER(AI191),ISNUMBER(AI132)),IFERROR(AI191/AI132,""),"")</f>
        <v>0.288544275348359</v>
      </c>
      <c r="AJ238" s="215">
        <f>IF(AND(ISNUMBER(AJ191),ISNUMBER(AJ132)),IFERROR(AJ191/AJ132,""),"")</f>
        <v>0.30596809259883</v>
      </c>
      <c r="AK238" s="215">
        <f>IF(AND(ISNUMBER(AK191),ISNUMBER(AK132)),IFERROR(AK191/AK132,""),"")</f>
        <v>0.316093657379964</v>
      </c>
      <c r="AL238" s="215">
        <f>IF(AND(ISNUMBER(AL191),ISNUMBER(AL132)),IFERROR(AL191/AL132,""),"")</f>
        <v>0.274544250942051</v>
      </c>
      <c r="AM238" s="215">
        <f>IF(AND(ISNUMBER(AM191),ISNUMBER(AM132)),IFERROR(AM191/AM132,""),"")</f>
        <v>0.295477967241392</v>
      </c>
      <c r="AN238" s="215">
        <f>IF(AND(ISNUMBER(AN191),ISNUMBER(AN132)),IFERROR(AN191/AN132,""),"")</f>
        <v>0.300448553895264</v>
      </c>
      <c r="AO238" s="215">
        <f>IF(AND(ISNUMBER(AO191),ISNUMBER(AO132)),IFERROR(AO191/AO132,""),"")</f>
        <v>0.308519926047658</v>
      </c>
      <c r="AP238" s="215">
        <f>IF(AND(ISNUMBER(AP191),ISNUMBER(AP132)),IFERROR(AP191/AP132,""),"")</f>
        <v>0.298698733302057</v>
      </c>
      <c r="AQ238" s="215">
        <f>IF(AND(ISNUMBER(AQ191),ISNUMBER(AQ132)),IFERROR(AQ191/AQ132,""),"")</f>
        <v>0.275181768855128</v>
      </c>
      <c r="AR238" s="215">
        <f>IF(AND(ISNUMBER(AR191),ISNUMBER(AR132)),IFERROR(AR191/AR132,""),"")</f>
        <v>0.294760189550035</v>
      </c>
      <c r="AS238" s="215">
        <f>IF(AND(ISNUMBER(AS191),ISNUMBER(AS132)),IFERROR(AS191/AS132,""),"")</f>
        <v>0.269321412084842</v>
      </c>
      <c r="AT238" s="215">
        <f>IF(AND(ISNUMBER(AT191),ISNUMBER(AT132)),IFERROR(AT191/AT132,""),"")</f>
        <v>0.255085254719691</v>
      </c>
      <c r="AU238" s="215">
        <f>IF(AND(ISNUMBER(AU191),ISNUMBER(AU132)),IFERROR(AU191/AU132,""),"")</f>
        <v>0.318172958222338</v>
      </c>
      <c r="AV238" s="215">
        <f>IF(AND(ISNUMBER(AV191),ISNUMBER(AV132)),IFERROR(AV191/AV132,""),"")</f>
        <v>0.340539210517066</v>
      </c>
      <c r="AW238" s="215">
        <f>IF(AND(ISNUMBER(AW191),ISNUMBER(AW132)),IFERROR(AW191/AW132,""),"")</f>
        <v>0.300892470702965</v>
      </c>
      <c r="AX238" s="215">
        <f>IF(AND(ISNUMBER(AX191),ISNUMBER(AX132)),IFERROR(AX191/AX132,""),"")</f>
        <v>0.346928444878331</v>
      </c>
      <c r="AY238" s="215">
        <f>IF(AND(ISNUMBER(AY191),ISNUMBER(AY132)),IFERROR(AY191/AY132,""),"")</f>
        <v>0.360471881060116</v>
      </c>
      <c r="AZ238" s="215">
        <f>IF(AND(ISNUMBER(AZ191),ISNUMBER(AZ132)),IFERROR(AZ191/AZ132,""),"")</f>
        <v>0.373706194907706</v>
      </c>
      <c r="BA238" s="215">
        <f>IF(AND(ISNUMBER(BA191),ISNUMBER(BA132)),IFERROR(BA191/BA132,""),"")</f>
        <v>0.336196481911716</v>
      </c>
      <c r="BB238" s="215">
        <f>IF(AND(ISNUMBER(BB191),ISNUMBER(BB132)),IFERROR(BB191/BB132,""),"")</f>
        <v>0.353811758404267</v>
      </c>
      <c r="BC238" s="215">
        <f>IF(AND(ISNUMBER(BC191),ISNUMBER(BC132)),IFERROR(BC191/BC132,""),"")</f>
        <v>0.351060857802414</v>
      </c>
      <c r="BD238" s="215">
        <f>IF(AND(ISNUMBER(BD191),ISNUMBER(BD132)),IFERROR(BD191/BD132,""),"")</f>
        <v>0.335107985936715</v>
      </c>
      <c r="BE238" s="215">
        <f>IF(AND(ISNUMBER(BE191),ISNUMBER(BE132)),IFERROR(BE191/BE132,""),"")</f>
        <v>0.306562264806345</v>
      </c>
      <c r="BF238" s="215">
        <f>IF(AND(ISNUMBER(BF191),ISNUMBER(BF132)),IFERROR(BF191/BF132,""),"")</f>
        <v>0.294037976015148</v>
      </c>
      <c r="BG238" s="215">
        <f>IF(AND(ISNUMBER(BG191),ISNUMBER(BG132)),IFERROR(BG191/BG132,""),"")</f>
        <v>0.320928028963781</v>
      </c>
      <c r="BH238" s="215">
        <f>IF(AND(ISNUMBER(BH191),ISNUMBER(BH132)),IFERROR(BH191/BH132,""),"")</f>
        <v>0.331852637310674</v>
      </c>
      <c r="BI238" s="215">
        <f>IF(AND(ISNUMBER(BI191),ISNUMBER(BI132)),IFERROR(BI191/BI132,""),"")</f>
        <v>0.338252640609083</v>
      </c>
      <c r="BJ238" s="215">
        <f>IF(AND(ISNUMBER(BJ191),ISNUMBER(BJ132)),IFERROR(BJ191/BJ132,""),"")</f>
        <v>0.327839568148332</v>
      </c>
      <c r="BK238" s="215">
        <f>IF(AND(ISNUMBER(BK191),ISNUMBER(BK132)),IFERROR(BK191/BK132,""),"")</f>
        <v>0.292665971498088</v>
      </c>
      <c r="BL238" s="215">
        <f>IF(AND(ISNUMBER(BL191),ISNUMBER(BL132)),IFERROR(BL191/BL132,""),"")</f>
        <v>0.321401849092695</v>
      </c>
      <c r="BM238" s="215">
        <f>IF(AND(ISNUMBER(BM191),ISNUMBER(BM132)),IFERROR(BM191/BM132,""),"")</f>
        <v>0.367536224686177</v>
      </c>
      <c r="BN238" s="215">
        <f>IF(AND(ISNUMBER(BN191),ISNUMBER(BN132)),IFERROR(BN191/BN132,""),"")</f>
        <v>0.36738571192561</v>
      </c>
      <c r="BO238" s="215">
        <f>IF(AND(ISNUMBER(BO191),ISNUMBER(BO132)),IFERROR(BO191/BO132,""),"")</f>
        <v>0.368264829836407</v>
      </c>
      <c r="BP238" s="215">
        <f>IF(AND(ISNUMBER(BP191),ISNUMBER(BP132)),IFERROR(BP191/BP132,""),"")</f>
        <v>0.364645637458665</v>
      </c>
      <c r="BQ238" s="215">
        <f>IF(AND(ISNUMBER(BQ191),ISNUMBER(BQ132)),IFERROR(BQ191/BQ132,""),"")</f>
        <v>0.366886845819358</v>
      </c>
      <c r="BR238" s="215">
        <f>IF(AND(ISNUMBER(BR191),ISNUMBER(BR132)),IFERROR(BR191/BR132,""),"")</f>
        <v>0.388911053483166</v>
      </c>
      <c r="BS238" s="215">
        <f>IF(AND(ISNUMBER(BS191),ISNUMBER(BS132)),IFERROR(BS191/BS132,""),"")</f>
        <v>0.376125191852989</v>
      </c>
      <c r="BT238" s="215">
        <f>IF(AND(ISNUMBER(BT191),ISNUMBER(BT132)),IFERROR(BT191/BT132,""),"")</f>
        <v>0.393723252496434</v>
      </c>
      <c r="BU238" s="215">
        <f>IF(AND(ISNUMBER(BU191),ISNUMBER(BU132)),IFERROR(BU191/BU132,""),"")</f>
        <v>0.368746101608553</v>
      </c>
      <c r="BV238" s="215">
        <f>IF(AND(ISNUMBER(BV191),ISNUMBER(BV132)),IFERROR(BV191/BV132,""),"")</f>
        <v>0.38137604384911</v>
      </c>
      <c r="BW238" s="215">
        <f>IF(AND(ISNUMBER(BW191),ISNUMBER(BW132)),IFERROR(BW191/BW132,""),"")</f>
        <v>0.421816990609303</v>
      </c>
      <c r="BX238" s="215">
        <f>IF(AND(ISNUMBER(BX191),ISNUMBER(BX132)),IFERROR(BX191/BX132,""),"")</f>
        <v>0.402692911282514</v>
      </c>
      <c r="BY238" s="256">
        <f>IF(AND(ISNUMBER(BY191),ISNUMBER(BY132)),IFERROR(BY191/BY132,""),"")</f>
        <v>0.393209103297227</v>
      </c>
      <c r="BZ238" s="256">
        <f>IF(AND(ISNUMBER(BZ191),ISNUMBER(BZ132)),IFERROR(BZ191/BZ132,""),"")</f>
        <v>0.420916449905507</v>
      </c>
      <c r="CA238" s="256">
        <f>IF(AND(ISNUMBER(CA191),ISNUMBER(CA132)),IFERROR(CA191/CA132,""),"")</f>
        <v>0.409671681857101</v>
      </c>
      <c r="CB238" s="256">
        <f>IF(AND(ISNUMBER(CB191),ISNUMBER(CB132)),IFERROR(CB191/CB132,""),"")</f>
        <v>0.418843008458533</v>
      </c>
      <c r="CC238" s="256">
        <f>IF(AND(ISNUMBER(CC191),ISNUMBER(CC132)),IFERROR(CC191/CC132,""),"")</f>
        <v>0.426278775484542</v>
      </c>
      <c r="CD238" s="256">
        <f>IF(AND(ISNUMBER(CD191),ISNUMBER(CD132)),IFERROR(CD191/CD132,""),"")</f>
        <v>0.437029397240349</v>
      </c>
      <c r="CE238" s="256">
        <f>IF(AND(ISNUMBER(CE191),ISNUMBER(CE132)),IFERROR(CE191/CE132,""),"")</f>
        <v>0.444704365929483</v>
      </c>
      <c r="CF238" s="153" t="n"/>
      <c r="CH238" s="37">
        <f>IFERROR(AVERAGE(CA238,CB238,CC238,CD238,CE238),"n/m")</f>
        <v>0.427305445794001</v>
      </c>
      <c r="CI238" s="37">
        <f>IFERROR(AVERAGE(BB238,BG238,BL238,BQ238,BV238),"n/m")</f>
        <v>0.348880905225842</v>
      </c>
      <c r="CJ238" s="37">
        <f>IFERROR(AVERAGE(AC238,AH238,AM238,AR238,AW238,BB238,BG238,BL238,BQ238,BV238),"n/m")</f>
        <v>0.328923057093129</v>
      </c>
      <c r="CK238" s="37">
        <f>IFERROR(AVERAGE(C238,D238,E238,F238,G238,H238,I238,N238,S238,X238,AC238,AH238,AM238,AR238,AW238,BB238,BG238,BL238,BQ238,BV238),"n/m")</f>
        <v>0.342779583376578</v>
      </c>
    </row>
    <row r="239" ht="15" customHeight="1" s="251">
      <c r="B239" s="25" t="inlineStr">
        <is>
          <t xml:space="preserve">  Operating margin (GAAP) %</t>
        </is>
      </c>
      <c r="C239" s="215">
        <f>IF(AND(ISNUMBER(C140),ISNUMBER(C132)),IFERROR(C140/C132,""),"")</f>
        <v>0.334750003229634</v>
      </c>
      <c r="D239" s="215">
        <f>IF(AND(ISNUMBER(D140),ISNUMBER(D132)),IFERROR(D140/D132,""),"")</f>
        <v>0.306400162082817</v>
      </c>
      <c r="E239" s="215">
        <f>IF(AND(ISNUMBER(E140),ISNUMBER(E132)),IFERROR(E140/E132,""),"")</f>
        <v>0.304280873848102</v>
      </c>
      <c r="F239" s="215">
        <f>IF(AND(ISNUMBER(F140),ISNUMBER(F132)),IFERROR(F140/F132,""),"")</f>
        <v>0.351458271839026</v>
      </c>
      <c r="G239" s="215">
        <f>IF(AND(ISNUMBER(G140),ISNUMBER(G132)),IFERROR(G140/G132,""),"")</f>
        <v>0.354046587769858</v>
      </c>
      <c r="H239" s="215">
        <f>IF(AND(ISNUMBER(H140),ISNUMBER(H132)),IFERROR(H140/H132,""),"")</f>
        <v>0.309774436090226</v>
      </c>
      <c r="I239" s="215">
        <f>IF(AND(ISNUMBER(I140),ISNUMBER(I132)),IFERROR(I140/I132,""),"")</f>
        <v>0.254309915296462</v>
      </c>
      <c r="J239" s="215">
        <f>IF(AND(ISNUMBER(J140),ISNUMBER(J132)),IFERROR(J140/J132,""),"")</f>
        <v>0.248908296943231</v>
      </c>
      <c r="K239" s="215">
        <f>IF(AND(ISNUMBER(K140),ISNUMBER(K132)),IFERROR(K140/K132,""),"")</f>
        <v>0.221410847217299</v>
      </c>
      <c r="L239" s="215">
        <f>IF(AND(ISNUMBER(L140),ISNUMBER(L132)),IFERROR(L140/L132,""),"")</f>
        <v>0.231249580339757</v>
      </c>
      <c r="M239" s="215">
        <f>IF(AND(ISNUMBER(M140),ISNUMBER(M132)),IFERROR(M140/M132,""),"")</f>
        <v>0.232649187329458</v>
      </c>
      <c r="N239" s="215">
        <f>IF(AND(ISNUMBER(N140),ISNUMBER(N132)),IFERROR(N140/N132,""),"")</f>
        <v>0.233447555369829</v>
      </c>
      <c r="O239" s="215">
        <f>IF(AND(ISNUMBER(O140),ISNUMBER(O132)),IFERROR(O140/O132,""),"")</f>
        <v>0.26686121919585</v>
      </c>
      <c r="P239" s="215">
        <f>IF(AND(ISNUMBER(P140),ISNUMBER(P132)),IFERROR(P140/P132,""),"")</f>
        <v>0.266875587590097</v>
      </c>
      <c r="Q239" s="215">
        <f>IF(AND(ISNUMBER(Q140),ISNUMBER(Q132)),IFERROR(Q140/Q132,""),"")</f>
        <v>0.225382799733705</v>
      </c>
      <c r="R239" s="215">
        <f>IF(AND(ISNUMBER(R140),ISNUMBER(R132)),IFERROR(R140/R132,""),"")</f>
        <v>0.242998398055571</v>
      </c>
      <c r="S239" s="215">
        <f>IF(AND(ISNUMBER(S140),ISNUMBER(S132)),IFERROR(S140/S132,""),"")</f>
        <v>0.249935607036257</v>
      </c>
      <c r="T239" s="215">
        <f>IF(AND(ISNUMBER(T140),ISNUMBER(T132)),IFERROR(T140/T132,""),"")</f>
        <v>0.257677598794762</v>
      </c>
      <c r="U239" s="215">
        <f>IF(AND(ISNUMBER(U140),ISNUMBER(U132)),IFERROR(U140/U132,""),"")</f>
        <v>0.272183674620635</v>
      </c>
      <c r="V239" s="215">
        <f>IF(AND(ISNUMBER(V140),ISNUMBER(V132)),IFERROR(V140/V132,""),"")</f>
        <v>0.252101740294511</v>
      </c>
      <c r="W239" s="215">
        <f>IF(AND(ISNUMBER(W140),ISNUMBER(W132)),IFERROR(W140/W132,""),"")</f>
        <v>0.252238735993249</v>
      </c>
      <c r="X239" s="215">
        <f>IF(AND(ISNUMBER(X140),ISNUMBER(X132)),IFERROR(X140/X132,""),"")</f>
        <v>0.258171198442438</v>
      </c>
      <c r="Y239" s="215">
        <f>IF(AND(ISNUMBER(Y140),ISNUMBER(Y132)),IFERROR(Y140/Y132,""),"")</f>
        <v>0.263711309670731</v>
      </c>
      <c r="Z239" s="215">
        <f>IF(AND(ISNUMBER(Z140),ISNUMBER(Z132)),IFERROR(Z140/Z132,""),"")</f>
        <v>0.277581395348837</v>
      </c>
      <c r="AA239" s="215">
        <f>IF(AND(ISNUMBER(AA140),ISNUMBER(AA132)),IFERROR(AA140/AA132,""),"")</f>
        <v>0.256870518017015</v>
      </c>
      <c r="AB239" s="215">
        <f>IF(AND(ISNUMBER(AB140),ISNUMBER(AB132)),IFERROR(AB140/AB132,""),"")</f>
        <v>0.254719152854512</v>
      </c>
      <c r="AC239" s="215">
        <f>IF(AND(ISNUMBER(AC140),ISNUMBER(AC132)),IFERROR(AC140/AC132,""),"")</f>
        <v>0.262717121588089</v>
      </c>
      <c r="AD239" s="215">
        <f>IF(AND(ISNUMBER(AD140),ISNUMBER(AD132)),IFERROR(AD140/AD132,""),"")</f>
        <v>0.265373737373737</v>
      </c>
      <c r="AE239" s="215">
        <f>IF(AND(ISNUMBER(AE140),ISNUMBER(AE132)),IFERROR(AE140/AE132,""),"")</f>
        <v>0.158861976163014</v>
      </c>
      <c r="AF239" s="215">
        <f>IF(AND(ISNUMBER(AF140),ISNUMBER(AF132)),IFERROR(AF140/AF132,""),"")</f>
        <v>0.280210283739018</v>
      </c>
      <c r="AG239" s="215">
        <f>IF(AND(ISNUMBER(AG140),ISNUMBER(AG132)),IFERROR(AG140/AG132,""),"")</f>
        <v>0.237106704204436</v>
      </c>
      <c r="AH239" s="215">
        <f>IF(AND(ISNUMBER(AH140),ISNUMBER(AH132)),IFERROR(AH140/AH132,""),"")</f>
        <v>0.235857651887601</v>
      </c>
      <c r="AI239" s="215">
        <f>IF(AND(ISNUMBER(AI140),ISNUMBER(AI132)),IFERROR(AI140/AI132,""),"")</f>
        <v>0.224780068066525</v>
      </c>
      <c r="AJ239" s="215">
        <f>IF(AND(ISNUMBER(AJ140),ISNUMBER(AJ132)),IFERROR(AJ140/AJ132,""),"")</f>
        <v>0.08595400679793</v>
      </c>
      <c r="AK239" s="215">
        <f>IF(AND(ISNUMBER(AK140),ISNUMBER(AK132)),IFERROR(AK140/AK132,""),"")</f>
        <v>0.246295198577356</v>
      </c>
      <c r="AL239" s="215">
        <f>IF(AND(ISNUMBER(AL140),ISNUMBER(AL132)),IFERROR(AL140/AL132,""),"")</f>
        <v>0.20885528057847</v>
      </c>
      <c r="AM239" s="215">
        <f>IF(AND(ISNUMBER(AM140),ISNUMBER(AM132)),IFERROR(AM140/AM132,""),"")</f>
        <v>0.192378251558629</v>
      </c>
      <c r="AN239" s="215">
        <f>IF(AND(ISNUMBER(AN140),ISNUMBER(AN132)),IFERROR(AN140/AN132,""),"")</f>
        <v>0.181843198767165</v>
      </c>
      <c r="AO239" s="215">
        <f>IF(AND(ISNUMBER(AO140),ISNUMBER(AO132)),IFERROR(AO140/AO132,""),"")</f>
        <v>0.235723089564503</v>
      </c>
      <c r="AP239" s="215">
        <f>IF(AND(ISNUMBER(AP140),ISNUMBER(AP132)),IFERROR(AP140/AP132,""),"")</f>
        <v>0.226598187609571</v>
      </c>
      <c r="AQ239" s="215">
        <f>IF(AND(ISNUMBER(AQ140),ISNUMBER(AQ132)),IFERROR(AQ140/AQ132,""),"")</f>
        <v>0.201106890938687</v>
      </c>
      <c r="AR239" s="215">
        <f>IF(AND(ISNUMBER(AR140),ISNUMBER(AR132)),IFERROR(AR140/AR132,""),"")</f>
        <v>0.211489154006314</v>
      </c>
      <c r="AS239" s="215">
        <f>IF(AND(ISNUMBER(AS140),ISNUMBER(AS132)),IFERROR(AS140/AS132,""),"")</f>
        <v>0.193809373405574</v>
      </c>
      <c r="AT239" s="215">
        <f>IF(AND(ISNUMBER(AT140),ISNUMBER(AT132)),IFERROR(AT140/AT132,""),"")</f>
        <v>0.166671018617646</v>
      </c>
      <c r="AU239" s="215">
        <f>IF(AND(ISNUMBER(AU140),ISNUMBER(AU132)),IFERROR(AU140/AU132,""),"")</f>
        <v>0.24284755159942</v>
      </c>
      <c r="AV239" s="215">
        <f>IF(AND(ISNUMBER(AV140),ISNUMBER(AV132)),IFERROR(AV140/AV132,""),"")</f>
        <v>0.275071180006327</v>
      </c>
      <c r="AW239" s="215">
        <f>IF(AND(ISNUMBER(AW140),ISNUMBER(AW132)),IFERROR(AW140/AW132,""),"")</f>
        <v>0.225851517857632</v>
      </c>
      <c r="AX239" s="215">
        <f>IF(AND(ISNUMBER(AX140),ISNUMBER(AX132)),IFERROR(AX140/AX132,""),"")</f>
        <v>0.297158043171711</v>
      </c>
      <c r="AY239" s="215">
        <f>IF(AND(ISNUMBER(AY140),ISNUMBER(AY132)),IFERROR(AY140/AY132,""),"")</f>
        <v>0.312879767291532</v>
      </c>
      <c r="AZ239" s="215">
        <f>IF(AND(ISNUMBER(AZ140),ISNUMBER(AZ132)),IFERROR(AZ140/AZ132,""),"")</f>
        <v>0.322967535857981</v>
      </c>
      <c r="BA239" s="215">
        <f>IF(AND(ISNUMBER(BA140),ISNUMBER(BA132)),IFERROR(BA140/BA132,""),"")</f>
        <v>0.290540989047461</v>
      </c>
      <c r="BB239" s="215">
        <f>IF(AND(ISNUMBER(BB140),ISNUMBER(BB132)),IFERROR(BB140/BB132,""),"")</f>
        <v>0.305522886852432</v>
      </c>
      <c r="BC239" s="215">
        <f>IF(AND(ISNUMBER(BC140),ISNUMBER(BC132)),IFERROR(BC140/BC132,""),"")</f>
        <v>0.295452206260752</v>
      </c>
      <c r="BD239" s="215">
        <f>IF(AND(ISNUMBER(BD140),ISNUMBER(BD132)),IFERROR(BD140/BD132,""),"")</f>
        <v>0.279156202913109</v>
      </c>
      <c r="BE239" s="215">
        <f>IF(AND(ISNUMBER(BE140),ISNUMBER(BE132)),IFERROR(BE140/BE132,""),"")</f>
        <v>0.248002663115846</v>
      </c>
      <c r="BF239" s="215">
        <f>IF(AND(ISNUMBER(BF140),ISNUMBER(BF132)),IFERROR(BF140/BF132,""),"")</f>
        <v>0.238796549547654</v>
      </c>
      <c r="BG239" s="215">
        <f>IF(AND(ISNUMBER(BG140),ISNUMBER(BG132)),IFERROR(BG140/BG132,""),"")</f>
        <v>0.26461270842467</v>
      </c>
      <c r="BH239" s="215">
        <f>IF(AND(ISNUMBER(BH140),ISNUMBER(BH132)),IFERROR(BH140/BH132,""),"")</f>
        <v>0.249545044205941</v>
      </c>
      <c r="BI239" s="215">
        <f>IF(AND(ISNUMBER(BI140),ISNUMBER(BI132)),IFERROR(BI140/BI132,""),"")</f>
        <v>0.29271888906761</v>
      </c>
      <c r="BJ239" s="215">
        <f>IF(AND(ISNUMBER(BJ140),ISNUMBER(BJ132)),IFERROR(BJ140/BJ132,""),"")</f>
        <v>0.278291369486133</v>
      </c>
      <c r="BK239" s="215">
        <f>IF(AND(ISNUMBER(BK140),ISNUMBER(BK132)),IFERROR(BK140/BK132,""),"")</f>
        <v>0.274556830031283</v>
      </c>
      <c r="BL239" s="215">
        <f>IF(AND(ISNUMBER(BL140),ISNUMBER(BL132)),IFERROR(BL140/BL132,""),"")</f>
        <v>0.274218104452266</v>
      </c>
      <c r="BM239" s="215">
        <f>IF(AND(ISNUMBER(BM140),ISNUMBER(BM132)),IFERROR(BM140/BM132,""),"")</f>
        <v>0.316269136691541</v>
      </c>
      <c r="BN239" s="215">
        <f>IF(AND(ISNUMBER(BN140),ISNUMBER(BN132)),IFERROR(BN140/BN132,""),"")</f>
        <v>0.32362936914399</v>
      </c>
      <c r="BO239" s="215">
        <f>IF(AND(ISNUMBER(BO140),ISNUMBER(BO132)),IFERROR(BO140/BO132,""),"")</f>
        <v>0.323118230842434</v>
      </c>
      <c r="BP239" s="215">
        <f>IF(AND(ISNUMBER(BP140),ISNUMBER(BP132)),IFERROR(BP140/BP132,""),"")</f>
        <v>0.321056505198561</v>
      </c>
      <c r="BQ239" s="215">
        <f>IF(AND(ISNUMBER(BQ140),ISNUMBER(BQ132)),IFERROR(BQ140/BQ132,""),"")</f>
        <v>0.321097772114577</v>
      </c>
      <c r="BR239" s="215">
        <f>IF(AND(ISNUMBER(BR140),ISNUMBER(BR132)),IFERROR(BR140/BR132,""),"")</f>
        <v>0.339184786222488</v>
      </c>
      <c r="BS239" s="215">
        <f>IF(AND(ISNUMBER(BS140),ISNUMBER(BS132)),IFERROR(BS140/BS132,""),"")</f>
        <v>0.324293773592732</v>
      </c>
      <c r="BT239" s="215">
        <f>IF(AND(ISNUMBER(BT140),ISNUMBER(BT132)),IFERROR(BT140/BT132,""),"")</f>
        <v>0.305121841596154</v>
      </c>
      <c r="BU239" s="215">
        <f>IF(AND(ISNUMBER(BU140),ISNUMBER(BU132)),IFERROR(BU140/BU132,""),"")</f>
        <v>0.315684052394381</v>
      </c>
      <c r="BV239" s="215">
        <f>IF(AND(ISNUMBER(BV140),ISNUMBER(BV132)),IFERROR(BV140/BV132,""),"")</f>
        <v>0.3203263859238</v>
      </c>
      <c r="BW239" s="215">
        <f>IF(AND(ISNUMBER(BW140),ISNUMBER(BW132)),IFERROR(BW140/BW132,""),"")</f>
        <v>0.361214238916794</v>
      </c>
      <c r="BX239" s="215">
        <f>IF(AND(ISNUMBER(BX140),ISNUMBER(BX132)),IFERROR(BX140/BX132,""),"")</f>
        <v>0.340328558549534</v>
      </c>
      <c r="BY239" s="256">
        <f>IF(AND(ISNUMBER(BY140),ISNUMBER(BY132)),IFERROR(BY140/BY132,""),"")</f>
        <v>0.32898903500358</v>
      </c>
      <c r="BZ239" s="256">
        <f>IF(AND(ISNUMBER(BZ140),ISNUMBER(BZ132)),IFERROR(BZ140/BZ132,""),"")</f>
        <v>0.358031371137155</v>
      </c>
      <c r="CA239" s="256">
        <f>IF(AND(ISNUMBER(CA140),ISNUMBER(CA132)),IFERROR(CA140/CA132,""),"")</f>
        <v>0.34707490781977</v>
      </c>
      <c r="CB239" s="256">
        <f>IF(AND(ISNUMBER(CB140),ISNUMBER(CB132)),IFERROR(CB140/CB132,""),"")</f>
        <v>0.332789418828486</v>
      </c>
      <c r="CC239" s="256">
        <f>IF(AND(ISNUMBER(CC140),ISNUMBER(CC132)),IFERROR(CC140/CC132,""),"")</f>
        <v>0.316592899650073</v>
      </c>
      <c r="CD239" s="256">
        <f>IF(AND(ISNUMBER(CD140),ISNUMBER(CD132)),IFERROR(CD140/CD132,""),"")</f>
        <v>0.309725151160693</v>
      </c>
      <c r="CE239" s="256">
        <f>IF(AND(ISNUMBER(CE140),ISNUMBER(CE132)),IFERROR(CE140/CE132,""),"")</f>
        <v>0.304254092831352</v>
      </c>
      <c r="CF239" s="153" t="n"/>
      <c r="CH239" s="37">
        <f>IFERROR(AVERAGE(CA239,CB239,CC239,CD239,CE239),"n/m")</f>
        <v>0.322087294058075</v>
      </c>
      <c r="CI239" s="37">
        <f>IFERROR(AVERAGE(BB239,BG239,BL239,BQ239,BV239),"n/m")</f>
        <v>0.297155571553549</v>
      </c>
      <c r="CJ239" s="37">
        <f>IFERROR(AVERAGE(AC239,AH239,AM239,AR239,AW239,BB239,BG239,BL239,BQ239,BV239),"n/m")</f>
        <v>0.261407155466601</v>
      </c>
      <c r="CK239" s="37">
        <f>IFERROR(AVERAGE(C239,D239,E239,F239,G239,H239,I239,N239,S239,X239,AC239,AH239,AM239,AR239,AW239,BB239,BG239,BL239,BQ239,BV239),"n/m")</f>
        <v>0.278532308283533</v>
      </c>
    </row>
    <row r="240" ht="15" customHeight="1" s="251">
      <c r="B240" s="25" t="inlineStr">
        <is>
          <t xml:space="preserve">  Net margin %</t>
        </is>
      </c>
      <c r="C240" s="215">
        <f>IF(AND(ISNUMBER(C149),ISNUMBER(C132)),IFERROR(C149/C132,""),"")</f>
        <v>0.290190484281961</v>
      </c>
      <c r="D240" s="215">
        <f>IF(AND(ISNUMBER(D149),ISNUMBER(D132)),IFERROR(D149/D132,""),"")</f>
        <v>0.253327922537719</v>
      </c>
      <c r="E240" s="215">
        <f>IF(AND(ISNUMBER(E149),ISNUMBER(E132)),IFERROR(E149/E132,""),"")</f>
        <v>0.193932155875855</v>
      </c>
      <c r="F240" s="215">
        <f>IF(AND(ISNUMBER(F149),ISNUMBER(F132)),IFERROR(F149/F132,""),"")</f>
        <v>0.275699483348451</v>
      </c>
      <c r="G240" s="215">
        <f>IF(AND(ISNUMBER(G149),ISNUMBER(G132)),IFERROR(G149/G132,""),"")</f>
        <v>0.290065141025204</v>
      </c>
      <c r="H240" s="215">
        <f>IF(AND(ISNUMBER(H149),ISNUMBER(H132)),IFERROR(H149/H132,""),"")</f>
        <v>0.256879039704524</v>
      </c>
      <c r="I240" s="215">
        <f>IF(AND(ISNUMBER(I149),ISNUMBER(I132)),IFERROR(I149/I132,""),"")</f>
        <v>0.213991031390135</v>
      </c>
      <c r="J240" s="215">
        <f>IF(AND(ISNUMBER(J149),ISNUMBER(J132)),IFERROR(J149/J132,""),"")</f>
        <v>0.239530388717875</v>
      </c>
      <c r="K240" s="215">
        <f>IF(AND(ISNUMBER(K149),ISNUMBER(K132)),IFERROR(K149/K132,""),"")</f>
        <v>0.22885501595179</v>
      </c>
      <c r="L240" s="215">
        <f>IF(AND(ISNUMBER(L149),ISNUMBER(L132)),IFERROR(L149/L132,""),"")</f>
        <v>0.19942254750554</v>
      </c>
      <c r="M240" s="215">
        <f>IF(AND(ISNUMBER(M149),ISNUMBER(M132)),IFERROR(M149/M132,""),"")</f>
        <v>0.200261003677779</v>
      </c>
      <c r="N240" s="215">
        <f>IF(AND(ISNUMBER(N149),ISNUMBER(N132)),IFERROR(N149/N132,""),"")</f>
        <v>0.215963226076055</v>
      </c>
      <c r="O240" s="215">
        <f>IF(AND(ISNUMBER(O149),ISNUMBER(O132)),IFERROR(O149/O132,""),"")</f>
        <v>0.223865110246433</v>
      </c>
      <c r="P240" s="215">
        <f>IF(AND(ISNUMBER(P149),ISNUMBER(P132)),IFERROR(P149/P132,""),"")</f>
        <v>0.214478219993732</v>
      </c>
      <c r="Q240" s="215">
        <f>IF(AND(ISNUMBER(Q149),ISNUMBER(Q132)),IFERROR(Q149/Q132,""),"")</f>
        <v>0.170247533740846</v>
      </c>
      <c r="R240" s="215">
        <f>IF(AND(ISNUMBER(R149),ISNUMBER(R132)),IFERROR(R149/R132,""),"")</f>
        <v>0.262774125835497</v>
      </c>
      <c r="S240" s="215">
        <f>IF(AND(ISNUMBER(S149),ISNUMBER(S132)),IFERROR(S149/S132,""),"")</f>
        <v>0.218845169012591</v>
      </c>
      <c r="T240" s="215">
        <f>IF(AND(ISNUMBER(T149),ISNUMBER(T132)),IFERROR(T149/T132,""),"")</f>
        <v>0.207787692664272</v>
      </c>
      <c r="U240" s="215">
        <f>IF(AND(ISNUMBER(U149),ISNUMBER(U132)),IFERROR(U149/U132,""),"")</f>
        <v>0.221752129519941</v>
      </c>
      <c r="V240" s="215">
        <f>IF(AND(ISNUMBER(V149),ISNUMBER(V132)),IFERROR(V149/V132,""),"")</f>
        <v>0.213065595716198</v>
      </c>
      <c r="W240" s="215">
        <f>IF(AND(ISNUMBER(W149),ISNUMBER(W132)),IFERROR(W149/W132,""),"")</f>
        <v>0.230812508790848</v>
      </c>
      <c r="X240" s="215">
        <f>IF(AND(ISNUMBER(X149),ISNUMBER(X132)),IFERROR(X149/X132,""),"")</f>
        <v>0.218005307445092</v>
      </c>
      <c r="Y240" s="215">
        <f>IF(AND(ISNUMBER(Y149),ISNUMBER(Y132)),IFERROR(Y149/Y132,""),"")</f>
        <v>0.207681295354692</v>
      </c>
      <c r="Z240" s="215">
        <f>IF(AND(ISNUMBER(Z149),ISNUMBER(Z132)),IFERROR(Z149/Z132,""),"")</f>
        <v>0.226837209302326</v>
      </c>
      <c r="AA240" s="215">
        <f>IF(AND(ISNUMBER(AA149),ISNUMBER(AA132)),IFERROR(AA149/AA132,""),"")</f>
        <v>0.225424257271391</v>
      </c>
      <c r="AB240" s="215">
        <f>IF(AND(ISNUMBER(AB149),ISNUMBER(AB132)),IFERROR(AB149/AB132,""),"")</f>
        <v>0.204611724984653</v>
      </c>
      <c r="AC240" s="215">
        <f>IF(AND(ISNUMBER(AC149),ISNUMBER(AC132)),IFERROR(AC149/AC132,""),"")</f>
        <v>0.215770116979794</v>
      </c>
      <c r="AD240" s="215">
        <f>IF(AND(ISNUMBER(AD149),ISNUMBER(AD132)),IFERROR(AD149/AD132,""),"")</f>
        <v>0.219232323232323</v>
      </c>
      <c r="AE240" s="215">
        <f>IF(AND(ISNUMBER(AE149),ISNUMBER(AE132)),IFERROR(AE149/AE132,""),"")</f>
        <v>0.135486351403306</v>
      </c>
      <c r="AF240" s="215">
        <f>IF(AND(ISNUMBER(AF149),ISNUMBER(AF132)),IFERROR(AF149/AF132,""),"")</f>
        <v>0.242402419703298</v>
      </c>
      <c r="AG240" s="215">
        <f>IF(AND(ISNUMBER(AG149),ISNUMBER(AG132)),IFERROR(AG149/AG132,""),"")</f>
        <v>-0.0934319215419361</v>
      </c>
      <c r="AH240" s="215">
        <f>IF(AND(ISNUMBER(AH149),ISNUMBER(AH132)),IFERROR(AH149/AH132,""),"")</f>
        <v>0.114221280050516</v>
      </c>
      <c r="AI240" s="215">
        <f>IF(AND(ISNUMBER(AI149),ISNUMBER(AI132)),IFERROR(AI149/AI132,""),"")</f>
        <v>0.301836511911642</v>
      </c>
      <c r="AJ240" s="215">
        <f>IF(AND(ISNUMBER(AJ149),ISNUMBER(AJ132)),IFERROR(AJ149/AJ132,""),"")</f>
        <v>0.0978350736442417</v>
      </c>
      <c r="AK240" s="215">
        <f>IF(AND(ISNUMBER(AK149),ISNUMBER(AK132)),IFERROR(AK149/AK132,""),"")</f>
        <v>0.272436277415531</v>
      </c>
      <c r="AL240" s="215">
        <f>IF(AND(ISNUMBER(AL149),ISNUMBER(AL132)),IFERROR(AL149/AL132,""),"")</f>
        <v>0.227823607291985</v>
      </c>
      <c r="AM240" s="215">
        <f>IF(AND(ISNUMBER(AM149),ISNUMBER(AM132)),IFERROR(AM149/AM132,""),"")</f>
        <v>0.224647161578436</v>
      </c>
      <c r="AN240" s="215">
        <f>IF(AND(ISNUMBER(AN149),ISNUMBER(AN132)),IFERROR(AN149/AN132,""),"")</f>
        <v>0.183191612317345</v>
      </c>
      <c r="AO240" s="215">
        <f>IF(AND(ISNUMBER(AO149),ISNUMBER(AO132)),IFERROR(AO149/AO132,""),"")</f>
        <v>0.255418036154478</v>
      </c>
      <c r="AP240" s="215">
        <f>IF(AND(ISNUMBER(AP149),ISNUMBER(AP132)),IFERROR(AP149/AP132,""),"")</f>
        <v>0.174522827724141</v>
      </c>
      <c r="AQ240" s="215">
        <f>IF(AND(ISNUMBER(AQ149),ISNUMBER(AQ132)),IFERROR(AQ149/AQ132,""),"")</f>
        <v>0.231600651112317</v>
      </c>
      <c r="AR240" s="215">
        <f>IF(AND(ISNUMBER(AR149),ISNUMBER(AR132)),IFERROR(AR149/AR132,""),"")</f>
        <v>0.212181122843003</v>
      </c>
      <c r="AS240" s="215">
        <f>IF(AND(ISNUMBER(AS149),ISNUMBER(AS132)),IFERROR(AS149/AS132,""),"")</f>
        <v>0.166087611458004</v>
      </c>
      <c r="AT240" s="215">
        <f>IF(AND(ISNUMBER(AT149),ISNUMBER(AT132)),IFERROR(AT149/AT132,""),"")</f>
        <v>0.181711361203227</v>
      </c>
      <c r="AU240" s="215">
        <f>IF(AND(ISNUMBER(AU149),ISNUMBER(AU132)),IFERROR(AU149/AU132,""),"")</f>
        <v>0.243583912676239</v>
      </c>
      <c r="AV240" s="215">
        <f>IF(AND(ISNUMBER(AV149),ISNUMBER(AV132)),IFERROR(AV149/AV132,""),"")</f>
        <v>0.267619248479736</v>
      </c>
      <c r="AW240" s="215">
        <f>IF(AND(ISNUMBER(AW149),ISNUMBER(AW132)),IFERROR(AW149/AW132,""),"")</f>
        <v>0.220619415209805</v>
      </c>
      <c r="AX240" s="215">
        <f>IF(AND(ISNUMBER(AX149),ISNUMBER(AX132)),IFERROR(AX149/AX132,""),"")</f>
        <v>0.324149401598149</v>
      </c>
      <c r="AY240" s="215">
        <f>IF(AND(ISNUMBER(AY149),ISNUMBER(AY132)),IFERROR(AY149/AY132,""),"")</f>
        <v>0.29936974789916</v>
      </c>
      <c r="AZ240" s="215">
        <f>IF(AND(ISNUMBER(AZ149),ISNUMBER(AZ132)),IFERROR(AZ149/AZ132,""),"")</f>
        <v>0.290795171841887</v>
      </c>
      <c r="BA240" s="215">
        <f>IF(AND(ISNUMBER(BA149),ISNUMBER(BA132)),IFERROR(BA149/BA132,""),"")</f>
        <v>0.274039163624295</v>
      </c>
      <c r="BB240" s="215">
        <f>IF(AND(ISNUMBER(BB149),ISNUMBER(BB132)),IFERROR(BB149/BB132,""),"")</f>
        <v>0.295116772823779</v>
      </c>
      <c r="BC240" s="215">
        <f>IF(AND(ISNUMBER(BC149),ISNUMBER(BC132)),IFERROR(BC149/BC132,""),"")</f>
        <v>0.241666789195865</v>
      </c>
      <c r="BD240" s="215">
        <f>IF(AND(ISNUMBER(BD149),ISNUMBER(BD132)),IFERROR(BD149/BD132,""),"")</f>
        <v>0.229633350075339</v>
      </c>
      <c r="BE240" s="215">
        <f>IF(AND(ISNUMBER(BE149),ISNUMBER(BE132)),IFERROR(BE149/BE132,""),"")</f>
        <v>0.201325768540497</v>
      </c>
      <c r="BF240" s="215">
        <f>IF(AND(ISNUMBER(BF149),ISNUMBER(BF132)),IFERROR(BF149/BF132,""),"")</f>
        <v>0.179150010519672</v>
      </c>
      <c r="BG240" s="215">
        <f>IF(AND(ISNUMBER(BG149),ISNUMBER(BG132)),IFERROR(BG149/BG132,""),"")</f>
        <v>0.21203807153262</v>
      </c>
      <c r="BH240" s="215">
        <f>IF(AND(ISNUMBER(BH149),ISNUMBER(BH132)),IFERROR(BH149/BH132,""),"")</f>
        <v>0.215670540358519</v>
      </c>
      <c r="BI240" s="215">
        <f>IF(AND(ISNUMBER(BI149),ISNUMBER(BI132)),IFERROR(BI149/BI132,""),"")</f>
        <v>0.246206637713796</v>
      </c>
      <c r="BJ240" s="215">
        <f>IF(AND(ISNUMBER(BJ149),ISNUMBER(BJ132)),IFERROR(BJ149/BJ132,""),"")</f>
        <v>0.256724864068429</v>
      </c>
      <c r="BK240" s="215">
        <f>IF(AND(ISNUMBER(BK149),ISNUMBER(BK132)),IFERROR(BK149/BK132,""),"")</f>
        <v>0.23968253968254</v>
      </c>
      <c r="BL240" s="215">
        <f>IF(AND(ISNUMBER(BL149),ISNUMBER(BL132)),IFERROR(BL149/BL132,""),"")</f>
        <v>0.240066494466385</v>
      </c>
      <c r="BM240" s="215">
        <f>IF(AND(ISNUMBER(BM149),ISNUMBER(BM132)),IFERROR(BM149/BM132,""),"")</f>
        <v>0.293795552465265</v>
      </c>
      <c r="BN240" s="215">
        <f>IF(AND(ISNUMBER(BN149),ISNUMBER(BN132)),IFERROR(BN149/BN132,""),"")</f>
        <v>0.278716575015931</v>
      </c>
      <c r="BO240" s="215">
        <f>IF(AND(ISNUMBER(BO149),ISNUMBER(BO132)),IFERROR(BO149/BO132,""),"")</f>
        <v>0.297967553360221</v>
      </c>
      <c r="BP240" s="215">
        <f>IF(AND(ISNUMBER(BP149),ISNUMBER(BP132)),IFERROR(BP149/BP132,""),"")</f>
        <v>0.275072821320839</v>
      </c>
      <c r="BQ240" s="215">
        <f>IF(AND(ISNUMBER(BQ149),ISNUMBER(BQ132)),IFERROR(BQ149/BQ132,""),"")</f>
        <v>0.28603671811164</v>
      </c>
      <c r="BR240" s="215">
        <f>IF(AND(ISNUMBER(BR149),ISNUMBER(BR132)),IFERROR(BR149/BR132,""),"")</f>
        <v>0.382782543165547</v>
      </c>
      <c r="BS240" s="215">
        <f>IF(AND(ISNUMBER(BS149),ISNUMBER(BS132)),IFERROR(BS149/BS132,""),"")</f>
        <v>0.29240469573153</v>
      </c>
      <c r="BT240" s="215">
        <f>IF(AND(ISNUMBER(BT149),ISNUMBER(BT132)),IFERROR(BT149/BT132,""),"")</f>
        <v>0.341772028218006</v>
      </c>
      <c r="BU240" s="215">
        <f>IF(AND(ISNUMBER(BU149),ISNUMBER(BU132)),IFERROR(BU149/BU132,""),"")</f>
        <v>0.302690878422898</v>
      </c>
      <c r="BV240" s="215">
        <f>IF(AND(ISNUMBER(BV149),ISNUMBER(BV132)),IFERROR(BV149/BV132,""),"")</f>
        <v>0.328098779652265</v>
      </c>
      <c r="BW240" s="215">
        <f>IF(AND(ISNUMBER(BW149),ISNUMBER(BW132)),IFERROR(BW149/BW132,""),"")</f>
        <v>0.569429278590668</v>
      </c>
      <c r="BX240" s="215">
        <f>IF(AND(ISNUMBER(BX149),ISNUMBER(BX132)),IFERROR(BX149/BX132,""),"")</f>
        <v>0.936533774082607</v>
      </c>
      <c r="BY240" s="256">
        <f>IF(AND(ISNUMBER(BY149),ISNUMBER(BY132)),IFERROR(BY149/BY132,""),"")</f>
        <v>0.275261824368815</v>
      </c>
      <c r="BZ240" s="256">
        <f>IF(AND(ISNUMBER(BZ149),ISNUMBER(BZ132)),IFERROR(BZ149/BZ132,""),"")</f>
        <v>0.298511020084801</v>
      </c>
      <c r="CA240" s="256">
        <f>IF(AND(ISNUMBER(CA149),ISNUMBER(CA132)),IFERROR(CA149/CA132,""),"")</f>
        <v>0.505731323871034</v>
      </c>
      <c r="CB240" s="256">
        <f>IF(AND(ISNUMBER(CB149),ISNUMBER(CB132)),IFERROR(CB149/CB132,""),"")</f>
        <v>0.278605893069651</v>
      </c>
      <c r="CC240" s="256">
        <f>IF(AND(ISNUMBER(CC149),ISNUMBER(CC132)),IFERROR(CC149/CC132,""),"")</f>
        <v>0.262391861864196</v>
      </c>
      <c r="CD240" s="256">
        <f>IF(AND(ISNUMBER(CD149),ISNUMBER(CD132)),IFERROR(CD149/CD132,""),"")</f>
        <v>0.25598494857978</v>
      </c>
      <c r="CE240" s="256">
        <f>IF(AND(ISNUMBER(CE149),ISNUMBER(CE132)),IFERROR(CE149/CE132,""),"")</f>
        <v>0.251741482598159</v>
      </c>
      <c r="CF240" s="153" t="n"/>
      <c r="CH240" s="37">
        <f>IFERROR(AVERAGE(CA240,CB240,CC240,CD240,CE240),"n/m")</f>
        <v>0.310891101996564</v>
      </c>
      <c r="CI240" s="37">
        <f>IFERROR(AVERAGE(BB240,BG240,BL240,BQ240,BV240),"n/m")</f>
        <v>0.272271367317338</v>
      </c>
      <c r="CJ240" s="37">
        <f>IFERROR(AVERAGE(AC240,AH240,AM240,AR240,AW240,BB240,BG240,BL240,BQ240,BV240),"n/m")</f>
        <v>0.234879593324824</v>
      </c>
      <c r="CK240" s="37">
        <f>IFERROR(AVERAGE(C240,D240,E240,F240,G240,H240,I240,N240,S240,X240,AC240,AH240,AM240,AR240,AW240,BB240,BG240,BL240,BQ240,BV240),"n/m")</f>
        <v>0.238784744697292</v>
      </c>
    </row>
    <row r="241" ht="15" customHeight="1" s="251">
      <c r="B241" s="25" t="inlineStr">
        <is>
          <t xml:space="preserve">  R&amp;D % of revenues</t>
        </is>
      </c>
      <c r="C241" s="215">
        <f>IF(AND(ISNUMBER(C135),ISNUMBER(C132)),IFERROR(C135/C132,""),"")</f>
        <v>0.115850883132796</v>
      </c>
      <c r="D241" s="215">
        <f>IF(AND(ISNUMBER(D135),ISNUMBER(D132)),IFERROR(D135/D132,""),"")</f>
        <v>0.127756224453847</v>
      </c>
      <c r="E241" s="215">
        <f>IF(AND(ISNUMBER(E135),ISNUMBER(E132)),IFERROR(E135/E132,""),"")</f>
        <v>0.128154233318269</v>
      </c>
      <c r="F241" s="215">
        <f>IF(AND(ISNUMBER(F135),ISNUMBER(F132)),IFERROR(F135/F132,""),"")</f>
        <v>0.120209696487986</v>
      </c>
      <c r="G241" s="215">
        <f>IF(AND(ISNUMBER(G135),ISNUMBER(G132)),IFERROR(G135/G132,""),"")</f>
        <v>0.128303945977286</v>
      </c>
      <c r="H241" s="215">
        <f>IF(AND(ISNUMBER(H135),ISNUMBER(H132)),IFERROR(H135/H132,""),"")</f>
        <v>0.136182561667326</v>
      </c>
      <c r="I241" s="215">
        <f>IF(AND(ISNUMBER(I135),ISNUMBER(I132)),IFERROR(I135/I132,""),"")</f>
        <v>0.135386148480319</v>
      </c>
      <c r="J241" s="215">
        <f>IF(AND(ISNUMBER(J135),ISNUMBER(J132)),IFERROR(J135/J132,""),"")</f>
        <v>0.131505476412055</v>
      </c>
      <c r="K241" s="215">
        <f>IF(AND(ISNUMBER(K135),ISNUMBER(K132)),IFERROR(K135/K132,""),"")</f>
        <v>0.140872031194612</v>
      </c>
      <c r="L241" s="215">
        <f>IF(AND(ISNUMBER(L135),ISNUMBER(L132)),IFERROR(L135/L132,""),"")</f>
        <v>0.135432753642651</v>
      </c>
      <c r="M241" s="215">
        <f>IF(AND(ISNUMBER(M135),ISNUMBER(M132)),IFERROR(M135/M132,""),"")</f>
        <v>0.125222446316289</v>
      </c>
      <c r="N241" s="215">
        <f>IF(AND(ISNUMBER(N135),ISNUMBER(N132)),IFERROR(N135/N132,""),"")</f>
        <v>0.132921019640618</v>
      </c>
      <c r="O241" s="215">
        <f>IF(AND(ISNUMBER(O135),ISNUMBER(O132)),IFERROR(O135/O132,""),"")</f>
        <v>0.137872892347601</v>
      </c>
      <c r="P241" s="215">
        <f>IF(AND(ISNUMBER(P135),ISNUMBER(P132)),IFERROR(P135/P132,""),"")</f>
        <v>0.140269507991225</v>
      </c>
      <c r="Q241" s="215">
        <f>IF(AND(ISNUMBER(Q135),ISNUMBER(Q132)),IFERROR(Q135/Q132,""),"")</f>
        <v>0.160685105610361</v>
      </c>
      <c r="R241" s="215">
        <f>IF(AND(ISNUMBER(R135),ISNUMBER(R132)),IFERROR(R135/R132,""),"")</f>
        <v>0.155388609622714</v>
      </c>
      <c r="S241" s="215">
        <f>IF(AND(ISNUMBER(S135),ISNUMBER(S132)),IFERROR(S135/S132,""),"")</f>
        <v>0.148967439887274</v>
      </c>
      <c r="T241" s="215">
        <f>IF(AND(ISNUMBER(T135),ISNUMBER(T132)),IFERROR(T135/T132,""),"")</f>
        <v>0.159520222505505</v>
      </c>
      <c r="U241" s="215">
        <f>IF(AND(ISNUMBER(U135),ISNUMBER(U132)),IFERROR(U135/U132,""),"")</f>
        <v>0.157330625599368</v>
      </c>
      <c r="V241" s="215">
        <f>IF(AND(ISNUMBER(V135),ISNUMBER(V132)),IFERROR(V135/V132,""),"")</f>
        <v>0.172958500669344</v>
      </c>
      <c r="W241" s="215">
        <f>IF(AND(ISNUMBER(W135),ISNUMBER(W132)),IFERROR(W135/W132,""),"")</f>
        <v>0.164564677200056</v>
      </c>
      <c r="X241" s="215">
        <f>IF(AND(ISNUMBER(X135),ISNUMBER(X132)),IFERROR(X135/X132,""),"")</f>
        <v>0.16378402165651</v>
      </c>
      <c r="Y241" s="215">
        <f>IF(AND(ISNUMBER(Y135),ISNUMBER(Y132)),IFERROR(Y135/Y132,""),"")</f>
        <v>0.166214148195685</v>
      </c>
      <c r="Z241" s="215">
        <f>IF(AND(ISNUMBER(Z135),ISNUMBER(Z132)),IFERROR(Z135/Z132,""),"")</f>
        <v>0.156418604651163</v>
      </c>
      <c r="AA241" s="215">
        <f>IF(AND(ISNUMBER(AA135),ISNUMBER(AA132)),IFERROR(AA135/AA132,""),"")</f>
        <v>0.160171039151931</v>
      </c>
      <c r="AB241" s="215">
        <f>IF(AND(ISNUMBER(AB135),ISNUMBER(AB132)),IFERROR(AB135/AB132,""),"")</f>
        <v>0.138965623081645</v>
      </c>
      <c r="AC241" s="215">
        <f>IF(AND(ISNUMBER(AC135),ISNUMBER(AC132)),IFERROR(AC135/AC132,""),"")</f>
        <v>0.154510811768876</v>
      </c>
      <c r="AD241" s="215">
        <f>IF(AND(ISNUMBER(AD135),ISNUMBER(AD132)),IFERROR(AD135/AD132,""),"")</f>
        <v>0.159272727272727</v>
      </c>
      <c r="AE241" s="215">
        <f>IF(AND(ISNUMBER(AE135),ISNUMBER(AE132)),IFERROR(AE135/AE132,""),"")</f>
        <v>0.160399846212995</v>
      </c>
      <c r="AF241" s="215">
        <f>IF(AND(ISNUMBER(AF135),ISNUMBER(AF132)),IFERROR(AF135/AF132,""),"")</f>
        <v>0.151411493590667</v>
      </c>
      <c r="AG241" s="215">
        <f>IF(AND(ISNUMBER(AG135),ISNUMBER(AG132)),IFERROR(AG135/AG132,""),"")</f>
        <v>0.133217832503171</v>
      </c>
      <c r="AH241" s="215">
        <f>IF(AND(ISNUMBER(AH135),ISNUMBER(AH132)),IFERROR(AH135/AH132,""),"")</f>
        <v>0.149970682422985</v>
      </c>
      <c r="AI241" s="215">
        <f>IF(AND(ISNUMBER(AI135),ISNUMBER(AI132)),IFERROR(AI135/AI132,""),"")</f>
        <v>0.161786425223143</v>
      </c>
      <c r="AJ241" s="215">
        <f>IF(AND(ISNUMBER(AJ135),ISNUMBER(AJ132)),IFERROR(AJ135/AJ132,""),"")</f>
        <v>0.156597360443397</v>
      </c>
      <c r="AK241" s="215">
        <f>IF(AND(ISNUMBER(AK135),ISNUMBER(AK132)),IFERROR(AK135/AK132,""),"")</f>
        <v>0.155068168346177</v>
      </c>
      <c r="AL241" s="215">
        <f>IF(AND(ISNUMBER(AL135),ISNUMBER(AL132)),IFERROR(AL135/AL132,""),"")</f>
        <v>0.153630715958855</v>
      </c>
      <c r="AM241" s="215">
        <f>IF(AND(ISNUMBER(AM135),ISNUMBER(AM132)),IFERROR(AM135/AM132,""),"")</f>
        <v>0.156549894386014</v>
      </c>
      <c r="AN241" s="215">
        <f>IF(AND(ISNUMBER(AN135),ISNUMBER(AN132)),IFERROR(AN135/AN132,""),"")</f>
        <v>0.165909903959933</v>
      </c>
      <c r="AO241" s="215">
        <f>IF(AND(ISNUMBER(AO135),ISNUMBER(AO132)),IFERROR(AO135/AO132,""),"")</f>
        <v>0.15953677074774</v>
      </c>
      <c r="AP241" s="215">
        <f>IF(AND(ISNUMBER(AP135),ISNUMBER(AP132)),IFERROR(AP135/AP132,""),"")</f>
        <v>0.161831156324848</v>
      </c>
      <c r="AQ241" s="215">
        <f>IF(AND(ISNUMBER(AQ135),ISNUMBER(AQ132)),IFERROR(AQ135/AQ132,""),"")</f>
        <v>0.156744438415627</v>
      </c>
      <c r="AR241" s="215">
        <f>IF(AND(ISNUMBER(AR135),ISNUMBER(AR132)),IFERROR(AR135/AR132,""),"")</f>
        <v>0.16074683208017</v>
      </c>
      <c r="AS241" s="215">
        <f>IF(AND(ISNUMBER(AS135),ISNUMBER(AS132)),IFERROR(AS135/AS132,""),"")</f>
        <v>0.165698875094147</v>
      </c>
      <c r="AT241" s="215">
        <f>IF(AND(ISNUMBER(AT135),ISNUMBER(AT132)),IFERROR(AT135/AT132,""),"")</f>
        <v>0.179517977909497</v>
      </c>
      <c r="AU241" s="215">
        <f>IF(AND(ISNUMBER(AU135),ISNUMBER(AU132)),IFERROR(AU135/AU132,""),"")</f>
        <v>0.148485045372837</v>
      </c>
      <c r="AV241" s="215">
        <f>IF(AND(ISNUMBER(AV135),ISNUMBER(AV132)),IFERROR(AV135/AV132,""),"")</f>
        <v>0.123413828254069</v>
      </c>
      <c r="AW241" s="215">
        <f>IF(AND(ISNUMBER(AW135),ISNUMBER(AW132)),IFERROR(AW135/AW132,""),"")</f>
        <v>0.151062582522038</v>
      </c>
      <c r="AX241" s="215">
        <f>IF(AND(ISNUMBER(AX135),ISNUMBER(AX132)),IFERROR(AX135/AX132,""),"")</f>
        <v>0.135318364247749</v>
      </c>
      <c r="AY241" s="215">
        <f>IF(AND(ISNUMBER(AY135),ISNUMBER(AY132)),IFERROR(AY135/AY132,""),"")</f>
        <v>0.124030381383323</v>
      </c>
      <c r="AZ241" s="215">
        <f>IF(AND(ISNUMBER(AZ135),ISNUMBER(AZ132)),IFERROR(AZ135/AZ132,""),"")</f>
        <v>0.118154734482017</v>
      </c>
      <c r="BA241" s="215">
        <f>IF(AND(ISNUMBER(BA135),ISNUMBER(BA132)),IFERROR(BA135/BA132,""),"")</f>
        <v>0.115605708596084</v>
      </c>
      <c r="BB241" s="215">
        <f>IF(AND(ISNUMBER(BB135),ISNUMBER(BB132)),IFERROR(BB135/BB132,""),"")</f>
        <v>0.122505695998634</v>
      </c>
      <c r="BC241" s="215">
        <f>IF(AND(ISNUMBER(BC135),ISNUMBER(BC132)),IFERROR(BC135/BC132,""),"")</f>
        <v>0.134081251562247</v>
      </c>
      <c r="BD241" s="215">
        <f>IF(AND(ISNUMBER(BD135),ISNUMBER(BD132)),IFERROR(BD135/BD132,""),"")</f>
        <v>0.141221209729497</v>
      </c>
      <c r="BE241" s="215">
        <f>IF(AND(ISNUMBER(BE135),ISNUMBER(BE132)),IFERROR(BE135/BE132,""),"")</f>
        <v>0.148685810224049</v>
      </c>
      <c r="BF241" s="215">
        <f>IF(AND(ISNUMBER(BF135),ISNUMBER(BF132)),IFERROR(BF135/BF132,""),"")</f>
        <v>0.135006837786661</v>
      </c>
      <c r="BG241" s="215">
        <f>IF(AND(ISNUMBER(BG135),ISNUMBER(BG132)),IFERROR(BG135/BG132,""),"")</f>
        <v>0.139656903647343</v>
      </c>
      <c r="BH241" s="215">
        <f>IF(AND(ISNUMBER(BH135),ISNUMBER(BH132)),IFERROR(BH135/BH132,""),"")</f>
        <v>0.1643285998825</v>
      </c>
      <c r="BI241" s="215">
        <f>IF(AND(ISNUMBER(BI135),ISNUMBER(BI132)),IFERROR(BI135/BI132,""),"")</f>
        <v>0.141922685110718</v>
      </c>
      <c r="BJ241" s="215">
        <f>IF(AND(ISNUMBER(BJ135),ISNUMBER(BJ132)),IFERROR(BJ135/BJ132,""),"")</f>
        <v>0.146793058036587</v>
      </c>
      <c r="BK241" s="215">
        <f>IF(AND(ISNUMBER(BK135),ISNUMBER(BK132)),IFERROR(BK135/BK132,""),"")</f>
        <v>0.140342949832001</v>
      </c>
      <c r="BL241" s="215">
        <f>IF(AND(ISNUMBER(BL135),ISNUMBER(BL132)),IFERROR(BL135/BL132,""),"")</f>
        <v>0.14778102370248</v>
      </c>
      <c r="BM241" s="215">
        <f>IF(AND(ISNUMBER(BM135),ISNUMBER(BM132)),IFERROR(BM135/BM132,""),"")</f>
        <v>0.147791753063733</v>
      </c>
      <c r="BN241" s="215">
        <f>IF(AND(ISNUMBER(BN135),ISNUMBER(BN132)),IFERROR(BN135/BN132,""),"")</f>
        <v>0.1399542139671</v>
      </c>
      <c r="BO241" s="215">
        <f>IF(AND(ISNUMBER(BO135),ISNUMBER(BO132)),IFERROR(BO135/BO132,""),"")</f>
        <v>0.141013730910409</v>
      </c>
      <c r="BP241" s="215">
        <f>IF(AND(ISNUMBER(BP135),ISNUMBER(BP132)),IFERROR(BP135/BP132,""),"")</f>
        <v>0.135960774963978</v>
      </c>
      <c r="BQ241" s="215">
        <f>IF(AND(ISNUMBER(BQ135),ISNUMBER(BQ132)),IFERROR(BQ135/BQ132,""),"")</f>
        <v>0.140924181042118</v>
      </c>
      <c r="BR241" s="215">
        <f>IF(AND(ISNUMBER(BR135),ISNUMBER(BR132)),IFERROR(BR135/BR132,""),"")</f>
        <v>0.150231620010196</v>
      </c>
      <c r="BS241" s="215">
        <f>IF(AND(ISNUMBER(BS135),ISNUMBER(BS132)),IFERROR(BS135/BS132,""),"")</f>
        <v>0.143194922636579</v>
      </c>
      <c r="BT241" s="215">
        <f>IF(AND(ISNUMBER(BT135),ISNUMBER(BT132)),IFERROR(BT135/BT132,""),"")</f>
        <v>0.148037050788502</v>
      </c>
      <c r="BU241" s="215">
        <f>IF(AND(ISNUMBER(BU135),ISNUMBER(BU132)),IFERROR(BU135/BU132,""),"")</f>
        <v>0.163157016226094</v>
      </c>
      <c r="BV241" s="215">
        <f>IF(AND(ISNUMBER(BV135),ISNUMBER(BV132)),IFERROR(BV135/BV132,""),"")</f>
        <v>0.1516423556981</v>
      </c>
      <c r="BW241" s="215">
        <f>IF(AND(ISNUMBER(BW135),ISNUMBER(BW132)),IFERROR(BW135/BW132,""),"")</f>
        <v>0.15498289291694</v>
      </c>
      <c r="BX241" s="215">
        <f>IF(AND(ISNUMBER(BX135),ISNUMBER(BX132)),IFERROR(BX135/BX132,""),"")</f>
        <v>0.152083542021436</v>
      </c>
      <c r="BY241" s="256">
        <f>IF(AND(ISNUMBER(BY135),ISNUMBER(BY132)),IFERROR(BY135/BY132,""),"")</f>
        <v>0.154911263455614</v>
      </c>
      <c r="BZ241" s="256">
        <f>IF(AND(ISNUMBER(BZ135),ISNUMBER(BZ132)),IFERROR(BZ135/BZ132,""),"")</f>
        <v>0.170031228893205</v>
      </c>
      <c r="CA241" s="256">
        <f>IF(AND(ISNUMBER(CA135),ISNUMBER(CA132)),IFERROR(CA135/CA132,""),"")</f>
        <v>0.158543487738313</v>
      </c>
      <c r="CB241" s="256">
        <f>IF(AND(ISNUMBER(CB135),ISNUMBER(CB132)),IFERROR(CB135/CB132,""),"")</f>
        <v>0.152</v>
      </c>
      <c r="CC241" s="256">
        <f>IF(AND(ISNUMBER(CC135),ISNUMBER(CC132)),IFERROR(CC135/CC132,""),"")</f>
        <v>0.152</v>
      </c>
      <c r="CD241" s="256">
        <f>IF(AND(ISNUMBER(CD135),ISNUMBER(CD132)),IFERROR(CD135/CD132,""),"")</f>
        <v>0.152</v>
      </c>
      <c r="CE241" s="256">
        <f>IF(AND(ISNUMBER(CE135),ISNUMBER(CE132)),IFERROR(CE135/CE132,""),"")</f>
        <v>0.152</v>
      </c>
      <c r="CF241" s="153" t="n"/>
      <c r="CH241" s="37">
        <f>IFERROR(AVERAGE(CA241,CB241,CC241,CD241,CE241),"n/m")</f>
        <v>0.153308697547663</v>
      </c>
      <c r="CI241" s="37">
        <f>IFERROR(AVERAGE(BB241,BG241,BL241,BQ241,BV241),"n/m")</f>
        <v>0.140502032017735</v>
      </c>
      <c r="CJ241" s="37">
        <f>IFERROR(AVERAGE(AC241,AH241,AM241,AR241,AW241,BB241,BG241,BL241,BQ241,BV241),"n/m")</f>
        <v>0.147535096326876</v>
      </c>
      <c r="CK241" s="37">
        <f>IFERROR(AVERAGE(C241,D241,E241,F241,G241,H241,I241,N241,S241,X241,AC241,AH241,AM241,AR241,AW241,BB241,BG241,BL241,BQ241,BV241),"n/m")</f>
        <v>0.140643356898549</v>
      </c>
    </row>
    <row r="242" ht="15" customHeight="1" s="251">
      <c r="B242" s="25" t="inlineStr">
        <is>
          <t xml:space="preserve">  Sales &amp; marketing % of revenues</t>
        </is>
      </c>
      <c r="C242" s="215">
        <f>IF(AND(ISNUMBER(C136),ISNUMBER(C132)),IFERROR(C136/C132,""),"")</f>
        <v>0.0801060489205149</v>
      </c>
      <c r="D242" s="215">
        <f>IF(AND(ISNUMBER(D136),ISNUMBER(D132)),IFERROR(D136/D132,""),"")</f>
        <v>0.0880599754633998</v>
      </c>
      <c r="E242" s="215">
        <f>IF(AND(ISNUMBER(E136),ISNUMBER(E132)),IFERROR(E136/E132,""),"")</f>
        <v>0.089295475452558</v>
      </c>
      <c r="F242" s="215">
        <f>IF(AND(ISNUMBER(F136),ISNUMBER(F132)),IFERROR(F136/F132,""),"")</f>
        <v>0.0838855717726466</v>
      </c>
      <c r="G242" s="215">
        <f>IF(AND(ISNUMBER(G136),ISNUMBER(G132)),IFERROR(G136/G132,""),"")</f>
        <v>0.0954605913850142</v>
      </c>
      <c r="H242" s="215">
        <f>IF(AND(ISNUMBER(H136),ISNUMBER(H132)),IFERROR(H136/H132,""),"")</f>
        <v>0.121065822450864</v>
      </c>
      <c r="I242" s="215">
        <f>IF(AND(ISNUMBER(I136),ISNUMBER(I132)),IFERROR(I136/I132,""),"")</f>
        <v>0.12243148978575</v>
      </c>
      <c r="J242" s="215">
        <f>IF(AND(ISNUMBER(J136),ISNUMBER(J132)),IFERROR(J136/J132,""),"")</f>
        <v>0.11353711790393</v>
      </c>
      <c r="K242" s="215">
        <f>IF(AND(ISNUMBER(K136),ISNUMBER(K132)),IFERROR(K136/K132,""),"")</f>
        <v>0.123006026231833</v>
      </c>
      <c r="L242" s="215">
        <f>IF(AND(ISNUMBER(L136),ISNUMBER(L132)),IFERROR(L136/L132,""),"")</f>
        <v>0.121265023836702</v>
      </c>
      <c r="M242" s="215">
        <f>IF(AND(ISNUMBER(M136),ISNUMBER(M132)),IFERROR(M136/M132,""),"")</f>
        <v>0.126112231581445</v>
      </c>
      <c r="N242" s="215">
        <f>IF(AND(ISNUMBER(N136),ISNUMBER(N132)),IFERROR(N136/N132,""),"")</f>
        <v>0.121236941078145</v>
      </c>
      <c r="O242" s="215">
        <f>IF(AND(ISNUMBER(O136),ISNUMBER(O132)),IFERROR(O136/O132,""),"")</f>
        <v>0.112127107652399</v>
      </c>
      <c r="P242" s="215">
        <f>IF(AND(ISNUMBER(P136),ISNUMBER(P132)),IFERROR(P136/P132,""),"")</f>
        <v>0.121654653713569</v>
      </c>
      <c r="Q242" s="215">
        <f>IF(AND(ISNUMBER(Q136),ISNUMBER(Q132)),IFERROR(Q136/Q132,""),"")</f>
        <v>0.126127216607154</v>
      </c>
      <c r="R242" s="215">
        <f>IF(AND(ISNUMBER(R136),ISNUMBER(R132)),IFERROR(R136/R132,""),"")</f>
        <v>0.13130420372314</v>
      </c>
      <c r="S242" s="215">
        <f>IF(AND(ISNUMBER(S136),ISNUMBER(S132)),IFERROR(S136/S132,""),"")</f>
        <v>0.123195103104498</v>
      </c>
      <c r="T242" s="215">
        <f>IF(AND(ISNUMBER(T136),ISNUMBER(T132)),IFERROR(T136/T132,""),"")</f>
        <v>0.11965465291459</v>
      </c>
      <c r="U242" s="215">
        <f>IF(AND(ISNUMBER(U136),ISNUMBER(U132)),IFERROR(U136/U132,""),"")</f>
        <v>0.11733513848931</v>
      </c>
      <c r="V242" s="215">
        <f>IF(AND(ISNUMBER(V136),ISNUMBER(V132)),IFERROR(V136/V132,""),"")</f>
        <v>0.119036144578313</v>
      </c>
      <c r="W242" s="215">
        <f>IF(AND(ISNUMBER(W136),ISNUMBER(W132)),IFERROR(W136/W132,""),"")</f>
        <v>0.125603638239017</v>
      </c>
      <c r="X242" s="215">
        <f>IF(AND(ISNUMBER(X136),ISNUMBER(X132)),IFERROR(X136/X132,""),"")</f>
        <v>0.120644361172972</v>
      </c>
      <c r="Y242" s="215">
        <f>IF(AND(ISNUMBER(Y136),ISNUMBER(Y132)),IFERROR(Y136/Y132,""),"")</f>
        <v>0.117835809843511</v>
      </c>
      <c r="Z242" s="215">
        <f>IF(AND(ISNUMBER(Z136),ISNUMBER(Z132)),IFERROR(Z136/Z132,""),"")</f>
        <v>0.112325581395349</v>
      </c>
      <c r="AA242" s="215">
        <f>IF(AND(ISNUMBER(AA136),ISNUMBER(AA132)),IFERROR(AA136/AA132,""),"")</f>
        <v>0.114248808516324</v>
      </c>
      <c r="AB242" s="215">
        <f>IF(AND(ISNUMBER(AB136),ISNUMBER(AB132)),IFERROR(AB136/AB132,""),"")</f>
        <v>0.11962860650706</v>
      </c>
      <c r="AC242" s="215">
        <f>IF(AND(ISNUMBER(AC136),ISNUMBER(AC132)),IFERROR(AC136/AC132,""),"")</f>
        <v>0.116148971995746</v>
      </c>
      <c r="AD242" s="215">
        <f>IF(AND(ISNUMBER(AD136),ISNUMBER(AD132)),IFERROR(AD136/AD132,""),"")</f>
        <v>0.106828282828283</v>
      </c>
      <c r="AE242" s="215">
        <f>IF(AND(ISNUMBER(AE136),ISNUMBER(AE132)),IFERROR(AE136/AE132,""),"")</f>
        <v>0.111380238369858</v>
      </c>
      <c r="AF242" s="215">
        <f>IF(AND(ISNUMBER(AF136),ISNUMBER(AF132)),IFERROR(AF136/AF132,""),"")</f>
        <v>0.109534783234913</v>
      </c>
      <c r="AG242" s="215">
        <f>IF(AND(ISNUMBER(AG136),ISNUMBER(AG132)),IFERROR(AG136/AG132,""),"")</f>
        <v>0.133341583392631</v>
      </c>
      <c r="AH242" s="215">
        <f>IF(AND(ISNUMBER(AH136),ISNUMBER(AH132)),IFERROR(AH136/AH132,""),"")</f>
        <v>0.116305083216815</v>
      </c>
      <c r="AI242" s="215">
        <f>IF(AND(ISNUMBER(AI136),ISNUMBER(AI132)),IFERROR(AI136/AI132,""),"")</f>
        <v>0.115713093174083</v>
      </c>
      <c r="AJ242" s="215">
        <f>IF(AND(ISNUMBER(AJ136),ISNUMBER(AJ132)),IFERROR(AJ136/AJ132,""),"")</f>
        <v>0.115748537832624</v>
      </c>
      <c r="AK242" s="215">
        <f>IF(AND(ISNUMBER(AK136),ISNUMBER(AK132)),IFERROR(AK136/AK132,""),"")</f>
        <v>0.114078245406046</v>
      </c>
      <c r="AL242" s="215">
        <f>IF(AND(ISNUMBER(AL136),ISNUMBER(AL132)),IFERROR(AL136/AL132,""),"")</f>
        <v>0.12985029025359</v>
      </c>
      <c r="AM242" s="215">
        <f>IF(AND(ISNUMBER(AM136),ISNUMBER(AM132)),IFERROR(AM136/AM132,""),"")</f>
        <v>0.119376694757307</v>
      </c>
      <c r="AN242" s="215">
        <f>IF(AND(ISNUMBER(AN136),ISNUMBER(AN132)),IFERROR(AN136/AN132,""),"")</f>
        <v>0.107460304356201</v>
      </c>
      <c r="AO242" s="215">
        <f>IF(AND(ISNUMBER(AO136),ISNUMBER(AO132)),IFERROR(AO136/AO132,""),"")</f>
        <v>0.108155299917831</v>
      </c>
      <c r="AP242" s="215">
        <f>IF(AND(ISNUMBER(AP136),ISNUMBER(AP132)),IFERROR(AP136/AP132,""),"")</f>
        <v>0.113805279142695</v>
      </c>
      <c r="AQ242" s="215">
        <f>IF(AND(ISNUMBER(AQ136),ISNUMBER(AQ132)),IFERROR(AQ136/AQ132,""),"")</f>
        <v>0.124536082474227</v>
      </c>
      <c r="AR242" s="215">
        <f>IF(AND(ISNUMBER(AR136),ISNUMBER(AR132)),IFERROR(AR136/AR132,""),"")</f>
        <v>0.114076005362758</v>
      </c>
      <c r="AS242" s="215">
        <f>IF(AND(ISNUMBER(AS136),ISNUMBER(AS132)),IFERROR(AS136/AS132,""),"")</f>
        <v>0.109332102334848</v>
      </c>
      <c r="AT242" s="215">
        <f>IF(AND(ISNUMBER(AT136),ISNUMBER(AT132)),IFERROR(AT136/AT132,""),"")</f>
        <v>0.101861764629083</v>
      </c>
      <c r="AU242" s="215">
        <f>IF(AND(ISNUMBER(AU136),ISNUMBER(AU132)),IFERROR(AU136/AU132,""),"")</f>
        <v>0.0916336387066034</v>
      </c>
      <c r="AV242" s="215">
        <f>IF(AND(ISNUMBER(AV136),ISNUMBER(AV132)),IFERROR(AV136/AV132,""),"")</f>
        <v>0.0933951984252522</v>
      </c>
      <c r="AW242" s="215">
        <f>IF(AND(ISNUMBER(AW136),ISNUMBER(AW132)),IFERROR(AW136/AW132,""),"")</f>
        <v>0.0983197006470276</v>
      </c>
      <c r="AX242" s="215">
        <f>IF(AND(ISNUMBER(AX136),ISNUMBER(AX132)),IFERROR(AX136/AX132,""),"")</f>
        <v>0.0816429836930976</v>
      </c>
      <c r="AY242" s="215">
        <f>IF(AND(ISNUMBER(AY136),ISNUMBER(AY132)),IFERROR(AY136/AY132,""),"")</f>
        <v>0.0852617970265029</v>
      </c>
      <c r="AZ242" s="215">
        <f>IF(AND(ISNUMBER(AZ136),ISNUMBER(AZ132)),IFERROR(AZ136/AZ132,""),"")</f>
        <v>0.0847077612948801</v>
      </c>
      <c r="BA242" s="215">
        <f>IF(AND(ISNUMBER(BA136),ISNUMBER(BA132)),IFERROR(BA136/BA132,""),"")</f>
        <v>0.100949220046465</v>
      </c>
      <c r="BB242" s="215">
        <f>IF(AND(ISNUMBER(BB136),ISNUMBER(BB132)),IFERROR(BB136/BB132,""),"")</f>
        <v>0.088931325857699</v>
      </c>
      <c r="BC242" s="215">
        <f>IF(AND(ISNUMBER(BC136),ISNUMBER(BC132)),IFERROR(BC136/BC132,""),"")</f>
        <v>0.0856479098969284</v>
      </c>
      <c r="BD242" s="215">
        <f>IF(AND(ISNUMBER(BD136),ISNUMBER(BD132)),IFERROR(BD136/BD132,""),"")</f>
        <v>0.0951424266341393</v>
      </c>
      <c r="BE242" s="215">
        <f>IF(AND(ISNUMBER(BE136),ISNUMBER(BE132)),IFERROR(BE136/BE132,""),"")</f>
        <v>0.100286574422509</v>
      </c>
      <c r="BF242" s="215">
        <f>IF(AND(ISNUMBER(BF136),ISNUMBER(BF132)),IFERROR(BF136/BF132,""),"")</f>
        <v>0.0944535030507048</v>
      </c>
      <c r="BG242" s="215">
        <f>IF(AND(ISNUMBER(BG136),ISNUMBER(BG132)),IFERROR(BG136/BG132,""),"")</f>
        <v>0.0939307584607334</v>
      </c>
      <c r="BH242" s="215">
        <f>IF(AND(ISNUMBER(BH136),ISNUMBER(BH132)),IFERROR(BH136/BH132,""),"")</f>
        <v>0.0936134237035551</v>
      </c>
      <c r="BI242" s="215">
        <f>IF(AND(ISNUMBER(BI136),ISNUMBER(BI132)),IFERROR(BI136/BI132,""),"")</f>
        <v>0.0908932496917055</v>
      </c>
      <c r="BJ242" s="215">
        <f>IF(AND(ISNUMBER(BJ136),ISNUMBER(BJ132)),IFERROR(BJ136/BJ132,""),"")</f>
        <v>0.0897604735764672</v>
      </c>
      <c r="BK242" s="215">
        <f>IF(AND(ISNUMBER(BK136),ISNUMBER(BK132)),IFERROR(BK136/BK132,""),"")</f>
        <v>0.0894334376086201</v>
      </c>
      <c r="BL242" s="215">
        <f>IF(AND(ISNUMBER(BL136),ISNUMBER(BL132)),IFERROR(BL136/BL132,""),"")</f>
        <v>0.0908182983402409</v>
      </c>
      <c r="BM242" s="215">
        <f>IF(AND(ISNUMBER(BM136),ISNUMBER(BM132)),IFERROR(BM136/BM132,""),"")</f>
        <v>0.0797874321757161</v>
      </c>
      <c r="BN242" s="215">
        <f>IF(AND(ISNUMBER(BN136),ISNUMBER(BN132)),IFERROR(BN136/BN132,""),"")</f>
        <v>0.0801491586226429</v>
      </c>
      <c r="BO242" s="215">
        <f>IF(AND(ISNUMBER(BO136),ISNUMBER(BO132)),IFERROR(BO136/BO132,""),"")</f>
        <v>0.0818756514252051</v>
      </c>
      <c r="BP242" s="215">
        <f>IF(AND(ISNUMBER(BP136),ISNUMBER(BP132)),IFERROR(BP136/BP132,""),"")</f>
        <v>0.0763250370585369</v>
      </c>
      <c r="BQ242" s="215">
        <f>IF(AND(ISNUMBER(BQ136),ISNUMBER(BQ132)),IFERROR(BQ136/BQ132,""),"")</f>
        <v>0.0794473427080893</v>
      </c>
      <c r="BR242" s="215">
        <f>IF(AND(ISNUMBER(BR136),ISNUMBER(BR132)),IFERROR(BR136/BR132,""),"")</f>
        <v>0.068399937939136</v>
      </c>
      <c r="BS242" s="215">
        <f>IF(AND(ISNUMBER(BS136),ISNUMBER(BS132)),IFERROR(BS136/BS132,""),"")</f>
        <v>0.0736404363877712</v>
      </c>
      <c r="BT242" s="215">
        <f>IF(AND(ISNUMBER(BT136),ISNUMBER(BT132)),IFERROR(BT136/BT132,""),"")</f>
        <v>0.0703984523088347</v>
      </c>
      <c r="BU242" s="215">
        <f>IF(AND(ISNUMBER(BU136),ISNUMBER(BU132)),IFERROR(BU136/BU132,""),"")</f>
        <v>0.0721696579957656</v>
      </c>
      <c r="BV242" s="215">
        <f>IF(AND(ISNUMBER(BV136),ISNUMBER(BV132)),IFERROR(BV136/BV132,""),"")</f>
        <v>0.0712274970459443</v>
      </c>
      <c r="BW242" s="215">
        <f>IF(AND(ISNUMBER(BW136),ISNUMBER(BW132)),IFERROR(BW136/BW132,""),"")</f>
        <v>0.0692108902962801</v>
      </c>
      <c r="BX242" s="215">
        <f>IF(AND(ISNUMBER(BX136),ISNUMBER(BX132)),IFERROR(BX136/BX132,""),"")</f>
        <v>0.0701442452168687</v>
      </c>
      <c r="BY242" s="256">
        <f>IF(AND(ISNUMBER(BY136),ISNUMBER(BY132)),IFERROR(BY136/BY132,""),"")</f>
        <v>0.0689889996010459</v>
      </c>
      <c r="BZ242" s="256">
        <f>IF(AND(ISNUMBER(BZ136),ISNUMBER(BZ132)),IFERROR(BZ136/BZ132,""),"")</f>
        <v>0.0707602052879768</v>
      </c>
      <c r="CA242" s="256">
        <f>IF(AND(ISNUMBER(CA136),ISNUMBER(CA132)),IFERROR(CA136/CA132,""),"")</f>
        <v>0.0698189641143013</v>
      </c>
      <c r="CB242" s="256">
        <f>IF(AND(ISNUMBER(CB136),ISNUMBER(CB132)),IFERROR(CB136/CB132,""),"")</f>
        <v>0.068</v>
      </c>
      <c r="CC242" s="256">
        <f>IF(AND(ISNUMBER(CC136),ISNUMBER(CC132)),IFERROR(CC136/CC132,""),"")</f>
        <v>0.068</v>
      </c>
      <c r="CD242" s="256">
        <f>IF(AND(ISNUMBER(CD136),ISNUMBER(CD132)),IFERROR(CD136/CD132,""),"")</f>
        <v>0.068</v>
      </c>
      <c r="CE242" s="256">
        <f>IF(AND(ISNUMBER(CE136),ISNUMBER(CE132)),IFERROR(CE136/CE132,""),"")</f>
        <v>0.068</v>
      </c>
      <c r="CF242" s="153" t="n"/>
      <c r="CH242" s="37">
        <f>IFERROR(AVERAGE(CA242,CB242,CC242,CD242,CE242),"n/m")</f>
        <v>0.0683637928228603</v>
      </c>
      <c r="CI242" s="37">
        <f>IFERROR(AVERAGE(BB242,BG242,BL242,BQ242,BV242),"n/m")</f>
        <v>0.0848710444825414</v>
      </c>
      <c r="CJ242" s="37">
        <f>IFERROR(AVERAGE(AC242,AH242,AM242,AR242,AW242,BB242,BG242,BL242,BQ242,BV242),"n/m")</f>
        <v>0.0988581678392361</v>
      </c>
      <c r="CK242" s="37">
        <f>IFERROR(AVERAGE(C242,D242,E242,F242,G242,H242,I242,N242,S242,X242,AC242,AH242,AM242,AR242,AW242,BB242,BG242,BL242,BQ242,BV242),"n/m")</f>
        <v>0.101698152948936</v>
      </c>
    </row>
    <row r="243" ht="15" customHeight="1" s="251">
      <c r="B243" s="25" t="inlineStr">
        <is>
          <t xml:space="preserve">  G&amp;A % of revenues</t>
        </is>
      </c>
      <c r="C243" s="215">
        <f>IF(AND(ISNUMBER(C137),ISNUMBER(C132)),IFERROR(C137/C132,""),"")</f>
        <v>0.0708904180956815</v>
      </c>
      <c r="D243" s="215">
        <f>IF(AND(ISNUMBER(D137),ISNUMBER(D132)),IFERROR(D137/D132,""),"")</f>
        <v>0.0770911823114712</v>
      </c>
      <c r="E243" s="215">
        <f>IF(AND(ISNUMBER(E137),ISNUMBER(E132)),IFERROR(E137/E132,""),"")</f>
        <v>0.0827067451842234</v>
      </c>
      <c r="F243" s="215">
        <f>IF(AND(ISNUMBER(F137),ISNUMBER(F132)),IFERROR(F137/F132,""),"")</f>
        <v>0.0704970110013872</v>
      </c>
      <c r="G243" s="215">
        <f>IF(AND(ISNUMBER(G137),ISNUMBER(G132)),IFERROR(G137/G132,""),"")</f>
        <v>0.0669144981412639</v>
      </c>
      <c r="H243" s="215">
        <f>IF(AND(ISNUMBER(H137),ISNUMBER(H132)),IFERROR(H137/H132,""),"")</f>
        <v>0.0718638702018203</v>
      </c>
      <c r="I243" s="215">
        <f>IF(AND(ISNUMBER(I137),ISNUMBER(I132)),IFERROR(I137/I132,""),"")</f>
        <v>0.0766317887394121</v>
      </c>
      <c r="J243" s="215">
        <f>IF(AND(ISNUMBER(J137),ISNUMBER(J132)),IFERROR(J137/J132,""),"")</f>
        <v>0.0805354714009593</v>
      </c>
      <c r="K243" s="215">
        <f>IF(AND(ISNUMBER(K137),ISNUMBER(K132)),IFERROR(K137/K132,""),"")</f>
        <v>0.084863523573201</v>
      </c>
      <c r="L243" s="215">
        <f>IF(AND(ISNUMBER(L137),ISNUMBER(L132)),IFERROR(L137/L132,""),"")</f>
        <v>0.0814476599744847</v>
      </c>
      <c r="M243" s="215">
        <f>IF(AND(ISNUMBER(M137),ISNUMBER(M132)),IFERROR(M137/M132,""),"")</f>
        <v>0.0748012812907818</v>
      </c>
      <c r="N243" s="215">
        <f>IF(AND(ISNUMBER(N137),ISNUMBER(N132)),IFERROR(N137/N132,""),"")</f>
        <v>0.0801671541997493</v>
      </c>
      <c r="O243" s="215">
        <f>IF(AND(ISNUMBER(O137),ISNUMBER(O132)),IFERROR(O137/O132,""),"")</f>
        <v>0.0965629053177691</v>
      </c>
      <c r="P243" s="215">
        <f>IF(AND(ISNUMBER(P137),ISNUMBER(P132)),IFERROR(P137/P132,""),"")</f>
        <v>0.0879974929489188</v>
      </c>
      <c r="Q243" s="215">
        <f>IF(AND(ISNUMBER(Q137),ISNUMBER(Q132)),IFERROR(Q137/Q132,""),"")</f>
        <v>0.0826121164437451</v>
      </c>
      <c r="R243" s="215">
        <f>IF(AND(ISNUMBER(R137),ISNUMBER(R132)),IFERROR(R137/R132,""),"")</f>
        <v>0.0879964646743634</v>
      </c>
      <c r="S243" s="215">
        <f>IF(AND(ISNUMBER(S137),ISNUMBER(S132)),IFERROR(S137/S132,""),"")</f>
        <v>0.0886501719670914</v>
      </c>
      <c r="T243" s="215">
        <f>IF(AND(ISNUMBER(T137),ISNUMBER(T132)),IFERROR(T137/T132,""),"")</f>
        <v>0.0948545602039634</v>
      </c>
      <c r="U243" s="215">
        <f>IF(AND(ISNUMBER(U137),ISNUMBER(U132)),IFERROR(U137/U132,""),"")</f>
        <v>0.0817961301968748</v>
      </c>
      <c r="V243" s="215">
        <f>IF(AND(ISNUMBER(V137),ISNUMBER(V132)),IFERROR(V137/V132,""),"")</f>
        <v>0.0790896921017403</v>
      </c>
      <c r="W243" s="215">
        <f>IF(AND(ISNUMBER(W137),ISNUMBER(W132)),IFERROR(W137/W132,""),"")</f>
        <v>0.0737024708143842</v>
      </c>
      <c r="X243" s="215">
        <f>IF(AND(ISNUMBER(X137),ISNUMBER(X132)),IFERROR(X137/X132,""),"")</f>
        <v>0.0818253343823761</v>
      </c>
      <c r="Y243" s="215">
        <f>IF(AND(ISNUMBER(Y137),ISNUMBER(Y132)),IFERROR(Y137/Y132,""),"")</f>
        <v>0.0746902305375919</v>
      </c>
      <c r="Z243" s="215">
        <f>IF(AND(ISNUMBER(Z137),ISNUMBER(Z132)),IFERROR(Z137/Z132,""),"")</f>
        <v>0.0755348837209302</v>
      </c>
      <c r="AA243" s="215">
        <f>IF(AND(ISNUMBER(AA137),ISNUMBER(AA132)),IFERROR(AA137/AA132,""),"")</f>
        <v>0.0812435971671641</v>
      </c>
      <c r="AB243" s="215">
        <f>IF(AND(ISNUMBER(AB137),ISNUMBER(AB132)),IFERROR(AB137/AB132,""),"")</f>
        <v>0.0776550030693677</v>
      </c>
      <c r="AC243" s="215">
        <f>IF(AND(ISNUMBER(AC137),ISNUMBER(AC132)),IFERROR(AC137/AC132,""),"")</f>
        <v>0.0773772598369373</v>
      </c>
      <c r="AD243" s="215">
        <f>IF(AND(ISNUMBER(AD137),ISNUMBER(AD132)),IFERROR(AD137/AD132,""),"")</f>
        <v>0.0727676767676768</v>
      </c>
      <c r="AE243" s="215">
        <f>IF(AND(ISNUMBER(AE137),ISNUMBER(AE132)),IFERROR(AE137/AE132,""),"")</f>
        <v>0.065359477124183</v>
      </c>
      <c r="AF243" s="215">
        <f>IF(AND(ISNUMBER(AF137),ISNUMBER(AF132)),IFERROR(AF137/AF132,""),"")</f>
        <v>0.0574319458447357</v>
      </c>
      <c r="AG243" s="215">
        <f>IF(AND(ISNUMBER(AG137),ISNUMBER(AG132)),IFERROR(AG137/AG132,""),"")</f>
        <v>0.054945394920026</v>
      </c>
      <c r="AH243" s="215">
        <f>IF(AND(ISNUMBER(AH137),ISNUMBER(AH132)),IFERROR(AH137/AH132,""),"")</f>
        <v>0.061990888999143</v>
      </c>
      <c r="AI243" s="215">
        <f>IF(AND(ISNUMBER(AI137),ISNUMBER(AI132)),IFERROR(AI137/AI132,""),"")</f>
        <v>0.0653374430103384</v>
      </c>
      <c r="AJ243" s="215">
        <f>IF(AND(ISNUMBER(AJ137),ISNUMBER(AJ132)),IFERROR(AJ137/AJ132,""),"")</f>
        <v>0.0613038552224638</v>
      </c>
      <c r="AK243" s="215">
        <f>IF(AND(ISNUMBER(AK137),ISNUMBER(AK132)),IFERROR(AK137/AK132,""),"")</f>
        <v>0.0612922347362181</v>
      </c>
      <c r="AL243" s="215">
        <f>IF(AND(ISNUMBER(AL137),ISNUMBER(AL132)),IFERROR(AL137/AL132,""),"")</f>
        <v>0.0514563601181383</v>
      </c>
      <c r="AM243" s="215">
        <f>IF(AND(ISNUMBER(AM137),ISNUMBER(AM132)),IFERROR(AM137/AM132,""),"")</f>
        <v>0.0593923358597856</v>
      </c>
      <c r="AN243" s="215">
        <f>IF(AND(ISNUMBER(AN137),ISNUMBER(AN132)),IFERROR(AN137/AN132,""),"")</f>
        <v>0.0574589284240073</v>
      </c>
      <c r="AO243" s="215">
        <f>IF(AND(ISNUMBER(AO137),ISNUMBER(AO132)),IFERROR(AO137/AO132,""),"")</f>
        <v>0.0524599424815119</v>
      </c>
      <c r="AP243" s="215">
        <f>IF(AND(ISNUMBER(AP137),ISNUMBER(AP132)),IFERROR(AP137/AP132,""),"")</f>
        <v>0.0639768883182301</v>
      </c>
      <c r="AQ243" s="215">
        <f>IF(AND(ISNUMBER(AQ137),ISNUMBER(AQ132)),IFERROR(AQ137/AQ132,""),"")</f>
        <v>0.0613998914812805</v>
      </c>
      <c r="AR243" s="215">
        <f>IF(AND(ISNUMBER(AR137),ISNUMBER(AR132)),IFERROR(AR137/AR132,""),"")</f>
        <v>0.0590088782073065</v>
      </c>
      <c r="AS243" s="215">
        <f>IF(AND(ISNUMBER(AS137),ISNUMBER(AS132)),IFERROR(AS137/AS132,""),"")</f>
        <v>0.0699725454943026</v>
      </c>
      <c r="AT243" s="215">
        <f>IF(AND(ISNUMBER(AT137),ISNUMBER(AT132)),IFERROR(AT137/AT132,""),"")</f>
        <v>0.0674987596939708</v>
      </c>
      <c r="AU243" s="215">
        <f>IF(AND(ISNUMBER(AU137),ISNUMBER(AU132)),IFERROR(AU137/AU132,""),"")</f>
        <v>0.0596885625798627</v>
      </c>
      <c r="AV243" s="215">
        <f>IF(AND(ISNUMBER(AV137),ISNUMBER(AV132)),IFERROR(AV137/AV132,""),"")</f>
        <v>0.0497557031881613</v>
      </c>
      <c r="AW243" s="215">
        <f>IF(AND(ISNUMBER(AW137),ISNUMBER(AW132)),IFERROR(AW137/AW132,""),"")</f>
        <v>0.0605499460353811</v>
      </c>
      <c r="AX243" s="215">
        <f>IF(AND(ISNUMBER(AX137),ISNUMBER(AX132)),IFERROR(AX137/AX132,""),"")</f>
        <v>0.0501319738221788</v>
      </c>
      <c r="AY243" s="215">
        <f>IF(AND(ISNUMBER(AY137),ISNUMBER(AY132)),IFERROR(AY137/AY132,""),"")</f>
        <v>0.0539915966386555</v>
      </c>
      <c r="AZ243" s="215">
        <f>IF(AND(ISNUMBER(AZ137),ISNUMBER(AZ132)),IFERROR(AZ137/AZ132,""),"")</f>
        <v>0.0500015356737001</v>
      </c>
      <c r="BA243" s="215">
        <f>IF(AND(ISNUMBER(BA137),ISNUMBER(BA132)),IFERROR(BA137/BA132,""),"")</f>
        <v>0.0549618320610687</v>
      </c>
      <c r="BB243" s="215">
        <f>IF(AND(ISNUMBER(BB137),ISNUMBER(BB132)),IFERROR(BB137/BB132,""),"")</f>
        <v>0.0524381203010437</v>
      </c>
      <c r="BC243" s="215">
        <f>IF(AND(ISNUMBER(BC137),ISNUMBER(BC132)),IFERROR(BC137/BC132,""),"")</f>
        <v>0.0496096219729161</v>
      </c>
      <c r="BD243" s="215">
        <f>IF(AND(ISNUMBER(BD137),ISNUMBER(BD132)),IFERROR(BD137/BD132,""),"")</f>
        <v>0.0524790127000072</v>
      </c>
      <c r="BE243" s="215">
        <f>IF(AND(ISNUMBER(BE137),ISNUMBER(BE132)),IFERROR(BE137/BE132,""),"")</f>
        <v>0.0520610200891565</v>
      </c>
      <c r="BF243" s="215">
        <f>IF(AND(ISNUMBER(BF137),ISNUMBER(BF132)),IFERROR(BF137/BF132,""),"")</f>
        <v>0.0670103092783505</v>
      </c>
      <c r="BG243" s="215">
        <f>IF(AND(ISNUMBER(BG137),ISNUMBER(BG132)),IFERROR(BG137/BG132,""),"")</f>
        <v>0.0555940545050842</v>
      </c>
      <c r="BH243" s="215">
        <f>IF(AND(ISNUMBER(BH137),ISNUMBER(BH132)),IFERROR(BH137/BH132,""),"")</f>
        <v>0.0538639001533237</v>
      </c>
      <c r="BI243" s="215">
        <f>IF(AND(ISNUMBER(BI137),ISNUMBER(BI132)),IFERROR(BI137/BI132,""),"")</f>
        <v>0.0466596965310171</v>
      </c>
      <c r="BJ243" s="215">
        <f>IF(AND(ISNUMBER(BJ137),ISNUMBER(BJ132)),IFERROR(BJ137/BJ132,""),"")</f>
        <v>0.0518821795991812</v>
      </c>
      <c r="BK243" s="215">
        <f>IF(AND(ISNUMBER(BK137),ISNUMBER(BK132)),IFERROR(BK137/BK132,""),"")</f>
        <v>0.0603174603174603</v>
      </c>
      <c r="BL243" s="215">
        <f>IF(AND(ISNUMBER(BL137),ISNUMBER(BL132)),IFERROR(BL137/BL132,""),"")</f>
        <v>0.0534330533452182</v>
      </c>
      <c r="BM243" s="215">
        <f>IF(AND(ISNUMBER(BM137),ISNUMBER(BM132)),IFERROR(BM137/BM132,""),"")</f>
        <v>0.0375718595959721</v>
      </c>
      <c r="BN243" s="215">
        <f>IF(AND(ISNUMBER(BN137),ISNUMBER(BN132)),IFERROR(BN137/BN132,""),"")</f>
        <v>0.0372660546128248</v>
      </c>
      <c r="BO243" s="215">
        <f>IF(AND(ISNUMBER(BO137),ISNUMBER(BO132)),IFERROR(BO137/BO132,""),"")</f>
        <v>0.0407735532695881</v>
      </c>
      <c r="BP243" s="215">
        <f>IF(AND(ISNUMBER(BP137),ISNUMBER(BP132)),IFERROR(BP137/BP132,""),"")</f>
        <v>0.0456623371238429</v>
      </c>
      <c r="BQ243" s="215">
        <f>IF(AND(ISNUMBER(BQ137),ISNUMBER(BQ132)),IFERROR(BQ137/BQ132,""),"")</f>
        <v>0.040535058197007</v>
      </c>
      <c r="BR243" s="215">
        <f>IF(AND(ISNUMBER(BR137),ISNUMBER(BR132)),IFERROR(BR137/BR132,""),"")</f>
        <v>0.0392202495733316</v>
      </c>
      <c r="BS243" s="215">
        <f>IF(AND(ISNUMBER(BS137),ISNUMBER(BS132)),IFERROR(BS137/BS132,""),"")</f>
        <v>0.0540195793752852</v>
      </c>
      <c r="BT243" s="215">
        <f>IF(AND(ISNUMBER(BT137),ISNUMBER(BT132)),IFERROR(BT137/BT132,""),"")</f>
        <v>0.0722353584898286</v>
      </c>
      <c r="BU243" s="215">
        <f>IF(AND(ISNUMBER(BU137),ISNUMBER(BU132)),IFERROR(BU137/BU132,""),"")</f>
        <v>0.0469212590816049</v>
      </c>
      <c r="BV243" s="215">
        <f>IF(AND(ISNUMBER(BV137),ISNUMBER(BV132)),IFERROR(BV137/BV132,""),"")</f>
        <v>0.0533269121925548</v>
      </c>
      <c r="BW243" s="215">
        <f>IF(AND(ISNUMBER(BW137),ISNUMBER(BW132)),IFERROR(BW137/BW132,""),"")</f>
        <v>0.0390460071340176</v>
      </c>
      <c r="BX243" s="215">
        <f>IF(AND(ISNUMBER(BX137),ISNUMBER(BX132)),IFERROR(BX137/BX132,""),"")</f>
        <v>0.0539333533673912</v>
      </c>
      <c r="BY243" s="256">
        <f>IF(AND(ISNUMBER(BY137),ISNUMBER(BY132)),IFERROR(BY137/BY132,""),"")</f>
        <v>0.0468105114675304</v>
      </c>
      <c r="BZ243" s="256">
        <f>IF(AND(ISNUMBER(BZ137),ISNUMBER(BZ132)),IFERROR(BZ137/BZ132,""),"")</f>
        <v>0.0468105114675304</v>
      </c>
      <c r="CA243" s="256">
        <f>IF(AND(ISNUMBER(CA137),ISNUMBER(CA132)),IFERROR(CA137/CA132,""),"")</f>
        <v>0.0468105114675304</v>
      </c>
      <c r="CB243" s="256">
        <f>IF(AND(ISNUMBER(CB137),ISNUMBER(CB132)),IFERROR(CB137/CB132,""),"")</f>
        <v>0.048</v>
      </c>
      <c r="CC243" s="256">
        <f>IF(AND(ISNUMBER(CC137),ISNUMBER(CC132)),IFERROR(CC137/CC132,""),"")</f>
        <v>0.048</v>
      </c>
      <c r="CD243" s="256">
        <f>IF(AND(ISNUMBER(CD137),ISNUMBER(CD132)),IFERROR(CD137/CD132,""),"")</f>
        <v>0.048</v>
      </c>
      <c r="CE243" s="256">
        <f>IF(AND(ISNUMBER(CE137),ISNUMBER(CE132)),IFERROR(CE137/CE132,""),"")</f>
        <v>0.048</v>
      </c>
      <c r="CF243" s="153" t="n"/>
      <c r="CH243" s="37">
        <f>IFERROR(AVERAGE(CA243,CB243,CC243,CD243,CE243),"n/m")</f>
        <v>0.0477621022935061</v>
      </c>
      <c r="CI243" s="37">
        <f>IFERROR(AVERAGE(BB243,BG243,BL243,BQ243,BV243),"n/m")</f>
        <v>0.0510654397081816</v>
      </c>
      <c r="CJ243" s="37">
        <f>IFERROR(AVERAGE(AC243,AH243,AM243,AR243,AW243,BB243,BG243,BL243,BQ243,BV243),"n/m")</f>
        <v>0.0573646507479461</v>
      </c>
      <c r="CK243" s="37">
        <f>IFERROR(AVERAGE(C243,D243,E243,F243,G243,H243,I243,N243,S243,X243,AC243,AH243,AM243,AR243,AW243,BB243,BG243,BL243,BQ243,BV243),"n/m")</f>
        <v>0.0670442340851969</v>
      </c>
    </row>
    <row r="244" ht="15" customHeight="1" s="251">
      <c r="CN244" s="11" t="n"/>
      <c r="CO244" s="12" t="n"/>
      <c r="CP244" s="12" t="n"/>
      <c r="CQ244" s="12" t="n"/>
      <c r="CR244" s="13" t="n"/>
    </row>
    <row r="245" ht="15" customHeight="1" s="251">
      <c r="B245" s="10" t="inlineStr">
        <is>
          <t>CONSOLIDATED STATEMENTS OF CASH FLOWS</t>
        </is>
      </c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n"/>
      <c r="AN245" s="10" t="n"/>
      <c r="AO245" s="10" t="n"/>
      <c r="AP245" s="10" t="n"/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0" t="n"/>
      <c r="BC245" s="10" t="n"/>
      <c r="BD245" s="10" t="n"/>
      <c r="BE245" s="10" t="n"/>
      <c r="BF245" s="10" t="n"/>
      <c r="BG245" s="10" t="n"/>
      <c r="BH245" s="10" t="n"/>
      <c r="BI245" s="10" t="n"/>
      <c r="BJ245" s="10" t="n"/>
      <c r="BK245" s="10" t="n"/>
      <c r="BL245" s="10" t="n"/>
      <c r="BM245" s="10" t="n"/>
      <c r="BN245" s="10" t="n"/>
      <c r="BO245" s="10" t="n"/>
      <c r="BP245" s="10" t="n"/>
      <c r="BQ245" s="10" t="n"/>
      <c r="BR245" s="10" t="n"/>
      <c r="BS245" s="10" t="n"/>
      <c r="BT245" s="10" t="n"/>
      <c r="BU245" s="10" t="n"/>
      <c r="BV245" s="10" t="n"/>
      <c r="BW245" s="10" t="n"/>
      <c r="BX245" s="10" t="n"/>
      <c r="BY245" s="10" t="n"/>
      <c r="BZ245" s="10" t="n"/>
      <c r="CA245" s="10" t="n"/>
      <c r="CB245" s="10" t="n"/>
      <c r="CC245" s="10" t="n"/>
      <c r="CD245" s="10" t="n"/>
      <c r="CE245" s="10" t="n"/>
      <c r="CF245" s="10" t="inlineStr">
        <is>
          <t>CASH FLOW — forecast logic (annual; 2026E = 1H26 actual + 2H26 estimate; quarters = discrete, derived from year-to-date statements)</t>
        </is>
      </c>
    </row>
    <row r="246" ht="15" customHeight="1" s="251">
      <c r="B246" s="25" t="inlineStr">
        <is>
          <t>Net income</t>
        </is>
      </c>
      <c r="C246" s="253" t="n">
        <v>3077.446</v>
      </c>
      <c r="D246" s="253" t="n">
        <v>4203.72</v>
      </c>
      <c r="E246" s="253" t="n">
        <v>4226.858</v>
      </c>
      <c r="F246" s="253" t="n">
        <v>6520.448</v>
      </c>
      <c r="G246" s="253" t="n">
        <v>8505</v>
      </c>
      <c r="H246" s="253" t="n">
        <v>9737</v>
      </c>
      <c r="I246" s="253" t="n">
        <v>10737</v>
      </c>
      <c r="J246" s="253" t="n">
        <v>3346</v>
      </c>
      <c r="K246" s="253" t="n">
        <v>3228</v>
      </c>
      <c r="L246" s="253" t="n">
        <v>2970</v>
      </c>
      <c r="M246" s="253" t="n">
        <v>3376</v>
      </c>
      <c r="N246" s="253" t="n">
        <v>12920</v>
      </c>
      <c r="O246" s="253" t="n">
        <v>3452</v>
      </c>
      <c r="P246" s="253" t="n">
        <v>3422</v>
      </c>
      <c r="Q246" s="253" t="n">
        <v>2813</v>
      </c>
      <c r="R246" s="253" t="n">
        <v>4757</v>
      </c>
      <c r="S246" s="253" t="n">
        <v>14444</v>
      </c>
      <c r="T246" s="253" t="n">
        <v>3586</v>
      </c>
      <c r="U246" s="253" t="n">
        <v>3931</v>
      </c>
      <c r="V246" s="253" t="n">
        <v>3979</v>
      </c>
      <c r="W246" s="253" t="n">
        <v>4923</v>
      </c>
      <c r="X246" s="253" t="n">
        <v>16348</v>
      </c>
      <c r="Y246" s="253" t="n">
        <v>4207</v>
      </c>
      <c r="Z246" s="253" t="n">
        <v>4877</v>
      </c>
      <c r="AA246" s="253" t="n">
        <v>5061</v>
      </c>
      <c r="AB246" s="253" t="n">
        <v>5333</v>
      </c>
      <c r="AC246" s="253" t="n">
        <v>19478</v>
      </c>
      <c r="AD246" s="253" t="n">
        <v>5426</v>
      </c>
      <c r="AE246" s="253" t="n">
        <v>3524</v>
      </c>
      <c r="AF246" s="253" t="n">
        <v>6732</v>
      </c>
      <c r="AG246" s="253" t="n">
        <v>-3020</v>
      </c>
      <c r="AH246" s="253" t="n">
        <v>12662</v>
      </c>
      <c r="AI246" s="253" t="n">
        <v>9401</v>
      </c>
      <c r="AJ246" s="253" t="n">
        <v>3195</v>
      </c>
      <c r="AK246" s="253" t="n">
        <v>9192</v>
      </c>
      <c r="AL246" s="253" t="n">
        <v>8948</v>
      </c>
      <c r="AM246" s="253" t="n">
        <v>30736</v>
      </c>
      <c r="AN246" s="253" t="n">
        <v>6657</v>
      </c>
      <c r="AO246" s="253" t="n">
        <v>9947</v>
      </c>
      <c r="AP246" s="253" t="n">
        <v>7068</v>
      </c>
      <c r="AQ246" s="253" t="n">
        <v>10671</v>
      </c>
      <c r="AR246" s="253" t="n">
        <v>34343</v>
      </c>
      <c r="AS246" s="253" t="n">
        <v>6836</v>
      </c>
      <c r="AT246" s="253" t="n">
        <v>6959</v>
      </c>
      <c r="AU246" s="253" t="n">
        <v>11247</v>
      </c>
      <c r="AV246" s="253" t="n">
        <v>15227</v>
      </c>
      <c r="AW246" s="253" t="n">
        <v>40269</v>
      </c>
      <c r="AX246" s="253" t="n">
        <v>17930</v>
      </c>
      <c r="AY246" s="253" t="n">
        <v>18525</v>
      </c>
      <c r="AZ246" s="253" t="n">
        <v>18936</v>
      </c>
      <c r="BA246" s="253" t="n">
        <v>20642</v>
      </c>
      <c r="BB246" s="253" t="n">
        <v>76033</v>
      </c>
      <c r="BC246" s="253" t="n">
        <v>16436</v>
      </c>
      <c r="BD246" s="253" t="n">
        <v>16002</v>
      </c>
      <c r="BE246" s="253" t="n">
        <v>13910</v>
      </c>
      <c r="BF246" s="253" t="n">
        <v>13624</v>
      </c>
      <c r="BG246" s="253" t="n">
        <v>59972</v>
      </c>
      <c r="BH246" s="253" t="n">
        <v>15051</v>
      </c>
      <c r="BI246" s="253" t="n">
        <v>18368</v>
      </c>
      <c r="BJ246" s="253" t="n">
        <v>19689</v>
      </c>
      <c r="BK246" s="253" t="n">
        <v>20687</v>
      </c>
      <c r="BL246" s="253" t="n">
        <v>73795</v>
      </c>
      <c r="BM246" s="253" t="n">
        <v>23662</v>
      </c>
      <c r="BN246" s="253" t="n">
        <v>23619</v>
      </c>
      <c r="BO246" s="253" t="n">
        <v>26301</v>
      </c>
      <c r="BP246" s="253" t="n">
        <v>26536</v>
      </c>
      <c r="BQ246" s="253" t="n">
        <v>100118</v>
      </c>
      <c r="BR246" s="253" t="n">
        <v>34540</v>
      </c>
      <c r="BS246" s="253" t="n">
        <v>28196</v>
      </c>
      <c r="BT246" s="253" t="n">
        <v>34979</v>
      </c>
      <c r="BU246" s="253" t="n">
        <v>34455</v>
      </c>
      <c r="BV246" s="253" t="n">
        <v>132170</v>
      </c>
      <c r="BW246" s="253" t="n">
        <v>62578</v>
      </c>
      <c r="BX246" s="253" t="n">
        <v>112193</v>
      </c>
      <c r="BY246" s="35" t="n"/>
      <c r="BZ246" s="35" t="n"/>
      <c r="CA246" s="254">
        <f>SUM(BW246:BX246)+SUM(BY149:BZ149)</f>
        <v>251993.395624646</v>
      </c>
      <c r="CB246" s="254">
        <f>CB149</f>
        <v>162952.157327398</v>
      </c>
      <c r="CC246" s="254">
        <f>CC149</f>
        <v>176055.03063457</v>
      </c>
      <c r="CD246" s="254">
        <f>CD149</f>
        <v>194039.034820097</v>
      </c>
      <c r="CE246" s="254">
        <f>CE149</f>
        <v>212409.076164546</v>
      </c>
      <c r="CF246" s="19" t="n"/>
    </row>
    <row r="247" ht="15" customHeight="1" s="251">
      <c r="B247" s="25" t="inlineStr">
        <is>
          <t>Adjustments:</t>
        </is>
      </c>
      <c r="CF247" s="153" t="n"/>
    </row>
    <row r="248" ht="15" customHeight="1" s="251">
      <c r="B248" s="25" t="inlineStr">
        <is>
          <t xml:space="preserve">  Depreciation &amp; amortization (as presented)</t>
        </is>
      </c>
      <c r="C248" s="253" t="n">
        <v>571.939</v>
      </c>
      <c r="D248" s="253" t="n">
        <v>967.658</v>
      </c>
      <c r="E248" s="253" t="n">
        <v>1499.887</v>
      </c>
      <c r="F248" s="253" t="n">
        <v>1524.308</v>
      </c>
      <c r="G248" s="253" t="n">
        <v>1396</v>
      </c>
      <c r="H248" s="253" t="n">
        <v>1851</v>
      </c>
      <c r="I248" s="253" t="n">
        <v>2962</v>
      </c>
      <c r="J248" s="253" t="n">
        <v>899</v>
      </c>
      <c r="K248" s="253" t="n">
        <v>1030</v>
      </c>
      <c r="L248" s="253" t="n">
        <v>974</v>
      </c>
      <c r="M248" s="253" t="n">
        <v>1036</v>
      </c>
      <c r="N248" s="253" t="n">
        <v>3939</v>
      </c>
      <c r="O248" s="253" t="n">
        <v>1086</v>
      </c>
      <c r="P248" s="253" t="n">
        <v>1079</v>
      </c>
      <c r="Q248" s="253" t="n">
        <v>1547</v>
      </c>
      <c r="R248" s="253" t="n">
        <v>1267</v>
      </c>
      <c r="S248" s="253" t="n">
        <v>4979</v>
      </c>
      <c r="T248" s="253" t="n">
        <v>1177</v>
      </c>
      <c r="U248" s="253" t="n">
        <v>1234</v>
      </c>
      <c r="V248" s="253" t="n">
        <v>1248</v>
      </c>
      <c r="W248" s="253" t="n">
        <v>1404</v>
      </c>
      <c r="X248" s="253" t="n">
        <v>5063</v>
      </c>
      <c r="Y248" s="253" t="n">
        <v>1371</v>
      </c>
      <c r="Z248" s="253" t="n">
        <v>1490</v>
      </c>
      <c r="AA248" s="253" t="n">
        <v>1596</v>
      </c>
      <c r="AB248" s="253" t="n">
        <v>1687</v>
      </c>
      <c r="AC248" s="253" t="n">
        <v>6144</v>
      </c>
      <c r="AD248" s="253" t="n">
        <v>1503</v>
      </c>
      <c r="AE248" s="253" t="n">
        <v>1625</v>
      </c>
      <c r="AF248" s="253" t="n">
        <v>1761</v>
      </c>
      <c r="AG248" s="253" t="n">
        <v>2026</v>
      </c>
      <c r="AH248" s="253" t="n">
        <v>6915</v>
      </c>
      <c r="AI248" s="253" t="n">
        <v>1986</v>
      </c>
      <c r="AJ248" s="253" t="n">
        <v>2114</v>
      </c>
      <c r="AK248" s="253" t="n">
        <v>2355</v>
      </c>
      <c r="AL248" s="253" t="n">
        <v>2580</v>
      </c>
      <c r="AM248" s="253" t="n">
        <v>9035</v>
      </c>
      <c r="AN248" s="253" t="n">
        <v>2613</v>
      </c>
      <c r="AO248" s="253" t="n">
        <v>2835</v>
      </c>
      <c r="AP248" s="253" t="n">
        <v>2920</v>
      </c>
      <c r="AQ248" s="253" t="n">
        <v>3413</v>
      </c>
      <c r="AR248" s="253" t="n">
        <v>11781</v>
      </c>
      <c r="AS248" s="253" t="n">
        <v>3108</v>
      </c>
      <c r="AT248" s="253" t="n">
        <v>3386</v>
      </c>
      <c r="AU248" s="253" t="n">
        <v>3478</v>
      </c>
      <c r="AV248" s="253" t="n">
        <v>3725</v>
      </c>
      <c r="AW248" s="253" t="n">
        <v>13697</v>
      </c>
      <c r="AX248" s="253" t="n">
        <v>2753</v>
      </c>
      <c r="AY248" s="253" t="n">
        <v>2945</v>
      </c>
      <c r="AZ248" s="253" t="n">
        <v>3304</v>
      </c>
      <c r="BA248" s="253" t="n">
        <v>3439</v>
      </c>
      <c r="BB248" s="253" t="n">
        <v>12441</v>
      </c>
      <c r="BC248" s="253" t="n">
        <v>3782</v>
      </c>
      <c r="BD248" s="253" t="n">
        <v>3899</v>
      </c>
      <c r="BE248" s="253" t="n">
        <v>4046</v>
      </c>
      <c r="BF248" s="253" t="n">
        <v>4201</v>
      </c>
      <c r="BG248" s="253" t="n">
        <v>15928</v>
      </c>
      <c r="BH248" s="253" t="n">
        <v>3186</v>
      </c>
      <c r="BI248" s="253" t="n">
        <v>3397</v>
      </c>
      <c r="BJ248" s="253" t="n">
        <v>3800</v>
      </c>
      <c r="BK248" s="253" t="n">
        <v>1563</v>
      </c>
      <c r="BL248" s="253" t="n">
        <v>11946</v>
      </c>
      <c r="BM248" s="253" t="n">
        <v>3413</v>
      </c>
      <c r="BN248" s="253" t="n">
        <v>3708</v>
      </c>
      <c r="BO248" s="253" t="n">
        <v>3985</v>
      </c>
      <c r="BP248" s="253" t="n">
        <v>4205</v>
      </c>
      <c r="BQ248" s="253" t="n">
        <v>15311</v>
      </c>
      <c r="BR248" s="253" t="n">
        <v>4487</v>
      </c>
      <c r="BS248" s="253" t="n">
        <v>4998</v>
      </c>
      <c r="BT248" s="253" t="n">
        <v>5611</v>
      </c>
      <c r="BU248" s="253" t="n">
        <v>6040</v>
      </c>
      <c r="BV248" s="253" t="n">
        <v>21136</v>
      </c>
      <c r="BW248" s="253" t="n">
        <v>6660</v>
      </c>
      <c r="BX248" s="253" t="n">
        <v>7471</v>
      </c>
      <c r="BY248" s="35" t="n"/>
      <c r="BZ248" s="35" t="n"/>
      <c r="CA248" s="254">
        <f>SUM(BW248:BX248)+SUM(BY113:BZ113)</f>
        <v>31190.422464</v>
      </c>
      <c r="CB248" s="254">
        <f>CB113</f>
        <v>50331.37641664</v>
      </c>
      <c r="CC248" s="254">
        <f>CC113</f>
        <v>73595.0806287264</v>
      </c>
      <c r="CD248" s="254">
        <f>CD113</f>
        <v>96497.8338564229</v>
      </c>
      <c r="CE248" s="254">
        <f>CE113</f>
        <v>118506.145462934</v>
      </c>
      <c r="CF248" s="19" t="n"/>
    </row>
    <row r="249" ht="15" customHeight="1" s="251">
      <c r="B249" s="25" t="inlineStr">
        <is>
          <t xml:space="preserve">  Stock-based compensation expense</t>
        </is>
      </c>
      <c r="C249" s="253" t="n">
        <v>458.1</v>
      </c>
      <c r="D249" s="253" t="n">
        <v>868.646</v>
      </c>
      <c r="E249" s="253" t="n">
        <v>1119.766</v>
      </c>
      <c r="F249" s="253" t="n">
        <v>1164.054</v>
      </c>
      <c r="G249" s="253" t="n">
        <v>1376</v>
      </c>
      <c r="H249" s="253" t="n">
        <v>1974</v>
      </c>
      <c r="I249" s="253" t="n">
        <v>2692</v>
      </c>
      <c r="J249" s="253" t="n">
        <v>708</v>
      </c>
      <c r="K249" s="253" t="n">
        <v>847</v>
      </c>
      <c r="L249" s="253" t="n">
        <v>886</v>
      </c>
      <c r="M249" s="253" t="n">
        <v>902</v>
      </c>
      <c r="N249" s="253" t="n">
        <v>3343</v>
      </c>
      <c r="O249" s="253" t="n">
        <v>887</v>
      </c>
      <c r="P249" s="253" t="n">
        <v>915</v>
      </c>
      <c r="Q249" s="253" t="n">
        <v>1290</v>
      </c>
      <c r="R249" s="253" t="n">
        <v>1187</v>
      </c>
      <c r="S249" s="253" t="n">
        <v>4279</v>
      </c>
      <c r="T249" s="253" t="n">
        <v>1203</v>
      </c>
      <c r="U249" s="253" t="n">
        <v>1132</v>
      </c>
      <c r="V249" s="253" t="n">
        <v>1432</v>
      </c>
      <c r="W249" s="253" t="n">
        <v>1436</v>
      </c>
      <c r="X249" s="253" t="n">
        <v>5203</v>
      </c>
      <c r="Y249" s="253" t="n">
        <v>1494</v>
      </c>
      <c r="Z249" s="253" t="n">
        <v>1503</v>
      </c>
      <c r="AA249" s="253" t="n">
        <v>1860</v>
      </c>
      <c r="AB249" s="253" t="n">
        <v>1846</v>
      </c>
      <c r="AC249" s="253" t="n">
        <v>6703</v>
      </c>
      <c r="AD249" s="253" t="n">
        <v>2009</v>
      </c>
      <c r="AE249" s="253" t="n">
        <v>2003</v>
      </c>
      <c r="AF249" s="253" t="n">
        <v>1820</v>
      </c>
      <c r="AG249" s="253" t="n">
        <v>1847</v>
      </c>
      <c r="AH249" s="253" t="n">
        <v>7679</v>
      </c>
      <c r="AI249" s="253" t="n">
        <v>2457</v>
      </c>
      <c r="AJ249" s="253" t="n">
        <v>2413</v>
      </c>
      <c r="AK249" s="253" t="n">
        <v>2230</v>
      </c>
      <c r="AL249" s="253" t="n">
        <v>2253</v>
      </c>
      <c r="AM249" s="253" t="n">
        <v>9353</v>
      </c>
      <c r="AN249" s="253" t="n">
        <v>2769</v>
      </c>
      <c r="AO249" s="253" t="n">
        <v>2756</v>
      </c>
      <c r="AP249" s="253" t="n">
        <v>2624</v>
      </c>
      <c r="AQ249" s="253" t="n">
        <v>2645</v>
      </c>
      <c r="AR249" s="253" t="n">
        <v>10794</v>
      </c>
      <c r="AS249" s="253" t="n">
        <v>3191</v>
      </c>
      <c r="AT249" s="253" t="n">
        <v>3382</v>
      </c>
      <c r="AU249" s="253" t="n">
        <v>3195</v>
      </c>
      <c r="AV249" s="253" t="n">
        <v>3223</v>
      </c>
      <c r="AW249" s="253" t="n">
        <v>12991</v>
      </c>
      <c r="AX249" s="253" t="n">
        <v>3745</v>
      </c>
      <c r="AY249" s="253" t="n">
        <v>3803</v>
      </c>
      <c r="AZ249" s="253" t="n">
        <v>3874</v>
      </c>
      <c r="BA249" s="253" t="n">
        <v>3954</v>
      </c>
      <c r="BB249" s="253" t="n">
        <v>15376</v>
      </c>
      <c r="BC249" s="253" t="n">
        <v>4504</v>
      </c>
      <c r="BD249" s="253" t="n">
        <v>4782</v>
      </c>
      <c r="BE249" s="253" t="n">
        <v>4976</v>
      </c>
      <c r="BF249" s="253" t="n">
        <v>5100</v>
      </c>
      <c r="BG249" s="253" t="n">
        <v>19362</v>
      </c>
      <c r="BH249" s="253" t="n">
        <v>5284</v>
      </c>
      <c r="BI249" s="253" t="n">
        <v>5774</v>
      </c>
      <c r="BJ249" s="253" t="n">
        <v>5743</v>
      </c>
      <c r="BK249" s="253" t="n">
        <v>5659</v>
      </c>
      <c r="BL249" s="253" t="n">
        <v>22460</v>
      </c>
      <c r="BM249" s="253" t="n">
        <v>5264</v>
      </c>
      <c r="BN249" s="253" t="n">
        <v>5865</v>
      </c>
      <c r="BO249" s="253" t="n">
        <v>5846</v>
      </c>
      <c r="BP249" s="253" t="n">
        <v>5810</v>
      </c>
      <c r="BQ249" s="253" t="n">
        <v>22785</v>
      </c>
      <c r="BR249" s="253" t="n">
        <v>5516</v>
      </c>
      <c r="BS249" s="253" t="n">
        <v>5998</v>
      </c>
      <c r="BT249" s="253" t="n">
        <v>6368</v>
      </c>
      <c r="BU249" s="253" t="n">
        <v>7071</v>
      </c>
      <c r="BV249" s="253" t="n">
        <v>24953</v>
      </c>
      <c r="BW249" s="253" t="n">
        <v>6751</v>
      </c>
      <c r="BX249" s="253" t="n">
        <v>7957</v>
      </c>
      <c r="BY249" s="35" t="n"/>
      <c r="BZ249" s="35" t="n"/>
      <c r="CA249" s="254">
        <f>SUM(BW249:BX249)+SUM(BY114:BZ114)</f>
        <v>31874.9977418795</v>
      </c>
      <c r="CB249" s="254">
        <f>CB114</f>
        <v>38017.4665710784</v>
      </c>
      <c r="CC249" s="254">
        <f>CC114</f>
        <v>43612.5454118308</v>
      </c>
      <c r="CD249" s="254">
        <f>CD114</f>
        <v>49270.6205317206</v>
      </c>
      <c r="CE249" s="254">
        <f>CE114</f>
        <v>54844.3181004625</v>
      </c>
      <c r="CF249" s="19" t="n"/>
    </row>
    <row r="250" ht="15" customHeight="1" s="251">
      <c r="B250" s="25" t="inlineStr">
        <is>
          <t xml:space="preserve">  Deferred income taxes</t>
        </is>
      </c>
      <c r="C250" s="253" t="n">
        <v>0</v>
      </c>
      <c r="D250" s="253" t="n">
        <v>-164.212</v>
      </c>
      <c r="E250" s="253" t="n">
        <v>-224.645</v>
      </c>
      <c r="F250" s="253" t="n">
        <v>-268.06</v>
      </c>
      <c r="G250" s="253" t="n">
        <v>9</v>
      </c>
      <c r="H250" s="253" t="n">
        <v>343</v>
      </c>
      <c r="I250" s="253" t="n">
        <v>-266</v>
      </c>
      <c r="J250" s="253" t="n">
        <v>202</v>
      </c>
      <c r="K250" s="253" t="n">
        <v>63</v>
      </c>
      <c r="L250" s="253" t="n">
        <v>-140</v>
      </c>
      <c r="M250" s="253" t="n">
        <v>-562</v>
      </c>
      <c r="N250" s="253" t="n">
        <v>-437</v>
      </c>
      <c r="O250" s="253" t="n">
        <v>144</v>
      </c>
      <c r="P250" s="253" t="n">
        <v>-282</v>
      </c>
      <c r="Q250" s="253" t="n">
        <v>-360</v>
      </c>
      <c r="R250" s="253" t="n">
        <v>394</v>
      </c>
      <c r="S250" s="253" t="n">
        <v>-104</v>
      </c>
      <c r="T250" s="253" t="n">
        <v>71</v>
      </c>
      <c r="U250" s="253" t="n">
        <v>-221</v>
      </c>
      <c r="V250" s="253" t="n">
        <v>-416</v>
      </c>
      <c r="W250" s="253" t="n">
        <v>308</v>
      </c>
      <c r="X250" s="253" t="n">
        <v>-258</v>
      </c>
      <c r="Y250" s="253" t="n">
        <v>414</v>
      </c>
      <c r="Z250" s="253" t="n">
        <v>-50</v>
      </c>
      <c r="AA250" s="253" t="n">
        <v>-245</v>
      </c>
      <c r="AB250" s="253" t="n">
        <v>-239</v>
      </c>
      <c r="AC250" s="253" t="n">
        <v>-120</v>
      </c>
      <c r="AD250" s="253" t="n">
        <v>613</v>
      </c>
      <c r="AE250" s="253" t="n">
        <v>-75</v>
      </c>
      <c r="AF250" s="253" t="n">
        <v>-296</v>
      </c>
      <c r="AG250" s="253" t="n">
        <v>-65</v>
      </c>
      <c r="AH250" s="253" t="n">
        <v>177</v>
      </c>
      <c r="AI250" s="253" t="n">
        <v>-18</v>
      </c>
      <c r="AJ250" s="253" t="n">
        <v>-139</v>
      </c>
      <c r="AK250" s="253" t="n">
        <v>880</v>
      </c>
      <c r="AL250" s="253" t="n">
        <v>50</v>
      </c>
      <c r="AM250" s="253" t="n">
        <v>773</v>
      </c>
      <c r="AN250" s="253" t="n">
        <v>-73</v>
      </c>
      <c r="AO250" s="253" t="n">
        <v>693</v>
      </c>
      <c r="AP250" s="253" t="n">
        <v>-239</v>
      </c>
      <c r="AQ250" s="253" t="n">
        <v>-236</v>
      </c>
      <c r="AR250" s="253" t="n">
        <v>145</v>
      </c>
      <c r="AS250" s="253" t="n">
        <v>175</v>
      </c>
      <c r="AT250" s="253" t="n">
        <v>-591</v>
      </c>
      <c r="AU250" s="253" t="n">
        <v>136</v>
      </c>
      <c r="AV250" s="253" t="n">
        <v>1617</v>
      </c>
      <c r="AW250" s="253" t="n">
        <v>1337</v>
      </c>
      <c r="AX250" s="253" t="n">
        <v>1100</v>
      </c>
      <c r="AY250" s="253" t="n">
        <v>379</v>
      </c>
      <c r="AZ250" s="253" t="n">
        <v>-1287</v>
      </c>
      <c r="BA250" s="253" t="n">
        <v>1691</v>
      </c>
      <c r="BB250" s="253" t="n">
        <v>1883</v>
      </c>
      <c r="BC250" s="253" t="n">
        <v>-2090</v>
      </c>
      <c r="BD250" s="253" t="n">
        <v>-2147</v>
      </c>
      <c r="BE250" s="253" t="n">
        <v>-1920</v>
      </c>
      <c r="BF250" s="253" t="n">
        <v>-2041</v>
      </c>
      <c r="BG250" s="253" t="n">
        <v>-8198</v>
      </c>
      <c r="BH250" s="253" t="n">
        <v>-1854</v>
      </c>
      <c r="BI250" s="253" t="n">
        <v>-2415</v>
      </c>
      <c r="BJ250" s="253" t="n">
        <v>-1824</v>
      </c>
      <c r="BK250" s="253" t="n">
        <v>-1636</v>
      </c>
      <c r="BL250" s="253" t="n">
        <v>-7729</v>
      </c>
      <c r="BM250" s="253" t="n">
        <v>419</v>
      </c>
      <c r="BN250" s="253" t="n">
        <v>-3157</v>
      </c>
      <c r="BO250" s="253" t="n">
        <v>-1071</v>
      </c>
      <c r="BP250" s="253" t="n">
        <v>-1447</v>
      </c>
      <c r="BQ250" s="253" t="n">
        <v>-5256</v>
      </c>
      <c r="BR250" s="253" t="n">
        <v>-1152</v>
      </c>
      <c r="BS250" s="253" t="n">
        <v>-444</v>
      </c>
      <c r="BT250" s="253" t="n">
        <v>8726</v>
      </c>
      <c r="BU250" s="253" t="n">
        <v>1120</v>
      </c>
      <c r="BV250" s="253" t="n">
        <v>8250</v>
      </c>
      <c r="BW250" s="253" t="n">
        <v>6920</v>
      </c>
      <c r="BX250" s="253" t="n">
        <v>20618</v>
      </c>
      <c r="BY250" s="35" t="n"/>
      <c r="BZ250" s="35" t="n"/>
      <c r="CA250" s="254">
        <f>SUM(BW250:BX250)+$CP$25</f>
        <v>27538</v>
      </c>
      <c r="CB250" s="265" t="n">
        <v>0</v>
      </c>
      <c r="CC250" s="265" t="n">
        <v>0</v>
      </c>
      <c r="CD250" s="265" t="n">
        <v>0</v>
      </c>
      <c r="CE250" s="265" t="n">
        <v>0</v>
      </c>
      <c r="CF250" s="19" t="inlineStr">
        <is>
          <t>Forecast input (2H26E point estimate; 2027E+ assumption).</t>
        </is>
      </c>
    </row>
    <row r="251" ht="15" customHeight="1" s="251">
      <c r="B251" s="25" t="inlineStr">
        <is>
          <t xml:space="preserve">  (Gain) loss on debt and equity securities, net</t>
        </is>
      </c>
      <c r="C251" s="253" t="n">
        <v>0</v>
      </c>
      <c r="D251" s="253" t="n">
        <v>0</v>
      </c>
      <c r="E251" s="253" t="n">
        <v>-1094.757</v>
      </c>
      <c r="F251" s="253" t="n">
        <v>0</v>
      </c>
      <c r="G251" s="253" t="n">
        <v>-185</v>
      </c>
      <c r="H251" s="253" t="n">
        <v>0</v>
      </c>
      <c r="I251" s="253" t="n">
        <v>0</v>
      </c>
      <c r="J251" s="253" t="n">
        <v>0</v>
      </c>
      <c r="K251" s="253" t="n">
        <v>0</v>
      </c>
      <c r="L251" s="253" t="n">
        <v>0</v>
      </c>
      <c r="M251" s="253" t="n">
        <v>0</v>
      </c>
      <c r="N251" s="253" t="n">
        <v>0</v>
      </c>
      <c r="O251" s="253" t="n">
        <v>0</v>
      </c>
      <c r="P251" s="253" t="n">
        <v>0</v>
      </c>
      <c r="Q251" s="253" t="n">
        <v>0</v>
      </c>
      <c r="R251" s="253" t="n">
        <v>0</v>
      </c>
      <c r="S251" s="253" t="n">
        <v>0</v>
      </c>
      <c r="T251" s="253" t="n">
        <v>0</v>
      </c>
      <c r="U251" s="253" t="n">
        <v>33</v>
      </c>
      <c r="V251" s="253" t="n">
        <v>-1</v>
      </c>
      <c r="W251" s="253" t="n">
        <v>302</v>
      </c>
      <c r="X251" s="253" t="n">
        <v>334</v>
      </c>
      <c r="Y251" s="253" t="n">
        <v>280</v>
      </c>
      <c r="Z251" s="253" t="n">
        <v>14</v>
      </c>
      <c r="AA251" s="253" t="n">
        <v>-90</v>
      </c>
      <c r="AB251" s="253" t="n">
        <v>71</v>
      </c>
      <c r="AC251" s="253" t="n">
        <v>275</v>
      </c>
      <c r="AD251" s="253" t="n">
        <v>68</v>
      </c>
      <c r="AE251" s="253" t="n">
        <v>16</v>
      </c>
      <c r="AF251" s="253" t="n">
        <v>76</v>
      </c>
      <c r="AG251" s="253" t="n">
        <v>34</v>
      </c>
      <c r="AH251" s="253" t="n">
        <v>194</v>
      </c>
      <c r="AI251" s="253" t="n">
        <v>0</v>
      </c>
      <c r="AJ251" s="253" t="n">
        <v>-4060</v>
      </c>
      <c r="AK251" s="253" t="n">
        <v>-1353</v>
      </c>
      <c r="AL251" s="253" t="n">
        <v>-1237</v>
      </c>
      <c r="AM251" s="253" t="n">
        <v>-6650</v>
      </c>
      <c r="AN251" s="253" t="n">
        <v>-1081</v>
      </c>
      <c r="AO251" s="253" t="n">
        <v>-2797</v>
      </c>
      <c r="AP251" s="253" t="n">
        <v>1479</v>
      </c>
      <c r="AQ251" s="253" t="n">
        <v>-399</v>
      </c>
      <c r="AR251" s="253" t="n">
        <v>-2798</v>
      </c>
      <c r="AS251" s="253" t="n">
        <v>802</v>
      </c>
      <c r="AT251" s="253" t="n">
        <v>-1842</v>
      </c>
      <c r="AU251" s="253" t="n">
        <v>-2015</v>
      </c>
      <c r="AV251" s="253" t="n">
        <v>-3262</v>
      </c>
      <c r="AW251" s="253" t="n">
        <v>-6317</v>
      </c>
      <c r="AX251" s="253" t="n">
        <v>-4751</v>
      </c>
      <c r="AY251" s="253" t="n">
        <v>-2883</v>
      </c>
      <c r="AZ251" s="253" t="n">
        <v>-2158</v>
      </c>
      <c r="BA251" s="253" t="n">
        <v>-2478</v>
      </c>
      <c r="BB251" s="253" t="n">
        <v>-12270</v>
      </c>
      <c r="BC251" s="253" t="n">
        <v>1437</v>
      </c>
      <c r="BD251" s="253" t="n">
        <v>1041</v>
      </c>
      <c r="BE251" s="253" t="n">
        <v>1378</v>
      </c>
      <c r="BF251" s="253" t="n">
        <v>1663</v>
      </c>
      <c r="BG251" s="253" t="n">
        <v>5519</v>
      </c>
      <c r="BH251" s="253" t="n">
        <v>-84</v>
      </c>
      <c r="BI251" s="253" t="n">
        <v>509</v>
      </c>
      <c r="BJ251" s="253" t="n">
        <v>869</v>
      </c>
      <c r="BK251" s="253" t="n">
        <v>-471</v>
      </c>
      <c r="BL251" s="253" t="n">
        <v>823</v>
      </c>
      <c r="BM251" s="253" t="n">
        <v>-1781</v>
      </c>
      <c r="BN251" s="253" t="n">
        <v>1024</v>
      </c>
      <c r="BO251" s="253" t="n">
        <v>-1981</v>
      </c>
      <c r="BP251" s="253" t="n">
        <v>67</v>
      </c>
      <c r="BQ251" s="253" t="n">
        <v>-2671</v>
      </c>
      <c r="BR251" s="253" t="n">
        <v>-9960</v>
      </c>
      <c r="BS251" s="253" t="n">
        <v>-1451</v>
      </c>
      <c r="BT251" s="253" t="n">
        <v>-10855</v>
      </c>
      <c r="BU251" s="253" t="n">
        <v>-2354</v>
      </c>
      <c r="BV251" s="253" t="n">
        <v>-24620</v>
      </c>
      <c r="BW251" s="253" t="n">
        <v>-36804</v>
      </c>
      <c r="BX251" s="253" t="n">
        <v>-98999</v>
      </c>
      <c r="BY251" s="35" t="n"/>
      <c r="BZ251" s="35" t="n"/>
      <c r="CA251" s="254">
        <f>SUM(BW251:BX251)-SUM(BY122:BZ122)</f>
        <v>-135803</v>
      </c>
      <c r="CB251" s="254">
        <f>-CB122</f>
        <v>0</v>
      </c>
      <c r="CC251" s="254">
        <f>-CC122</f>
        <v>0</v>
      </c>
      <c r="CD251" s="254">
        <f>-CD122</f>
        <v>0</v>
      </c>
      <c r="CE251" s="254">
        <f>-CE122</f>
        <v>0</v>
      </c>
      <c r="CF251" s="19" t="n"/>
    </row>
    <row r="252" ht="15" customHeight="1" s="251">
      <c r="B252" s="25" t="inlineStr">
        <is>
          <t xml:space="preserve">  Changes in working capital &amp; other operating items, net (derived)</t>
        </is>
      </c>
      <c r="C252" s="253" t="n">
        <v>-526.977</v>
      </c>
      <c r="D252" s="253" t="n">
        <v>-100.402</v>
      </c>
      <c r="E252" s="253" t="n">
        <v>2325.748</v>
      </c>
      <c r="F252" s="253" t="n">
        <v>375.448</v>
      </c>
      <c r="G252" s="253" t="n">
        <v>-20</v>
      </c>
      <c r="H252" s="253" t="n">
        <v>660</v>
      </c>
      <c r="I252" s="253" t="n">
        <v>494</v>
      </c>
      <c r="J252" s="253" t="n">
        <v>-1522</v>
      </c>
      <c r="K252" s="253" t="n">
        <v>-463</v>
      </c>
      <c r="L252" s="253" t="n">
        <v>393</v>
      </c>
      <c r="M252" s="253" t="n">
        <v>486</v>
      </c>
      <c r="N252" s="253" t="n">
        <v>-1106</v>
      </c>
      <c r="O252" s="253" t="n">
        <v>-1178</v>
      </c>
      <c r="P252" s="253" t="n">
        <v>493</v>
      </c>
      <c r="Q252" s="253" t="n">
        <v>704</v>
      </c>
      <c r="R252" s="253" t="n">
        <v>-1241</v>
      </c>
      <c r="S252" s="253" t="n">
        <v>-1222</v>
      </c>
      <c r="T252" s="253" t="n">
        <v>580</v>
      </c>
      <c r="U252" s="253" t="n">
        <v>876</v>
      </c>
      <c r="V252" s="253" t="n">
        <v>-235</v>
      </c>
      <c r="W252" s="253" t="n">
        <v>-1958</v>
      </c>
      <c r="X252" s="253" t="n">
        <v>-666</v>
      </c>
      <c r="Y252" s="253" t="n">
        <v>-108</v>
      </c>
      <c r="Z252" s="253" t="n">
        <v>1286</v>
      </c>
      <c r="AA252" s="253" t="n">
        <v>1663</v>
      </c>
      <c r="AB252" s="253" t="n">
        <v>715</v>
      </c>
      <c r="AC252" s="253" t="n">
        <v>3556</v>
      </c>
      <c r="AD252" s="253" t="n">
        <v>-71</v>
      </c>
      <c r="AE252" s="253" t="n">
        <v>310</v>
      </c>
      <c r="AF252" s="253" t="n">
        <v>-221</v>
      </c>
      <c r="AG252" s="253" t="n">
        <v>9446</v>
      </c>
      <c r="AH252" s="253" t="n">
        <v>9464</v>
      </c>
      <c r="AI252" s="253" t="n">
        <v>-2184</v>
      </c>
      <c r="AJ252" s="253" t="n">
        <v>6609</v>
      </c>
      <c r="AK252" s="253" t="n">
        <v>-94</v>
      </c>
      <c r="AL252" s="253" t="n">
        <v>393</v>
      </c>
      <c r="AM252" s="253" t="n">
        <v>4724</v>
      </c>
      <c r="AN252" s="253" t="n">
        <v>1115</v>
      </c>
      <c r="AO252" s="253" t="n">
        <v>-807</v>
      </c>
      <c r="AP252" s="253" t="n">
        <v>1614</v>
      </c>
      <c r="AQ252" s="253" t="n">
        <v>-1667</v>
      </c>
      <c r="AR252" s="253" t="n">
        <v>255</v>
      </c>
      <c r="AS252" s="253" t="n">
        <v>-2661</v>
      </c>
      <c r="AT252" s="253" t="n">
        <v>2699</v>
      </c>
      <c r="AU252" s="253" t="n">
        <v>962</v>
      </c>
      <c r="AV252" s="253" t="n">
        <v>2147</v>
      </c>
      <c r="AW252" s="253" t="n">
        <v>3147</v>
      </c>
      <c r="AX252" s="253" t="n">
        <v>-1488</v>
      </c>
      <c r="AY252" s="253" t="n">
        <v>-879</v>
      </c>
      <c r="AZ252" s="253" t="n">
        <v>2870</v>
      </c>
      <c r="BA252" s="253" t="n">
        <v>-2314</v>
      </c>
      <c r="BB252" s="253" t="n">
        <v>-1811</v>
      </c>
      <c r="BC252" s="253" t="n">
        <v>1037</v>
      </c>
      <c r="BD252" s="253" t="n">
        <v>-4155</v>
      </c>
      <c r="BE252" s="253" t="n">
        <v>963</v>
      </c>
      <c r="BF252" s="253" t="n">
        <v>1067</v>
      </c>
      <c r="BG252" s="253" t="n">
        <v>-1088</v>
      </c>
      <c r="BH252" s="253" t="n">
        <v>1926</v>
      </c>
      <c r="BI252" s="253" t="n">
        <v>3033</v>
      </c>
      <c r="BJ252" s="253" t="n">
        <v>2379</v>
      </c>
      <c r="BK252" s="253" t="n">
        <v>-6887</v>
      </c>
      <c r="BL252" s="253" t="n">
        <v>451</v>
      </c>
      <c r="BM252" s="253" t="n">
        <v>-2129</v>
      </c>
      <c r="BN252" s="253" t="n">
        <v>-4419</v>
      </c>
      <c r="BO252" s="253" t="n">
        <v>-2382</v>
      </c>
      <c r="BP252" s="253" t="n">
        <v>3942</v>
      </c>
      <c r="BQ252" s="253" t="n">
        <v>-4988</v>
      </c>
      <c r="BR252" s="253" t="n">
        <v>2719</v>
      </c>
      <c r="BS252" s="253" t="n">
        <v>-9550</v>
      </c>
      <c r="BT252" s="253" t="n">
        <v>3585</v>
      </c>
      <c r="BU252" s="253" t="n">
        <v>6070</v>
      </c>
      <c r="BV252" s="253" t="n">
        <v>2824</v>
      </c>
      <c r="BW252" s="253" t="n">
        <v>-315</v>
      </c>
      <c r="BX252" s="253" t="n">
        <v>-10171</v>
      </c>
      <c r="BY252" s="35" t="n"/>
      <c r="BZ252" s="35" t="n"/>
      <c r="CA252" s="254">
        <f>SUM(BW252:BX252)-(CA305-BX305)-(CA306-BX306+CA88)+(CA314-BX314)+(CA316-BX316)</f>
        <v>-9615.29304413042</v>
      </c>
      <c r="CB252" s="254">
        <f>-(CB305-CA305)-(CB306-CA306)+(CB314-CA314)+(CB316-CA316)</f>
        <v>7222.40623208196</v>
      </c>
      <c r="CC252" s="254">
        <f>-(CC305-CB305)-(CC306-CB306)+(CC314-CB314)+(CC316-CB316)</f>
        <v>3614.91549258209</v>
      </c>
      <c r="CD252" s="254">
        <f>-(CD305-CC305)-(CD306-CC306)+(CD314-CC314)+(CD316-CC316)</f>
        <v>3028.59450545699</v>
      </c>
      <c r="CE252" s="254">
        <f>-(CE305-CD305)-(CE306-CD306)+(CE314-CD314)+(CE316-CD316)</f>
        <v>3010.27276289838</v>
      </c>
      <c r="CF252" s="19" t="inlineStr">
        <is>
          <t>History: net cash from operations − net income − D&amp;A − stock-based compensation − deferred taxes − securities (gains) losses (includes other non-cash items). Forecast linked to the balance sheet: −Δ(receivables, other current assets ex GFiber held for sale) + Δ(payables, other current liabilities).</t>
        </is>
      </c>
    </row>
    <row r="253" ht="15" customHeight="1" s="251">
      <c r="B253" s="16" t="inlineStr">
        <is>
          <t>Net cash provided by operating activities</t>
        </is>
      </c>
      <c r="C253" s="278" t="n">
        <v>3580.508</v>
      </c>
      <c r="D253" s="278" t="n">
        <v>5775.41</v>
      </c>
      <c r="E253" s="278" t="n">
        <v>7852.857</v>
      </c>
      <c r="F253" s="278" t="n">
        <v>9316.198</v>
      </c>
      <c r="G253" s="278" t="n">
        <v>11081</v>
      </c>
      <c r="H253" s="278" t="n">
        <v>14565</v>
      </c>
      <c r="I253" s="278" t="n">
        <v>16619</v>
      </c>
      <c r="J253" s="278" t="n">
        <v>3633</v>
      </c>
      <c r="K253" s="278" t="n">
        <v>4705</v>
      </c>
      <c r="L253" s="278" t="n">
        <v>5083</v>
      </c>
      <c r="M253" s="278" t="n">
        <v>5238</v>
      </c>
      <c r="N253" s="278" t="n">
        <v>18659</v>
      </c>
      <c r="O253" s="278" t="n">
        <v>4391</v>
      </c>
      <c r="P253" s="278" t="n">
        <v>5627</v>
      </c>
      <c r="Q253" s="278" t="n">
        <v>5994</v>
      </c>
      <c r="R253" s="278" t="n">
        <v>6364</v>
      </c>
      <c r="S253" s="278" t="n">
        <v>22376</v>
      </c>
      <c r="T253" s="278" t="n">
        <v>6617</v>
      </c>
      <c r="U253" s="278" t="n">
        <v>6985</v>
      </c>
      <c r="V253" s="278" t="n">
        <v>6007</v>
      </c>
      <c r="W253" s="278" t="n">
        <v>6415</v>
      </c>
      <c r="X253" s="278" t="n">
        <v>26024</v>
      </c>
      <c r="Y253" s="278" t="n">
        <v>7658</v>
      </c>
      <c r="Z253" s="278" t="n">
        <v>9120</v>
      </c>
      <c r="AA253" s="278" t="n">
        <v>9845</v>
      </c>
      <c r="AB253" s="278" t="n">
        <v>9413</v>
      </c>
      <c r="AC253" s="278" t="n">
        <v>36036</v>
      </c>
      <c r="AD253" s="278" t="n">
        <v>9548</v>
      </c>
      <c r="AE253" s="278" t="n">
        <v>7403</v>
      </c>
      <c r="AF253" s="278" t="n">
        <v>9872</v>
      </c>
      <c r="AG253" s="278" t="n">
        <v>10268</v>
      </c>
      <c r="AH253" s="278" t="n">
        <v>37091</v>
      </c>
      <c r="AI253" s="278" t="n">
        <v>11642</v>
      </c>
      <c r="AJ253" s="278" t="n">
        <v>10132</v>
      </c>
      <c r="AK253" s="278" t="n">
        <v>13210</v>
      </c>
      <c r="AL253" s="278" t="n">
        <v>12987</v>
      </c>
      <c r="AM253" s="278" t="n">
        <v>47971</v>
      </c>
      <c r="AN253" s="278" t="n">
        <v>12000</v>
      </c>
      <c r="AO253" s="278" t="n">
        <v>12627</v>
      </c>
      <c r="AP253" s="278" t="n">
        <v>15466</v>
      </c>
      <c r="AQ253" s="278" t="n">
        <v>14427</v>
      </c>
      <c r="AR253" s="278" t="n">
        <v>54520</v>
      </c>
      <c r="AS253" s="278" t="n">
        <v>11451</v>
      </c>
      <c r="AT253" s="278" t="n">
        <v>13993</v>
      </c>
      <c r="AU253" s="278" t="n">
        <v>17003</v>
      </c>
      <c r="AV253" s="278" t="n">
        <v>22677</v>
      </c>
      <c r="AW253" s="278" t="n">
        <v>65124</v>
      </c>
      <c r="AX253" s="278" t="n">
        <v>19289</v>
      </c>
      <c r="AY253" s="278" t="n">
        <v>21890</v>
      </c>
      <c r="AZ253" s="278" t="n">
        <v>25539</v>
      </c>
      <c r="BA253" s="278" t="n">
        <v>24934</v>
      </c>
      <c r="BB253" s="278" t="n">
        <v>91652</v>
      </c>
      <c r="BC253" s="278" t="n">
        <v>25106</v>
      </c>
      <c r="BD253" s="278" t="n">
        <v>19422</v>
      </c>
      <c r="BE253" s="278" t="n">
        <v>23353</v>
      </c>
      <c r="BF253" s="278" t="n">
        <v>23614</v>
      </c>
      <c r="BG253" s="278" t="n">
        <v>91495</v>
      </c>
      <c r="BH253" s="278" t="n">
        <v>23509</v>
      </c>
      <c r="BI253" s="278" t="n">
        <v>28666</v>
      </c>
      <c r="BJ253" s="278" t="n">
        <v>30656</v>
      </c>
      <c r="BK253" s="278" t="n">
        <v>18915</v>
      </c>
      <c r="BL253" s="278" t="n">
        <v>101746</v>
      </c>
      <c r="BM253" s="278" t="n">
        <v>28848</v>
      </c>
      <c r="BN253" s="278" t="n">
        <v>26640</v>
      </c>
      <c r="BO253" s="278" t="n">
        <v>30698</v>
      </c>
      <c r="BP253" s="278" t="n">
        <v>39113</v>
      </c>
      <c r="BQ253" s="278" t="n">
        <v>125299</v>
      </c>
      <c r="BR253" s="278" t="n">
        <v>36150</v>
      </c>
      <c r="BS253" s="278" t="n">
        <v>27747</v>
      </c>
      <c r="BT253" s="278" t="n">
        <v>48414</v>
      </c>
      <c r="BU253" s="278" t="n">
        <v>52402</v>
      </c>
      <c r="BV253" s="278" t="n">
        <v>164713</v>
      </c>
      <c r="BW253" s="278" t="n">
        <v>45790</v>
      </c>
      <c r="BX253" s="278" t="n">
        <v>39069</v>
      </c>
      <c r="BY253" s="32" t="n"/>
      <c r="BZ253" s="32" t="n"/>
      <c r="CA253" s="262">
        <f>SUM(CA246:CA252)</f>
        <v>197178.522786395</v>
      </c>
      <c r="CB253" s="262">
        <f>SUM(CB246:CB252)</f>
        <v>258523.406547198</v>
      </c>
      <c r="CC253" s="262">
        <f>SUM(CC246:CC252)</f>
        <v>296877.57216771</v>
      </c>
      <c r="CD253" s="262">
        <f>SUM(CD246:CD252)</f>
        <v>342836.083713698</v>
      </c>
      <c r="CE253" s="262">
        <f>SUM(CE246:CE252)</f>
        <v>388769.812490841</v>
      </c>
      <c r="CF253" s="153" t="n"/>
      <c r="CH253" s="20">
        <f>IFERROR((CE253/BV253)^(1/5)-1,"n/m")</f>
        <v>0.187388754679477</v>
      </c>
      <c r="CI253" s="20">
        <f>IFERROR((BV253/AW253)^(1/5)-1,"n/m")</f>
        <v>0.203919259133909</v>
      </c>
      <c r="CJ253" s="20">
        <f>IFERROR((BV253/X253)^(1/10)-1,"n/m")</f>
        <v>0.202639275158701</v>
      </c>
      <c r="CK253" s="20">
        <f>IFERROR((BV253/C253)^(1/19)-1,"n/m")</f>
        <v>0.223249105297063</v>
      </c>
    </row>
    <row r="254" ht="15" customHeight="1" s="251">
      <c r="B254" s="25" t="inlineStr">
        <is>
          <t>Purchases of property &amp; equipment</t>
        </is>
      </c>
      <c r="C254" s="253" t="n">
        <v>-1902.798</v>
      </c>
      <c r="D254" s="253" t="n">
        <v>-2402.84</v>
      </c>
      <c r="E254" s="253" t="n">
        <v>-2358.461</v>
      </c>
      <c r="F254" s="253" t="n">
        <v>-809.888</v>
      </c>
      <c r="G254" s="253" t="n">
        <v>-4018</v>
      </c>
      <c r="H254" s="253" t="n">
        <v>-3438</v>
      </c>
      <c r="I254" s="253" t="n">
        <v>-3273</v>
      </c>
      <c r="J254" s="253" t="n">
        <v>-1203</v>
      </c>
      <c r="K254" s="253" t="n">
        <v>-1611</v>
      </c>
      <c r="L254" s="253" t="n">
        <v>-2289</v>
      </c>
      <c r="M254" s="253" t="n">
        <v>-2255</v>
      </c>
      <c r="N254" s="253" t="n">
        <v>-7358</v>
      </c>
      <c r="O254" s="253" t="n">
        <v>-2345</v>
      </c>
      <c r="P254" s="253" t="n">
        <v>-2646</v>
      </c>
      <c r="Q254" s="253" t="n">
        <v>-2417</v>
      </c>
      <c r="R254" s="253" t="n">
        <v>-3551</v>
      </c>
      <c r="S254" s="253" t="n">
        <v>-10959</v>
      </c>
      <c r="T254" s="253" t="n">
        <v>-2927</v>
      </c>
      <c r="U254" s="253" t="n">
        <v>-2515</v>
      </c>
      <c r="V254" s="253" t="n">
        <v>-2373</v>
      </c>
      <c r="W254" s="253" t="n">
        <v>-2100</v>
      </c>
      <c r="X254" s="253" t="n">
        <v>-9915</v>
      </c>
      <c r="Y254" s="253" t="n">
        <v>-2428</v>
      </c>
      <c r="Z254" s="253" t="n">
        <v>-2123</v>
      </c>
      <c r="AA254" s="253" t="n">
        <v>-2583</v>
      </c>
      <c r="AB254" s="253" t="n">
        <v>-3078</v>
      </c>
      <c r="AC254" s="253" t="n">
        <v>-10212</v>
      </c>
      <c r="AD254" s="253" t="n">
        <v>-2508</v>
      </c>
      <c r="AE254" s="253" t="n">
        <v>-2831</v>
      </c>
      <c r="AF254" s="253" t="n">
        <v>-3538</v>
      </c>
      <c r="AG254" s="253" t="n">
        <v>-4307</v>
      </c>
      <c r="AH254" s="253" t="n">
        <v>-13184</v>
      </c>
      <c r="AI254" s="253" t="n">
        <v>-7299</v>
      </c>
      <c r="AJ254" s="253" t="n">
        <v>-5477</v>
      </c>
      <c r="AK254" s="253" t="n">
        <v>-5282</v>
      </c>
      <c r="AL254" s="253" t="n">
        <v>-7081</v>
      </c>
      <c r="AM254" s="253" t="n">
        <v>-25139</v>
      </c>
      <c r="AN254" s="253" t="n">
        <v>-4638</v>
      </c>
      <c r="AO254" s="253" t="n">
        <v>-6126</v>
      </c>
      <c r="AP254" s="253" t="n">
        <v>-6732</v>
      </c>
      <c r="AQ254" s="253" t="n">
        <v>-6052</v>
      </c>
      <c r="AR254" s="253" t="n">
        <v>-23548</v>
      </c>
      <c r="AS254" s="253" t="n">
        <v>-6005</v>
      </c>
      <c r="AT254" s="253" t="n">
        <v>-5391</v>
      </c>
      <c r="AU254" s="253" t="n">
        <v>-5406</v>
      </c>
      <c r="AV254" s="253" t="n">
        <v>-5479</v>
      </c>
      <c r="AW254" s="253" t="n">
        <v>-22281</v>
      </c>
      <c r="AX254" s="253" t="n">
        <v>-5942</v>
      </c>
      <c r="AY254" s="253" t="n">
        <v>-5496</v>
      </c>
      <c r="AZ254" s="253" t="n">
        <v>-6819</v>
      </c>
      <c r="BA254" s="253" t="n">
        <v>-6383</v>
      </c>
      <c r="BB254" s="253" t="n">
        <v>-24640</v>
      </c>
      <c r="BC254" s="253" t="n">
        <v>-9786</v>
      </c>
      <c r="BD254" s="253" t="n">
        <v>-6828</v>
      </c>
      <c r="BE254" s="253" t="n">
        <v>-7276</v>
      </c>
      <c r="BF254" s="253" t="n">
        <v>-7595</v>
      </c>
      <c r="BG254" s="253" t="n">
        <v>-31485</v>
      </c>
      <c r="BH254" s="253" t="n">
        <v>-6289</v>
      </c>
      <c r="BI254" s="253" t="n">
        <v>-6888</v>
      </c>
      <c r="BJ254" s="253" t="n">
        <v>-8055</v>
      </c>
      <c r="BK254" s="253" t="n">
        <v>-11019</v>
      </c>
      <c r="BL254" s="253" t="n">
        <v>-32251</v>
      </c>
      <c r="BM254" s="253" t="n">
        <v>-12012</v>
      </c>
      <c r="BN254" s="253" t="n">
        <v>-13186</v>
      </c>
      <c r="BO254" s="253" t="n">
        <v>-13061</v>
      </c>
      <c r="BP254" s="253" t="n">
        <v>-14276</v>
      </c>
      <c r="BQ254" s="253" t="n">
        <v>-52535</v>
      </c>
      <c r="BR254" s="253" t="n">
        <v>-17197</v>
      </c>
      <c r="BS254" s="253" t="n">
        <v>-22446</v>
      </c>
      <c r="BT254" s="253" t="n">
        <v>-23953</v>
      </c>
      <c r="BU254" s="253" t="n">
        <v>-27851</v>
      </c>
      <c r="BV254" s="253" t="n">
        <v>-91447</v>
      </c>
      <c r="BW254" s="253" t="n">
        <v>-35674</v>
      </c>
      <c r="BX254" s="253" t="n">
        <v>-44924</v>
      </c>
      <c r="BY254" s="35" t="n"/>
      <c r="BZ254" s="35" t="n"/>
      <c r="CA254" s="254">
        <f>-$CP$18</f>
        <v>-200000</v>
      </c>
      <c r="CB254" s="254">
        <f>-CHOOSE(MATCH($CF$2,{"Bull","Base","Bear"},0),$CO$80,$CP$80,$CQ$80)</f>
        <v>-250000</v>
      </c>
      <c r="CC254" s="254">
        <f>-CHOOSE(MATCH($CF$2,{"Bull","Base","Bear"},0),$CO$81,$CP$81,$CQ$81)</f>
        <v>-270000</v>
      </c>
      <c r="CD254" s="254">
        <f>-CHOOSE(MATCH($CF$2,{"Bull","Base","Bear"},0),$CO$82,$CP$82,$CQ$82)</f>
        <v>-285000</v>
      </c>
      <c r="CE254" s="254">
        <f>-CHOOSE(MATCH($CF$2,{"Bull","Base","Bear"},0),$CO$83,$CP$83,$CQ$83)</f>
        <v>-300000</v>
      </c>
      <c r="CF254" s="19" t="inlineStr">
        <is>
          <t>2026E: mid-point of the 2026 capex outlook of $195–205bn (UNVERIFIED — Q2-26 earnings call, not filed on EDGAR; 1H26 actual $80.6bn per the 10-Q). 2027E+: scenario lever ($m; "increase significantly in 2027", call, unverified).</t>
        </is>
      </c>
    </row>
    <row r="255" ht="15" customHeight="1" s="251">
      <c r="B255" s="25" t="inlineStr">
        <is>
          <t>Acquisitions, net of cash acquired, and purchases of intangible assets</t>
        </is>
      </c>
      <c r="C255" s="253" t="n">
        <v>-402.446</v>
      </c>
      <c r="D255" s="253" t="n">
        <v>-906.651</v>
      </c>
      <c r="E255" s="253" t="n">
        <v>-3320.299</v>
      </c>
      <c r="F255" s="253" t="n">
        <v>0</v>
      </c>
      <c r="G255" s="253" t="n">
        <v>-1067</v>
      </c>
      <c r="H255" s="253" t="n">
        <v>-1900</v>
      </c>
      <c r="I255" s="253" t="n">
        <v>-10568</v>
      </c>
      <c r="J255" s="253" t="n">
        <v>-251</v>
      </c>
      <c r="K255" s="253" t="n">
        <v>-1050</v>
      </c>
      <c r="L255" s="253" t="n">
        <v>-27</v>
      </c>
      <c r="M255" s="253" t="n">
        <v>-120</v>
      </c>
      <c r="N255" s="253" t="n">
        <v>-1448</v>
      </c>
      <c r="O255" s="253" t="n">
        <v>-2947</v>
      </c>
      <c r="P255" s="253" t="n">
        <v>-543</v>
      </c>
      <c r="Q255" s="253" t="n">
        <v>-1142</v>
      </c>
      <c r="R255" s="253" t="n">
        <v>-256</v>
      </c>
      <c r="S255" s="253" t="n">
        <v>-4888</v>
      </c>
      <c r="T255" s="253" t="n">
        <v>-64</v>
      </c>
      <c r="U255" s="253" t="n">
        <v>-78</v>
      </c>
      <c r="V255" s="253" t="n">
        <v>-102</v>
      </c>
      <c r="W255" s="253" t="n">
        <v>8</v>
      </c>
      <c r="X255" s="253" t="n">
        <v>-236</v>
      </c>
      <c r="Y255" s="253" t="n">
        <v>-34</v>
      </c>
      <c r="Z255" s="253" t="n">
        <v>-38</v>
      </c>
      <c r="AA255" s="253" t="n">
        <v>-252</v>
      </c>
      <c r="AB255" s="253" t="n">
        <v>-662</v>
      </c>
      <c r="AC255" s="253" t="n">
        <v>-986</v>
      </c>
      <c r="AD255" s="253" t="n">
        <v>-101</v>
      </c>
      <c r="AE255" s="253" t="n">
        <v>-42</v>
      </c>
      <c r="AF255" s="253" t="n">
        <v>-130</v>
      </c>
      <c r="AG255" s="253" t="n">
        <v>-14</v>
      </c>
      <c r="AH255" s="253" t="n">
        <v>-287</v>
      </c>
      <c r="AI255" s="253" t="n">
        <v>-1250</v>
      </c>
      <c r="AJ255" s="253" t="n">
        <v>-184</v>
      </c>
      <c r="AK255" s="253" t="n">
        <v>-18</v>
      </c>
      <c r="AL255" s="253" t="n">
        <v>-39</v>
      </c>
      <c r="AM255" s="253" t="n">
        <v>-1491</v>
      </c>
      <c r="AN255" s="253" t="n">
        <v>-99</v>
      </c>
      <c r="AO255" s="253" t="n">
        <v>-148</v>
      </c>
      <c r="AP255" s="253" t="n">
        <v>-126</v>
      </c>
      <c r="AQ255" s="253" t="n">
        <v>-2142</v>
      </c>
      <c r="AR255" s="253" t="n">
        <v>-2515</v>
      </c>
      <c r="AS255" s="253" t="n">
        <v>-190</v>
      </c>
      <c r="AT255" s="253" t="n">
        <v>-165</v>
      </c>
      <c r="AU255" s="253" t="n">
        <v>-13</v>
      </c>
      <c r="AV255" s="253" t="n">
        <v>-370</v>
      </c>
      <c r="AW255" s="253" t="n">
        <v>-738</v>
      </c>
      <c r="AX255" s="253" t="n">
        <v>-1666</v>
      </c>
      <c r="AY255" s="253" t="n">
        <v>-308</v>
      </c>
      <c r="AZ255" s="253" t="n">
        <v>-259</v>
      </c>
      <c r="BA255" s="253" t="n">
        <v>-385</v>
      </c>
      <c r="BB255" s="253" t="n">
        <v>-2618</v>
      </c>
      <c r="BC255" s="253" t="n">
        <v>-173</v>
      </c>
      <c r="BD255" s="253" t="n">
        <v>-1063</v>
      </c>
      <c r="BE255" s="253" t="n">
        <v>-5649</v>
      </c>
      <c r="BF255" s="253" t="n">
        <v>-84</v>
      </c>
      <c r="BG255" s="253" t="n">
        <v>-6969</v>
      </c>
      <c r="BH255" s="253" t="n">
        <v>-42</v>
      </c>
      <c r="BI255" s="253" t="n">
        <v>-298</v>
      </c>
      <c r="BJ255" s="253" t="n">
        <v>-126</v>
      </c>
      <c r="BK255" s="253" t="n">
        <v>-29</v>
      </c>
      <c r="BL255" s="253" t="n">
        <v>-495</v>
      </c>
      <c r="BM255" s="253" t="n">
        <v>-61</v>
      </c>
      <c r="BN255" s="253" t="n">
        <v>-26</v>
      </c>
      <c r="BO255" s="253" t="n">
        <v>-2753</v>
      </c>
      <c r="BP255" s="253" t="n">
        <v>-91</v>
      </c>
      <c r="BQ255" s="253" t="n">
        <v>-2931</v>
      </c>
      <c r="BR255" s="253" t="n">
        <v>-340</v>
      </c>
      <c r="BS255" s="253" t="n">
        <v>-13</v>
      </c>
      <c r="BT255" s="253" t="n">
        <v>-1072</v>
      </c>
      <c r="BU255" s="253" t="n">
        <v>-167</v>
      </c>
      <c r="BV255" s="253" t="n">
        <v>-1592</v>
      </c>
      <c r="BW255" s="253" t="n">
        <v>-33621</v>
      </c>
      <c r="BX255" s="253" t="n">
        <v>-76</v>
      </c>
      <c r="BY255" s="35" t="n"/>
      <c r="BZ255" s="35" t="n"/>
      <c r="CA255" s="254">
        <f>SUM(BW255:BX255)</f>
        <v>-33697</v>
      </c>
      <c r="CB255" s="254">
        <f>-CB75</f>
        <v>-5000</v>
      </c>
      <c r="CC255" s="254">
        <f>-CC75</f>
        <v>-5000</v>
      </c>
      <c r="CD255" s="254">
        <f>-CD75</f>
        <v>-5000</v>
      </c>
      <c r="CE255" s="254">
        <f>-CE75</f>
        <v>-5000</v>
      </c>
      <c r="CF255" s="19" t="inlineStr">
        <is>
          <t>2026E = 1H actual (Wiz $29.5bn and Intersect $5.9bn less cash acquired). 2027E+: M&amp;A lever.</t>
        </is>
      </c>
    </row>
    <row r="256" ht="15" customHeight="1" s="251">
      <c r="B256" s="25" t="inlineStr">
        <is>
          <t>Proceeds from divestitures</t>
        </is>
      </c>
      <c r="C256" s="253" t="n">
        <v>0</v>
      </c>
      <c r="D256" s="253" t="n">
        <v>0</v>
      </c>
      <c r="E256" s="253" t="n">
        <v>0</v>
      </c>
      <c r="F256" s="253" t="n">
        <v>0</v>
      </c>
      <c r="G256" s="253" t="n">
        <v>0</v>
      </c>
      <c r="H256" s="253" t="n">
        <v>0</v>
      </c>
      <c r="I256" s="253" t="n">
        <v>2350</v>
      </c>
      <c r="J256" s="253" t="n">
        <v>0</v>
      </c>
      <c r="K256" s="253" t="n">
        <v>2351</v>
      </c>
      <c r="L256" s="253" t="n">
        <v>174</v>
      </c>
      <c r="M256" s="253" t="n">
        <v>0</v>
      </c>
      <c r="N256" s="253" t="n">
        <v>2525</v>
      </c>
      <c r="O256" s="253" t="n">
        <v>0</v>
      </c>
      <c r="P256" s="253" t="n">
        <v>0</v>
      </c>
      <c r="Q256" s="253" t="n">
        <v>0</v>
      </c>
      <c r="R256" s="253" t="n">
        <v>386</v>
      </c>
      <c r="S256" s="253" t="n">
        <v>386</v>
      </c>
      <c r="T256" s="253" t="n">
        <v>0</v>
      </c>
      <c r="U256" s="253" t="n">
        <v>0</v>
      </c>
      <c r="V256" s="253" t="n">
        <v>0</v>
      </c>
      <c r="W256" s="253" t="n">
        <v>0</v>
      </c>
      <c r="X256" s="253" t="n">
        <v>0</v>
      </c>
      <c r="Y256" s="253" t="n">
        <v>0</v>
      </c>
      <c r="Z256" s="253" t="n">
        <v>0</v>
      </c>
      <c r="AA256" s="253" t="n">
        <v>0</v>
      </c>
      <c r="AB256" s="253" t="n">
        <v>0</v>
      </c>
      <c r="AC256" s="253" t="n">
        <v>0</v>
      </c>
      <c r="AD256" s="253" t="n">
        <v>0</v>
      </c>
      <c r="AE256" s="253" t="n">
        <v>0</v>
      </c>
      <c r="AF256" s="253" t="n">
        <v>0</v>
      </c>
      <c r="AG256" s="253" t="n">
        <v>0</v>
      </c>
      <c r="AH256" s="253" t="n">
        <v>0</v>
      </c>
      <c r="AI256" s="253" t="n">
        <v>0</v>
      </c>
      <c r="AJ256" s="253" t="n">
        <v>0</v>
      </c>
      <c r="AK256" s="253" t="n">
        <v>0</v>
      </c>
      <c r="AL256" s="253" t="n">
        <v>0</v>
      </c>
      <c r="AM256" s="253" t="n">
        <v>0</v>
      </c>
      <c r="AN256" s="253" t="n">
        <v>0</v>
      </c>
      <c r="AO256" s="253" t="n">
        <v>0</v>
      </c>
      <c r="AP256" s="253" t="n">
        <v>0</v>
      </c>
      <c r="AQ256" s="253" t="n">
        <v>0</v>
      </c>
      <c r="AR256" s="253" t="n">
        <v>0</v>
      </c>
      <c r="AS256" s="253" t="n">
        <v>0</v>
      </c>
      <c r="AT256" s="253" t="n">
        <v>0</v>
      </c>
      <c r="AU256" s="253" t="n">
        <v>0</v>
      </c>
      <c r="AV256" s="253" t="n">
        <v>0</v>
      </c>
      <c r="AW256" s="253" t="n">
        <v>0</v>
      </c>
      <c r="AX256" s="253" t="n">
        <v>0</v>
      </c>
      <c r="AY256" s="253" t="n">
        <v>0</v>
      </c>
      <c r="AZ256" s="253" t="n">
        <v>0</v>
      </c>
      <c r="BA256" s="253" t="n">
        <v>0</v>
      </c>
      <c r="BB256" s="253" t="n">
        <v>0</v>
      </c>
      <c r="BC256" s="253" t="n">
        <v>0</v>
      </c>
      <c r="BD256" s="253" t="n">
        <v>0</v>
      </c>
      <c r="BE256" s="253" t="n">
        <v>0</v>
      </c>
      <c r="BF256" s="253" t="n">
        <v>0</v>
      </c>
      <c r="BG256" s="253" t="n">
        <v>0</v>
      </c>
      <c r="BH256" s="253" t="n">
        <v>0</v>
      </c>
      <c r="BI256" s="253" t="n">
        <v>0</v>
      </c>
      <c r="BJ256" s="253" t="n">
        <v>0</v>
      </c>
      <c r="BK256" s="253" t="n">
        <v>0</v>
      </c>
      <c r="BL256" s="253" t="n">
        <v>0</v>
      </c>
      <c r="BM256" s="253" t="n">
        <v>0</v>
      </c>
      <c r="BN256" s="253" t="n">
        <v>0</v>
      </c>
      <c r="BO256" s="253" t="n">
        <v>0</v>
      </c>
      <c r="BP256" s="253" t="n">
        <v>0</v>
      </c>
      <c r="BQ256" s="253" t="n">
        <v>0</v>
      </c>
      <c r="BR256" s="253" t="n">
        <v>0</v>
      </c>
      <c r="BS256" s="253" t="n">
        <v>0</v>
      </c>
      <c r="BT256" s="253" t="n">
        <v>0</v>
      </c>
      <c r="BU256" s="253" t="n">
        <v>0</v>
      </c>
      <c r="BV256" s="253" t="n">
        <v>0</v>
      </c>
      <c r="BW256" s="253" t="n">
        <v>0</v>
      </c>
      <c r="BX256" s="253" t="n">
        <v>0</v>
      </c>
      <c r="BY256" s="35" t="n"/>
      <c r="BZ256" s="35" t="n"/>
      <c r="CA256" s="254">
        <f>SUM(BW256:BX256)+CA87</f>
        <v>1500</v>
      </c>
      <c r="CB256" s="254">
        <f>CB87</f>
        <v>0</v>
      </c>
      <c r="CC256" s="254">
        <f>CC87</f>
        <v>0</v>
      </c>
      <c r="CD256" s="254">
        <f>CD87</f>
        <v>0</v>
      </c>
      <c r="CE256" s="254">
        <f>CE87</f>
        <v>0</v>
      </c>
      <c r="CF256" s="19" t="n"/>
    </row>
    <row r="257" ht="15" customHeight="1" s="251">
      <c r="B257" s="25" t="inlineStr">
        <is>
          <t>Marketable &amp; non-marketable securities and other investing, net (derived; forecast = marketable securities sold / (bought))</t>
        </is>
      </c>
      <c r="C257" s="253" t="n">
        <v>-4593.906</v>
      </c>
      <c r="D257" s="253" t="n">
        <v>-372.098</v>
      </c>
      <c r="E257" s="253" t="n">
        <v>359.338</v>
      </c>
      <c r="F257" s="253" t="n">
        <v>-7209.317</v>
      </c>
      <c r="G257" s="253" t="n">
        <v>-5595</v>
      </c>
      <c r="H257" s="253" t="n">
        <v>-13703</v>
      </c>
      <c r="I257" s="253" t="n">
        <v>-1565</v>
      </c>
      <c r="J257" s="253" t="n">
        <v>-987</v>
      </c>
      <c r="K257" s="253" t="n">
        <v>-3493</v>
      </c>
      <c r="L257" s="253" t="n">
        <v>-3676</v>
      </c>
      <c r="M257" s="253" t="n">
        <v>758</v>
      </c>
      <c r="N257" s="253" t="n">
        <v>-7398</v>
      </c>
      <c r="O257" s="253" t="n">
        <v>-2015</v>
      </c>
      <c r="P257" s="253" t="n">
        <v>2009</v>
      </c>
      <c r="Q257" s="253" t="n">
        <v>-5768</v>
      </c>
      <c r="R257" s="253" t="n">
        <v>180</v>
      </c>
      <c r="S257" s="253" t="n">
        <v>-5594</v>
      </c>
      <c r="T257" s="253" t="n">
        <v>-4313</v>
      </c>
      <c r="U257" s="253" t="n">
        <v>-2510</v>
      </c>
      <c r="V257" s="253" t="n">
        <v>-3342</v>
      </c>
      <c r="W257" s="253" t="n">
        <v>-3395</v>
      </c>
      <c r="X257" s="253" t="n">
        <v>-13560</v>
      </c>
      <c r="Y257" s="253" t="n">
        <v>-3783</v>
      </c>
      <c r="Z257" s="253" t="n">
        <v>-5012</v>
      </c>
      <c r="AA257" s="253" t="n">
        <v>-10210</v>
      </c>
      <c r="AB257" s="253" t="n">
        <v>-962</v>
      </c>
      <c r="AC257" s="253" t="n">
        <v>-19967</v>
      </c>
      <c r="AD257" s="253" t="n">
        <v>-242</v>
      </c>
      <c r="AE257" s="253" t="n">
        <v>-4299</v>
      </c>
      <c r="AF257" s="253" t="n">
        <v>-10736</v>
      </c>
      <c r="AG257" s="253" t="n">
        <v>-2653</v>
      </c>
      <c r="AH257" s="253" t="n">
        <v>-17930</v>
      </c>
      <c r="AI257" s="253" t="n">
        <v>703</v>
      </c>
      <c r="AJ257" s="253" t="n">
        <v>2287</v>
      </c>
      <c r="AK257" s="253" t="n">
        <v>-5108</v>
      </c>
      <c r="AL257" s="253" t="n">
        <v>244</v>
      </c>
      <c r="AM257" s="253" t="n">
        <v>-1874</v>
      </c>
      <c r="AN257" s="253" t="n">
        <v>-651</v>
      </c>
      <c r="AO257" s="253" t="n">
        <v>-4181</v>
      </c>
      <c r="AP257" s="253" t="n">
        <v>-2087</v>
      </c>
      <c r="AQ257" s="253" t="n">
        <v>3491</v>
      </c>
      <c r="AR257" s="253" t="n">
        <v>-3428</v>
      </c>
      <c r="AS257" s="253" t="n">
        <v>4348</v>
      </c>
      <c r="AT257" s="253" t="n">
        <v>-2892</v>
      </c>
      <c r="AU257" s="253" t="n">
        <v>-9778</v>
      </c>
      <c r="AV257" s="253" t="n">
        <v>-1432</v>
      </c>
      <c r="AW257" s="253" t="n">
        <v>-9754</v>
      </c>
      <c r="AX257" s="253" t="n">
        <v>2225</v>
      </c>
      <c r="AY257" s="253" t="n">
        <v>-3270</v>
      </c>
      <c r="AZ257" s="253" t="n">
        <v>-2972</v>
      </c>
      <c r="BA257" s="253" t="n">
        <v>-4248</v>
      </c>
      <c r="BB257" s="253" t="n">
        <v>-8265</v>
      </c>
      <c r="BC257" s="253" t="n">
        <v>908</v>
      </c>
      <c r="BD257" s="253" t="n">
        <v>3704</v>
      </c>
      <c r="BE257" s="253" t="n">
        <v>12092</v>
      </c>
      <c r="BF257" s="253" t="n">
        <v>1452</v>
      </c>
      <c r="BG257" s="253" t="n">
        <v>18156</v>
      </c>
      <c r="BH257" s="253" t="n">
        <v>3385</v>
      </c>
      <c r="BI257" s="253" t="n">
        <v>-3614</v>
      </c>
      <c r="BJ257" s="253" t="n">
        <v>1031</v>
      </c>
      <c r="BK257" s="253" t="n">
        <v>4881</v>
      </c>
      <c r="BL257" s="253" t="n">
        <v>5683</v>
      </c>
      <c r="BM257" s="253" t="n">
        <v>3509</v>
      </c>
      <c r="BN257" s="253" t="n">
        <v>10431</v>
      </c>
      <c r="BO257" s="253" t="n">
        <v>-2197</v>
      </c>
      <c r="BP257" s="253" t="n">
        <v>-1813</v>
      </c>
      <c r="BQ257" s="253" t="n">
        <v>9930</v>
      </c>
      <c r="BR257" s="253" t="n">
        <v>1343</v>
      </c>
      <c r="BS257" s="253" t="n">
        <v>-2085</v>
      </c>
      <c r="BT257" s="253" t="n">
        <v>-2752</v>
      </c>
      <c r="BU257" s="253" t="n">
        <v>-23758</v>
      </c>
      <c r="BV257" s="253" t="n">
        <v>-27252</v>
      </c>
      <c r="BW257" s="253" t="n">
        <v>5906</v>
      </c>
      <c r="BX257" s="253" t="n">
        <v>-37433</v>
      </c>
      <c r="BY257" s="35" t="n"/>
      <c r="BZ257" s="35" t="n"/>
      <c r="CA257" s="254">
        <f>SUM(BW257:BX257)-(CA304-BX304)</f>
        <v>-38633.199141267</v>
      </c>
      <c r="CB257" s="254">
        <f>-(CB304-CA304)</f>
        <v>59261.545015874</v>
      </c>
      <c r="CC257" s="254">
        <f>-(CC304-CB304)</f>
        <v>17310.8831857145</v>
      </c>
      <c r="CD257" s="254">
        <f>-(CD304-CC304)</f>
        <v>-10134.0058330234</v>
      </c>
      <c r="CE257" s="254">
        <f>-(CE304-CD304)</f>
        <v>-37517.4982095588</v>
      </c>
      <c r="CF257" s="19" t="inlineStr">
        <is>
          <t>Forecast: marketable securities are the liquidity buffer — sold to keep balance-sheet cash at the minimum before commercial paper is drawn; surplus cash is invested. New non-marketable investments not modelled.</t>
        </is>
      </c>
    </row>
    <row r="258" ht="15" customHeight="1" s="251">
      <c r="B258" s="16" t="inlineStr">
        <is>
          <t>Net cash used in investing activities</t>
        </is>
      </c>
      <c r="C258" s="278" t="n">
        <v>-6899.15</v>
      </c>
      <c r="D258" s="278" t="n">
        <v>-3681.589</v>
      </c>
      <c r="E258" s="278" t="n">
        <v>-5319.422</v>
      </c>
      <c r="F258" s="278" t="n">
        <v>-8019.205</v>
      </c>
      <c r="G258" s="278" t="n">
        <v>-10680</v>
      </c>
      <c r="H258" s="278" t="n">
        <v>-19041</v>
      </c>
      <c r="I258" s="278" t="n">
        <v>-13056</v>
      </c>
      <c r="J258" s="278" t="n">
        <v>-2441</v>
      </c>
      <c r="K258" s="278" t="n">
        <v>-3803</v>
      </c>
      <c r="L258" s="278" t="n">
        <v>-5818</v>
      </c>
      <c r="M258" s="278" t="n">
        <v>-1617</v>
      </c>
      <c r="N258" s="278" t="n">
        <v>-13679</v>
      </c>
      <c r="O258" s="278" t="n">
        <v>-7307</v>
      </c>
      <c r="P258" s="278" t="n">
        <v>-1180</v>
      </c>
      <c r="Q258" s="278" t="n">
        <v>-9327</v>
      </c>
      <c r="R258" s="278" t="n">
        <v>-3241</v>
      </c>
      <c r="S258" s="278" t="n">
        <v>-21055</v>
      </c>
      <c r="T258" s="278" t="n">
        <v>-7304</v>
      </c>
      <c r="U258" s="278" t="n">
        <v>-5103</v>
      </c>
      <c r="V258" s="278" t="n">
        <v>-5817</v>
      </c>
      <c r="W258" s="278" t="n">
        <v>-5487</v>
      </c>
      <c r="X258" s="278" t="n">
        <v>-23711</v>
      </c>
      <c r="Y258" s="278" t="n">
        <v>-6245</v>
      </c>
      <c r="Z258" s="278" t="n">
        <v>-7173</v>
      </c>
      <c r="AA258" s="278" t="n">
        <v>-13045</v>
      </c>
      <c r="AB258" s="278" t="n">
        <v>-4702</v>
      </c>
      <c r="AC258" s="278" t="n">
        <v>-31165</v>
      </c>
      <c r="AD258" s="278" t="n">
        <v>-2851</v>
      </c>
      <c r="AE258" s="278" t="n">
        <v>-7172</v>
      </c>
      <c r="AF258" s="278" t="n">
        <v>-14404</v>
      </c>
      <c r="AG258" s="278" t="n">
        <v>-6974</v>
      </c>
      <c r="AH258" s="278" t="n">
        <v>-31401</v>
      </c>
      <c r="AI258" s="278" t="n">
        <v>-7846</v>
      </c>
      <c r="AJ258" s="278" t="n">
        <v>-3374</v>
      </c>
      <c r="AK258" s="278" t="n">
        <v>-10408</v>
      </c>
      <c r="AL258" s="278" t="n">
        <v>-6876</v>
      </c>
      <c r="AM258" s="278" t="n">
        <v>-28504</v>
      </c>
      <c r="AN258" s="278" t="n">
        <v>-5388</v>
      </c>
      <c r="AO258" s="278" t="n">
        <v>-10455</v>
      </c>
      <c r="AP258" s="278" t="n">
        <v>-8945</v>
      </c>
      <c r="AQ258" s="278" t="n">
        <v>-4703</v>
      </c>
      <c r="AR258" s="278" t="n">
        <v>-29491</v>
      </c>
      <c r="AS258" s="278" t="n">
        <v>-1847</v>
      </c>
      <c r="AT258" s="278" t="n">
        <v>-8448</v>
      </c>
      <c r="AU258" s="278" t="n">
        <v>-15197</v>
      </c>
      <c r="AV258" s="278" t="n">
        <v>-7281</v>
      </c>
      <c r="AW258" s="278" t="n">
        <v>-32773</v>
      </c>
      <c r="AX258" s="278" t="n">
        <v>-5383</v>
      </c>
      <c r="AY258" s="278" t="n">
        <v>-9074</v>
      </c>
      <c r="AZ258" s="278" t="n">
        <v>-10050</v>
      </c>
      <c r="BA258" s="278" t="n">
        <v>-11016</v>
      </c>
      <c r="BB258" s="278" t="n">
        <v>-35523</v>
      </c>
      <c r="BC258" s="278" t="n">
        <v>-9051</v>
      </c>
      <c r="BD258" s="278" t="n">
        <v>-4187</v>
      </c>
      <c r="BE258" s="278" t="n">
        <v>-833</v>
      </c>
      <c r="BF258" s="278" t="n">
        <v>-6227</v>
      </c>
      <c r="BG258" s="278" t="n">
        <v>-20298</v>
      </c>
      <c r="BH258" s="278" t="n">
        <v>-2946</v>
      </c>
      <c r="BI258" s="278" t="n">
        <v>-10800</v>
      </c>
      <c r="BJ258" s="278" t="n">
        <v>-7150</v>
      </c>
      <c r="BK258" s="278" t="n">
        <v>-6167</v>
      </c>
      <c r="BL258" s="278" t="n">
        <v>-27063</v>
      </c>
      <c r="BM258" s="278" t="n">
        <v>-8564</v>
      </c>
      <c r="BN258" s="278" t="n">
        <v>-2781</v>
      </c>
      <c r="BO258" s="278" t="n">
        <v>-18011</v>
      </c>
      <c r="BP258" s="278" t="n">
        <v>-16180</v>
      </c>
      <c r="BQ258" s="278" t="n">
        <v>-45536</v>
      </c>
      <c r="BR258" s="278" t="n">
        <v>-16194</v>
      </c>
      <c r="BS258" s="278" t="n">
        <v>-24544</v>
      </c>
      <c r="BT258" s="278" t="n">
        <v>-27777</v>
      </c>
      <c r="BU258" s="278" t="n">
        <v>-51776</v>
      </c>
      <c r="BV258" s="278" t="n">
        <v>-120291</v>
      </c>
      <c r="BW258" s="278" t="n">
        <v>-63389</v>
      </c>
      <c r="BX258" s="278" t="n">
        <v>-82433</v>
      </c>
      <c r="BY258" s="32" t="n"/>
      <c r="BZ258" s="32" t="n"/>
      <c r="CA258" s="262">
        <f>SUM(CA254:CA257)</f>
        <v>-270830.199141267</v>
      </c>
      <c r="CB258" s="262">
        <f>SUM(CB254:CB257)</f>
        <v>-195738.454984126</v>
      </c>
      <c r="CC258" s="262">
        <f>SUM(CC254:CC257)</f>
        <v>-257689.116814285</v>
      </c>
      <c r="CD258" s="262">
        <f>SUM(CD254:CD257)</f>
        <v>-300134.005833023</v>
      </c>
      <c r="CE258" s="262">
        <f>SUM(CE254:CE257)</f>
        <v>-342517.498209559</v>
      </c>
      <c r="CF258" s="153" t="n"/>
    </row>
    <row r="259" ht="15" customHeight="1" s="251">
      <c r="B259" s="25" t="inlineStr">
        <is>
          <t>Repurchases of stock (Class A and Class C)</t>
        </is>
      </c>
      <c r="C259" s="253" t="n">
        <v>0</v>
      </c>
      <c r="D259" s="253" t="n">
        <v>0</v>
      </c>
      <c r="E259" s="253" t="n">
        <v>0</v>
      </c>
      <c r="F259" s="253" t="n">
        <v>0</v>
      </c>
      <c r="G259" s="253" t="n">
        <v>-801</v>
      </c>
      <c r="H259" s="253" t="n">
        <v>0</v>
      </c>
      <c r="I259" s="253" t="n">
        <v>0</v>
      </c>
      <c r="J259" s="253" t="n">
        <v>0</v>
      </c>
      <c r="K259" s="253" t="n">
        <v>0</v>
      </c>
      <c r="L259" s="253" t="n">
        <v>0</v>
      </c>
      <c r="M259" s="253" t="n">
        <v>0</v>
      </c>
      <c r="N259" s="253" t="n">
        <v>0</v>
      </c>
      <c r="O259" s="253" t="n">
        <v>0</v>
      </c>
      <c r="P259" s="253" t="n">
        <v>0</v>
      </c>
      <c r="Q259" s="253" t="n">
        <v>0</v>
      </c>
      <c r="R259" s="253" t="n">
        <v>0</v>
      </c>
      <c r="S259" s="253" t="n">
        <v>0</v>
      </c>
      <c r="T259" s="253" t="n">
        <v>0</v>
      </c>
      <c r="U259" s="253" t="n">
        <v>0</v>
      </c>
      <c r="V259" s="253" t="n">
        <v>0</v>
      </c>
      <c r="W259" s="253" t="n">
        <v>-1780</v>
      </c>
      <c r="X259" s="253" t="n">
        <v>-1780</v>
      </c>
      <c r="Y259" s="253" t="n">
        <v>-2098</v>
      </c>
      <c r="Z259" s="253" t="n">
        <v>-1595</v>
      </c>
      <c r="AA259" s="253" t="n">
        <v>0</v>
      </c>
      <c r="AB259" s="253" t="n">
        <v>0</v>
      </c>
      <c r="AC259" s="253" t="n">
        <v>-3693</v>
      </c>
      <c r="AD259" s="253" t="n">
        <v>-1127</v>
      </c>
      <c r="AE259" s="253" t="n">
        <v>-1618</v>
      </c>
      <c r="AF259" s="253" t="n">
        <v>0</v>
      </c>
      <c r="AG259" s="253" t="n">
        <v>-2101</v>
      </c>
      <c r="AH259" s="253" t="n">
        <v>-4846</v>
      </c>
      <c r="AI259" s="253" t="n">
        <v>-2173</v>
      </c>
      <c r="AJ259" s="253" t="n">
        <v>-2052</v>
      </c>
      <c r="AK259" s="253" t="n">
        <v>-2200</v>
      </c>
      <c r="AL259" s="253" t="n">
        <v>-2650</v>
      </c>
      <c r="AM259" s="253" t="n">
        <v>-9075</v>
      </c>
      <c r="AN259" s="253" t="n">
        <v>-3025</v>
      </c>
      <c r="AO259" s="253" t="n">
        <v>-3577</v>
      </c>
      <c r="AP259" s="253" t="n">
        <v>-5696</v>
      </c>
      <c r="AQ259" s="253" t="n">
        <v>-6098</v>
      </c>
      <c r="AR259" s="253" t="n">
        <v>-18396</v>
      </c>
      <c r="AS259" s="253" t="n">
        <v>-8496</v>
      </c>
      <c r="AT259" s="253" t="n">
        <v>-6852</v>
      </c>
      <c r="AU259" s="253" t="n">
        <v>-7897</v>
      </c>
      <c r="AV259" s="253" t="n">
        <v>-7904</v>
      </c>
      <c r="AW259" s="253" t="n">
        <v>-31149</v>
      </c>
      <c r="AX259" s="253" t="n">
        <v>-11395</v>
      </c>
      <c r="AY259" s="253" t="n">
        <v>-12796</v>
      </c>
      <c r="AZ259" s="253" t="n">
        <v>-12610</v>
      </c>
      <c r="BA259" s="253" t="n">
        <v>-13473</v>
      </c>
      <c r="BB259" s="253" t="n">
        <v>-50274</v>
      </c>
      <c r="BC259" s="253" t="n">
        <v>-13300</v>
      </c>
      <c r="BD259" s="253" t="n">
        <v>-15197</v>
      </c>
      <c r="BE259" s="253" t="n">
        <v>-15392</v>
      </c>
      <c r="BF259" s="253" t="n">
        <v>-15407</v>
      </c>
      <c r="BG259" s="253" t="n">
        <v>-59296</v>
      </c>
      <c r="BH259" s="253" t="n">
        <v>-14557</v>
      </c>
      <c r="BI259" s="253" t="n">
        <v>-14969</v>
      </c>
      <c r="BJ259" s="253" t="n">
        <v>-15787</v>
      </c>
      <c r="BK259" s="253" t="n">
        <v>-16191</v>
      </c>
      <c r="BL259" s="253" t="n">
        <v>-61504</v>
      </c>
      <c r="BM259" s="253" t="n">
        <v>-15696</v>
      </c>
      <c r="BN259" s="253" t="n">
        <v>-15684</v>
      </c>
      <c r="BO259" s="253" t="n">
        <v>-15291</v>
      </c>
      <c r="BP259" s="253" t="n">
        <v>-15551</v>
      </c>
      <c r="BQ259" s="253" t="n">
        <v>-62222</v>
      </c>
      <c r="BR259" s="253" t="n">
        <v>-15068</v>
      </c>
      <c r="BS259" s="253" t="n">
        <v>-13638</v>
      </c>
      <c r="BT259" s="253" t="n">
        <v>-11504</v>
      </c>
      <c r="BU259" s="253" t="n">
        <v>-5499</v>
      </c>
      <c r="BV259" s="253" t="n">
        <v>-45709</v>
      </c>
      <c r="BW259" s="253" t="n">
        <v>0</v>
      </c>
      <c r="BX259" s="253" t="n">
        <v>0</v>
      </c>
      <c r="BY259" s="35" t="n"/>
      <c r="BZ259" s="35" t="n"/>
      <c r="CA259" s="254">
        <f>SUM(BW259:BX259)-CHOOSE(MATCH($CF$2,{"Bull","Base","Bear"},0),$CO$14,$CP$14,$CQ$14)</f>
        <v>0</v>
      </c>
      <c r="CB259" s="254">
        <f>-CB371</f>
        <v>-27560.0566204255</v>
      </c>
      <c r="CC259" s="254">
        <f>-CC371</f>
        <v>0</v>
      </c>
      <c r="CD259" s="254">
        <f>-CD371</f>
        <v>0</v>
      </c>
      <c r="CE259" s="254">
        <f>-CE371</f>
        <v>0</v>
      </c>
      <c r="CF259" s="19" t="inlineStr">
        <is>
          <t>No repurchases in 1H26 ($69.5bn left on the Apr-2025 $70bn authorization). 2H26E: scenario input. 2027E+: plug to the net-debt / adjusted EBITDA target (net-cash floor).</t>
        </is>
      </c>
    </row>
    <row r="260" ht="15" customHeight="1" s="251">
      <c r="B260" s="25" t="inlineStr">
        <is>
          <t>Dividend payments (common + preferred)</t>
        </is>
      </c>
      <c r="C260" s="253" t="n">
        <v>0</v>
      </c>
      <c r="D260" s="253" t="n">
        <v>0</v>
      </c>
      <c r="E260" s="253" t="n">
        <v>0</v>
      </c>
      <c r="F260" s="253" t="n">
        <v>0</v>
      </c>
      <c r="G260" s="253" t="n">
        <v>0</v>
      </c>
      <c r="H260" s="253" t="n">
        <v>0</v>
      </c>
      <c r="I260" s="253" t="n">
        <v>0</v>
      </c>
      <c r="J260" s="253" t="n">
        <v>0</v>
      </c>
      <c r="K260" s="253" t="n">
        <v>0</v>
      </c>
      <c r="L260" s="253" t="n">
        <v>0</v>
      </c>
      <c r="M260" s="253" t="n">
        <v>0</v>
      </c>
      <c r="N260" s="253" t="n">
        <v>0</v>
      </c>
      <c r="O260" s="253" t="n">
        <v>0</v>
      </c>
      <c r="P260" s="253" t="n">
        <v>0</v>
      </c>
      <c r="Q260" s="253" t="n">
        <v>0</v>
      </c>
      <c r="R260" s="253" t="n">
        <v>0</v>
      </c>
      <c r="S260" s="253" t="n">
        <v>0</v>
      </c>
      <c r="T260" s="253" t="n">
        <v>0</v>
      </c>
      <c r="U260" s="253" t="n">
        <v>-47</v>
      </c>
      <c r="V260" s="253" t="n">
        <v>0</v>
      </c>
      <c r="W260" s="253" t="n">
        <v>0</v>
      </c>
      <c r="X260" s="253" t="n">
        <v>-47</v>
      </c>
      <c r="Y260" s="253" t="n">
        <v>0</v>
      </c>
      <c r="Z260" s="253" t="n">
        <v>0</v>
      </c>
      <c r="AA260" s="253" t="n">
        <v>0</v>
      </c>
      <c r="AB260" s="253" t="n">
        <v>0</v>
      </c>
      <c r="AC260" s="253" t="n">
        <v>0</v>
      </c>
      <c r="AD260" s="253" t="n">
        <v>0</v>
      </c>
      <c r="AE260" s="253" t="n">
        <v>0</v>
      </c>
      <c r="AF260" s="253" t="n">
        <v>0</v>
      </c>
      <c r="AG260" s="253" t="n">
        <v>0</v>
      </c>
      <c r="AH260" s="253" t="n">
        <v>0</v>
      </c>
      <c r="AI260" s="253" t="n">
        <v>0</v>
      </c>
      <c r="AJ260" s="253" t="n">
        <v>0</v>
      </c>
      <c r="AK260" s="253" t="n">
        <v>0</v>
      </c>
      <c r="AL260" s="253" t="n">
        <v>0</v>
      </c>
      <c r="AM260" s="253" t="n">
        <v>0</v>
      </c>
      <c r="AN260" s="253" t="n">
        <v>0</v>
      </c>
      <c r="AO260" s="253" t="n">
        <v>0</v>
      </c>
      <c r="AP260" s="253" t="n">
        <v>0</v>
      </c>
      <c r="AQ260" s="253" t="n">
        <v>0</v>
      </c>
      <c r="AR260" s="253" t="n">
        <v>0</v>
      </c>
      <c r="AS260" s="253" t="n">
        <v>0</v>
      </c>
      <c r="AT260" s="253" t="n">
        <v>0</v>
      </c>
      <c r="AU260" s="253" t="n">
        <v>0</v>
      </c>
      <c r="AV260" s="253" t="n">
        <v>0</v>
      </c>
      <c r="AW260" s="253" t="n">
        <v>0</v>
      </c>
      <c r="AX260" s="253" t="n">
        <v>0</v>
      </c>
      <c r="AY260" s="253" t="n">
        <v>0</v>
      </c>
      <c r="AZ260" s="253" t="n">
        <v>0</v>
      </c>
      <c r="BA260" s="253" t="n">
        <v>0</v>
      </c>
      <c r="BB260" s="253" t="n">
        <v>0</v>
      </c>
      <c r="BC260" s="253" t="n">
        <v>0</v>
      </c>
      <c r="BD260" s="253" t="n">
        <v>0</v>
      </c>
      <c r="BE260" s="253" t="n">
        <v>0</v>
      </c>
      <c r="BF260" s="253" t="n">
        <v>0</v>
      </c>
      <c r="BG260" s="253" t="n">
        <v>0</v>
      </c>
      <c r="BH260" s="253" t="n">
        <v>0</v>
      </c>
      <c r="BI260" s="253" t="n">
        <v>0</v>
      </c>
      <c r="BJ260" s="253" t="n">
        <v>0</v>
      </c>
      <c r="BK260" s="253" t="n">
        <v>0</v>
      </c>
      <c r="BL260" s="253" t="n">
        <v>0</v>
      </c>
      <c r="BM260" s="253" t="n">
        <v>0</v>
      </c>
      <c r="BN260" s="253" t="n">
        <v>-2466</v>
      </c>
      <c r="BO260" s="253" t="n">
        <v>-2455</v>
      </c>
      <c r="BP260" s="253" t="n">
        <v>-2442</v>
      </c>
      <c r="BQ260" s="253" t="n">
        <v>-7363</v>
      </c>
      <c r="BR260" s="253" t="n">
        <v>-2434</v>
      </c>
      <c r="BS260" s="253" t="n">
        <v>-2543</v>
      </c>
      <c r="BT260" s="253" t="n">
        <v>-2536</v>
      </c>
      <c r="BU260" s="253" t="n">
        <v>-2536</v>
      </c>
      <c r="BV260" s="253" t="n">
        <v>-10049</v>
      </c>
      <c r="BW260" s="253" t="n">
        <v>-2542</v>
      </c>
      <c r="BX260" s="253" t="n">
        <v>-2689</v>
      </c>
      <c r="BY260" s="35" t="n"/>
      <c r="BZ260" s="35" t="n"/>
      <c r="CA260" s="254">
        <f>SUM(BW260:BX260)-BY165*BY158-BZ165*BZ158-CA299</f>
        <v>-11153.125</v>
      </c>
      <c r="CB260" s="254">
        <f>-CB165*CB290-CB299</f>
        <v>-12414.415</v>
      </c>
      <c r="CC260" s="254">
        <f>-CC165*CC290-CC299</f>
        <v>-13020.9281063257</v>
      </c>
      <c r="CD260" s="254">
        <f>-CD165*CD290-CD299</f>
        <v>-13139.705561642</v>
      </c>
      <c r="CE260" s="254">
        <f>-CE165*CE290-CE299</f>
        <v>-13345.7234210049</v>
      </c>
      <c r="CF260" s="19" t="inlineStr">
        <is>
          <t>Common: DPS × shares (beginning shares 2027E+, no circularity with buybacks). Preferred: cash dividends per the MCPS schedule.</t>
        </is>
      </c>
    </row>
    <row r="261" ht="15" customHeight="1" s="251">
      <c r="B261" s="25" t="inlineStr">
        <is>
          <t>Net payments related to stock-based award activities (tax withholding)</t>
        </is>
      </c>
      <c r="C261" s="253" t="n">
        <v>0</v>
      </c>
      <c r="D261" s="253" t="n">
        <v>0</v>
      </c>
      <c r="E261" s="253" t="n">
        <v>0</v>
      </c>
      <c r="F261" s="253" t="n">
        <v>-143.141</v>
      </c>
      <c r="G261" s="253" t="n">
        <v>-294</v>
      </c>
      <c r="H261" s="253" t="n">
        <v>-5</v>
      </c>
      <c r="I261" s="253" t="n">
        <v>-287</v>
      </c>
      <c r="J261" s="253" t="n">
        <v>-210</v>
      </c>
      <c r="K261" s="253" t="n">
        <v>-58</v>
      </c>
      <c r="L261" s="253" t="n">
        <v>-369</v>
      </c>
      <c r="M261" s="253" t="n">
        <v>-144</v>
      </c>
      <c r="N261" s="253" t="n">
        <v>-781</v>
      </c>
      <c r="O261" s="253" t="n">
        <v>-326</v>
      </c>
      <c r="P261" s="253" t="n">
        <v>-595</v>
      </c>
      <c r="Q261" s="253" t="n">
        <v>-627</v>
      </c>
      <c r="R261" s="253" t="n">
        <v>-521</v>
      </c>
      <c r="S261" s="253" t="n">
        <v>-2069</v>
      </c>
      <c r="T261" s="253" t="n">
        <v>-493</v>
      </c>
      <c r="U261" s="253" t="n">
        <v>-511</v>
      </c>
      <c r="V261" s="253" t="n">
        <v>-606</v>
      </c>
      <c r="W261" s="253" t="n">
        <v>-765</v>
      </c>
      <c r="X261" s="253" t="n">
        <v>-2375</v>
      </c>
      <c r="Y261" s="253" t="n">
        <v>-807</v>
      </c>
      <c r="Z261" s="253" t="n">
        <v>-803</v>
      </c>
      <c r="AA261" s="253" t="n">
        <v>-815</v>
      </c>
      <c r="AB261" s="253" t="n">
        <v>-879</v>
      </c>
      <c r="AC261" s="253" t="n">
        <v>-3304</v>
      </c>
      <c r="AD261" s="253" t="n">
        <v>-1009</v>
      </c>
      <c r="AE261" s="253" t="n">
        <v>-1084</v>
      </c>
      <c r="AF261" s="253" t="n">
        <v>-1018</v>
      </c>
      <c r="AG261" s="253" t="n">
        <v>-1055</v>
      </c>
      <c r="AH261" s="253" t="n">
        <v>-4166</v>
      </c>
      <c r="AI261" s="253" t="n">
        <v>-1158</v>
      </c>
      <c r="AJ261" s="253" t="n">
        <v>-1541</v>
      </c>
      <c r="AK261" s="253" t="n">
        <v>-1253</v>
      </c>
      <c r="AL261" s="253" t="n">
        <v>-1041</v>
      </c>
      <c r="AM261" s="253" t="n">
        <v>-4993</v>
      </c>
      <c r="AN261" s="253" t="n">
        <v>-1175</v>
      </c>
      <c r="AO261" s="253" t="n">
        <v>-1260</v>
      </c>
      <c r="AP261" s="253" t="n">
        <v>-1131</v>
      </c>
      <c r="AQ261" s="253" t="n">
        <v>-1199</v>
      </c>
      <c r="AR261" s="253" t="n">
        <v>-4765</v>
      </c>
      <c r="AS261" s="253" t="n">
        <v>-1241</v>
      </c>
      <c r="AT261" s="253" t="n">
        <v>-1475</v>
      </c>
      <c r="AU261" s="253" t="n">
        <v>-1357</v>
      </c>
      <c r="AV261" s="253" t="n">
        <v>-1647</v>
      </c>
      <c r="AW261" s="253" t="n">
        <v>-5720</v>
      </c>
      <c r="AX261" s="253" t="n">
        <v>-2184</v>
      </c>
      <c r="AY261" s="253" t="n">
        <v>-2453</v>
      </c>
      <c r="AZ261" s="253" t="n">
        <v>-2602</v>
      </c>
      <c r="BA261" s="253" t="n">
        <v>-2923</v>
      </c>
      <c r="BB261" s="253" t="n">
        <v>-10162</v>
      </c>
      <c r="BC261" s="253" t="n">
        <v>-2916</v>
      </c>
      <c r="BD261" s="253" t="n">
        <v>-2264</v>
      </c>
      <c r="BE261" s="253" t="n">
        <v>-2041</v>
      </c>
      <c r="BF261" s="253" t="n">
        <v>-2079</v>
      </c>
      <c r="BG261" s="253" t="n">
        <v>-9300</v>
      </c>
      <c r="BH261" s="253" t="n">
        <v>-1989</v>
      </c>
      <c r="BI261" s="253" t="n">
        <v>-2736</v>
      </c>
      <c r="BJ261" s="253" t="n">
        <v>-2432</v>
      </c>
      <c r="BK261" s="253" t="n">
        <v>-2680</v>
      </c>
      <c r="BL261" s="253" t="n">
        <v>-9837</v>
      </c>
      <c r="BM261" s="253" t="n">
        <v>-2929</v>
      </c>
      <c r="BN261" s="253" t="n">
        <v>-3209</v>
      </c>
      <c r="BO261" s="253" t="n">
        <v>-3003</v>
      </c>
      <c r="BP261" s="253" t="n">
        <v>-3049</v>
      </c>
      <c r="BQ261" s="253" t="n">
        <v>-12190</v>
      </c>
      <c r="BR261" s="253" t="n">
        <v>-3110</v>
      </c>
      <c r="BS261" s="253" t="n">
        <v>-2621</v>
      </c>
      <c r="BT261" s="253" t="n">
        <v>-3270</v>
      </c>
      <c r="BU261" s="253" t="n">
        <v>-5166</v>
      </c>
      <c r="BV261" s="253" t="n">
        <v>-14167</v>
      </c>
      <c r="BW261" s="253" t="n">
        <v>-5483</v>
      </c>
      <c r="BX261" s="253" t="n">
        <v>-6573</v>
      </c>
      <c r="BY261" s="35" t="n"/>
      <c r="BZ261" s="35" t="n"/>
      <c r="CA261" s="254">
        <f>SUM(BW261:BX261)-SUM(BY114:BZ114)*0.6</f>
        <v>-22356.1986451277</v>
      </c>
      <c r="CB261" s="254">
        <f>-CB114*CB352</f>
        <v>-22810.479942647</v>
      </c>
      <c r="CC261" s="254">
        <f>-CC114*CC352</f>
        <v>-26167.5272470985</v>
      </c>
      <c r="CD261" s="254">
        <f>-CD114*CD352</f>
        <v>-29562.3723190323</v>
      </c>
      <c r="CE261" s="254">
        <f>-CE114*CE352</f>
        <v>-32906.5908602775</v>
      </c>
      <c r="CF261" s="19" t="n"/>
    </row>
    <row r="262" ht="15" customHeight="1" s="251">
      <c r="B262" s="25" t="inlineStr">
        <is>
          <t>Issuance of common &amp; preferred stock, ATM and minority interests (net)</t>
        </is>
      </c>
      <c r="C262" s="253" t="n">
        <v>0</v>
      </c>
      <c r="D262" s="253" t="n">
        <v>0</v>
      </c>
      <c r="E262" s="253" t="n">
        <v>0</v>
      </c>
      <c r="F262" s="253" t="n">
        <v>0</v>
      </c>
      <c r="G262" s="253" t="n">
        <v>0</v>
      </c>
      <c r="H262" s="253" t="n">
        <v>0</v>
      </c>
      <c r="I262" s="253" t="n">
        <v>0</v>
      </c>
      <c r="J262" s="253" t="n">
        <v>0</v>
      </c>
      <c r="K262" s="253" t="n">
        <v>0</v>
      </c>
      <c r="L262" s="253" t="n">
        <v>0</v>
      </c>
      <c r="M262" s="253" t="n">
        <v>0</v>
      </c>
      <c r="N262" s="253" t="n">
        <v>0</v>
      </c>
      <c r="O262" s="253" t="n">
        <v>0</v>
      </c>
      <c r="P262" s="253" t="n">
        <v>0</v>
      </c>
      <c r="Q262" s="253" t="n">
        <v>0</v>
      </c>
      <c r="R262" s="253" t="n">
        <v>0</v>
      </c>
      <c r="S262" s="253" t="n">
        <v>0</v>
      </c>
      <c r="T262" s="253" t="n">
        <v>0</v>
      </c>
      <c r="U262" s="253" t="n">
        <v>0</v>
      </c>
      <c r="V262" s="253" t="n">
        <v>0</v>
      </c>
      <c r="W262" s="253" t="n">
        <v>0</v>
      </c>
      <c r="X262" s="253" t="n">
        <v>0</v>
      </c>
      <c r="Y262" s="253" t="n">
        <v>0</v>
      </c>
      <c r="Z262" s="253" t="n">
        <v>0</v>
      </c>
      <c r="AA262" s="253" t="n">
        <v>0</v>
      </c>
      <c r="AB262" s="253" t="n">
        <v>0</v>
      </c>
      <c r="AC262" s="253" t="n">
        <v>0</v>
      </c>
      <c r="AD262" s="253" t="n">
        <v>480</v>
      </c>
      <c r="AE262" s="253" t="n">
        <v>0</v>
      </c>
      <c r="AF262" s="253" t="n">
        <v>320</v>
      </c>
      <c r="AG262" s="253" t="n">
        <v>0</v>
      </c>
      <c r="AH262" s="253" t="n">
        <v>800</v>
      </c>
      <c r="AI262" s="253" t="n">
        <v>0</v>
      </c>
      <c r="AJ262" s="253" t="n">
        <v>0</v>
      </c>
      <c r="AK262" s="253" t="n">
        <v>0</v>
      </c>
      <c r="AL262" s="253" t="n">
        <v>950</v>
      </c>
      <c r="AM262" s="253" t="n">
        <v>950</v>
      </c>
      <c r="AN262" s="253" t="n">
        <v>47</v>
      </c>
      <c r="AO262" s="253" t="n">
        <v>137</v>
      </c>
      <c r="AP262" s="253" t="n">
        <v>18</v>
      </c>
      <c r="AQ262" s="253" t="n">
        <v>18</v>
      </c>
      <c r="AR262" s="253" t="n">
        <v>220</v>
      </c>
      <c r="AS262" s="253" t="n">
        <v>1600</v>
      </c>
      <c r="AT262" s="253" t="n">
        <v>864</v>
      </c>
      <c r="AU262" s="253" t="n">
        <v>-2</v>
      </c>
      <c r="AV262" s="253" t="n">
        <v>338</v>
      </c>
      <c r="AW262" s="253" t="n">
        <v>2800</v>
      </c>
      <c r="AX262" s="253" t="n">
        <v>10</v>
      </c>
      <c r="AY262" s="253" t="n">
        <v>300</v>
      </c>
      <c r="AZ262" s="253" t="n">
        <v>0</v>
      </c>
      <c r="BA262" s="253" t="n">
        <v>0</v>
      </c>
      <c r="BB262" s="253" t="n">
        <v>310</v>
      </c>
      <c r="BC262" s="253" t="n">
        <v>0</v>
      </c>
      <c r="BD262" s="253" t="n">
        <v>0</v>
      </c>
      <c r="BE262" s="253" t="n">
        <v>10</v>
      </c>
      <c r="BF262" s="253" t="n">
        <v>25</v>
      </c>
      <c r="BG262" s="253" t="n">
        <v>35</v>
      </c>
      <c r="BH262" s="253" t="n">
        <v>3</v>
      </c>
      <c r="BI262" s="253" t="n">
        <v>2</v>
      </c>
      <c r="BJ262" s="253" t="n">
        <v>3</v>
      </c>
      <c r="BK262" s="253" t="n">
        <v>0</v>
      </c>
      <c r="BL262" s="253" t="n">
        <v>8</v>
      </c>
      <c r="BM262" s="253" t="n">
        <v>8</v>
      </c>
      <c r="BN262" s="253" t="n">
        <v>0</v>
      </c>
      <c r="BO262" s="253" t="n">
        <v>285</v>
      </c>
      <c r="BP262" s="253" t="n">
        <v>861</v>
      </c>
      <c r="BQ262" s="253" t="n">
        <v>1154</v>
      </c>
      <c r="BR262" s="253" t="n">
        <v>400</v>
      </c>
      <c r="BS262" s="253" t="n">
        <v>0</v>
      </c>
      <c r="BT262" s="253" t="n">
        <v>0</v>
      </c>
      <c r="BU262" s="253" t="n">
        <v>0</v>
      </c>
      <c r="BV262" s="253" t="n">
        <v>400</v>
      </c>
      <c r="BW262" s="253" t="n">
        <v>3200</v>
      </c>
      <c r="BX262" s="253" t="n">
        <v>50120</v>
      </c>
      <c r="BY262" s="35" t="n"/>
      <c r="BZ262" s="35" t="n"/>
      <c r="CA262" s="254">
        <f>SUM(BW262:BX262)</f>
        <v>53320</v>
      </c>
      <c r="CB262" s="254">
        <f>CB353</f>
        <v>0</v>
      </c>
      <c r="CC262" s="254">
        <f>CC353</f>
        <v>0</v>
      </c>
      <c r="CD262" s="254">
        <f>CD353</f>
        <v>0</v>
      </c>
      <c r="CE262" s="254">
        <f>CE353</f>
        <v>0</v>
      </c>
      <c r="CF262" s="19" t="inlineStr">
        <is>
          <t>Jun-2026: common $30.5bn (public offering + Berkshire Hathaway private placement) + mandatory convertible preferred $19.1bn; minority investments in Other Bets (Waymo) $3.8bn in 1H26. 2027E+: ATM issuance input.</t>
        </is>
      </c>
    </row>
    <row r="263" ht="15" customHeight="1" s="251">
      <c r="B263" s="25" t="inlineStr">
        <is>
          <t>Net debt issuance (repayment)</t>
        </is>
      </c>
      <c r="C263" s="253" t="n">
        <v>0</v>
      </c>
      <c r="D263" s="253" t="n">
        <v>0</v>
      </c>
      <c r="E263" s="253" t="n">
        <v>0</v>
      </c>
      <c r="F263" s="253" t="n">
        <v>0</v>
      </c>
      <c r="G263" s="253" t="n">
        <v>0</v>
      </c>
      <c r="H263" s="253" t="n">
        <v>726</v>
      </c>
      <c r="I263" s="253" t="n">
        <v>1328</v>
      </c>
      <c r="J263" s="253" t="n">
        <v>-401</v>
      </c>
      <c r="K263" s="253" t="n">
        <v>-151</v>
      </c>
      <c r="L263" s="253" t="n">
        <v>-2</v>
      </c>
      <c r="M263" s="253" t="n">
        <v>-3</v>
      </c>
      <c r="N263" s="253" t="n">
        <v>-557</v>
      </c>
      <c r="O263" s="253" t="n">
        <v>993</v>
      </c>
      <c r="P263" s="253" t="n">
        <v>-1004</v>
      </c>
      <c r="Q263" s="253" t="n">
        <v>-3</v>
      </c>
      <c r="R263" s="253" t="n">
        <v>-4</v>
      </c>
      <c r="S263" s="253" t="n">
        <v>-18</v>
      </c>
      <c r="T263" s="253" t="n">
        <v>-3</v>
      </c>
      <c r="U263" s="253" t="n">
        <v>-3</v>
      </c>
      <c r="V263" s="253" t="n">
        <v>-3</v>
      </c>
      <c r="W263" s="253" t="n">
        <v>-14</v>
      </c>
      <c r="X263" s="253" t="n">
        <v>-23</v>
      </c>
      <c r="Y263" s="253" t="n">
        <v>-6</v>
      </c>
      <c r="Z263" s="253" t="n">
        <v>-1042</v>
      </c>
      <c r="AA263" s="253" t="n">
        <v>-274</v>
      </c>
      <c r="AB263" s="253" t="n">
        <v>-13</v>
      </c>
      <c r="AC263" s="253" t="n">
        <v>-1335</v>
      </c>
      <c r="AD263" s="253" t="n">
        <v>-18</v>
      </c>
      <c r="AE263" s="253" t="n">
        <v>-38</v>
      </c>
      <c r="AF263" s="253" t="n">
        <v>-8</v>
      </c>
      <c r="AG263" s="253" t="n">
        <v>-22</v>
      </c>
      <c r="AH263" s="253" t="n">
        <v>-86</v>
      </c>
      <c r="AI263" s="253" t="n">
        <v>1313</v>
      </c>
      <c r="AJ263" s="253" t="n">
        <v>-1344</v>
      </c>
      <c r="AK263" s="253" t="n">
        <v>-25</v>
      </c>
      <c r="AL263" s="253" t="n">
        <v>-5</v>
      </c>
      <c r="AM263" s="253" t="n">
        <v>-61</v>
      </c>
      <c r="AN263" s="253" t="n">
        <v>-30</v>
      </c>
      <c r="AO263" s="253" t="n">
        <v>-46</v>
      </c>
      <c r="AP263" s="253" t="n">
        <v>-145</v>
      </c>
      <c r="AQ263" s="253" t="n">
        <v>-47</v>
      </c>
      <c r="AR263" s="253" t="n">
        <v>-268</v>
      </c>
      <c r="AS263" s="253" t="n">
        <v>-49</v>
      </c>
      <c r="AT263" s="253" t="n">
        <v>-35</v>
      </c>
      <c r="AU263" s="253" t="n">
        <v>9802</v>
      </c>
      <c r="AV263" s="253" t="n">
        <v>-57</v>
      </c>
      <c r="AW263" s="253" t="n">
        <v>9661</v>
      </c>
      <c r="AX263" s="253" t="n">
        <v>-37</v>
      </c>
      <c r="AY263" s="253" t="n">
        <v>-1042</v>
      </c>
      <c r="AZ263" s="253" t="n">
        <v>-42</v>
      </c>
      <c r="BA263" s="253" t="n">
        <v>-115</v>
      </c>
      <c r="BB263" s="253" t="n">
        <v>-1236</v>
      </c>
      <c r="BC263" s="253" t="n">
        <v>2</v>
      </c>
      <c r="BD263" s="253" t="n">
        <v>-356</v>
      </c>
      <c r="BE263" s="253" t="n">
        <v>-674</v>
      </c>
      <c r="BF263" s="253" t="n">
        <v>-168</v>
      </c>
      <c r="BG263" s="253" t="n">
        <v>-1196</v>
      </c>
      <c r="BH263" s="253" t="n">
        <v>-25</v>
      </c>
      <c r="BI263" s="253" t="n">
        <v>-132</v>
      </c>
      <c r="BJ263" s="253" t="n">
        <v>-166</v>
      </c>
      <c r="BK263" s="253" t="n">
        <v>-437</v>
      </c>
      <c r="BL263" s="253" t="n">
        <v>-760</v>
      </c>
      <c r="BM263" s="253" t="n">
        <v>-1097</v>
      </c>
      <c r="BN263" s="253" t="n">
        <v>470</v>
      </c>
      <c r="BO263" s="253" t="n">
        <v>370</v>
      </c>
      <c r="BP263" s="253" t="n">
        <v>1145</v>
      </c>
      <c r="BQ263" s="253" t="n">
        <v>888</v>
      </c>
      <c r="BR263" s="253" t="n">
        <v>11</v>
      </c>
      <c r="BS263" s="253" t="n">
        <v>12970</v>
      </c>
      <c r="BT263" s="253" t="n">
        <v>-1073</v>
      </c>
      <c r="BU263" s="253" t="n">
        <v>20229</v>
      </c>
      <c r="BV263" s="253" t="n">
        <v>32137</v>
      </c>
      <c r="BW263" s="253" t="n">
        <v>29902</v>
      </c>
      <c r="BX263" s="253" t="n">
        <v>21071</v>
      </c>
      <c r="BY263" s="35" t="n"/>
      <c r="BZ263" s="35" t="n"/>
      <c r="CA263" s="254">
        <f>SUM(BW263:BX263)+(CA355-BX355)</f>
        <v>48973</v>
      </c>
      <c r="CB263" s="254">
        <f>CB363</f>
        <v>0</v>
      </c>
      <c r="CC263" s="254">
        <f>CC363</f>
        <v>0</v>
      </c>
      <c r="CD263" s="254">
        <f>CD363</f>
        <v>0</v>
      </c>
      <c r="CE263" s="254">
        <f>CE363</f>
        <v>0</v>
      </c>
      <c r="CF263" s="19" t="inlineStr">
        <is>
          <t>Per the debt schedule: notes repaid at maturity and refinanced; commercial paper drawn or repaid to the minimum cash balance.</t>
        </is>
      </c>
    </row>
    <row r="264" ht="15" customHeight="1" s="251">
      <c r="B264" s="25" t="inlineStr">
        <is>
          <t>Other financing activities, net (derived)</t>
        </is>
      </c>
      <c r="C264" s="253" t="n">
        <v>2966.398</v>
      </c>
      <c r="D264" s="253" t="n">
        <v>403.067</v>
      </c>
      <c r="E264" s="253" t="n">
        <v>87.56699999999999</v>
      </c>
      <c r="F264" s="253" t="n">
        <v>376.553</v>
      </c>
      <c r="G264" s="253" t="n">
        <v>4145</v>
      </c>
      <c r="H264" s="253" t="n">
        <v>86</v>
      </c>
      <c r="I264" s="253" t="n">
        <v>188</v>
      </c>
      <c r="J264" s="253" t="n">
        <v>94</v>
      </c>
      <c r="K264" s="253" t="n">
        <v>104</v>
      </c>
      <c r="L264" s="253" t="n">
        <v>104</v>
      </c>
      <c r="M264" s="253" t="n">
        <v>179</v>
      </c>
      <c r="N264" s="253" t="n">
        <v>481</v>
      </c>
      <c r="O264" s="253" t="n">
        <v>155</v>
      </c>
      <c r="P264" s="253" t="n">
        <v>137</v>
      </c>
      <c r="Q264" s="253" t="n">
        <v>175</v>
      </c>
      <c r="R264" s="253" t="n">
        <v>181</v>
      </c>
      <c r="S264" s="253" t="n">
        <v>648</v>
      </c>
      <c r="T264" s="253" t="n">
        <v>105</v>
      </c>
      <c r="U264" s="253" t="n">
        <v>111</v>
      </c>
      <c r="V264" s="253" t="n">
        <v>138</v>
      </c>
      <c r="W264" s="253" t="n">
        <v>194</v>
      </c>
      <c r="X264" s="253" t="n">
        <v>548</v>
      </c>
      <c r="Y264" s="253" t="n">
        <v>0</v>
      </c>
      <c r="Z264" s="253" t="n">
        <v>0</v>
      </c>
      <c r="AA264" s="253" t="n">
        <v>0</v>
      </c>
      <c r="AB264" s="253" t="n">
        <v>0</v>
      </c>
      <c r="AC264" s="253" t="n">
        <v>0</v>
      </c>
      <c r="AD264" s="253" t="n">
        <v>0</v>
      </c>
      <c r="AE264" s="253" t="n">
        <v>0</v>
      </c>
      <c r="AF264" s="253" t="n">
        <v>0</v>
      </c>
      <c r="AG264" s="253" t="n">
        <v>0</v>
      </c>
      <c r="AH264" s="253" t="n">
        <v>0</v>
      </c>
      <c r="AI264" s="253" t="n">
        <v>0</v>
      </c>
      <c r="AJ264" s="253" t="n">
        <v>0</v>
      </c>
      <c r="AK264" s="253" t="n">
        <v>0</v>
      </c>
      <c r="AL264" s="253" t="n">
        <v>0</v>
      </c>
      <c r="AM264" s="253" t="n">
        <v>0</v>
      </c>
      <c r="AN264" s="253" t="n">
        <v>0</v>
      </c>
      <c r="AO264" s="253" t="n">
        <v>0</v>
      </c>
      <c r="AP264" s="253" t="n">
        <v>0</v>
      </c>
      <c r="AQ264" s="253" t="n">
        <v>0</v>
      </c>
      <c r="AR264" s="253" t="n">
        <v>0</v>
      </c>
      <c r="AS264" s="253" t="n">
        <v>0</v>
      </c>
      <c r="AT264" s="253" t="n">
        <v>0</v>
      </c>
      <c r="AU264" s="253" t="n">
        <v>0</v>
      </c>
      <c r="AV264" s="253" t="n">
        <v>0</v>
      </c>
      <c r="AW264" s="253" t="n">
        <v>0</v>
      </c>
      <c r="AX264" s="253" t="n">
        <v>0</v>
      </c>
      <c r="AY264" s="253" t="n">
        <v>0</v>
      </c>
      <c r="AZ264" s="253" t="n">
        <v>0</v>
      </c>
      <c r="BA264" s="253" t="n">
        <v>0</v>
      </c>
      <c r="BB264" s="253" t="n">
        <v>0</v>
      </c>
      <c r="BC264" s="253" t="n">
        <v>0</v>
      </c>
      <c r="BD264" s="253" t="n">
        <v>0</v>
      </c>
      <c r="BE264" s="253" t="n">
        <v>0</v>
      </c>
      <c r="BF264" s="253" t="n">
        <v>0</v>
      </c>
      <c r="BG264" s="253" t="n">
        <v>0</v>
      </c>
      <c r="BH264" s="253" t="n">
        <v>0</v>
      </c>
      <c r="BI264" s="253" t="n">
        <v>0</v>
      </c>
      <c r="BJ264" s="253" t="n">
        <v>0</v>
      </c>
      <c r="BK264" s="253" t="n">
        <v>0</v>
      </c>
      <c r="BL264" s="253" t="n">
        <v>0</v>
      </c>
      <c r="BM264" s="253" t="n">
        <v>0</v>
      </c>
      <c r="BN264" s="253" t="n">
        <v>0</v>
      </c>
      <c r="BO264" s="253" t="n">
        <v>0</v>
      </c>
      <c r="BP264" s="253" t="n">
        <v>0</v>
      </c>
      <c r="BQ264" s="253" t="n">
        <v>0</v>
      </c>
      <c r="BR264" s="253" t="n">
        <v>0</v>
      </c>
      <c r="BS264" s="253" t="n">
        <v>0</v>
      </c>
      <c r="BT264" s="253" t="n">
        <v>0</v>
      </c>
      <c r="BU264" s="253" t="n">
        <v>0</v>
      </c>
      <c r="BV264" s="253" t="n">
        <v>0</v>
      </c>
      <c r="BW264" s="253" t="n">
        <v>0</v>
      </c>
      <c r="BX264" s="253" t="n">
        <v>-686</v>
      </c>
      <c r="BY264" s="35" t="n"/>
      <c r="BZ264" s="35" t="n"/>
      <c r="CA264" s="254">
        <f>SUM(BW264:BX264)</f>
        <v>-686</v>
      </c>
      <c r="CB264" s="265" t="n">
        <v>0</v>
      </c>
      <c r="CC264" s="265" t="n">
        <v>0</v>
      </c>
      <c r="CD264" s="265" t="n">
        <v>0</v>
      </c>
      <c r="CE264" s="265" t="n">
        <v>0</v>
      </c>
      <c r="CF264" s="19" t="n"/>
    </row>
    <row r="265" ht="15" customHeight="1" s="251">
      <c r="B265" s="16" t="inlineStr">
        <is>
          <t>Net cash provided by (used in) financing activities</t>
        </is>
      </c>
      <c r="C265" s="278" t="n">
        <v>2966.398</v>
      </c>
      <c r="D265" s="278" t="n">
        <v>403.067</v>
      </c>
      <c r="E265" s="278" t="n">
        <v>87.56699999999999</v>
      </c>
      <c r="F265" s="278" t="n">
        <v>233.412</v>
      </c>
      <c r="G265" s="278" t="n">
        <v>3050</v>
      </c>
      <c r="H265" s="278" t="n">
        <v>807</v>
      </c>
      <c r="I265" s="278" t="n">
        <v>1229</v>
      </c>
      <c r="J265" s="278" t="n">
        <v>-517</v>
      </c>
      <c r="K265" s="278" t="n">
        <v>-105</v>
      </c>
      <c r="L265" s="278" t="n">
        <v>-267</v>
      </c>
      <c r="M265" s="278" t="n">
        <v>32</v>
      </c>
      <c r="N265" s="278" t="n">
        <v>-857</v>
      </c>
      <c r="O265" s="278" t="n">
        <v>822</v>
      </c>
      <c r="P265" s="278" t="n">
        <v>-1462</v>
      </c>
      <c r="Q265" s="278" t="n">
        <v>-455</v>
      </c>
      <c r="R265" s="278" t="n">
        <v>-344</v>
      </c>
      <c r="S265" s="278" t="n">
        <v>-1439</v>
      </c>
      <c r="T265" s="278" t="n">
        <v>-391</v>
      </c>
      <c r="U265" s="278" t="n">
        <v>-450</v>
      </c>
      <c r="V265" s="278" t="n">
        <v>-471</v>
      </c>
      <c r="W265" s="278" t="n">
        <v>-2365</v>
      </c>
      <c r="X265" s="278" t="n">
        <v>-3677</v>
      </c>
      <c r="Y265" s="278" t="n">
        <v>-2911</v>
      </c>
      <c r="Z265" s="278" t="n">
        <v>-3440</v>
      </c>
      <c r="AA265" s="278" t="n">
        <v>-1089</v>
      </c>
      <c r="AB265" s="278" t="n">
        <v>-892</v>
      </c>
      <c r="AC265" s="278" t="n">
        <v>-8332</v>
      </c>
      <c r="AD265" s="278" t="n">
        <v>-1674</v>
      </c>
      <c r="AE265" s="278" t="n">
        <v>-2740</v>
      </c>
      <c r="AF265" s="278" t="n">
        <v>-706</v>
      </c>
      <c r="AG265" s="278" t="n">
        <v>-3178</v>
      </c>
      <c r="AH265" s="278" t="n">
        <v>-8298</v>
      </c>
      <c r="AI265" s="278" t="n">
        <v>-2018</v>
      </c>
      <c r="AJ265" s="278" t="n">
        <v>-4937</v>
      </c>
      <c r="AK265" s="278" t="n">
        <v>-3478</v>
      </c>
      <c r="AL265" s="278" t="n">
        <v>-2746</v>
      </c>
      <c r="AM265" s="278" t="n">
        <v>-13179</v>
      </c>
      <c r="AN265" s="278" t="n">
        <v>-4183</v>
      </c>
      <c r="AO265" s="278" t="n">
        <v>-4746</v>
      </c>
      <c r="AP265" s="278" t="n">
        <v>-6954</v>
      </c>
      <c r="AQ265" s="278" t="n">
        <v>-7326</v>
      </c>
      <c r="AR265" s="278" t="n">
        <v>-23209</v>
      </c>
      <c r="AS265" s="278" t="n">
        <v>-8186</v>
      </c>
      <c r="AT265" s="278" t="n">
        <v>-7498</v>
      </c>
      <c r="AU265" s="278" t="n">
        <v>546</v>
      </c>
      <c r="AV265" s="278" t="n">
        <v>-9270</v>
      </c>
      <c r="AW265" s="278" t="n">
        <v>-24408</v>
      </c>
      <c r="AX265" s="278" t="n">
        <v>-13606</v>
      </c>
      <c r="AY265" s="278" t="n">
        <v>-15991</v>
      </c>
      <c r="AZ265" s="278" t="n">
        <v>-15254</v>
      </c>
      <c r="BA265" s="278" t="n">
        <v>-16511</v>
      </c>
      <c r="BB265" s="278" t="n">
        <v>-61362</v>
      </c>
      <c r="BC265" s="278" t="n">
        <v>-16214</v>
      </c>
      <c r="BD265" s="278" t="n">
        <v>-17817</v>
      </c>
      <c r="BE265" s="278" t="n">
        <v>-18097</v>
      </c>
      <c r="BF265" s="278" t="n">
        <v>-17629</v>
      </c>
      <c r="BG265" s="278" t="n">
        <v>-69757</v>
      </c>
      <c r="BH265" s="278" t="n">
        <v>-16568</v>
      </c>
      <c r="BI265" s="278" t="n">
        <v>-17835</v>
      </c>
      <c r="BJ265" s="278" t="n">
        <v>-18382</v>
      </c>
      <c r="BK265" s="278" t="n">
        <v>-19308</v>
      </c>
      <c r="BL265" s="278" t="n">
        <v>-72093</v>
      </c>
      <c r="BM265" s="278" t="n">
        <v>-19714</v>
      </c>
      <c r="BN265" s="278" t="n">
        <v>-20889</v>
      </c>
      <c r="BO265" s="278" t="n">
        <v>-20094</v>
      </c>
      <c r="BP265" s="278" t="n">
        <v>-19036</v>
      </c>
      <c r="BQ265" s="278" t="n">
        <v>-79733</v>
      </c>
      <c r="BR265" s="278" t="n">
        <v>-20201</v>
      </c>
      <c r="BS265" s="278" t="n">
        <v>-5832</v>
      </c>
      <c r="BT265" s="278" t="n">
        <v>-18383</v>
      </c>
      <c r="BU265" s="278" t="n">
        <v>7028</v>
      </c>
      <c r="BV265" s="278" t="n">
        <v>-37388</v>
      </c>
      <c r="BW265" s="278" t="n">
        <v>25077</v>
      </c>
      <c r="BX265" s="278" t="n">
        <v>61243</v>
      </c>
      <c r="BY265" s="32" t="n"/>
      <c r="BZ265" s="32" t="n"/>
      <c r="CA265" s="262">
        <f>SUM(CA259:CA264)</f>
        <v>68097.6763548723</v>
      </c>
      <c r="CB265" s="262">
        <f>SUM(CB259:CB264)</f>
        <v>-62784.9515630725</v>
      </c>
      <c r="CC265" s="262">
        <f>SUM(CC259:CC264)</f>
        <v>-39188.4553534242</v>
      </c>
      <c r="CD265" s="262">
        <f>SUM(CD259:CD264)</f>
        <v>-42702.0778806743</v>
      </c>
      <c r="CE265" s="262">
        <f>SUM(CE259:CE264)</f>
        <v>-46252.3142812824</v>
      </c>
      <c r="CF265" s="153" t="n"/>
    </row>
    <row r="266" ht="15" customHeight="1" s="251">
      <c r="B266" s="25" t="inlineStr">
        <is>
          <t>Effect of exchange-rate changes on cash</t>
        </is>
      </c>
      <c r="C266" s="253" t="n">
        <v>19.741</v>
      </c>
      <c r="D266" s="253" t="n">
        <v>40.034</v>
      </c>
      <c r="E266" s="253" t="n">
        <v>-45.923</v>
      </c>
      <c r="F266" s="253" t="n">
        <v>10.511</v>
      </c>
      <c r="G266" s="253" t="n">
        <v>-19</v>
      </c>
      <c r="H266" s="253" t="n">
        <v>22</v>
      </c>
      <c r="I266" s="253" t="n">
        <v>3</v>
      </c>
      <c r="J266" s="253" t="n">
        <v>-78</v>
      </c>
      <c r="K266" s="253" t="n">
        <v>-8</v>
      </c>
      <c r="L266" s="253" t="n">
        <v>80</v>
      </c>
      <c r="M266" s="253" t="n">
        <v>3</v>
      </c>
      <c r="N266" s="253" t="n">
        <v>-3</v>
      </c>
      <c r="O266" s="253" t="n">
        <v>-5</v>
      </c>
      <c r="P266" s="253" t="n">
        <v>-4</v>
      </c>
      <c r="Q266" s="253" t="n">
        <v>-227</v>
      </c>
      <c r="R266" s="253" t="n">
        <v>-197</v>
      </c>
      <c r="S266" s="253" t="n">
        <v>-433</v>
      </c>
      <c r="T266" s="253" t="n">
        <v>-293</v>
      </c>
      <c r="U266" s="253" t="n">
        <v>45</v>
      </c>
      <c r="V266" s="253" t="n">
        <v>-104</v>
      </c>
      <c r="W266" s="253" t="n">
        <v>-82</v>
      </c>
      <c r="X266" s="253" t="n">
        <v>-434</v>
      </c>
      <c r="Y266" s="253" t="n">
        <v>60</v>
      </c>
      <c r="Z266" s="253" t="n">
        <v>9</v>
      </c>
      <c r="AA266" s="253" t="n">
        <v>68</v>
      </c>
      <c r="AB266" s="253" t="n">
        <v>-307</v>
      </c>
      <c r="AC266" s="253" t="n">
        <v>-170</v>
      </c>
      <c r="AD266" s="253" t="n">
        <v>191</v>
      </c>
      <c r="AE266" s="253" t="n">
        <v>88</v>
      </c>
      <c r="AF266" s="253" t="n">
        <v>108</v>
      </c>
      <c r="AG266" s="253" t="n">
        <v>18</v>
      </c>
      <c r="AH266" s="253" t="n">
        <v>405</v>
      </c>
      <c r="AI266" s="253" t="n">
        <v>165</v>
      </c>
      <c r="AJ266" s="253" t="n">
        <v>-331</v>
      </c>
      <c r="AK266" s="253" t="n">
        <v>-29</v>
      </c>
      <c r="AL266" s="253" t="n">
        <v>-107</v>
      </c>
      <c r="AM266" s="253" t="n">
        <v>-302</v>
      </c>
      <c r="AN266" s="253" t="n">
        <v>18</v>
      </c>
      <c r="AO266" s="253" t="n">
        <v>13</v>
      </c>
      <c r="AP266" s="253" t="n">
        <v>-122</v>
      </c>
      <c r="AQ266" s="253" t="n">
        <v>68</v>
      </c>
      <c r="AR266" s="253" t="n">
        <v>-23</v>
      </c>
      <c r="AS266" s="253" t="n">
        <v>-272</v>
      </c>
      <c r="AT266" s="253" t="n">
        <v>51</v>
      </c>
      <c r="AU266" s="253" t="n">
        <v>35</v>
      </c>
      <c r="AV266" s="253" t="n">
        <v>210</v>
      </c>
      <c r="AW266" s="253" t="n">
        <v>24</v>
      </c>
      <c r="AX266" s="253" t="n">
        <v>-143</v>
      </c>
      <c r="AY266" s="253" t="n">
        <v>183</v>
      </c>
      <c r="AZ266" s="253" t="n">
        <v>-146</v>
      </c>
      <c r="BA266" s="253" t="n">
        <v>-181</v>
      </c>
      <c r="BB266" s="253" t="n">
        <v>-287</v>
      </c>
      <c r="BC266" s="253" t="n">
        <v>100</v>
      </c>
      <c r="BD266" s="253" t="n">
        <v>-368</v>
      </c>
      <c r="BE266" s="253" t="n">
        <v>-375</v>
      </c>
      <c r="BF266" s="253" t="n">
        <v>137</v>
      </c>
      <c r="BG266" s="253" t="n">
        <v>-506</v>
      </c>
      <c r="BH266" s="253" t="n">
        <v>50</v>
      </c>
      <c r="BI266" s="253" t="n">
        <v>-26</v>
      </c>
      <c r="BJ266" s="253" t="n">
        <v>-351</v>
      </c>
      <c r="BK266" s="253" t="n">
        <v>-94</v>
      </c>
      <c r="BL266" s="253" t="n">
        <v>-421</v>
      </c>
      <c r="BM266" s="253" t="n">
        <v>-125</v>
      </c>
      <c r="BN266" s="253" t="n">
        <v>-238</v>
      </c>
      <c r="BO266" s="253" t="n">
        <v>141</v>
      </c>
      <c r="BP266" s="253" t="n">
        <v>-390</v>
      </c>
      <c r="BQ266" s="253" t="n">
        <v>-612</v>
      </c>
      <c r="BR266" s="253" t="n">
        <v>43</v>
      </c>
      <c r="BS266" s="253" t="n">
        <v>401</v>
      </c>
      <c r="BT266" s="253" t="n">
        <v>-200</v>
      </c>
      <c r="BU266" s="253" t="n">
        <v>-36</v>
      </c>
      <c r="BV266" s="253" t="n">
        <v>208</v>
      </c>
      <c r="BW266" s="253" t="n">
        <v>-123</v>
      </c>
      <c r="BX266" s="253" t="n">
        <v>-31</v>
      </c>
      <c r="BY266" s="35" t="n"/>
      <c r="BZ266" s="35" t="n"/>
      <c r="CA266" s="254">
        <f>SUM(BW266:BX266)</f>
        <v>-154</v>
      </c>
      <c r="CB266" s="265" t="n">
        <v>0</v>
      </c>
      <c r="CC266" s="265" t="n">
        <v>0</v>
      </c>
      <c r="CD266" s="265" t="n">
        <v>0</v>
      </c>
      <c r="CE266" s="265" t="n">
        <v>0</v>
      </c>
      <c r="CF266" s="19" t="n"/>
    </row>
    <row r="267" ht="15" customHeight="1" s="251">
      <c r="B267" s="25" t="inlineStr">
        <is>
          <t>Net increase (decrease) in cash (incl. restricted cash from 2018)</t>
        </is>
      </c>
      <c r="C267" s="253" t="n">
        <v>-332.503</v>
      </c>
      <c r="D267" s="253" t="n">
        <v>2536.922</v>
      </c>
      <c r="E267" s="253" t="n">
        <v>2575.079</v>
      </c>
      <c r="F267" s="253" t="n">
        <v>1540.916</v>
      </c>
      <c r="G267" s="253" t="n">
        <v>3432</v>
      </c>
      <c r="H267" s="253" t="n">
        <v>-3647</v>
      </c>
      <c r="I267" s="253" t="n">
        <v>4795</v>
      </c>
      <c r="J267" s="253" t="n">
        <v>597</v>
      </c>
      <c r="K267" s="253" t="n">
        <v>789</v>
      </c>
      <c r="L267" s="253" t="n">
        <v>-922</v>
      </c>
      <c r="M267" s="253" t="n">
        <v>3656</v>
      </c>
      <c r="N267" s="253" t="n">
        <v>4120</v>
      </c>
      <c r="O267" s="253" t="n">
        <v>-2099</v>
      </c>
      <c r="P267" s="253" t="n">
        <v>2981</v>
      </c>
      <c r="Q267" s="253" t="n">
        <v>-4015</v>
      </c>
      <c r="R267" s="253" t="n">
        <v>2582</v>
      </c>
      <c r="S267" s="253" t="n">
        <v>-551</v>
      </c>
      <c r="T267" s="253" t="n">
        <v>-1371</v>
      </c>
      <c r="U267" s="253" t="n">
        <v>1477</v>
      </c>
      <c r="V267" s="253" t="n">
        <v>-385</v>
      </c>
      <c r="W267" s="253" t="n">
        <v>-1519</v>
      </c>
      <c r="X267" s="253" t="n">
        <v>-1798</v>
      </c>
      <c r="Y267" s="253" t="n">
        <v>-1438</v>
      </c>
      <c r="Z267" s="253" t="n">
        <v>-1484</v>
      </c>
      <c r="AA267" s="253" t="n">
        <v>-4221</v>
      </c>
      <c r="AB267" s="253" t="n">
        <v>3512</v>
      </c>
      <c r="AC267" s="253" t="n">
        <v>-3631</v>
      </c>
      <c r="AD267" s="253" t="n">
        <v>5214</v>
      </c>
      <c r="AE267" s="253" t="n">
        <v>-2421</v>
      </c>
      <c r="AF267" s="253" t="n">
        <v>-5130</v>
      </c>
      <c r="AG267" s="253" t="n">
        <v>134</v>
      </c>
      <c r="AH267" s="253" t="n">
        <v>-2203</v>
      </c>
      <c r="AI267" s="253" t="n">
        <v>1943</v>
      </c>
      <c r="AJ267" s="253" t="n">
        <v>1490</v>
      </c>
      <c r="AK267" s="253" t="n">
        <v>-705</v>
      </c>
      <c r="AL267" s="253" t="n">
        <v>3258</v>
      </c>
      <c r="AM267" s="253" t="n">
        <v>5986</v>
      </c>
      <c r="AN267" s="253" t="n">
        <v>2447</v>
      </c>
      <c r="AO267" s="253" t="n">
        <v>-2561</v>
      </c>
      <c r="AP267" s="253" t="n">
        <v>-555</v>
      </c>
      <c r="AQ267" s="253" t="n">
        <v>2466</v>
      </c>
      <c r="AR267" s="253" t="n">
        <v>1797</v>
      </c>
      <c r="AS267" s="253" t="n">
        <v>1146</v>
      </c>
      <c r="AT267" s="253" t="n">
        <v>-1902</v>
      </c>
      <c r="AU267" s="253" t="n">
        <v>2387</v>
      </c>
      <c r="AV267" s="253" t="n">
        <v>6336</v>
      </c>
      <c r="AW267" s="253" t="n">
        <v>7967</v>
      </c>
      <c r="AX267" s="253" t="n">
        <v>157</v>
      </c>
      <c r="AY267" s="253" t="n">
        <v>-2992</v>
      </c>
      <c r="AZ267" s="253" t="n">
        <v>89</v>
      </c>
      <c r="BA267" s="253" t="n">
        <v>-2774</v>
      </c>
      <c r="BB267" s="253" t="n">
        <v>-5520</v>
      </c>
      <c r="BC267" s="253" t="n">
        <v>-59</v>
      </c>
      <c r="BD267" s="253" t="n">
        <v>-2950</v>
      </c>
      <c r="BE267" s="253" t="n">
        <v>4048</v>
      </c>
      <c r="BF267" s="253" t="n">
        <v>-105</v>
      </c>
      <c r="BG267" s="253" t="n">
        <v>934</v>
      </c>
      <c r="BH267" s="253" t="n">
        <v>4045</v>
      </c>
      <c r="BI267" s="253" t="n">
        <v>5</v>
      </c>
      <c r="BJ267" s="253" t="n">
        <v>4773</v>
      </c>
      <c r="BK267" s="253" t="n">
        <v>-6654</v>
      </c>
      <c r="BL267" s="253" t="n">
        <v>2169</v>
      </c>
      <c r="BM267" s="253" t="n">
        <v>445</v>
      </c>
      <c r="BN267" s="253" t="n">
        <v>2732</v>
      </c>
      <c r="BO267" s="253" t="n">
        <v>-7266</v>
      </c>
      <c r="BP267" s="253" t="n">
        <v>3507</v>
      </c>
      <c r="BQ267" s="253" t="n">
        <v>-582</v>
      </c>
      <c r="BR267" s="253" t="n">
        <v>-202</v>
      </c>
      <c r="BS267" s="253" t="n">
        <v>-2228</v>
      </c>
      <c r="BT267" s="253" t="n">
        <v>2054</v>
      </c>
      <c r="BU267" s="253" t="n">
        <v>7618</v>
      </c>
      <c r="BV267" s="253" t="n">
        <v>7242</v>
      </c>
      <c r="BW267" s="253" t="n">
        <v>7355</v>
      </c>
      <c r="BX267" s="253" t="n">
        <v>17848</v>
      </c>
      <c r="BY267" s="35" t="n"/>
      <c r="BZ267" s="35" t="n"/>
      <c r="CA267" s="254">
        <f>CA253+CA258+CA265+CA266</f>
        <v>-5708.00000000003</v>
      </c>
      <c r="CB267" s="254">
        <f>CB253+CB258+CB265+CB266</f>
        <v>0</v>
      </c>
      <c r="CC267" s="254">
        <f>CC253+CC258+CC265+CC266</f>
        <v>0</v>
      </c>
      <c r="CD267" s="254">
        <f>CD253+CD258+CD265+CD266</f>
        <v>0</v>
      </c>
      <c r="CE267" s="254">
        <f>CE253+CE258+CE265+CE266</f>
        <v>0</v>
      </c>
      <c r="CF267" s="19" t="n"/>
    </row>
    <row r="268" ht="15" customHeight="1" s="251">
      <c r="B268" s="25" t="inlineStr">
        <is>
          <t>Cash — beginning of period</t>
        </is>
      </c>
      <c r="C268" s="253" t="n">
        <v>3877.174</v>
      </c>
      <c r="D268" s="253" t="n">
        <v>3544.671</v>
      </c>
      <c r="E268" s="253" t="n">
        <v>6081.593</v>
      </c>
      <c r="F268" s="253" t="n">
        <v>8656.672</v>
      </c>
      <c r="G268" s="253" t="n">
        <v>10198</v>
      </c>
      <c r="H268" s="253" t="n">
        <v>13630</v>
      </c>
      <c r="I268" s="253" t="n">
        <v>9983</v>
      </c>
      <c r="J268" s="253" t="n">
        <v>14778</v>
      </c>
      <c r="K268" s="253" t="n">
        <v>15375</v>
      </c>
      <c r="L268" s="253" t="n">
        <v>16164</v>
      </c>
      <c r="M268" s="253" t="n">
        <v>15242</v>
      </c>
      <c r="N268" s="253" t="n">
        <v>14778</v>
      </c>
      <c r="O268" s="253" t="n">
        <v>18898</v>
      </c>
      <c r="P268" s="253" t="n">
        <v>16799</v>
      </c>
      <c r="Q268" s="253" t="n">
        <v>19780</v>
      </c>
      <c r="R268" s="253" t="n">
        <v>15765</v>
      </c>
      <c r="S268" s="253" t="n">
        <v>18898</v>
      </c>
      <c r="T268" s="253" t="n">
        <v>18347</v>
      </c>
      <c r="U268" s="253" t="n">
        <v>16976</v>
      </c>
      <c r="V268" s="253" t="n">
        <v>18453</v>
      </c>
      <c r="W268" s="253" t="n">
        <v>18068</v>
      </c>
      <c r="X268" s="253" t="n">
        <v>18347</v>
      </c>
      <c r="Y268" s="253" t="n">
        <v>16549</v>
      </c>
      <c r="Z268" s="253" t="n">
        <v>15111</v>
      </c>
      <c r="AA268" s="253" t="n">
        <v>13627</v>
      </c>
      <c r="AB268" s="253" t="n">
        <v>9406</v>
      </c>
      <c r="AC268" s="253" t="n">
        <v>16549</v>
      </c>
      <c r="AD268" s="253" t="n">
        <v>12918</v>
      </c>
      <c r="AE268" s="253" t="n">
        <v>18132</v>
      </c>
      <c r="AF268" s="253" t="n">
        <v>15711</v>
      </c>
      <c r="AG268" s="253" t="n">
        <v>10581</v>
      </c>
      <c r="AH268" s="253" t="n">
        <v>12918</v>
      </c>
      <c r="AI268" s="253" t="n">
        <v>10715</v>
      </c>
      <c r="AJ268" s="253" t="n">
        <v>12658</v>
      </c>
      <c r="AK268" s="253" t="n">
        <v>14148</v>
      </c>
      <c r="AL268" s="253" t="n">
        <v>13443</v>
      </c>
      <c r="AM268" s="253" t="n">
        <v>10715</v>
      </c>
      <c r="AN268" s="253" t="n">
        <v>16701</v>
      </c>
      <c r="AO268" s="253" t="n">
        <v>19148</v>
      </c>
      <c r="AP268" s="253" t="n">
        <v>16587</v>
      </c>
      <c r="AQ268" s="253" t="n">
        <v>16032</v>
      </c>
      <c r="AR268" s="253" t="n">
        <v>16701</v>
      </c>
      <c r="AS268" s="253" t="n">
        <v>18498</v>
      </c>
      <c r="AT268" s="253" t="n">
        <v>19644</v>
      </c>
      <c r="AU268" s="253" t="n">
        <v>17742</v>
      </c>
      <c r="AV268" s="253" t="n">
        <v>20129</v>
      </c>
      <c r="AW268" s="253" t="n">
        <v>18498</v>
      </c>
      <c r="AX268" s="253" t="n">
        <v>26465</v>
      </c>
      <c r="AY268" s="253" t="n">
        <v>26622</v>
      </c>
      <c r="AZ268" s="253" t="n">
        <v>23630</v>
      </c>
      <c r="BA268" s="253" t="n">
        <v>23719</v>
      </c>
      <c r="BB268" s="253" t="n">
        <v>26465</v>
      </c>
      <c r="BC268" s="253" t="n">
        <v>20945</v>
      </c>
      <c r="BD268" s="253" t="n">
        <v>20886</v>
      </c>
      <c r="BE268" s="253" t="n">
        <v>17936</v>
      </c>
      <c r="BF268" s="253" t="n">
        <v>21984</v>
      </c>
      <c r="BG268" s="253" t="n">
        <v>20945</v>
      </c>
      <c r="BH268" s="253" t="n">
        <v>21879</v>
      </c>
      <c r="BI268" s="253" t="n">
        <v>25924</v>
      </c>
      <c r="BJ268" s="253" t="n">
        <v>25929</v>
      </c>
      <c r="BK268" s="253" t="n">
        <v>30702</v>
      </c>
      <c r="BL268" s="253" t="n">
        <v>21879</v>
      </c>
      <c r="BM268" s="253" t="n">
        <v>24048</v>
      </c>
      <c r="BN268" s="253" t="n">
        <v>24493</v>
      </c>
      <c r="BO268" s="253" t="n">
        <v>27225</v>
      </c>
      <c r="BP268" s="253" t="n">
        <v>19959</v>
      </c>
      <c r="BQ268" s="253" t="n">
        <v>24048</v>
      </c>
      <c r="BR268" s="253" t="n">
        <v>23466</v>
      </c>
      <c r="BS268" s="253" t="n">
        <v>23264</v>
      </c>
      <c r="BT268" s="253" t="n">
        <v>21036</v>
      </c>
      <c r="BU268" s="253" t="n">
        <v>23090</v>
      </c>
      <c r="BV268" s="253" t="n">
        <v>23466</v>
      </c>
      <c r="BW268" s="253" t="n">
        <v>30708</v>
      </c>
      <c r="BX268" s="253" t="n">
        <v>38063</v>
      </c>
      <c r="BY268" s="35" t="n"/>
      <c r="BZ268" s="35" t="n"/>
      <c r="CA268" s="254">
        <f>BV269</f>
        <v>30708</v>
      </c>
      <c r="CB268" s="254">
        <f>CA269</f>
        <v>25000</v>
      </c>
      <c r="CC268" s="254">
        <f>CB269</f>
        <v>25000</v>
      </c>
      <c r="CD268" s="254">
        <f>CC269</f>
        <v>25000</v>
      </c>
      <c r="CE268" s="254">
        <f>CD269</f>
        <v>25000</v>
      </c>
      <c r="CF268" s="19" t="n"/>
    </row>
    <row r="269" ht="15" customHeight="1" s="251">
      <c r="B269" s="16" t="inlineStr">
        <is>
          <t>Cash — end of period</t>
        </is>
      </c>
      <c r="C269" s="278" t="n">
        <v>3544.671</v>
      </c>
      <c r="D269" s="278" t="n">
        <v>6081.593</v>
      </c>
      <c r="E269" s="278" t="n">
        <v>8656.672</v>
      </c>
      <c r="F269" s="278" t="n">
        <v>10197.588</v>
      </c>
      <c r="G269" s="278" t="n">
        <v>13630</v>
      </c>
      <c r="H269" s="278" t="n">
        <v>9983</v>
      </c>
      <c r="I269" s="278" t="n">
        <v>14778</v>
      </c>
      <c r="J269" s="278" t="n">
        <v>15375</v>
      </c>
      <c r="K269" s="278" t="n">
        <v>16164</v>
      </c>
      <c r="L269" s="278" t="n">
        <v>15242</v>
      </c>
      <c r="M269" s="278" t="n">
        <v>18898</v>
      </c>
      <c r="N269" s="278" t="n">
        <v>18898</v>
      </c>
      <c r="O269" s="278" t="n">
        <v>16799</v>
      </c>
      <c r="P269" s="278" t="n">
        <v>19780</v>
      </c>
      <c r="Q269" s="278" t="n">
        <v>15765</v>
      </c>
      <c r="R269" s="278" t="n">
        <v>18347</v>
      </c>
      <c r="S269" s="278" t="n">
        <v>18347</v>
      </c>
      <c r="T269" s="278" t="n">
        <v>16976</v>
      </c>
      <c r="U269" s="278" t="n">
        <v>18453</v>
      </c>
      <c r="V269" s="278" t="n">
        <v>18068</v>
      </c>
      <c r="W269" s="278" t="n">
        <v>16549</v>
      </c>
      <c r="X269" s="278" t="n">
        <v>16549</v>
      </c>
      <c r="Y269" s="278" t="n">
        <v>15111</v>
      </c>
      <c r="Z269" s="278" t="n">
        <v>13627</v>
      </c>
      <c r="AA269" s="278" t="n">
        <v>9406</v>
      </c>
      <c r="AB269" s="278" t="n">
        <v>12918</v>
      </c>
      <c r="AC269" s="278" t="n">
        <v>12918</v>
      </c>
      <c r="AD269" s="278" t="n">
        <v>18132</v>
      </c>
      <c r="AE269" s="278" t="n">
        <v>15711</v>
      </c>
      <c r="AF269" s="278" t="n">
        <v>10581</v>
      </c>
      <c r="AG269" s="278" t="n">
        <v>10715</v>
      </c>
      <c r="AH269" s="278" t="n">
        <v>10715</v>
      </c>
      <c r="AI269" s="278" t="n">
        <v>12658</v>
      </c>
      <c r="AJ269" s="278" t="n">
        <v>14148</v>
      </c>
      <c r="AK269" s="278" t="n">
        <v>13443</v>
      </c>
      <c r="AL269" s="278" t="n">
        <v>16701</v>
      </c>
      <c r="AM269" s="278" t="n">
        <v>16701</v>
      </c>
      <c r="AN269" s="278" t="n">
        <v>19148</v>
      </c>
      <c r="AO269" s="278" t="n">
        <v>16587</v>
      </c>
      <c r="AP269" s="278" t="n">
        <v>16032</v>
      </c>
      <c r="AQ269" s="278" t="n">
        <v>18498</v>
      </c>
      <c r="AR269" s="278" t="n">
        <v>18498</v>
      </c>
      <c r="AS269" s="278" t="n">
        <v>19644</v>
      </c>
      <c r="AT269" s="278" t="n">
        <v>17742</v>
      </c>
      <c r="AU269" s="278" t="n">
        <v>20129</v>
      </c>
      <c r="AV269" s="278" t="n">
        <v>26465</v>
      </c>
      <c r="AW269" s="278" t="n">
        <v>26465</v>
      </c>
      <c r="AX269" s="278" t="n">
        <v>26622</v>
      </c>
      <c r="AY269" s="278" t="n">
        <v>23630</v>
      </c>
      <c r="AZ269" s="278" t="n">
        <v>23719</v>
      </c>
      <c r="BA269" s="278" t="n">
        <v>20945</v>
      </c>
      <c r="BB269" s="278" t="n">
        <v>20945</v>
      </c>
      <c r="BC269" s="278" t="n">
        <v>20886</v>
      </c>
      <c r="BD269" s="278" t="n">
        <v>17936</v>
      </c>
      <c r="BE269" s="278" t="n">
        <v>21984</v>
      </c>
      <c r="BF269" s="278" t="n">
        <v>21879</v>
      </c>
      <c r="BG269" s="278" t="n">
        <v>21879</v>
      </c>
      <c r="BH269" s="278" t="n">
        <v>25924</v>
      </c>
      <c r="BI269" s="278" t="n">
        <v>25929</v>
      </c>
      <c r="BJ269" s="278" t="n">
        <v>30702</v>
      </c>
      <c r="BK269" s="278" t="n">
        <v>24048</v>
      </c>
      <c r="BL269" s="278" t="n">
        <v>24048</v>
      </c>
      <c r="BM269" s="278" t="n">
        <v>24493</v>
      </c>
      <c r="BN269" s="278" t="n">
        <v>27225</v>
      </c>
      <c r="BO269" s="278" t="n">
        <v>19959</v>
      </c>
      <c r="BP269" s="278" t="n">
        <v>23466</v>
      </c>
      <c r="BQ269" s="278" t="n">
        <v>23466</v>
      </c>
      <c r="BR269" s="278" t="n">
        <v>23264</v>
      </c>
      <c r="BS269" s="278" t="n">
        <v>21036</v>
      </c>
      <c r="BT269" s="278" t="n">
        <v>23090</v>
      </c>
      <c r="BU269" s="278" t="n">
        <v>30708</v>
      </c>
      <c r="BV269" s="278" t="n">
        <v>30708</v>
      </c>
      <c r="BW269" s="278" t="n">
        <v>38063</v>
      </c>
      <c r="BX269" s="278" t="n">
        <v>55911</v>
      </c>
      <c r="BY269" s="32" t="n"/>
      <c r="BZ269" s="32" t="n"/>
      <c r="CA269" s="262">
        <f>CA268+CA267</f>
        <v>25000</v>
      </c>
      <c r="CB269" s="262">
        <f>CB268+CB267</f>
        <v>25000</v>
      </c>
      <c r="CC269" s="262">
        <f>CC268+CC267</f>
        <v>25000</v>
      </c>
      <c r="CD269" s="262">
        <f>CD268+CD267</f>
        <v>25000</v>
      </c>
      <c r="CE269" s="262">
        <f>CE268+CE267</f>
        <v>25000</v>
      </c>
      <c r="CF269" s="153" t="n"/>
    </row>
    <row r="270" ht="15" customHeight="1" s="251">
      <c r="B270" s="57" t="inlineStr">
        <is>
          <t xml:space="preserve">  Check: beginning cash + CFO + CFI + CFF + FX = ending cash (should be 0)</t>
        </is>
      </c>
      <c r="C270" s="211">
        <f>IF(AND(ISNUMBER(C268),ISNUMBER(C253)),IF(ABS(C268+C267-C269)&lt;=1,0,ROUND(C268+C267-C269,0)),"")</f>
        <v>0</v>
      </c>
      <c r="D270" s="211">
        <f>IF(AND(ISNUMBER(D268),ISNUMBER(D253)),IF(ABS(D268+D267-D269)&lt;=1,0,ROUND(D268+D267-D269,0)),"")</f>
        <v>0</v>
      </c>
      <c r="E270" s="211">
        <f>IF(AND(ISNUMBER(E268),ISNUMBER(E253)),IF(ABS(E268+E267-E269)&lt;=1,0,ROUND(E268+E267-E269,0)),"")</f>
        <v>0</v>
      </c>
      <c r="F270" s="211">
        <f>IF(AND(ISNUMBER(F268),ISNUMBER(F253)),IF(ABS(F268+F267-F269)&lt;=1,0,ROUND(F268+F267-F269,0)),"")</f>
        <v>0</v>
      </c>
      <c r="G270" s="211">
        <f>IF(AND(ISNUMBER(G268),ISNUMBER(G253)),IF(ABS(G268+G267-G269)&lt;=1,0,ROUND(G268+G267-G269,0)),"")</f>
        <v>0</v>
      </c>
      <c r="H270" s="211">
        <f>IF(AND(ISNUMBER(H268),ISNUMBER(H253)),IF(ABS(H268+H267-H269)&lt;=1,0,ROUND(H268+H267-H269,0)),"")</f>
        <v>0</v>
      </c>
      <c r="I270" s="211">
        <f>IF(AND(ISNUMBER(I268),ISNUMBER(I253)),IF(ABS(I268+I267-I269)&lt;=1,0,ROUND(I268+I267-I269,0)),"")</f>
        <v>0</v>
      </c>
      <c r="J270" s="211">
        <f>IF(AND(ISNUMBER(J268),ISNUMBER(J253)),IF(ABS(J268+J267-J269)&lt;=1,0,ROUND(J268+J267-J269,0)),"")</f>
        <v>0</v>
      </c>
      <c r="K270" s="211">
        <f>IF(AND(ISNUMBER(K268),ISNUMBER(K253)),IF(ABS(K268+K267-K269)&lt;=1,0,ROUND(K268+K267-K269,0)),"")</f>
        <v>0</v>
      </c>
      <c r="L270" s="211">
        <f>IF(AND(ISNUMBER(L268),ISNUMBER(L253)),IF(ABS(L268+L267-L269)&lt;=1,0,ROUND(L268+L267-L269,0)),"")</f>
        <v>0</v>
      </c>
      <c r="M270" s="211">
        <f>IF(AND(ISNUMBER(M268),ISNUMBER(M253)),IF(ABS(M268+M267-M269)&lt;=1,0,ROUND(M268+M267-M269,0)),"")</f>
        <v>0</v>
      </c>
      <c r="N270" s="211">
        <f>IF(AND(ISNUMBER(N268),ISNUMBER(N253)),IF(ABS(N268+N267-N269)&lt;=1,0,ROUND(N268+N267-N269,0)),"")</f>
        <v>0</v>
      </c>
      <c r="O270" s="211">
        <f>IF(AND(ISNUMBER(O268),ISNUMBER(O253)),IF(ABS(O268+O267-O269)&lt;=1,0,ROUND(O268+O267-O269,0)),"")</f>
        <v>0</v>
      </c>
      <c r="P270" s="211">
        <f>IF(AND(ISNUMBER(P268),ISNUMBER(P253)),IF(ABS(P268+P267-P269)&lt;=1,0,ROUND(P268+P267-P269,0)),"")</f>
        <v>0</v>
      </c>
      <c r="Q270" s="211">
        <f>IF(AND(ISNUMBER(Q268),ISNUMBER(Q253)),IF(ABS(Q268+Q267-Q269)&lt;=1,0,ROUND(Q268+Q267-Q269,0)),"")</f>
        <v>0</v>
      </c>
      <c r="R270" s="211">
        <f>IF(AND(ISNUMBER(R268),ISNUMBER(R253)),IF(ABS(R268+R267-R269)&lt;=1,0,ROUND(R268+R267-R269,0)),"")</f>
        <v>0</v>
      </c>
      <c r="S270" s="211">
        <f>IF(AND(ISNUMBER(S268),ISNUMBER(S253)),IF(ABS(S268+S267-S269)&lt;=1,0,ROUND(S268+S267-S269,0)),"")</f>
        <v>0</v>
      </c>
      <c r="T270" s="211">
        <f>IF(AND(ISNUMBER(T268),ISNUMBER(T253)),IF(ABS(T268+T267-T269)&lt;=1,0,ROUND(T268+T267-T269,0)),"")</f>
        <v>0</v>
      </c>
      <c r="U270" s="211">
        <f>IF(AND(ISNUMBER(U268),ISNUMBER(U253)),IF(ABS(U268+U267-U269)&lt;=1,0,ROUND(U268+U267-U269,0)),"")</f>
        <v>0</v>
      </c>
      <c r="V270" s="211">
        <f>IF(AND(ISNUMBER(V268),ISNUMBER(V253)),IF(ABS(V268+V267-V269)&lt;=1,0,ROUND(V268+V267-V269,0)),"")</f>
        <v>0</v>
      </c>
      <c r="W270" s="211">
        <f>IF(AND(ISNUMBER(W268),ISNUMBER(W253)),IF(ABS(W268+W267-W269)&lt;=1,0,ROUND(W268+W267-W269,0)),"")</f>
        <v>0</v>
      </c>
      <c r="X270" s="211">
        <f>IF(AND(ISNUMBER(X268),ISNUMBER(X253)),IF(ABS(X268+X267-X269)&lt;=1,0,ROUND(X268+X267-X269,0)),"")</f>
        <v>0</v>
      </c>
      <c r="Y270" s="211">
        <f>IF(AND(ISNUMBER(Y268),ISNUMBER(Y253)),IF(ABS(Y268+Y267-Y269)&lt;=1,0,ROUND(Y268+Y267-Y269,0)),"")</f>
        <v>0</v>
      </c>
      <c r="Z270" s="211">
        <f>IF(AND(ISNUMBER(Z268),ISNUMBER(Z253)),IF(ABS(Z268+Z267-Z269)&lt;=1,0,ROUND(Z268+Z267-Z269,0)),"")</f>
        <v>0</v>
      </c>
      <c r="AA270" s="211">
        <f>IF(AND(ISNUMBER(AA268),ISNUMBER(AA253)),IF(ABS(AA268+AA267-AA269)&lt;=1,0,ROUND(AA268+AA267-AA269,0)),"")</f>
        <v>0</v>
      </c>
      <c r="AB270" s="211">
        <f>IF(AND(ISNUMBER(AB268),ISNUMBER(AB253)),IF(ABS(AB268+AB267-AB269)&lt;=1,0,ROUND(AB268+AB267-AB269,0)),"")</f>
        <v>0</v>
      </c>
      <c r="AC270" s="211">
        <f>IF(AND(ISNUMBER(AC268),ISNUMBER(AC253)),IF(ABS(AC268+AC267-AC269)&lt;=1,0,ROUND(AC268+AC267-AC269,0)),"")</f>
        <v>0</v>
      </c>
      <c r="AD270" s="211">
        <f>IF(AND(ISNUMBER(AD268),ISNUMBER(AD253)),IF(ABS(AD268+AD267-AD269)&lt;=1,0,ROUND(AD268+AD267-AD269,0)),"")</f>
        <v>0</v>
      </c>
      <c r="AE270" s="211">
        <f>IF(AND(ISNUMBER(AE268),ISNUMBER(AE253)),IF(ABS(AE268+AE267-AE269)&lt;=1,0,ROUND(AE268+AE267-AE269,0)),"")</f>
        <v>0</v>
      </c>
      <c r="AF270" s="211">
        <f>IF(AND(ISNUMBER(AF268),ISNUMBER(AF253)),IF(ABS(AF268+AF267-AF269)&lt;=1,0,ROUND(AF268+AF267-AF269,0)),"")</f>
        <v>0</v>
      </c>
      <c r="AG270" s="211">
        <f>IF(AND(ISNUMBER(AG268),ISNUMBER(AG253)),IF(ABS(AG268+AG267-AG269)&lt;=1,0,ROUND(AG268+AG267-AG269,0)),"")</f>
        <v>0</v>
      </c>
      <c r="AH270" s="211">
        <f>IF(AND(ISNUMBER(AH268),ISNUMBER(AH253)),IF(ABS(AH268+AH267-AH269)&lt;=1,0,ROUND(AH268+AH267-AH269,0)),"")</f>
        <v>0</v>
      </c>
      <c r="AI270" s="211">
        <f>IF(AND(ISNUMBER(AI268),ISNUMBER(AI253)),IF(ABS(AI268+AI267-AI269)&lt;=1,0,ROUND(AI268+AI267-AI269,0)),"")</f>
        <v>0</v>
      </c>
      <c r="AJ270" s="211">
        <f>IF(AND(ISNUMBER(AJ268),ISNUMBER(AJ253)),IF(ABS(AJ268+AJ267-AJ269)&lt;=1,0,ROUND(AJ268+AJ267-AJ269,0)),"")</f>
        <v>0</v>
      </c>
      <c r="AK270" s="211">
        <f>IF(AND(ISNUMBER(AK268),ISNUMBER(AK253)),IF(ABS(AK268+AK267-AK269)&lt;=1,0,ROUND(AK268+AK267-AK269,0)),"")</f>
        <v>0</v>
      </c>
      <c r="AL270" s="211">
        <f>IF(AND(ISNUMBER(AL268),ISNUMBER(AL253)),IF(ABS(AL268+AL267-AL269)&lt;=1,0,ROUND(AL268+AL267-AL269,0)),"")</f>
        <v>0</v>
      </c>
      <c r="AM270" s="211">
        <f>IF(AND(ISNUMBER(AM268),ISNUMBER(AM253)),IF(ABS(AM268+AM267-AM269)&lt;=1,0,ROUND(AM268+AM267-AM269,0)),"")</f>
        <v>0</v>
      </c>
      <c r="AN270" s="211">
        <f>IF(AND(ISNUMBER(AN268),ISNUMBER(AN253)),IF(ABS(AN268+AN267-AN269)&lt;=1,0,ROUND(AN268+AN267-AN269,0)),"")</f>
        <v>0</v>
      </c>
      <c r="AO270" s="211">
        <f>IF(AND(ISNUMBER(AO268),ISNUMBER(AO253)),IF(ABS(AO268+AO267-AO269)&lt;=1,0,ROUND(AO268+AO267-AO269,0)),"")</f>
        <v>0</v>
      </c>
      <c r="AP270" s="211">
        <f>IF(AND(ISNUMBER(AP268),ISNUMBER(AP253)),IF(ABS(AP268+AP267-AP269)&lt;=1,0,ROUND(AP268+AP267-AP269,0)),"")</f>
        <v>0</v>
      </c>
      <c r="AQ270" s="211">
        <f>IF(AND(ISNUMBER(AQ268),ISNUMBER(AQ253)),IF(ABS(AQ268+AQ267-AQ269)&lt;=1,0,ROUND(AQ268+AQ267-AQ269,0)),"")</f>
        <v>0</v>
      </c>
      <c r="AR270" s="211">
        <f>IF(AND(ISNUMBER(AR268),ISNUMBER(AR253)),IF(ABS(AR268+AR267-AR269)&lt;=1,0,ROUND(AR268+AR267-AR269,0)),"")</f>
        <v>0</v>
      </c>
      <c r="AS270" s="211">
        <f>IF(AND(ISNUMBER(AS268),ISNUMBER(AS253)),IF(ABS(AS268+AS267-AS269)&lt;=1,0,ROUND(AS268+AS267-AS269,0)),"")</f>
        <v>0</v>
      </c>
      <c r="AT270" s="211">
        <f>IF(AND(ISNUMBER(AT268),ISNUMBER(AT253)),IF(ABS(AT268+AT267-AT269)&lt;=1,0,ROUND(AT268+AT267-AT269,0)),"")</f>
        <v>0</v>
      </c>
      <c r="AU270" s="211">
        <f>IF(AND(ISNUMBER(AU268),ISNUMBER(AU253)),IF(ABS(AU268+AU267-AU269)&lt;=1,0,ROUND(AU268+AU267-AU269,0)),"")</f>
        <v>0</v>
      </c>
      <c r="AV270" s="211">
        <f>IF(AND(ISNUMBER(AV268),ISNUMBER(AV253)),IF(ABS(AV268+AV267-AV269)&lt;=1,0,ROUND(AV268+AV267-AV269,0)),"")</f>
        <v>0</v>
      </c>
      <c r="AW270" s="211">
        <f>IF(AND(ISNUMBER(AW268),ISNUMBER(AW253)),IF(ABS(AW268+AW267-AW269)&lt;=1,0,ROUND(AW268+AW267-AW269,0)),"")</f>
        <v>0</v>
      </c>
      <c r="AX270" s="211">
        <f>IF(AND(ISNUMBER(AX268),ISNUMBER(AX253)),IF(ABS(AX268+AX267-AX269)&lt;=1,0,ROUND(AX268+AX267-AX269,0)),"")</f>
        <v>0</v>
      </c>
      <c r="AY270" s="211">
        <f>IF(AND(ISNUMBER(AY268),ISNUMBER(AY253)),IF(ABS(AY268+AY267-AY269)&lt;=1,0,ROUND(AY268+AY267-AY269,0)),"")</f>
        <v>0</v>
      </c>
      <c r="AZ270" s="211">
        <f>IF(AND(ISNUMBER(AZ268),ISNUMBER(AZ253)),IF(ABS(AZ268+AZ267-AZ269)&lt;=1,0,ROUND(AZ268+AZ267-AZ269,0)),"")</f>
        <v>0</v>
      </c>
      <c r="BA270" s="211">
        <f>IF(AND(ISNUMBER(BA268),ISNUMBER(BA253)),IF(ABS(BA268+BA267-BA269)&lt;=1,0,ROUND(BA268+BA267-BA269,0)),"")</f>
        <v>0</v>
      </c>
      <c r="BB270" s="211">
        <f>IF(AND(ISNUMBER(BB268),ISNUMBER(BB253)),IF(ABS(BB268+BB267-BB269)&lt;=1,0,ROUND(BB268+BB267-BB269,0)),"")</f>
        <v>0</v>
      </c>
      <c r="BC270" s="211">
        <f>IF(AND(ISNUMBER(BC268),ISNUMBER(BC253)),IF(ABS(BC268+BC267-BC269)&lt;=1,0,ROUND(BC268+BC267-BC269,0)),"")</f>
        <v>0</v>
      </c>
      <c r="BD270" s="211">
        <f>IF(AND(ISNUMBER(BD268),ISNUMBER(BD253)),IF(ABS(BD268+BD267-BD269)&lt;=1,0,ROUND(BD268+BD267-BD269,0)),"")</f>
        <v>0</v>
      </c>
      <c r="BE270" s="211">
        <f>IF(AND(ISNUMBER(BE268),ISNUMBER(BE253)),IF(ABS(BE268+BE267-BE269)&lt;=1,0,ROUND(BE268+BE267-BE269,0)),"")</f>
        <v>0</v>
      </c>
      <c r="BF270" s="211">
        <f>IF(AND(ISNUMBER(BF268),ISNUMBER(BF253)),IF(ABS(BF268+BF267-BF269)&lt;=1,0,ROUND(BF268+BF267-BF269,0)),"")</f>
        <v>0</v>
      </c>
      <c r="BG270" s="211">
        <f>IF(AND(ISNUMBER(BG268),ISNUMBER(BG253)),IF(ABS(BG268+BG267-BG269)&lt;=1,0,ROUND(BG268+BG267-BG269,0)),"")</f>
        <v>0</v>
      </c>
      <c r="BH270" s="211">
        <f>IF(AND(ISNUMBER(BH268),ISNUMBER(BH253)),IF(ABS(BH268+BH267-BH269)&lt;=1,0,ROUND(BH268+BH267-BH269,0)),"")</f>
        <v>0</v>
      </c>
      <c r="BI270" s="211">
        <f>IF(AND(ISNUMBER(BI268),ISNUMBER(BI253)),IF(ABS(BI268+BI267-BI269)&lt;=1,0,ROUND(BI268+BI267-BI269,0)),"")</f>
        <v>0</v>
      </c>
      <c r="BJ270" s="211">
        <f>IF(AND(ISNUMBER(BJ268),ISNUMBER(BJ253)),IF(ABS(BJ268+BJ267-BJ269)&lt;=1,0,ROUND(BJ268+BJ267-BJ269,0)),"")</f>
        <v>0</v>
      </c>
      <c r="BK270" s="211">
        <f>IF(AND(ISNUMBER(BK268),ISNUMBER(BK253)),IF(ABS(BK268+BK267-BK269)&lt;=1,0,ROUND(BK268+BK267-BK269,0)),"")</f>
        <v>0</v>
      </c>
      <c r="BL270" s="211">
        <f>IF(AND(ISNUMBER(BL268),ISNUMBER(BL253)),IF(ABS(BL268+BL267-BL269)&lt;=1,0,ROUND(BL268+BL267-BL269,0)),"")</f>
        <v>0</v>
      </c>
      <c r="BM270" s="211">
        <f>IF(AND(ISNUMBER(BM268),ISNUMBER(BM253)),IF(ABS(BM268+BM267-BM269)&lt;=1,0,ROUND(BM268+BM267-BM269,0)),"")</f>
        <v>0</v>
      </c>
      <c r="BN270" s="211">
        <f>IF(AND(ISNUMBER(BN268),ISNUMBER(BN253)),IF(ABS(BN268+BN267-BN269)&lt;=1,0,ROUND(BN268+BN267-BN269,0)),"")</f>
        <v>0</v>
      </c>
      <c r="BO270" s="211">
        <f>IF(AND(ISNUMBER(BO268),ISNUMBER(BO253)),IF(ABS(BO268+BO267-BO269)&lt;=1,0,ROUND(BO268+BO267-BO269,0)),"")</f>
        <v>0</v>
      </c>
      <c r="BP270" s="211">
        <f>IF(AND(ISNUMBER(BP268),ISNUMBER(BP253)),IF(ABS(BP268+BP267-BP269)&lt;=1,0,ROUND(BP268+BP267-BP269,0)),"")</f>
        <v>0</v>
      </c>
      <c r="BQ270" s="211">
        <f>IF(AND(ISNUMBER(BQ268),ISNUMBER(BQ253)),IF(ABS(BQ268+BQ267-BQ269)&lt;=1,0,ROUND(BQ268+BQ267-BQ269,0)),"")</f>
        <v>0</v>
      </c>
      <c r="BR270" s="211">
        <f>IF(AND(ISNUMBER(BR268),ISNUMBER(BR253)),IF(ABS(BR268+BR267-BR269)&lt;=1,0,ROUND(BR268+BR267-BR269,0)),"")</f>
        <v>0</v>
      </c>
      <c r="BS270" s="211">
        <f>IF(AND(ISNUMBER(BS268),ISNUMBER(BS253)),IF(ABS(BS268+BS267-BS269)&lt;=1,0,ROUND(BS268+BS267-BS269,0)),"")</f>
        <v>0</v>
      </c>
      <c r="BT270" s="211">
        <f>IF(AND(ISNUMBER(BT268),ISNUMBER(BT253)),IF(ABS(BT268+BT267-BT269)&lt;=1,0,ROUND(BT268+BT267-BT269,0)),"")</f>
        <v>0</v>
      </c>
      <c r="BU270" s="211">
        <f>IF(AND(ISNUMBER(BU268),ISNUMBER(BU253)),IF(ABS(BU268+BU267-BU269)&lt;=1,0,ROUND(BU268+BU267-BU269,0)),"")</f>
        <v>0</v>
      </c>
      <c r="BV270" s="211">
        <f>IF(AND(ISNUMBER(BV268),ISNUMBER(BV253)),IF(ABS(BV268+BV267-BV269)&lt;=1,0,ROUND(BV268+BV267-BV269,0)),"")</f>
        <v>0</v>
      </c>
      <c r="BW270" s="211">
        <f>IF(AND(ISNUMBER(BW268),ISNUMBER(BW253)),IF(ABS(BW268+BW267-BW269)&lt;=1,0,ROUND(BW268+BW267-BW269,0)),"")</f>
        <v>0</v>
      </c>
      <c r="BX270" s="211">
        <f>IF(AND(ISNUMBER(BX268),ISNUMBER(BX253)),IF(ABS(BX268+BX267-BX269)&lt;=1,0,ROUND(BX268+BX267-BX269,0)),"")</f>
        <v>0</v>
      </c>
      <c r="BY270" s="153" t="n"/>
      <c r="BZ270" s="153" t="n"/>
      <c r="CA270" s="264">
        <f>IF(AND(ISNUMBER(CA268),ISNUMBER(CA253)),IF(ABS(CA268+CA267-CA269)&lt;=1,0,ROUND(CA268+CA267-CA269,0)),"")</f>
        <v>0</v>
      </c>
      <c r="CB270" s="264">
        <f>IF(AND(ISNUMBER(CB268),ISNUMBER(CB253)),IF(ABS(CB268+CB267-CB269)&lt;=1,0,ROUND(CB268+CB267-CB269,0)),"")</f>
        <v>0</v>
      </c>
      <c r="CC270" s="264">
        <f>IF(AND(ISNUMBER(CC268),ISNUMBER(CC253)),IF(ABS(CC268+CC267-CC269)&lt;=1,0,ROUND(CC268+CC267-CC269,0)),"")</f>
        <v>0</v>
      </c>
      <c r="CD270" s="264">
        <f>IF(AND(ISNUMBER(CD268),ISNUMBER(CD253)),IF(ABS(CD268+CD267-CD269)&lt;=1,0,ROUND(CD268+CD267-CD269,0)),"")</f>
        <v>0</v>
      </c>
      <c r="CE270" s="264">
        <f>IF(AND(ISNUMBER(CE268),ISNUMBER(CE253)),IF(ABS(CE268+CE267-CE269)&lt;=1,0,ROUND(CE268+CE267-CE269,0)),"")</f>
        <v>0</v>
      </c>
      <c r="CF270" s="153" t="n"/>
    </row>
    <row r="271" ht="15" customHeight="1" s="251">
      <c r="B271" s="57" t="inlineStr">
        <is>
          <t xml:space="preserve">  Check: CFO = sum of operating lines (should be 0)</t>
        </is>
      </c>
      <c r="C271" s="211">
        <f>IF(ISNUMBER(C246),IF(ABS(SUM(C246:C252)-C253)&lt;=1,0,ROUND(SUM(C246:C252)-C253,0)),"")</f>
        <v>0</v>
      </c>
      <c r="D271" s="211">
        <f>IF(ISNUMBER(D246),IF(ABS(SUM(D246:D252)-D253)&lt;=1,0,ROUND(SUM(D246:D252)-D253,0)),"")</f>
        <v>0</v>
      </c>
      <c r="E271" s="211">
        <f>IF(ISNUMBER(E246),IF(ABS(SUM(E246:E252)-E253)&lt;=1,0,ROUND(SUM(E246:E252)-E253,0)),"")</f>
        <v>0</v>
      </c>
      <c r="F271" s="211">
        <f>IF(ISNUMBER(F246),IF(ABS(SUM(F246:F252)-F253)&lt;=1,0,ROUND(SUM(F246:F252)-F253,0)),"")</f>
        <v>0</v>
      </c>
      <c r="G271" s="211">
        <f>IF(ISNUMBER(G246),IF(ABS(SUM(G246:G252)-G253)&lt;=1,0,ROUND(SUM(G246:G252)-G253,0)),"")</f>
        <v>0</v>
      </c>
      <c r="H271" s="211">
        <f>IF(ISNUMBER(H246),IF(ABS(SUM(H246:H252)-H253)&lt;=1,0,ROUND(SUM(H246:H252)-H253,0)),"")</f>
        <v>0</v>
      </c>
      <c r="I271" s="211">
        <f>IF(ISNUMBER(I246),IF(ABS(SUM(I246:I252)-I253)&lt;=1,0,ROUND(SUM(I246:I252)-I253,0)),"")</f>
        <v>0</v>
      </c>
      <c r="J271" s="211">
        <f>IF(ISNUMBER(J246),IF(ABS(SUM(J246:J252)-J253)&lt;=1,0,ROUND(SUM(J246:J252)-J253,0)),"")</f>
        <v>0</v>
      </c>
      <c r="K271" s="211">
        <f>IF(ISNUMBER(K246),IF(ABS(SUM(K246:K252)-K253)&lt;=1,0,ROUND(SUM(K246:K252)-K253,0)),"")</f>
        <v>0</v>
      </c>
      <c r="L271" s="211">
        <f>IF(ISNUMBER(L246),IF(ABS(SUM(L246:L252)-L253)&lt;=1,0,ROUND(SUM(L246:L252)-L253,0)),"")</f>
        <v>0</v>
      </c>
      <c r="M271" s="211">
        <f>IF(ISNUMBER(M246),IF(ABS(SUM(M246:M252)-M253)&lt;=1,0,ROUND(SUM(M246:M252)-M253,0)),"")</f>
        <v>0</v>
      </c>
      <c r="N271" s="211">
        <f>IF(ISNUMBER(N246),IF(ABS(SUM(N246:N252)-N253)&lt;=1,0,ROUND(SUM(N246:N252)-N253,0)),"")</f>
        <v>0</v>
      </c>
      <c r="O271" s="211">
        <f>IF(ISNUMBER(O246),IF(ABS(SUM(O246:O252)-O253)&lt;=1,0,ROUND(SUM(O246:O252)-O253,0)),"")</f>
        <v>0</v>
      </c>
      <c r="P271" s="211">
        <f>IF(ISNUMBER(P246),IF(ABS(SUM(P246:P252)-P253)&lt;=1,0,ROUND(SUM(P246:P252)-P253,0)),"")</f>
        <v>0</v>
      </c>
      <c r="Q271" s="211">
        <f>IF(ISNUMBER(Q246),IF(ABS(SUM(Q246:Q252)-Q253)&lt;=1,0,ROUND(SUM(Q246:Q252)-Q253,0)),"")</f>
        <v>0</v>
      </c>
      <c r="R271" s="211">
        <f>IF(ISNUMBER(R246),IF(ABS(SUM(R246:R252)-R253)&lt;=1,0,ROUND(SUM(R246:R252)-R253,0)),"")</f>
        <v>0</v>
      </c>
      <c r="S271" s="211">
        <f>IF(ISNUMBER(S246),IF(ABS(SUM(S246:S252)-S253)&lt;=1,0,ROUND(SUM(S246:S252)-S253,0)),"")</f>
        <v>0</v>
      </c>
      <c r="T271" s="211">
        <f>IF(ISNUMBER(T246),IF(ABS(SUM(T246:T252)-T253)&lt;=1,0,ROUND(SUM(T246:T252)-T253,0)),"")</f>
        <v>0</v>
      </c>
      <c r="U271" s="211">
        <f>IF(ISNUMBER(U246),IF(ABS(SUM(U246:U252)-U253)&lt;=1,0,ROUND(SUM(U246:U252)-U253,0)),"")</f>
        <v>0</v>
      </c>
      <c r="V271" s="211">
        <f>IF(ISNUMBER(V246),IF(ABS(SUM(V246:V252)-V253)&lt;=1,0,ROUND(SUM(V246:V252)-V253,0)),"")</f>
        <v>0</v>
      </c>
      <c r="W271" s="211">
        <f>IF(ISNUMBER(W246),IF(ABS(SUM(W246:W252)-W253)&lt;=1,0,ROUND(SUM(W246:W252)-W253,0)),"")</f>
        <v>0</v>
      </c>
      <c r="X271" s="211">
        <f>IF(ISNUMBER(X246),IF(ABS(SUM(X246:X252)-X253)&lt;=1,0,ROUND(SUM(X246:X252)-X253,0)),"")</f>
        <v>0</v>
      </c>
      <c r="Y271" s="211">
        <f>IF(ISNUMBER(Y246),IF(ABS(SUM(Y246:Y252)-Y253)&lt;=1,0,ROUND(SUM(Y246:Y252)-Y253,0)),"")</f>
        <v>0</v>
      </c>
      <c r="Z271" s="211">
        <f>IF(ISNUMBER(Z246),IF(ABS(SUM(Z246:Z252)-Z253)&lt;=1,0,ROUND(SUM(Z246:Z252)-Z253,0)),"")</f>
        <v>0</v>
      </c>
      <c r="AA271" s="211">
        <f>IF(ISNUMBER(AA246),IF(ABS(SUM(AA246:AA252)-AA253)&lt;=1,0,ROUND(SUM(AA246:AA252)-AA253,0)),"")</f>
        <v>0</v>
      </c>
      <c r="AB271" s="211">
        <f>IF(ISNUMBER(AB246),IF(ABS(SUM(AB246:AB252)-AB253)&lt;=1,0,ROUND(SUM(AB246:AB252)-AB253,0)),"")</f>
        <v>0</v>
      </c>
      <c r="AC271" s="211">
        <f>IF(ISNUMBER(AC246),IF(ABS(SUM(AC246:AC252)-AC253)&lt;=1,0,ROUND(SUM(AC246:AC252)-AC253,0)),"")</f>
        <v>0</v>
      </c>
      <c r="AD271" s="211">
        <f>IF(ISNUMBER(AD246),IF(ABS(SUM(AD246:AD252)-AD253)&lt;=1,0,ROUND(SUM(AD246:AD252)-AD253,0)),"")</f>
        <v>0</v>
      </c>
      <c r="AE271" s="211">
        <f>IF(ISNUMBER(AE246),IF(ABS(SUM(AE246:AE252)-AE253)&lt;=1,0,ROUND(SUM(AE246:AE252)-AE253,0)),"")</f>
        <v>0</v>
      </c>
      <c r="AF271" s="211">
        <f>IF(ISNUMBER(AF246),IF(ABS(SUM(AF246:AF252)-AF253)&lt;=1,0,ROUND(SUM(AF246:AF252)-AF253,0)),"")</f>
        <v>0</v>
      </c>
      <c r="AG271" s="211">
        <f>IF(ISNUMBER(AG246),IF(ABS(SUM(AG246:AG252)-AG253)&lt;=1,0,ROUND(SUM(AG246:AG252)-AG253,0)),"")</f>
        <v>0</v>
      </c>
      <c r="AH271" s="211">
        <f>IF(ISNUMBER(AH246),IF(ABS(SUM(AH246:AH252)-AH253)&lt;=1,0,ROUND(SUM(AH246:AH252)-AH253,0)),"")</f>
        <v>0</v>
      </c>
      <c r="AI271" s="211">
        <f>IF(ISNUMBER(AI246),IF(ABS(SUM(AI246:AI252)-AI253)&lt;=1,0,ROUND(SUM(AI246:AI252)-AI253,0)),"")</f>
        <v>0</v>
      </c>
      <c r="AJ271" s="211">
        <f>IF(ISNUMBER(AJ246),IF(ABS(SUM(AJ246:AJ252)-AJ253)&lt;=1,0,ROUND(SUM(AJ246:AJ252)-AJ253,0)),"")</f>
        <v>0</v>
      </c>
      <c r="AK271" s="211">
        <f>IF(ISNUMBER(AK246),IF(ABS(SUM(AK246:AK252)-AK253)&lt;=1,0,ROUND(SUM(AK246:AK252)-AK253,0)),"")</f>
        <v>0</v>
      </c>
      <c r="AL271" s="211">
        <f>IF(ISNUMBER(AL246),IF(ABS(SUM(AL246:AL252)-AL253)&lt;=1,0,ROUND(SUM(AL246:AL252)-AL253,0)),"")</f>
        <v>0</v>
      </c>
      <c r="AM271" s="211">
        <f>IF(ISNUMBER(AM246),IF(ABS(SUM(AM246:AM252)-AM253)&lt;=1,0,ROUND(SUM(AM246:AM252)-AM253,0)),"")</f>
        <v>0</v>
      </c>
      <c r="AN271" s="211">
        <f>IF(ISNUMBER(AN246),IF(ABS(SUM(AN246:AN252)-AN253)&lt;=1,0,ROUND(SUM(AN246:AN252)-AN253,0)),"")</f>
        <v>0</v>
      </c>
      <c r="AO271" s="211">
        <f>IF(ISNUMBER(AO246),IF(ABS(SUM(AO246:AO252)-AO253)&lt;=1,0,ROUND(SUM(AO246:AO252)-AO253,0)),"")</f>
        <v>0</v>
      </c>
      <c r="AP271" s="211">
        <f>IF(ISNUMBER(AP246),IF(ABS(SUM(AP246:AP252)-AP253)&lt;=1,0,ROUND(SUM(AP246:AP252)-AP253,0)),"")</f>
        <v>0</v>
      </c>
      <c r="AQ271" s="211">
        <f>IF(ISNUMBER(AQ246),IF(ABS(SUM(AQ246:AQ252)-AQ253)&lt;=1,0,ROUND(SUM(AQ246:AQ252)-AQ253,0)),"")</f>
        <v>0</v>
      </c>
      <c r="AR271" s="211">
        <f>IF(ISNUMBER(AR246),IF(ABS(SUM(AR246:AR252)-AR253)&lt;=1,0,ROUND(SUM(AR246:AR252)-AR253,0)),"")</f>
        <v>0</v>
      </c>
      <c r="AS271" s="211">
        <f>IF(ISNUMBER(AS246),IF(ABS(SUM(AS246:AS252)-AS253)&lt;=1,0,ROUND(SUM(AS246:AS252)-AS253,0)),"")</f>
        <v>0</v>
      </c>
      <c r="AT271" s="211">
        <f>IF(ISNUMBER(AT246),IF(ABS(SUM(AT246:AT252)-AT253)&lt;=1,0,ROUND(SUM(AT246:AT252)-AT253,0)),"")</f>
        <v>0</v>
      </c>
      <c r="AU271" s="211">
        <f>IF(ISNUMBER(AU246),IF(ABS(SUM(AU246:AU252)-AU253)&lt;=1,0,ROUND(SUM(AU246:AU252)-AU253,0)),"")</f>
        <v>0</v>
      </c>
      <c r="AV271" s="211">
        <f>IF(ISNUMBER(AV246),IF(ABS(SUM(AV246:AV252)-AV253)&lt;=1,0,ROUND(SUM(AV246:AV252)-AV253,0)),"")</f>
        <v>0</v>
      </c>
      <c r="AW271" s="211">
        <f>IF(ISNUMBER(AW246),IF(ABS(SUM(AW246:AW252)-AW253)&lt;=1,0,ROUND(SUM(AW246:AW252)-AW253,0)),"")</f>
        <v>0</v>
      </c>
      <c r="AX271" s="211">
        <f>IF(ISNUMBER(AX246),IF(ABS(SUM(AX246:AX252)-AX253)&lt;=1,0,ROUND(SUM(AX246:AX252)-AX253,0)),"")</f>
        <v>0</v>
      </c>
      <c r="AY271" s="211">
        <f>IF(ISNUMBER(AY246),IF(ABS(SUM(AY246:AY252)-AY253)&lt;=1,0,ROUND(SUM(AY246:AY252)-AY253,0)),"")</f>
        <v>0</v>
      </c>
      <c r="AZ271" s="211">
        <f>IF(ISNUMBER(AZ246),IF(ABS(SUM(AZ246:AZ252)-AZ253)&lt;=1,0,ROUND(SUM(AZ246:AZ252)-AZ253,0)),"")</f>
        <v>0</v>
      </c>
      <c r="BA271" s="211">
        <f>IF(ISNUMBER(BA246),IF(ABS(SUM(BA246:BA252)-BA253)&lt;=1,0,ROUND(SUM(BA246:BA252)-BA253,0)),"")</f>
        <v>0</v>
      </c>
      <c r="BB271" s="211">
        <f>IF(ISNUMBER(BB246),IF(ABS(SUM(BB246:BB252)-BB253)&lt;=1,0,ROUND(SUM(BB246:BB252)-BB253,0)),"")</f>
        <v>0</v>
      </c>
      <c r="BC271" s="211">
        <f>IF(ISNUMBER(BC246),IF(ABS(SUM(BC246:BC252)-BC253)&lt;=1,0,ROUND(SUM(BC246:BC252)-BC253,0)),"")</f>
        <v>0</v>
      </c>
      <c r="BD271" s="211">
        <f>IF(ISNUMBER(BD246),IF(ABS(SUM(BD246:BD252)-BD253)&lt;=1,0,ROUND(SUM(BD246:BD252)-BD253,0)),"")</f>
        <v>0</v>
      </c>
      <c r="BE271" s="211">
        <f>IF(ISNUMBER(BE246),IF(ABS(SUM(BE246:BE252)-BE253)&lt;=1,0,ROUND(SUM(BE246:BE252)-BE253,0)),"")</f>
        <v>0</v>
      </c>
      <c r="BF271" s="211">
        <f>IF(ISNUMBER(BF246),IF(ABS(SUM(BF246:BF252)-BF253)&lt;=1,0,ROUND(SUM(BF246:BF252)-BF253,0)),"")</f>
        <v>0</v>
      </c>
      <c r="BG271" s="211">
        <f>IF(ISNUMBER(BG246),IF(ABS(SUM(BG246:BG252)-BG253)&lt;=1,0,ROUND(SUM(BG246:BG252)-BG253,0)),"")</f>
        <v>0</v>
      </c>
      <c r="BH271" s="211">
        <f>IF(ISNUMBER(BH246),IF(ABS(SUM(BH246:BH252)-BH253)&lt;=1,0,ROUND(SUM(BH246:BH252)-BH253,0)),"")</f>
        <v>0</v>
      </c>
      <c r="BI271" s="211">
        <f>IF(ISNUMBER(BI246),IF(ABS(SUM(BI246:BI252)-BI253)&lt;=1,0,ROUND(SUM(BI246:BI252)-BI253,0)),"")</f>
        <v>0</v>
      </c>
      <c r="BJ271" s="211">
        <f>IF(ISNUMBER(BJ246),IF(ABS(SUM(BJ246:BJ252)-BJ253)&lt;=1,0,ROUND(SUM(BJ246:BJ252)-BJ253,0)),"")</f>
        <v>0</v>
      </c>
      <c r="BK271" s="211">
        <f>IF(ISNUMBER(BK246),IF(ABS(SUM(BK246:BK252)-BK253)&lt;=1,0,ROUND(SUM(BK246:BK252)-BK253,0)),"")</f>
        <v>0</v>
      </c>
      <c r="BL271" s="211">
        <f>IF(ISNUMBER(BL246),IF(ABS(SUM(BL246:BL252)-BL253)&lt;=1,0,ROUND(SUM(BL246:BL252)-BL253,0)),"")</f>
        <v>0</v>
      </c>
      <c r="BM271" s="211">
        <f>IF(ISNUMBER(BM246),IF(ABS(SUM(BM246:BM252)-BM253)&lt;=1,0,ROUND(SUM(BM246:BM252)-BM253,0)),"")</f>
        <v>0</v>
      </c>
      <c r="BN271" s="211">
        <f>IF(ISNUMBER(BN246),IF(ABS(SUM(BN246:BN252)-BN253)&lt;=1,0,ROUND(SUM(BN246:BN252)-BN253,0)),"")</f>
        <v>0</v>
      </c>
      <c r="BO271" s="211">
        <f>IF(ISNUMBER(BO246),IF(ABS(SUM(BO246:BO252)-BO253)&lt;=1,0,ROUND(SUM(BO246:BO252)-BO253,0)),"")</f>
        <v>0</v>
      </c>
      <c r="BP271" s="211">
        <f>IF(ISNUMBER(BP246),IF(ABS(SUM(BP246:BP252)-BP253)&lt;=1,0,ROUND(SUM(BP246:BP252)-BP253,0)),"")</f>
        <v>0</v>
      </c>
      <c r="BQ271" s="211">
        <f>IF(ISNUMBER(BQ246),IF(ABS(SUM(BQ246:BQ252)-BQ253)&lt;=1,0,ROUND(SUM(BQ246:BQ252)-BQ253,0)),"")</f>
        <v>0</v>
      </c>
      <c r="BR271" s="211">
        <f>IF(ISNUMBER(BR246),IF(ABS(SUM(BR246:BR252)-BR253)&lt;=1,0,ROUND(SUM(BR246:BR252)-BR253,0)),"")</f>
        <v>0</v>
      </c>
      <c r="BS271" s="211">
        <f>IF(ISNUMBER(BS246),IF(ABS(SUM(BS246:BS252)-BS253)&lt;=1,0,ROUND(SUM(BS246:BS252)-BS253,0)),"")</f>
        <v>0</v>
      </c>
      <c r="BT271" s="211">
        <f>IF(ISNUMBER(BT246),IF(ABS(SUM(BT246:BT252)-BT253)&lt;=1,0,ROUND(SUM(BT246:BT252)-BT253,0)),"")</f>
        <v>0</v>
      </c>
      <c r="BU271" s="211">
        <f>IF(ISNUMBER(BU246),IF(ABS(SUM(BU246:BU252)-BU253)&lt;=1,0,ROUND(SUM(BU246:BU252)-BU253,0)),"")</f>
        <v>0</v>
      </c>
      <c r="BV271" s="211">
        <f>IF(ISNUMBER(BV246),IF(ABS(SUM(BV246:BV252)-BV253)&lt;=1,0,ROUND(SUM(BV246:BV252)-BV253,0)),"")</f>
        <v>0</v>
      </c>
      <c r="BW271" s="211">
        <f>IF(ISNUMBER(BW246),IF(ABS(SUM(BW246:BW252)-BW253)&lt;=1,0,ROUND(SUM(BW246:BW252)-BW253,0)),"")</f>
        <v>0</v>
      </c>
      <c r="BX271" s="211">
        <f>IF(ISNUMBER(BX246),IF(ABS(SUM(BX246:BX252)-BX253)&lt;=1,0,ROUND(SUM(BX246:BX252)-BX253,0)),"")</f>
        <v>0</v>
      </c>
      <c r="BY271" s="153" t="n"/>
      <c r="BZ271" s="153" t="n"/>
      <c r="CA271" s="264">
        <f>IF(ISNUMBER(CA246),IF(ABS(SUM(CA246:CA252)-CA253)&lt;=1,0,ROUND(SUM(CA246:CA252)-CA253,0)),"")</f>
        <v>0</v>
      </c>
      <c r="CB271" s="264">
        <f>IF(ISNUMBER(CB246),IF(ABS(SUM(CB246:CB252)-CB253)&lt;=1,0,ROUND(SUM(CB246:CB252)-CB253,0)),"")</f>
        <v>0</v>
      </c>
      <c r="CC271" s="264">
        <f>IF(ISNUMBER(CC246),IF(ABS(SUM(CC246:CC252)-CC253)&lt;=1,0,ROUND(SUM(CC246:CC252)-CC253,0)),"")</f>
        <v>0</v>
      </c>
      <c r="CD271" s="264">
        <f>IF(ISNUMBER(CD246),IF(ABS(SUM(CD246:CD252)-CD253)&lt;=1,0,ROUND(SUM(CD246:CD252)-CD253,0)),"")</f>
        <v>0</v>
      </c>
      <c r="CE271" s="264">
        <f>IF(ISNUMBER(CE246),IF(ABS(SUM(CE246:CE252)-CE253)&lt;=1,0,ROUND(SUM(CE246:CE252)-CE253,0)),"")</f>
        <v>0</v>
      </c>
      <c r="CF271" s="153" t="n"/>
    </row>
    <row r="272" ht="15" customHeight="1" s="251">
      <c r="B272" s="25" t="inlineStr">
        <is>
          <t>(Memo)</t>
        </is>
      </c>
      <c r="CF272" s="153" t="n"/>
    </row>
    <row r="273" ht="15" customHeight="1" s="251">
      <c r="B273" s="55" t="inlineStr">
        <is>
          <t>Free cash flow (company definition: CFO − purchases of property &amp; equipment)</t>
        </is>
      </c>
      <c r="C273" s="260">
        <f>IF(AND(ISNUMBER(C253),ISNUMBER(C254)),C253+C254,"")</f>
        <v>1677.71</v>
      </c>
      <c r="D273" s="260">
        <f>IF(AND(ISNUMBER(D253),ISNUMBER(D254)),D253+D254,"")</f>
        <v>3372.57</v>
      </c>
      <c r="E273" s="260">
        <f>IF(AND(ISNUMBER(E253),ISNUMBER(E254)),E253+E254,"")</f>
        <v>5494.396</v>
      </c>
      <c r="F273" s="260">
        <f>IF(AND(ISNUMBER(F253),ISNUMBER(F254)),F253+F254,"")</f>
        <v>8506.31</v>
      </c>
      <c r="G273" s="260">
        <f>IF(AND(ISNUMBER(G253),ISNUMBER(G254)),G253+G254,"")</f>
        <v>7063</v>
      </c>
      <c r="H273" s="260">
        <f>IF(AND(ISNUMBER(H253),ISNUMBER(H254)),H253+H254,"")</f>
        <v>11127</v>
      </c>
      <c r="I273" s="260">
        <f>IF(AND(ISNUMBER(I253),ISNUMBER(I254)),I253+I254,"")</f>
        <v>13346</v>
      </c>
      <c r="J273" s="260">
        <f>IF(AND(ISNUMBER(J253),ISNUMBER(J254)),J253+J254,"")</f>
        <v>2430</v>
      </c>
      <c r="K273" s="260">
        <f>IF(AND(ISNUMBER(K253),ISNUMBER(K254)),K253+K254,"")</f>
        <v>3094</v>
      </c>
      <c r="L273" s="260">
        <f>IF(AND(ISNUMBER(L253),ISNUMBER(L254)),L253+L254,"")</f>
        <v>2794</v>
      </c>
      <c r="M273" s="260">
        <f>IF(AND(ISNUMBER(M253),ISNUMBER(M254)),M253+M254,"")</f>
        <v>2983</v>
      </c>
      <c r="N273" s="260">
        <f>IF(AND(ISNUMBER(N253),ISNUMBER(N254)),N253+N254,"")</f>
        <v>11301</v>
      </c>
      <c r="O273" s="260">
        <f>IF(AND(ISNUMBER(O253),ISNUMBER(O254)),O253+O254,"")</f>
        <v>2046</v>
      </c>
      <c r="P273" s="260">
        <f>IF(AND(ISNUMBER(P253),ISNUMBER(P254)),P253+P254,"")</f>
        <v>2981</v>
      </c>
      <c r="Q273" s="260">
        <f>IF(AND(ISNUMBER(Q253),ISNUMBER(Q254)),Q253+Q254,"")</f>
        <v>3577</v>
      </c>
      <c r="R273" s="260">
        <f>IF(AND(ISNUMBER(R253),ISNUMBER(R254)),R253+R254,"")</f>
        <v>2813</v>
      </c>
      <c r="S273" s="260">
        <f>IF(AND(ISNUMBER(S253),ISNUMBER(S254)),S253+S254,"")</f>
        <v>11417</v>
      </c>
      <c r="T273" s="260">
        <f>IF(AND(ISNUMBER(T253),ISNUMBER(T254)),T253+T254,"")</f>
        <v>3690</v>
      </c>
      <c r="U273" s="260">
        <f>IF(AND(ISNUMBER(U253),ISNUMBER(U254)),U253+U254,"")</f>
        <v>4470</v>
      </c>
      <c r="V273" s="260">
        <f>IF(AND(ISNUMBER(V253),ISNUMBER(V254)),V253+V254,"")</f>
        <v>3634</v>
      </c>
      <c r="W273" s="260">
        <f>IF(AND(ISNUMBER(W253),ISNUMBER(W254)),W253+W254,"")</f>
        <v>4315</v>
      </c>
      <c r="X273" s="260">
        <f>IF(AND(ISNUMBER(X253),ISNUMBER(X254)),X253+X254,"")</f>
        <v>16109</v>
      </c>
      <c r="Y273" s="260">
        <f>IF(AND(ISNUMBER(Y253),ISNUMBER(Y254)),Y253+Y254,"")</f>
        <v>5230</v>
      </c>
      <c r="Z273" s="260">
        <f>IF(AND(ISNUMBER(Z253),ISNUMBER(Z254)),Z253+Z254,"")</f>
        <v>6997</v>
      </c>
      <c r="AA273" s="260">
        <f>IF(AND(ISNUMBER(AA253),ISNUMBER(AA254)),AA253+AA254,"")</f>
        <v>7262</v>
      </c>
      <c r="AB273" s="260">
        <f>IF(AND(ISNUMBER(AB253),ISNUMBER(AB254)),AB253+AB254,"")</f>
        <v>6335</v>
      </c>
      <c r="AC273" s="260">
        <f>IF(AND(ISNUMBER(AC253),ISNUMBER(AC254)),AC253+AC254,"")</f>
        <v>25824</v>
      </c>
      <c r="AD273" s="260">
        <f>IF(AND(ISNUMBER(AD253),ISNUMBER(AD254)),AD253+AD254,"")</f>
        <v>7040</v>
      </c>
      <c r="AE273" s="260">
        <f>IF(AND(ISNUMBER(AE253),ISNUMBER(AE254)),AE253+AE254,"")</f>
        <v>4572</v>
      </c>
      <c r="AF273" s="260">
        <f>IF(AND(ISNUMBER(AF253),ISNUMBER(AF254)),AF253+AF254,"")</f>
        <v>6334</v>
      </c>
      <c r="AG273" s="260">
        <f>IF(AND(ISNUMBER(AG253),ISNUMBER(AG254)),AG253+AG254,"")</f>
        <v>5961</v>
      </c>
      <c r="AH273" s="260">
        <f>IF(AND(ISNUMBER(AH253),ISNUMBER(AH254)),AH253+AH254,"")</f>
        <v>23907</v>
      </c>
      <c r="AI273" s="260">
        <f>IF(AND(ISNUMBER(AI253),ISNUMBER(AI254)),AI253+AI254,"")</f>
        <v>4343</v>
      </c>
      <c r="AJ273" s="260">
        <f>IF(AND(ISNUMBER(AJ253),ISNUMBER(AJ254)),AJ253+AJ254,"")</f>
        <v>4655</v>
      </c>
      <c r="AK273" s="260">
        <f>IF(AND(ISNUMBER(AK253),ISNUMBER(AK254)),AK253+AK254,"")</f>
        <v>7928</v>
      </c>
      <c r="AL273" s="260">
        <f>IF(AND(ISNUMBER(AL253),ISNUMBER(AL254)),AL253+AL254,"")</f>
        <v>5906</v>
      </c>
      <c r="AM273" s="260">
        <f>IF(AND(ISNUMBER(AM253),ISNUMBER(AM254)),AM253+AM254,"")</f>
        <v>22832</v>
      </c>
      <c r="AN273" s="260">
        <f>IF(AND(ISNUMBER(AN253),ISNUMBER(AN254)),AN253+AN254,"")</f>
        <v>7362</v>
      </c>
      <c r="AO273" s="260">
        <f>IF(AND(ISNUMBER(AO253),ISNUMBER(AO254)),AO253+AO254,"")</f>
        <v>6501</v>
      </c>
      <c r="AP273" s="260">
        <f>IF(AND(ISNUMBER(AP253),ISNUMBER(AP254)),AP253+AP254,"")</f>
        <v>8734</v>
      </c>
      <c r="AQ273" s="260">
        <f>IF(AND(ISNUMBER(AQ253),ISNUMBER(AQ254)),AQ253+AQ254,"")</f>
        <v>8375</v>
      </c>
      <c r="AR273" s="260">
        <f>IF(AND(ISNUMBER(AR253),ISNUMBER(AR254)),AR253+AR254,"")</f>
        <v>30972</v>
      </c>
      <c r="AS273" s="260">
        <f>IF(AND(ISNUMBER(AS253),ISNUMBER(AS254)),AS253+AS254,"")</f>
        <v>5446</v>
      </c>
      <c r="AT273" s="260">
        <f>IF(AND(ISNUMBER(AT253),ISNUMBER(AT254)),AT253+AT254,"")</f>
        <v>8602</v>
      </c>
      <c r="AU273" s="260">
        <f>IF(AND(ISNUMBER(AU253),ISNUMBER(AU254)),AU253+AU254,"")</f>
        <v>11597</v>
      </c>
      <c r="AV273" s="260">
        <f>IF(AND(ISNUMBER(AV253),ISNUMBER(AV254)),AV253+AV254,"")</f>
        <v>17198</v>
      </c>
      <c r="AW273" s="260">
        <f>IF(AND(ISNUMBER(AW253),ISNUMBER(AW254)),AW253+AW254,"")</f>
        <v>42843</v>
      </c>
      <c r="AX273" s="260">
        <f>IF(AND(ISNUMBER(AX253),ISNUMBER(AX254)),AX253+AX254,"")</f>
        <v>13347</v>
      </c>
      <c r="AY273" s="260">
        <f>IF(AND(ISNUMBER(AY253),ISNUMBER(AY254)),AY253+AY254,"")</f>
        <v>16394</v>
      </c>
      <c r="AZ273" s="260">
        <f>IF(AND(ISNUMBER(AZ253),ISNUMBER(AZ254)),AZ253+AZ254,"")</f>
        <v>18720</v>
      </c>
      <c r="BA273" s="260">
        <f>IF(AND(ISNUMBER(BA253),ISNUMBER(BA254)),BA253+BA254,"")</f>
        <v>18551</v>
      </c>
      <c r="BB273" s="260">
        <f>IF(AND(ISNUMBER(BB253),ISNUMBER(BB254)),BB253+BB254,"")</f>
        <v>67012</v>
      </c>
      <c r="BC273" s="260">
        <f>IF(AND(ISNUMBER(BC253),ISNUMBER(BC254)),BC253+BC254,"")</f>
        <v>15320</v>
      </c>
      <c r="BD273" s="260">
        <f>IF(AND(ISNUMBER(BD253),ISNUMBER(BD254)),BD253+BD254,"")</f>
        <v>12594</v>
      </c>
      <c r="BE273" s="260">
        <f>IF(AND(ISNUMBER(BE253),ISNUMBER(BE254)),BE253+BE254,"")</f>
        <v>16077</v>
      </c>
      <c r="BF273" s="260">
        <f>IF(AND(ISNUMBER(BF253),ISNUMBER(BF254)),BF253+BF254,"")</f>
        <v>16019</v>
      </c>
      <c r="BG273" s="260">
        <f>IF(AND(ISNUMBER(BG253),ISNUMBER(BG254)),BG253+BG254,"")</f>
        <v>60010</v>
      </c>
      <c r="BH273" s="260">
        <f>IF(AND(ISNUMBER(BH253),ISNUMBER(BH254)),BH253+BH254,"")</f>
        <v>17220</v>
      </c>
      <c r="BI273" s="260">
        <f>IF(AND(ISNUMBER(BI253),ISNUMBER(BI254)),BI253+BI254,"")</f>
        <v>21778</v>
      </c>
      <c r="BJ273" s="260">
        <f>IF(AND(ISNUMBER(BJ253),ISNUMBER(BJ254)),BJ253+BJ254,"")</f>
        <v>22601</v>
      </c>
      <c r="BK273" s="260">
        <f>IF(AND(ISNUMBER(BK253),ISNUMBER(BK254)),BK253+BK254,"")</f>
        <v>7896</v>
      </c>
      <c r="BL273" s="260">
        <f>IF(AND(ISNUMBER(BL253),ISNUMBER(BL254)),BL253+BL254,"")</f>
        <v>69495</v>
      </c>
      <c r="BM273" s="260">
        <f>IF(AND(ISNUMBER(BM253),ISNUMBER(BM254)),BM253+BM254,"")</f>
        <v>16836</v>
      </c>
      <c r="BN273" s="260">
        <f>IF(AND(ISNUMBER(BN253),ISNUMBER(BN254)),BN253+BN254,"")</f>
        <v>13454</v>
      </c>
      <c r="BO273" s="260">
        <f>IF(AND(ISNUMBER(BO253),ISNUMBER(BO254)),BO253+BO254,"")</f>
        <v>17637</v>
      </c>
      <c r="BP273" s="260">
        <f>IF(AND(ISNUMBER(BP253),ISNUMBER(BP254)),BP253+BP254,"")</f>
        <v>24837</v>
      </c>
      <c r="BQ273" s="260">
        <f>IF(AND(ISNUMBER(BQ253),ISNUMBER(BQ254)),BQ253+BQ254,"")</f>
        <v>72764</v>
      </c>
      <c r="BR273" s="260">
        <f>IF(AND(ISNUMBER(BR253),ISNUMBER(BR254)),BR253+BR254,"")</f>
        <v>18953</v>
      </c>
      <c r="BS273" s="260">
        <f>IF(AND(ISNUMBER(BS253),ISNUMBER(BS254)),BS253+BS254,"")</f>
        <v>5301</v>
      </c>
      <c r="BT273" s="260">
        <f>IF(AND(ISNUMBER(BT253),ISNUMBER(BT254)),BT253+BT254,"")</f>
        <v>24461</v>
      </c>
      <c r="BU273" s="260">
        <f>IF(AND(ISNUMBER(BU253),ISNUMBER(BU254)),BU253+BU254,"")</f>
        <v>24551</v>
      </c>
      <c r="BV273" s="260">
        <f>IF(AND(ISNUMBER(BV253),ISNUMBER(BV254)),BV253+BV254,"")</f>
        <v>73266</v>
      </c>
      <c r="BW273" s="260">
        <f>IF(AND(ISNUMBER(BW253),ISNUMBER(BW254)),BW253+BW254,"")</f>
        <v>10116</v>
      </c>
      <c r="BX273" s="260">
        <f>IF(AND(ISNUMBER(BX253),ISNUMBER(BX254)),BX253+BX254,"")</f>
        <v>-5855</v>
      </c>
      <c r="BY273" s="56" t="n"/>
      <c r="BZ273" s="56" t="n"/>
      <c r="CA273" s="260">
        <f>IF(AND(ISNUMBER(CA253),ISNUMBER(CA254)),CA253+CA254,"")</f>
        <v>-2821.47721360537</v>
      </c>
      <c r="CB273" s="260">
        <f>IF(AND(ISNUMBER(CB253),ISNUMBER(CB254)),CB253+CB254,"")</f>
        <v>8523.40654719845</v>
      </c>
      <c r="CC273" s="260">
        <f>IF(AND(ISNUMBER(CC253),ISNUMBER(CC254)),CC253+CC254,"")</f>
        <v>26877.5721677096</v>
      </c>
      <c r="CD273" s="260">
        <f>IF(AND(ISNUMBER(CD253),ISNUMBER(CD254)),CD253+CD254,"")</f>
        <v>57836.0837136977</v>
      </c>
      <c r="CE273" s="260">
        <f>IF(AND(ISNUMBER(CE253),ISNUMBER(CE254)),CE253+CE254,"")</f>
        <v>88769.8124908412</v>
      </c>
      <c r="CF273" s="153" t="n"/>
      <c r="CH273" s="20">
        <f>IFERROR((CE273/BV273)^(1/5)-1,"n/m")</f>
        <v>0.0391364147157829</v>
      </c>
      <c r="CI273" s="20">
        <f>IFERROR((BV273/AW273)^(1/5)-1,"n/m")</f>
        <v>0.113280293467957</v>
      </c>
      <c r="CJ273" s="20">
        <f>IFERROR((BV273/X273)^(1/10)-1,"n/m")</f>
        <v>0.163545551272187</v>
      </c>
      <c r="CK273" s="20">
        <f>IFERROR((BV273/C273)^(1/19)-1,"n/m")</f>
        <v>0.219903724583995</v>
      </c>
    </row>
    <row r="274" ht="15" customHeight="1" s="251">
      <c r="B274" s="156" t="inlineStr">
        <is>
          <t xml:space="preserve">  Company-published free cash flow (quarterly releases)</t>
        </is>
      </c>
      <c r="C274" s="34" t="n"/>
      <c r="D274" s="34" t="n"/>
      <c r="E274" s="34" t="n"/>
      <c r="F274" s="34" t="n"/>
      <c r="G274" s="34" t="n"/>
      <c r="H274" s="34" t="n"/>
      <c r="I274" s="34" t="n"/>
      <c r="J274" s="253" t="n">
        <v>2430</v>
      </c>
      <c r="K274" s="253" t="n">
        <v>3094</v>
      </c>
      <c r="L274" s="253" t="n">
        <v>2794</v>
      </c>
      <c r="M274" s="253" t="n">
        <v>2983</v>
      </c>
      <c r="N274" s="34" t="n"/>
      <c r="O274" s="253" t="n">
        <v>2046</v>
      </c>
      <c r="P274" s="253" t="n">
        <v>2981</v>
      </c>
      <c r="Q274" s="253" t="n">
        <v>3577</v>
      </c>
      <c r="R274" s="253" t="n">
        <v>2813</v>
      </c>
      <c r="S274" s="34" t="n"/>
      <c r="T274" s="253" t="n">
        <v>3690</v>
      </c>
      <c r="U274" s="253" t="n">
        <v>4470</v>
      </c>
      <c r="V274" s="253" t="n">
        <v>3634</v>
      </c>
      <c r="W274" s="253" t="n">
        <v>4315</v>
      </c>
      <c r="X274" s="34" t="n"/>
      <c r="Y274" s="253" t="n">
        <v>5230</v>
      </c>
      <c r="Z274" s="253" t="n">
        <v>6997</v>
      </c>
      <c r="AA274" s="253" t="n">
        <v>7291</v>
      </c>
      <c r="AB274" s="253" t="n">
        <v>6335</v>
      </c>
      <c r="AC274" s="34" t="n"/>
      <c r="AD274" s="253" t="n">
        <v>7040</v>
      </c>
      <c r="AE274" s="253" t="n">
        <v>4572</v>
      </c>
      <c r="AF274" s="253" t="n">
        <v>6334</v>
      </c>
      <c r="AG274" s="253" t="n">
        <v>5961</v>
      </c>
      <c r="AH274" s="34" t="n"/>
      <c r="AI274" s="253" t="n">
        <v>4343</v>
      </c>
      <c r="AJ274" s="253" t="n">
        <v>4655</v>
      </c>
      <c r="AK274" s="253" t="n">
        <v>7928</v>
      </c>
      <c r="AL274" s="253" t="n">
        <v>5906</v>
      </c>
      <c r="AM274" s="34" t="n"/>
      <c r="AN274" s="253" t="n">
        <v>7362</v>
      </c>
      <c r="AO274" s="253" t="n">
        <v>6501</v>
      </c>
      <c r="AP274" s="253" t="n">
        <v>8734</v>
      </c>
      <c r="AQ274" s="253" t="n">
        <v>8375</v>
      </c>
      <c r="AR274" s="34" t="n"/>
      <c r="AS274" s="253" t="n">
        <v>5446</v>
      </c>
      <c r="AT274" s="253" t="n">
        <v>8602</v>
      </c>
      <c r="AU274" s="253" t="n">
        <v>11597</v>
      </c>
      <c r="AV274" s="253" t="n">
        <v>17198</v>
      </c>
      <c r="AW274" s="34" t="n"/>
      <c r="AX274" s="253" t="n">
        <v>13347</v>
      </c>
      <c r="AY274" s="253" t="n">
        <v>16394</v>
      </c>
      <c r="AZ274" s="253" t="n">
        <v>18720</v>
      </c>
      <c r="BA274" s="253" t="n">
        <v>18551</v>
      </c>
      <c r="BB274" s="34" t="n"/>
      <c r="BC274" s="253" t="n">
        <v>15320</v>
      </c>
      <c r="BD274" s="253" t="n">
        <v>12594</v>
      </c>
      <c r="BE274" s="253" t="n">
        <v>16077</v>
      </c>
      <c r="BF274" s="253" t="n">
        <v>16019</v>
      </c>
      <c r="BG274" s="34" t="n"/>
      <c r="BH274" s="253" t="n">
        <v>17220</v>
      </c>
      <c r="BI274" s="253" t="n">
        <v>21778</v>
      </c>
      <c r="BJ274" s="253" t="n">
        <v>22601</v>
      </c>
      <c r="BK274" s="253" t="n">
        <v>7896</v>
      </c>
      <c r="BL274" s="34" t="n"/>
      <c r="BM274" s="253" t="n">
        <v>16836</v>
      </c>
      <c r="BN274" s="253" t="n">
        <v>13454</v>
      </c>
      <c r="BO274" s="253" t="n">
        <v>17637</v>
      </c>
      <c r="BP274" s="253" t="n">
        <v>24837</v>
      </c>
      <c r="BQ274" s="34" t="n"/>
      <c r="BR274" s="253" t="n">
        <v>18953</v>
      </c>
      <c r="BS274" s="253" t="n">
        <v>5301</v>
      </c>
      <c r="BT274" s="253" t="n">
        <v>24461</v>
      </c>
      <c r="BU274" s="253" t="n">
        <v>24551</v>
      </c>
      <c r="BV274" s="34" t="n"/>
      <c r="BW274" s="253" t="n">
        <v>10116</v>
      </c>
      <c r="BX274" s="253" t="n">
        <v>-5855</v>
      </c>
      <c r="BY274" s="153" t="n"/>
      <c r="BZ274" s="153" t="n"/>
      <c r="CA274" s="153" t="n"/>
      <c r="CB274" s="153" t="n"/>
      <c r="CC274" s="153" t="n"/>
      <c r="CD274" s="153" t="n"/>
      <c r="CE274" s="153" t="n"/>
      <c r="CF274" s="153" t="n"/>
    </row>
    <row r="275" ht="15" customHeight="1" s="251">
      <c r="B275" s="57" t="inlineStr">
        <is>
          <t xml:space="preserve">  Check: model vs company-published free cash flow (should be 0; Q3-16 release predates a $29m 10-Q revision)</t>
        </is>
      </c>
      <c r="C275" s="211" t="str">
        <f>IF(ISNUMBER(C274),IF(ABS(C273-C274)&lt;=1,0,ROUND(C273-C274,0)),"n/p")</f>
        <v>n/p</v>
      </c>
      <c r="D275" s="211" t="str">
        <f>IF(ISNUMBER(D274),IF(ABS(D273-D274)&lt;=1,0,ROUND(D273-D274,0)),"n/p")</f>
        <v>n/p</v>
      </c>
      <c r="E275" s="211" t="str">
        <f>IF(ISNUMBER(E274),IF(ABS(E273-E274)&lt;=1,0,ROUND(E273-E274,0)),"n/p")</f>
        <v>n/p</v>
      </c>
      <c r="F275" s="211" t="str">
        <f>IF(ISNUMBER(F274),IF(ABS(F273-F274)&lt;=1,0,ROUND(F273-F274,0)),"n/p")</f>
        <v>n/p</v>
      </c>
      <c r="G275" s="211" t="str">
        <f>IF(ISNUMBER(G274),IF(ABS(G273-G274)&lt;=1,0,ROUND(G273-G274,0)),"n/p")</f>
        <v>n/p</v>
      </c>
      <c r="H275" s="211" t="str">
        <f>IF(ISNUMBER(H274),IF(ABS(H273-H274)&lt;=1,0,ROUND(H273-H274,0)),"n/p")</f>
        <v>n/p</v>
      </c>
      <c r="I275" s="211" t="str">
        <f>IF(ISNUMBER(I274),IF(ABS(I273-I274)&lt;=1,0,ROUND(I273-I274,0)),"n/p")</f>
        <v>n/p</v>
      </c>
      <c r="J275" s="211">
        <f>IF(ISNUMBER(J274),IF(ABS(J273-J274)&lt;=1,0,ROUND(J273-J274,0)),"n/p")</f>
        <v>0</v>
      </c>
      <c r="K275" s="211">
        <f>IF(ISNUMBER(K274),IF(ABS(K273-K274)&lt;=1,0,ROUND(K273-K274,0)),"n/p")</f>
        <v>0</v>
      </c>
      <c r="L275" s="211">
        <f>IF(ISNUMBER(L274),IF(ABS(L273-L274)&lt;=1,0,ROUND(L273-L274,0)),"n/p")</f>
        <v>0</v>
      </c>
      <c r="M275" s="211">
        <f>IF(ISNUMBER(M274),IF(ABS(M273-M274)&lt;=1,0,ROUND(M273-M274,0)),"n/p")</f>
        <v>0</v>
      </c>
      <c r="N275" s="211" t="str">
        <f>IF(ISNUMBER(N274),IF(ABS(N273-N274)&lt;=1,0,ROUND(N273-N274,0)),"n/p")</f>
        <v>n/p</v>
      </c>
      <c r="O275" s="211">
        <f>IF(ISNUMBER(O274),IF(ABS(O273-O274)&lt;=1,0,ROUND(O273-O274,0)),"n/p")</f>
        <v>0</v>
      </c>
      <c r="P275" s="211">
        <f>IF(ISNUMBER(P274),IF(ABS(P273-P274)&lt;=1,0,ROUND(P273-P274,0)),"n/p")</f>
        <v>0</v>
      </c>
      <c r="Q275" s="211">
        <f>IF(ISNUMBER(Q274),IF(ABS(Q273-Q274)&lt;=1,0,ROUND(Q273-Q274,0)),"n/p")</f>
        <v>0</v>
      </c>
      <c r="R275" s="211">
        <f>IF(ISNUMBER(R274),IF(ABS(R273-R274)&lt;=1,0,ROUND(R273-R274,0)),"n/p")</f>
        <v>0</v>
      </c>
      <c r="S275" s="211" t="str">
        <f>IF(ISNUMBER(S274),IF(ABS(S273-S274)&lt;=1,0,ROUND(S273-S274,0)),"n/p")</f>
        <v>n/p</v>
      </c>
      <c r="T275" s="211">
        <f>IF(ISNUMBER(T274),IF(ABS(T273-T274)&lt;=1,0,ROUND(T273-T274,0)),"n/p")</f>
        <v>0</v>
      </c>
      <c r="U275" s="211">
        <f>IF(ISNUMBER(U274),IF(ABS(U273-U274)&lt;=1,0,ROUND(U273-U274,0)),"n/p")</f>
        <v>0</v>
      </c>
      <c r="V275" s="211">
        <f>IF(ISNUMBER(V274),IF(ABS(V273-V274)&lt;=1,0,ROUND(V273-V274,0)),"n/p")</f>
        <v>0</v>
      </c>
      <c r="W275" s="211">
        <f>IF(ISNUMBER(W274),IF(ABS(W273-W274)&lt;=1,0,ROUND(W273-W274,0)),"n/p")</f>
        <v>0</v>
      </c>
      <c r="X275" s="211" t="str">
        <f>IF(ISNUMBER(X274),IF(ABS(X273-X274)&lt;=1,0,ROUND(X273-X274,0)),"n/p")</f>
        <v>n/p</v>
      </c>
      <c r="Y275" s="211">
        <f>IF(ISNUMBER(Y274),IF(ABS(Y273-Y274)&lt;=1,0,ROUND(Y273-Y274,0)),"n/p")</f>
        <v>0</v>
      </c>
      <c r="Z275" s="211">
        <f>IF(ISNUMBER(Z274),IF(ABS(Z273-Z274)&lt;=1,0,ROUND(Z273-Z274,0)),"n/p")</f>
        <v>0</v>
      </c>
      <c r="AA275" s="211" t="str">
        <f>"exception"</f>
        <v>exception</v>
      </c>
      <c r="AB275" s="211">
        <f>IF(ISNUMBER(AB274),IF(ABS(AB273-AB274)&lt;=1,0,ROUND(AB273-AB274,0)),"n/p")</f>
        <v>0</v>
      </c>
      <c r="AC275" s="211" t="str">
        <f>IF(ISNUMBER(AC274),IF(ABS(AC273-AC274)&lt;=1,0,ROUND(AC273-AC274,0)),"n/p")</f>
        <v>n/p</v>
      </c>
      <c r="AD275" s="211">
        <f>IF(ISNUMBER(AD274),IF(ABS(AD273-AD274)&lt;=1,0,ROUND(AD273-AD274,0)),"n/p")</f>
        <v>0</v>
      </c>
      <c r="AE275" s="211">
        <f>IF(ISNUMBER(AE274),IF(ABS(AE273-AE274)&lt;=1,0,ROUND(AE273-AE274,0)),"n/p")</f>
        <v>0</v>
      </c>
      <c r="AF275" s="211">
        <f>IF(ISNUMBER(AF274),IF(ABS(AF273-AF274)&lt;=1,0,ROUND(AF273-AF274,0)),"n/p")</f>
        <v>0</v>
      </c>
      <c r="AG275" s="211">
        <f>IF(ISNUMBER(AG274),IF(ABS(AG273-AG274)&lt;=1,0,ROUND(AG273-AG274,0)),"n/p")</f>
        <v>0</v>
      </c>
      <c r="AH275" s="211" t="str">
        <f>IF(ISNUMBER(AH274),IF(ABS(AH273-AH274)&lt;=1,0,ROUND(AH273-AH274,0)),"n/p")</f>
        <v>n/p</v>
      </c>
      <c r="AI275" s="211">
        <f>IF(ISNUMBER(AI274),IF(ABS(AI273-AI274)&lt;=1,0,ROUND(AI273-AI274,0)),"n/p")</f>
        <v>0</v>
      </c>
      <c r="AJ275" s="211">
        <f>IF(ISNUMBER(AJ274),IF(ABS(AJ273-AJ274)&lt;=1,0,ROUND(AJ273-AJ274,0)),"n/p")</f>
        <v>0</v>
      </c>
      <c r="AK275" s="211">
        <f>IF(ISNUMBER(AK274),IF(ABS(AK273-AK274)&lt;=1,0,ROUND(AK273-AK274,0)),"n/p")</f>
        <v>0</v>
      </c>
      <c r="AL275" s="211">
        <f>IF(ISNUMBER(AL274),IF(ABS(AL273-AL274)&lt;=1,0,ROUND(AL273-AL274,0)),"n/p")</f>
        <v>0</v>
      </c>
      <c r="AM275" s="211" t="str">
        <f>IF(ISNUMBER(AM274),IF(ABS(AM273-AM274)&lt;=1,0,ROUND(AM273-AM274,0)),"n/p")</f>
        <v>n/p</v>
      </c>
      <c r="AN275" s="211">
        <f>IF(ISNUMBER(AN274),IF(ABS(AN273-AN274)&lt;=1,0,ROUND(AN273-AN274,0)),"n/p")</f>
        <v>0</v>
      </c>
      <c r="AO275" s="211">
        <f>IF(ISNUMBER(AO274),IF(ABS(AO273-AO274)&lt;=1,0,ROUND(AO273-AO274,0)),"n/p")</f>
        <v>0</v>
      </c>
      <c r="AP275" s="211">
        <f>IF(ISNUMBER(AP274),IF(ABS(AP273-AP274)&lt;=1,0,ROUND(AP273-AP274,0)),"n/p")</f>
        <v>0</v>
      </c>
      <c r="AQ275" s="211">
        <f>IF(ISNUMBER(AQ274),IF(ABS(AQ273-AQ274)&lt;=1,0,ROUND(AQ273-AQ274,0)),"n/p")</f>
        <v>0</v>
      </c>
      <c r="AR275" s="211" t="str">
        <f>IF(ISNUMBER(AR274),IF(ABS(AR273-AR274)&lt;=1,0,ROUND(AR273-AR274,0)),"n/p")</f>
        <v>n/p</v>
      </c>
      <c r="AS275" s="211">
        <f>IF(ISNUMBER(AS274),IF(ABS(AS273-AS274)&lt;=1,0,ROUND(AS273-AS274,0)),"n/p")</f>
        <v>0</v>
      </c>
      <c r="AT275" s="211">
        <f>IF(ISNUMBER(AT274),IF(ABS(AT273-AT274)&lt;=1,0,ROUND(AT273-AT274,0)),"n/p")</f>
        <v>0</v>
      </c>
      <c r="AU275" s="211">
        <f>IF(ISNUMBER(AU274),IF(ABS(AU273-AU274)&lt;=1,0,ROUND(AU273-AU274,0)),"n/p")</f>
        <v>0</v>
      </c>
      <c r="AV275" s="211">
        <f>IF(ISNUMBER(AV274),IF(ABS(AV273-AV274)&lt;=1,0,ROUND(AV273-AV274,0)),"n/p")</f>
        <v>0</v>
      </c>
      <c r="AW275" s="211" t="str">
        <f>IF(ISNUMBER(AW274),IF(ABS(AW273-AW274)&lt;=1,0,ROUND(AW273-AW274,0)),"n/p")</f>
        <v>n/p</v>
      </c>
      <c r="AX275" s="211">
        <f>IF(ISNUMBER(AX274),IF(ABS(AX273-AX274)&lt;=1,0,ROUND(AX273-AX274,0)),"n/p")</f>
        <v>0</v>
      </c>
      <c r="AY275" s="211">
        <f>IF(ISNUMBER(AY274),IF(ABS(AY273-AY274)&lt;=1,0,ROUND(AY273-AY274,0)),"n/p")</f>
        <v>0</v>
      </c>
      <c r="AZ275" s="211">
        <f>IF(ISNUMBER(AZ274),IF(ABS(AZ273-AZ274)&lt;=1,0,ROUND(AZ273-AZ274,0)),"n/p")</f>
        <v>0</v>
      </c>
      <c r="BA275" s="211">
        <f>IF(ISNUMBER(BA274),IF(ABS(BA273-BA274)&lt;=1,0,ROUND(BA273-BA274,0)),"n/p")</f>
        <v>0</v>
      </c>
      <c r="BB275" s="211" t="str">
        <f>IF(ISNUMBER(BB274),IF(ABS(BB273-BB274)&lt;=1,0,ROUND(BB273-BB274,0)),"n/p")</f>
        <v>n/p</v>
      </c>
      <c r="BC275" s="211">
        <f>IF(ISNUMBER(BC274),IF(ABS(BC273-BC274)&lt;=1,0,ROUND(BC273-BC274,0)),"n/p")</f>
        <v>0</v>
      </c>
      <c r="BD275" s="211">
        <f>IF(ISNUMBER(BD274),IF(ABS(BD273-BD274)&lt;=1,0,ROUND(BD273-BD274,0)),"n/p")</f>
        <v>0</v>
      </c>
      <c r="BE275" s="211">
        <f>IF(ISNUMBER(BE274),IF(ABS(BE273-BE274)&lt;=1,0,ROUND(BE273-BE274,0)),"n/p")</f>
        <v>0</v>
      </c>
      <c r="BF275" s="211">
        <f>IF(ISNUMBER(BF274),IF(ABS(BF273-BF274)&lt;=1,0,ROUND(BF273-BF274,0)),"n/p")</f>
        <v>0</v>
      </c>
      <c r="BG275" s="211" t="str">
        <f>IF(ISNUMBER(BG274),IF(ABS(BG273-BG274)&lt;=1,0,ROUND(BG273-BG274,0)),"n/p")</f>
        <v>n/p</v>
      </c>
      <c r="BH275" s="211">
        <f>IF(ISNUMBER(BH274),IF(ABS(BH273-BH274)&lt;=1,0,ROUND(BH273-BH274,0)),"n/p")</f>
        <v>0</v>
      </c>
      <c r="BI275" s="211">
        <f>IF(ISNUMBER(BI274),IF(ABS(BI273-BI274)&lt;=1,0,ROUND(BI273-BI274,0)),"n/p")</f>
        <v>0</v>
      </c>
      <c r="BJ275" s="211">
        <f>IF(ISNUMBER(BJ274),IF(ABS(BJ273-BJ274)&lt;=1,0,ROUND(BJ273-BJ274,0)),"n/p")</f>
        <v>0</v>
      </c>
      <c r="BK275" s="211">
        <f>IF(ISNUMBER(BK274),IF(ABS(BK273-BK274)&lt;=1,0,ROUND(BK273-BK274,0)),"n/p")</f>
        <v>0</v>
      </c>
      <c r="BL275" s="211" t="str">
        <f>IF(ISNUMBER(BL274),IF(ABS(BL273-BL274)&lt;=1,0,ROUND(BL273-BL274,0)),"n/p")</f>
        <v>n/p</v>
      </c>
      <c r="BM275" s="211">
        <f>IF(ISNUMBER(BM274),IF(ABS(BM273-BM274)&lt;=1,0,ROUND(BM273-BM274,0)),"n/p")</f>
        <v>0</v>
      </c>
      <c r="BN275" s="211">
        <f>IF(ISNUMBER(BN274),IF(ABS(BN273-BN274)&lt;=1,0,ROUND(BN273-BN274,0)),"n/p")</f>
        <v>0</v>
      </c>
      <c r="BO275" s="211">
        <f>IF(ISNUMBER(BO274),IF(ABS(BO273-BO274)&lt;=1,0,ROUND(BO273-BO274,0)),"n/p")</f>
        <v>0</v>
      </c>
      <c r="BP275" s="211">
        <f>IF(ISNUMBER(BP274),IF(ABS(BP273-BP274)&lt;=1,0,ROUND(BP273-BP274,0)),"n/p")</f>
        <v>0</v>
      </c>
      <c r="BQ275" s="211" t="str">
        <f>IF(ISNUMBER(BQ274),IF(ABS(BQ273-BQ274)&lt;=1,0,ROUND(BQ273-BQ274,0)),"n/p")</f>
        <v>n/p</v>
      </c>
      <c r="BR275" s="211">
        <f>IF(ISNUMBER(BR274),IF(ABS(BR273-BR274)&lt;=1,0,ROUND(BR273-BR274,0)),"n/p")</f>
        <v>0</v>
      </c>
      <c r="BS275" s="211">
        <f>IF(ISNUMBER(BS274),IF(ABS(BS273-BS274)&lt;=1,0,ROUND(BS273-BS274,0)),"n/p")</f>
        <v>0</v>
      </c>
      <c r="BT275" s="211">
        <f>IF(ISNUMBER(BT274),IF(ABS(BT273-BT274)&lt;=1,0,ROUND(BT273-BT274,0)),"n/p")</f>
        <v>0</v>
      </c>
      <c r="BU275" s="211">
        <f>IF(ISNUMBER(BU274),IF(ABS(BU273-BU274)&lt;=1,0,ROUND(BU273-BU274,0)),"n/p")</f>
        <v>0</v>
      </c>
      <c r="BV275" s="211" t="str">
        <f>IF(ISNUMBER(BV274),IF(ABS(BV273-BV274)&lt;=1,0,ROUND(BV273-BV274,0)),"n/p")</f>
        <v>n/p</v>
      </c>
      <c r="BW275" s="211">
        <f>IF(ISNUMBER(BW274),IF(ABS(BW273-BW274)&lt;=1,0,ROUND(BW273-BW274,0)),"n/p")</f>
        <v>0</v>
      </c>
      <c r="BX275" s="211">
        <f>IF(ISNUMBER(BX274),IF(ABS(BX273-BX274)&lt;=1,0,ROUND(BX273-BX274,0)),"n/p")</f>
        <v>0</v>
      </c>
      <c r="BY275" s="153" t="n"/>
      <c r="BZ275" s="153" t="n"/>
      <c r="CA275" s="153" t="n"/>
      <c r="CB275" s="153" t="n"/>
      <c r="CC275" s="153" t="n"/>
      <c r="CD275" s="153" t="n"/>
      <c r="CE275" s="153" t="n"/>
      <c r="CF275" s="153" t="n"/>
    </row>
    <row r="276" ht="15" customHeight="1" s="251">
      <c r="B276" s="22" t="inlineStr">
        <is>
          <t xml:space="preserve">  FCF y/y %</t>
        </is>
      </c>
      <c r="C276" s="23" t="n"/>
      <c r="D276" s="255">
        <f>IF(AND(ISNUMBER(D273),ISNUMBER(C273)),IFERROR(D273/C273-1,""),"")</f>
        <v>1.01022226725715</v>
      </c>
      <c r="E276" s="255">
        <f>IF(AND(ISNUMBER(E273),ISNUMBER(D273)),IFERROR(E273/D273-1,""),"")</f>
        <v>0.629142167545818</v>
      </c>
      <c r="F276" s="255">
        <f>IF(AND(ISNUMBER(F273),ISNUMBER(E273)),IFERROR(F273/E273-1,""),"")</f>
        <v>0.548179272116534</v>
      </c>
      <c r="G276" s="255">
        <f>IF(AND(ISNUMBER(G273),ISNUMBER(F273)),IFERROR(G273/F273-1,""),"")</f>
        <v>-0.169675217573778</v>
      </c>
      <c r="H276" s="255">
        <f>IF(AND(ISNUMBER(H273),ISNUMBER(G273)),IFERROR(H273/G273-1,""),"")</f>
        <v>0.575392892538581</v>
      </c>
      <c r="I276" s="255">
        <f>IF(AND(ISNUMBER(I273),ISNUMBER(H273)),IFERROR(I273/H273-1,""),"")</f>
        <v>0.19942482250382</v>
      </c>
      <c r="J276" s="23" t="n"/>
      <c r="K276" s="23" t="n"/>
      <c r="L276" s="23" t="n"/>
      <c r="M276" s="23" t="n"/>
      <c r="N276" s="255">
        <f>IF(AND(ISNUMBER(N273),ISNUMBER(I273)),IFERROR(N273/I273-1,""),"")</f>
        <v>-0.153229432039562</v>
      </c>
      <c r="O276" s="255">
        <f>IF(AND(ISNUMBER(O273),ISNUMBER(J273)),IFERROR(O273/J273-1,""),"")</f>
        <v>-0.158024691358025</v>
      </c>
      <c r="P276" s="255">
        <f>IF(AND(ISNUMBER(P273),ISNUMBER(K273)),IFERROR(P273/K273-1,""),"")</f>
        <v>-0.0365223012281836</v>
      </c>
      <c r="Q276" s="255">
        <f>IF(AND(ISNUMBER(Q273),ISNUMBER(L273)),IFERROR(Q273/L273-1,""),"")</f>
        <v>0.280243378668576</v>
      </c>
      <c r="R276" s="255">
        <f>IF(AND(ISNUMBER(R273),ISNUMBER(M273)),IFERROR(R273/M273-1,""),"")</f>
        <v>-0.0569896077774053</v>
      </c>
      <c r="S276" s="255">
        <f>IF(AND(ISNUMBER(S273),ISNUMBER(N273)),IFERROR(S273/N273-1,""),"")</f>
        <v>0.0102645783558977</v>
      </c>
      <c r="T276" s="255">
        <f>IF(AND(ISNUMBER(T273),ISNUMBER(O273)),IFERROR(T273/O273-1,""),"")</f>
        <v>0.803519061583578</v>
      </c>
      <c r="U276" s="255">
        <f>IF(AND(ISNUMBER(U273),ISNUMBER(P273)),IFERROR(U273/P273-1,""),"")</f>
        <v>0.49949681314995</v>
      </c>
      <c r="V276" s="255">
        <f>IF(AND(ISNUMBER(V273),ISNUMBER(Q273)),IFERROR(V273/Q273-1,""),"")</f>
        <v>0.0159351411797595</v>
      </c>
      <c r="W276" s="255">
        <f>IF(AND(ISNUMBER(W273),ISNUMBER(R273)),IFERROR(W273/R273-1,""),"")</f>
        <v>0.533949520085318</v>
      </c>
      <c r="X276" s="255">
        <f>IF(AND(ISNUMBER(X273),ISNUMBER(S273)),IFERROR(X273/S273-1,""),"")</f>
        <v>0.410966103179469</v>
      </c>
      <c r="Y276" s="255">
        <f>IF(AND(ISNUMBER(Y273),ISNUMBER(T273)),IFERROR(Y273/T273-1,""),"")</f>
        <v>0.417344173441734</v>
      </c>
      <c r="Z276" s="255">
        <f>IF(AND(ISNUMBER(Z273),ISNUMBER(U273)),IFERROR(Z273/U273-1,""),"")</f>
        <v>0.565324384787472</v>
      </c>
      <c r="AA276" s="255">
        <f>IF(AND(ISNUMBER(AA273),ISNUMBER(V273)),IFERROR(AA273/V273-1,""),"")</f>
        <v>0.998348926802422</v>
      </c>
      <c r="AB276" s="255">
        <f>IF(AND(ISNUMBER(AB273),ISNUMBER(W273)),IFERROR(AB273/W273-1,""),"")</f>
        <v>0.468134414831982</v>
      </c>
      <c r="AC276" s="255">
        <f>IF(AND(ISNUMBER(AC273),ISNUMBER(X273)),IFERROR(AC273/X273-1,""),"")</f>
        <v>0.603079024147992</v>
      </c>
      <c r="AD276" s="255">
        <f>IF(AND(ISNUMBER(AD273),ISNUMBER(Y273)),IFERROR(AD273/Y273-1,""),"")</f>
        <v>0.346080305927342</v>
      </c>
      <c r="AE276" s="255">
        <f>IF(AND(ISNUMBER(AE273),ISNUMBER(Z273)),IFERROR(AE273/Z273-1,""),"")</f>
        <v>-0.346577104473346</v>
      </c>
      <c r="AF276" s="255">
        <f>IF(AND(ISNUMBER(AF273),ISNUMBER(AA273)),IFERROR(AF273/AA273-1,""),"")</f>
        <v>-0.127788488019829</v>
      </c>
      <c r="AG276" s="255">
        <f>IF(AND(ISNUMBER(AG273),ISNUMBER(AB273)),IFERROR(AG273/AB273-1,""),"")</f>
        <v>-0.0590370955011839</v>
      </c>
      <c r="AH276" s="255">
        <f>IF(AND(ISNUMBER(AH273),ISNUMBER(AC273)),IFERROR(AH273/AC273-1,""),"")</f>
        <v>-0.0742332713754647</v>
      </c>
      <c r="AI276" s="255">
        <f>IF(AND(ISNUMBER(AI273),ISNUMBER(AD273)),IFERROR(AI273/AD273-1,""),"")</f>
        <v>-0.383096590909091</v>
      </c>
      <c r="AJ276" s="255">
        <f>IF(AND(ISNUMBER(AJ273),ISNUMBER(AE273)),IFERROR(AJ273/AE273-1,""),"")</f>
        <v>0.018153980752406</v>
      </c>
      <c r="AK276" s="255">
        <f>IF(AND(ISNUMBER(AK273),ISNUMBER(AF273)),IFERROR(AK273/AF273-1,""),"")</f>
        <v>0.251657720239975</v>
      </c>
      <c r="AL276" s="255">
        <f>IF(AND(ISNUMBER(AL273),ISNUMBER(AG273)),IFERROR(AL273/AG273-1,""),"")</f>
        <v>-0.00922663982553262</v>
      </c>
      <c r="AM276" s="255">
        <f>IF(AND(ISNUMBER(AM273),ISNUMBER(AH273)),IFERROR(AM273/AH273-1,""),"")</f>
        <v>-0.0449659095662358</v>
      </c>
      <c r="AN276" s="255">
        <f>IF(AND(ISNUMBER(AN273),ISNUMBER(AI273)),IFERROR(AN273/AI273-1,""),"")</f>
        <v>0.695141607183974</v>
      </c>
      <c r="AO276" s="255">
        <f>IF(AND(ISNUMBER(AO273),ISNUMBER(AJ273)),IFERROR(AO273/AJ273-1,""),"")</f>
        <v>0.39656283566058</v>
      </c>
      <c r="AP276" s="255">
        <f>IF(AND(ISNUMBER(AP273),ISNUMBER(AK273)),IFERROR(AP273/AK273-1,""),"")</f>
        <v>0.101664984863774</v>
      </c>
      <c r="AQ276" s="255">
        <f>IF(AND(ISNUMBER(AQ273),ISNUMBER(AL273)),IFERROR(AQ273/AL273-1,""),"")</f>
        <v>0.41804944124619</v>
      </c>
      <c r="AR276" s="255">
        <f>IF(AND(ISNUMBER(AR273),ISNUMBER(AM273)),IFERROR(AR273/AM273-1,""),"")</f>
        <v>0.356517168885774</v>
      </c>
      <c r="AS276" s="255">
        <f>IF(AND(ISNUMBER(AS273),ISNUMBER(AN273)),IFERROR(AS273/AN273-1,""),"")</f>
        <v>-0.26025536538984</v>
      </c>
      <c r="AT276" s="255">
        <f>IF(AND(ISNUMBER(AT273),ISNUMBER(AO273)),IFERROR(AT273/AO273-1,""),"")</f>
        <v>0.323181049069374</v>
      </c>
      <c r="AU276" s="255">
        <f>IF(AND(ISNUMBER(AU273),ISNUMBER(AP273)),IFERROR(AU273/AP273-1,""),"")</f>
        <v>0.327799404625601</v>
      </c>
      <c r="AV276" s="255">
        <f>IF(AND(ISNUMBER(AV273),ISNUMBER(AQ273)),IFERROR(AV273/AQ273-1,""),"")</f>
        <v>1.05349253731343</v>
      </c>
      <c r="AW276" s="255">
        <f>IF(AND(ISNUMBER(AW273),ISNUMBER(AR273)),IFERROR(AW273/AR273-1,""),"")</f>
        <v>0.383281673769857</v>
      </c>
      <c r="AX276" s="255">
        <f>IF(AND(ISNUMBER(AX273),ISNUMBER(AS273)),IFERROR(AX273/AS273-1,""),"")</f>
        <v>1.45078957032685</v>
      </c>
      <c r="AY276" s="255">
        <f>IF(AND(ISNUMBER(AY273),ISNUMBER(AT273)),IFERROR(AY273/AT273-1,""),"")</f>
        <v>0.905835852127412</v>
      </c>
      <c r="AZ276" s="255">
        <f>IF(AND(ISNUMBER(AZ273),ISNUMBER(AU273)),IFERROR(AZ273/AU273-1,""),"")</f>
        <v>0.614210571699577</v>
      </c>
      <c r="BA276" s="255">
        <f>IF(AND(ISNUMBER(BA273),ISNUMBER(AV273)),IFERROR(BA273/AV273-1,""),"")</f>
        <v>0.0786719385975114</v>
      </c>
      <c r="BB276" s="255">
        <f>IF(AND(ISNUMBER(BB273),ISNUMBER(AW273)),IFERROR(BB273/AW273-1,""),"")</f>
        <v>0.564129496067036</v>
      </c>
      <c r="BC276" s="255">
        <f>IF(AND(ISNUMBER(BC273),ISNUMBER(AX273)),IFERROR(BC273/AX273-1,""),"")</f>
        <v>0.147823480932045</v>
      </c>
      <c r="BD276" s="255">
        <f>IF(AND(ISNUMBER(BD273),ISNUMBER(AY273)),IFERROR(BD273/AY273-1,""),"")</f>
        <v>-0.231792119067952</v>
      </c>
      <c r="BE276" s="255">
        <f>IF(AND(ISNUMBER(BE273),ISNUMBER(AZ273)),IFERROR(BE273/AZ273-1,""),"")</f>
        <v>-0.141185897435898</v>
      </c>
      <c r="BF276" s="255">
        <f>IF(AND(ISNUMBER(BF273),ISNUMBER(BA273)),IFERROR(BF273/BA273-1,""),"")</f>
        <v>-0.136488598997359</v>
      </c>
      <c r="BG276" s="255">
        <f>IF(AND(ISNUMBER(BG273),ISNUMBER(BB273)),IFERROR(BG273/BB273-1,""),"")</f>
        <v>-0.104488748283889</v>
      </c>
      <c r="BH276" s="255">
        <f>IF(AND(ISNUMBER(BH273),ISNUMBER(BC273)),IFERROR(BH273/BC273-1,""),"")</f>
        <v>0.124020887728459</v>
      </c>
      <c r="BI276" s="255">
        <f>IF(AND(ISNUMBER(BI273),ISNUMBER(BD273)),IFERROR(BI273/BD273-1,""),"")</f>
        <v>0.729236144195649</v>
      </c>
      <c r="BJ276" s="255">
        <f>IF(AND(ISNUMBER(BJ273),ISNUMBER(BE273)),IFERROR(BJ273/BE273-1,""),"")</f>
        <v>0.405797101449275</v>
      </c>
      <c r="BK276" s="255">
        <f>IF(AND(ISNUMBER(BK273),ISNUMBER(BF273)),IFERROR(BK273/BF273-1,""),"")</f>
        <v>-0.507085336163306</v>
      </c>
      <c r="BL276" s="255">
        <f>IF(AND(ISNUMBER(BL273),ISNUMBER(BG273)),IFERROR(BL273/BG273-1,""),"")</f>
        <v>0.158056990501583</v>
      </c>
      <c r="BM276" s="255">
        <f>IF(AND(ISNUMBER(BM273),ISNUMBER(BH273)),IFERROR(BM273/BH273-1,""),"")</f>
        <v>-0.0222996515679442</v>
      </c>
      <c r="BN276" s="255">
        <f>IF(AND(ISNUMBER(BN273),ISNUMBER(BI273)),IFERROR(BN273/BI273-1,""),"")</f>
        <v>-0.382220589585821</v>
      </c>
      <c r="BO276" s="255">
        <f>IF(AND(ISNUMBER(BO273),ISNUMBER(BJ273)),IFERROR(BO273/BJ273-1,""),"")</f>
        <v>-0.219636299278793</v>
      </c>
      <c r="BP276" s="255">
        <f>IF(AND(ISNUMBER(BP273),ISNUMBER(BK273)),IFERROR(BP273/BK273-1,""),"")</f>
        <v>2.14551671732523</v>
      </c>
      <c r="BQ276" s="255">
        <f>IF(AND(ISNUMBER(BQ273),ISNUMBER(BL273)),IFERROR(BQ273/BL273-1,""),"")</f>
        <v>0.0470393553493058</v>
      </c>
      <c r="BR276" s="255">
        <f>IF(AND(ISNUMBER(BR273),ISNUMBER(BM273)),IFERROR(BR273/BM273-1,""),"")</f>
        <v>0.125742456640532</v>
      </c>
      <c r="BS276" s="255">
        <f>IF(AND(ISNUMBER(BS273),ISNUMBER(BN273)),IFERROR(BS273/BN273-1,""),"")</f>
        <v>-0.605990783410138</v>
      </c>
      <c r="BT276" s="255">
        <f>IF(AND(ISNUMBER(BT273),ISNUMBER(BO273)),IFERROR(BT273/BO273-1,""),"")</f>
        <v>0.386913874241651</v>
      </c>
      <c r="BU276" s="255">
        <f>IF(AND(ISNUMBER(BU273),ISNUMBER(BP273)),IFERROR(BU273/BP273-1,""),"")</f>
        <v>-0.0115150783105851</v>
      </c>
      <c r="BV276" s="255">
        <f>IF(AND(ISNUMBER(BV273),ISNUMBER(BQ273)),IFERROR(BV273/BQ273-1,""),"")</f>
        <v>0.00689901599692155</v>
      </c>
      <c r="BW276" s="255">
        <f>IF(AND(ISNUMBER(BW273),ISNUMBER(BR273)),IFERROR(BW273/BR273-1,""),"")</f>
        <v>-0.466258639793173</v>
      </c>
      <c r="BX276" s="255">
        <f>IF(AND(ISNUMBER(BX273),ISNUMBER(BS273)),IFERROR(BX273/BS273-1,""),"")</f>
        <v>-2.10450858328617</v>
      </c>
      <c r="BY276" s="24" t="n"/>
      <c r="BZ276" s="24" t="n"/>
      <c r="CA276" s="256">
        <f>IF(AND(ISNUMBER(CA273),ISNUMBER(BV273)),IFERROR(CA273/BV273-1,""),"")</f>
        <v>-1.03851004850279</v>
      </c>
      <c r="CB276" s="256">
        <f>IF(AND(ISNUMBER(CB273),ISNUMBER(CA273)),IFERROR(CB273/CA273-1,""),"")</f>
        <v>-4.02090213810623</v>
      </c>
      <c r="CC276" s="256">
        <f>IF(AND(ISNUMBER(CC273),ISNUMBER(CB273)),IFERROR(CC273/CB273-1,""),"")</f>
        <v>2.1533838048056</v>
      </c>
      <c r="CD276" s="256">
        <f>IF(AND(ISNUMBER(CD273),ISNUMBER(CC273)),IFERROR(CD273/CC273-1,""),"")</f>
        <v>1.15183437524842</v>
      </c>
      <c r="CE276" s="256">
        <f>IF(AND(ISNUMBER(CE273),ISNUMBER(CD273)),IFERROR(CE273/CD273-1,""),"")</f>
        <v>0.534851718699916</v>
      </c>
      <c r="CF276" s="153" t="n"/>
    </row>
    <row r="277" ht="15" customHeight="1" s="251">
      <c r="B277" s="25" t="inlineStr">
        <is>
          <t xml:space="preserve">  FCF % of revenues</t>
        </is>
      </c>
      <c r="C277" s="215">
        <f>IF(AND(ISNUMBER(C273),ISNUMBER(C132)),IFERROR(C273/C132,""),"")</f>
        <v>0.158201143865624</v>
      </c>
      <c r="D277" s="215">
        <f>IF(AND(ISNUMBER(D273),ISNUMBER(D132)),IFERROR(D273/D132,""),"")</f>
        <v>0.203240499298963</v>
      </c>
      <c r="E277" s="215">
        <f>IF(AND(ISNUMBER(E273),ISNUMBER(E132)),IFERROR(E273/E132,""),"")</f>
        <v>0.252087972086045</v>
      </c>
      <c r="F277" s="215">
        <f>IF(AND(ISNUMBER(F273),ISNUMBER(F132)),IFERROR(F273/F132,""),"")</f>
        <v>0.359666279403158</v>
      </c>
      <c r="G277" s="215">
        <f>IF(AND(ISNUMBER(G273),ISNUMBER(G132)),IFERROR(G273/G132,""),"")</f>
        <v>0.240885372258791</v>
      </c>
      <c r="H277" s="215">
        <f>IF(AND(ISNUMBER(H273),ISNUMBER(H132)),IFERROR(H273/H132,""),"")</f>
        <v>0.293549663632766</v>
      </c>
      <c r="I277" s="215">
        <f>IF(AND(ISNUMBER(I273),ISNUMBER(I132)),IFERROR(I273/I132,""),"")</f>
        <v>0.26598903836572</v>
      </c>
      <c r="J277" s="215">
        <f>IF(AND(ISNUMBER(J273),ISNUMBER(J132)),IFERROR(J273/J132,""),"")</f>
        <v>0.173956618226072</v>
      </c>
      <c r="K277" s="215">
        <f>IF(AND(ISNUMBER(K273),ISNUMBER(K132)),IFERROR(K273/K132,""),"")</f>
        <v>0.219354838709677</v>
      </c>
      <c r="L277" s="215">
        <f>IF(AND(ISNUMBER(L273),ISNUMBER(L132)),IFERROR(L273/L132,""),"")</f>
        <v>0.187604915060767</v>
      </c>
      <c r="M277" s="215">
        <f>IF(AND(ISNUMBER(M273),ISNUMBER(M132)),IFERROR(M273/M132,""),"")</f>
        <v>0.176948629730692</v>
      </c>
      <c r="N277" s="215">
        <f>IF(AND(ISNUMBER(N273),ISNUMBER(N132)),IFERROR(N273/N132,""),"")</f>
        <v>0.188900961136649</v>
      </c>
      <c r="O277" s="215">
        <f>IF(AND(ISNUMBER(O273),ISNUMBER(O132)),IFERROR(O273/O132,""),"")</f>
        <v>0.132684824902724</v>
      </c>
      <c r="P277" s="215">
        <f>IF(AND(ISNUMBER(P273),ISNUMBER(P132)),IFERROR(P273/P132,""),"")</f>
        <v>0.18683798182388</v>
      </c>
      <c r="Q277" s="215">
        <f>IF(AND(ISNUMBER(Q273),ISNUMBER(Q132)),IFERROR(Q273/Q132,""),"")</f>
        <v>0.216486110270532</v>
      </c>
      <c r="R277" s="215">
        <f>IF(AND(ISNUMBER(R273),ISNUMBER(R132)),IFERROR(R273/R132,""),"")</f>
        <v>0.155388609622714</v>
      </c>
      <c r="S277" s="215">
        <f>IF(AND(ISNUMBER(S273),ISNUMBER(S132)),IFERROR(S273/S132,""),"")</f>
        <v>0.172982227542007</v>
      </c>
      <c r="T277" s="215">
        <f>IF(AND(ISNUMBER(T273),ISNUMBER(T132)),IFERROR(T273/T132,""),"")</f>
        <v>0.213813883416387</v>
      </c>
      <c r="U277" s="215">
        <f>IF(AND(ISNUMBER(U273),ISNUMBER(U132)),IFERROR(U273/U132,""),"")</f>
        <v>0.252157725503469</v>
      </c>
      <c r="V277" s="215">
        <f>IF(AND(ISNUMBER(V273),ISNUMBER(V132)),IFERROR(V273/V132,""),"")</f>
        <v>0.194591700133869</v>
      </c>
      <c r="W277" s="215">
        <f>IF(AND(ISNUMBER(W273),ISNUMBER(W132)),IFERROR(W273/W132,""),"")</f>
        <v>0.202306718552206</v>
      </c>
      <c r="X277" s="215">
        <f>IF(AND(ISNUMBER(X273),ISNUMBER(X132)),IFERROR(X273/X132,""),"")</f>
        <v>0.214818173332089</v>
      </c>
      <c r="Y277" s="215">
        <f>IF(AND(ISNUMBER(Y273),ISNUMBER(Y132)),IFERROR(Y273/Y132,""),"")</f>
        <v>0.258182356716197</v>
      </c>
      <c r="Z277" s="215">
        <f>IF(AND(ISNUMBER(Z273),ISNUMBER(Z132)),IFERROR(Z273/Z132,""),"")</f>
        <v>0.325441860465116</v>
      </c>
      <c r="AA277" s="215">
        <f>IF(AND(ISNUMBER(AA273),ISNUMBER(AA132)),IFERROR(AA273/AA132,""),"")</f>
        <v>0.323459979510935</v>
      </c>
      <c r="AB277" s="215">
        <f>IF(AND(ISNUMBER(AB273),ISNUMBER(AB132)),IFERROR(AB273/AB132,""),"")</f>
        <v>0.243055555555556</v>
      </c>
      <c r="AC277" s="215">
        <f>IF(AND(ISNUMBER(AC273),ISNUMBER(AC132)),IFERROR(AC273/AC132,""),"")</f>
        <v>0.286068769939738</v>
      </c>
      <c r="AD277" s="215">
        <f>IF(AND(ISNUMBER(AD273),ISNUMBER(AD132)),IFERROR(AD273/AD132,""),"")</f>
        <v>0.284444444444444</v>
      </c>
      <c r="AE277" s="215">
        <f>IF(AND(ISNUMBER(AE273),ISNUMBER(AE132)),IFERROR(AE273/AE132,""),"")</f>
        <v>0.175778546712803</v>
      </c>
      <c r="AF277" s="215">
        <f>IF(AND(ISNUMBER(AF273),ISNUMBER(AF132)),IFERROR(AF273/AF132,""),"")</f>
        <v>0.228071438859283</v>
      </c>
      <c r="AG277" s="215">
        <f>IF(AND(ISNUMBER(AG273),ISNUMBER(AG132)),IFERROR(AG273/AG132,""),"")</f>
        <v>0.184419763017047</v>
      </c>
      <c r="AH277" s="215">
        <f>IF(AND(ISNUMBER(AH273),ISNUMBER(AH132)),IFERROR(AH273/AH132,""),"")</f>
        <v>0.215660096522484</v>
      </c>
      <c r="AI277" s="215">
        <f>IF(AND(ISNUMBER(AI273),ISNUMBER(AI132)),IFERROR(AI273/AI132,""),"")</f>
        <v>0.139440056508059</v>
      </c>
      <c r="AJ277" s="215">
        <f>IF(AND(ISNUMBER(AJ273),ISNUMBER(AJ132)),IFERROR(AJ273/AJ132,""),"")</f>
        <v>0.142542180849435</v>
      </c>
      <c r="AK277" s="215">
        <f>IF(AND(ISNUMBER(AK273),ISNUMBER(AK132)),IFERROR(AK273/AK132,""),"")</f>
        <v>0.234973325429757</v>
      </c>
      <c r="AL277" s="215">
        <f>IF(AND(ISNUMBER(AL273),ISNUMBER(AL132)),IFERROR(AL273/AL132,""),"")</f>
        <v>0.150371728281902</v>
      </c>
      <c r="AM277" s="215">
        <f>IF(AND(ISNUMBER(AM273),ISNUMBER(AM132)),IFERROR(AM273/AM132,""),"")</f>
        <v>0.16687740737763</v>
      </c>
      <c r="AN277" s="215">
        <f>IF(AND(ISNUMBER(AN273),ISNUMBER(AN132)),IFERROR(AN273/AN132,""),"")</f>
        <v>0.202592256253612</v>
      </c>
      <c r="AO277" s="215">
        <f>IF(AND(ISNUMBER(AO273),ISNUMBER(AO132)),IFERROR(AO273/AO132,""),"")</f>
        <v>0.166932004930156</v>
      </c>
      <c r="AP277" s="215">
        <f>IF(AND(ISNUMBER(AP273),ISNUMBER(AP132)),IFERROR(AP273/AP132,""),"")</f>
        <v>0.215659645917183</v>
      </c>
      <c r="AQ277" s="215">
        <f>IF(AND(ISNUMBER(AQ273),ISNUMBER(AQ132)),IFERROR(AQ273/AQ132,""),"")</f>
        <v>0.181768855127509</v>
      </c>
      <c r="AR277" s="215">
        <f>IF(AND(ISNUMBER(AR273),ISNUMBER(AR132)),IFERROR(AR273/AR132,""),"")</f>
        <v>0.191354096517296</v>
      </c>
      <c r="AS277" s="215">
        <f>IF(AND(ISNUMBER(AS273),ISNUMBER(AS132)),IFERROR(AS273/AS132,""),"")</f>
        <v>0.132316139847907</v>
      </c>
      <c r="AT277" s="215">
        <f>IF(AND(ISNUMBER(AT273),ISNUMBER(AT132)),IFERROR(AT273/AT132,""),"")</f>
        <v>0.224612893960362</v>
      </c>
      <c r="AU277" s="215">
        <f>IF(AND(ISNUMBER(AU273),ISNUMBER(AU132)),IFERROR(AU273/AU132,""),"")</f>
        <v>0.251164100231737</v>
      </c>
      <c r="AV277" s="215">
        <f>IF(AND(ISNUMBER(AV273),ISNUMBER(AV132)),IFERROR(AV273/AV132,""),"")</f>
        <v>0.302260184892263</v>
      </c>
      <c r="AW277" s="215">
        <f>IF(AND(ISNUMBER(AW273),ISNUMBER(AW132)),IFERROR(AW273/AW132,""),"")</f>
        <v>0.234721438472116</v>
      </c>
      <c r="AX277" s="215">
        <f>IF(AND(ISNUMBER(AX273),ISNUMBER(AX132)),IFERROR(AX273/AX132,""),"")</f>
        <v>0.24129515131793</v>
      </c>
      <c r="AY277" s="215">
        <f>IF(AND(ISNUMBER(AY273),ISNUMBER(AY132)),IFERROR(AY273/AY132,""),"")</f>
        <v>0.264932126696833</v>
      </c>
      <c r="AZ277" s="215">
        <f>IF(AND(ISNUMBER(AZ273),ISNUMBER(AZ132)),IFERROR(AZ273/AZ132,""),"")</f>
        <v>0.287478116649774</v>
      </c>
      <c r="BA277" s="215">
        <f>IF(AND(ISNUMBER(BA273),ISNUMBER(BA132)),IFERROR(BA273/BA132,""),"")</f>
        <v>0.246279455692001</v>
      </c>
      <c r="BB277" s="215">
        <f>IF(AND(ISNUMBER(BB273),ISNUMBER(BB132)),IFERROR(BB273/BB132,""),"")</f>
        <v>0.260102392125355</v>
      </c>
      <c r="BC277" s="215">
        <f>IF(AND(ISNUMBER(BC273),ISNUMBER(BC132)),IFERROR(BC273/BC132,""),"")</f>
        <v>0.225257678904883</v>
      </c>
      <c r="BD277" s="215">
        <f>IF(AND(ISNUMBER(BD273),ISNUMBER(BD132)),IFERROR(BD273/BD132,""),"")</f>
        <v>0.180727559733085</v>
      </c>
      <c r="BE277" s="215">
        <f>IF(AND(ISNUMBER(BE273),ISNUMBER(BE132)),IFERROR(BE273/BE132,""),"")</f>
        <v>0.232689747003995</v>
      </c>
      <c r="BF277" s="215">
        <f>IF(AND(ISNUMBER(BF273),ISNUMBER(BF132)),IFERROR(BF273/BF132,""),"")</f>
        <v>0.210643277929729</v>
      </c>
      <c r="BG277" s="215">
        <f>IF(AND(ISNUMBER(BG273),ISNUMBER(BG132)),IFERROR(BG273/BG132,""),"")</f>
        <v>0.212172425009546</v>
      </c>
      <c r="BH277" s="215">
        <f>IF(AND(ISNUMBER(BH273),ISNUMBER(BH132)),IFERROR(BH273/BH132,""),"")</f>
        <v>0.246750827518019</v>
      </c>
      <c r="BI277" s="215">
        <f>IF(AND(ISNUMBER(BI273),ISNUMBER(BI132)),IFERROR(BI273/BI132,""),"")</f>
        <v>0.291914642646507</v>
      </c>
      <c r="BJ277" s="215">
        <f>IF(AND(ISNUMBER(BJ273),ISNUMBER(BJ132)),IFERROR(BJ273/BJ132,""),"")</f>
        <v>0.29469443104325</v>
      </c>
      <c r="BK277" s="215">
        <f>IF(AND(ISNUMBER(BK273),ISNUMBER(BK132)),IFERROR(BK273/BK132,""),"")</f>
        <v>0.0914841849148419</v>
      </c>
      <c r="BL277" s="215">
        <f>IF(AND(ISNUMBER(BL273),ISNUMBER(BL132)),IFERROR(BL273/BL132,""),"")</f>
        <v>0.226077932555613</v>
      </c>
      <c r="BM277" s="215">
        <f>IF(AND(ISNUMBER(BM273),ISNUMBER(BM132)),IFERROR(BM273/BM132,""),"")</f>
        <v>0.209041582338991</v>
      </c>
      <c r="BN277" s="215">
        <f>IF(AND(ISNUMBER(BN273),ISNUMBER(BN132)),IFERROR(BN273/BN132,""),"")</f>
        <v>0.158764249132662</v>
      </c>
      <c r="BO277" s="215">
        <f>IF(AND(ISNUMBER(BO273),ISNUMBER(BO132)),IFERROR(BO273/BO132,""),"")</f>
        <v>0.199811936375583</v>
      </c>
      <c r="BP277" s="215">
        <f>IF(AND(ISNUMBER(BP273),ISNUMBER(BP132)),IFERROR(BP273/BP132,""),"")</f>
        <v>0.257460946003379</v>
      </c>
      <c r="BQ277" s="215">
        <f>IF(AND(ISNUMBER(BQ273),ISNUMBER(BQ132)),IFERROR(BQ273/BQ132,""),"")</f>
        <v>0.20788645155392</v>
      </c>
      <c r="BR277" s="215">
        <f>IF(AND(ISNUMBER(BR273),ISNUMBER(BR132)),IFERROR(BR273/BR132,""),"")</f>
        <v>0.210042777666955</v>
      </c>
      <c r="BS277" s="215">
        <f>IF(AND(ISNUMBER(BS273),ISNUMBER(BS132)),IFERROR(BS273/BS132,""),"")</f>
        <v>0.0549736591031651</v>
      </c>
      <c r="BT277" s="215">
        <f>IF(AND(ISNUMBER(BT273),ISNUMBER(BT132)),IFERROR(BT273/BT132,""),"")</f>
        <v>0.239002989857933</v>
      </c>
      <c r="BU277" s="215">
        <f>IF(AND(ISNUMBER(BU273),ISNUMBER(BU132)),IFERROR(BU273/BU132,""),"")</f>
        <v>0.215683173883632</v>
      </c>
      <c r="BV277" s="215">
        <f>IF(AND(ISNUMBER(BV273),ISNUMBER(BV132)),IFERROR(BV273/BV132,""),"")</f>
        <v>0.181875502685957</v>
      </c>
      <c r="BW277" s="215">
        <f>IF(AND(ISNUMBER(BW273),ISNUMBER(BW132)),IFERROR(BW273/BW132,""),"")</f>
        <v>0.0920506660842979</v>
      </c>
      <c r="BX277" s="215">
        <f>IF(AND(ISNUMBER(BX273),ISNUMBER(BX132)),IFERROR(BX273/BX132,""),"")</f>
        <v>-0.0488747537480383</v>
      </c>
      <c r="BY277" s="24" t="n"/>
      <c r="BZ277" s="24" t="n"/>
      <c r="CA277" s="256">
        <f>IF(AND(ISNUMBER(CA273),ISNUMBER(CA132)),IFERROR(CA273/CA132,""),"")</f>
        <v>-0.00566248731627093</v>
      </c>
      <c r="CB277" s="256">
        <f>IF(AND(ISNUMBER(CB273),ISNUMBER(CB132)),IFERROR(CB273/CB132,""),"")</f>
        <v>0.0145728128551672</v>
      </c>
      <c r="CC277" s="256">
        <f>IF(AND(ISNUMBER(CC273),ISNUMBER(CC132)),IFERROR(CC273/CC132,""),"")</f>
        <v>0.0400582487081161</v>
      </c>
      <c r="CD277" s="256">
        <f>IF(AND(ISNUMBER(CD273),ISNUMBER(CD132)),IFERROR(CD273/CD132,""),"")</f>
        <v>0.0762999410362627</v>
      </c>
      <c r="CE277" s="256">
        <f>IF(AND(ISNUMBER(CE273),ISNUMBER(CE132)),IFERROR(CE273/CE132,""),"")</f>
        <v>0.105207576860291</v>
      </c>
      <c r="CF277" s="153" t="n"/>
      <c r="CH277" s="37">
        <f>IFERROR(AVERAGE(CA277,CB277,CC277,CD277,CE277),"n/m")</f>
        <v>0.0460952184287133</v>
      </c>
      <c r="CI277" s="37">
        <f>IFERROR(AVERAGE(BB277,BG277,BL277,BQ277,BV277),"n/m")</f>
        <v>0.217622940786078</v>
      </c>
      <c r="CJ277" s="37">
        <f>IFERROR(AVERAGE(AC277,AH277,AM277,AR277,AW277,BB277,BG277,BL277,BQ277,BV277),"n/m")</f>
        <v>0.218279651275966</v>
      </c>
      <c r="CK277" s="37">
        <f>IFERROR(AVERAGE(C277,D277,E277,F277,G277,H277,I277,N277,S277,X277,AC277,AH277,AM277,AR277,AW277,BB277,BG277,BL277,BQ277,BV277),"n/m")</f>
        <v>0.226655892184073</v>
      </c>
    </row>
    <row r="278" ht="15" customHeight="1" s="251">
      <c r="B278" s="25" t="inlineStr">
        <is>
          <t xml:space="preserve">  FCF / adjusted net income %</t>
        </is>
      </c>
      <c r="C278" s="215">
        <f>IF(AND(ISNUMBER(C273),ISNUMBER(C207)),IFERROR(C273/C207,""),"")</f>
        <v>0.545163099531235</v>
      </c>
      <c r="D278" s="215">
        <f>IF(AND(ISNUMBER(D273),ISNUMBER(D207)),IFERROR(D273/D207,""),"")</f>
        <v>0.802282264280209</v>
      </c>
      <c r="E278" s="215">
        <f>IF(AND(ISNUMBER(E273),ISNUMBER(E207)),IFERROR(E273/E207,""),"")</f>
        <v>1.11257498696377</v>
      </c>
      <c r="F278" s="215">
        <f>IF(AND(ISNUMBER(F273),ISNUMBER(F207)),IFERROR(F273/F207,""),"")</f>
        <v>1.30455913458707</v>
      </c>
      <c r="G278" s="215">
        <f>IF(AND(ISNUMBER(G273),ISNUMBER(G207)),IFERROR(G273/G207,""),"")</f>
        <v>0.830452674897119</v>
      </c>
      <c r="H278" s="215">
        <f>IF(AND(ISNUMBER(H273),ISNUMBER(H207)),IFERROR(H273/H207,""),"")</f>
        <v>1.14275444181986</v>
      </c>
      <c r="I278" s="215">
        <f>IF(AND(ISNUMBER(I273),ISNUMBER(I207)),IFERROR(I273/I207,""),"")</f>
        <v>1.23711531331109</v>
      </c>
      <c r="J278" s="215">
        <f>IF(AND(ISNUMBER(J273),ISNUMBER(J207)),IFERROR(J273/J207,""),"")</f>
        <v>0.731046931407942</v>
      </c>
      <c r="K278" s="215">
        <f>IF(AND(ISNUMBER(K273),ISNUMBER(K207)),IFERROR(K273/K207,""),"")</f>
        <v>1.21143304620204</v>
      </c>
      <c r="L278" s="215">
        <f>IF(AND(ISNUMBER(L273),ISNUMBER(L207)),IFERROR(L273/L207,""),"")</f>
        <v>0.945516074450085</v>
      </c>
      <c r="M278" s="215">
        <f>IF(AND(ISNUMBER(M273),ISNUMBER(M207)),IFERROR(M273/M207,""),"")</f>
        <v>0.882283348121858</v>
      </c>
      <c r="N278" s="215">
        <f>IF(AND(ISNUMBER(N273),ISNUMBER(N207)),IFERROR(N273/N207,""),"")</f>
        <v>0.925249713443589</v>
      </c>
      <c r="O278" s="215">
        <f>IF(AND(ISNUMBER(O273),ISNUMBER(O207)),IFERROR(O273/O207,""),"")</f>
        <v>0.56054794520548</v>
      </c>
      <c r="P278" s="215">
        <f>IF(AND(ISNUMBER(P273),ISNUMBER(P207)),IFERROR(P273/P207,""),"")</f>
        <v>0.854154727793696</v>
      </c>
      <c r="Q278" s="215">
        <f>IF(AND(ISNUMBER(Q273),ISNUMBER(Q207)),IFERROR(Q273/Q207,""),"")</f>
        <v>1.19312875250167</v>
      </c>
      <c r="R278" s="215">
        <f>IF(AND(ISNUMBER(R273),ISNUMBER(R207)),IFERROR(R273/R207,""),"")</f>
        <v>0.74221635883905</v>
      </c>
      <c r="S278" s="215">
        <f>IF(AND(ISNUMBER(S273),ISNUMBER(S207)),IFERROR(S273/S207,""),"")</f>
        <v>0.819715680643309</v>
      </c>
      <c r="T278" s="215">
        <f>IF(AND(ISNUMBER(T273),ISNUMBER(T207)),IFERROR(T273/T207,""),"")</f>
        <v>1.02900167317345</v>
      </c>
      <c r="U278" s="215">
        <f>IF(AND(ISNUMBER(U273),ISNUMBER(U207)),IFERROR(U273/U207,""),"")</f>
        <v>1.13711523785296</v>
      </c>
      <c r="V278" s="215">
        <f>IF(AND(ISNUMBER(V273),ISNUMBER(V207)),IFERROR(V273/V207,""),"")</f>
        <v>0.913294797687861</v>
      </c>
      <c r="W278" s="215">
        <f>IF(AND(ISNUMBER(W273),ISNUMBER(W207)),IFERROR(W273/W207,""),"")</f>
        <v>0.876498070282348</v>
      </c>
      <c r="X278" s="215">
        <f>IF(AND(ISNUMBER(X273),ISNUMBER(X207)),IFERROR(X273/X207,""),"")</f>
        <v>0.985380474675801</v>
      </c>
      <c r="Y278" s="215">
        <f>IF(AND(ISNUMBER(Y273),ISNUMBER(Y207)),IFERROR(Y273/Y207,""),"")</f>
        <v>1.24316615165201</v>
      </c>
      <c r="Z278" s="215">
        <f>IF(AND(ISNUMBER(Z273),ISNUMBER(Z207)),IFERROR(Z273/Z207,""),"")</f>
        <v>1.43469345909371</v>
      </c>
      <c r="AA278" s="215">
        <f>IF(AND(ISNUMBER(AA273),ISNUMBER(AA207)),IFERROR(AA273/AA207,""),"")</f>
        <v>1.43489428966607</v>
      </c>
      <c r="AB278" s="215">
        <f>IF(AND(ISNUMBER(AB273),ISNUMBER(AB207)),IFERROR(AB273/AB207,""),"")</f>
        <v>1.18788674292143</v>
      </c>
      <c r="AC278" s="215">
        <f>IF(AND(ISNUMBER(AC273),ISNUMBER(AC207)),IFERROR(AC273/AC207,""),"")</f>
        <v>1.3258034705822</v>
      </c>
      <c r="AD278" s="215">
        <f>IF(AND(ISNUMBER(AD273),ISNUMBER(AD207)),IFERROR(AD273/AD207,""),"")</f>
        <v>1.29745669001106</v>
      </c>
      <c r="AE278" s="215">
        <f>IF(AND(ISNUMBER(AE273),ISNUMBER(AE207)),IFERROR(AE273/AE207,""),"")</f>
        <v>0.730351437699681</v>
      </c>
      <c r="AF278" s="215">
        <f>IF(AND(ISNUMBER(AF273),ISNUMBER(AF207)),IFERROR(AF273/AF207,""),"")</f>
        <v>0.940879382055853</v>
      </c>
      <c r="AG278" s="215">
        <f>IF(AND(ISNUMBER(AG273),ISNUMBER(AG207)),IFERROR(AG273/AG207,""),"")</f>
        <v>0.871873628784555</v>
      </c>
      <c r="AH278" s="215">
        <f>IF(AND(ISNUMBER(AH273),ISNUMBER(AH207)),IFERROR(AH273/AH207,""),"")</f>
        <v>0.946624430805781</v>
      </c>
      <c r="AI278" s="215">
        <f>IF(AND(ISNUMBER(AI273),ISNUMBER(AI207)),IFERROR(AI273/AI207,""),"")</f>
        <v>0.619852108967232</v>
      </c>
      <c r="AJ278" s="215">
        <f>IF(AND(ISNUMBER(AJ273),ISNUMBER(AJ207)),IFERROR(AJ273/AJ207,""),"")</f>
        <v>0.626765512951359</v>
      </c>
      <c r="AK278" s="215">
        <f>IF(AND(ISNUMBER(AK273),ISNUMBER(AK207)),IFERROR(AK273/AK207,""),"")</f>
        <v>0.978738849068297</v>
      </c>
      <c r="AL278" s="215">
        <f>IF(AND(ISNUMBER(AL273),ISNUMBER(AL207)),IFERROR(AL273/AL207,""),"")</f>
        <v>0.659162820806152</v>
      </c>
      <c r="AM278" s="215">
        <f>IF(AND(ISNUMBER(AM273),ISNUMBER(AM207)),IFERROR(AM273/AM207,""),"")</f>
        <v>0.724972692864582</v>
      </c>
      <c r="AN278" s="215">
        <f>IF(AND(ISNUMBER(AN273),ISNUMBER(AN207)),IFERROR(AN273/AN207,""),"")</f>
        <v>0.981805524623154</v>
      </c>
      <c r="AO278" s="215">
        <f>IF(AND(ISNUMBER(AO273),ISNUMBER(AO207)),IFERROR(AO273/AO207,""),"")</f>
        <v>0.831884158115573</v>
      </c>
      <c r="AP278" s="215">
        <f>IF(AND(ISNUMBER(AP273),ISNUMBER(AP207)),IFERROR(AP273/AP207,""),"")</f>
        <v>1.05545297228318</v>
      </c>
      <c r="AQ278" s="215">
        <f>IF(AND(ISNUMBER(AQ273),ISNUMBER(AQ207)),IFERROR(AQ273/AQ207,""),"")</f>
        <v>0.808479623900106</v>
      </c>
      <c r="AR278" s="215">
        <f>IF(AND(ISNUMBER(AR273),ISNUMBER(AR207)),IFERROR(AR273/AR207,""),"")</f>
        <v>0.912355595984245</v>
      </c>
      <c r="AS278" s="215">
        <f>IF(AND(ISNUMBER(AS273),ISNUMBER(AS207)),IFERROR(AS273/AS207,""),"")</f>
        <v>0.72816637384912</v>
      </c>
      <c r="AT278" s="215">
        <f>IF(AND(ISNUMBER(AT273),ISNUMBER(AT207)),IFERROR(AT273/AT207,""),"")</f>
        <v>1.48066545601639</v>
      </c>
      <c r="AU278" s="215">
        <f>IF(AND(ISNUMBER(AU273),ISNUMBER(AU207)),IFERROR(AU273/AU207,""),"")</f>
        <v>1.18982762530023</v>
      </c>
      <c r="AV278" s="215">
        <f>IF(AND(ISNUMBER(AV273),ISNUMBER(AV207)),IFERROR(AV273/AV207,""),"")</f>
        <v>1.34192473111567</v>
      </c>
      <c r="AW278" s="215">
        <f>IF(AND(ISNUMBER(AW273),ISNUMBER(AW207)),IFERROR(AW273/AW207,""),"")</f>
        <v>1.1950187608155</v>
      </c>
      <c r="AX278" s="215">
        <f>IF(AND(ISNUMBER(AX273),ISNUMBER(AX207)),IFERROR(AX273/AX207,""),"")</f>
        <v>0.946007341532961</v>
      </c>
      <c r="AY278" s="215">
        <f>IF(AND(ISNUMBER(AY273),ISNUMBER(AY207)),IFERROR(AY273/AY207,""),"")</f>
        <v>1.00360450367062</v>
      </c>
      <c r="AZ278" s="215">
        <f>IF(AND(ISNUMBER(AZ273),ISNUMBER(AZ207)),IFERROR(AZ273/AZ207,""),"")</f>
        <v>1.08456288118301</v>
      </c>
      <c r="BA278" s="215">
        <f>IF(AND(ISNUMBER(BA273),ISNUMBER(BA207)),IFERROR(BA273/BA207,""),"")</f>
        <v>1.00013478178828</v>
      </c>
      <c r="BB278" s="215">
        <f>IF(AND(ISNUMBER(BB273),ISNUMBER(BB207)),IFERROR(BB273/BB207,""),"")</f>
        <v>1.01145913833076</v>
      </c>
      <c r="BC278" s="215">
        <f>IF(AND(ISNUMBER(BC273),ISNUMBER(BC207)),IFERROR(BC273/BC207,""),"")</f>
        <v>0.886507380810471</v>
      </c>
      <c r="BD278" s="215">
        <f>IF(AND(ISNUMBER(BD273),ISNUMBER(BD207)),IFERROR(BD273/BD207,""),"")</f>
        <v>0.777393491104172</v>
      </c>
      <c r="BE278" s="215">
        <f>IF(AND(ISNUMBER(BE273),ISNUMBER(BE207)),IFERROR(BE273/BE207,""),"")</f>
        <v>1.11482248617133</v>
      </c>
      <c r="BF278" s="215">
        <f>IF(AND(ISNUMBER(BF273),ISNUMBER(BF207)),IFERROR(BF273/BF207,""),"")</f>
        <v>1.08245775144218</v>
      </c>
      <c r="BG278" s="215">
        <f>IF(AND(ISNUMBER(BG273),ISNUMBER(BG207)),IFERROR(BG273/BG207,""),"")</f>
        <v>0.957075155359246</v>
      </c>
      <c r="BH278" s="215">
        <f>IF(AND(ISNUMBER(BH273),ISNUMBER(BH207)),IFERROR(BH273/BH207,""),"")</f>
        <v>1.02658938034421</v>
      </c>
      <c r="BI278" s="215">
        <f>IF(AND(ISNUMBER(BI273),ISNUMBER(BI207)),IFERROR(BI273/BI207,""),"")</f>
        <v>1.17528649564624</v>
      </c>
      <c r="BJ278" s="215">
        <f>IF(AND(ISNUMBER(BJ273),ISNUMBER(BJ207)),IFERROR(BJ273/BJ207,""),"")</f>
        <v>1.13128649614028</v>
      </c>
      <c r="BK278" s="215">
        <f>IF(AND(ISNUMBER(BK273),ISNUMBER(BK207)),IFERROR(BK273/BK207,""),"")</f>
        <v>0.39042605688472</v>
      </c>
      <c r="BL278" s="215">
        <f>IF(AND(ISNUMBER(BL273),ISNUMBER(BL207)),IFERROR(BL273/BL207,""),"")</f>
        <v>0.920388726002945</v>
      </c>
      <c r="BM278" s="215">
        <f>IF(AND(ISNUMBER(BM273),ISNUMBER(BM207)),IFERROR(BM273/BM207,""),"")</f>
        <v>0.749743828618785</v>
      </c>
      <c r="BN278" s="215">
        <f>IF(AND(ISNUMBER(BN273),ISNUMBER(BN207)),IFERROR(BN273/BN207,""),"")</f>
        <v>0.556339851118924</v>
      </c>
      <c r="BO278" s="215">
        <f>IF(AND(ISNUMBER(BO273),ISNUMBER(BO207)),IFERROR(BO273/BO207,""),"")</f>
        <v>0.709384166699849</v>
      </c>
      <c r="BP278" s="215">
        <f>IF(AND(ISNUMBER(BP273),ISNUMBER(BP207)),IFERROR(BP273/BP207,""),"")</f>
        <v>0.9462276615296</v>
      </c>
      <c r="BQ278" s="215">
        <f>IF(AND(ISNUMBER(BQ273),ISNUMBER(BQ207)),IFERROR(BQ273/BQ207,""),"")</f>
        <v>0.744391945213473</v>
      </c>
      <c r="BR278" s="215">
        <f>IF(AND(ISNUMBER(BR273),ISNUMBER(BR207)),IFERROR(BR273/BR207,""),"")</f>
        <v>0.706379667237893</v>
      </c>
      <c r="BS278" s="215">
        <f>IF(AND(ISNUMBER(BS273),ISNUMBER(BS207)),IFERROR(BS273/BS207,""),"")</f>
        <v>0.195032682047059</v>
      </c>
      <c r="BT278" s="215">
        <f>IF(AND(ISNUMBER(BT273),ISNUMBER(BT207)),IFERROR(BT273/BT207,""),"")</f>
        <v>0.816560478085628</v>
      </c>
      <c r="BU278" s="215">
        <f>IF(AND(ISNUMBER(BU273),ISNUMBER(BU207)),IFERROR(BU273/BU207,""),"")</f>
        <v>0.752257753760982</v>
      </c>
      <c r="BV278" s="215">
        <f>IF(AND(ISNUMBER(BV273),ISNUMBER(BV207)),IFERROR(BV273/BV207,""),"")</f>
        <v>0.628332867367959</v>
      </c>
      <c r="BW278" s="215">
        <f>IF(AND(ISNUMBER(BW273),ISNUMBER(BW207)),IFERROR(BW273/BW207,""),"")</f>
        <v>0.302736932199915</v>
      </c>
      <c r="BX278" s="215">
        <f>IF(AND(ISNUMBER(BX273),ISNUMBER(BX207)),IFERROR(BX273/BX207,""),"")</f>
        <v>-0.172416280926342</v>
      </c>
      <c r="BY278" s="24" t="n"/>
      <c r="BZ278" s="24" t="n"/>
      <c r="CA278" s="256">
        <f>IF(AND(ISNUMBER(CA273),ISNUMBER(CA207)),IFERROR(CA273/CA207,""),"")</f>
        <v>-0.0195128228181382</v>
      </c>
      <c r="CB278" s="256">
        <f>IF(AND(ISNUMBER(CB273),ISNUMBER(CB207)),IFERROR(CB273/CB207,""),"")</f>
        <v>0.0523061902769014</v>
      </c>
      <c r="CC278" s="256">
        <f>IF(AND(ISNUMBER(CC273),ISNUMBER(CC207)),IFERROR(CC273/CC207,""),"")</f>
        <v>0.152665743607737</v>
      </c>
      <c r="CD278" s="256">
        <f>IF(AND(ISNUMBER(CD273),ISNUMBER(CD207)),IFERROR(CD273/CD207,""),"")</f>
        <v>0.298064169239557</v>
      </c>
      <c r="CE278" s="256">
        <f>IF(AND(ISNUMBER(CE273),ISNUMBER(CE207)),IFERROR(CE273/CE207,""),"")</f>
        <v>0.41791911199724</v>
      </c>
      <c r="CF278" s="153" t="n"/>
      <c r="CH278" s="37">
        <f>IFERROR(AVERAGE(CA278,CB278,CC278,CD278,CE278),"n/m")</f>
        <v>0.180288478460659</v>
      </c>
      <c r="CI278" s="37">
        <f>IFERROR(AVERAGE(BB278,BG278,BL278,BQ278,BV278),"n/m")</f>
        <v>0.852329566454876</v>
      </c>
      <c r="CJ278" s="37">
        <f>IFERROR(AVERAGE(AC278,AH278,AM278,AR278,AW278,BB278,BG278,BL278,BQ278,BV278),"n/m")</f>
        <v>0.936642278332669</v>
      </c>
      <c r="CK278" s="37">
        <f>IFERROR(AVERAGE(C278,D278,E278,F278,G278,H278,I278,N278,S278,X278,AC278,AH278,AM278,AR278,AW278,BB278,BG278,BL278,BQ278,BV278),"n/m")</f>
        <v>0.953583528373987</v>
      </c>
    </row>
    <row r="279" ht="15" customHeight="1" s="251">
      <c r="B279" s="25" t="inlineStr">
        <is>
          <t xml:space="preserve">  FCF per diluted share ($)</t>
        </is>
      </c>
      <c r="C279" s="273">
        <f>IF(AND(ISNUMBER(C273),ISNUMBER(C159)),IFERROR(C273/C159,""),"")</f>
        <v>0.13549675656118</v>
      </c>
      <c r="D279" s="273">
        <f>IF(AND(ISNUMBER(D273),ISNUMBER(D159)),IFERROR(D273/D159,""),"")</f>
        <v>0.266640049334303</v>
      </c>
      <c r="E279" s="273">
        <f>IF(AND(ISNUMBER(E273),ISNUMBER(E159)),IFERROR(E273/E159,""),"")</f>
        <v>0.432610530559283</v>
      </c>
      <c r="F279" s="273">
        <f>IF(AND(ISNUMBER(F273),ISNUMBER(F159)),IFERROR(F273/F159,""),"")</f>
        <v>0.66577049991234</v>
      </c>
      <c r="G279" s="273">
        <f>IF(AND(ISNUMBER(G273),ISNUMBER(G159)),IFERROR(G273/G159,""),"")</f>
        <v>0.546247343395689</v>
      </c>
      <c r="H279" s="273">
        <f>IF(AND(ISNUMBER(H273),ISNUMBER(H159)),IFERROR(H273/H159,""),"")</f>
        <v>0.850131718080522</v>
      </c>
      <c r="I279" s="273">
        <f>IF(AND(ISNUMBER(I273),ISNUMBER(I159)),IFERROR(I273/I159,""),"")</f>
        <v>1.00404748649584</v>
      </c>
      <c r="J279" s="273">
        <f>IF(AND(ISNUMBER(J273),ISNUMBER(J159)),IFERROR(J273/J159,""),"")</f>
        <v>0.180447509824364</v>
      </c>
      <c r="K279" s="273">
        <f>IF(AND(ISNUMBER(K273),ISNUMBER(K159)),IFERROR(K273/K159,""),"")</f>
        <v>0.228618212019377</v>
      </c>
      <c r="L279" s="273">
        <f>IF(AND(ISNUMBER(L273),ISNUMBER(L159)),IFERROR(L273/L159,""),"")</f>
        <v>0.205904461508983</v>
      </c>
      <c r="M279" s="273">
        <f>IF(AND(ISNUMBER(M273),ISNUMBER(M159)),IFERROR(M273/M159,""),"")</f>
        <v>0.218694373330283</v>
      </c>
      <c r="N279" s="273">
        <f>IF(AND(ISNUMBER(N273),ISNUMBER(N159)),IFERROR(N273/N159,""),"")</f>
        <v>0.833876904096408</v>
      </c>
      <c r="O279" s="273">
        <f>IF(AND(ISNUMBER(O273),ISNUMBER(O159)),IFERROR(O273/O159,""),"")</f>
        <v>0.149296859949913</v>
      </c>
      <c r="P279" s="273">
        <f>IF(AND(ISNUMBER(P273),ISNUMBER(P159)),IFERROR(P273/P159,""),"")</f>
        <v>0.217159141736953</v>
      </c>
      <c r="Q279" s="273">
        <f>IF(AND(ISNUMBER(Q273),ISNUMBER(Q159)),IFERROR(Q273/Q159,""),"")</f>
        <v>0.259875184353727</v>
      </c>
      <c r="R279" s="273">
        <f>IF(AND(ISNUMBER(R273),ISNUMBER(R159)),IFERROR(R273/R159,""),"")</f>
        <v>0.204287643974495</v>
      </c>
      <c r="S279" s="273">
        <f>IF(AND(ISNUMBER(S273),ISNUMBER(S159)),IFERROR(S273/S159,""),"")</f>
        <v>0.830846929716041</v>
      </c>
      <c r="T279" s="273">
        <f>IF(AND(ISNUMBER(T273),ISNUMBER(T159)),IFERROR(T273/T159,""),"")</f>
        <v>0.267585982845491</v>
      </c>
      <c r="U279" s="273">
        <f>IF(AND(ISNUMBER(U273),ISNUMBER(U159)),IFERROR(U273/U159,""),"")</f>
        <v>0.323501399668248</v>
      </c>
      <c r="V279" s="273">
        <f>IF(AND(ISNUMBER(V273),ISNUMBER(V159)),IFERROR(V273/V159,""),"")</f>
        <v>0.261695272634049</v>
      </c>
      <c r="W279" s="273">
        <f>IF(AND(ISNUMBER(W273),ISNUMBER(W159)),IFERROR(W273/W159,""),"")</f>
        <v>0.309529787310355</v>
      </c>
      <c r="X279" s="273">
        <f>IF(AND(ISNUMBER(X273),ISNUMBER(X159)),IFERROR(X273/X159,""),"")</f>
        <v>1.16238292468215</v>
      </c>
      <c r="Y279" s="273">
        <f>IF(AND(ISNUMBER(Y273),ISNUMBER(Y159)),IFERROR(Y273/Y159,""),"")</f>
        <v>0.373939491871285</v>
      </c>
      <c r="Z279" s="273">
        <f>IF(AND(ISNUMBER(Z273),ISNUMBER(Z159)),IFERROR(Z273/Z159,""),"")</f>
        <v>0.502047077765995</v>
      </c>
      <c r="AA279" s="273">
        <f>IF(AND(ISNUMBER(AA273),ISNUMBER(AA159)),IFERROR(AA273/AA159,""),"")</f>
        <v>0.519872859515492</v>
      </c>
      <c r="AB279" s="273">
        <f>IF(AND(ISNUMBER(AB273),ISNUMBER(AB159)),IFERROR(AB273/AB159,""),"")</f>
        <v>0.452353954294756</v>
      </c>
      <c r="AC279" s="273">
        <f>IF(AND(ISNUMBER(AC273),ISNUMBER(AC159)),IFERROR(AC273/AC159,""),"")</f>
        <v>1.84798756558553</v>
      </c>
      <c r="AD279" s="273">
        <f>IF(AND(ISNUMBER(AD273),ISNUMBER(AD159)),IFERROR(AD273/AD159,""),"")</f>
        <v>0.501398788666108</v>
      </c>
      <c r="AE279" s="273">
        <f>IF(AND(ISNUMBER(AE273),ISNUMBER(AE159)),IFERROR(AE273/AE159,""),"")</f>
        <v>0.324945309401666</v>
      </c>
      <c r="AF279" s="273">
        <f>IF(AND(ISNUMBER(AF273),ISNUMBER(AF159)),IFERROR(AF273/AF159,""),"")</f>
        <v>0.450039504572867</v>
      </c>
      <c r="AG279" s="273">
        <f>IF(AND(ISNUMBER(AG273),ISNUMBER(AG159)),IFERROR(AG273/AG159,""),"")</f>
        <v>0.422717389916903</v>
      </c>
      <c r="AH279" s="273">
        <f>IF(AND(ISNUMBER(AH273),ISNUMBER(AH159)),IFERROR(AH273/AH159,""),"")</f>
        <v>1.69894426251876</v>
      </c>
      <c r="AI279" s="273">
        <f>IF(AND(ISNUMBER(AI273),ISNUMBER(AI159)),IFERROR(AI273/AI159,""),"")</f>
        <v>0.30795565098265</v>
      </c>
      <c r="AJ279" s="273">
        <f>IF(AND(ISNUMBER(AJ273),ISNUMBER(AJ159)),IFERROR(AJ273/AJ159,""),"")</f>
        <v>0.330964796152703</v>
      </c>
      <c r="AK279" s="273">
        <f>IF(AND(ISNUMBER(AK273),ISNUMBER(AK159)),IFERROR(AK273/AK159,""),"")</f>
        <v>0.56318097800838</v>
      </c>
      <c r="AL279" s="273">
        <f>IF(AND(ISNUMBER(AL273),ISNUMBER(AL159)),IFERROR(AL273/AL159,""),"")</f>
        <v>0.421315451562277</v>
      </c>
      <c r="AM279" s="273">
        <f>IF(AND(ISNUMBER(AM273),ISNUMBER(AM159)),IFERROR(AM273/AM159,""),"")</f>
        <v>1.62323951172</v>
      </c>
      <c r="AN279" s="273">
        <f>IF(AND(ISNUMBER(AN273),ISNUMBER(AN159)),IFERROR(AN273/AN159,""),"")</f>
        <v>0.525197644671905</v>
      </c>
      <c r="AO279" s="273">
        <f>IF(AND(ISNUMBER(AO273),ISNUMBER(AO159)),IFERROR(AO273/AO159,""),"")</f>
        <v>0.464387659760499</v>
      </c>
      <c r="AP279" s="273">
        <f>IF(AND(ISNUMBER(AP273),ISNUMBER(AP159)),IFERROR(AP273/AP159,""),"")</f>
        <v>0.625466378496675</v>
      </c>
      <c r="AQ279" s="273">
        <f>IF(AND(ISNUMBER(AQ273),ISNUMBER(AQ159)),IFERROR(AQ273/AQ159,""),"")</f>
        <v>0.602351580570547</v>
      </c>
      <c r="AR279" s="273">
        <f>IF(AND(ISNUMBER(AR273),ISNUMBER(AR159)),IFERROR(AR273/AR159,""),"")</f>
        <v>2.21685877724907</v>
      </c>
      <c r="AS279" s="273">
        <f>IF(AND(ISNUMBER(AS273),ISNUMBER(AS159)),IFERROR(AS273/AS159,""),"")</f>
        <v>0.393345342187335</v>
      </c>
      <c r="AT279" s="273">
        <f>IF(AND(ISNUMBER(AT273),ISNUMBER(AT159)),IFERROR(AT273/AT159,""),"")</f>
        <v>0.626033442790936</v>
      </c>
      <c r="AU279" s="273">
        <f>IF(AND(ISNUMBER(AU273),ISNUMBER(AU159)),IFERROR(AU273/AU159,""),"")</f>
        <v>0.845446022532591</v>
      </c>
      <c r="AV279" s="273">
        <f>IF(AND(ISNUMBER(AV273),ISNUMBER(AV159)),IFERROR(AV273/AV159,""),"")</f>
        <v>1.25905969515498</v>
      </c>
      <c r="AW279" s="273">
        <f>IF(AND(ISNUMBER(AW273),ISNUMBER(AW159)),IFERROR(AW273/AW159,""),"")</f>
        <v>3.11799519088014</v>
      </c>
      <c r="AX279" s="273">
        <f>IF(AND(ISNUMBER(AX273),ISNUMBER(AX159)),IFERROR(AX273/AX159,""),"")</f>
        <v>0.978417202901164</v>
      </c>
      <c r="AY279" s="273">
        <f>IF(AND(ISNUMBER(AY273),ISNUMBER(AY159)),IFERROR(AY273/AY159,""),"")</f>
        <v>1.20612937970489</v>
      </c>
      <c r="AZ279" s="273">
        <f>IF(AND(ISNUMBER(AZ273),ISNUMBER(AZ159)),IFERROR(AZ273/AZ159,""),"")</f>
        <v>1.3835531596304</v>
      </c>
      <c r="BA279" s="273">
        <f>IF(AND(ISNUMBER(BA273),ISNUMBER(BA159)),IFERROR(BA273/BA159,""),"")</f>
        <v>1.37926881132025</v>
      </c>
      <c r="BB279" s="273">
        <f>IF(AND(ISNUMBER(BB273),ISNUMBER(BB159)),IFERROR(BB273/BB159,""),"")</f>
        <v>4.94426523667722</v>
      </c>
      <c r="BC279" s="273">
        <f>IF(AND(ISNUMBER(BC273),ISNUMBER(BC159)),IFERROR(BC273/BC159,""),"")</f>
        <v>1.14747787060464</v>
      </c>
      <c r="BD279" s="273">
        <f>IF(AND(ISNUMBER(BD273),ISNUMBER(BD159)),IFERROR(BD273/BD159,""),"")</f>
        <v>0.951280308180376</v>
      </c>
      <c r="BE279" s="273">
        <f>IF(AND(ISNUMBER(BE273),ISNUMBER(BE159)),IFERROR(BE273/BE159,""),"")</f>
        <v>1.22753302282966</v>
      </c>
      <c r="BF279" s="273">
        <f>IF(AND(ISNUMBER(BF273),ISNUMBER(BF159)),IFERROR(BF273/BF159,""),"")</f>
        <v>1.23708585541101</v>
      </c>
      <c r="BG279" s="273">
        <f>IF(AND(ISNUMBER(BG273),ISNUMBER(BG159)),IFERROR(BG273/BG159,""),"")</f>
        <v>4.56037692833802</v>
      </c>
      <c r="BH279" s="273">
        <f>IF(AND(ISNUMBER(BH273),ISNUMBER(BH159)),IFERROR(BH273/BH159,""),"")</f>
        <v>1.34289947750136</v>
      </c>
      <c r="BI279" s="273">
        <f>IF(AND(ISNUMBER(BI273),ISNUMBER(BI159)),IFERROR(BI273/BI159,""),"")</f>
        <v>1.70620495142589</v>
      </c>
      <c r="BJ279" s="273">
        <f>IF(AND(ISNUMBER(BJ273),ISNUMBER(BJ159)),IFERROR(BJ273/BJ159,""),"")</f>
        <v>1.78016698172653</v>
      </c>
      <c r="BK279" s="273">
        <f>IF(AND(ISNUMBER(BK273),ISNUMBER(BK159)),IFERROR(BK273/BK159,""),"")</f>
        <v>0.626418088060294</v>
      </c>
      <c r="BL279" s="273">
        <f>IF(AND(ISNUMBER(BL273),ISNUMBER(BL159)),IFERROR(BL273/BL159,""),"")</f>
        <v>5.46258449929256</v>
      </c>
      <c r="BM279" s="273">
        <f>IF(AND(ISNUMBER(BM273),ISNUMBER(BM159)),IFERROR(BM273/BM159,""),"")</f>
        <v>1.34397700965914</v>
      </c>
      <c r="BN279" s="273">
        <f>IF(AND(ISNUMBER(BN273),ISNUMBER(BN159)),IFERROR(BN273/BN159,""),"")</f>
        <v>1.07675070028011</v>
      </c>
      <c r="BO279" s="273">
        <f>IF(AND(ISNUMBER(BO273),ISNUMBER(BO159)),IFERROR(BO273/BO159,""),"")</f>
        <v>1.42016265399791</v>
      </c>
      <c r="BP279" s="273">
        <f>IF(AND(ISNUMBER(BP273),ISNUMBER(BP159)),IFERROR(BP273/BP159,""),"")</f>
        <v>2.0115817607516</v>
      </c>
      <c r="BQ279" s="273">
        <f>IF(AND(ISNUMBER(BQ273),ISNUMBER(BQ159)),IFERROR(BQ273/BQ159,""),"")</f>
        <v>5.84590664417129</v>
      </c>
      <c r="BR279" s="273">
        <f>IF(AND(ISNUMBER(BR273),ISNUMBER(BR159)),IFERROR(BR273/BR159,""),"")</f>
        <v>1.5420226181759</v>
      </c>
      <c r="BS279" s="273">
        <f>IF(AND(ISNUMBER(BS273),ISNUMBER(BS159)),IFERROR(BS273/BS159,""),"")</f>
        <v>0.434579439252336</v>
      </c>
      <c r="BT279" s="273">
        <f>IF(AND(ISNUMBER(BT273),ISNUMBER(BT159)),IFERROR(BT273/BT159,""),"")</f>
        <v>2.00450708842088</v>
      </c>
      <c r="BU279" s="273">
        <f>IF(AND(ISNUMBER(BU273),ISNUMBER(BU159)),IFERROR(BU273/BU159,""),"")</f>
        <v>2.00776905462872</v>
      </c>
      <c r="BV279" s="273">
        <f>IF(AND(ISNUMBER(BV273),ISNUMBER(BV159)),IFERROR(BV273/BV159,""),"")</f>
        <v>5.99067865903516</v>
      </c>
      <c r="BW279" s="273">
        <f>IF(AND(ISNUMBER(BW273),ISNUMBER(BW159)),IFERROR(BW273/BW159,""),"")</f>
        <v>0.826605654518712</v>
      </c>
      <c r="BX279" s="273">
        <f>IF(AND(ISNUMBER(BX273),ISNUMBER(BX159)),IFERROR(BX273/BX159,""),"")</f>
        <v>-0.475668210252661</v>
      </c>
      <c r="BY279" s="35" t="n"/>
      <c r="BZ279" s="35" t="n"/>
      <c r="CA279" s="275">
        <f>IF(AND(ISNUMBER(CA273),ISNUMBER(CA159)),IFERROR(CA273/CA159,""),"")</f>
        <v>-0.2281894598106</v>
      </c>
      <c r="CB279" s="275">
        <f>IF(AND(ISNUMBER(CB273),ISNUMBER(CB159)),IFERROR(CB273/CB159,""),"")</f>
        <v>0.681392308517251</v>
      </c>
      <c r="CC279" s="275">
        <f>IF(AND(ISNUMBER(CC273),ISNUMBER(CC159)),IFERROR(CC273/CC159,""),"")</f>
        <v>2.13506711462088</v>
      </c>
      <c r="CD279" s="275">
        <f>IF(AND(ISNUMBER(CD273),ISNUMBER(CD159)),IFERROR(CD273/CD159,""),"")</f>
        <v>4.55409519487528</v>
      </c>
      <c r="CE279" s="275">
        <f>IF(AND(ISNUMBER(CE273),ISNUMBER(CE159)),IFERROR(CE273/CE159,""),"")</f>
        <v>6.92152374754561</v>
      </c>
      <c r="CF279" s="19" t="n"/>
    </row>
    <row r="280" ht="15" customHeight="1" s="251">
      <c r="B280" s="25" t="inlineStr">
        <is>
          <t>Capex ratios</t>
        </is>
      </c>
      <c r="CF280" s="153" t="n"/>
    </row>
    <row r="281" ht="15" customHeight="1" s="251">
      <c r="B281" s="25" t="inlineStr">
        <is>
          <t xml:space="preserve">  Capex % of revenues</t>
        </is>
      </c>
      <c r="C281" s="215">
        <f>IF(ISNUMBER(C254),IFERROR(-C254/C132,""),"")</f>
        <v>0.179426015309691</v>
      </c>
      <c r="D281" s="215">
        <f>IF(ISNUMBER(D254),IFERROR(-D254/D132,""),"")</f>
        <v>0.144801857733278</v>
      </c>
      <c r="E281" s="215">
        <f>IF(ISNUMBER(E254),IFERROR(-E254/E132,""),"")</f>
        <v>0.108208372810046</v>
      </c>
      <c r="F281" s="215">
        <f>IF(ISNUMBER(F254),IFERROR(-F254/F132,""),"")</f>
        <v>0.0342439205358452</v>
      </c>
      <c r="G281" s="215">
        <f>IF(ISNUMBER(G254),IFERROR(-G254/G132,""),"")</f>
        <v>0.13703488966952</v>
      </c>
      <c r="H281" s="215">
        <f>IF(ISNUMBER(H254),IFERROR(-H254/H132,""),"")</f>
        <v>0.0907004352987733</v>
      </c>
      <c r="I281" s="215">
        <f>IF(ISNUMBER(I254),IFERROR(-I254/I132,""),"")</f>
        <v>0.0652316890881913</v>
      </c>
      <c r="J281" s="215">
        <f>IF(ISNUMBER(J254),IFERROR(-J254/J132,""),"")</f>
        <v>0.0861192640847591</v>
      </c>
      <c r="K281" s="215">
        <f>IF(ISNUMBER(K254),IFERROR(-K254/K132,""),"")</f>
        <v>0.114214817440624</v>
      </c>
      <c r="L281" s="215">
        <f>IF(ISNUMBER(L254),IFERROR(-L254/L132,""),"")</f>
        <v>0.153696367420936</v>
      </c>
      <c r="M281" s="215">
        <f>IF(ISNUMBER(M254),IFERROR(-M254/M132,""),"")</f>
        <v>0.133764384861787</v>
      </c>
      <c r="N281" s="215">
        <f>IF(ISNUMBER(N254),IFERROR(-N254/N132,""),"")</f>
        <v>0.122992060175512</v>
      </c>
      <c r="O281" s="215">
        <f>IF(ISNUMBER(O254),IFERROR(-O254/O132,""),"")</f>
        <v>0.152075226977951</v>
      </c>
      <c r="P281" s="215">
        <f>IF(ISNUMBER(P254),IFERROR(-P254/P132,""),"")</f>
        <v>0.165841429019116</v>
      </c>
      <c r="Q281" s="215">
        <f>IF(ISNUMBER(Q254),IFERROR(-Q254/Q132,""),"")</f>
        <v>0.146280941717606</v>
      </c>
      <c r="R281" s="215">
        <f>IF(ISNUMBER(R254),IFERROR(-R254/R132,""),"")</f>
        <v>0.19615533337016</v>
      </c>
      <c r="S281" s="215">
        <f>IF(ISNUMBER(S254),IFERROR(-S254/S132,""),"")</f>
        <v>0.166042938743352</v>
      </c>
      <c r="T281" s="215">
        <f>IF(ISNUMBER(T254),IFERROR(-T254/T132,""),"")</f>
        <v>0.169602503186928</v>
      </c>
      <c r="U281" s="215">
        <f>IF(ISNUMBER(U254),IFERROR(-U254/U132,""),"")</f>
        <v>0.141873977548373</v>
      </c>
      <c r="V281" s="215">
        <f>IF(ISNUMBER(V254),IFERROR(-V254/V132,""),"")</f>
        <v>0.127068273092369</v>
      </c>
      <c r="W281" s="215">
        <f>IF(ISNUMBER(W254),IFERROR(-W254/W132,""),"")</f>
        <v>0.0984574991795209</v>
      </c>
      <c r="X281" s="215">
        <f>IF(ISNUMBER(X254),IFERROR(-X254/X132,""),"")</f>
        <v>0.132219392177519</v>
      </c>
      <c r="Y281" s="215">
        <f>IF(ISNUMBER(Y254),IFERROR(-Y254/Y132,""),"")</f>
        <v>0.119859801550081</v>
      </c>
      <c r="Z281" s="215">
        <f>IF(ISNUMBER(Z254),IFERROR(-Z254/Z132,""),"")</f>
        <v>0.0987441860465116</v>
      </c>
      <c r="AA281" s="215">
        <f>IF(ISNUMBER(AA254),IFERROR(-AA254/AA132,""),"")</f>
        <v>0.115050554541</v>
      </c>
      <c r="AB281" s="215">
        <f>IF(ISNUMBER(AB254),IFERROR(-AB254/AB132,""),"")</f>
        <v>0.118093922651934</v>
      </c>
      <c r="AC281" s="215">
        <f>IF(ISNUMBER(AC254),IFERROR(-AC254/AC132,""),"")</f>
        <v>0.113124778447359</v>
      </c>
      <c r="AD281" s="215">
        <f>IF(ISNUMBER(AD254),IFERROR(-AD254/AD132,""),"")</f>
        <v>0.101333333333333</v>
      </c>
      <c r="AE281" s="215">
        <f>IF(ISNUMBER(AE254),IFERROR(-AE254/AE132,""),"")</f>
        <v>0.108842752787389</v>
      </c>
      <c r="AF281" s="215">
        <f>IF(ISNUMBER(AF254),IFERROR(-AF254/AF132,""),"")</f>
        <v>0.127394498055596</v>
      </c>
      <c r="AG281" s="215">
        <f>IF(ISNUMBER(AG254),IFERROR(-AG254/AG132,""),"")</f>
        <v>0.133248770225536</v>
      </c>
      <c r="AH281" s="215">
        <f>IF(ISNUMBER(AH254),IFERROR(-AH254/AH132,""),"")</f>
        <v>0.118930133958775</v>
      </c>
      <c r="AI281" s="215">
        <f>IF(ISNUMBER(AI254),IFERROR(-AI254/AI132,""),"")</f>
        <v>0.234347909843961</v>
      </c>
      <c r="AJ281" s="215">
        <f>IF(ISNUMBER(AJ254),IFERROR(-AJ254/AJ132,""),"")</f>
        <v>0.167712894632085</v>
      </c>
      <c r="AK281" s="215">
        <f>IF(ISNUMBER(AK254),IFERROR(-AK254/AK132,""),"")</f>
        <v>0.156550088915234</v>
      </c>
      <c r="AL281" s="215">
        <f>IF(ISNUMBER(AL254),IFERROR(-AL254/AL132,""),"")</f>
        <v>0.180288216722681</v>
      </c>
      <c r="AM281" s="215">
        <f>IF(ISNUMBER(AM254),IFERROR(-AM254/AM132,""),"")</f>
        <v>0.183739100563518</v>
      </c>
      <c r="AN281" s="215">
        <f>IF(ISNUMBER(AN254),IFERROR(-AN254/AN132,""),"")</f>
        <v>0.127631470321143</v>
      </c>
      <c r="AO281" s="215">
        <f>IF(ISNUMBER(AO254),IFERROR(-AO254/AO132,""),"")</f>
        <v>0.157302793755136</v>
      </c>
      <c r="AP281" s="215">
        <f>IF(ISNUMBER(AP254),IFERROR(-AP254/AP132,""),"")</f>
        <v>0.166226326575965</v>
      </c>
      <c r="AQ281" s="215">
        <f>IF(ISNUMBER(AQ254),IFERROR(-AQ254/AQ132,""),"")</f>
        <v>0.131351058057515</v>
      </c>
      <c r="AR281" s="215">
        <f>IF(ISNUMBER(AR254),IFERROR(-AR254/AR132,""),"")</f>
        <v>0.145486447913899</v>
      </c>
      <c r="AS281" s="215">
        <f>IF(ISNUMBER(AS254),IFERROR(-AS254/AS132,""),"")</f>
        <v>0.145897616560169</v>
      </c>
      <c r="AT281" s="215">
        <f>IF(ISNUMBER(AT254),IFERROR(-AT254/AT132,""),"")</f>
        <v>0.140768206386923</v>
      </c>
      <c r="AU281" s="215">
        <f>IF(ISNUMBER(AU254),IFERROR(-AU254/AU132,""),"")</f>
        <v>0.117081411214346</v>
      </c>
      <c r="AV281" s="215">
        <f>IF(ISNUMBER(AV254),IFERROR(-AV254/AV132,""),"")</f>
        <v>0.0962951246089494</v>
      </c>
      <c r="AW281" s="215">
        <f>IF(ISNUMBER(AW254),IFERROR(-AW254/AW132,""),"")</f>
        <v>0.122069611619103</v>
      </c>
      <c r="AX281" s="215">
        <f>IF(ISNUMBER(AX254),IFERROR(-AX254/AX132,""),"")</f>
        <v>0.107423075532415</v>
      </c>
      <c r="AY281" s="215">
        <f>IF(ISNUMBER(AY254),IFERROR(-AY254/AY132,""),"")</f>
        <v>0.0888170652876535</v>
      </c>
      <c r="AZ281" s="215">
        <f>IF(ISNUMBER(AZ254),IFERROR(-AZ254/AZ132,""),"")</f>
        <v>0.10471758960656</v>
      </c>
      <c r="BA281" s="215">
        <f>IF(ISNUMBER(BA254),IFERROR(-BA254/BA132,""),"")</f>
        <v>0.0847394623299037</v>
      </c>
      <c r="BB281" s="215">
        <f>IF(ISNUMBER(BB254),IFERROR(-BB254/BB132,""),"")</f>
        <v>0.0956384370257378</v>
      </c>
      <c r="BC281" s="215">
        <f>IF(ISNUMBER(BC254),IFERROR(-BC254/BC132,""),"")</f>
        <v>0.14388848862684</v>
      </c>
      <c r="BD281" s="215">
        <f>IF(ISNUMBER(BD254),IFERROR(-BD254/BD132,""),"")</f>
        <v>0.0979837841716295</v>
      </c>
      <c r="BE281" s="215">
        <f>IF(ISNUMBER(BE254),IFERROR(-BE254/BE132,""),"")</f>
        <v>0.10530886354426</v>
      </c>
      <c r="BF281" s="215">
        <f>IF(ISNUMBER(BF254),IFERROR(-BF254/BF132,""),"")</f>
        <v>0.0998711340206186</v>
      </c>
      <c r="BG281" s="215">
        <f>IF(ISNUMBER(BG254),IFERROR(-BG254/BG132,""),"")</f>
        <v>0.111318926869281</v>
      </c>
      <c r="BH281" s="215">
        <f>IF(ISNUMBER(BH254),IFERROR(-BH254/BH132,""),"")</f>
        <v>0.0901170705145657</v>
      </c>
      <c r="BI281" s="215">
        <f>IF(ISNUMBER(BI254),IFERROR(-BI254/BI132,""),"")</f>
        <v>0.0923274891426733</v>
      </c>
      <c r="BJ281" s="215">
        <f>IF(ISNUMBER(BJ254),IFERROR(-BJ254/BJ132,""),"")</f>
        <v>0.105029142164213</v>
      </c>
      <c r="BK281" s="215">
        <f>IF(ISNUMBER(BK254),IFERROR(-BK254/BK132,""),"")</f>
        <v>0.127667709419534</v>
      </c>
      <c r="BL281" s="215">
        <f>IF(ISNUMBER(BL254),IFERROR(-BL254/BL132,""),"")</f>
        <v>0.104917467484726</v>
      </c>
      <c r="BM281" s="215">
        <f>IF(ISNUMBER(BM254),IFERROR(-BM254/BM132,""),"")</f>
        <v>0.14914513465526</v>
      </c>
      <c r="BN281" s="215">
        <f>IF(ISNUMBER(BN254),IFERROR(-BN254/BN132,""),"")</f>
        <v>0.155601708715867</v>
      </c>
      <c r="BO281" s="215">
        <f>IF(ISNUMBER(BO254),IFERROR(-BO254/BO132,""),"")</f>
        <v>0.147969819187021</v>
      </c>
      <c r="BP281" s="215">
        <f>IF(ISNUMBER(BP254),IFERROR(-BP254/BP132,""),"")</f>
        <v>0.147985363173662</v>
      </c>
      <c r="BQ281" s="215">
        <f>IF(ISNUMBER(BQ254),IFERROR(-BQ254/BQ132,""),"")</f>
        <v>0.150092280968407</v>
      </c>
      <c r="BR281" s="215">
        <f>IF(ISNUMBER(BR254),IFERROR(-BR254/BR132,""),"")</f>
        <v>0.190582263891659</v>
      </c>
      <c r="BS281" s="215">
        <f>IF(ISNUMBER(BS254),IFERROR(-BS254/BS132,""),"")</f>
        <v>0.232774712739038</v>
      </c>
      <c r="BT281" s="215">
        <f>IF(ISNUMBER(BT254),IFERROR(-BT254/BT132,""),"")</f>
        <v>0.234039434858226</v>
      </c>
      <c r="BU281" s="215">
        <f>IF(ISNUMBER(BU254),IFERROR(-BU254/BU132,""),"")</f>
        <v>0.24467402858674</v>
      </c>
      <c r="BV281" s="215">
        <f>IF(ISNUMBER(BV254),IFERROR(-BV254/BV132,""),"")</f>
        <v>0.227008013186508</v>
      </c>
      <c r="BW281" s="215">
        <f>IF(ISNUMBER(BW254),IFERROR(-BW254/BW132,""),"")</f>
        <v>0.324616000582369</v>
      </c>
      <c r="BX281" s="215">
        <f>IF(ISNUMBER(BX254),IFERROR(-BX254/BX132,""),"")</f>
        <v>0.375004173762062</v>
      </c>
      <c r="BY281" s="24" t="n"/>
      <c r="BZ281" s="24" t="n"/>
      <c r="CA281" s="256">
        <f>IF(ISNUMBER(CA254),IFERROR(-CA254/CA132,""),"")</f>
        <v>0.401384585986802</v>
      </c>
      <c r="CB281" s="256">
        <f>IF(ISNUMBER(CB254),IFERROR(-CB254/CB132,""),"")</f>
        <v>0.427435109849274</v>
      </c>
      <c r="CC281" s="256">
        <f>IF(ISNUMBER(CC254),IFERROR(-CC254/CC132,""),"")</f>
        <v>0.402407147628655</v>
      </c>
      <c r="CD281" s="256">
        <f>IF(ISNUMBER(CD254),IFERROR(-CD254/CD132,""),"")</f>
        <v>0.375984710565469</v>
      </c>
      <c r="CE281" s="256">
        <f>IF(ISNUMBER(CE254),IFERROR(-CE254/CE132,""),"")</f>
        <v>0.355551872561901</v>
      </c>
      <c r="CF281" s="153" t="n"/>
      <c r="CH281" s="37">
        <f>IFERROR(AVERAGE(CA281,CB281,CC281,CD281,CE281),"n/m")</f>
        <v>0.39255268531842</v>
      </c>
      <c r="CI281" s="37">
        <f>IFERROR(AVERAGE(BB281,BG281,BL281,BQ281,BV281),"n/m")</f>
        <v>0.137795025106932</v>
      </c>
      <c r="CJ281" s="37">
        <f>IFERROR(AVERAGE(AC281,AH281,AM281,AR281,AW281,BB281,BG281,BL281,BQ281,BV281),"n/m")</f>
        <v>0.137232519803731</v>
      </c>
      <c r="CK281" s="37">
        <f>IFERROR(AVERAGE(C281,D281,E281,F281,G281,H281,I281,N281,S281,X281,AC281,AH281,AM281,AR281,AW281,BB281,BG281,BL281,BQ281,BV281),"n/m")</f>
        <v>0.127661338478952</v>
      </c>
    </row>
    <row r="282" ht="15" customHeight="1" s="251">
      <c r="B282" s="25" t="inlineStr">
        <is>
          <t xml:space="preserve">  Capex / depreciation (x)</t>
        </is>
      </c>
      <c r="C282" s="279">
        <f>IF(ISNUMBER(C254),IFERROR(-C254/C107,""),"")</f>
        <v>3.84846793277107</v>
      </c>
      <c r="D282" s="279">
        <f>IF(ISNUMBER(D254),IFERROR(-D254/D107,""),"")</f>
        <v>2.97475806042268</v>
      </c>
      <c r="E282" s="279">
        <f>IF(ISNUMBER(E254),IFERROR(-E254/E107,""),"")</f>
        <v>1.94554447686385</v>
      </c>
      <c r="F282" s="279">
        <f>IF(ISNUMBER(F254),IFERROR(-F254/F107,""),"")</f>
        <v>0.653119682588325</v>
      </c>
      <c r="G282" s="279">
        <f>IF(ISNUMBER(G254),IFERROR(-G254/G107,""),"")</f>
        <v>3.76569821930647</v>
      </c>
      <c r="H282" s="279">
        <f>IF(ISNUMBER(H254),IFERROR(-H254/H107,""),"")</f>
        <v>2.46275071633238</v>
      </c>
      <c r="I282" s="279">
        <f>IF(ISNUMBER(I254),IFERROR(-I254/I107,""),"")</f>
        <v>1.64637826961771</v>
      </c>
      <c r="J282" s="279">
        <f>IF(ISNUMBER(J254),IFERROR(-J254/J107,""),"")</f>
        <v>2.05993150684932</v>
      </c>
      <c r="K282" s="279">
        <f>IF(ISNUMBER(K254),IFERROR(-K254/K107,""),"")</f>
        <v>2.1566265060241</v>
      </c>
      <c r="L282" s="279">
        <f>IF(ISNUMBER(L254),IFERROR(-L254/L107,""),"")</f>
        <v>3.3030303030303</v>
      </c>
      <c r="M282" s="279">
        <f>IF(ISNUMBER(M254),IFERROR(-M254/M107,""),"")</f>
        <v>2.97886393659181</v>
      </c>
      <c r="N282" s="279">
        <f>IF(ISNUMBER(N254),IFERROR(-N254/N107,""),"")</f>
        <v>2.64581085940309</v>
      </c>
      <c r="O282" s="279">
        <f>IF(ISNUMBER(O254),IFERROR(-O254/O107,""),"")</f>
        <v>2.87377450980392</v>
      </c>
      <c r="P282" s="279">
        <f>IF(ISNUMBER(P254),IFERROR(-P254/P107,""),"")</f>
        <v>3.25461254612546</v>
      </c>
      <c r="Q282" s="279">
        <f>IF(ISNUMBER(Q254),IFERROR(-Q254/Q107,""),"")</f>
        <v>2.7341628959276</v>
      </c>
      <c r="R282" s="279">
        <f>IF(ISNUMBER(R254),IFERROR(-R254/R107,""),"")</f>
        <v>3.51584158415842</v>
      </c>
      <c r="S282" s="279">
        <f>IF(ISNUMBER(S254),IFERROR(-S254/S107,""),"")</f>
        <v>3.11070110701107</v>
      </c>
      <c r="T282" s="279">
        <f>IF(ISNUMBER(T254),IFERROR(-T254/T107,""),"")</f>
        <v>3.12046908315565</v>
      </c>
      <c r="U282" s="279">
        <f>IF(ISNUMBER(U254),IFERROR(-U254/U107,""),"")</f>
        <v>2.48763600395648</v>
      </c>
      <c r="V282" s="279">
        <f>IF(ISNUMBER(V254),IFERROR(-V254/V107,""),"")</f>
        <v>2.30388349514563</v>
      </c>
      <c r="W282" s="279">
        <f>IF(ISNUMBER(W254),IFERROR(-W254/W107,""),"")</f>
        <v>1.8213356461405</v>
      </c>
      <c r="X282" s="279">
        <f>IF(ISNUMBER(X254),IFERROR(-X254/X107,""),"")</f>
        <v>2.39956437560503</v>
      </c>
      <c r="Y282" s="279">
        <f>IF(ISNUMBER(Y254),IFERROR(-Y254/Y107,""),"")</f>
        <v>2.1021645021645</v>
      </c>
      <c r="Z282" s="279">
        <f>IF(ISNUMBER(Z254),IFERROR(-Z254/Z107,""),"")</f>
        <v>1.67033831628639</v>
      </c>
      <c r="AA282" s="279">
        <f>IF(ISNUMBER(AA254),IFERROR(-AA254/AA107,""),"")</f>
        <v>1.87581699346405</v>
      </c>
      <c r="AB282" s="279">
        <f>IF(ISNUMBER(AB254),IFERROR(-AB254/AB107,""),"")</f>
        <v>2.10245901639344</v>
      </c>
      <c r="AC282" s="279">
        <f>IF(ISNUMBER(AC254),IFERROR(-AC254/AC107,""),"")</f>
        <v>1.93886462882096</v>
      </c>
      <c r="AD282" s="279">
        <f>IF(ISNUMBER(AD254),IFERROR(-AD254/AD107,""),"")</f>
        <v>1.94871794871795</v>
      </c>
      <c r="AE282" s="279">
        <f>IF(ISNUMBER(AE254),IFERROR(-AE254/AE107,""),"")</f>
        <v>1.98806179775281</v>
      </c>
      <c r="AF282" s="279">
        <f>IF(ISNUMBER(AF254),IFERROR(-AF254/AF107,""),"")</f>
        <v>2.26649583600256</v>
      </c>
      <c r="AG282" s="279">
        <f>IF(ISNUMBER(AG254),IFERROR(-AG254/AG107,""),"")</f>
        <v>2.35226652102676</v>
      </c>
      <c r="AH282" s="279">
        <f>IF(ISNUMBER(AH254),IFERROR(-AH254/AH107,""),"")</f>
        <v>2.16024905784041</v>
      </c>
      <c r="AI282" s="279">
        <f>IF(ISNUMBER(AI254),IFERROR(-AI254/AI107,""),"")</f>
        <v>4.07537688442211</v>
      </c>
      <c r="AJ282" s="279">
        <f>IF(ISNUMBER(AJ254),IFERROR(-AJ254/AJ107,""),"")</f>
        <v>2.94146079484425</v>
      </c>
      <c r="AK282" s="279">
        <f>IF(ISNUMBER(AK254),IFERROR(-AK254/AK107,""),"")</f>
        <v>2.47053320860617</v>
      </c>
      <c r="AL282" s="279">
        <f>IF(ISNUMBER(AL254),IFERROR(-AL254/AL107,""),"")</f>
        <v>2.98398651495997</v>
      </c>
      <c r="AM282" s="279">
        <f>IF(ISNUMBER(AM254),IFERROR(-AM254/AM107,""),"")</f>
        <v>3.07925036746693</v>
      </c>
      <c r="AN282" s="279">
        <f>IF(ISNUMBER(AN254),IFERROR(-AN254/AN107,""),"")</f>
        <v>1.91970198675497</v>
      </c>
      <c r="AO282" s="279">
        <f>IF(ISNUMBER(AO254),IFERROR(-AO254/AO107,""),"")</f>
        <v>2.33282559025133</v>
      </c>
      <c r="AP282" s="279">
        <f>IF(ISNUMBER(AP254),IFERROR(-AP254/AP107,""),"")</f>
        <v>2.46412884333821</v>
      </c>
      <c r="AQ282" s="279">
        <f>IF(ISNUMBER(AQ254),IFERROR(-AQ254/AQ107,""),"")</f>
        <v>1.96365996106424</v>
      </c>
      <c r="AR282" s="279">
        <f>IF(ISNUMBER(AR254),IFERROR(-AR254/AR107,""),"")</f>
        <v>2.16912306558585</v>
      </c>
      <c r="AS282" s="279">
        <f>IF(ISNUMBER(AS254),IFERROR(-AS254/AS107,""),"")</f>
        <v>2.07140393239048</v>
      </c>
      <c r="AT282" s="279">
        <f>IF(ISNUMBER(AT254),IFERROR(-AT254/AT107,""),"")</f>
        <v>1.69634990560101</v>
      </c>
      <c r="AU282" s="279">
        <f>IF(ISNUMBER(AU254),IFERROR(-AU254/AU107,""),"")</f>
        <v>1.64366068713895</v>
      </c>
      <c r="AV282" s="279">
        <f>IF(ISNUMBER(AV254),IFERROR(-AV254/AV107,""),"")</f>
        <v>1.54817745125742</v>
      </c>
      <c r="AW282" s="279">
        <f>IF(ISNUMBER(AW254),IFERROR(-AW254/AW107,""),"")</f>
        <v>1.72654010073615</v>
      </c>
      <c r="AX282" s="279">
        <f>IF(ISNUMBER(AX254),IFERROR(-AX254/AX107,""),"")</f>
        <v>2.35326732673267</v>
      </c>
      <c r="AY282" s="279">
        <f>IF(ISNUMBER(AY254),IFERROR(-AY254/AY107,""),"")</f>
        <v>2.01318681318681</v>
      </c>
      <c r="AZ282" s="279">
        <f>IF(ISNUMBER(AZ254),IFERROR(-AZ254/AZ107,""),"")</f>
        <v>2.21037277147488</v>
      </c>
      <c r="BA282" s="279">
        <f>IF(ISNUMBER(BA254),IFERROR(-BA254/BA107,""),"")</f>
        <v>1.98538102643857</v>
      </c>
      <c r="BB282" s="279">
        <f>IF(ISNUMBER(BB254),IFERROR(-BB254/BB107,""),"")</f>
        <v>2.13241021202942</v>
      </c>
      <c r="BC282" s="279">
        <f>IF(ISNUMBER(BC254),IFERROR(-BC254/BC107,""),"")</f>
        <v>2.72514619883041</v>
      </c>
      <c r="BD282" s="279">
        <f>IF(ISNUMBER(BD254),IFERROR(-BD254/BD107,""),"")</f>
        <v>1.84640346133045</v>
      </c>
      <c r="BE282" s="279">
        <f>IF(ISNUMBER(BE254),IFERROR(-BE254/BE107,""),"")</f>
        <v>1.84998728705823</v>
      </c>
      <c r="BF282" s="279">
        <f>IF(ISNUMBER(BF254),IFERROR(-BF254/BF107,""),"")</f>
        <v>1.86838868388684</v>
      </c>
      <c r="BG282" s="279">
        <f>IF(ISNUMBER(BG254),IFERROR(-BG254/BG107,""),"")</f>
        <v>2.05959311833584</v>
      </c>
      <c r="BH282" s="279">
        <f>IF(ISNUMBER(BH254),IFERROR(-BH254/BH107,""),"")</f>
        <v>2.05522875816993</v>
      </c>
      <c r="BI282" s="279">
        <f>IF(ISNUMBER(BI254),IFERROR(-BI254/BI107,""),"")</f>
        <v>2.10064043915828</v>
      </c>
      <c r="BJ282" s="279">
        <f>IF(ISNUMBER(BJ254),IFERROR(-BJ254/BJ107,""),"")</f>
        <v>2.19422500681013</v>
      </c>
      <c r="BK282" s="279">
        <f>IF(ISNUMBER(BK254),IFERROR(-BK254/BK107,""),"")</f>
        <v>5.69163223140496</v>
      </c>
      <c r="BL282" s="279">
        <f>IF(ISNUMBER(BL254),IFERROR(-BL254/BL107,""),"")</f>
        <v>2.69973212790892</v>
      </c>
      <c r="BM282" s="279">
        <f>IF(ISNUMBER(BM254),IFERROR(-BM254/BM107,""),"")</f>
        <v>3.51948432464108</v>
      </c>
      <c r="BN282" s="279">
        <f>IF(ISNUMBER(BN254),IFERROR(-BN254/BN107,""),"")</f>
        <v>3.55609492988134</v>
      </c>
      <c r="BO282" s="279">
        <f>IF(ISNUMBER(BO254),IFERROR(-BO254/BO107,""),"")</f>
        <v>3.27754077791719</v>
      </c>
      <c r="BP282" s="279">
        <f>IF(ISNUMBER(BP254),IFERROR(-BP254/BP107,""),"")</f>
        <v>3.39500594530321</v>
      </c>
      <c r="BQ282" s="279">
        <f>IF(ISNUMBER(BQ254),IFERROR(-BQ254/BQ107,""),"")</f>
        <v>3.43119325974789</v>
      </c>
      <c r="BR282" s="279">
        <f>IF(ISNUMBER(BR254),IFERROR(-BR254/BR107,""),"")</f>
        <v>3.83262759081792</v>
      </c>
      <c r="BS282" s="279">
        <f>IF(ISNUMBER(BS254),IFERROR(-BS254/BS107,""),"")</f>
        <v>4.49099639855942</v>
      </c>
      <c r="BT282" s="279">
        <f>IF(ISNUMBER(BT254),IFERROR(-BT254/BT107,""),"")</f>
        <v>4.26893601853502</v>
      </c>
      <c r="BU282" s="279">
        <f>IF(ISNUMBER(BU254),IFERROR(-BU254/BU107,""),"")</f>
        <v>4.61109271523179</v>
      </c>
      <c r="BV282" s="279">
        <f>IF(ISNUMBER(BV254),IFERROR(-BV254/BV107,""),"")</f>
        <v>4.3265991672975</v>
      </c>
      <c r="BW282" s="279">
        <f>IF(ISNUMBER(BW254),IFERROR(-BW254/BW107,""),"")</f>
        <v>5.50354828756557</v>
      </c>
      <c r="BX282" s="279">
        <f>IF(ISNUMBER(BX254),IFERROR(-BX254/BX107,""),"")</f>
        <v>6.32376126126126</v>
      </c>
      <c r="BY282" s="35" t="n"/>
      <c r="BZ282" s="35" t="n"/>
      <c r="CA282" s="280">
        <f>IF(ISNUMBER(CA254),IFERROR(-CA254/CA107,""),"")</f>
        <v>6.68775036503025</v>
      </c>
      <c r="CB282" s="280">
        <f>IF(ISNUMBER(CB254),IFERROR(-CB254/CB107,""),"")</f>
        <v>5.12359374494672</v>
      </c>
      <c r="CC282" s="280">
        <f>IF(ISNUMBER(CC254),IFERROR(-CC254/CC107,""),"")</f>
        <v>3.75351471669814</v>
      </c>
      <c r="CD282" s="280">
        <f>IF(ISNUMBER(CD254),IFERROR(-CD254/CD107,""),"")</f>
        <v>3.00917532855548</v>
      </c>
      <c r="CE282" s="280">
        <f>IF(ISNUMBER(CE254),IFERROR(-CE254/CE107,""),"")</f>
        <v>2.57303902634532</v>
      </c>
      <c r="CF282" s="19" t="n"/>
    </row>
    <row r="283" ht="15" customHeight="1" s="251">
      <c r="CN283" s="11" t="n"/>
      <c r="CO283" s="12" t="n"/>
      <c r="CP283" s="12" t="n"/>
      <c r="CQ283" s="12" t="n"/>
      <c r="CR283" s="13" t="n"/>
    </row>
    <row r="284" ht="15" customHeight="1" s="251">
      <c r="B284" s="10" t="inlineStr">
        <is>
          <t>SHARE SCHEDULE — BUYBACKS, EQUITY-PLAN ISSUANCE AND PREFERRED CONVERSION</t>
        </is>
      </c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  <c r="AD284" s="10" t="n"/>
      <c r="AE284" s="10" t="n"/>
      <c r="AF284" s="10" t="n"/>
      <c r="AG284" s="10" t="n"/>
      <c r="AH284" s="10" t="n"/>
      <c r="AI284" s="10" t="n"/>
      <c r="AJ284" s="10" t="n"/>
      <c r="AK284" s="10" t="n"/>
      <c r="AL284" s="10" t="n"/>
      <c r="AM284" s="10" t="n"/>
      <c r="AN284" s="10" t="n"/>
      <c r="AO284" s="10" t="n"/>
      <c r="AP284" s="10" t="n"/>
      <c r="AQ284" s="10" t="n"/>
      <c r="AR284" s="10" t="n"/>
      <c r="AS284" s="10" t="n"/>
      <c r="AT284" s="10" t="n"/>
      <c r="AU284" s="10" t="n"/>
      <c r="AV284" s="10" t="n"/>
      <c r="AW284" s="10" t="n"/>
      <c r="AX284" s="10" t="n"/>
      <c r="AY284" s="10" t="n"/>
      <c r="AZ284" s="10" t="n"/>
      <c r="BA284" s="10" t="n"/>
      <c r="BB284" s="10" t="n"/>
      <c r="BC284" s="10" t="n"/>
      <c r="BD284" s="10" t="n"/>
      <c r="BE284" s="10" t="n"/>
      <c r="BF284" s="10" t="n"/>
      <c r="BG284" s="10" t="n"/>
      <c r="BH284" s="10" t="n"/>
      <c r="BI284" s="10" t="n"/>
      <c r="BJ284" s="10" t="n"/>
      <c r="BK284" s="10" t="n"/>
      <c r="BL284" s="10" t="n"/>
      <c r="BM284" s="10" t="n"/>
      <c r="BN284" s="10" t="n"/>
      <c r="BO284" s="10" t="n"/>
      <c r="BP284" s="10" t="n"/>
      <c r="BQ284" s="10" t="n"/>
      <c r="BR284" s="10" t="n"/>
      <c r="BS284" s="10" t="n"/>
      <c r="BT284" s="10" t="n"/>
      <c r="BU284" s="10" t="n"/>
      <c r="BV284" s="10" t="n"/>
      <c r="BW284" s="10" t="n"/>
      <c r="BX284" s="10" t="n"/>
      <c r="BY284" s="10" t="n"/>
      <c r="BZ284" s="10" t="n"/>
      <c r="CA284" s="10" t="n"/>
      <c r="CB284" s="10" t="n"/>
      <c r="CC284" s="10" t="n"/>
      <c r="CD284" s="10" t="n"/>
      <c r="CE284" s="10" t="n"/>
      <c r="CF284" s="10" t="inlineStr">
        <is>
          <t>SHARES — 2026E from shares outstanding at 30-Jun-2026 (2H only); 2027E+ buybacks via the leverage plug</t>
        </is>
      </c>
    </row>
    <row r="285" ht="15" customHeight="1" s="251">
      <c r="B285" s="25" t="inlineStr">
        <is>
          <t xml:space="preserve">  Avg buyback / reference share price ($)</t>
        </is>
      </c>
      <c r="C285" s="34" t="n"/>
      <c r="D285" s="34" t="n"/>
      <c r="E285" s="34" t="n"/>
      <c r="F285" s="34" t="n"/>
      <c r="G285" s="34" t="n"/>
      <c r="H285" s="34" t="n"/>
      <c r="I285" s="34" t="n"/>
      <c r="J285" s="34" t="n"/>
      <c r="K285" s="34" t="n"/>
      <c r="L285" s="34" t="n"/>
      <c r="M285" s="34" t="n"/>
      <c r="N285" s="34" t="n"/>
      <c r="O285" s="34" t="n"/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  <c r="AA285" s="34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34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34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5" t="n"/>
      <c r="BZ285" s="35" t="n"/>
      <c r="CA285" s="281">
        <f>CA407</f>
        <v>350</v>
      </c>
      <c r="CB285" s="281">
        <f>CA285*(1+CB351)</f>
        <v>378</v>
      </c>
      <c r="CC285" s="281">
        <f>CB285*(1+CC351)</f>
        <v>408.24</v>
      </c>
      <c r="CD285" s="281">
        <f>CC285*(1+CD351)</f>
        <v>440.8992</v>
      </c>
      <c r="CE285" s="281">
        <f>CD285*(1+CE351)</f>
        <v>476.171136</v>
      </c>
      <c r="CF285" s="19" t="n"/>
    </row>
    <row r="286" ht="15" customHeight="1" s="251">
      <c r="B286" s="25" t="inlineStr">
        <is>
          <t xml:space="preserve">  Buyback cash deployed (USDm; 2026E = 2H)</t>
        </is>
      </c>
      <c r="C286" s="34" t="n"/>
      <c r="D286" s="34" t="n"/>
      <c r="E286" s="34" t="n"/>
      <c r="F286" s="34" t="n"/>
      <c r="G286" s="34" t="n"/>
      <c r="H286" s="34" t="n"/>
      <c r="I286" s="34" t="n"/>
      <c r="J286" s="34" t="n"/>
      <c r="K286" s="34" t="n"/>
      <c r="L286" s="34" t="n"/>
      <c r="M286" s="34" t="n"/>
      <c r="N286" s="34" t="n"/>
      <c r="O286" s="34" t="n"/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  <c r="AA286" s="34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34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34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5" t="n"/>
      <c r="BZ286" s="35" t="n"/>
      <c r="CA286" s="254">
        <f>CHOOSE(MATCH($CF$2,{"Bull","Base","Bear"},0),$CO$14,$CP$14,$CQ$14)</f>
        <v>0</v>
      </c>
      <c r="CB286" s="254">
        <f>-CB259</f>
        <v>27560.0566204255</v>
      </c>
      <c r="CC286" s="254">
        <f>-CC259</f>
        <v>0</v>
      </c>
      <c r="CD286" s="254">
        <f>-CD259</f>
        <v>0</v>
      </c>
      <c r="CE286" s="254">
        <f>-CE259</f>
        <v>0</v>
      </c>
      <c r="CF286" s="19" t="n"/>
    </row>
    <row r="287" ht="15" customHeight="1" s="251">
      <c r="B287" s="25" t="inlineStr">
        <is>
          <t xml:space="preserve">  Implied shares repurchased (m)</t>
        </is>
      </c>
      <c r="C287" s="34" t="n"/>
      <c r="D287" s="34" t="n"/>
      <c r="E287" s="34" t="n"/>
      <c r="F287" s="34" t="n"/>
      <c r="G287" s="34" t="n"/>
      <c r="H287" s="34" t="n"/>
      <c r="I287" s="34" t="n"/>
      <c r="J287" s="34" t="n"/>
      <c r="K287" s="34" t="n"/>
      <c r="L287" s="34" t="n"/>
      <c r="M287" s="34" t="n"/>
      <c r="N287" s="34" t="n"/>
      <c r="O287" s="34" t="n"/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  <c r="AA287" s="34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34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34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5" t="n"/>
      <c r="BZ287" s="35" t="n"/>
      <c r="CA287" s="281">
        <f>IFERROR(CA286/CA285,0)</f>
        <v>0</v>
      </c>
      <c r="CB287" s="281">
        <f>IFERROR(CB286/CB285,0)</f>
        <v>72.9102026995383</v>
      </c>
      <c r="CC287" s="281">
        <f>IFERROR(CC286/CC285,0)</f>
        <v>0</v>
      </c>
      <c r="CD287" s="281">
        <f>IFERROR(CD286/CD285,0)</f>
        <v>0</v>
      </c>
      <c r="CE287" s="281">
        <f>IFERROR(CE286/CE285,0)</f>
        <v>0</v>
      </c>
      <c r="CF287" s="19" t="n"/>
    </row>
    <row r="288" ht="15" customHeight="1" s="251">
      <c r="B288" s="25" t="inlineStr">
        <is>
          <t xml:space="preserve">  Shares issued under equity plans, net of withholding (m)</t>
        </is>
      </c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  <c r="AV288" s="36" t="n"/>
      <c r="AW288" s="36" t="n"/>
      <c r="AX288" s="36" t="n"/>
      <c r="AY288" s="36" t="n"/>
      <c r="AZ288" s="36" t="n"/>
      <c r="BA288" s="36" t="n"/>
      <c r="BB288" s="36" t="n"/>
      <c r="BC288" s="36" t="n"/>
      <c r="BD288" s="36" t="n"/>
      <c r="BE288" s="36" t="n"/>
      <c r="BF288" s="36" t="n"/>
      <c r="BG288" s="36" t="n"/>
      <c r="BH288" s="36" t="n"/>
      <c r="BI288" s="36" t="n"/>
      <c r="BJ288" s="36" t="n"/>
      <c r="BK288" s="36" t="n"/>
      <c r="BL288" s="36" t="n"/>
      <c r="BM288" s="36" t="n"/>
      <c r="BN288" s="36" t="n"/>
      <c r="BO288" s="36" t="n"/>
      <c r="BP288" s="36" t="n"/>
      <c r="BQ288" s="36" t="n"/>
      <c r="BR288" s="36" t="n"/>
      <c r="BS288" s="36" t="n"/>
      <c r="BT288" s="36" t="n"/>
      <c r="BU288" s="36" t="n"/>
      <c r="BV288" s="36" t="n"/>
      <c r="BW288" s="36" t="n"/>
      <c r="BX288" s="36" t="n"/>
      <c r="BY288" s="24" t="n"/>
      <c r="BZ288" s="24" t="n"/>
      <c r="CA288" s="282" t="n">
        <v>60</v>
      </c>
      <c r="CB288" s="282" t="n">
        <v>120</v>
      </c>
      <c r="CC288" s="282" t="n">
        <v>120</v>
      </c>
      <c r="CD288" s="282" t="n">
        <v>120</v>
      </c>
      <c r="CE288" s="282" t="n">
        <v>120</v>
      </c>
      <c r="CF288" s="19" t="inlineStr">
        <is>
          <t>FY2025: shares outstanding fell 123m with ~240m repurchased → ~117m net issuance. 2H26E 60m; 2027E+ 120m p.a. (assumption).</t>
        </is>
      </c>
    </row>
    <row r="289" ht="15" customHeight="1" s="251">
      <c r="B289" s="25" t="inlineStr">
        <is>
          <t xml:space="preserve">  Shares issued on conversion of the mandatory convertible preferred (m; May-2029)</t>
        </is>
      </c>
      <c r="C289" s="34" t="n"/>
      <c r="D289" s="34" t="n"/>
      <c r="E289" s="34" t="n"/>
      <c r="F289" s="34" t="n"/>
      <c r="G289" s="34" t="n"/>
      <c r="H289" s="34" t="n"/>
      <c r="I289" s="34" t="n"/>
      <c r="J289" s="34" t="n"/>
      <c r="K289" s="34" t="n"/>
      <c r="L289" s="34" t="n"/>
      <c r="M289" s="34" t="n"/>
      <c r="N289" s="34" t="n"/>
      <c r="O289" s="34" t="n"/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  <c r="AA289" s="34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34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34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5" t="n"/>
      <c r="BZ289" s="35" t="n"/>
      <c r="CA289" s="282" t="n">
        <v>0</v>
      </c>
      <c r="CB289" s="281">
        <f>IF(2027=2029,CB296,0)</f>
        <v>0</v>
      </c>
      <c r="CC289" s="281">
        <f>IF(2028=2029,CC296,0)</f>
        <v>0</v>
      </c>
      <c r="CD289" s="281">
        <f>IF(2029=2029,CD296,0)</f>
        <v>43.0937502268092</v>
      </c>
      <c r="CE289" s="281">
        <f>IF(2030=2029,CE296,0)</f>
        <v>0</v>
      </c>
      <c r="CF289" s="19" t="n"/>
    </row>
    <row r="290" ht="15" customHeight="1" s="251">
      <c r="B290" s="25" t="inlineStr">
        <is>
          <t xml:space="preserve">  Beginning shares outstanding (m)</t>
        </is>
      </c>
      <c r="C290" s="34" t="n"/>
      <c r="D290" s="34" t="n"/>
      <c r="E290" s="34" t="n"/>
      <c r="F290" s="34" t="n"/>
      <c r="G290" s="34" t="n"/>
      <c r="H290" s="34" t="n"/>
      <c r="I290" s="34" t="n"/>
      <c r="J290" s="34" t="n"/>
      <c r="K290" s="34" t="n"/>
      <c r="L290" s="34" t="n"/>
      <c r="M290" s="34" t="n"/>
      <c r="N290" s="34" t="n"/>
      <c r="O290" s="34" t="n"/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  <c r="AA290" s="34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34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34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5" t="n"/>
      <c r="BZ290" s="35" t="n"/>
      <c r="CA290" s="254">
        <f>BX329</f>
        <v>12230</v>
      </c>
      <c r="CB290" s="254">
        <f>CA291</f>
        <v>12290</v>
      </c>
      <c r="CC290" s="254">
        <f>CB291</f>
        <v>12337.0897973005</v>
      </c>
      <c r="CD290" s="254">
        <f>CC291</f>
        <v>12457.0897973005</v>
      </c>
      <c r="CE290" s="254">
        <f>CD291</f>
        <v>12620.1835475273</v>
      </c>
      <c r="CF290" s="19" t="inlineStr">
        <is>
          <t>2026E begins from Class A + B + C shares outstanding at 30-Jun-2026 (Q2-26 10-Q).</t>
        </is>
      </c>
    </row>
    <row r="291" ht="15" customHeight="1" s="251">
      <c r="B291" s="25" t="inlineStr">
        <is>
          <t xml:space="preserve">  Ending shares outstanding (m)</t>
        </is>
      </c>
      <c r="C291" s="34" t="n"/>
      <c r="D291" s="34" t="n"/>
      <c r="E291" s="34" t="n"/>
      <c r="F291" s="34" t="n"/>
      <c r="G291" s="34" t="n"/>
      <c r="H291" s="34" t="n"/>
      <c r="I291" s="34" t="n"/>
      <c r="J291" s="34" t="n"/>
      <c r="K291" s="34" t="n"/>
      <c r="L291" s="34" t="n"/>
      <c r="M291" s="34" t="n"/>
      <c r="N291" s="34" t="n"/>
      <c r="O291" s="34" t="n"/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  <c r="AA291" s="34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34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34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5" t="n"/>
      <c r="BZ291" s="35" t="n"/>
      <c r="CA291" s="254">
        <f>CA290-CA287+CA288+CA289</f>
        <v>12290</v>
      </c>
      <c r="CB291" s="254">
        <f>CB290-CB287+CB288+CB289</f>
        <v>12337.0897973005</v>
      </c>
      <c r="CC291" s="254">
        <f>CC290-CC287+CC288+CC289</f>
        <v>12457.0897973005</v>
      </c>
      <c r="CD291" s="254">
        <f>CD290-CD287+CD288+CD289</f>
        <v>12620.1835475273</v>
      </c>
      <c r="CE291" s="254">
        <f>CE290-CE287+CE288+CE289</f>
        <v>12740.1835475273</v>
      </c>
      <c r="CF291" s="19" t="n"/>
    </row>
    <row r="292" ht="15" customHeight="1" s="251">
      <c r="B292" s="25" t="inlineStr">
        <is>
          <t xml:space="preserve">  % of shares repurchased</t>
        </is>
      </c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  <c r="AV292" s="36" t="n"/>
      <c r="AW292" s="36" t="n"/>
      <c r="AX292" s="36" t="n"/>
      <c r="AY292" s="36" t="n"/>
      <c r="AZ292" s="36" t="n"/>
      <c r="BA292" s="36" t="n"/>
      <c r="BB292" s="36" t="n"/>
      <c r="BC292" s="36" t="n"/>
      <c r="BD292" s="36" t="n"/>
      <c r="BE292" s="36" t="n"/>
      <c r="BF292" s="36" t="n"/>
      <c r="BG292" s="36" t="n"/>
      <c r="BH292" s="36" t="n"/>
      <c r="BI292" s="36" t="n"/>
      <c r="BJ292" s="36" t="n"/>
      <c r="BK292" s="36" t="n"/>
      <c r="BL292" s="36" t="n"/>
      <c r="BM292" s="36" t="n"/>
      <c r="BN292" s="36" t="n"/>
      <c r="BO292" s="36" t="n"/>
      <c r="BP292" s="36" t="n"/>
      <c r="BQ292" s="36" t="n"/>
      <c r="BR292" s="36" t="n"/>
      <c r="BS292" s="36" t="n"/>
      <c r="BT292" s="36" t="n"/>
      <c r="BU292" s="36" t="n"/>
      <c r="BV292" s="36" t="n"/>
      <c r="BW292" s="36" t="n"/>
      <c r="BX292" s="36" t="n"/>
      <c r="BY292" s="24" t="n"/>
      <c r="BZ292" s="24" t="n"/>
      <c r="CA292" s="256">
        <f>IF(AND(ISNUMBER(CA287),ISNUMBER(CA290)),IFERROR(CA287/CA290,""),"")</f>
        <v>0</v>
      </c>
      <c r="CB292" s="256">
        <f>IF(AND(ISNUMBER(CB287),ISNUMBER(CB290)),IFERROR(CB287/CB290,""),"")</f>
        <v>0.00593248191208611</v>
      </c>
      <c r="CC292" s="256">
        <f>IF(AND(ISNUMBER(CC287),ISNUMBER(CC290)),IFERROR(CC287/CC290,""),"")</f>
        <v>0</v>
      </c>
      <c r="CD292" s="256">
        <f>IF(AND(ISNUMBER(CD287),ISNUMBER(CD290)),IFERROR(CD287/CD290,""),"")</f>
        <v>0</v>
      </c>
      <c r="CE292" s="256">
        <f>IF(AND(ISNUMBER(CE287),ISNUMBER(CE290)),IFERROR(CE287/CE290,""),"")</f>
        <v>0</v>
      </c>
      <c r="CF292" s="153" t="n"/>
    </row>
    <row r="293" ht="15" customHeight="1" s="251">
      <c r="B293" s="25" t="inlineStr">
        <is>
          <t>6.25% Mandatory convertible preferred (Series A / B; issued 5-Jun-2026; converts ~15-May-2029)</t>
        </is>
      </c>
      <c r="CF293" s="153" t="n"/>
    </row>
    <row r="294" ht="15" customHeight="1" s="251">
      <c r="B294" s="69" t="inlineStr">
        <is>
          <t xml:space="preserve">  Liquidation preference outstanding ($m; 19m shares × $1,000)</t>
        </is>
      </c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  <c r="AC294" s="44" t="n"/>
      <c r="AD294" s="44" t="n"/>
      <c r="AE294" s="44" t="n"/>
      <c r="AF294" s="44" t="n"/>
      <c r="AG294" s="44" t="n"/>
      <c r="AH294" s="44" t="n"/>
      <c r="AI294" s="44" t="n"/>
      <c r="AJ294" s="44" t="n"/>
      <c r="AK294" s="44" t="n"/>
      <c r="AL294" s="44" t="n"/>
      <c r="AM294" s="44" t="n"/>
      <c r="AN294" s="44" t="n"/>
      <c r="AO294" s="44" t="n"/>
      <c r="AP294" s="44" t="n"/>
      <c r="AQ294" s="44" t="n"/>
      <c r="AR294" s="44" t="n"/>
      <c r="AS294" s="44" t="n"/>
      <c r="AT294" s="44" t="n"/>
      <c r="AU294" s="44" t="n"/>
      <c r="AV294" s="44" t="n"/>
      <c r="AW294" s="44" t="n"/>
      <c r="AX294" s="44" t="n"/>
      <c r="AY294" s="44" t="n"/>
      <c r="AZ294" s="44" t="n"/>
      <c r="BA294" s="44" t="n"/>
      <c r="BB294" s="44" t="n"/>
      <c r="BC294" s="44" t="n"/>
      <c r="BD294" s="44" t="n"/>
      <c r="BE294" s="44" t="n"/>
      <c r="BF294" s="44" t="n"/>
      <c r="BG294" s="44" t="n"/>
      <c r="BH294" s="44" t="n"/>
      <c r="BI294" s="44" t="n"/>
      <c r="BJ294" s="44" t="n"/>
      <c r="BK294" s="44" t="n"/>
      <c r="BL294" s="44" t="n"/>
      <c r="BM294" s="44" t="n"/>
      <c r="BN294" s="44" t="n"/>
      <c r="BO294" s="44" t="n"/>
      <c r="BP294" s="44" t="n"/>
      <c r="BQ294" s="44" t="n"/>
      <c r="BR294" s="44" t="n"/>
      <c r="BS294" s="44" t="n"/>
      <c r="BT294" s="44" t="n"/>
      <c r="BU294" s="44" t="n"/>
      <c r="BV294" s="44" t="n"/>
      <c r="BW294" s="44" t="n"/>
      <c r="BX294" s="44" t="n"/>
      <c r="BY294" s="153" t="n"/>
      <c r="BZ294" s="153" t="n"/>
      <c r="CA294" s="265" t="n">
        <v>19000</v>
      </c>
      <c r="CB294" s="254">
        <f>IF(2027&gt;=2029,0,CA294)</f>
        <v>19000</v>
      </c>
      <c r="CC294" s="254">
        <f>IF(2028&gt;=2029,0,CB294)</f>
        <v>19000</v>
      </c>
      <c r="CD294" s="254">
        <f>IF(2029&gt;=2029,0,CC294)</f>
        <v>0</v>
      </c>
      <c r="CE294" s="254">
        <f>IF(2030&gt;=2029,0,CD294)</f>
        <v>0</v>
      </c>
      <c r="CF294" s="19" t="n"/>
    </row>
    <row r="295" ht="15" customHeight="1" s="251">
      <c r="B295" s="69" t="inlineStr">
        <is>
          <t xml:space="preserve">  Conversion rate per preferred share (average of Series A / B bands: 2.263 min – 2.829 max; 1,000 ÷ price in between)</t>
        </is>
      </c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  <c r="Y295" s="44" t="n"/>
      <c r="Z295" s="44" t="n"/>
      <c r="AA295" s="44" t="n"/>
      <c r="AB295" s="44" t="n"/>
      <c r="AC295" s="44" t="n"/>
      <c r="AD295" s="44" t="n"/>
      <c r="AE295" s="44" t="n"/>
      <c r="AF295" s="44" t="n"/>
      <c r="AG295" s="44" t="n"/>
      <c r="AH295" s="44" t="n"/>
      <c r="AI295" s="44" t="n"/>
      <c r="AJ295" s="44" t="n"/>
      <c r="AK295" s="44" t="n"/>
      <c r="AL295" s="44" t="n"/>
      <c r="AM295" s="44" t="n"/>
      <c r="AN295" s="44" t="n"/>
      <c r="AO295" s="44" t="n"/>
      <c r="AP295" s="44" t="n"/>
      <c r="AQ295" s="44" t="n"/>
      <c r="AR295" s="44" t="n"/>
      <c r="AS295" s="44" t="n"/>
      <c r="AT295" s="44" t="n"/>
      <c r="AU295" s="44" t="n"/>
      <c r="AV295" s="44" t="n"/>
      <c r="AW295" s="44" t="n"/>
      <c r="AX295" s="44" t="n"/>
      <c r="AY295" s="44" t="n"/>
      <c r="AZ295" s="44" t="n"/>
      <c r="BA295" s="44" t="n"/>
      <c r="BB295" s="44" t="n"/>
      <c r="BC295" s="44" t="n"/>
      <c r="BD295" s="44" t="n"/>
      <c r="BE295" s="44" t="n"/>
      <c r="BF295" s="44" t="n"/>
      <c r="BG295" s="44" t="n"/>
      <c r="BH295" s="44" t="n"/>
      <c r="BI295" s="44" t="n"/>
      <c r="BJ295" s="44" t="n"/>
      <c r="BK295" s="44" t="n"/>
      <c r="BL295" s="44" t="n"/>
      <c r="BM295" s="44" t="n"/>
      <c r="BN295" s="44" t="n"/>
      <c r="BO295" s="44" t="n"/>
      <c r="BP295" s="44" t="n"/>
      <c r="BQ295" s="44" t="n"/>
      <c r="BR295" s="44" t="n"/>
      <c r="BS295" s="44" t="n"/>
      <c r="BT295" s="44" t="n"/>
      <c r="BU295" s="44" t="n"/>
      <c r="BV295" s="44" t="n"/>
      <c r="BW295" s="44" t="n"/>
      <c r="BX295" s="44" t="n"/>
      <c r="BY295" s="153" t="n"/>
      <c r="BZ295" s="153" t="n"/>
      <c r="CA295" s="283">
        <f>MAX(2.263,MIN(2.829,1000/CA285))</f>
        <v>2.829</v>
      </c>
      <c r="CB295" s="283">
        <f>MAX(2.263,MIN(2.829,1000/CB285))</f>
        <v>2.64550264550265</v>
      </c>
      <c r="CC295" s="283">
        <f>MAX(2.263,MIN(2.829,1000/CC285))</f>
        <v>2.44953948657652</v>
      </c>
      <c r="CD295" s="283">
        <f>MAX(2.263,MIN(2.829,1000/CD285))</f>
        <v>2.26809211720048</v>
      </c>
      <c r="CE295" s="283">
        <f>MAX(2.263,MIN(2.829,1000/CE285))</f>
        <v>2.263</v>
      </c>
      <c r="CF295" s="19" t="inlineStr">
        <is>
          <t>Series A converts into 2.2520–2.8160 Class A shares, Series B into 2.2740–2.8420 Class C shares, depending on the 20-day VWAP before 15-May-2029 (Q2-26 10-Q Note 11). Capped calls (cap ~$528–533) ignored, as in GAAP EPS.</t>
        </is>
      </c>
    </row>
    <row r="296" ht="15" customHeight="1" s="251">
      <c r="B296" s="69" t="inlineStr">
        <is>
          <t xml:space="preserve">  Conversion shares at the forecast price (m)</t>
        </is>
      </c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  <c r="AC296" s="44" t="n"/>
      <c r="AD296" s="44" t="n"/>
      <c r="AE296" s="44" t="n"/>
      <c r="AF296" s="44" t="n"/>
      <c r="AG296" s="44" t="n"/>
      <c r="AH296" s="44" t="n"/>
      <c r="AI296" s="44" t="n"/>
      <c r="AJ296" s="44" t="n"/>
      <c r="AK296" s="44" t="n"/>
      <c r="AL296" s="44" t="n"/>
      <c r="AM296" s="44" t="n"/>
      <c r="AN296" s="44" t="n"/>
      <c r="AO296" s="44" t="n"/>
      <c r="AP296" s="44" t="n"/>
      <c r="AQ296" s="44" t="n"/>
      <c r="AR296" s="44" t="n"/>
      <c r="AS296" s="44" t="n"/>
      <c r="AT296" s="44" t="n"/>
      <c r="AU296" s="44" t="n"/>
      <c r="AV296" s="44" t="n"/>
      <c r="AW296" s="44" t="n"/>
      <c r="AX296" s="44" t="n"/>
      <c r="AY296" s="44" t="n"/>
      <c r="AZ296" s="44" t="n"/>
      <c r="BA296" s="44" t="n"/>
      <c r="BB296" s="44" t="n"/>
      <c r="BC296" s="44" t="n"/>
      <c r="BD296" s="44" t="n"/>
      <c r="BE296" s="44" t="n"/>
      <c r="BF296" s="44" t="n"/>
      <c r="BG296" s="44" t="n"/>
      <c r="BH296" s="44" t="n"/>
      <c r="BI296" s="44" t="n"/>
      <c r="BJ296" s="44" t="n"/>
      <c r="BK296" s="44" t="n"/>
      <c r="BL296" s="44" t="n"/>
      <c r="BM296" s="44" t="n"/>
      <c r="BN296" s="44" t="n"/>
      <c r="BO296" s="44" t="n"/>
      <c r="BP296" s="44" t="n"/>
      <c r="BQ296" s="44" t="n"/>
      <c r="BR296" s="44" t="n"/>
      <c r="BS296" s="44" t="n"/>
      <c r="BT296" s="44" t="n"/>
      <c r="BU296" s="44" t="n"/>
      <c r="BV296" s="44" t="n"/>
      <c r="BW296" s="44" t="n"/>
      <c r="BX296" s="44" t="n"/>
      <c r="BY296" s="153" t="n"/>
      <c r="BZ296" s="153" t="n"/>
      <c r="CA296" s="284">
        <f>19*CA295</f>
        <v>53.751</v>
      </c>
      <c r="CB296" s="284">
        <f>19*CB295</f>
        <v>50.2645502645503</v>
      </c>
      <c r="CC296" s="284">
        <f>19*CC295</f>
        <v>46.541250244954</v>
      </c>
      <c r="CD296" s="284">
        <f>19*CD295</f>
        <v>43.0937502268092</v>
      </c>
      <c r="CE296" s="284">
        <f>19*CE295</f>
        <v>42.997</v>
      </c>
      <c r="CF296" s="19" t="n"/>
    </row>
    <row r="297" ht="15" customHeight="1" s="251">
      <c r="B297" s="69" t="inlineStr">
        <is>
          <t xml:space="preserve">  If-converted shares in diluted EPS (m; 2029 weighted to 15-May)</t>
        </is>
      </c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  <c r="Y297" s="44" t="n"/>
      <c r="Z297" s="44" t="n"/>
      <c r="AA297" s="44" t="n"/>
      <c r="AB297" s="44" t="n"/>
      <c r="AC297" s="44" t="n"/>
      <c r="AD297" s="44" t="n"/>
      <c r="AE297" s="44" t="n"/>
      <c r="AF297" s="44" t="n"/>
      <c r="AG297" s="44" t="n"/>
      <c r="AH297" s="44" t="n"/>
      <c r="AI297" s="44" t="n"/>
      <c r="AJ297" s="44" t="n"/>
      <c r="AK297" s="44" t="n"/>
      <c r="AL297" s="44" t="n"/>
      <c r="AM297" s="44" t="n"/>
      <c r="AN297" s="44" t="n"/>
      <c r="AO297" s="44" t="n"/>
      <c r="AP297" s="44" t="n"/>
      <c r="AQ297" s="44" t="n"/>
      <c r="AR297" s="44" t="n"/>
      <c r="AS297" s="44" t="n"/>
      <c r="AT297" s="44" t="n"/>
      <c r="AU297" s="44" t="n"/>
      <c r="AV297" s="44" t="n"/>
      <c r="AW297" s="44" t="n"/>
      <c r="AX297" s="44" t="n"/>
      <c r="AY297" s="44" t="n"/>
      <c r="AZ297" s="44" t="n"/>
      <c r="BA297" s="44" t="n"/>
      <c r="BB297" s="44" t="n"/>
      <c r="BC297" s="44" t="n"/>
      <c r="BD297" s="44" t="n"/>
      <c r="BE297" s="44" t="n"/>
      <c r="BF297" s="44" t="n"/>
      <c r="BG297" s="44" t="n"/>
      <c r="BH297" s="44" t="n"/>
      <c r="BI297" s="44" t="n"/>
      <c r="BJ297" s="44" t="n"/>
      <c r="BK297" s="44" t="n"/>
      <c r="BL297" s="44" t="n"/>
      <c r="BM297" s="44" t="n"/>
      <c r="BN297" s="44" t="n"/>
      <c r="BO297" s="44" t="n"/>
      <c r="BP297" s="44" t="n"/>
      <c r="BQ297" s="44" t="n"/>
      <c r="BR297" s="44" t="n"/>
      <c r="BS297" s="44" t="n"/>
      <c r="BT297" s="44" t="n"/>
      <c r="BU297" s="44" t="n"/>
      <c r="BV297" s="44" t="n"/>
      <c r="BW297" s="44" t="n"/>
      <c r="BX297" s="44" t="n"/>
      <c r="BY297" s="153" t="n"/>
      <c r="BZ297" s="153" t="n"/>
      <c r="CA297" s="35" t="n"/>
      <c r="CB297" s="284">
        <f>IF(2027&lt;2029,CB296,IF(2027=2029,CB296*4.5/12,0))</f>
        <v>50.2645502645503</v>
      </c>
      <c r="CC297" s="284">
        <f>IF(2028&lt;2029,CC296,IF(2028=2029,CC296*4.5/12,0))</f>
        <v>46.541250244954</v>
      </c>
      <c r="CD297" s="284">
        <f>IF(2029&lt;2029,CD296,IF(2029=2029,CD296*4.5/12,0))</f>
        <v>16.1601563350535</v>
      </c>
      <c r="CE297" s="284">
        <f>IF(2030&lt;2029,CE296,IF(2030=2029,CE296*4.5/12,0))</f>
        <v>0</v>
      </c>
      <c r="CF297" s="19" t="n"/>
    </row>
    <row r="298" ht="15" customHeight="1" s="251">
      <c r="B298" s="69" t="inlineStr">
        <is>
          <t xml:space="preserve">  Preferred dividends accrued (income statement; 6.25% × $19.0bn)</t>
        </is>
      </c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  <c r="AC298" s="44" t="n"/>
      <c r="AD298" s="44" t="n"/>
      <c r="AE298" s="44" t="n"/>
      <c r="AF298" s="44" t="n"/>
      <c r="AG298" s="44" t="n"/>
      <c r="AH298" s="44" t="n"/>
      <c r="AI298" s="44" t="n"/>
      <c r="AJ298" s="44" t="n"/>
      <c r="AK298" s="44" t="n"/>
      <c r="AL298" s="44" t="n"/>
      <c r="AM298" s="44" t="n"/>
      <c r="AN298" s="44" t="n"/>
      <c r="AO298" s="44" t="n"/>
      <c r="AP298" s="44" t="n"/>
      <c r="AQ298" s="44" t="n"/>
      <c r="AR298" s="44" t="n"/>
      <c r="AS298" s="44" t="n"/>
      <c r="AT298" s="44" t="n"/>
      <c r="AU298" s="44" t="n"/>
      <c r="AV298" s="44" t="n"/>
      <c r="AW298" s="44" t="n"/>
      <c r="AX298" s="44" t="n"/>
      <c r="AY298" s="44" t="n"/>
      <c r="AZ298" s="44" t="n"/>
      <c r="BA298" s="44" t="n"/>
      <c r="BB298" s="44" t="n"/>
      <c r="BC298" s="44" t="n"/>
      <c r="BD298" s="44" t="n"/>
      <c r="BE298" s="44" t="n"/>
      <c r="BF298" s="44" t="n"/>
      <c r="BG298" s="44" t="n"/>
      <c r="BH298" s="44" t="n"/>
      <c r="BI298" s="44" t="n"/>
      <c r="BJ298" s="44" t="n"/>
      <c r="BK298" s="44" t="n"/>
      <c r="BL298" s="44" t="n"/>
      <c r="BM298" s="44" t="n"/>
      <c r="BN298" s="44" t="n"/>
      <c r="BO298" s="44" t="n"/>
      <c r="BP298" s="44" t="n"/>
      <c r="BQ298" s="44" t="n"/>
      <c r="BR298" s="44" t="n"/>
      <c r="BS298" s="44" t="n"/>
      <c r="BT298" s="44" t="n"/>
      <c r="BU298" s="44" t="n"/>
      <c r="BV298" s="44" t="n"/>
      <c r="BW298" s="44" t="n"/>
      <c r="BX298" s="44" t="n"/>
      <c r="BY298" s="153" t="n"/>
      <c r="BZ298" s="153" t="n"/>
      <c r="CA298" s="35" t="n"/>
      <c r="CB298" s="254">
        <f>IF(2027&lt;2029,1187.5,IF(2027=2029,1187.5*4.5/12,0))</f>
        <v>1187.5</v>
      </c>
      <c r="CC298" s="254">
        <f>IF(2028&lt;2029,1187.5,IF(2028=2029,1187.5*4.5/12,0))</f>
        <v>1187.5</v>
      </c>
      <c r="CD298" s="254">
        <f>IF(2029&lt;2029,1187.5,IF(2029=2029,1187.5*4.5/12,0))</f>
        <v>445.3125</v>
      </c>
      <c r="CE298" s="254">
        <f>IF(2030&lt;2029,1187.5,IF(2030=2029,1187.5*4.5/12,0))</f>
        <v>0</v>
      </c>
      <c r="CF298" s="19" t="n"/>
    </row>
    <row r="299" ht="15" customHeight="1" s="251">
      <c r="B299" s="69" t="inlineStr">
        <is>
          <t xml:space="preserve">  Preferred dividends paid in cash (15 Feb / May / Aug / Nov; first $12.15 on 15-Aug-2026)</t>
        </is>
      </c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  <c r="Y299" s="44" t="n"/>
      <c r="Z299" s="44" t="n"/>
      <c r="AA299" s="44" t="n"/>
      <c r="AB299" s="44" t="n"/>
      <c r="AC299" s="44" t="n"/>
      <c r="AD299" s="44" t="n"/>
      <c r="AE299" s="44" t="n"/>
      <c r="AF299" s="44" t="n"/>
      <c r="AG299" s="44" t="n"/>
      <c r="AH299" s="44" t="n"/>
      <c r="AI299" s="44" t="n"/>
      <c r="AJ299" s="44" t="n"/>
      <c r="AK299" s="44" t="n"/>
      <c r="AL299" s="44" t="n"/>
      <c r="AM299" s="44" t="n"/>
      <c r="AN299" s="44" t="n"/>
      <c r="AO299" s="44" t="n"/>
      <c r="AP299" s="44" t="n"/>
      <c r="AQ299" s="44" t="n"/>
      <c r="AR299" s="44" t="n"/>
      <c r="AS299" s="44" t="n"/>
      <c r="AT299" s="44" t="n"/>
      <c r="AU299" s="44" t="n"/>
      <c r="AV299" s="44" t="n"/>
      <c r="AW299" s="44" t="n"/>
      <c r="AX299" s="44" t="n"/>
      <c r="AY299" s="44" t="n"/>
      <c r="AZ299" s="44" t="n"/>
      <c r="BA299" s="44" t="n"/>
      <c r="BB299" s="44" t="n"/>
      <c r="BC299" s="44" t="n"/>
      <c r="BD299" s="44" t="n"/>
      <c r="BE299" s="44" t="n"/>
      <c r="BF299" s="44" t="n"/>
      <c r="BG299" s="44" t="n"/>
      <c r="BH299" s="44" t="n"/>
      <c r="BI299" s="44" t="n"/>
      <c r="BJ299" s="44" t="n"/>
      <c r="BK299" s="44" t="n"/>
      <c r="BL299" s="44" t="n"/>
      <c r="BM299" s="44" t="n"/>
      <c r="BN299" s="44" t="n"/>
      <c r="BO299" s="44" t="n"/>
      <c r="BP299" s="44" t="n"/>
      <c r="BQ299" s="44" t="n"/>
      <c r="BR299" s="44" t="n"/>
      <c r="BS299" s="44" t="n"/>
      <c r="BT299" s="44" t="n"/>
      <c r="BU299" s="44" t="n"/>
      <c r="BV299" s="44" t="n"/>
      <c r="BW299" s="44" t="n"/>
      <c r="BX299" s="44" t="n"/>
      <c r="BY299" s="153" t="n"/>
      <c r="BZ299" s="153" t="n"/>
      <c r="CA299" s="265" t="n">
        <v>527.725</v>
      </c>
      <c r="CB299" s="254">
        <f>IF(2027&lt;2029,1187.5,IF(2027=2029,593.75,0))</f>
        <v>1187.5</v>
      </c>
      <c r="CC299" s="254">
        <f>IF(2028&lt;2029,1187.5,IF(2028=2029,593.75,0))</f>
        <v>1187.5</v>
      </c>
      <c r="CD299" s="254">
        <f>IF(2029&lt;2029,1187.5,IF(2029=2029,593.75,0))</f>
        <v>593.75</v>
      </c>
      <c r="CE299" s="254">
        <f>IF(2030&lt;2029,1187.5,IF(2030=2029,593.75,0))</f>
        <v>0</v>
      </c>
      <c r="CF299" s="19" t="n"/>
    </row>
    <row r="300" ht="15" customHeight="1" s="251">
      <c r="CN300" s="11" t="n"/>
      <c r="CO300" s="12" t="n"/>
      <c r="CP300" s="12" t="n"/>
      <c r="CQ300" s="12" t="n"/>
      <c r="CR300" s="13" t="n"/>
    </row>
    <row r="301" ht="15" customHeight="1" s="251">
      <c r="B301" s="10" t="inlineStr">
        <is>
          <t>CONSOLIDATED BALANCE SHEETS (condensed)</t>
        </is>
      </c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  <c r="AD301" s="10" t="n"/>
      <c r="AE301" s="10" t="n"/>
      <c r="AF301" s="10" t="n"/>
      <c r="AG301" s="10" t="n"/>
      <c r="AH301" s="10" t="n"/>
      <c r="AI301" s="10" t="n"/>
      <c r="AJ301" s="10" t="n"/>
      <c r="AK301" s="10" t="n"/>
      <c r="AL301" s="10" t="n"/>
      <c r="AM301" s="10" t="n"/>
      <c r="AN301" s="10" t="n"/>
      <c r="AO301" s="10" t="n"/>
      <c r="AP301" s="10" t="n"/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0" t="n"/>
      <c r="BC301" s="10" t="n"/>
      <c r="BD301" s="10" t="n"/>
      <c r="BE301" s="10" t="n"/>
      <c r="BF301" s="10" t="n"/>
      <c r="BG301" s="10" t="n"/>
      <c r="BH301" s="10" t="n"/>
      <c r="BI301" s="10" t="n"/>
      <c r="BJ301" s="10" t="n"/>
      <c r="BK301" s="10" t="n"/>
      <c r="BL301" s="10" t="n"/>
      <c r="BM301" s="10" t="n"/>
      <c r="BN301" s="10" t="n"/>
      <c r="BO301" s="10" t="n"/>
      <c r="BP301" s="10" t="n"/>
      <c r="BQ301" s="10" t="n"/>
      <c r="BR301" s="10" t="n"/>
      <c r="BS301" s="10" t="n"/>
      <c r="BT301" s="10" t="n"/>
      <c r="BU301" s="10" t="n"/>
      <c r="BV301" s="10" t="n"/>
      <c r="BW301" s="10" t="n"/>
      <c r="BX301" s="10" t="n"/>
      <c r="BY301" s="10" t="n"/>
      <c r="BZ301" s="10" t="n"/>
      <c r="CA301" s="10" t="n"/>
      <c r="CB301" s="10" t="n"/>
      <c r="CC301" s="10" t="n"/>
      <c r="CD301" s="10" t="n"/>
      <c r="CE301" s="10" t="n"/>
      <c r="CF301" s="10" t="inlineStr">
        <is>
          <t>BS FORECAST — 2026E rolled forward from the 30-Jun-2026 balance sheet + 2H flows; 2027E+ from the prior year end</t>
        </is>
      </c>
    </row>
    <row r="302" ht="15" customHeight="1" s="251">
      <c r="B302" s="25" t="inlineStr">
        <is>
          <t>ASSETS</t>
        </is>
      </c>
      <c r="CF302" s="153" t="n"/>
    </row>
    <row r="303" ht="15" customHeight="1" s="251">
      <c r="B303" s="25" t="inlineStr">
        <is>
          <t xml:space="preserve">  Cash and cash equivalents</t>
        </is>
      </c>
      <c r="C303" s="253" t="n">
        <v>3544.671</v>
      </c>
      <c r="D303" s="253" t="n">
        <v>6081.593</v>
      </c>
      <c r="E303" s="253" t="n">
        <v>8656.672</v>
      </c>
      <c r="F303" s="253" t="n">
        <v>10197.588</v>
      </c>
      <c r="G303" s="253" t="n">
        <v>13630</v>
      </c>
      <c r="H303" s="253" t="n">
        <v>9983</v>
      </c>
      <c r="I303" s="253" t="n">
        <v>14778</v>
      </c>
      <c r="J303" s="253" t="n">
        <v>15375</v>
      </c>
      <c r="K303" s="253" t="n">
        <v>16164</v>
      </c>
      <c r="L303" s="253" t="n">
        <v>15242</v>
      </c>
      <c r="M303" s="253" t="n">
        <v>18898</v>
      </c>
      <c r="N303" s="253" t="n">
        <v>18898</v>
      </c>
      <c r="O303" s="253" t="n">
        <v>16639</v>
      </c>
      <c r="P303" s="253" t="n">
        <v>19620</v>
      </c>
      <c r="Q303" s="253" t="n">
        <v>15605</v>
      </c>
      <c r="R303" s="253" t="n">
        <v>18347</v>
      </c>
      <c r="S303" s="253" t="n">
        <v>18347</v>
      </c>
      <c r="T303" s="253" t="n">
        <v>16976</v>
      </c>
      <c r="U303" s="253" t="n">
        <v>18453</v>
      </c>
      <c r="V303" s="253" t="n">
        <v>18068</v>
      </c>
      <c r="W303" s="253" t="n">
        <v>16549</v>
      </c>
      <c r="X303" s="253" t="n">
        <v>16549</v>
      </c>
      <c r="Y303" s="253" t="n">
        <v>15111</v>
      </c>
      <c r="Z303" s="253" t="n">
        <v>13627</v>
      </c>
      <c r="AA303" s="253" t="n">
        <v>9406</v>
      </c>
      <c r="AB303" s="253" t="n">
        <v>12918</v>
      </c>
      <c r="AC303" s="253" t="n">
        <v>12918</v>
      </c>
      <c r="AD303" s="253" t="n">
        <v>18132</v>
      </c>
      <c r="AE303" s="253" t="n">
        <v>15711</v>
      </c>
      <c r="AF303" s="253" t="n">
        <v>10581</v>
      </c>
      <c r="AG303" s="253" t="n">
        <v>10715</v>
      </c>
      <c r="AH303" s="253" t="n">
        <v>10715</v>
      </c>
      <c r="AI303" s="253" t="n">
        <v>12658</v>
      </c>
      <c r="AJ303" s="253" t="n">
        <v>14148</v>
      </c>
      <c r="AK303" s="253" t="n">
        <v>13443</v>
      </c>
      <c r="AL303" s="253" t="n">
        <v>16701</v>
      </c>
      <c r="AM303" s="253" t="n">
        <v>16701</v>
      </c>
      <c r="AN303" s="253" t="n">
        <v>19148</v>
      </c>
      <c r="AO303" s="253" t="n">
        <v>16587</v>
      </c>
      <c r="AP303" s="253" t="n">
        <v>16032</v>
      </c>
      <c r="AQ303" s="253" t="n">
        <v>18498</v>
      </c>
      <c r="AR303" s="253" t="n">
        <v>18498</v>
      </c>
      <c r="AS303" s="253" t="n">
        <v>19644</v>
      </c>
      <c r="AT303" s="253" t="n">
        <v>17742</v>
      </c>
      <c r="AU303" s="253" t="n">
        <v>20129</v>
      </c>
      <c r="AV303" s="253" t="n">
        <v>26465</v>
      </c>
      <c r="AW303" s="253" t="n">
        <v>26465</v>
      </c>
      <c r="AX303" s="253" t="n">
        <v>26622</v>
      </c>
      <c r="AY303" s="253" t="n">
        <v>23630</v>
      </c>
      <c r="AZ303" s="253" t="n">
        <v>23719</v>
      </c>
      <c r="BA303" s="253" t="n">
        <v>20945</v>
      </c>
      <c r="BB303" s="253" t="n">
        <v>20945</v>
      </c>
      <c r="BC303" s="253" t="n">
        <v>20886</v>
      </c>
      <c r="BD303" s="253" t="n">
        <v>17936</v>
      </c>
      <c r="BE303" s="253" t="n">
        <v>21984</v>
      </c>
      <c r="BF303" s="253" t="n">
        <v>21879</v>
      </c>
      <c r="BG303" s="253" t="n">
        <v>21879</v>
      </c>
      <c r="BH303" s="253" t="n">
        <v>25924</v>
      </c>
      <c r="BI303" s="253" t="n">
        <v>25929</v>
      </c>
      <c r="BJ303" s="253" t="n">
        <v>30702</v>
      </c>
      <c r="BK303" s="253" t="n">
        <v>24048</v>
      </c>
      <c r="BL303" s="253" t="n">
        <v>24048</v>
      </c>
      <c r="BM303" s="253" t="n">
        <v>24493</v>
      </c>
      <c r="BN303" s="253" t="n">
        <v>27225</v>
      </c>
      <c r="BO303" s="253" t="n">
        <v>19959</v>
      </c>
      <c r="BP303" s="253" t="n">
        <v>23466</v>
      </c>
      <c r="BQ303" s="253" t="n">
        <v>23466</v>
      </c>
      <c r="BR303" s="253" t="n">
        <v>23264</v>
      </c>
      <c r="BS303" s="253" t="n">
        <v>21036</v>
      </c>
      <c r="BT303" s="253" t="n">
        <v>23090</v>
      </c>
      <c r="BU303" s="253" t="n">
        <v>30708</v>
      </c>
      <c r="BV303" s="253" t="n">
        <v>30708</v>
      </c>
      <c r="BW303" s="253" t="n">
        <v>38063</v>
      </c>
      <c r="BX303" s="253" t="n">
        <v>55911</v>
      </c>
      <c r="BY303" s="35" t="n"/>
      <c r="BZ303" s="35" t="n"/>
      <c r="CA303" s="254">
        <f>CA269-CA328</f>
        <v>25000</v>
      </c>
      <c r="CB303" s="254">
        <f>CB269-CB328</f>
        <v>25000</v>
      </c>
      <c r="CC303" s="254">
        <f>CC269-CC328</f>
        <v>25000</v>
      </c>
      <c r="CD303" s="254">
        <f>CD269-CD328</f>
        <v>25000</v>
      </c>
      <c r="CE303" s="254">
        <f>CE269-CE328</f>
        <v>25000</v>
      </c>
      <c r="CF303" s="19" t="n"/>
    </row>
    <row r="304" ht="15" customHeight="1" s="251">
      <c r="B304" s="25" t="inlineStr">
        <is>
          <t xml:space="preserve">  Marketable securities</t>
        </is>
      </c>
      <c r="C304" s="253" t="n">
        <v>7699.243</v>
      </c>
      <c r="D304" s="253" t="n">
        <v>8137.02</v>
      </c>
      <c r="E304" s="253" t="n">
        <v>7189.099</v>
      </c>
      <c r="F304" s="253" t="n">
        <v>14287.187</v>
      </c>
      <c r="G304" s="253" t="n">
        <v>21345</v>
      </c>
      <c r="H304" s="253" t="n">
        <v>34643</v>
      </c>
      <c r="I304" s="253" t="n">
        <v>33310</v>
      </c>
      <c r="J304" s="253" t="n">
        <v>34723</v>
      </c>
      <c r="K304" s="253" t="n">
        <v>38268</v>
      </c>
      <c r="L304" s="253" t="n">
        <v>41281</v>
      </c>
      <c r="M304" s="253" t="n">
        <v>39819</v>
      </c>
      <c r="N304" s="253" t="n">
        <v>39819</v>
      </c>
      <c r="O304" s="253" t="n">
        <v>42740</v>
      </c>
      <c r="P304" s="253" t="n">
        <v>41584</v>
      </c>
      <c r="Q304" s="253" t="n">
        <v>46552</v>
      </c>
      <c r="R304" s="253" t="n">
        <v>46048</v>
      </c>
      <c r="S304" s="253" t="n">
        <v>46048</v>
      </c>
      <c r="T304" s="253" t="n">
        <v>48460</v>
      </c>
      <c r="U304" s="253" t="n">
        <v>51327</v>
      </c>
      <c r="V304" s="253" t="n">
        <v>54699</v>
      </c>
      <c r="W304" s="253" t="n">
        <v>56517</v>
      </c>
      <c r="X304" s="253" t="n">
        <v>56517</v>
      </c>
      <c r="Y304" s="253" t="n">
        <v>60153</v>
      </c>
      <c r="Z304" s="253" t="n">
        <v>64833</v>
      </c>
      <c r="AA304" s="253" t="n">
        <v>73650</v>
      </c>
      <c r="AB304" s="253" t="n">
        <v>73415</v>
      </c>
      <c r="AC304" s="253" t="n">
        <v>73415</v>
      </c>
      <c r="AD304" s="253" t="n">
        <v>74307</v>
      </c>
      <c r="AE304" s="253" t="n">
        <v>79002</v>
      </c>
      <c r="AF304" s="253" t="n">
        <v>89562</v>
      </c>
      <c r="AG304" s="253" t="n">
        <v>91156</v>
      </c>
      <c r="AH304" s="253" t="n">
        <v>91156</v>
      </c>
      <c r="AI304" s="253" t="n">
        <v>90227</v>
      </c>
      <c r="AJ304" s="253" t="n">
        <v>88106</v>
      </c>
      <c r="AK304" s="253" t="n">
        <v>92973</v>
      </c>
      <c r="AL304" s="253" t="n">
        <v>92439</v>
      </c>
      <c r="AM304" s="253" t="n">
        <v>92439</v>
      </c>
      <c r="AN304" s="253" t="n">
        <v>94340</v>
      </c>
      <c r="AO304" s="253" t="n">
        <v>104469</v>
      </c>
      <c r="AP304" s="253" t="n">
        <v>105145</v>
      </c>
      <c r="AQ304" s="253" t="n">
        <v>101177</v>
      </c>
      <c r="AR304" s="253" t="n">
        <v>101177</v>
      </c>
      <c r="AS304" s="253" t="n">
        <v>97585</v>
      </c>
      <c r="AT304" s="253" t="n">
        <v>103338</v>
      </c>
      <c r="AU304" s="253" t="n">
        <v>112467</v>
      </c>
      <c r="AV304" s="253" t="n">
        <v>110229</v>
      </c>
      <c r="AW304" s="253" t="n">
        <v>110229</v>
      </c>
      <c r="AX304" s="253" t="n">
        <v>108482</v>
      </c>
      <c r="AY304" s="253" t="n">
        <v>112233</v>
      </c>
      <c r="AZ304" s="253" t="n">
        <v>118284</v>
      </c>
      <c r="BA304" s="253" t="n">
        <v>118704</v>
      </c>
      <c r="BB304" s="253" t="n">
        <v>118704</v>
      </c>
      <c r="BC304" s="253" t="n">
        <v>113084</v>
      </c>
      <c r="BD304" s="253" t="n">
        <v>107061</v>
      </c>
      <c r="BE304" s="253" t="n">
        <v>94275</v>
      </c>
      <c r="BF304" s="253" t="n">
        <v>91883</v>
      </c>
      <c r="BG304" s="253" t="n">
        <v>91883</v>
      </c>
      <c r="BH304" s="253" t="n">
        <v>89178</v>
      </c>
      <c r="BI304" s="253" t="n">
        <v>92403</v>
      </c>
      <c r="BJ304" s="253" t="n">
        <v>89233</v>
      </c>
      <c r="BK304" s="253" t="n">
        <v>86868</v>
      </c>
      <c r="BL304" s="253" t="n">
        <v>86868</v>
      </c>
      <c r="BM304" s="253" t="n">
        <v>83597</v>
      </c>
      <c r="BN304" s="253" t="n">
        <v>73500</v>
      </c>
      <c r="BO304" s="253" t="n">
        <v>73271</v>
      </c>
      <c r="BP304" s="253" t="n">
        <v>72191</v>
      </c>
      <c r="BQ304" s="253" t="n">
        <v>72191</v>
      </c>
      <c r="BR304" s="253" t="n">
        <v>72064</v>
      </c>
      <c r="BS304" s="253" t="n">
        <v>74112</v>
      </c>
      <c r="BT304" s="253" t="n">
        <v>75406</v>
      </c>
      <c r="BU304" s="253" t="n">
        <v>96135</v>
      </c>
      <c r="BV304" s="253" t="n">
        <v>96135</v>
      </c>
      <c r="BW304" s="253" t="n">
        <v>88777</v>
      </c>
      <c r="BX304" s="253" t="n">
        <v>186563</v>
      </c>
      <c r="BY304" s="35" t="n"/>
      <c r="BZ304" s="35" t="n"/>
      <c r="CA304" s="254">
        <f>MAX(0,CA361+CA356-BX356-CA362)</f>
        <v>193669.199141267</v>
      </c>
      <c r="CB304" s="254">
        <f>MAX(0,CB361+CB356-CA356-CB362)</f>
        <v>134407.654125393</v>
      </c>
      <c r="CC304" s="254">
        <f>MAX(0,CC361+CC356-CB356-CC362)</f>
        <v>117096.770939678</v>
      </c>
      <c r="CD304" s="254">
        <f>MAX(0,CD361+CD356-CC356-CD362)</f>
        <v>127230.776772702</v>
      </c>
      <c r="CE304" s="254">
        <f>MAX(0,CE361+CE356-CD356-CE362)</f>
        <v>164748.274982261</v>
      </c>
      <c r="CF304" s="19" t="inlineStr">
        <is>
          <t>Forecast = liquidity above the minimum cash balance (cash + marketable securities before commercial paper, less minimum cash).</t>
        </is>
      </c>
    </row>
    <row r="305" ht="15" customHeight="1" s="251">
      <c r="B305" s="25" t="inlineStr">
        <is>
          <t xml:space="preserve">  Accounts receivable, net</t>
        </is>
      </c>
      <c r="C305" s="253" t="n">
        <v>1322.34</v>
      </c>
      <c r="D305" s="253" t="n">
        <v>2162.521</v>
      </c>
      <c r="E305" s="253" t="n">
        <v>2642.192</v>
      </c>
      <c r="F305" s="253" t="n">
        <v>3178.471</v>
      </c>
      <c r="G305" s="253" t="n">
        <v>4252</v>
      </c>
      <c r="H305" s="253" t="n">
        <v>5427</v>
      </c>
      <c r="I305" s="253" t="n">
        <v>7885</v>
      </c>
      <c r="J305" s="253" t="n">
        <v>7612</v>
      </c>
      <c r="K305" s="253" t="n">
        <v>7321</v>
      </c>
      <c r="L305" s="253" t="n">
        <v>7921</v>
      </c>
      <c r="M305" s="253" t="n">
        <v>8882</v>
      </c>
      <c r="N305" s="253" t="n">
        <v>8882</v>
      </c>
      <c r="O305" s="253" t="n">
        <v>7827</v>
      </c>
      <c r="P305" s="253" t="n">
        <v>8321</v>
      </c>
      <c r="Q305" s="253" t="n">
        <v>8237</v>
      </c>
      <c r="R305" s="253" t="n">
        <v>9383</v>
      </c>
      <c r="S305" s="253" t="n">
        <v>9383</v>
      </c>
      <c r="T305" s="253" t="n">
        <v>8584</v>
      </c>
      <c r="U305" s="253" t="n">
        <v>9394</v>
      </c>
      <c r="V305" s="253" t="n">
        <v>9749</v>
      </c>
      <c r="W305" s="253" t="n">
        <v>11556</v>
      </c>
      <c r="X305" s="253" t="n">
        <v>11556</v>
      </c>
      <c r="Y305" s="253" t="n">
        <v>10818</v>
      </c>
      <c r="Z305" s="253" t="n">
        <v>11686</v>
      </c>
      <c r="AA305" s="253" t="n">
        <v>11979</v>
      </c>
      <c r="AB305" s="253" t="n">
        <v>14137</v>
      </c>
      <c r="AC305" s="253" t="n">
        <v>14137</v>
      </c>
      <c r="AD305" s="253" t="n">
        <v>12913</v>
      </c>
      <c r="AE305" s="253" t="n">
        <v>14003</v>
      </c>
      <c r="AF305" s="253" t="n">
        <v>15295</v>
      </c>
      <c r="AG305" s="253" t="n">
        <v>18336</v>
      </c>
      <c r="AH305" s="253" t="n">
        <v>18336</v>
      </c>
      <c r="AI305" s="253" t="n">
        <v>16777</v>
      </c>
      <c r="AJ305" s="253" t="n">
        <v>17043</v>
      </c>
      <c r="AK305" s="253" t="n">
        <v>17897</v>
      </c>
      <c r="AL305" s="253" t="n">
        <v>20838</v>
      </c>
      <c r="AM305" s="253" t="n">
        <v>20838</v>
      </c>
      <c r="AN305" s="253" t="n">
        <v>19149</v>
      </c>
      <c r="AO305" s="253" t="n">
        <v>20965</v>
      </c>
      <c r="AP305" s="253" t="n">
        <v>20889</v>
      </c>
      <c r="AQ305" s="253" t="n">
        <v>25326</v>
      </c>
      <c r="AR305" s="253" t="n">
        <v>25326</v>
      </c>
      <c r="AS305" s="253" t="n">
        <v>21825</v>
      </c>
      <c r="AT305" s="253" t="n">
        <v>21201</v>
      </c>
      <c r="AU305" s="253" t="n">
        <v>24925</v>
      </c>
      <c r="AV305" s="253" t="n">
        <v>30930</v>
      </c>
      <c r="AW305" s="253" t="n">
        <v>30930</v>
      </c>
      <c r="AX305" s="253" t="n">
        <v>28006</v>
      </c>
      <c r="AY305" s="253" t="n">
        <v>31967</v>
      </c>
      <c r="AZ305" s="253" t="n">
        <v>34047</v>
      </c>
      <c r="BA305" s="253" t="n">
        <v>39304</v>
      </c>
      <c r="BB305" s="253" t="n">
        <v>39304</v>
      </c>
      <c r="BC305" s="253" t="n">
        <v>34703</v>
      </c>
      <c r="BD305" s="253" t="n">
        <v>35707</v>
      </c>
      <c r="BE305" s="253" t="n">
        <v>34697</v>
      </c>
      <c r="BF305" s="253" t="n">
        <v>40258</v>
      </c>
      <c r="BG305" s="253" t="n">
        <v>40258</v>
      </c>
      <c r="BH305" s="253" t="n">
        <v>36036</v>
      </c>
      <c r="BI305" s="253" t="n">
        <v>38804</v>
      </c>
      <c r="BJ305" s="253" t="n">
        <v>41020</v>
      </c>
      <c r="BK305" s="253" t="n">
        <v>47964</v>
      </c>
      <c r="BL305" s="253" t="n">
        <v>47964</v>
      </c>
      <c r="BM305" s="253" t="n">
        <v>44552</v>
      </c>
      <c r="BN305" s="253" t="n">
        <v>47087</v>
      </c>
      <c r="BO305" s="253" t="n">
        <v>49104</v>
      </c>
      <c r="BP305" s="253" t="n">
        <v>52340</v>
      </c>
      <c r="BQ305" s="253" t="n">
        <v>52340</v>
      </c>
      <c r="BR305" s="253" t="n">
        <v>51000</v>
      </c>
      <c r="BS305" s="253" t="n">
        <v>55048</v>
      </c>
      <c r="BT305" s="253" t="n">
        <v>57148</v>
      </c>
      <c r="BU305" s="253" t="n">
        <v>62886</v>
      </c>
      <c r="BV305" s="253" t="n">
        <v>62886</v>
      </c>
      <c r="BW305" s="253" t="n">
        <v>62999</v>
      </c>
      <c r="BX305" s="253" t="n">
        <v>69175</v>
      </c>
      <c r="BY305" s="35" t="n"/>
      <c r="BZ305" s="35" t="n"/>
      <c r="CA305" s="254">
        <f>CA332*CA333/365</f>
        <v>77812.8453426852</v>
      </c>
      <c r="CB305" s="254">
        <f>CB332*CB333/365</f>
        <v>91338.0651022747</v>
      </c>
      <c r="CC305" s="254">
        <f>CC332*CC333/365</f>
        <v>104780.404150658</v>
      </c>
      <c r="CD305" s="254">
        <f>CD332*CD333/365</f>
        <v>118374.093585166</v>
      </c>
      <c r="CE305" s="254">
        <f>CE332*CE333/365</f>
        <v>131765.063507961</v>
      </c>
      <c r="CF305" s="19" t="n"/>
    </row>
    <row r="306" ht="15" customHeight="1" s="251">
      <c r="B306" s="25" t="inlineStr">
        <is>
          <t xml:space="preserve">  Other current assets (incl. held-for-sale GFiber assets in 2026; derived)</t>
        </is>
      </c>
      <c r="C306" s="253" t="n">
        <v>473.593</v>
      </c>
      <c r="D306" s="253" t="n">
        <v>908.004</v>
      </c>
      <c r="E306" s="253" t="n">
        <v>1690.219</v>
      </c>
      <c r="F306" s="253" t="n">
        <v>1503.712</v>
      </c>
      <c r="G306" s="253" t="n">
        <v>2335</v>
      </c>
      <c r="H306" s="253" t="n">
        <v>2705</v>
      </c>
      <c r="I306" s="253" t="n">
        <v>4481</v>
      </c>
      <c r="J306" s="253" t="n">
        <v>5098</v>
      </c>
      <c r="K306" s="253" t="n">
        <v>5108</v>
      </c>
      <c r="L306" s="253" t="n">
        <v>4414</v>
      </c>
      <c r="M306" s="253" t="n">
        <v>5287</v>
      </c>
      <c r="N306" s="253" t="n">
        <v>5287</v>
      </c>
      <c r="O306" s="253" t="n">
        <v>8108</v>
      </c>
      <c r="P306" s="253" t="n">
        <v>8380</v>
      </c>
      <c r="Q306" s="253" t="n">
        <v>9721</v>
      </c>
      <c r="R306" s="253" t="n">
        <v>6907</v>
      </c>
      <c r="S306" s="253" t="n">
        <v>6907</v>
      </c>
      <c r="T306" s="253" t="n">
        <v>6293</v>
      </c>
      <c r="U306" s="253" t="n">
        <v>4990</v>
      </c>
      <c r="V306" s="253" t="n">
        <v>5587</v>
      </c>
      <c r="W306" s="253" t="n">
        <v>5492</v>
      </c>
      <c r="X306" s="253" t="n">
        <v>5492</v>
      </c>
      <c r="Y306" s="253" t="n">
        <v>4873</v>
      </c>
      <c r="Z306" s="253" t="n">
        <v>4092</v>
      </c>
      <c r="AA306" s="253" t="n">
        <v>3511</v>
      </c>
      <c r="AB306" s="253" t="n">
        <v>4938</v>
      </c>
      <c r="AC306" s="253" t="n">
        <v>4938</v>
      </c>
      <c r="AD306" s="253" t="n">
        <v>3442</v>
      </c>
      <c r="AE306" s="253" t="n">
        <v>3670</v>
      </c>
      <c r="AF306" s="253" t="n">
        <v>3907</v>
      </c>
      <c r="AG306" s="253" t="n">
        <v>4101</v>
      </c>
      <c r="AH306" s="253" t="n">
        <v>4101</v>
      </c>
      <c r="AI306" s="253" t="n">
        <v>4099</v>
      </c>
      <c r="AJ306" s="253" t="n">
        <v>4860</v>
      </c>
      <c r="AK306" s="253" t="n">
        <v>5389</v>
      </c>
      <c r="AL306" s="253" t="n">
        <v>5698</v>
      </c>
      <c r="AM306" s="253" t="n">
        <v>5698</v>
      </c>
      <c r="AN306" s="253" t="n">
        <v>5570</v>
      </c>
      <c r="AO306" s="253" t="n">
        <v>5416</v>
      </c>
      <c r="AP306" s="253" t="n">
        <v>6292</v>
      </c>
      <c r="AQ306" s="253" t="n">
        <v>7577</v>
      </c>
      <c r="AR306" s="253" t="n">
        <v>7577</v>
      </c>
      <c r="AS306" s="253" t="n">
        <v>7964</v>
      </c>
      <c r="AT306" s="253" t="n">
        <v>6788</v>
      </c>
      <c r="AU306" s="253" t="n">
        <v>6848</v>
      </c>
      <c r="AV306" s="253" t="n">
        <v>6672</v>
      </c>
      <c r="AW306" s="253" t="n">
        <v>6672</v>
      </c>
      <c r="AX306" s="253" t="n">
        <v>9027</v>
      </c>
      <c r="AY306" s="253" t="n">
        <v>7867</v>
      </c>
      <c r="AZ306" s="253" t="n">
        <v>8060</v>
      </c>
      <c r="BA306" s="253" t="n">
        <v>9190</v>
      </c>
      <c r="BB306" s="253" t="n">
        <v>9190</v>
      </c>
      <c r="BC306" s="253" t="n">
        <v>9180</v>
      </c>
      <c r="BD306" s="253" t="n">
        <v>11667</v>
      </c>
      <c r="BE306" s="253" t="n">
        <v>15153</v>
      </c>
      <c r="BF306" s="253" t="n">
        <v>10775</v>
      </c>
      <c r="BG306" s="253" t="n">
        <v>10775</v>
      </c>
      <c r="BH306" s="253" t="n">
        <v>10847</v>
      </c>
      <c r="BI306" s="253" t="n">
        <v>11652</v>
      </c>
      <c r="BJ306" s="253" t="n">
        <v>15355</v>
      </c>
      <c r="BK306" s="253" t="n">
        <v>12650</v>
      </c>
      <c r="BL306" s="253" t="n">
        <v>12650</v>
      </c>
      <c r="BM306" s="253" t="n">
        <v>12829</v>
      </c>
      <c r="BN306" s="253" t="n">
        <v>14183</v>
      </c>
      <c r="BO306" s="253" t="n">
        <v>15207</v>
      </c>
      <c r="BP306" s="253" t="n">
        <v>15714</v>
      </c>
      <c r="BQ306" s="253" t="n">
        <v>15714</v>
      </c>
      <c r="BR306" s="253" t="n">
        <v>15724</v>
      </c>
      <c r="BS306" s="253" t="n">
        <v>16020</v>
      </c>
      <c r="BT306" s="253" t="n">
        <v>18303</v>
      </c>
      <c r="BU306" s="253" t="n">
        <v>16309</v>
      </c>
      <c r="BV306" s="253" t="n">
        <v>16309</v>
      </c>
      <c r="BW306" s="253" t="n">
        <v>23914</v>
      </c>
      <c r="BX306" s="253" t="n">
        <v>31875</v>
      </c>
      <c r="BY306" s="35" t="n"/>
      <c r="BZ306" s="35" t="n"/>
      <c r="CA306" s="254">
        <f>BX306-CA88</f>
        <v>24775</v>
      </c>
      <c r="CB306" s="254">
        <f>CA306*CB132/CA132</f>
        <v>29081.3239503467</v>
      </c>
      <c r="CC306" s="254">
        <f>CB306*CC132/CB132</f>
        <v>33361.2593319282</v>
      </c>
      <c r="CD306" s="254">
        <f>CC306*CD132/CC132</f>
        <v>37689.3834900511</v>
      </c>
      <c r="CE306" s="254">
        <f>CD306*CE132/CD132</f>
        <v>41952.9633447159</v>
      </c>
      <c r="CF306" s="19" t="n"/>
    </row>
    <row r="307" ht="15" customHeight="1" s="251">
      <c r="B307" s="16" t="inlineStr">
        <is>
          <t>Total current assets</t>
        </is>
      </c>
      <c r="C307" s="261">
        <f>IF(ISNUMBER(C303),SUM(C303:C306),"")</f>
        <v>13039.847</v>
      </c>
      <c r="D307" s="261">
        <f>IF(ISNUMBER(D303),SUM(D303:D306),"")</f>
        <v>17289.138</v>
      </c>
      <c r="E307" s="261">
        <f>IF(ISNUMBER(E303),SUM(E303:E306),"")</f>
        <v>20178.182</v>
      </c>
      <c r="F307" s="261">
        <f>IF(ISNUMBER(F303),SUM(F303:F306),"")</f>
        <v>29166.958</v>
      </c>
      <c r="G307" s="261">
        <f>IF(ISNUMBER(G303),SUM(G303:G306),"")</f>
        <v>41562</v>
      </c>
      <c r="H307" s="261">
        <f>IF(ISNUMBER(H303),SUM(H303:H306),"")</f>
        <v>52758</v>
      </c>
      <c r="I307" s="261">
        <f>IF(ISNUMBER(I303),SUM(I303:I306),"")</f>
        <v>60454</v>
      </c>
      <c r="J307" s="261">
        <f>IF(ISNUMBER(J303),SUM(J303:J306),"")</f>
        <v>62808</v>
      </c>
      <c r="K307" s="261">
        <f>IF(ISNUMBER(K303),SUM(K303:K306),"")</f>
        <v>66861</v>
      </c>
      <c r="L307" s="261">
        <f>IF(ISNUMBER(L303),SUM(L303:L306),"")</f>
        <v>68858</v>
      </c>
      <c r="M307" s="261">
        <f>IF(ISNUMBER(M303),SUM(M303:M306),"")</f>
        <v>72886</v>
      </c>
      <c r="N307" s="261">
        <f>IF(ISNUMBER(N303),SUM(N303:N306),"")</f>
        <v>72886</v>
      </c>
      <c r="O307" s="261">
        <f>IF(ISNUMBER(O303),SUM(O303:O306),"")</f>
        <v>75314</v>
      </c>
      <c r="P307" s="261">
        <f>IF(ISNUMBER(P303),SUM(P303:P306),"")</f>
        <v>77905</v>
      </c>
      <c r="Q307" s="261">
        <f>IF(ISNUMBER(Q303),SUM(Q303:Q306),"")</f>
        <v>80115</v>
      </c>
      <c r="R307" s="261">
        <f>IF(ISNUMBER(R303),SUM(R303:R306),"")</f>
        <v>80685</v>
      </c>
      <c r="S307" s="261">
        <f>IF(ISNUMBER(S303),SUM(S303:S306),"")</f>
        <v>80685</v>
      </c>
      <c r="T307" s="261">
        <f>IF(ISNUMBER(T303),SUM(T303:T306),"")</f>
        <v>80313</v>
      </c>
      <c r="U307" s="261">
        <f>IF(ISNUMBER(U303),SUM(U303:U306),"")</f>
        <v>84164</v>
      </c>
      <c r="V307" s="261">
        <f>IF(ISNUMBER(V303),SUM(V303:V306),"")</f>
        <v>88103</v>
      </c>
      <c r="W307" s="261">
        <f>IF(ISNUMBER(W303),SUM(W303:W306),"")</f>
        <v>90114</v>
      </c>
      <c r="X307" s="261">
        <f>IF(ISNUMBER(X303),SUM(X303:X306),"")</f>
        <v>90114</v>
      </c>
      <c r="Y307" s="261">
        <f>IF(ISNUMBER(Y303),SUM(Y303:Y306),"")</f>
        <v>90955</v>
      </c>
      <c r="Z307" s="261">
        <f>IF(ISNUMBER(Z303),SUM(Z303:Z306),"")</f>
        <v>94238</v>
      </c>
      <c r="AA307" s="261">
        <f>IF(ISNUMBER(AA303),SUM(AA303:AA306),"")</f>
        <v>98546</v>
      </c>
      <c r="AB307" s="261">
        <f>IF(ISNUMBER(AB303),SUM(AB303:AB306),"")</f>
        <v>105408</v>
      </c>
      <c r="AC307" s="261">
        <f>IF(ISNUMBER(AC303),SUM(AC303:AC306),"")</f>
        <v>105408</v>
      </c>
      <c r="AD307" s="261">
        <f>IF(ISNUMBER(AD303),SUM(AD303:AD306),"")</f>
        <v>108794</v>
      </c>
      <c r="AE307" s="261">
        <f>IF(ISNUMBER(AE303),SUM(AE303:AE306),"")</f>
        <v>112386</v>
      </c>
      <c r="AF307" s="261">
        <f>IF(ISNUMBER(AF303),SUM(AF303:AF306),"")</f>
        <v>119345</v>
      </c>
      <c r="AG307" s="261">
        <f>IF(ISNUMBER(AG303),SUM(AG303:AG306),"")</f>
        <v>124308</v>
      </c>
      <c r="AH307" s="261">
        <f>IF(ISNUMBER(AH303),SUM(AH303:AH306),"")</f>
        <v>124308</v>
      </c>
      <c r="AI307" s="261">
        <f>IF(ISNUMBER(AI303),SUM(AI303:AI306),"")</f>
        <v>123761</v>
      </c>
      <c r="AJ307" s="261">
        <f>IF(ISNUMBER(AJ303),SUM(AJ303:AJ306),"")</f>
        <v>124157</v>
      </c>
      <c r="AK307" s="261">
        <f>IF(ISNUMBER(AK303),SUM(AK303:AK306),"")</f>
        <v>129702</v>
      </c>
      <c r="AL307" s="261">
        <f>IF(ISNUMBER(AL303),SUM(AL303:AL306),"")</f>
        <v>135676</v>
      </c>
      <c r="AM307" s="261">
        <f>IF(ISNUMBER(AM303),SUM(AM303:AM306),"")</f>
        <v>135676</v>
      </c>
      <c r="AN307" s="261">
        <f>IF(ISNUMBER(AN303),SUM(AN303:AN306),"")</f>
        <v>138207</v>
      </c>
      <c r="AO307" s="261">
        <f>IF(ISNUMBER(AO303),SUM(AO303:AO306),"")</f>
        <v>147437</v>
      </c>
      <c r="AP307" s="261">
        <f>IF(ISNUMBER(AP303),SUM(AP303:AP306),"")</f>
        <v>148358</v>
      </c>
      <c r="AQ307" s="261">
        <f>IF(ISNUMBER(AQ303),SUM(AQ303:AQ306),"")</f>
        <v>152578</v>
      </c>
      <c r="AR307" s="261">
        <f>IF(ISNUMBER(AR303),SUM(AR303:AR306),"")</f>
        <v>152578</v>
      </c>
      <c r="AS307" s="261">
        <f>IF(ISNUMBER(AS303),SUM(AS303:AS306),"")</f>
        <v>147018</v>
      </c>
      <c r="AT307" s="261">
        <f>IF(ISNUMBER(AT303),SUM(AT303:AT306),"")</f>
        <v>149069</v>
      </c>
      <c r="AU307" s="261">
        <f>IF(ISNUMBER(AU303),SUM(AU303:AU306),"")</f>
        <v>164369</v>
      </c>
      <c r="AV307" s="261">
        <f>IF(ISNUMBER(AV303),SUM(AV303:AV306),"")</f>
        <v>174296</v>
      </c>
      <c r="AW307" s="261">
        <f>IF(ISNUMBER(AW303),SUM(AW303:AW306),"")</f>
        <v>174296</v>
      </c>
      <c r="AX307" s="261">
        <f>IF(ISNUMBER(AX303),SUM(AX303:AX306),"")</f>
        <v>172137</v>
      </c>
      <c r="AY307" s="261">
        <f>IF(ISNUMBER(AY303),SUM(AY303:AY306),"")</f>
        <v>175697</v>
      </c>
      <c r="AZ307" s="261">
        <f>IF(ISNUMBER(AZ303),SUM(AZ303:AZ306),"")</f>
        <v>184110</v>
      </c>
      <c r="BA307" s="261">
        <f>IF(ISNUMBER(BA303),SUM(BA303:BA306),"")</f>
        <v>188143</v>
      </c>
      <c r="BB307" s="261">
        <f>IF(ISNUMBER(BB303),SUM(BB303:BB306),"")</f>
        <v>188143</v>
      </c>
      <c r="BC307" s="261">
        <f>IF(ISNUMBER(BC303),SUM(BC303:BC306),"")</f>
        <v>177853</v>
      </c>
      <c r="BD307" s="261">
        <f>IF(ISNUMBER(BD303),SUM(BD303:BD306),"")</f>
        <v>172371</v>
      </c>
      <c r="BE307" s="261">
        <f>IF(ISNUMBER(BE303),SUM(BE303:BE306),"")</f>
        <v>166109</v>
      </c>
      <c r="BF307" s="261">
        <f>IF(ISNUMBER(BF303),SUM(BF303:BF306),"")</f>
        <v>164795</v>
      </c>
      <c r="BG307" s="261">
        <f>IF(ISNUMBER(BG303),SUM(BG303:BG306),"")</f>
        <v>164795</v>
      </c>
      <c r="BH307" s="261">
        <f>IF(ISNUMBER(BH303),SUM(BH303:BH306),"")</f>
        <v>161985</v>
      </c>
      <c r="BI307" s="261">
        <f>IF(ISNUMBER(BI303),SUM(BI303:BI306),"")</f>
        <v>168788</v>
      </c>
      <c r="BJ307" s="261">
        <f>IF(ISNUMBER(BJ303),SUM(BJ303:BJ306),"")</f>
        <v>176310</v>
      </c>
      <c r="BK307" s="261">
        <f>IF(ISNUMBER(BK303),SUM(BK303:BK306),"")</f>
        <v>171530</v>
      </c>
      <c r="BL307" s="261">
        <f>IF(ISNUMBER(BL303),SUM(BL303:BL306),"")</f>
        <v>171530</v>
      </c>
      <c r="BM307" s="261">
        <f>IF(ISNUMBER(BM303),SUM(BM303:BM306),"")</f>
        <v>165471</v>
      </c>
      <c r="BN307" s="261">
        <f>IF(ISNUMBER(BN303),SUM(BN303:BN306),"")</f>
        <v>161995</v>
      </c>
      <c r="BO307" s="261">
        <f>IF(ISNUMBER(BO303),SUM(BO303:BO306),"")</f>
        <v>157541</v>
      </c>
      <c r="BP307" s="261">
        <f>IF(ISNUMBER(BP303),SUM(BP303:BP306),"")</f>
        <v>163711</v>
      </c>
      <c r="BQ307" s="261">
        <f>IF(ISNUMBER(BQ303),SUM(BQ303:BQ306),"")</f>
        <v>163711</v>
      </c>
      <c r="BR307" s="261">
        <f>IF(ISNUMBER(BR303),SUM(BR303:BR306),"")</f>
        <v>162052</v>
      </c>
      <c r="BS307" s="261">
        <f>IF(ISNUMBER(BS303),SUM(BS303:BS306),"")</f>
        <v>166216</v>
      </c>
      <c r="BT307" s="261">
        <f>IF(ISNUMBER(BT303),SUM(BT303:BT306),"")</f>
        <v>173947</v>
      </c>
      <c r="BU307" s="261">
        <f>IF(ISNUMBER(BU303),SUM(BU303:BU306),"")</f>
        <v>206038</v>
      </c>
      <c r="BV307" s="261">
        <f>IF(ISNUMBER(BV303),SUM(BV303:BV306),"")</f>
        <v>206038</v>
      </c>
      <c r="BW307" s="261">
        <f>IF(ISNUMBER(BW303),SUM(BW303:BW306),"")</f>
        <v>213753</v>
      </c>
      <c r="BX307" s="261">
        <f>IF(ISNUMBER(BX303),SUM(BX303:BX306),"")</f>
        <v>343524</v>
      </c>
      <c r="BY307" s="32" t="n"/>
      <c r="BZ307" s="32" t="n"/>
      <c r="CA307" s="262">
        <f>IF(ISNUMBER(CA303),SUM(CA303:CA306),"")</f>
        <v>321257.044483952</v>
      </c>
      <c r="CB307" s="262">
        <f>IF(ISNUMBER(CB303),SUM(CB303:CB306),"")</f>
        <v>279827.043178014</v>
      </c>
      <c r="CC307" s="262">
        <f>IF(ISNUMBER(CC303),SUM(CC303:CC306),"")</f>
        <v>280238.434422264</v>
      </c>
      <c r="CD307" s="262">
        <f>IF(ISNUMBER(CD303),SUM(CD303:CD306),"")</f>
        <v>308294.253847919</v>
      </c>
      <c r="CE307" s="262">
        <f>IF(ISNUMBER(CE303),SUM(CE303:CE306),"")</f>
        <v>363466.301834937</v>
      </c>
      <c r="CF307" s="153" t="n"/>
    </row>
    <row r="308" ht="15" customHeight="1" s="251">
      <c r="B308" s="25" t="inlineStr">
        <is>
          <t xml:space="preserve">  Non-marketable securities (equity stakes; equity-method &amp; other long-term investments)</t>
        </is>
      </c>
      <c r="C308" s="253" t="n">
        <v>1031.85</v>
      </c>
      <c r="D308" s="253" t="n">
        <v>1059.694</v>
      </c>
      <c r="E308" s="253" t="n">
        <v>85.16</v>
      </c>
      <c r="F308" s="253" t="n">
        <v>128.977</v>
      </c>
      <c r="G308" s="253" t="n">
        <v>523</v>
      </c>
      <c r="H308" s="253" t="n">
        <v>790</v>
      </c>
      <c r="I308" s="253" t="n">
        <v>1469</v>
      </c>
      <c r="J308" s="253" t="n">
        <v>1470</v>
      </c>
      <c r="K308" s="253" t="n">
        <v>1564</v>
      </c>
      <c r="L308" s="253" t="n">
        <v>1843</v>
      </c>
      <c r="M308" s="253" t="n">
        <v>1976</v>
      </c>
      <c r="N308" s="253" t="n">
        <v>1976</v>
      </c>
      <c r="O308" s="253" t="n">
        <v>2123</v>
      </c>
      <c r="P308" s="253" t="n">
        <v>2415</v>
      </c>
      <c r="Q308" s="253" t="n">
        <v>2470</v>
      </c>
      <c r="R308" s="253" t="n">
        <v>3079</v>
      </c>
      <c r="S308" s="253" t="n">
        <v>3079</v>
      </c>
      <c r="T308" s="253" t="n">
        <v>4090</v>
      </c>
      <c r="U308" s="253" t="n">
        <v>4409</v>
      </c>
      <c r="V308" s="253" t="n">
        <v>4813</v>
      </c>
      <c r="W308" s="253" t="n">
        <v>5183</v>
      </c>
      <c r="X308" s="253" t="n">
        <v>5183</v>
      </c>
      <c r="Y308" s="253" t="n">
        <v>5577</v>
      </c>
      <c r="Z308" s="253" t="n">
        <v>5820</v>
      </c>
      <c r="AA308" s="253" t="n">
        <v>5705</v>
      </c>
      <c r="AB308" s="253" t="n">
        <v>5878</v>
      </c>
      <c r="AC308" s="253" t="n">
        <v>5878</v>
      </c>
      <c r="AD308" s="253" t="n">
        <v>6131</v>
      </c>
      <c r="AE308" s="253" t="n">
        <v>6642</v>
      </c>
      <c r="AF308" s="253" t="n">
        <v>7269</v>
      </c>
      <c r="AG308" s="253" t="n">
        <v>7813</v>
      </c>
      <c r="AH308" s="253" t="n">
        <v>7813</v>
      </c>
      <c r="AI308" s="253" t="n">
        <v>10976</v>
      </c>
      <c r="AJ308" s="253" t="n">
        <v>11487</v>
      </c>
      <c r="AK308" s="253" t="n">
        <v>12673</v>
      </c>
      <c r="AL308" s="253" t="n">
        <v>13859</v>
      </c>
      <c r="AM308" s="253" t="n">
        <v>13859</v>
      </c>
      <c r="AN308" s="253" t="n">
        <v>14474</v>
      </c>
      <c r="AO308" s="253" t="n">
        <v>12112</v>
      </c>
      <c r="AP308" s="253" t="n">
        <v>12488</v>
      </c>
      <c r="AQ308" s="253" t="n">
        <v>13078</v>
      </c>
      <c r="AR308" s="253" t="n">
        <v>13078</v>
      </c>
      <c r="AS308" s="253" t="n">
        <v>12367</v>
      </c>
      <c r="AT308" s="253" t="n">
        <v>12961</v>
      </c>
      <c r="AU308" s="253" t="n">
        <v>14656</v>
      </c>
      <c r="AV308" s="253" t="n">
        <v>20703</v>
      </c>
      <c r="AW308" s="253" t="n">
        <v>20703</v>
      </c>
      <c r="AX308" s="253" t="n">
        <v>25294</v>
      </c>
      <c r="AY308" s="253" t="n">
        <v>25532</v>
      </c>
      <c r="AZ308" s="253" t="n">
        <v>26101</v>
      </c>
      <c r="BA308" s="253" t="n">
        <v>29549</v>
      </c>
      <c r="BB308" s="253" t="n">
        <v>29549</v>
      </c>
      <c r="BC308" s="253" t="n">
        <v>30544</v>
      </c>
      <c r="BD308" s="253" t="n">
        <v>30665</v>
      </c>
      <c r="BE308" s="253" t="n">
        <v>30419</v>
      </c>
      <c r="BF308" s="253" t="n">
        <v>30492</v>
      </c>
      <c r="BG308" s="253" t="n">
        <v>30492</v>
      </c>
      <c r="BH308" s="253" t="n">
        <v>31213</v>
      </c>
      <c r="BI308" s="253" t="n">
        <v>31224</v>
      </c>
      <c r="BJ308" s="253" t="n">
        <v>30907</v>
      </c>
      <c r="BK308" s="253" t="n">
        <v>31008</v>
      </c>
      <c r="BL308" s="253" t="n">
        <v>31008</v>
      </c>
      <c r="BM308" s="253" t="n">
        <v>33994</v>
      </c>
      <c r="BN308" s="253" t="n">
        <v>34172</v>
      </c>
      <c r="BO308" s="253" t="n">
        <v>36177</v>
      </c>
      <c r="BP308" s="253" t="n">
        <v>37982</v>
      </c>
      <c r="BQ308" s="253" t="n">
        <v>37982</v>
      </c>
      <c r="BR308" s="253" t="n">
        <v>51029</v>
      </c>
      <c r="BS308" s="253" t="n">
        <v>52574</v>
      </c>
      <c r="BT308" s="253" t="n">
        <v>63800</v>
      </c>
      <c r="BU308" s="253" t="n">
        <v>68687</v>
      </c>
      <c r="BV308" s="253" t="n">
        <v>68687</v>
      </c>
      <c r="BW308" s="253" t="n">
        <v>106946</v>
      </c>
      <c r="BX308" s="253" t="n">
        <v>131461</v>
      </c>
      <c r="BY308" s="35" t="n"/>
      <c r="BZ308" s="35" t="n"/>
      <c r="CA308" s="254">
        <f>BX308</f>
        <v>131461</v>
      </c>
      <c r="CB308" s="254">
        <f>CA308</f>
        <v>131461</v>
      </c>
      <c r="CC308" s="254">
        <f>CB308</f>
        <v>131461</v>
      </c>
      <c r="CD308" s="254">
        <f>CC308</f>
        <v>131461</v>
      </c>
      <c r="CE308" s="254">
        <f>CD308</f>
        <v>131461</v>
      </c>
      <c r="CF308" s="19" t="inlineStr">
        <is>
          <t>Held flat (no forecast mark-to-market gains).</t>
        </is>
      </c>
    </row>
    <row r="309" ht="15" customHeight="1" s="251">
      <c r="B309" s="25" t="inlineStr">
        <is>
          <t xml:space="preserve">  Property &amp; equipment, net (incl. finance-lease right-of-use assets from 2019)</t>
        </is>
      </c>
      <c r="C309" s="253" t="n">
        <v>2395.239</v>
      </c>
      <c r="D309" s="253" t="n">
        <v>4039.261</v>
      </c>
      <c r="E309" s="253" t="n">
        <v>5233.843</v>
      </c>
      <c r="F309" s="253" t="n">
        <v>4844.61</v>
      </c>
      <c r="G309" s="253" t="n">
        <v>7759</v>
      </c>
      <c r="H309" s="253" t="n">
        <v>9603</v>
      </c>
      <c r="I309" s="253" t="n">
        <v>11854</v>
      </c>
      <c r="J309" s="253" t="n">
        <v>12300</v>
      </c>
      <c r="K309" s="253" t="n">
        <v>12912</v>
      </c>
      <c r="L309" s="253" t="n">
        <v>14867</v>
      </c>
      <c r="M309" s="253" t="n">
        <v>16524</v>
      </c>
      <c r="N309" s="253" t="n">
        <v>16524</v>
      </c>
      <c r="O309" s="253" t="n">
        <v>17877</v>
      </c>
      <c r="P309" s="253" t="n">
        <v>19486</v>
      </c>
      <c r="Q309" s="253" t="n">
        <v>20981</v>
      </c>
      <c r="R309" s="253" t="n">
        <v>23883</v>
      </c>
      <c r="S309" s="253" t="n">
        <v>23883</v>
      </c>
      <c r="T309" s="253" t="n">
        <v>25448</v>
      </c>
      <c r="U309" s="253" t="n">
        <v>27008</v>
      </c>
      <c r="V309" s="253" t="n">
        <v>28338</v>
      </c>
      <c r="W309" s="253" t="n">
        <v>29016</v>
      </c>
      <c r="X309" s="253" t="n">
        <v>29016</v>
      </c>
      <c r="Y309" s="253" t="n">
        <v>30162</v>
      </c>
      <c r="Z309" s="253" t="n">
        <v>31413</v>
      </c>
      <c r="AA309" s="253" t="n">
        <v>32753</v>
      </c>
      <c r="AB309" s="253" t="n">
        <v>34234</v>
      </c>
      <c r="AC309" s="253" t="n">
        <v>34234</v>
      </c>
      <c r="AD309" s="253" t="n">
        <v>35936</v>
      </c>
      <c r="AE309" s="253" t="n">
        <v>37676</v>
      </c>
      <c r="AF309" s="253" t="n">
        <v>40120</v>
      </c>
      <c r="AG309" s="253" t="n">
        <v>42383</v>
      </c>
      <c r="AH309" s="253" t="n">
        <v>42383</v>
      </c>
      <c r="AI309" s="253" t="n">
        <v>48845</v>
      </c>
      <c r="AJ309" s="253" t="n">
        <v>51672</v>
      </c>
      <c r="AK309" s="253" t="n">
        <v>55300</v>
      </c>
      <c r="AL309" s="253" t="n">
        <v>59719</v>
      </c>
      <c r="AM309" s="253" t="n">
        <v>59719</v>
      </c>
      <c r="AN309" s="253" t="n">
        <v>60528</v>
      </c>
      <c r="AO309" s="253" t="n">
        <v>64891</v>
      </c>
      <c r="AP309" s="253" t="n">
        <v>69252</v>
      </c>
      <c r="AQ309" s="253" t="n">
        <v>73646</v>
      </c>
      <c r="AR309" s="253" t="n">
        <v>73646</v>
      </c>
      <c r="AS309" s="253" t="n">
        <v>76747</v>
      </c>
      <c r="AT309" s="253" t="n">
        <v>78748</v>
      </c>
      <c r="AU309" s="253" t="n">
        <v>81636</v>
      </c>
      <c r="AV309" s="253" t="n">
        <v>84749</v>
      </c>
      <c r="AW309" s="253" t="n">
        <v>84749</v>
      </c>
      <c r="AX309" s="253" t="n">
        <v>87606</v>
      </c>
      <c r="AY309" s="253" t="n">
        <v>91697</v>
      </c>
      <c r="AZ309" s="253" t="n">
        <v>94631</v>
      </c>
      <c r="BA309" s="253" t="n">
        <v>97599</v>
      </c>
      <c r="BB309" s="253" t="n">
        <v>97599</v>
      </c>
      <c r="BC309" s="253" t="n">
        <v>104218</v>
      </c>
      <c r="BD309" s="253" t="n">
        <v>106223</v>
      </c>
      <c r="BE309" s="253" t="n">
        <v>108363</v>
      </c>
      <c r="BF309" s="253" t="n">
        <v>112668</v>
      </c>
      <c r="BG309" s="253" t="n">
        <v>112668</v>
      </c>
      <c r="BH309" s="253" t="n">
        <v>117560</v>
      </c>
      <c r="BI309" s="253" t="n">
        <v>121208</v>
      </c>
      <c r="BJ309" s="253" t="n">
        <v>125705</v>
      </c>
      <c r="BK309" s="253" t="n">
        <v>134345</v>
      </c>
      <c r="BL309" s="253" t="n">
        <v>134345</v>
      </c>
      <c r="BM309" s="253" t="n">
        <v>143182</v>
      </c>
      <c r="BN309" s="253" t="n">
        <v>151155</v>
      </c>
      <c r="BO309" s="253" t="n">
        <v>161270</v>
      </c>
      <c r="BP309" s="253" t="n">
        <v>171036</v>
      </c>
      <c r="BQ309" s="253" t="n">
        <v>171036</v>
      </c>
      <c r="BR309" s="253" t="n">
        <v>185062</v>
      </c>
      <c r="BS309" s="253" t="n">
        <v>203231</v>
      </c>
      <c r="BT309" s="253" t="n">
        <v>223787</v>
      </c>
      <c r="BU309" s="253" t="n">
        <v>246597</v>
      </c>
      <c r="BV309" s="253" t="n">
        <v>246597</v>
      </c>
      <c r="BW309" s="253" t="n">
        <v>281020</v>
      </c>
      <c r="BX309" s="253" t="n">
        <v>321212</v>
      </c>
      <c r="BY309" s="35" t="n"/>
      <c r="BZ309" s="35" t="n"/>
      <c r="CA309" s="254">
        <f>BX309-(CA254-SUM(BW254:BX254))-SUM(BY107:BZ107)</f>
        <v>424294.577536</v>
      </c>
      <c r="CB309" s="254">
        <f>CA309-CB254-CB107</f>
        <v>625500.70111936</v>
      </c>
      <c r="CC309" s="254">
        <f>CB309-CC254-CC107</f>
        <v>823568.120490634</v>
      </c>
      <c r="CD309" s="254">
        <f>CC309-CD254-CD107</f>
        <v>1013857.78663421</v>
      </c>
      <c r="CE309" s="254">
        <f>CD309-CE254-CE107</f>
        <v>1197264.14117128</v>
      </c>
      <c r="CF309" s="19" t="inlineStr">
        <is>
          <t>Roll-forward: prior − capex (negative cash flow) − depreciation.</t>
        </is>
      </c>
      <c r="CH309" s="20">
        <f>IFERROR((CE309/BV309)^(1/5)-1,"n/m")</f>
        <v>0.371640933898024</v>
      </c>
      <c r="CI309" s="20">
        <f>IFERROR((BV309/AW309)^(1/5)-1,"n/m")</f>
        <v>0.23814252852511</v>
      </c>
      <c r="CJ309" s="20">
        <f>IFERROR((BV309/X309)^(1/10)-1,"n/m")</f>
        <v>0.238611262394186</v>
      </c>
      <c r="CK309" s="20">
        <f>IFERROR((BV309/C309)^(1/19)-1,"n/m")</f>
        <v>0.27622828302122</v>
      </c>
    </row>
    <row r="310" ht="15" customHeight="1" s="251">
      <c r="B310" s="25" t="inlineStr">
        <is>
          <t xml:space="preserve">  Goodwill</t>
        </is>
      </c>
      <c r="C310" s="253" t="n">
        <v>1545.119</v>
      </c>
      <c r="D310" s="253" t="n">
        <v>2299.368</v>
      </c>
      <c r="E310" s="253" t="n">
        <v>4839.854</v>
      </c>
      <c r="F310" s="253" t="n">
        <v>4902.565</v>
      </c>
      <c r="G310" s="253" t="n">
        <v>6256</v>
      </c>
      <c r="H310" s="253" t="n">
        <v>7346</v>
      </c>
      <c r="I310" s="253" t="n">
        <v>10537</v>
      </c>
      <c r="J310" s="253" t="n">
        <v>10595</v>
      </c>
      <c r="K310" s="253" t="n">
        <v>11396</v>
      </c>
      <c r="L310" s="253" t="n">
        <v>11426</v>
      </c>
      <c r="M310" s="253" t="n">
        <v>11492</v>
      </c>
      <c r="N310" s="253" t="n">
        <v>11492</v>
      </c>
      <c r="O310" s="253" t="n">
        <v>14177</v>
      </c>
      <c r="P310" s="253" t="n">
        <v>14586</v>
      </c>
      <c r="Q310" s="253" t="n">
        <v>15461</v>
      </c>
      <c r="R310" s="253" t="n">
        <v>15599</v>
      </c>
      <c r="S310" s="253" t="n">
        <v>15599</v>
      </c>
      <c r="T310" s="253" t="n">
        <v>15573</v>
      </c>
      <c r="U310" s="253" t="n">
        <v>15610</v>
      </c>
      <c r="V310" s="253" t="n">
        <v>15675</v>
      </c>
      <c r="W310" s="253" t="n">
        <v>15869</v>
      </c>
      <c r="X310" s="253" t="n">
        <v>15869</v>
      </c>
      <c r="Y310" s="253" t="n">
        <v>15866</v>
      </c>
      <c r="Z310" s="253" t="n">
        <v>15841</v>
      </c>
      <c r="AA310" s="253" t="n">
        <v>16028</v>
      </c>
      <c r="AB310" s="253" t="n">
        <v>16468</v>
      </c>
      <c r="AC310" s="253" t="n">
        <v>16468</v>
      </c>
      <c r="AD310" s="253" t="n">
        <v>16547</v>
      </c>
      <c r="AE310" s="253" t="n">
        <v>16604</v>
      </c>
      <c r="AF310" s="253" t="n">
        <v>16731</v>
      </c>
      <c r="AG310" s="253" t="n">
        <v>16747</v>
      </c>
      <c r="AH310" s="253" t="n">
        <v>16747</v>
      </c>
      <c r="AI310" s="253" t="n">
        <v>17862</v>
      </c>
      <c r="AJ310" s="253" t="n">
        <v>17895</v>
      </c>
      <c r="AK310" s="253" t="n">
        <v>17895</v>
      </c>
      <c r="AL310" s="253" t="n">
        <v>17888</v>
      </c>
      <c r="AM310" s="253" t="n">
        <v>17888</v>
      </c>
      <c r="AN310" s="253" t="n">
        <v>17943</v>
      </c>
      <c r="AO310" s="253" t="n">
        <v>18000</v>
      </c>
      <c r="AP310" s="253" t="n">
        <v>18069</v>
      </c>
      <c r="AQ310" s="253" t="n">
        <v>20624</v>
      </c>
      <c r="AR310" s="253" t="n">
        <v>20624</v>
      </c>
      <c r="AS310" s="253" t="n">
        <v>20734</v>
      </c>
      <c r="AT310" s="253" t="n">
        <v>20824</v>
      </c>
      <c r="AU310" s="253" t="n">
        <v>20870</v>
      </c>
      <c r="AV310" s="253" t="n">
        <v>21175</v>
      </c>
      <c r="AW310" s="253" t="n">
        <v>21175</v>
      </c>
      <c r="AX310" s="253" t="n">
        <v>22341</v>
      </c>
      <c r="AY310" s="253" t="n">
        <v>22406</v>
      </c>
      <c r="AZ310" s="253" t="n">
        <v>22623</v>
      </c>
      <c r="BA310" s="253" t="n">
        <v>22956</v>
      </c>
      <c r="BB310" s="253" t="n">
        <v>22956</v>
      </c>
      <c r="BC310" s="253" t="n">
        <v>23010</v>
      </c>
      <c r="BD310" s="253" t="n">
        <v>23949</v>
      </c>
      <c r="BE310" s="253" t="n">
        <v>28834</v>
      </c>
      <c r="BF310" s="253" t="n">
        <v>28960</v>
      </c>
      <c r="BG310" s="253" t="n">
        <v>28960</v>
      </c>
      <c r="BH310" s="253" t="n">
        <v>28994</v>
      </c>
      <c r="BI310" s="253" t="n">
        <v>29210</v>
      </c>
      <c r="BJ310" s="253" t="n">
        <v>29146</v>
      </c>
      <c r="BK310" s="253" t="n">
        <v>29198</v>
      </c>
      <c r="BL310" s="253" t="n">
        <v>29198</v>
      </c>
      <c r="BM310" s="253" t="n">
        <v>29183</v>
      </c>
      <c r="BN310" s="253" t="n">
        <v>29185</v>
      </c>
      <c r="BO310" s="253" t="n">
        <v>31935</v>
      </c>
      <c r="BP310" s="253" t="n">
        <v>31885</v>
      </c>
      <c r="BQ310" s="253" t="n">
        <v>31885</v>
      </c>
      <c r="BR310" s="253" t="n">
        <v>32173</v>
      </c>
      <c r="BS310" s="253" t="n">
        <v>32335</v>
      </c>
      <c r="BT310" s="253" t="n">
        <v>33269</v>
      </c>
      <c r="BU310" s="253" t="n">
        <v>33380</v>
      </c>
      <c r="BV310" s="253" t="n">
        <v>33380</v>
      </c>
      <c r="BW310" s="253" t="n">
        <v>57774</v>
      </c>
      <c r="BX310" s="253" t="n">
        <v>57828</v>
      </c>
      <c r="BY310" s="35" t="n"/>
      <c r="BZ310" s="35" t="n"/>
      <c r="CA310" s="254">
        <f>BX310</f>
        <v>57828</v>
      </c>
      <c r="CB310" s="254">
        <f>CA310+CB75*(1-CB81)</f>
        <v>61428</v>
      </c>
      <c r="CC310" s="254">
        <f>CB310+CC75*(1-CC81)</f>
        <v>65028</v>
      </c>
      <c r="CD310" s="254">
        <f>CC310+CD75*(1-CD81)</f>
        <v>68628</v>
      </c>
      <c r="CE310" s="254">
        <f>CD310+CE75*(1-CE81)</f>
        <v>72228</v>
      </c>
      <c r="CF310" s="19" t="n"/>
    </row>
    <row r="311" ht="15" customHeight="1" s="251">
      <c r="B311" s="25" t="inlineStr">
        <is>
          <t xml:space="preserve">  Other non-current assets (intangibles, operating-lease ROU, deferred taxes, other; derived)</t>
        </is>
      </c>
      <c r="C311" s="253" t="n">
        <v>461.296</v>
      </c>
      <c r="D311" s="253" t="n">
        <v>648.345</v>
      </c>
      <c r="E311" s="253" t="n">
        <v>1430.536</v>
      </c>
      <c r="F311" s="253" t="n">
        <v>1453.668</v>
      </c>
      <c r="G311" s="253" t="n">
        <v>1751</v>
      </c>
      <c r="H311" s="253" t="n">
        <v>2077</v>
      </c>
      <c r="I311" s="253" t="n">
        <v>9484</v>
      </c>
      <c r="J311" s="253" t="n">
        <v>9519</v>
      </c>
      <c r="K311" s="253" t="n">
        <v>8449</v>
      </c>
      <c r="L311" s="253" t="n">
        <v>8074</v>
      </c>
      <c r="M311" s="253" t="n">
        <v>8042</v>
      </c>
      <c r="N311" s="253" t="n">
        <v>8042</v>
      </c>
      <c r="O311" s="253" t="n">
        <v>7035</v>
      </c>
      <c r="P311" s="253" t="n">
        <v>7216</v>
      </c>
      <c r="Q311" s="253" t="n">
        <v>6754</v>
      </c>
      <c r="R311" s="253" t="n">
        <v>7887</v>
      </c>
      <c r="S311" s="253" t="n">
        <v>7887</v>
      </c>
      <c r="T311" s="253" t="n">
        <v>7976</v>
      </c>
      <c r="U311" s="253" t="n">
        <v>7616</v>
      </c>
      <c r="V311" s="253" t="n">
        <v>7352</v>
      </c>
      <c r="W311" s="253" t="n">
        <v>7279</v>
      </c>
      <c r="X311" s="253" t="n">
        <v>7279</v>
      </c>
      <c r="Y311" s="253" t="n">
        <v>7187</v>
      </c>
      <c r="Z311" s="253" t="n">
        <v>6980</v>
      </c>
      <c r="AA311" s="253" t="n">
        <v>6916</v>
      </c>
      <c r="AB311" s="253" t="n">
        <v>5509</v>
      </c>
      <c r="AC311" s="253" t="n">
        <v>5509</v>
      </c>
      <c r="AD311" s="253" t="n">
        <v>5348</v>
      </c>
      <c r="AE311" s="253" t="n">
        <v>5313</v>
      </c>
      <c r="AF311" s="253" t="n">
        <v>6071</v>
      </c>
      <c r="AG311" s="253" t="n">
        <v>6044</v>
      </c>
      <c r="AH311" s="253" t="n">
        <v>6044</v>
      </c>
      <c r="AI311" s="253" t="n">
        <v>5491</v>
      </c>
      <c r="AJ311" s="253" t="n">
        <v>6399</v>
      </c>
      <c r="AK311" s="253" t="n">
        <v>5968</v>
      </c>
      <c r="AL311" s="253" t="n">
        <v>5650</v>
      </c>
      <c r="AM311" s="253" t="n">
        <v>5650</v>
      </c>
      <c r="AN311" s="253" t="n">
        <v>14197</v>
      </c>
      <c r="AO311" s="253" t="n">
        <v>14661</v>
      </c>
      <c r="AP311" s="253" t="n">
        <v>14877</v>
      </c>
      <c r="AQ311" s="253" t="n">
        <v>15983</v>
      </c>
      <c r="AR311" s="253" t="n">
        <v>15983</v>
      </c>
      <c r="AS311" s="253" t="n">
        <v>16537</v>
      </c>
      <c r="AT311" s="253" t="n">
        <v>16890</v>
      </c>
      <c r="AU311" s="253" t="n">
        <v>17712</v>
      </c>
      <c r="AV311" s="253" t="n">
        <v>18693</v>
      </c>
      <c r="AW311" s="253" t="n">
        <v>18693</v>
      </c>
      <c r="AX311" s="253" t="n">
        <v>19717</v>
      </c>
      <c r="AY311" s="253" t="n">
        <v>20055</v>
      </c>
      <c r="AZ311" s="253" t="n">
        <v>19938</v>
      </c>
      <c r="BA311" s="253" t="n">
        <v>21021</v>
      </c>
      <c r="BB311" s="253" t="n">
        <v>21021</v>
      </c>
      <c r="BC311" s="253" t="n">
        <v>21471</v>
      </c>
      <c r="BD311" s="253" t="n">
        <v>21977</v>
      </c>
      <c r="BE311" s="253" t="n">
        <v>24530</v>
      </c>
      <c r="BF311" s="253" t="n">
        <v>28349</v>
      </c>
      <c r="BG311" s="253" t="n">
        <v>28349</v>
      </c>
      <c r="BH311" s="253" t="n">
        <v>29739</v>
      </c>
      <c r="BI311" s="253" t="n">
        <v>32614</v>
      </c>
      <c r="BJ311" s="253" t="n">
        <v>34643</v>
      </c>
      <c r="BK311" s="253" t="n">
        <v>36311</v>
      </c>
      <c r="BL311" s="253" t="n">
        <v>36311</v>
      </c>
      <c r="BM311" s="253" t="n">
        <v>35520</v>
      </c>
      <c r="BN311" s="253" t="n">
        <v>38263</v>
      </c>
      <c r="BO311" s="253" t="n">
        <v>43343</v>
      </c>
      <c r="BP311" s="253" t="n">
        <v>45642</v>
      </c>
      <c r="BQ311" s="253" t="n">
        <v>45642</v>
      </c>
      <c r="BR311" s="253" t="n">
        <v>45058</v>
      </c>
      <c r="BS311" s="253" t="n">
        <v>47697</v>
      </c>
      <c r="BT311" s="253" t="n">
        <v>41666</v>
      </c>
      <c r="BU311" s="253" t="n">
        <v>40579</v>
      </c>
      <c r="BV311" s="253" t="n">
        <v>40579</v>
      </c>
      <c r="BW311" s="253" t="n">
        <v>44426</v>
      </c>
      <c r="BX311" s="253" t="n">
        <v>67958</v>
      </c>
      <c r="BY311" s="35" t="n"/>
      <c r="BZ311" s="35" t="n"/>
      <c r="CA311" s="254">
        <f>BX311-SUM(BY109:BZ109)+CA89</f>
        <v>72818</v>
      </c>
      <c r="CB311" s="254">
        <f>CA311-CB109+CB75*CB81</f>
        <v>72680.5</v>
      </c>
      <c r="CC311" s="254">
        <f>CB311-CC109+CC75*CC81</f>
        <v>72418</v>
      </c>
      <c r="CD311" s="254">
        <f>CC311-CD109+CD75*CD81</f>
        <v>72030.5</v>
      </c>
      <c r="CE311" s="254">
        <f>CD311-CE109+CE75*CE81</f>
        <v>71518</v>
      </c>
      <c r="CF311" s="19" t="inlineStr">
        <is>
          <t>Intangible assets are on the face of the balance sheet to 2022 and inside other non-current assets from 2023. Roll-forward: − amortization + acquired intangibles + GFiber note / equity interest (2026).</t>
        </is>
      </c>
    </row>
    <row r="312" ht="15" customHeight="1" s="251">
      <c r="B312" s="55" t="inlineStr">
        <is>
          <t>TOTAL ASSETS</t>
        </is>
      </c>
      <c r="C312" s="260">
        <f>IF(ISNUMBER(C303),C307+SUM(C308:C311),"")</f>
        <v>18473.351</v>
      </c>
      <c r="D312" s="260">
        <f>IF(ISNUMBER(D303),D307+SUM(D308:D311),"")</f>
        <v>25335.806</v>
      </c>
      <c r="E312" s="260">
        <f>IF(ISNUMBER(E303),E307+SUM(E308:E311),"")</f>
        <v>31767.575</v>
      </c>
      <c r="F312" s="260">
        <f>IF(ISNUMBER(F303),F307+SUM(F308:F311),"")</f>
        <v>40496.778</v>
      </c>
      <c r="G312" s="260">
        <f>IF(ISNUMBER(G303),G307+SUM(G308:G311),"")</f>
        <v>57851</v>
      </c>
      <c r="H312" s="260">
        <f>IF(ISNUMBER(H303),H307+SUM(H308:H311),"")</f>
        <v>72574</v>
      </c>
      <c r="I312" s="260">
        <f>IF(ISNUMBER(I303),I307+SUM(I308:I311),"")</f>
        <v>93798</v>
      </c>
      <c r="J312" s="260">
        <f>IF(ISNUMBER(J303),J307+SUM(J308:J311),"")</f>
        <v>96692</v>
      </c>
      <c r="K312" s="260">
        <f>IF(ISNUMBER(K303),K307+SUM(K308:K311),"")</f>
        <v>101182</v>
      </c>
      <c r="L312" s="260">
        <f>IF(ISNUMBER(L303),L307+SUM(L308:L311),"")</f>
        <v>105068</v>
      </c>
      <c r="M312" s="260">
        <f>IF(ISNUMBER(M303),M307+SUM(M308:M311),"")</f>
        <v>110920</v>
      </c>
      <c r="N312" s="260">
        <f>IF(ISNUMBER(N303),N307+SUM(N308:N311),"")</f>
        <v>110920</v>
      </c>
      <c r="O312" s="260">
        <f>IF(ISNUMBER(O303),O307+SUM(O308:O311),"")</f>
        <v>116526</v>
      </c>
      <c r="P312" s="260">
        <f>IF(ISNUMBER(P303),P307+SUM(P308:P311),"")</f>
        <v>121608</v>
      </c>
      <c r="Q312" s="260">
        <f>IF(ISNUMBER(Q303),Q307+SUM(Q308:Q311),"")</f>
        <v>125781</v>
      </c>
      <c r="R312" s="260">
        <f>IF(ISNUMBER(R303),R307+SUM(R308:R311),"")</f>
        <v>131133</v>
      </c>
      <c r="S312" s="260">
        <f>IF(ISNUMBER(S303),S307+SUM(S308:S311),"")</f>
        <v>131133</v>
      </c>
      <c r="T312" s="260">
        <f>IF(ISNUMBER(T303),T307+SUM(T308:T311),"")</f>
        <v>133400</v>
      </c>
      <c r="U312" s="260">
        <f>IF(ISNUMBER(U303),U307+SUM(U308:U311),"")</f>
        <v>138807</v>
      </c>
      <c r="V312" s="260">
        <f>IF(ISNUMBER(V303),V307+SUM(V308:V311),"")</f>
        <v>144281</v>
      </c>
      <c r="W312" s="260">
        <f>IF(ISNUMBER(W303),W307+SUM(W308:W311),"")</f>
        <v>147461</v>
      </c>
      <c r="X312" s="260">
        <f>IF(ISNUMBER(X303),X307+SUM(X308:X311),"")</f>
        <v>147461</v>
      </c>
      <c r="Y312" s="260">
        <f>IF(ISNUMBER(Y303),Y307+SUM(Y308:Y311),"")</f>
        <v>149747</v>
      </c>
      <c r="Z312" s="260">
        <f>IF(ISNUMBER(Z303),Z307+SUM(Z308:Z311),"")</f>
        <v>154292</v>
      </c>
      <c r="AA312" s="260">
        <f>IF(ISNUMBER(AA303),AA307+SUM(AA308:AA311),"")</f>
        <v>159948</v>
      </c>
      <c r="AB312" s="260">
        <f>IF(ISNUMBER(AB303),AB307+SUM(AB308:AB311),"")</f>
        <v>167497</v>
      </c>
      <c r="AC312" s="260">
        <f>IF(ISNUMBER(AC303),AC307+SUM(AC308:AC311),"")</f>
        <v>167497</v>
      </c>
      <c r="AD312" s="260">
        <f>IF(ISNUMBER(AD303),AD307+SUM(AD308:AD311),"")</f>
        <v>172756</v>
      </c>
      <c r="AE312" s="260">
        <f>IF(ISNUMBER(AE303),AE307+SUM(AE308:AE311),"")</f>
        <v>178621</v>
      </c>
      <c r="AF312" s="260">
        <f>IF(ISNUMBER(AF303),AF307+SUM(AF308:AF311),"")</f>
        <v>189536</v>
      </c>
      <c r="AG312" s="260">
        <f>IF(ISNUMBER(AG303),AG307+SUM(AG308:AG311),"")</f>
        <v>197295</v>
      </c>
      <c r="AH312" s="260">
        <f>IF(ISNUMBER(AH303),AH307+SUM(AH308:AH311),"")</f>
        <v>197295</v>
      </c>
      <c r="AI312" s="260">
        <f>IF(ISNUMBER(AI303),AI307+SUM(AI308:AI311),"")</f>
        <v>206935</v>
      </c>
      <c r="AJ312" s="260">
        <f>IF(ISNUMBER(AJ303),AJ307+SUM(AJ308:AJ311),"")</f>
        <v>211610</v>
      </c>
      <c r="AK312" s="260">
        <f>IF(ISNUMBER(AK303),AK307+SUM(AK308:AK311),"")</f>
        <v>221538</v>
      </c>
      <c r="AL312" s="260">
        <f>IF(ISNUMBER(AL303),AL307+SUM(AL308:AL311),"")</f>
        <v>232792</v>
      </c>
      <c r="AM312" s="260">
        <f>IF(ISNUMBER(AM303),AM307+SUM(AM308:AM311),"")</f>
        <v>232792</v>
      </c>
      <c r="AN312" s="260">
        <f>IF(ISNUMBER(AN303),AN307+SUM(AN308:AN311),"")</f>
        <v>245349</v>
      </c>
      <c r="AO312" s="260">
        <f>IF(ISNUMBER(AO303),AO307+SUM(AO308:AO311),"")</f>
        <v>257101</v>
      </c>
      <c r="AP312" s="260">
        <f>IF(ISNUMBER(AP303),AP307+SUM(AP308:AP311),"")</f>
        <v>263044</v>
      </c>
      <c r="AQ312" s="260">
        <f>IF(ISNUMBER(AQ303),AQ307+SUM(AQ308:AQ311),"")</f>
        <v>275909</v>
      </c>
      <c r="AR312" s="260">
        <f>IF(ISNUMBER(AR303),AR307+SUM(AR308:AR311),"")</f>
        <v>275909</v>
      </c>
      <c r="AS312" s="260">
        <f>IF(ISNUMBER(AS303),AS307+SUM(AS308:AS311),"")</f>
        <v>273403</v>
      </c>
      <c r="AT312" s="260">
        <f>IF(ISNUMBER(AT303),AT307+SUM(AT308:AT311),"")</f>
        <v>278492</v>
      </c>
      <c r="AU312" s="260">
        <f>IF(ISNUMBER(AU303),AU307+SUM(AU308:AU311),"")</f>
        <v>299243</v>
      </c>
      <c r="AV312" s="260">
        <f>IF(ISNUMBER(AV303),AV307+SUM(AV308:AV311),"")</f>
        <v>319616</v>
      </c>
      <c r="AW312" s="260">
        <f>IF(ISNUMBER(AW303),AW307+SUM(AW308:AW311),"")</f>
        <v>319616</v>
      </c>
      <c r="AX312" s="260">
        <f>IF(ISNUMBER(AX303),AX307+SUM(AX308:AX311),"")</f>
        <v>327095</v>
      </c>
      <c r="AY312" s="260">
        <f>IF(ISNUMBER(AY303),AY307+SUM(AY308:AY311),"")</f>
        <v>335387</v>
      </c>
      <c r="AZ312" s="260">
        <f>IF(ISNUMBER(AZ303),AZ307+SUM(AZ308:AZ311),"")</f>
        <v>347403</v>
      </c>
      <c r="BA312" s="260">
        <f>IF(ISNUMBER(BA303),BA307+SUM(BA308:BA311),"")</f>
        <v>359268</v>
      </c>
      <c r="BB312" s="260">
        <f>IF(ISNUMBER(BB303),BB307+SUM(BB308:BB311),"")</f>
        <v>359268</v>
      </c>
      <c r="BC312" s="260">
        <f>IF(ISNUMBER(BC303),BC307+SUM(BC308:BC311),"")</f>
        <v>357096</v>
      </c>
      <c r="BD312" s="260">
        <f>IF(ISNUMBER(BD303),BD307+SUM(BD308:BD311),"")</f>
        <v>355185</v>
      </c>
      <c r="BE312" s="260">
        <f>IF(ISNUMBER(BE303),BE307+SUM(BE308:BE311),"")</f>
        <v>358255</v>
      </c>
      <c r="BF312" s="260">
        <f>IF(ISNUMBER(BF303),BF307+SUM(BF308:BF311),"")</f>
        <v>365264</v>
      </c>
      <c r="BG312" s="260">
        <f>IF(ISNUMBER(BG303),BG307+SUM(BG308:BG311),"")</f>
        <v>365264</v>
      </c>
      <c r="BH312" s="260">
        <f>IF(ISNUMBER(BH303),BH307+SUM(BH308:BH311),"")</f>
        <v>369491</v>
      </c>
      <c r="BI312" s="260">
        <f>IF(ISNUMBER(BI303),BI307+SUM(BI308:BI311),"")</f>
        <v>383044</v>
      </c>
      <c r="BJ312" s="260">
        <f>IF(ISNUMBER(BJ303),BJ307+SUM(BJ308:BJ311),"")</f>
        <v>396711</v>
      </c>
      <c r="BK312" s="260">
        <f>IF(ISNUMBER(BK303),BK307+SUM(BK308:BK311),"")</f>
        <v>402392</v>
      </c>
      <c r="BL312" s="260">
        <f>IF(ISNUMBER(BL303),BL307+SUM(BL308:BL311),"")</f>
        <v>402392</v>
      </c>
      <c r="BM312" s="260">
        <f>IF(ISNUMBER(BM303),BM307+SUM(BM308:BM311),"")</f>
        <v>407350</v>
      </c>
      <c r="BN312" s="260">
        <f>IF(ISNUMBER(BN303),BN307+SUM(BN308:BN311),"")</f>
        <v>414770</v>
      </c>
      <c r="BO312" s="260">
        <f>IF(ISNUMBER(BO303),BO307+SUM(BO308:BO311),"")</f>
        <v>430266</v>
      </c>
      <c r="BP312" s="260">
        <f>IF(ISNUMBER(BP303),BP307+SUM(BP308:BP311),"")</f>
        <v>450256</v>
      </c>
      <c r="BQ312" s="260">
        <f>IF(ISNUMBER(BQ303),BQ307+SUM(BQ308:BQ311),"")</f>
        <v>450256</v>
      </c>
      <c r="BR312" s="260">
        <f>IF(ISNUMBER(BR303),BR307+SUM(BR308:BR311),"")</f>
        <v>475374</v>
      </c>
      <c r="BS312" s="260">
        <f>IF(ISNUMBER(BS303),BS307+SUM(BS308:BS311),"")</f>
        <v>502053</v>
      </c>
      <c r="BT312" s="260">
        <f>IF(ISNUMBER(BT303),BT307+SUM(BT308:BT311),"")</f>
        <v>536469</v>
      </c>
      <c r="BU312" s="260">
        <f>IF(ISNUMBER(BU303),BU307+SUM(BU308:BU311),"")</f>
        <v>595281</v>
      </c>
      <c r="BV312" s="260">
        <f>IF(ISNUMBER(BV303),BV307+SUM(BV308:BV311),"")</f>
        <v>595281</v>
      </c>
      <c r="BW312" s="260">
        <f>IF(ISNUMBER(BW303),BW307+SUM(BW308:BW311),"")</f>
        <v>703919</v>
      </c>
      <c r="BX312" s="260">
        <f>IF(ISNUMBER(BX303),BX307+SUM(BX308:BX311),"")</f>
        <v>921983</v>
      </c>
      <c r="BY312" s="56" t="n"/>
      <c r="BZ312" s="56" t="n"/>
      <c r="CA312" s="260">
        <f>IF(ISNUMBER(CA303),CA307+SUM(CA308:CA311),"")</f>
        <v>1007658.62201995</v>
      </c>
      <c r="CB312" s="260">
        <f>IF(ISNUMBER(CB303),CB307+SUM(CB308:CB311),"")</f>
        <v>1170897.24429737</v>
      </c>
      <c r="CC312" s="260">
        <f>IF(ISNUMBER(CC303),CC307+SUM(CC308:CC311),"")</f>
        <v>1372713.5549129</v>
      </c>
      <c r="CD312" s="260">
        <f>IF(ISNUMBER(CD303),CD307+SUM(CD308:CD311),"")</f>
        <v>1594271.54048213</v>
      </c>
      <c r="CE312" s="260">
        <f>IF(ISNUMBER(CE303),CE307+SUM(CE308:CE311),"")</f>
        <v>1835937.44300621</v>
      </c>
      <c r="CF312" s="153" t="n"/>
      <c r="CH312" s="20">
        <f>IFERROR((CE312/BV312)^(1/5)-1,"n/m")</f>
        <v>0.252642584025266</v>
      </c>
      <c r="CI312" s="20">
        <f>IFERROR((BV312/AW312)^(1/5)-1,"n/m")</f>
        <v>0.132449128308707</v>
      </c>
      <c r="CJ312" s="20">
        <f>IFERROR((BV312/X312)^(1/10)-1,"n/m")</f>
        <v>0.149752823163058</v>
      </c>
      <c r="CK312" s="20">
        <f>IFERROR((BV312/C312)^(1/19)-1,"n/m")</f>
        <v>0.200542950801891</v>
      </c>
    </row>
    <row r="313" ht="15" customHeight="1" s="251">
      <c r="B313" s="25" t="inlineStr">
        <is>
          <t>LIABILITIES AND STOCKHOLDERS' EQUITY</t>
        </is>
      </c>
      <c r="CF313" s="153" t="n"/>
    </row>
    <row r="314" ht="15" customHeight="1" s="251">
      <c r="B314" s="25" t="inlineStr">
        <is>
          <t xml:space="preserve">  Accounts payable</t>
        </is>
      </c>
      <c r="C314" s="253" t="n">
        <v>211.169</v>
      </c>
      <c r="D314" s="253" t="n">
        <v>282.106</v>
      </c>
      <c r="E314" s="253" t="n">
        <v>178.004</v>
      </c>
      <c r="F314" s="253" t="n">
        <v>215.867</v>
      </c>
      <c r="G314" s="253" t="n">
        <v>483</v>
      </c>
      <c r="H314" s="253" t="n">
        <v>588</v>
      </c>
      <c r="I314" s="253" t="n">
        <v>2012</v>
      </c>
      <c r="J314" s="253" t="n">
        <v>2094</v>
      </c>
      <c r="K314" s="253" t="n">
        <v>1758</v>
      </c>
      <c r="L314" s="253" t="n">
        <v>2124</v>
      </c>
      <c r="M314" s="253" t="n">
        <v>2453</v>
      </c>
      <c r="N314" s="253" t="n">
        <v>2453</v>
      </c>
      <c r="O314" s="253" t="n">
        <v>1623</v>
      </c>
      <c r="P314" s="253" t="n">
        <v>1345</v>
      </c>
      <c r="Q314" s="253" t="n">
        <v>1368</v>
      </c>
      <c r="R314" s="253" t="n">
        <v>1715</v>
      </c>
      <c r="S314" s="253" t="n">
        <v>1715</v>
      </c>
      <c r="T314" s="253" t="n">
        <v>1688</v>
      </c>
      <c r="U314" s="253" t="n">
        <v>1315</v>
      </c>
      <c r="V314" s="253" t="n">
        <v>1549</v>
      </c>
      <c r="W314" s="253" t="n">
        <v>1931</v>
      </c>
      <c r="X314" s="253" t="n">
        <v>1931</v>
      </c>
      <c r="Y314" s="253" t="n">
        <v>1667</v>
      </c>
      <c r="Z314" s="253" t="n">
        <v>1716</v>
      </c>
      <c r="AA314" s="253" t="n">
        <v>2175</v>
      </c>
      <c r="AB314" s="253" t="n">
        <v>2041</v>
      </c>
      <c r="AC314" s="253" t="n">
        <v>2041</v>
      </c>
      <c r="AD314" s="253" t="n">
        <v>2306</v>
      </c>
      <c r="AE314" s="253" t="n">
        <v>2488</v>
      </c>
      <c r="AF314" s="253" t="n">
        <v>2674</v>
      </c>
      <c r="AG314" s="253" t="n">
        <v>3137</v>
      </c>
      <c r="AH314" s="253" t="n">
        <v>3137</v>
      </c>
      <c r="AI314" s="253" t="n">
        <v>3526</v>
      </c>
      <c r="AJ314" s="253" t="n">
        <v>3369</v>
      </c>
      <c r="AK314" s="253" t="n">
        <v>3789</v>
      </c>
      <c r="AL314" s="253" t="n">
        <v>4378</v>
      </c>
      <c r="AM314" s="253" t="n">
        <v>4378</v>
      </c>
      <c r="AN314" s="253" t="n">
        <v>3710</v>
      </c>
      <c r="AO314" s="253" t="n">
        <v>3925</v>
      </c>
      <c r="AP314" s="253" t="n">
        <v>4142</v>
      </c>
      <c r="AQ314" s="253" t="n">
        <v>5561</v>
      </c>
      <c r="AR314" s="253" t="n">
        <v>5561</v>
      </c>
      <c r="AS314" s="253" t="n">
        <v>4099</v>
      </c>
      <c r="AT314" s="253" t="n">
        <v>4064</v>
      </c>
      <c r="AU314" s="253" t="n">
        <v>4391</v>
      </c>
      <c r="AV314" s="253" t="n">
        <v>5589</v>
      </c>
      <c r="AW314" s="253" t="n">
        <v>5589</v>
      </c>
      <c r="AX314" s="253" t="n">
        <v>4801</v>
      </c>
      <c r="AY314" s="253" t="n">
        <v>4708</v>
      </c>
      <c r="AZ314" s="253" t="n">
        <v>4616</v>
      </c>
      <c r="BA314" s="253" t="n">
        <v>6037</v>
      </c>
      <c r="BB314" s="253" t="n">
        <v>6037</v>
      </c>
      <c r="BC314" s="253" t="n">
        <v>3436</v>
      </c>
      <c r="BD314" s="253" t="n">
        <v>4409</v>
      </c>
      <c r="BE314" s="253" t="n">
        <v>6303</v>
      </c>
      <c r="BF314" s="253" t="n">
        <v>5128</v>
      </c>
      <c r="BG314" s="253" t="n">
        <v>5128</v>
      </c>
      <c r="BH314" s="253" t="n">
        <v>4184</v>
      </c>
      <c r="BI314" s="253" t="n">
        <v>5313</v>
      </c>
      <c r="BJ314" s="253" t="n">
        <v>5803</v>
      </c>
      <c r="BK314" s="253" t="n">
        <v>7493</v>
      </c>
      <c r="BL314" s="253" t="n">
        <v>7493</v>
      </c>
      <c r="BM314" s="253" t="n">
        <v>6198</v>
      </c>
      <c r="BN314" s="253" t="n">
        <v>6092</v>
      </c>
      <c r="BO314" s="253" t="n">
        <v>7049</v>
      </c>
      <c r="BP314" s="253" t="n">
        <v>7987</v>
      </c>
      <c r="BQ314" s="253" t="n">
        <v>7987</v>
      </c>
      <c r="BR314" s="253" t="n">
        <v>8497</v>
      </c>
      <c r="BS314" s="253" t="n">
        <v>8347</v>
      </c>
      <c r="BT314" s="253" t="n">
        <v>10546</v>
      </c>
      <c r="BU314" s="253" t="n">
        <v>12200</v>
      </c>
      <c r="BV314" s="253" t="n">
        <v>12200</v>
      </c>
      <c r="BW314" s="253" t="n">
        <v>16852</v>
      </c>
      <c r="BX314" s="253" t="n">
        <v>20258</v>
      </c>
      <c r="BY314" s="35" t="n"/>
      <c r="BZ314" s="35" t="n"/>
      <c r="CA314" s="254">
        <f>-CA254*CA334</f>
        <v>24000</v>
      </c>
      <c r="CB314" s="254">
        <f>-CB254*CB334</f>
        <v>30000</v>
      </c>
      <c r="CC314" s="254">
        <f>-CC254*CC334</f>
        <v>32400</v>
      </c>
      <c r="CD314" s="254">
        <f>-CD254*CD334</f>
        <v>34200</v>
      </c>
      <c r="CE314" s="254">
        <f>-CE254*CE334</f>
        <v>36000</v>
      </c>
      <c r="CF314" s="19" t="n"/>
    </row>
    <row r="315" ht="15" customHeight="1" s="251">
      <c r="B315" s="25" t="inlineStr">
        <is>
          <t xml:space="preserve">  Short-term debt: commercial paper + current portion of long-term debt</t>
        </is>
      </c>
      <c r="C315" s="253" t="n">
        <v>0</v>
      </c>
      <c r="D315" s="253" t="n">
        <v>0</v>
      </c>
      <c r="E315" s="253" t="n">
        <v>0</v>
      </c>
      <c r="F315" s="253" t="n">
        <v>0</v>
      </c>
      <c r="G315" s="253" t="n">
        <v>3465</v>
      </c>
      <c r="H315" s="253" t="n">
        <v>1218</v>
      </c>
      <c r="I315" s="253" t="n">
        <v>2549</v>
      </c>
      <c r="J315" s="253" t="n">
        <v>2150</v>
      </c>
      <c r="K315" s="253" t="n">
        <v>3000</v>
      </c>
      <c r="L315" s="253" t="n">
        <v>1009</v>
      </c>
      <c r="M315" s="253" t="n">
        <v>1009</v>
      </c>
      <c r="N315" s="253" t="n">
        <v>1009</v>
      </c>
      <c r="O315" s="253" t="n">
        <v>1009</v>
      </c>
      <c r="P315" s="253" t="n">
        <v>9</v>
      </c>
      <c r="Q315" s="253" t="n">
        <v>9</v>
      </c>
      <c r="R315" s="253" t="n">
        <v>10</v>
      </c>
      <c r="S315" s="253" t="n">
        <v>10</v>
      </c>
      <c r="T315" s="253" t="n">
        <v>9</v>
      </c>
      <c r="U315" s="253" t="n">
        <v>1008</v>
      </c>
      <c r="V315" s="253" t="n">
        <v>1237</v>
      </c>
      <c r="W315" s="253" t="n">
        <v>3225</v>
      </c>
      <c r="X315" s="253" t="n">
        <v>3225</v>
      </c>
      <c r="Y315" s="253" t="n">
        <v>1223</v>
      </c>
      <c r="Z315" s="253" t="n">
        <v>220</v>
      </c>
      <c r="AA315" s="253" t="n">
        <v>0</v>
      </c>
      <c r="AB315" s="253" t="n">
        <v>0</v>
      </c>
      <c r="AC315" s="253" t="n">
        <v>0</v>
      </c>
      <c r="AD315" s="253" t="n">
        <v>0</v>
      </c>
      <c r="AE315" s="253" t="n">
        <v>0</v>
      </c>
      <c r="AF315" s="253" t="n">
        <v>0</v>
      </c>
      <c r="AG315" s="253" t="n">
        <v>0</v>
      </c>
      <c r="AH315" s="253" t="n">
        <v>0</v>
      </c>
      <c r="AI315" s="253" t="n">
        <v>2629</v>
      </c>
      <c r="AJ315" s="253" t="n">
        <v>0</v>
      </c>
      <c r="AK315" s="253" t="n">
        <v>0</v>
      </c>
      <c r="AL315" s="253" t="n">
        <v>0</v>
      </c>
      <c r="AM315" s="253" t="n">
        <v>0</v>
      </c>
      <c r="AN315" s="253" t="n">
        <v>0</v>
      </c>
      <c r="AO315" s="253" t="n">
        <v>0</v>
      </c>
      <c r="AP315" s="253" t="n">
        <v>0</v>
      </c>
      <c r="AQ315" s="253" t="n">
        <v>0</v>
      </c>
      <c r="AR315" s="253" t="n">
        <v>0</v>
      </c>
      <c r="AS315" s="253" t="n">
        <v>0</v>
      </c>
      <c r="AT315" s="253" t="n">
        <v>1136</v>
      </c>
      <c r="AU315" s="253" t="n">
        <v>999</v>
      </c>
      <c r="AV315" s="253" t="n">
        <v>999</v>
      </c>
      <c r="AW315" s="253" t="n">
        <v>999</v>
      </c>
      <c r="AX315" s="253" t="n">
        <v>1000</v>
      </c>
      <c r="AY315" s="253" t="n">
        <v>0</v>
      </c>
      <c r="AZ315" s="253" t="n">
        <v>0</v>
      </c>
      <c r="BA315" s="253" t="n">
        <v>0</v>
      </c>
      <c r="BB315" s="253" t="n">
        <v>0</v>
      </c>
      <c r="BC315" s="253" t="n">
        <v>0</v>
      </c>
      <c r="BD315" s="253" t="n">
        <v>0</v>
      </c>
      <c r="BE315" s="253" t="n">
        <v>0</v>
      </c>
      <c r="BF315" s="253" t="n">
        <v>0</v>
      </c>
      <c r="BG315" s="253" t="n">
        <v>0</v>
      </c>
      <c r="BH315" s="253" t="n">
        <v>999</v>
      </c>
      <c r="BI315" s="253" t="n">
        <v>999</v>
      </c>
      <c r="BJ315" s="253" t="n">
        <v>1000</v>
      </c>
      <c r="BK315" s="253" t="n">
        <v>1000</v>
      </c>
      <c r="BL315" s="253" t="n">
        <v>1000</v>
      </c>
      <c r="BM315" s="253" t="n">
        <v>0</v>
      </c>
      <c r="BN315" s="253" t="n">
        <v>0</v>
      </c>
      <c r="BO315" s="253" t="n">
        <v>1999</v>
      </c>
      <c r="BP315" s="253" t="n">
        <v>3299</v>
      </c>
      <c r="BQ315" s="253" t="n">
        <v>3299</v>
      </c>
      <c r="BR315" s="253" t="n">
        <v>3500</v>
      </c>
      <c r="BS315" s="253" t="n">
        <v>4000</v>
      </c>
      <c r="BT315" s="253" t="n">
        <v>4995</v>
      </c>
      <c r="BU315" s="253" t="n">
        <v>1996</v>
      </c>
      <c r="BV315" s="253" t="n">
        <v>1996</v>
      </c>
      <c r="BW315" s="253" t="n">
        <v>1998</v>
      </c>
      <c r="BX315" s="253" t="n">
        <v>1999</v>
      </c>
      <c r="BY315" s="35" t="n"/>
      <c r="BZ315" s="35" t="n"/>
      <c r="CA315" s="254">
        <f>CA356+MIN(CA357,CA360)</f>
        <v>1000</v>
      </c>
      <c r="CB315" s="254">
        <f>CB356+MIN(CB357,CB360)</f>
        <v>2676</v>
      </c>
      <c r="CC315" s="254">
        <f>CC356+MIN(CC357,CC360)</f>
        <v>1764</v>
      </c>
      <c r="CD315" s="254">
        <f>CD356+MIN(CD357,CD360)</f>
        <v>5500</v>
      </c>
      <c r="CE315" s="254">
        <f>CE356+MIN(CE357,CE360)</f>
        <v>5000</v>
      </c>
      <c r="CF315" s="19" t="inlineStr">
        <is>
          <t>Current portion of long-term debt sits in accrued expenses &amp; other current liabilities on the face from 2020; shown here with short-term debt.</t>
        </is>
      </c>
    </row>
    <row r="316" ht="15" customHeight="1" s="251">
      <c r="B316" s="25" t="inlineStr">
        <is>
          <t xml:space="preserve">  Accrued compensation, accrued expenses (incl. legal &amp; regulatory accruals), revenue share, deferred revenue &amp; other current (derived)</t>
        </is>
      </c>
      <c r="C316" s="253" t="n">
        <v>1093.418</v>
      </c>
      <c r="D316" s="253" t="n">
        <v>1753.496</v>
      </c>
      <c r="E316" s="253" t="n">
        <v>2124.086</v>
      </c>
      <c r="F316" s="253" t="n">
        <v>2531.6</v>
      </c>
      <c r="G316" s="253" t="n">
        <v>6048</v>
      </c>
      <c r="H316" s="253" t="n">
        <v>7107</v>
      </c>
      <c r="I316" s="253" t="n">
        <v>9776</v>
      </c>
      <c r="J316" s="253" t="n">
        <v>9008</v>
      </c>
      <c r="K316" s="253" t="n">
        <v>10571</v>
      </c>
      <c r="L316" s="253" t="n">
        <v>11342</v>
      </c>
      <c r="M316" s="253" t="n">
        <v>12446</v>
      </c>
      <c r="N316" s="253" t="n">
        <v>12446</v>
      </c>
      <c r="O316" s="253" t="n">
        <v>13638</v>
      </c>
      <c r="P316" s="253" t="n">
        <v>15743</v>
      </c>
      <c r="Q316" s="253" t="n">
        <v>16543</v>
      </c>
      <c r="R316" s="253" t="n">
        <v>15080</v>
      </c>
      <c r="S316" s="253" t="n">
        <v>15080</v>
      </c>
      <c r="T316" s="253" t="n">
        <v>12639</v>
      </c>
      <c r="U316" s="253" t="n">
        <v>15039</v>
      </c>
      <c r="V316" s="253" t="n">
        <v>15671</v>
      </c>
      <c r="W316" s="253" t="n">
        <v>14154</v>
      </c>
      <c r="X316" s="253" t="n">
        <v>14154</v>
      </c>
      <c r="Y316" s="253" t="n">
        <v>14794</v>
      </c>
      <c r="Z316" s="253" t="n">
        <v>15405</v>
      </c>
      <c r="AA316" s="253" t="n">
        <v>12148</v>
      </c>
      <c r="AB316" s="253" t="n">
        <v>14715</v>
      </c>
      <c r="AC316" s="253" t="n">
        <v>14715</v>
      </c>
      <c r="AD316" s="253" t="n">
        <v>12950</v>
      </c>
      <c r="AE316" s="253" t="n">
        <v>16197</v>
      </c>
      <c r="AF316" s="253" t="n">
        <v>18019</v>
      </c>
      <c r="AG316" s="253" t="n">
        <v>21046</v>
      </c>
      <c r="AH316" s="253" t="n">
        <v>21046</v>
      </c>
      <c r="AI316" s="253" t="n">
        <v>19239</v>
      </c>
      <c r="AJ316" s="253" t="n">
        <v>26534</v>
      </c>
      <c r="AK316" s="253" t="n">
        <v>27512</v>
      </c>
      <c r="AL316" s="253" t="n">
        <v>30242</v>
      </c>
      <c r="AM316" s="253" t="n">
        <v>30242</v>
      </c>
      <c r="AN316" s="253" t="n">
        <v>31200</v>
      </c>
      <c r="AO316" s="253" t="n">
        <v>33075</v>
      </c>
      <c r="AP316" s="253" t="n">
        <v>35082</v>
      </c>
      <c r="AQ316" s="253" t="n">
        <v>39660</v>
      </c>
      <c r="AR316" s="253" t="n">
        <v>39660</v>
      </c>
      <c r="AS316" s="253" t="n">
        <v>36090</v>
      </c>
      <c r="AT316" s="253" t="n">
        <v>38458</v>
      </c>
      <c r="AU316" s="253" t="n">
        <v>42810</v>
      </c>
      <c r="AV316" s="253" t="n">
        <v>50246</v>
      </c>
      <c r="AW316" s="253" t="n">
        <v>50246</v>
      </c>
      <c r="AX316" s="253" t="n">
        <v>49652</v>
      </c>
      <c r="AY316" s="253" t="n">
        <v>51033</v>
      </c>
      <c r="AZ316" s="253" t="n">
        <v>57166</v>
      </c>
      <c r="BA316" s="253" t="n">
        <v>58217</v>
      </c>
      <c r="BB316" s="253" t="n">
        <v>58217</v>
      </c>
      <c r="BC316" s="253" t="n">
        <v>58512</v>
      </c>
      <c r="BD316" s="253" t="n">
        <v>56945</v>
      </c>
      <c r="BE316" s="253" t="n">
        <v>59676</v>
      </c>
      <c r="BF316" s="253" t="n">
        <v>64172</v>
      </c>
      <c r="BG316" s="253" t="n">
        <v>64172</v>
      </c>
      <c r="BH316" s="253" t="n">
        <v>63671</v>
      </c>
      <c r="BI316" s="253" t="n">
        <v>71397</v>
      </c>
      <c r="BJ316" s="253" t="n">
        <v>79492</v>
      </c>
      <c r="BK316" s="253" t="n">
        <v>73321</v>
      </c>
      <c r="BL316" s="253" t="n">
        <v>73321</v>
      </c>
      <c r="BM316" s="253" t="n">
        <v>70799</v>
      </c>
      <c r="BN316" s="253" t="n">
        <v>71821</v>
      </c>
      <c r="BO316" s="253" t="n">
        <v>71755</v>
      </c>
      <c r="BP316" s="253" t="n">
        <v>77836</v>
      </c>
      <c r="BQ316" s="253" t="n">
        <v>77836</v>
      </c>
      <c r="BR316" s="253" t="n">
        <v>79657</v>
      </c>
      <c r="BS316" s="253" t="n">
        <v>74963</v>
      </c>
      <c r="BT316" s="253" t="n">
        <v>84009</v>
      </c>
      <c r="BU316" s="253" t="n">
        <v>88549</v>
      </c>
      <c r="BV316" s="253" t="n">
        <v>88549</v>
      </c>
      <c r="BW316" s="253" t="n">
        <v>92338</v>
      </c>
      <c r="BX316" s="253" t="n">
        <v>103854</v>
      </c>
      <c r="BY316" s="35" t="n"/>
      <c r="BZ316" s="35" t="n"/>
      <c r="CA316" s="254">
        <f>CA332*CA335</f>
        <v>109620.552298555</v>
      </c>
      <c r="CB316" s="254">
        <f>CB332*CB335</f>
        <v>128674.502240573</v>
      </c>
      <c r="CC316" s="254">
        <f>CC332*CC335</f>
        <v>147611.69216312</v>
      </c>
      <c r="CD316" s="254">
        <f>CD332*CD335</f>
        <v>166762.100261208</v>
      </c>
      <c r="CE316" s="254">
        <f>CE332*CE335</f>
        <v>185626.922801565</v>
      </c>
      <c r="CF316" s="19" t="n"/>
    </row>
    <row r="317" ht="15" customHeight="1" s="251">
      <c r="B317" s="16" t="inlineStr">
        <is>
          <t>Total current liabilities</t>
        </is>
      </c>
      <c r="C317" s="261">
        <f>IF(ISNUMBER(C314),SUM(C314:C316),"")</f>
        <v>1304.587</v>
      </c>
      <c r="D317" s="261">
        <f>IF(ISNUMBER(D314),SUM(D314:D316),"")</f>
        <v>2035.602</v>
      </c>
      <c r="E317" s="261">
        <f>IF(ISNUMBER(E314),SUM(E314:E316),"")</f>
        <v>2302.09</v>
      </c>
      <c r="F317" s="261">
        <f>IF(ISNUMBER(F314),SUM(F314:F316),"")</f>
        <v>2747.467</v>
      </c>
      <c r="G317" s="261">
        <f>IF(ISNUMBER(G314),SUM(G314:G316),"")</f>
        <v>9996</v>
      </c>
      <c r="H317" s="261">
        <f>IF(ISNUMBER(H314),SUM(H314:H316),"")</f>
        <v>8913</v>
      </c>
      <c r="I317" s="261">
        <f>IF(ISNUMBER(I314),SUM(I314:I316),"")</f>
        <v>14337</v>
      </c>
      <c r="J317" s="261">
        <f>IF(ISNUMBER(J314),SUM(J314:J316),"")</f>
        <v>13252</v>
      </c>
      <c r="K317" s="261">
        <f>IF(ISNUMBER(K314),SUM(K314:K316),"")</f>
        <v>15329</v>
      </c>
      <c r="L317" s="261">
        <f>IF(ISNUMBER(L314),SUM(L314:L316),"")</f>
        <v>14475</v>
      </c>
      <c r="M317" s="261">
        <f>IF(ISNUMBER(M314),SUM(M314:M316),"")</f>
        <v>15908</v>
      </c>
      <c r="N317" s="261">
        <f>IF(ISNUMBER(N314),SUM(N314:N316),"")</f>
        <v>15908</v>
      </c>
      <c r="O317" s="261">
        <f>IF(ISNUMBER(O314),SUM(O314:O316),"")</f>
        <v>16270</v>
      </c>
      <c r="P317" s="261">
        <f>IF(ISNUMBER(P314),SUM(P314:P316),"")</f>
        <v>17097</v>
      </c>
      <c r="Q317" s="261">
        <f>IF(ISNUMBER(Q314),SUM(Q314:Q316),"")</f>
        <v>17920</v>
      </c>
      <c r="R317" s="261">
        <f>IF(ISNUMBER(R314),SUM(R314:R316),"")</f>
        <v>16805</v>
      </c>
      <c r="S317" s="261">
        <f>IF(ISNUMBER(S314),SUM(S314:S316),"")</f>
        <v>16805</v>
      </c>
      <c r="T317" s="261">
        <f>IF(ISNUMBER(T314),SUM(T314:T316),"")</f>
        <v>14336</v>
      </c>
      <c r="U317" s="261">
        <f>IF(ISNUMBER(U314),SUM(U314:U316),"")</f>
        <v>17362</v>
      </c>
      <c r="V317" s="261">
        <f>IF(ISNUMBER(V314),SUM(V314:V316),"")</f>
        <v>18457</v>
      </c>
      <c r="W317" s="261">
        <f>IF(ISNUMBER(W314),SUM(W314:W316),"")</f>
        <v>19310</v>
      </c>
      <c r="X317" s="261">
        <f>IF(ISNUMBER(X314),SUM(X314:X316),"")</f>
        <v>19310</v>
      </c>
      <c r="Y317" s="261">
        <f>IF(ISNUMBER(Y314),SUM(Y314:Y316),"")</f>
        <v>17684</v>
      </c>
      <c r="Z317" s="261">
        <f>IF(ISNUMBER(Z314),SUM(Z314:Z316),"")</f>
        <v>17341</v>
      </c>
      <c r="AA317" s="261">
        <f>IF(ISNUMBER(AA314),SUM(AA314:AA316),"")</f>
        <v>14323</v>
      </c>
      <c r="AB317" s="261">
        <f>IF(ISNUMBER(AB314),SUM(AB314:AB316),"")</f>
        <v>16756</v>
      </c>
      <c r="AC317" s="261">
        <f>IF(ISNUMBER(AC314),SUM(AC314:AC316),"")</f>
        <v>16756</v>
      </c>
      <c r="AD317" s="261">
        <f>IF(ISNUMBER(AD314),SUM(AD314:AD316),"")</f>
        <v>15256</v>
      </c>
      <c r="AE317" s="261">
        <f>IF(ISNUMBER(AE314),SUM(AE314:AE316),"")</f>
        <v>18685</v>
      </c>
      <c r="AF317" s="261">
        <f>IF(ISNUMBER(AF314),SUM(AF314:AF316),"")</f>
        <v>20693</v>
      </c>
      <c r="AG317" s="261">
        <f>IF(ISNUMBER(AG314),SUM(AG314:AG316),"")</f>
        <v>24183</v>
      </c>
      <c r="AH317" s="261">
        <f>IF(ISNUMBER(AH314),SUM(AH314:AH316),"")</f>
        <v>24183</v>
      </c>
      <c r="AI317" s="261">
        <f>IF(ISNUMBER(AI314),SUM(AI314:AI316),"")</f>
        <v>25394</v>
      </c>
      <c r="AJ317" s="261">
        <f>IF(ISNUMBER(AJ314),SUM(AJ314:AJ316),"")</f>
        <v>29903</v>
      </c>
      <c r="AK317" s="261">
        <f>IF(ISNUMBER(AK314),SUM(AK314:AK316),"")</f>
        <v>31301</v>
      </c>
      <c r="AL317" s="261">
        <f>IF(ISNUMBER(AL314),SUM(AL314:AL316),"")</f>
        <v>34620</v>
      </c>
      <c r="AM317" s="261">
        <f>IF(ISNUMBER(AM314),SUM(AM314:AM316),"")</f>
        <v>34620</v>
      </c>
      <c r="AN317" s="261">
        <f>IF(ISNUMBER(AN314),SUM(AN314:AN316),"")</f>
        <v>34910</v>
      </c>
      <c r="AO317" s="261">
        <f>IF(ISNUMBER(AO314),SUM(AO314:AO316),"")</f>
        <v>37000</v>
      </c>
      <c r="AP317" s="261">
        <f>IF(ISNUMBER(AP314),SUM(AP314:AP316),"")</f>
        <v>39224</v>
      </c>
      <c r="AQ317" s="261">
        <f>IF(ISNUMBER(AQ314),SUM(AQ314:AQ316),"")</f>
        <v>45221</v>
      </c>
      <c r="AR317" s="261">
        <f>IF(ISNUMBER(AR314),SUM(AR314:AR316),"")</f>
        <v>45221</v>
      </c>
      <c r="AS317" s="261">
        <f>IF(ISNUMBER(AS314),SUM(AS314:AS316),"")</f>
        <v>40189</v>
      </c>
      <c r="AT317" s="261">
        <f>IF(ISNUMBER(AT314),SUM(AT314:AT316),"")</f>
        <v>43658</v>
      </c>
      <c r="AU317" s="261">
        <f>IF(ISNUMBER(AU314),SUM(AU314:AU316),"")</f>
        <v>48200</v>
      </c>
      <c r="AV317" s="261">
        <f>IF(ISNUMBER(AV314),SUM(AV314:AV316),"")</f>
        <v>56834</v>
      </c>
      <c r="AW317" s="261">
        <f>IF(ISNUMBER(AW314),SUM(AW314:AW316),"")</f>
        <v>56834</v>
      </c>
      <c r="AX317" s="261">
        <f>IF(ISNUMBER(AX314),SUM(AX314:AX316),"")</f>
        <v>55453</v>
      </c>
      <c r="AY317" s="261">
        <f>IF(ISNUMBER(AY314),SUM(AY314:AY316),"")</f>
        <v>55741</v>
      </c>
      <c r="AZ317" s="261">
        <f>IF(ISNUMBER(AZ314),SUM(AZ314:AZ316),"")</f>
        <v>61782</v>
      </c>
      <c r="BA317" s="261">
        <f>IF(ISNUMBER(BA314),SUM(BA314:BA316),"")</f>
        <v>64254</v>
      </c>
      <c r="BB317" s="261">
        <f>IF(ISNUMBER(BB314),SUM(BB314:BB316),"")</f>
        <v>64254</v>
      </c>
      <c r="BC317" s="261">
        <f>IF(ISNUMBER(BC314),SUM(BC314:BC316),"")</f>
        <v>61948</v>
      </c>
      <c r="BD317" s="261">
        <f>IF(ISNUMBER(BD314),SUM(BD314:BD316),"")</f>
        <v>61354</v>
      </c>
      <c r="BE317" s="261">
        <f>IF(ISNUMBER(BE314),SUM(BE314:BE316),"")</f>
        <v>65979</v>
      </c>
      <c r="BF317" s="261">
        <f>IF(ISNUMBER(BF314),SUM(BF314:BF316),"")</f>
        <v>69300</v>
      </c>
      <c r="BG317" s="261">
        <f>IF(ISNUMBER(BG314),SUM(BG314:BG316),"")</f>
        <v>69300</v>
      </c>
      <c r="BH317" s="261">
        <f>IF(ISNUMBER(BH314),SUM(BH314:BH316),"")</f>
        <v>68854</v>
      </c>
      <c r="BI317" s="261">
        <f>IF(ISNUMBER(BI314),SUM(BI314:BI316),"")</f>
        <v>77709</v>
      </c>
      <c r="BJ317" s="261">
        <f>IF(ISNUMBER(BJ314),SUM(BJ314:BJ316),"")</f>
        <v>86295</v>
      </c>
      <c r="BK317" s="261">
        <f>IF(ISNUMBER(BK314),SUM(BK314:BK316),"")</f>
        <v>81814</v>
      </c>
      <c r="BL317" s="261">
        <f>IF(ISNUMBER(BL314),SUM(BL314:BL316),"")</f>
        <v>81814</v>
      </c>
      <c r="BM317" s="261">
        <f>IF(ISNUMBER(BM314),SUM(BM314:BM316),"")</f>
        <v>76997</v>
      </c>
      <c r="BN317" s="261">
        <f>IF(ISNUMBER(BN314),SUM(BN314:BN316),"")</f>
        <v>77913</v>
      </c>
      <c r="BO317" s="261">
        <f>IF(ISNUMBER(BO314),SUM(BO314:BO316),"")</f>
        <v>80803</v>
      </c>
      <c r="BP317" s="261">
        <f>IF(ISNUMBER(BP314),SUM(BP314:BP316),"")</f>
        <v>89122</v>
      </c>
      <c r="BQ317" s="261">
        <f>IF(ISNUMBER(BQ314),SUM(BQ314:BQ316),"")</f>
        <v>89122</v>
      </c>
      <c r="BR317" s="261">
        <f>IF(ISNUMBER(BR314),SUM(BR314:BR316),"")</f>
        <v>91654</v>
      </c>
      <c r="BS317" s="261">
        <f>IF(ISNUMBER(BS314),SUM(BS314:BS316),"")</f>
        <v>87310</v>
      </c>
      <c r="BT317" s="261">
        <f>IF(ISNUMBER(BT314),SUM(BT314:BT316),"")</f>
        <v>99550</v>
      </c>
      <c r="BU317" s="261">
        <f>IF(ISNUMBER(BU314),SUM(BU314:BU316),"")</f>
        <v>102745</v>
      </c>
      <c r="BV317" s="261">
        <f>IF(ISNUMBER(BV314),SUM(BV314:BV316),"")</f>
        <v>102745</v>
      </c>
      <c r="BW317" s="261">
        <f>IF(ISNUMBER(BW314),SUM(BW314:BW316),"")</f>
        <v>111188</v>
      </c>
      <c r="BX317" s="261">
        <f>IF(ISNUMBER(BX314),SUM(BX314:BX316),"")</f>
        <v>126111</v>
      </c>
      <c r="BY317" s="32" t="n"/>
      <c r="BZ317" s="32" t="n"/>
      <c r="CA317" s="262">
        <f>IF(ISNUMBER(CA314),SUM(CA314:CA316),"")</f>
        <v>134620.552298555</v>
      </c>
      <c r="CB317" s="262">
        <f>IF(ISNUMBER(CB314),SUM(CB314:CB316),"")</f>
        <v>161350.502240573</v>
      </c>
      <c r="CC317" s="262">
        <f>IF(ISNUMBER(CC314),SUM(CC314:CC316),"")</f>
        <v>181775.69216312</v>
      </c>
      <c r="CD317" s="262">
        <f>IF(ISNUMBER(CD314),SUM(CD314:CD316),"")</f>
        <v>206462.100261208</v>
      </c>
      <c r="CE317" s="262">
        <f>IF(ISNUMBER(CE314),SUM(CE314:CE316),"")</f>
        <v>226626.922801565</v>
      </c>
      <c r="CF317" s="153" t="n"/>
    </row>
    <row r="318" ht="15" customHeight="1" s="251">
      <c r="B318" s="25" t="inlineStr">
        <is>
          <t xml:space="preserve">  Long-term debt</t>
        </is>
      </c>
      <c r="C318" s="253" t="n">
        <v>0</v>
      </c>
      <c r="D318" s="253" t="n">
        <v>0</v>
      </c>
      <c r="E318" s="253" t="n">
        <v>0</v>
      </c>
      <c r="F318" s="253" t="n">
        <v>0</v>
      </c>
      <c r="G318" s="253" t="n">
        <v>0</v>
      </c>
      <c r="H318" s="253" t="n">
        <v>2986</v>
      </c>
      <c r="I318" s="253" t="n">
        <v>2988</v>
      </c>
      <c r="J318" s="253" t="n">
        <v>2989</v>
      </c>
      <c r="K318" s="253" t="n">
        <v>1989</v>
      </c>
      <c r="L318" s="253" t="n">
        <v>1990</v>
      </c>
      <c r="M318" s="253" t="n">
        <v>1990</v>
      </c>
      <c r="N318" s="253" t="n">
        <v>1990</v>
      </c>
      <c r="O318" s="253" t="n">
        <v>2991</v>
      </c>
      <c r="P318" s="253" t="n">
        <v>2991</v>
      </c>
      <c r="Q318" s="253" t="n">
        <v>2992</v>
      </c>
      <c r="R318" s="253" t="n">
        <v>2992</v>
      </c>
      <c r="S318" s="253" t="n">
        <v>2992</v>
      </c>
      <c r="T318" s="253" t="n">
        <v>2993</v>
      </c>
      <c r="U318" s="253" t="n">
        <v>1994</v>
      </c>
      <c r="V318" s="253" t="n">
        <v>1994</v>
      </c>
      <c r="W318" s="253" t="n">
        <v>1995</v>
      </c>
      <c r="X318" s="253" t="n">
        <v>1995</v>
      </c>
      <c r="Y318" s="253" t="n">
        <v>1987</v>
      </c>
      <c r="Z318" s="253" t="n">
        <v>1984</v>
      </c>
      <c r="AA318" s="253" t="n">
        <v>3938</v>
      </c>
      <c r="AB318" s="253" t="n">
        <v>3935</v>
      </c>
      <c r="AC318" s="253" t="n">
        <v>3935</v>
      </c>
      <c r="AD318" s="253" t="n">
        <v>3937</v>
      </c>
      <c r="AE318" s="253" t="n">
        <v>3939</v>
      </c>
      <c r="AF318" s="253" t="n">
        <v>3941</v>
      </c>
      <c r="AG318" s="253" t="n">
        <v>3943</v>
      </c>
      <c r="AH318" s="253" t="n">
        <v>3943</v>
      </c>
      <c r="AI318" s="253" t="n">
        <v>3944</v>
      </c>
      <c r="AJ318" s="253" t="n">
        <v>3947</v>
      </c>
      <c r="AK318" s="253" t="n">
        <v>3948</v>
      </c>
      <c r="AL318" s="253" t="n">
        <v>3950</v>
      </c>
      <c r="AM318" s="253" t="n">
        <v>3950</v>
      </c>
      <c r="AN318" s="253" t="n">
        <v>3952</v>
      </c>
      <c r="AO318" s="253" t="n">
        <v>3954</v>
      </c>
      <c r="AP318" s="253" t="n">
        <v>3956</v>
      </c>
      <c r="AQ318" s="253" t="n">
        <v>3958</v>
      </c>
      <c r="AR318" s="253" t="n">
        <v>3958</v>
      </c>
      <c r="AS318" s="253" t="n">
        <v>3960</v>
      </c>
      <c r="AT318" s="253" t="n">
        <v>2963</v>
      </c>
      <c r="AU318" s="253" t="n">
        <v>13902</v>
      </c>
      <c r="AV318" s="253" t="n">
        <v>13932</v>
      </c>
      <c r="AW318" s="253" t="n">
        <v>13932</v>
      </c>
      <c r="AX318" s="253" t="n">
        <v>13887</v>
      </c>
      <c r="AY318" s="253" t="n">
        <v>14328</v>
      </c>
      <c r="AZ318" s="253" t="n">
        <v>14288</v>
      </c>
      <c r="BA318" s="253" t="n">
        <v>14817</v>
      </c>
      <c r="BB318" s="253" t="n">
        <v>14817</v>
      </c>
      <c r="BC318" s="253" t="n">
        <v>14791</v>
      </c>
      <c r="BD318" s="253" t="n">
        <v>14734</v>
      </c>
      <c r="BE318" s="253" t="n">
        <v>14653</v>
      </c>
      <c r="BF318" s="253" t="n">
        <v>14701</v>
      </c>
      <c r="BG318" s="253" t="n">
        <v>14701</v>
      </c>
      <c r="BH318" s="253" t="n">
        <v>13697</v>
      </c>
      <c r="BI318" s="253" t="n">
        <v>13705</v>
      </c>
      <c r="BJ318" s="253" t="n">
        <v>13781</v>
      </c>
      <c r="BK318" s="253" t="n">
        <v>13253</v>
      </c>
      <c r="BL318" s="253" t="n">
        <v>13253</v>
      </c>
      <c r="BM318" s="253" t="n">
        <v>13228</v>
      </c>
      <c r="BN318" s="253" t="n">
        <v>13238</v>
      </c>
      <c r="BO318" s="253" t="n">
        <v>12297</v>
      </c>
      <c r="BP318" s="253" t="n">
        <v>10883</v>
      </c>
      <c r="BQ318" s="253" t="n">
        <v>10883</v>
      </c>
      <c r="BR318" s="253" t="n">
        <v>10886</v>
      </c>
      <c r="BS318" s="253" t="n">
        <v>23607</v>
      </c>
      <c r="BT318" s="253" t="n">
        <v>21607</v>
      </c>
      <c r="BU318" s="253" t="n">
        <v>46547</v>
      </c>
      <c r="BV318" s="253" t="n">
        <v>46547</v>
      </c>
      <c r="BW318" s="253" t="n">
        <v>77501</v>
      </c>
      <c r="BX318" s="253" t="n">
        <v>98165</v>
      </c>
      <c r="BY318" s="35" t="n"/>
      <c r="BZ318" s="35" t="n"/>
      <c r="CA318" s="254">
        <f>CA355-CA315</f>
        <v>97164</v>
      </c>
      <c r="CB318" s="254">
        <f>CB355-CB315</f>
        <v>95488</v>
      </c>
      <c r="CC318" s="254">
        <f>CC355-CC315</f>
        <v>96400</v>
      </c>
      <c r="CD318" s="254">
        <f>CD355-CD315</f>
        <v>92664</v>
      </c>
      <c r="CE318" s="254">
        <f>CE355-CE315</f>
        <v>93164</v>
      </c>
      <c r="CF318" s="19" t="n"/>
    </row>
    <row r="319" ht="15" customHeight="1" s="251">
      <c r="B319" s="25" t="inlineStr">
        <is>
          <t xml:space="preserve">  Other long-term liabilities (income taxes payable, deferred taxes, operating-lease liabilities, other; derived)</t>
        </is>
      </c>
      <c r="C319" s="253" t="n">
        <v>128.924</v>
      </c>
      <c r="D319" s="253" t="n">
        <v>610.525</v>
      </c>
      <c r="E319" s="253" t="n">
        <v>1226.623</v>
      </c>
      <c r="F319" s="253" t="n">
        <v>1745.087</v>
      </c>
      <c r="G319" s="253" t="n">
        <v>1614</v>
      </c>
      <c r="H319" s="253" t="n">
        <v>2530</v>
      </c>
      <c r="I319" s="253" t="n">
        <v>4758</v>
      </c>
      <c r="J319" s="253" t="n">
        <v>4978</v>
      </c>
      <c r="K319" s="253" t="n">
        <v>5012</v>
      </c>
      <c r="L319" s="253" t="n">
        <v>5614</v>
      </c>
      <c r="M319" s="253" t="n">
        <v>5713</v>
      </c>
      <c r="N319" s="253" t="n">
        <v>5713</v>
      </c>
      <c r="O319" s="253" t="n">
        <v>5554</v>
      </c>
      <c r="P319" s="253" t="n">
        <v>5771</v>
      </c>
      <c r="Q319" s="253" t="n">
        <v>6054</v>
      </c>
      <c r="R319" s="253" t="n">
        <v>6836</v>
      </c>
      <c r="S319" s="253" t="n">
        <v>6836</v>
      </c>
      <c r="T319" s="253" t="n">
        <v>7623</v>
      </c>
      <c r="U319" s="253" t="n">
        <v>7668</v>
      </c>
      <c r="V319" s="253" t="n">
        <v>7589</v>
      </c>
      <c r="W319" s="253" t="n">
        <v>5825</v>
      </c>
      <c r="X319" s="253" t="n">
        <v>5825</v>
      </c>
      <c r="Y319" s="253" t="n">
        <v>6507</v>
      </c>
      <c r="Z319" s="253" t="n">
        <v>7088</v>
      </c>
      <c r="AA319" s="253" t="n">
        <v>7584</v>
      </c>
      <c r="AB319" s="253" t="n">
        <v>7770</v>
      </c>
      <c r="AC319" s="253" t="n">
        <v>7770</v>
      </c>
      <c r="AD319" s="253" t="n">
        <v>8614</v>
      </c>
      <c r="AE319" s="253" t="n">
        <v>7711</v>
      </c>
      <c r="AF319" s="253" t="n">
        <v>7802</v>
      </c>
      <c r="AG319" s="253" t="n">
        <v>16667</v>
      </c>
      <c r="AH319" s="253" t="n">
        <v>16667</v>
      </c>
      <c r="AI319" s="253" t="n">
        <v>16772</v>
      </c>
      <c r="AJ319" s="253" t="n">
        <v>15760</v>
      </c>
      <c r="AK319" s="253" t="n">
        <v>16449</v>
      </c>
      <c r="AL319" s="253" t="n">
        <v>16594</v>
      </c>
      <c r="AM319" s="253" t="n">
        <v>16594</v>
      </c>
      <c r="AN319" s="253" t="n">
        <v>23015</v>
      </c>
      <c r="AO319" s="253" t="n">
        <v>23955</v>
      </c>
      <c r="AP319" s="253" t="n">
        <v>24895</v>
      </c>
      <c r="AQ319" s="253" t="n">
        <v>25288</v>
      </c>
      <c r="AR319" s="253" t="n">
        <v>25288</v>
      </c>
      <c r="AS319" s="253" t="n">
        <v>25595</v>
      </c>
      <c r="AT319" s="253" t="n">
        <v>24549</v>
      </c>
      <c r="AU319" s="253" t="n">
        <v>24221</v>
      </c>
      <c r="AV319" s="253" t="n">
        <v>26306</v>
      </c>
      <c r="AW319" s="253" t="n">
        <v>26306</v>
      </c>
      <c r="AX319" s="253" t="n">
        <v>27742</v>
      </c>
      <c r="AY319" s="253" t="n">
        <v>27753</v>
      </c>
      <c r="AZ319" s="253" t="n">
        <v>26766</v>
      </c>
      <c r="BA319" s="253" t="n">
        <v>28562</v>
      </c>
      <c r="BB319" s="253" t="n">
        <v>28562</v>
      </c>
      <c r="BC319" s="253" t="n">
        <v>26353</v>
      </c>
      <c r="BD319" s="253" t="n">
        <v>23678</v>
      </c>
      <c r="BE319" s="253" t="n">
        <v>23997</v>
      </c>
      <c r="BF319" s="253" t="n">
        <v>25119</v>
      </c>
      <c r="BG319" s="253" t="n">
        <v>25119</v>
      </c>
      <c r="BH319" s="253" t="n">
        <v>26046</v>
      </c>
      <c r="BI319" s="253" t="n">
        <v>24489</v>
      </c>
      <c r="BJ319" s="253" t="n">
        <v>23433</v>
      </c>
      <c r="BK319" s="253" t="n">
        <v>23946</v>
      </c>
      <c r="BL319" s="253" t="n">
        <v>23946</v>
      </c>
      <c r="BM319" s="253" t="n">
        <v>24281</v>
      </c>
      <c r="BN319" s="253" t="n">
        <v>22866</v>
      </c>
      <c r="BO319" s="253" t="n">
        <v>23047</v>
      </c>
      <c r="BP319" s="253" t="n">
        <v>25167</v>
      </c>
      <c r="BQ319" s="253" t="n">
        <v>25167</v>
      </c>
      <c r="BR319" s="253" t="n">
        <v>27567</v>
      </c>
      <c r="BS319" s="253" t="n">
        <v>28220</v>
      </c>
      <c r="BT319" s="253" t="n">
        <v>28445</v>
      </c>
      <c r="BU319" s="253" t="n">
        <v>30724</v>
      </c>
      <c r="BV319" s="253" t="n">
        <v>30724</v>
      </c>
      <c r="BW319" s="253" t="n">
        <v>36484</v>
      </c>
      <c r="BX319" s="253" t="n">
        <v>57227</v>
      </c>
      <c r="BY319" s="35" t="n"/>
      <c r="BZ319" s="35" t="n"/>
      <c r="CA319" s="254">
        <f>BX319+(CA250-SUM(BW250:BX250))</f>
        <v>57227</v>
      </c>
      <c r="CB319" s="254">
        <f>CA319+CB250</f>
        <v>57227</v>
      </c>
      <c r="CC319" s="254">
        <f>CB319+CC250</f>
        <v>57227</v>
      </c>
      <c r="CD319" s="254">
        <f>CC319+CD250</f>
        <v>57227</v>
      </c>
      <c r="CE319" s="254">
        <f>CD319+CE250</f>
        <v>57227</v>
      </c>
      <c r="CF319" s="19" t="n"/>
    </row>
    <row r="320" ht="15" customHeight="1" s="251">
      <c r="B320" s="16" t="inlineStr">
        <is>
          <t>Total liabilities</t>
        </is>
      </c>
      <c r="C320" s="261">
        <f>IF(ISNUMBER(C314),C317+SUM(C318:C319),"")</f>
        <v>1433.511</v>
      </c>
      <c r="D320" s="261">
        <f>IF(ISNUMBER(D314),D317+SUM(D318:D319),"")</f>
        <v>2646.127</v>
      </c>
      <c r="E320" s="261">
        <f>IF(ISNUMBER(E314),E317+SUM(E318:E319),"")</f>
        <v>3528.713</v>
      </c>
      <c r="F320" s="261">
        <f>IF(ISNUMBER(F314),F317+SUM(F318:F319),"")</f>
        <v>4492.554</v>
      </c>
      <c r="G320" s="261">
        <f>IF(ISNUMBER(G314),G317+SUM(G318:G319),"")</f>
        <v>11610</v>
      </c>
      <c r="H320" s="261">
        <f>IF(ISNUMBER(H314),H317+SUM(H318:H319),"")</f>
        <v>14429</v>
      </c>
      <c r="I320" s="261">
        <f>IF(ISNUMBER(I314),I317+SUM(I318:I319),"")</f>
        <v>22083</v>
      </c>
      <c r="J320" s="261">
        <f>IF(ISNUMBER(J314),J317+SUM(J318:J319),"")</f>
        <v>21219</v>
      </c>
      <c r="K320" s="261">
        <f>IF(ISNUMBER(K314),K317+SUM(K318:K319),"")</f>
        <v>22330</v>
      </c>
      <c r="L320" s="261">
        <f>IF(ISNUMBER(L314),L317+SUM(L318:L319),"")</f>
        <v>22079</v>
      </c>
      <c r="M320" s="261">
        <f>IF(ISNUMBER(M314),M317+SUM(M318:M319),"")</f>
        <v>23611</v>
      </c>
      <c r="N320" s="261">
        <f>IF(ISNUMBER(N314),N317+SUM(N318:N319),"")</f>
        <v>23611</v>
      </c>
      <c r="O320" s="261">
        <f>IF(ISNUMBER(O314),O317+SUM(O318:O319),"")</f>
        <v>24815</v>
      </c>
      <c r="P320" s="261">
        <f>IF(ISNUMBER(P314),P317+SUM(P318:P319),"")</f>
        <v>25859</v>
      </c>
      <c r="Q320" s="261">
        <f>IF(ISNUMBER(Q314),Q317+SUM(Q318:Q319),"")</f>
        <v>26966</v>
      </c>
      <c r="R320" s="261">
        <f>IF(ISNUMBER(R314),R317+SUM(R318:R319),"")</f>
        <v>26633</v>
      </c>
      <c r="S320" s="261">
        <f>IF(ISNUMBER(S314),S317+SUM(S318:S319),"")</f>
        <v>26633</v>
      </c>
      <c r="T320" s="261">
        <f>IF(ISNUMBER(T314),T317+SUM(T318:T319),"")</f>
        <v>24952</v>
      </c>
      <c r="U320" s="261">
        <f>IF(ISNUMBER(U314),U317+SUM(U318:U319),"")</f>
        <v>27024</v>
      </c>
      <c r="V320" s="261">
        <f>IF(ISNUMBER(V314),V317+SUM(V318:V319),"")</f>
        <v>28040</v>
      </c>
      <c r="W320" s="261">
        <f>IF(ISNUMBER(W314),W317+SUM(W318:W319),"")</f>
        <v>27130</v>
      </c>
      <c r="X320" s="261">
        <f>IF(ISNUMBER(X314),X317+SUM(X318:X319),"")</f>
        <v>27130</v>
      </c>
      <c r="Y320" s="261">
        <f>IF(ISNUMBER(Y314),Y317+SUM(Y318:Y319),"")</f>
        <v>26178</v>
      </c>
      <c r="Z320" s="261">
        <f>IF(ISNUMBER(Z314),Z317+SUM(Z318:Z319),"")</f>
        <v>26413</v>
      </c>
      <c r="AA320" s="261">
        <f>IF(ISNUMBER(AA314),AA317+SUM(AA318:AA319),"")</f>
        <v>25845</v>
      </c>
      <c r="AB320" s="261">
        <f>IF(ISNUMBER(AB314),AB317+SUM(AB318:AB319),"")</f>
        <v>28461</v>
      </c>
      <c r="AC320" s="261">
        <f>IF(ISNUMBER(AC314),AC317+SUM(AC318:AC319),"")</f>
        <v>28461</v>
      </c>
      <c r="AD320" s="261">
        <f>IF(ISNUMBER(AD314),AD317+SUM(AD318:AD319),"")</f>
        <v>27807</v>
      </c>
      <c r="AE320" s="261">
        <f>IF(ISNUMBER(AE314),AE317+SUM(AE318:AE319),"")</f>
        <v>30335</v>
      </c>
      <c r="AF320" s="261">
        <f>IF(ISNUMBER(AF314),AF317+SUM(AF318:AF319),"")</f>
        <v>32436</v>
      </c>
      <c r="AG320" s="261">
        <f>IF(ISNUMBER(AG314),AG317+SUM(AG318:AG319),"")</f>
        <v>44793</v>
      </c>
      <c r="AH320" s="261">
        <f>IF(ISNUMBER(AH314),AH317+SUM(AH318:AH319),"")</f>
        <v>44793</v>
      </c>
      <c r="AI320" s="261">
        <f>IF(ISNUMBER(AI314),AI317+SUM(AI318:AI319),"")</f>
        <v>46110</v>
      </c>
      <c r="AJ320" s="261">
        <f>IF(ISNUMBER(AJ314),AJ317+SUM(AJ318:AJ319),"")</f>
        <v>49610</v>
      </c>
      <c r="AK320" s="261">
        <f>IF(ISNUMBER(AK314),AK317+SUM(AK318:AK319),"")</f>
        <v>51698</v>
      </c>
      <c r="AL320" s="261">
        <f>IF(ISNUMBER(AL314),AL317+SUM(AL318:AL319),"")</f>
        <v>55164</v>
      </c>
      <c r="AM320" s="261">
        <f>IF(ISNUMBER(AM314),AM317+SUM(AM318:AM319),"")</f>
        <v>55164</v>
      </c>
      <c r="AN320" s="261">
        <f>IF(ISNUMBER(AN314),AN317+SUM(AN318:AN319),"")</f>
        <v>61877</v>
      </c>
      <c r="AO320" s="261">
        <f>IF(ISNUMBER(AO314),AO317+SUM(AO318:AO319),"")</f>
        <v>64909</v>
      </c>
      <c r="AP320" s="261">
        <f>IF(ISNUMBER(AP314),AP317+SUM(AP318:AP319),"")</f>
        <v>68075</v>
      </c>
      <c r="AQ320" s="261">
        <f>IF(ISNUMBER(AQ314),AQ317+SUM(AQ318:AQ319),"")</f>
        <v>74467</v>
      </c>
      <c r="AR320" s="261">
        <f>IF(ISNUMBER(AR314),AR317+SUM(AR318:AR319),"")</f>
        <v>74467</v>
      </c>
      <c r="AS320" s="261">
        <f>IF(ISNUMBER(AS314),AS317+SUM(AS318:AS319),"")</f>
        <v>69744</v>
      </c>
      <c r="AT320" s="261">
        <f>IF(ISNUMBER(AT314),AT317+SUM(AT318:AT319),"")</f>
        <v>71170</v>
      </c>
      <c r="AU320" s="261">
        <f>IF(ISNUMBER(AU314),AU317+SUM(AU318:AU319),"")</f>
        <v>86323</v>
      </c>
      <c r="AV320" s="261">
        <f>IF(ISNUMBER(AV314),AV317+SUM(AV318:AV319),"")</f>
        <v>97072</v>
      </c>
      <c r="AW320" s="261">
        <f>IF(ISNUMBER(AW314),AW317+SUM(AW318:AW319),"")</f>
        <v>97072</v>
      </c>
      <c r="AX320" s="261">
        <f>IF(ISNUMBER(AX314),AX317+SUM(AX318:AX319),"")</f>
        <v>97082</v>
      </c>
      <c r="AY320" s="261">
        <f>IF(ISNUMBER(AY314),AY317+SUM(AY318:AY319),"")</f>
        <v>97822</v>
      </c>
      <c r="AZ320" s="261">
        <f>IF(ISNUMBER(AZ314),AZ317+SUM(AZ318:AZ319),"")</f>
        <v>102836</v>
      </c>
      <c r="BA320" s="261">
        <f>IF(ISNUMBER(BA314),BA317+SUM(BA318:BA319),"")</f>
        <v>107633</v>
      </c>
      <c r="BB320" s="261">
        <f>IF(ISNUMBER(BB314),BB317+SUM(BB318:BB319),"")</f>
        <v>107633</v>
      </c>
      <c r="BC320" s="261">
        <f>IF(ISNUMBER(BC314),BC317+SUM(BC318:BC319),"")</f>
        <v>103092</v>
      </c>
      <c r="BD320" s="261">
        <f>IF(ISNUMBER(BD314),BD317+SUM(BD318:BD319),"")</f>
        <v>99766</v>
      </c>
      <c r="BE320" s="261">
        <f>IF(ISNUMBER(BE314),BE317+SUM(BE318:BE319),"")</f>
        <v>104629</v>
      </c>
      <c r="BF320" s="261">
        <f>IF(ISNUMBER(BF314),BF317+SUM(BF318:BF319),"")</f>
        <v>109120</v>
      </c>
      <c r="BG320" s="261">
        <f>IF(ISNUMBER(BG314),BG317+SUM(BG318:BG319),"")</f>
        <v>109120</v>
      </c>
      <c r="BH320" s="261">
        <f>IF(ISNUMBER(BH314),BH317+SUM(BH318:BH319),"")</f>
        <v>108597</v>
      </c>
      <c r="BI320" s="261">
        <f>IF(ISNUMBER(BI314),BI317+SUM(BI318:BI319),"")</f>
        <v>115903</v>
      </c>
      <c r="BJ320" s="261">
        <f>IF(ISNUMBER(BJ314),BJ317+SUM(BJ318:BJ319),"")</f>
        <v>123509</v>
      </c>
      <c r="BK320" s="261">
        <f>IF(ISNUMBER(BK314),BK317+SUM(BK318:BK319),"")</f>
        <v>119013</v>
      </c>
      <c r="BL320" s="261">
        <f>IF(ISNUMBER(BL314),BL317+SUM(BL318:BL319),"")</f>
        <v>119013</v>
      </c>
      <c r="BM320" s="261">
        <f>IF(ISNUMBER(BM314),BM317+SUM(BM318:BM319),"")</f>
        <v>114506</v>
      </c>
      <c r="BN320" s="261">
        <f>IF(ISNUMBER(BN314),BN317+SUM(BN318:BN319),"")</f>
        <v>114017</v>
      </c>
      <c r="BO320" s="261">
        <f>IF(ISNUMBER(BO314),BO317+SUM(BO318:BO319),"")</f>
        <v>116147</v>
      </c>
      <c r="BP320" s="261">
        <f>IF(ISNUMBER(BP314),BP317+SUM(BP318:BP319),"")</f>
        <v>125172</v>
      </c>
      <c r="BQ320" s="261">
        <f>IF(ISNUMBER(BQ314),BQ317+SUM(BQ318:BQ319),"")</f>
        <v>125172</v>
      </c>
      <c r="BR320" s="261">
        <f>IF(ISNUMBER(BR314),BR317+SUM(BR318:BR319),"")</f>
        <v>130107</v>
      </c>
      <c r="BS320" s="261">
        <f>IF(ISNUMBER(BS314),BS317+SUM(BS318:BS319),"")</f>
        <v>139137</v>
      </c>
      <c r="BT320" s="261">
        <f>IF(ISNUMBER(BT314),BT317+SUM(BT318:BT319),"")</f>
        <v>149602</v>
      </c>
      <c r="BU320" s="261">
        <f>IF(ISNUMBER(BU314),BU317+SUM(BU318:BU319),"")</f>
        <v>180016</v>
      </c>
      <c r="BV320" s="261">
        <f>IF(ISNUMBER(BV314),BV317+SUM(BV318:BV319),"")</f>
        <v>180016</v>
      </c>
      <c r="BW320" s="261">
        <f>IF(ISNUMBER(BW314),BW317+SUM(BW318:BW319),"")</f>
        <v>225173</v>
      </c>
      <c r="BX320" s="261">
        <f>IF(ISNUMBER(BX314),BX317+SUM(BX318:BX319),"")</f>
        <v>281503</v>
      </c>
      <c r="BY320" s="32" t="n"/>
      <c r="BZ320" s="32" t="n"/>
      <c r="CA320" s="262">
        <f>IF(ISNUMBER(CA314),CA317+SUM(CA318:CA319),"")</f>
        <v>289011.552298555</v>
      </c>
      <c r="CB320" s="262">
        <f>IF(ISNUMBER(CB314),CB317+SUM(CB318:CB319),"")</f>
        <v>314065.502240573</v>
      </c>
      <c r="CC320" s="262">
        <f>IF(ISNUMBER(CC314),CC317+SUM(CC318:CC319),"")</f>
        <v>335402.69216312</v>
      </c>
      <c r="CD320" s="262">
        <f>IF(ISNUMBER(CD314),CD317+SUM(CD318:CD319),"")</f>
        <v>356353.100261208</v>
      </c>
      <c r="CE320" s="262">
        <f>IF(ISNUMBER(CE314),CE317+SUM(CE318:CE319),"")</f>
        <v>377017.922801566</v>
      </c>
      <c r="CF320" s="153" t="n"/>
    </row>
    <row r="321" ht="15" customHeight="1" s="251">
      <c r="B321" s="25" t="inlineStr">
        <is>
          <t xml:space="preserve">  Series A / B mandatory convertible preferred stock &amp; APIC (net of the capped-call premium)</t>
        </is>
      </c>
      <c r="C321" s="253" t="n">
        <v>0</v>
      </c>
      <c r="D321" s="253" t="n">
        <v>0</v>
      </c>
      <c r="E321" s="253" t="n">
        <v>0</v>
      </c>
      <c r="F321" s="253" t="n">
        <v>0</v>
      </c>
      <c r="G321" s="253" t="n">
        <v>0</v>
      </c>
      <c r="H321" s="253" t="n">
        <v>0</v>
      </c>
      <c r="I321" s="253" t="n">
        <v>0</v>
      </c>
      <c r="J321" s="253" t="n">
        <v>0</v>
      </c>
      <c r="K321" s="253" t="n">
        <v>0</v>
      </c>
      <c r="L321" s="253" t="n">
        <v>0</v>
      </c>
      <c r="M321" s="253" t="n">
        <v>0</v>
      </c>
      <c r="N321" s="253" t="n">
        <v>0</v>
      </c>
      <c r="O321" s="253" t="n">
        <v>0</v>
      </c>
      <c r="P321" s="253" t="n">
        <v>0</v>
      </c>
      <c r="Q321" s="253" t="n">
        <v>0</v>
      </c>
      <c r="R321" s="253" t="n">
        <v>0</v>
      </c>
      <c r="S321" s="253" t="n">
        <v>0</v>
      </c>
      <c r="T321" s="253" t="n">
        <v>0</v>
      </c>
      <c r="U321" s="253" t="n">
        <v>0</v>
      </c>
      <c r="V321" s="253" t="n">
        <v>0</v>
      </c>
      <c r="W321" s="253" t="n">
        <v>0</v>
      </c>
      <c r="X321" s="253" t="n">
        <v>0</v>
      </c>
      <c r="Y321" s="253" t="n">
        <v>0</v>
      </c>
      <c r="Z321" s="253" t="n">
        <v>0</v>
      </c>
      <c r="AA321" s="253" t="n">
        <v>0</v>
      </c>
      <c r="AB321" s="253" t="n">
        <v>0</v>
      </c>
      <c r="AC321" s="253" t="n">
        <v>0</v>
      </c>
      <c r="AD321" s="253" t="n">
        <v>0</v>
      </c>
      <c r="AE321" s="253" t="n">
        <v>0</v>
      </c>
      <c r="AF321" s="253" t="n">
        <v>0</v>
      </c>
      <c r="AG321" s="253" t="n">
        <v>0</v>
      </c>
      <c r="AH321" s="253" t="n">
        <v>0</v>
      </c>
      <c r="AI321" s="253" t="n">
        <v>0</v>
      </c>
      <c r="AJ321" s="253" t="n">
        <v>0</v>
      </c>
      <c r="AK321" s="253" t="n">
        <v>0</v>
      </c>
      <c r="AL321" s="253" t="n">
        <v>0</v>
      </c>
      <c r="AM321" s="253" t="n">
        <v>0</v>
      </c>
      <c r="AN321" s="253" t="n">
        <v>0</v>
      </c>
      <c r="AO321" s="253" t="n">
        <v>0</v>
      </c>
      <c r="AP321" s="253" t="n">
        <v>0</v>
      </c>
      <c r="AQ321" s="253" t="n">
        <v>0</v>
      </c>
      <c r="AR321" s="253" t="n">
        <v>0</v>
      </c>
      <c r="AS321" s="253" t="n">
        <v>0</v>
      </c>
      <c r="AT321" s="253" t="n">
        <v>0</v>
      </c>
      <c r="AU321" s="253" t="n">
        <v>0</v>
      </c>
      <c r="AV321" s="253" t="n">
        <v>0</v>
      </c>
      <c r="AW321" s="253" t="n">
        <v>0</v>
      </c>
      <c r="AX321" s="253" t="n">
        <v>0</v>
      </c>
      <c r="AY321" s="253" t="n">
        <v>0</v>
      </c>
      <c r="AZ321" s="253" t="n">
        <v>0</v>
      </c>
      <c r="BA321" s="253" t="n">
        <v>0</v>
      </c>
      <c r="BB321" s="253" t="n">
        <v>0</v>
      </c>
      <c r="BC321" s="253" t="n">
        <v>0</v>
      </c>
      <c r="BD321" s="253" t="n">
        <v>0</v>
      </c>
      <c r="BE321" s="253" t="n">
        <v>0</v>
      </c>
      <c r="BF321" s="253" t="n">
        <v>0</v>
      </c>
      <c r="BG321" s="253" t="n">
        <v>0</v>
      </c>
      <c r="BH321" s="253" t="n">
        <v>0</v>
      </c>
      <c r="BI321" s="253" t="n">
        <v>0</v>
      </c>
      <c r="BJ321" s="253" t="n">
        <v>0</v>
      </c>
      <c r="BK321" s="253" t="n">
        <v>0</v>
      </c>
      <c r="BL321" s="253" t="n">
        <v>0</v>
      </c>
      <c r="BM321" s="253" t="n">
        <v>0</v>
      </c>
      <c r="BN321" s="253" t="n">
        <v>0</v>
      </c>
      <c r="BO321" s="253" t="n">
        <v>0</v>
      </c>
      <c r="BP321" s="253" t="n">
        <v>0</v>
      </c>
      <c r="BQ321" s="253" t="n">
        <v>0</v>
      </c>
      <c r="BR321" s="253" t="n">
        <v>0</v>
      </c>
      <c r="BS321" s="253" t="n">
        <v>0</v>
      </c>
      <c r="BT321" s="253" t="n">
        <v>0</v>
      </c>
      <c r="BU321" s="253" t="n">
        <v>0</v>
      </c>
      <c r="BV321" s="253" t="n">
        <v>0</v>
      </c>
      <c r="BW321" s="253" t="n">
        <v>0</v>
      </c>
      <c r="BX321" s="253" t="n">
        <v>18023</v>
      </c>
      <c r="BY321" s="35" t="n"/>
      <c r="BZ321" s="35" t="n"/>
      <c r="CA321" s="254">
        <f>BX321</f>
        <v>18023</v>
      </c>
      <c r="CB321" s="254">
        <f>IF(CB294&gt;0,CA321,0)</f>
        <v>18023</v>
      </c>
      <c r="CC321" s="254">
        <f>IF(CC294&gt;0,CB321,0)</f>
        <v>18023</v>
      </c>
      <c r="CD321" s="254">
        <f>IF(CD294&gt;0,CC321,0)</f>
        <v>0</v>
      </c>
      <c r="CE321" s="254">
        <f>IF(CE294&gt;0,CD321,0)</f>
        <v>0</v>
      </c>
      <c r="CF321" s="19" t="n"/>
    </row>
    <row r="322" ht="15" customHeight="1" s="251">
      <c r="B322" s="25" t="inlineStr">
        <is>
          <t xml:space="preserve">  Common stockholders' equity (Class A / B / C stock &amp; APIC, AOCI, retained earnings)</t>
        </is>
      </c>
      <c r="C322" s="253" t="n">
        <v>17039.84</v>
      </c>
      <c r="D322" s="253" t="n">
        <v>22689.679</v>
      </c>
      <c r="E322" s="253" t="n">
        <v>28238.862</v>
      </c>
      <c r="F322" s="253" t="n">
        <v>36004.224</v>
      </c>
      <c r="G322" s="253" t="n">
        <v>46241</v>
      </c>
      <c r="H322" s="253" t="n">
        <v>58145</v>
      </c>
      <c r="I322" s="253" t="n">
        <v>71715</v>
      </c>
      <c r="J322" s="253" t="n">
        <v>75473</v>
      </c>
      <c r="K322" s="253" t="n">
        <v>78852</v>
      </c>
      <c r="L322" s="253" t="n">
        <v>82989</v>
      </c>
      <c r="M322" s="253" t="n">
        <v>87309</v>
      </c>
      <c r="N322" s="253" t="n">
        <v>87309</v>
      </c>
      <c r="O322" s="253" t="n">
        <v>91711</v>
      </c>
      <c r="P322" s="253" t="n">
        <v>95749</v>
      </c>
      <c r="Q322" s="253" t="n">
        <v>98815</v>
      </c>
      <c r="R322" s="253" t="n">
        <v>104500</v>
      </c>
      <c r="S322" s="253" t="n">
        <v>104500</v>
      </c>
      <c r="T322" s="253" t="n">
        <v>108448</v>
      </c>
      <c r="U322" s="253" t="n">
        <v>111783</v>
      </c>
      <c r="V322" s="253" t="n">
        <v>116241</v>
      </c>
      <c r="W322" s="253" t="n">
        <v>120331</v>
      </c>
      <c r="X322" s="253" t="n">
        <v>120331</v>
      </c>
      <c r="Y322" s="253" t="n">
        <v>123569</v>
      </c>
      <c r="Z322" s="253" t="n">
        <v>127879</v>
      </c>
      <c r="AA322" s="253" t="n">
        <v>134103</v>
      </c>
      <c r="AB322" s="253" t="n">
        <v>139036</v>
      </c>
      <c r="AC322" s="253" t="n">
        <v>139036</v>
      </c>
      <c r="AD322" s="253" t="n">
        <v>144949</v>
      </c>
      <c r="AE322" s="253" t="n">
        <v>148286</v>
      </c>
      <c r="AF322" s="253" t="n">
        <v>157100</v>
      </c>
      <c r="AG322" s="253" t="n">
        <v>152502</v>
      </c>
      <c r="AH322" s="253" t="n">
        <v>152502</v>
      </c>
      <c r="AI322" s="253" t="n">
        <v>160825</v>
      </c>
      <c r="AJ322" s="253" t="n">
        <v>162000</v>
      </c>
      <c r="AK322" s="253" t="n">
        <v>169840</v>
      </c>
      <c r="AL322" s="253" t="n">
        <v>177628</v>
      </c>
      <c r="AM322" s="253" t="n">
        <v>177628</v>
      </c>
      <c r="AN322" s="253" t="n">
        <v>183472</v>
      </c>
      <c r="AO322" s="253" t="n">
        <v>192192</v>
      </c>
      <c r="AP322" s="253" t="n">
        <v>194969</v>
      </c>
      <c r="AQ322" s="253" t="n">
        <v>201442</v>
      </c>
      <c r="AR322" s="253" t="n">
        <v>201442</v>
      </c>
      <c r="AS322" s="253" t="n">
        <v>203659</v>
      </c>
      <c r="AT322" s="253" t="n">
        <v>207322</v>
      </c>
      <c r="AU322" s="253" t="n">
        <v>212920</v>
      </c>
      <c r="AV322" s="253" t="n">
        <v>222544</v>
      </c>
      <c r="AW322" s="253" t="n">
        <v>222544</v>
      </c>
      <c r="AX322" s="253" t="n">
        <v>230013</v>
      </c>
      <c r="AY322" s="253" t="n">
        <v>237565</v>
      </c>
      <c r="AZ322" s="253" t="n">
        <v>244567</v>
      </c>
      <c r="BA322" s="253" t="n">
        <v>251635</v>
      </c>
      <c r="BB322" s="253" t="n">
        <v>251635</v>
      </c>
      <c r="BC322" s="253" t="n">
        <v>254004</v>
      </c>
      <c r="BD322" s="253" t="n">
        <v>255419</v>
      </c>
      <c r="BE322" s="253" t="n">
        <v>253626</v>
      </c>
      <c r="BF322" s="253" t="n">
        <v>256144</v>
      </c>
      <c r="BG322" s="253" t="n">
        <v>256144</v>
      </c>
      <c r="BH322" s="253" t="n">
        <v>260894</v>
      </c>
      <c r="BI322" s="253" t="n">
        <v>267141</v>
      </c>
      <c r="BJ322" s="253" t="n">
        <v>273202</v>
      </c>
      <c r="BK322" s="253" t="n">
        <v>283379</v>
      </c>
      <c r="BL322" s="253" t="n">
        <v>283379</v>
      </c>
      <c r="BM322" s="253" t="n">
        <v>292844</v>
      </c>
      <c r="BN322" s="253" t="n">
        <v>300753</v>
      </c>
      <c r="BO322" s="253" t="n">
        <v>314119</v>
      </c>
      <c r="BP322" s="253" t="n">
        <v>325084</v>
      </c>
      <c r="BQ322" s="253" t="n">
        <v>325084</v>
      </c>
      <c r="BR322" s="253" t="n">
        <v>345267</v>
      </c>
      <c r="BS322" s="253" t="n">
        <v>362916</v>
      </c>
      <c r="BT322" s="253" t="n">
        <v>386867</v>
      </c>
      <c r="BU322" s="253" t="n">
        <v>415265</v>
      </c>
      <c r="BV322" s="253" t="n">
        <v>415265</v>
      </c>
      <c r="BW322" s="253" t="n">
        <v>478746</v>
      </c>
      <c r="BX322" s="253" t="n">
        <v>622457</v>
      </c>
      <c r="BY322" s="35" t="n"/>
      <c r="BZ322" s="35" t="n"/>
      <c r="CA322" s="254">
        <f>BX322+SUM(BY149:BZ149)+(CA260-SUM(BW260:BX260))+(CA259-SUM(BW259:BX259))+SUM(BY114:BZ114)+(CA261-SUM(BW261:BX261))+(CA262-SUM(BW262:BX262))</f>
        <v>700624.069721397</v>
      </c>
      <c r="CB322" s="254">
        <f>CA322+CB149+CB260+CB259+CB249+CB261+CB262+(CA321-CB321)</f>
        <v>838808.742056801</v>
      </c>
      <c r="CC322" s="254">
        <f>CB322+CC149+CC260+CC259+CC249+CC261+CC262+(CB321-CC321)</f>
        <v>1019287.86274978</v>
      </c>
      <c r="CD322" s="254">
        <f>CC322+CD149+CD260+CD259+CD249+CD261+CD262+(CC321-CD321)</f>
        <v>1237918.44022092</v>
      </c>
      <c r="CE322" s="254">
        <f>CD322+CE149+CE260+CE259+CE249+CE261+CE262+(CD321-CE321)</f>
        <v>1458919.52020465</v>
      </c>
      <c r="CF322" s="19" t="inlineStr">
        <is>
          <t>+ net income − dividends (common and preferred, as paid) − repurchases + stock-based compensation − tax withholding on awards + issuance + preferred converted (AOCI held flat).</t>
        </is>
      </c>
    </row>
    <row r="323" ht="15" customHeight="1" s="251">
      <c r="B323" s="16" t="inlineStr">
        <is>
          <t>Total stockholders' equity</t>
        </is>
      </c>
      <c r="C323" s="261">
        <f>IF(ISNUMBER(C322),C322+N(C321),"")</f>
        <v>17039.84</v>
      </c>
      <c r="D323" s="261">
        <f>IF(ISNUMBER(D322),D322+N(D321),"")</f>
        <v>22689.679</v>
      </c>
      <c r="E323" s="261">
        <f>IF(ISNUMBER(E322),E322+N(E321),"")</f>
        <v>28238.862</v>
      </c>
      <c r="F323" s="261">
        <f>IF(ISNUMBER(F322),F322+N(F321),"")</f>
        <v>36004.224</v>
      </c>
      <c r="G323" s="261">
        <f>IF(ISNUMBER(G322),G322+N(G321),"")</f>
        <v>46241</v>
      </c>
      <c r="H323" s="261">
        <f>IF(ISNUMBER(H322),H322+N(H321),"")</f>
        <v>58145</v>
      </c>
      <c r="I323" s="261">
        <f>IF(ISNUMBER(I322),I322+N(I321),"")</f>
        <v>71715</v>
      </c>
      <c r="J323" s="261">
        <f>IF(ISNUMBER(J322),J322+N(J321),"")</f>
        <v>75473</v>
      </c>
      <c r="K323" s="261">
        <f>IF(ISNUMBER(K322),K322+N(K321),"")</f>
        <v>78852</v>
      </c>
      <c r="L323" s="261">
        <f>IF(ISNUMBER(L322),L322+N(L321),"")</f>
        <v>82989</v>
      </c>
      <c r="M323" s="261">
        <f>IF(ISNUMBER(M322),M322+N(M321),"")</f>
        <v>87309</v>
      </c>
      <c r="N323" s="261">
        <f>IF(ISNUMBER(N322),N322+N(N321),"")</f>
        <v>87309</v>
      </c>
      <c r="O323" s="261">
        <f>IF(ISNUMBER(O322),O322+N(O321),"")</f>
        <v>91711</v>
      </c>
      <c r="P323" s="261">
        <f>IF(ISNUMBER(P322),P322+N(P321),"")</f>
        <v>95749</v>
      </c>
      <c r="Q323" s="261">
        <f>IF(ISNUMBER(Q322),Q322+N(Q321),"")</f>
        <v>98815</v>
      </c>
      <c r="R323" s="261">
        <f>IF(ISNUMBER(R322),R322+N(R321),"")</f>
        <v>104500</v>
      </c>
      <c r="S323" s="261">
        <f>IF(ISNUMBER(S322),S322+N(S321),"")</f>
        <v>104500</v>
      </c>
      <c r="T323" s="261">
        <f>IF(ISNUMBER(T322),T322+N(T321),"")</f>
        <v>108448</v>
      </c>
      <c r="U323" s="261">
        <f>IF(ISNUMBER(U322),U322+N(U321),"")</f>
        <v>111783</v>
      </c>
      <c r="V323" s="261">
        <f>IF(ISNUMBER(V322),V322+N(V321),"")</f>
        <v>116241</v>
      </c>
      <c r="W323" s="261">
        <f>IF(ISNUMBER(W322),W322+N(W321),"")</f>
        <v>120331</v>
      </c>
      <c r="X323" s="261">
        <f>IF(ISNUMBER(X322),X322+N(X321),"")</f>
        <v>120331</v>
      </c>
      <c r="Y323" s="261">
        <f>IF(ISNUMBER(Y322),Y322+N(Y321),"")</f>
        <v>123569</v>
      </c>
      <c r="Z323" s="261">
        <f>IF(ISNUMBER(Z322),Z322+N(Z321),"")</f>
        <v>127879</v>
      </c>
      <c r="AA323" s="261">
        <f>IF(ISNUMBER(AA322),AA322+N(AA321),"")</f>
        <v>134103</v>
      </c>
      <c r="AB323" s="261">
        <f>IF(ISNUMBER(AB322),AB322+N(AB321),"")</f>
        <v>139036</v>
      </c>
      <c r="AC323" s="261">
        <f>IF(ISNUMBER(AC322),AC322+N(AC321),"")</f>
        <v>139036</v>
      </c>
      <c r="AD323" s="261">
        <f>IF(ISNUMBER(AD322),AD322+N(AD321),"")</f>
        <v>144949</v>
      </c>
      <c r="AE323" s="261">
        <f>IF(ISNUMBER(AE322),AE322+N(AE321),"")</f>
        <v>148286</v>
      </c>
      <c r="AF323" s="261">
        <f>IF(ISNUMBER(AF322),AF322+N(AF321),"")</f>
        <v>157100</v>
      </c>
      <c r="AG323" s="261">
        <f>IF(ISNUMBER(AG322),AG322+N(AG321),"")</f>
        <v>152502</v>
      </c>
      <c r="AH323" s="261">
        <f>IF(ISNUMBER(AH322),AH322+N(AH321),"")</f>
        <v>152502</v>
      </c>
      <c r="AI323" s="261">
        <f>IF(ISNUMBER(AI322),AI322+N(AI321),"")</f>
        <v>160825</v>
      </c>
      <c r="AJ323" s="261">
        <f>IF(ISNUMBER(AJ322),AJ322+N(AJ321),"")</f>
        <v>162000</v>
      </c>
      <c r="AK323" s="261">
        <f>IF(ISNUMBER(AK322),AK322+N(AK321),"")</f>
        <v>169840</v>
      </c>
      <c r="AL323" s="261">
        <f>IF(ISNUMBER(AL322),AL322+N(AL321),"")</f>
        <v>177628</v>
      </c>
      <c r="AM323" s="261">
        <f>IF(ISNUMBER(AM322),AM322+N(AM321),"")</f>
        <v>177628</v>
      </c>
      <c r="AN323" s="261">
        <f>IF(ISNUMBER(AN322),AN322+N(AN321),"")</f>
        <v>183472</v>
      </c>
      <c r="AO323" s="261">
        <f>IF(ISNUMBER(AO322),AO322+N(AO321),"")</f>
        <v>192192</v>
      </c>
      <c r="AP323" s="261">
        <f>IF(ISNUMBER(AP322),AP322+N(AP321),"")</f>
        <v>194969</v>
      </c>
      <c r="AQ323" s="261">
        <f>IF(ISNUMBER(AQ322),AQ322+N(AQ321),"")</f>
        <v>201442</v>
      </c>
      <c r="AR323" s="261">
        <f>IF(ISNUMBER(AR322),AR322+N(AR321),"")</f>
        <v>201442</v>
      </c>
      <c r="AS323" s="261">
        <f>IF(ISNUMBER(AS322),AS322+N(AS321),"")</f>
        <v>203659</v>
      </c>
      <c r="AT323" s="261">
        <f>IF(ISNUMBER(AT322),AT322+N(AT321),"")</f>
        <v>207322</v>
      </c>
      <c r="AU323" s="261">
        <f>IF(ISNUMBER(AU322),AU322+N(AU321),"")</f>
        <v>212920</v>
      </c>
      <c r="AV323" s="261">
        <f>IF(ISNUMBER(AV322),AV322+N(AV321),"")</f>
        <v>222544</v>
      </c>
      <c r="AW323" s="261">
        <f>IF(ISNUMBER(AW322),AW322+N(AW321),"")</f>
        <v>222544</v>
      </c>
      <c r="AX323" s="261">
        <f>IF(ISNUMBER(AX322),AX322+N(AX321),"")</f>
        <v>230013</v>
      </c>
      <c r="AY323" s="261">
        <f>IF(ISNUMBER(AY322),AY322+N(AY321),"")</f>
        <v>237565</v>
      </c>
      <c r="AZ323" s="261">
        <f>IF(ISNUMBER(AZ322),AZ322+N(AZ321),"")</f>
        <v>244567</v>
      </c>
      <c r="BA323" s="261">
        <f>IF(ISNUMBER(BA322),BA322+N(BA321),"")</f>
        <v>251635</v>
      </c>
      <c r="BB323" s="261">
        <f>IF(ISNUMBER(BB322),BB322+N(BB321),"")</f>
        <v>251635</v>
      </c>
      <c r="BC323" s="261">
        <f>IF(ISNUMBER(BC322),BC322+N(BC321),"")</f>
        <v>254004</v>
      </c>
      <c r="BD323" s="261">
        <f>IF(ISNUMBER(BD322),BD322+N(BD321),"")</f>
        <v>255419</v>
      </c>
      <c r="BE323" s="261">
        <f>IF(ISNUMBER(BE322),BE322+N(BE321),"")</f>
        <v>253626</v>
      </c>
      <c r="BF323" s="261">
        <f>IF(ISNUMBER(BF322),BF322+N(BF321),"")</f>
        <v>256144</v>
      </c>
      <c r="BG323" s="261">
        <f>IF(ISNUMBER(BG322),BG322+N(BG321),"")</f>
        <v>256144</v>
      </c>
      <c r="BH323" s="261">
        <f>IF(ISNUMBER(BH322),BH322+N(BH321),"")</f>
        <v>260894</v>
      </c>
      <c r="BI323" s="261">
        <f>IF(ISNUMBER(BI322),BI322+N(BI321),"")</f>
        <v>267141</v>
      </c>
      <c r="BJ323" s="261">
        <f>IF(ISNUMBER(BJ322),BJ322+N(BJ321),"")</f>
        <v>273202</v>
      </c>
      <c r="BK323" s="261">
        <f>IF(ISNUMBER(BK322),BK322+N(BK321),"")</f>
        <v>283379</v>
      </c>
      <c r="BL323" s="261">
        <f>IF(ISNUMBER(BL322),BL322+N(BL321),"")</f>
        <v>283379</v>
      </c>
      <c r="BM323" s="261">
        <f>IF(ISNUMBER(BM322),BM322+N(BM321),"")</f>
        <v>292844</v>
      </c>
      <c r="BN323" s="261">
        <f>IF(ISNUMBER(BN322),BN322+N(BN321),"")</f>
        <v>300753</v>
      </c>
      <c r="BO323" s="261">
        <f>IF(ISNUMBER(BO322),BO322+N(BO321),"")</f>
        <v>314119</v>
      </c>
      <c r="BP323" s="261">
        <f>IF(ISNUMBER(BP322),BP322+N(BP321),"")</f>
        <v>325084</v>
      </c>
      <c r="BQ323" s="261">
        <f>IF(ISNUMBER(BQ322),BQ322+N(BQ321),"")</f>
        <v>325084</v>
      </c>
      <c r="BR323" s="261">
        <f>IF(ISNUMBER(BR322),BR322+N(BR321),"")</f>
        <v>345267</v>
      </c>
      <c r="BS323" s="261">
        <f>IF(ISNUMBER(BS322),BS322+N(BS321),"")</f>
        <v>362916</v>
      </c>
      <c r="BT323" s="261">
        <f>IF(ISNUMBER(BT322),BT322+N(BT321),"")</f>
        <v>386867</v>
      </c>
      <c r="BU323" s="261">
        <f>IF(ISNUMBER(BU322),BU322+N(BU321),"")</f>
        <v>415265</v>
      </c>
      <c r="BV323" s="261">
        <f>IF(ISNUMBER(BV322),BV322+N(BV321),"")</f>
        <v>415265</v>
      </c>
      <c r="BW323" s="261">
        <f>IF(ISNUMBER(BW322),BW322+N(BW321),"")</f>
        <v>478746</v>
      </c>
      <c r="BX323" s="261">
        <f>IF(ISNUMBER(BX322),BX322+N(BX321),"")</f>
        <v>640480</v>
      </c>
      <c r="BY323" s="32" t="n"/>
      <c r="BZ323" s="32" t="n"/>
      <c r="CA323" s="262">
        <f>IF(ISNUMBER(CA322),CA322+N(CA321),"")</f>
        <v>718647.069721397</v>
      </c>
      <c r="CB323" s="262">
        <f>IF(ISNUMBER(CB322),CB322+N(CB321),"")</f>
        <v>856831.742056801</v>
      </c>
      <c r="CC323" s="262">
        <f>IF(ISNUMBER(CC322),CC322+N(CC321),"")</f>
        <v>1037310.86274978</v>
      </c>
      <c r="CD323" s="262">
        <f>IF(ISNUMBER(CD322),CD322+N(CD321),"")</f>
        <v>1237918.44022092</v>
      </c>
      <c r="CE323" s="262">
        <f>IF(ISNUMBER(CE322),CE322+N(CE321),"")</f>
        <v>1458919.52020465</v>
      </c>
      <c r="CF323" s="153" t="n"/>
      <c r="CH323" s="20">
        <f>IFERROR((CE323/BV323)^(1/5)-1,"n/m")</f>
        <v>0.28570461049594</v>
      </c>
      <c r="CI323" s="20">
        <f>IFERROR((BV323/AW323)^(1/5)-1,"n/m")</f>
        <v>0.132874725579135</v>
      </c>
      <c r="CJ323" s="20">
        <f>IFERROR((BV323/X323)^(1/10)-1,"n/m")</f>
        <v>0.131865389879665</v>
      </c>
      <c r="CK323" s="20">
        <f>IFERROR((BV323/C323)^(1/19)-1,"n/m")</f>
        <v>0.183021457575872</v>
      </c>
    </row>
    <row r="324" ht="15" customHeight="1" s="251">
      <c r="B324" s="55" t="inlineStr">
        <is>
          <t>TOTAL LIABILITIES AND STOCKHOLDERS' EQUITY</t>
        </is>
      </c>
      <c r="C324" s="260">
        <f>IF(ISNUMBER(C320),C320+C323,"")</f>
        <v>18473.351</v>
      </c>
      <c r="D324" s="260">
        <f>IF(ISNUMBER(D320),D320+D323,"")</f>
        <v>25335.806</v>
      </c>
      <c r="E324" s="260">
        <f>IF(ISNUMBER(E320),E320+E323,"")</f>
        <v>31767.575</v>
      </c>
      <c r="F324" s="260">
        <f>IF(ISNUMBER(F320),F320+F323,"")</f>
        <v>40496.778</v>
      </c>
      <c r="G324" s="260">
        <f>IF(ISNUMBER(G320),G320+G323,"")</f>
        <v>57851</v>
      </c>
      <c r="H324" s="260">
        <f>IF(ISNUMBER(H320),H320+H323,"")</f>
        <v>72574</v>
      </c>
      <c r="I324" s="260">
        <f>IF(ISNUMBER(I320),I320+I323,"")</f>
        <v>93798</v>
      </c>
      <c r="J324" s="260">
        <f>IF(ISNUMBER(J320),J320+J323,"")</f>
        <v>96692</v>
      </c>
      <c r="K324" s="260">
        <f>IF(ISNUMBER(K320),K320+K323,"")</f>
        <v>101182</v>
      </c>
      <c r="L324" s="260">
        <f>IF(ISNUMBER(L320),L320+L323,"")</f>
        <v>105068</v>
      </c>
      <c r="M324" s="260">
        <f>IF(ISNUMBER(M320),M320+M323,"")</f>
        <v>110920</v>
      </c>
      <c r="N324" s="260">
        <f>IF(ISNUMBER(N320),N320+N323,"")</f>
        <v>110920</v>
      </c>
      <c r="O324" s="260">
        <f>IF(ISNUMBER(O320),O320+O323,"")</f>
        <v>116526</v>
      </c>
      <c r="P324" s="260">
        <f>IF(ISNUMBER(P320),P320+P323,"")</f>
        <v>121608</v>
      </c>
      <c r="Q324" s="260">
        <f>IF(ISNUMBER(Q320),Q320+Q323,"")</f>
        <v>125781</v>
      </c>
      <c r="R324" s="260">
        <f>IF(ISNUMBER(R320),R320+R323,"")</f>
        <v>131133</v>
      </c>
      <c r="S324" s="260">
        <f>IF(ISNUMBER(S320),S320+S323,"")</f>
        <v>131133</v>
      </c>
      <c r="T324" s="260">
        <f>IF(ISNUMBER(T320),T320+T323,"")</f>
        <v>133400</v>
      </c>
      <c r="U324" s="260">
        <f>IF(ISNUMBER(U320),U320+U323,"")</f>
        <v>138807</v>
      </c>
      <c r="V324" s="260">
        <f>IF(ISNUMBER(V320),V320+V323,"")</f>
        <v>144281</v>
      </c>
      <c r="W324" s="260">
        <f>IF(ISNUMBER(W320),W320+W323,"")</f>
        <v>147461</v>
      </c>
      <c r="X324" s="260">
        <f>IF(ISNUMBER(X320),X320+X323,"")</f>
        <v>147461</v>
      </c>
      <c r="Y324" s="260">
        <f>IF(ISNUMBER(Y320),Y320+Y323,"")</f>
        <v>149747</v>
      </c>
      <c r="Z324" s="260">
        <f>IF(ISNUMBER(Z320),Z320+Z323,"")</f>
        <v>154292</v>
      </c>
      <c r="AA324" s="260">
        <f>IF(ISNUMBER(AA320),AA320+AA323,"")</f>
        <v>159948</v>
      </c>
      <c r="AB324" s="260">
        <f>IF(ISNUMBER(AB320),AB320+AB323,"")</f>
        <v>167497</v>
      </c>
      <c r="AC324" s="260">
        <f>IF(ISNUMBER(AC320),AC320+AC323,"")</f>
        <v>167497</v>
      </c>
      <c r="AD324" s="260">
        <f>IF(ISNUMBER(AD320),AD320+AD323,"")</f>
        <v>172756</v>
      </c>
      <c r="AE324" s="260">
        <f>IF(ISNUMBER(AE320),AE320+AE323,"")</f>
        <v>178621</v>
      </c>
      <c r="AF324" s="260">
        <f>IF(ISNUMBER(AF320),AF320+AF323,"")</f>
        <v>189536</v>
      </c>
      <c r="AG324" s="260">
        <f>IF(ISNUMBER(AG320),AG320+AG323,"")</f>
        <v>197295</v>
      </c>
      <c r="AH324" s="260">
        <f>IF(ISNUMBER(AH320),AH320+AH323,"")</f>
        <v>197295</v>
      </c>
      <c r="AI324" s="260">
        <f>IF(ISNUMBER(AI320),AI320+AI323,"")</f>
        <v>206935</v>
      </c>
      <c r="AJ324" s="260">
        <f>IF(ISNUMBER(AJ320),AJ320+AJ323,"")</f>
        <v>211610</v>
      </c>
      <c r="AK324" s="260">
        <f>IF(ISNUMBER(AK320),AK320+AK323,"")</f>
        <v>221538</v>
      </c>
      <c r="AL324" s="260">
        <f>IF(ISNUMBER(AL320),AL320+AL323,"")</f>
        <v>232792</v>
      </c>
      <c r="AM324" s="260">
        <f>IF(ISNUMBER(AM320),AM320+AM323,"")</f>
        <v>232792</v>
      </c>
      <c r="AN324" s="260">
        <f>IF(ISNUMBER(AN320),AN320+AN323,"")</f>
        <v>245349</v>
      </c>
      <c r="AO324" s="260">
        <f>IF(ISNUMBER(AO320),AO320+AO323,"")</f>
        <v>257101</v>
      </c>
      <c r="AP324" s="260">
        <f>IF(ISNUMBER(AP320),AP320+AP323,"")</f>
        <v>263044</v>
      </c>
      <c r="AQ324" s="260">
        <f>IF(ISNUMBER(AQ320),AQ320+AQ323,"")</f>
        <v>275909</v>
      </c>
      <c r="AR324" s="260">
        <f>IF(ISNUMBER(AR320),AR320+AR323,"")</f>
        <v>275909</v>
      </c>
      <c r="AS324" s="260">
        <f>IF(ISNUMBER(AS320),AS320+AS323,"")</f>
        <v>273403</v>
      </c>
      <c r="AT324" s="260">
        <f>IF(ISNUMBER(AT320),AT320+AT323,"")</f>
        <v>278492</v>
      </c>
      <c r="AU324" s="260">
        <f>IF(ISNUMBER(AU320),AU320+AU323,"")</f>
        <v>299243</v>
      </c>
      <c r="AV324" s="260">
        <f>IF(ISNUMBER(AV320),AV320+AV323,"")</f>
        <v>319616</v>
      </c>
      <c r="AW324" s="260">
        <f>IF(ISNUMBER(AW320),AW320+AW323,"")</f>
        <v>319616</v>
      </c>
      <c r="AX324" s="260">
        <f>IF(ISNUMBER(AX320),AX320+AX323,"")</f>
        <v>327095</v>
      </c>
      <c r="AY324" s="260">
        <f>IF(ISNUMBER(AY320),AY320+AY323,"")</f>
        <v>335387</v>
      </c>
      <c r="AZ324" s="260">
        <f>IF(ISNUMBER(AZ320),AZ320+AZ323,"")</f>
        <v>347403</v>
      </c>
      <c r="BA324" s="260">
        <f>IF(ISNUMBER(BA320),BA320+BA323,"")</f>
        <v>359268</v>
      </c>
      <c r="BB324" s="260">
        <f>IF(ISNUMBER(BB320),BB320+BB323,"")</f>
        <v>359268</v>
      </c>
      <c r="BC324" s="260">
        <f>IF(ISNUMBER(BC320),BC320+BC323,"")</f>
        <v>357096</v>
      </c>
      <c r="BD324" s="260">
        <f>IF(ISNUMBER(BD320),BD320+BD323,"")</f>
        <v>355185</v>
      </c>
      <c r="BE324" s="260">
        <f>IF(ISNUMBER(BE320),BE320+BE323,"")</f>
        <v>358255</v>
      </c>
      <c r="BF324" s="260">
        <f>IF(ISNUMBER(BF320),BF320+BF323,"")</f>
        <v>365264</v>
      </c>
      <c r="BG324" s="260">
        <f>IF(ISNUMBER(BG320),BG320+BG323,"")</f>
        <v>365264</v>
      </c>
      <c r="BH324" s="260">
        <f>IF(ISNUMBER(BH320),BH320+BH323,"")</f>
        <v>369491</v>
      </c>
      <c r="BI324" s="260">
        <f>IF(ISNUMBER(BI320),BI320+BI323,"")</f>
        <v>383044</v>
      </c>
      <c r="BJ324" s="260">
        <f>IF(ISNUMBER(BJ320),BJ320+BJ323,"")</f>
        <v>396711</v>
      </c>
      <c r="BK324" s="260">
        <f>IF(ISNUMBER(BK320),BK320+BK323,"")</f>
        <v>402392</v>
      </c>
      <c r="BL324" s="260">
        <f>IF(ISNUMBER(BL320),BL320+BL323,"")</f>
        <v>402392</v>
      </c>
      <c r="BM324" s="260">
        <f>IF(ISNUMBER(BM320),BM320+BM323,"")</f>
        <v>407350</v>
      </c>
      <c r="BN324" s="260">
        <f>IF(ISNUMBER(BN320),BN320+BN323,"")</f>
        <v>414770</v>
      </c>
      <c r="BO324" s="260">
        <f>IF(ISNUMBER(BO320),BO320+BO323,"")</f>
        <v>430266</v>
      </c>
      <c r="BP324" s="260">
        <f>IF(ISNUMBER(BP320),BP320+BP323,"")</f>
        <v>450256</v>
      </c>
      <c r="BQ324" s="260">
        <f>IF(ISNUMBER(BQ320),BQ320+BQ323,"")</f>
        <v>450256</v>
      </c>
      <c r="BR324" s="260">
        <f>IF(ISNUMBER(BR320),BR320+BR323,"")</f>
        <v>475374</v>
      </c>
      <c r="BS324" s="260">
        <f>IF(ISNUMBER(BS320),BS320+BS323,"")</f>
        <v>502053</v>
      </c>
      <c r="BT324" s="260">
        <f>IF(ISNUMBER(BT320),BT320+BT323,"")</f>
        <v>536469</v>
      </c>
      <c r="BU324" s="260">
        <f>IF(ISNUMBER(BU320),BU320+BU323,"")</f>
        <v>595281</v>
      </c>
      <c r="BV324" s="260">
        <f>IF(ISNUMBER(BV320),BV320+BV323,"")</f>
        <v>595281</v>
      </c>
      <c r="BW324" s="260">
        <f>IF(ISNUMBER(BW320),BW320+BW323,"")</f>
        <v>703919</v>
      </c>
      <c r="BX324" s="260">
        <f>IF(ISNUMBER(BX320),BX320+BX323,"")</f>
        <v>921983</v>
      </c>
      <c r="BY324" s="56" t="n"/>
      <c r="BZ324" s="56" t="n"/>
      <c r="CA324" s="260">
        <f>IF(ISNUMBER(CA320),CA320+CA323,"")</f>
        <v>1007658.62201995</v>
      </c>
      <c r="CB324" s="260">
        <f>IF(ISNUMBER(CB320),CB320+CB323,"")</f>
        <v>1170897.24429737</v>
      </c>
      <c r="CC324" s="260">
        <f>IF(ISNUMBER(CC320),CC320+CC323,"")</f>
        <v>1372713.5549129</v>
      </c>
      <c r="CD324" s="260">
        <f>IF(ISNUMBER(CD320),CD320+CD323,"")</f>
        <v>1594271.54048213</v>
      </c>
      <c r="CE324" s="260">
        <f>IF(ISNUMBER(CE320),CE320+CE323,"")</f>
        <v>1835937.44300621</v>
      </c>
      <c r="CF324" s="153" t="n"/>
    </row>
    <row r="325" ht="15" customHeight="1" s="251">
      <c r="B325" s="57" t="inlineStr">
        <is>
          <t>BS tie-out check (TA − TL&amp;E)</t>
        </is>
      </c>
      <c r="C325" s="211">
        <f>IF(ISNUMBER(C312),IF(ABS(C312-C324)&lt;=1,0,ROUND(C312-C324,0)),"")</f>
        <v>0</v>
      </c>
      <c r="D325" s="211">
        <f>IF(ISNUMBER(D312),IF(ABS(D312-D324)&lt;=1,0,ROUND(D312-D324,0)),"")</f>
        <v>0</v>
      </c>
      <c r="E325" s="211">
        <f>IF(ISNUMBER(E312),IF(ABS(E312-E324)&lt;=1,0,ROUND(E312-E324,0)),"")</f>
        <v>0</v>
      </c>
      <c r="F325" s="211">
        <f>IF(ISNUMBER(F312),IF(ABS(F312-F324)&lt;=1,0,ROUND(F312-F324,0)),"")</f>
        <v>0</v>
      </c>
      <c r="G325" s="211">
        <f>IF(ISNUMBER(G312),IF(ABS(G312-G324)&lt;=1,0,ROUND(G312-G324,0)),"")</f>
        <v>0</v>
      </c>
      <c r="H325" s="211">
        <f>IF(ISNUMBER(H312),IF(ABS(H312-H324)&lt;=1,0,ROUND(H312-H324,0)),"")</f>
        <v>0</v>
      </c>
      <c r="I325" s="211">
        <f>IF(ISNUMBER(I312),IF(ABS(I312-I324)&lt;=1,0,ROUND(I312-I324,0)),"")</f>
        <v>0</v>
      </c>
      <c r="J325" s="211">
        <f>IF(ISNUMBER(J312),IF(ABS(J312-J324)&lt;=1,0,ROUND(J312-J324,0)),"")</f>
        <v>0</v>
      </c>
      <c r="K325" s="211">
        <f>IF(ISNUMBER(K312),IF(ABS(K312-K324)&lt;=1,0,ROUND(K312-K324,0)),"")</f>
        <v>0</v>
      </c>
      <c r="L325" s="211">
        <f>IF(ISNUMBER(L312),IF(ABS(L312-L324)&lt;=1,0,ROUND(L312-L324,0)),"")</f>
        <v>0</v>
      </c>
      <c r="M325" s="211">
        <f>IF(ISNUMBER(M312),IF(ABS(M312-M324)&lt;=1,0,ROUND(M312-M324,0)),"")</f>
        <v>0</v>
      </c>
      <c r="N325" s="211">
        <f>IF(ISNUMBER(N312),IF(ABS(N312-N324)&lt;=1,0,ROUND(N312-N324,0)),"")</f>
        <v>0</v>
      </c>
      <c r="O325" s="211">
        <f>IF(ISNUMBER(O312),IF(ABS(O312-O324)&lt;=1,0,ROUND(O312-O324,0)),"")</f>
        <v>0</v>
      </c>
      <c r="P325" s="211">
        <f>IF(ISNUMBER(P312),IF(ABS(P312-P324)&lt;=1,0,ROUND(P312-P324,0)),"")</f>
        <v>0</v>
      </c>
      <c r="Q325" s="211">
        <f>IF(ISNUMBER(Q312),IF(ABS(Q312-Q324)&lt;=1,0,ROUND(Q312-Q324,0)),"")</f>
        <v>0</v>
      </c>
      <c r="R325" s="211">
        <f>IF(ISNUMBER(R312),IF(ABS(R312-R324)&lt;=1,0,ROUND(R312-R324,0)),"")</f>
        <v>0</v>
      </c>
      <c r="S325" s="211">
        <f>IF(ISNUMBER(S312),IF(ABS(S312-S324)&lt;=1,0,ROUND(S312-S324,0)),"")</f>
        <v>0</v>
      </c>
      <c r="T325" s="211">
        <f>IF(ISNUMBER(T312),IF(ABS(T312-T324)&lt;=1,0,ROUND(T312-T324,0)),"")</f>
        <v>0</v>
      </c>
      <c r="U325" s="211">
        <f>IF(ISNUMBER(U312),IF(ABS(U312-U324)&lt;=1,0,ROUND(U312-U324,0)),"")</f>
        <v>0</v>
      </c>
      <c r="V325" s="211">
        <f>IF(ISNUMBER(V312),IF(ABS(V312-V324)&lt;=1,0,ROUND(V312-V324,0)),"")</f>
        <v>0</v>
      </c>
      <c r="W325" s="211">
        <f>IF(ISNUMBER(W312),IF(ABS(W312-W324)&lt;=1,0,ROUND(W312-W324,0)),"")</f>
        <v>0</v>
      </c>
      <c r="X325" s="211">
        <f>IF(ISNUMBER(X312),IF(ABS(X312-X324)&lt;=1,0,ROUND(X312-X324,0)),"")</f>
        <v>0</v>
      </c>
      <c r="Y325" s="211">
        <f>IF(ISNUMBER(Y312),IF(ABS(Y312-Y324)&lt;=1,0,ROUND(Y312-Y324,0)),"")</f>
        <v>0</v>
      </c>
      <c r="Z325" s="211">
        <f>IF(ISNUMBER(Z312),IF(ABS(Z312-Z324)&lt;=1,0,ROUND(Z312-Z324,0)),"")</f>
        <v>0</v>
      </c>
      <c r="AA325" s="211">
        <f>IF(ISNUMBER(AA312),IF(ABS(AA312-AA324)&lt;=1,0,ROUND(AA312-AA324,0)),"")</f>
        <v>0</v>
      </c>
      <c r="AB325" s="211">
        <f>IF(ISNUMBER(AB312),IF(ABS(AB312-AB324)&lt;=1,0,ROUND(AB312-AB324,0)),"")</f>
        <v>0</v>
      </c>
      <c r="AC325" s="211">
        <f>IF(ISNUMBER(AC312),IF(ABS(AC312-AC324)&lt;=1,0,ROUND(AC312-AC324,0)),"")</f>
        <v>0</v>
      </c>
      <c r="AD325" s="211">
        <f>IF(ISNUMBER(AD312),IF(ABS(AD312-AD324)&lt;=1,0,ROUND(AD312-AD324,0)),"")</f>
        <v>0</v>
      </c>
      <c r="AE325" s="211">
        <f>IF(ISNUMBER(AE312),IF(ABS(AE312-AE324)&lt;=1,0,ROUND(AE312-AE324,0)),"")</f>
        <v>0</v>
      </c>
      <c r="AF325" s="211">
        <f>IF(ISNUMBER(AF312),IF(ABS(AF312-AF324)&lt;=1,0,ROUND(AF312-AF324,0)),"")</f>
        <v>0</v>
      </c>
      <c r="AG325" s="211">
        <f>IF(ISNUMBER(AG312),IF(ABS(AG312-AG324)&lt;=1,0,ROUND(AG312-AG324,0)),"")</f>
        <v>0</v>
      </c>
      <c r="AH325" s="211">
        <f>IF(ISNUMBER(AH312),IF(ABS(AH312-AH324)&lt;=1,0,ROUND(AH312-AH324,0)),"")</f>
        <v>0</v>
      </c>
      <c r="AI325" s="211">
        <f>IF(ISNUMBER(AI312),IF(ABS(AI312-AI324)&lt;=1,0,ROUND(AI312-AI324,0)),"")</f>
        <v>0</v>
      </c>
      <c r="AJ325" s="211">
        <f>IF(ISNUMBER(AJ312),IF(ABS(AJ312-AJ324)&lt;=1,0,ROUND(AJ312-AJ324,0)),"")</f>
        <v>0</v>
      </c>
      <c r="AK325" s="211">
        <f>IF(ISNUMBER(AK312),IF(ABS(AK312-AK324)&lt;=1,0,ROUND(AK312-AK324,0)),"")</f>
        <v>0</v>
      </c>
      <c r="AL325" s="211">
        <f>IF(ISNUMBER(AL312),IF(ABS(AL312-AL324)&lt;=1,0,ROUND(AL312-AL324,0)),"")</f>
        <v>0</v>
      </c>
      <c r="AM325" s="211">
        <f>IF(ISNUMBER(AM312),IF(ABS(AM312-AM324)&lt;=1,0,ROUND(AM312-AM324,0)),"")</f>
        <v>0</v>
      </c>
      <c r="AN325" s="211">
        <f>IF(ISNUMBER(AN312),IF(ABS(AN312-AN324)&lt;=1,0,ROUND(AN312-AN324,0)),"")</f>
        <v>0</v>
      </c>
      <c r="AO325" s="211">
        <f>IF(ISNUMBER(AO312),IF(ABS(AO312-AO324)&lt;=1,0,ROUND(AO312-AO324,0)),"")</f>
        <v>0</v>
      </c>
      <c r="AP325" s="211">
        <f>IF(ISNUMBER(AP312),IF(ABS(AP312-AP324)&lt;=1,0,ROUND(AP312-AP324,0)),"")</f>
        <v>0</v>
      </c>
      <c r="AQ325" s="211">
        <f>IF(ISNUMBER(AQ312),IF(ABS(AQ312-AQ324)&lt;=1,0,ROUND(AQ312-AQ324,0)),"")</f>
        <v>0</v>
      </c>
      <c r="AR325" s="211">
        <f>IF(ISNUMBER(AR312),IF(ABS(AR312-AR324)&lt;=1,0,ROUND(AR312-AR324,0)),"")</f>
        <v>0</v>
      </c>
      <c r="AS325" s="211">
        <f>IF(ISNUMBER(AS312),IF(ABS(AS312-AS324)&lt;=1,0,ROUND(AS312-AS324,0)),"")</f>
        <v>0</v>
      </c>
      <c r="AT325" s="211">
        <f>IF(ISNUMBER(AT312),IF(ABS(AT312-AT324)&lt;=1,0,ROUND(AT312-AT324,0)),"")</f>
        <v>0</v>
      </c>
      <c r="AU325" s="211">
        <f>IF(ISNUMBER(AU312),IF(ABS(AU312-AU324)&lt;=1,0,ROUND(AU312-AU324,0)),"")</f>
        <v>0</v>
      </c>
      <c r="AV325" s="211">
        <f>IF(ISNUMBER(AV312),IF(ABS(AV312-AV324)&lt;=1,0,ROUND(AV312-AV324,0)),"")</f>
        <v>0</v>
      </c>
      <c r="AW325" s="211">
        <f>IF(ISNUMBER(AW312),IF(ABS(AW312-AW324)&lt;=1,0,ROUND(AW312-AW324,0)),"")</f>
        <v>0</v>
      </c>
      <c r="AX325" s="211">
        <f>IF(ISNUMBER(AX312),IF(ABS(AX312-AX324)&lt;=1,0,ROUND(AX312-AX324,0)),"")</f>
        <v>0</v>
      </c>
      <c r="AY325" s="211">
        <f>IF(ISNUMBER(AY312),IF(ABS(AY312-AY324)&lt;=1,0,ROUND(AY312-AY324,0)),"")</f>
        <v>0</v>
      </c>
      <c r="AZ325" s="211">
        <f>IF(ISNUMBER(AZ312),IF(ABS(AZ312-AZ324)&lt;=1,0,ROUND(AZ312-AZ324,0)),"")</f>
        <v>0</v>
      </c>
      <c r="BA325" s="211">
        <f>IF(ISNUMBER(BA312),IF(ABS(BA312-BA324)&lt;=1,0,ROUND(BA312-BA324,0)),"")</f>
        <v>0</v>
      </c>
      <c r="BB325" s="211">
        <f>IF(ISNUMBER(BB312),IF(ABS(BB312-BB324)&lt;=1,0,ROUND(BB312-BB324,0)),"")</f>
        <v>0</v>
      </c>
      <c r="BC325" s="211">
        <f>IF(ISNUMBER(BC312),IF(ABS(BC312-BC324)&lt;=1,0,ROUND(BC312-BC324,0)),"")</f>
        <v>0</v>
      </c>
      <c r="BD325" s="211">
        <f>IF(ISNUMBER(BD312),IF(ABS(BD312-BD324)&lt;=1,0,ROUND(BD312-BD324,0)),"")</f>
        <v>0</v>
      </c>
      <c r="BE325" s="211">
        <f>IF(ISNUMBER(BE312),IF(ABS(BE312-BE324)&lt;=1,0,ROUND(BE312-BE324,0)),"")</f>
        <v>0</v>
      </c>
      <c r="BF325" s="211">
        <f>IF(ISNUMBER(BF312),IF(ABS(BF312-BF324)&lt;=1,0,ROUND(BF312-BF324,0)),"")</f>
        <v>0</v>
      </c>
      <c r="BG325" s="211">
        <f>IF(ISNUMBER(BG312),IF(ABS(BG312-BG324)&lt;=1,0,ROUND(BG312-BG324,0)),"")</f>
        <v>0</v>
      </c>
      <c r="BH325" s="211">
        <f>IF(ISNUMBER(BH312),IF(ABS(BH312-BH324)&lt;=1,0,ROUND(BH312-BH324,0)),"")</f>
        <v>0</v>
      </c>
      <c r="BI325" s="211">
        <f>IF(ISNUMBER(BI312),IF(ABS(BI312-BI324)&lt;=1,0,ROUND(BI312-BI324,0)),"")</f>
        <v>0</v>
      </c>
      <c r="BJ325" s="211">
        <f>IF(ISNUMBER(BJ312),IF(ABS(BJ312-BJ324)&lt;=1,0,ROUND(BJ312-BJ324,0)),"")</f>
        <v>0</v>
      </c>
      <c r="BK325" s="211">
        <f>IF(ISNUMBER(BK312),IF(ABS(BK312-BK324)&lt;=1,0,ROUND(BK312-BK324,0)),"")</f>
        <v>0</v>
      </c>
      <c r="BL325" s="211">
        <f>IF(ISNUMBER(BL312),IF(ABS(BL312-BL324)&lt;=1,0,ROUND(BL312-BL324,0)),"")</f>
        <v>0</v>
      </c>
      <c r="BM325" s="211">
        <f>IF(ISNUMBER(BM312),IF(ABS(BM312-BM324)&lt;=1,0,ROUND(BM312-BM324,0)),"")</f>
        <v>0</v>
      </c>
      <c r="BN325" s="211">
        <f>IF(ISNUMBER(BN312),IF(ABS(BN312-BN324)&lt;=1,0,ROUND(BN312-BN324,0)),"")</f>
        <v>0</v>
      </c>
      <c r="BO325" s="211">
        <f>IF(ISNUMBER(BO312),IF(ABS(BO312-BO324)&lt;=1,0,ROUND(BO312-BO324,0)),"")</f>
        <v>0</v>
      </c>
      <c r="BP325" s="211">
        <f>IF(ISNUMBER(BP312),IF(ABS(BP312-BP324)&lt;=1,0,ROUND(BP312-BP324,0)),"")</f>
        <v>0</v>
      </c>
      <c r="BQ325" s="211">
        <f>IF(ISNUMBER(BQ312),IF(ABS(BQ312-BQ324)&lt;=1,0,ROUND(BQ312-BQ324,0)),"")</f>
        <v>0</v>
      </c>
      <c r="BR325" s="211">
        <f>IF(ISNUMBER(BR312),IF(ABS(BR312-BR324)&lt;=1,0,ROUND(BR312-BR324,0)),"")</f>
        <v>0</v>
      </c>
      <c r="BS325" s="211">
        <f>IF(ISNUMBER(BS312),IF(ABS(BS312-BS324)&lt;=1,0,ROUND(BS312-BS324,0)),"")</f>
        <v>0</v>
      </c>
      <c r="BT325" s="211">
        <f>IF(ISNUMBER(BT312),IF(ABS(BT312-BT324)&lt;=1,0,ROUND(BT312-BT324,0)),"")</f>
        <v>0</v>
      </c>
      <c r="BU325" s="211">
        <f>IF(ISNUMBER(BU312),IF(ABS(BU312-BU324)&lt;=1,0,ROUND(BU312-BU324,0)),"")</f>
        <v>0</v>
      </c>
      <c r="BV325" s="211">
        <f>IF(ISNUMBER(BV312),IF(ABS(BV312-BV324)&lt;=1,0,ROUND(BV312-BV324,0)),"")</f>
        <v>0</v>
      </c>
      <c r="BW325" s="211">
        <f>IF(ISNUMBER(BW312),IF(ABS(BW312-BW324)&lt;=1,0,ROUND(BW312-BW324,0)),"")</f>
        <v>0</v>
      </c>
      <c r="BX325" s="211">
        <f>IF(ISNUMBER(BX312),IF(ABS(BX312-BX324)&lt;=1,0,ROUND(BX312-BX324,0)),"")</f>
        <v>0</v>
      </c>
      <c r="BY325" s="153" t="n"/>
      <c r="BZ325" s="153" t="n"/>
      <c r="CA325" s="264">
        <f>IF(ISNUMBER(CA312),IF(ABS(CA312-CA324)&lt;=1,0,ROUND(CA312-CA324,0)),"")</f>
        <v>0</v>
      </c>
      <c r="CB325" s="264">
        <f>IF(ISNUMBER(CB312),IF(ABS(CB312-CB324)&lt;=1,0,ROUND(CB312-CB324,0)),"")</f>
        <v>0</v>
      </c>
      <c r="CC325" s="264">
        <f>IF(ISNUMBER(CC312),IF(ABS(CC312-CC324)&lt;=1,0,ROUND(CC312-CC324,0)),"")</f>
        <v>0</v>
      </c>
      <c r="CD325" s="264">
        <f>IF(ISNUMBER(CD312),IF(ABS(CD312-CD324)&lt;=1,0,ROUND(CD312-CD324,0)),"")</f>
        <v>0</v>
      </c>
      <c r="CE325" s="264">
        <f>IF(ISNUMBER(CE312),IF(ABS(CE312-CE324)&lt;=1,0,ROUND(CE312-CE324,0)),"")</f>
        <v>0</v>
      </c>
      <c r="CF325" s="153" t="n"/>
    </row>
    <row r="326" ht="15" customHeight="1" s="251">
      <c r="B326" s="57" t="inlineStr">
        <is>
          <t xml:space="preserve">  Check: model total assets vs reported (should be 0)</t>
        </is>
      </c>
      <c r="C326" s="211">
        <f>IF(ISNUMBER(C327),IF(ABS(C312-C327)&lt;=1,0,ROUND(C312-C327,0)),"")</f>
        <v>0</v>
      </c>
      <c r="D326" s="211">
        <f>IF(ISNUMBER(D327),IF(ABS(D312-D327)&lt;=1,0,ROUND(D312-D327,0)),"")</f>
        <v>0</v>
      </c>
      <c r="E326" s="211">
        <f>IF(ISNUMBER(E327),IF(ABS(E312-E327)&lt;=1,0,ROUND(E312-E327,0)),"")</f>
        <v>0</v>
      </c>
      <c r="F326" s="211">
        <f>IF(ISNUMBER(F327),IF(ABS(F312-F327)&lt;=1,0,ROUND(F312-F327,0)),"")</f>
        <v>0</v>
      </c>
      <c r="G326" s="211">
        <f>IF(ISNUMBER(G327),IF(ABS(G312-G327)&lt;=1,0,ROUND(G312-G327,0)),"")</f>
        <v>0</v>
      </c>
      <c r="H326" s="211">
        <f>IF(ISNUMBER(H327),IF(ABS(H312-H327)&lt;=1,0,ROUND(H312-H327,0)),"")</f>
        <v>0</v>
      </c>
      <c r="I326" s="211">
        <f>IF(ISNUMBER(I327),IF(ABS(I312-I327)&lt;=1,0,ROUND(I312-I327,0)),"")</f>
        <v>0</v>
      </c>
      <c r="J326" s="211">
        <f>IF(ISNUMBER(J327),IF(ABS(J312-J327)&lt;=1,0,ROUND(J312-J327,0)),"")</f>
        <v>0</v>
      </c>
      <c r="K326" s="211">
        <f>IF(ISNUMBER(K327),IF(ABS(K312-K327)&lt;=1,0,ROUND(K312-K327,0)),"")</f>
        <v>0</v>
      </c>
      <c r="L326" s="211">
        <f>IF(ISNUMBER(L327),IF(ABS(L312-L327)&lt;=1,0,ROUND(L312-L327,0)),"")</f>
        <v>0</v>
      </c>
      <c r="M326" s="211">
        <f>IF(ISNUMBER(M327),IF(ABS(M312-M327)&lt;=1,0,ROUND(M312-M327,0)),"")</f>
        <v>0</v>
      </c>
      <c r="N326" s="211">
        <f>IF(ISNUMBER(N327),IF(ABS(N312-N327)&lt;=1,0,ROUND(N312-N327,0)),"")</f>
        <v>0</v>
      </c>
      <c r="O326" s="211">
        <f>IF(ISNUMBER(O327),IF(ABS(O312-O327)&lt;=1,0,ROUND(O312-O327,0)),"")</f>
        <v>0</v>
      </c>
      <c r="P326" s="211">
        <f>IF(ISNUMBER(P327),IF(ABS(P312-P327)&lt;=1,0,ROUND(P312-P327,0)),"")</f>
        <v>0</v>
      </c>
      <c r="Q326" s="211">
        <f>IF(ISNUMBER(Q327),IF(ABS(Q312-Q327)&lt;=1,0,ROUND(Q312-Q327,0)),"")</f>
        <v>0</v>
      </c>
      <c r="R326" s="211">
        <f>IF(ISNUMBER(R327),IF(ABS(R312-R327)&lt;=1,0,ROUND(R312-R327,0)),"")</f>
        <v>0</v>
      </c>
      <c r="S326" s="211">
        <f>IF(ISNUMBER(S327),IF(ABS(S312-S327)&lt;=1,0,ROUND(S312-S327,0)),"")</f>
        <v>0</v>
      </c>
      <c r="T326" s="211">
        <f>IF(ISNUMBER(T327),IF(ABS(T312-T327)&lt;=1,0,ROUND(T312-T327,0)),"")</f>
        <v>0</v>
      </c>
      <c r="U326" s="211">
        <f>IF(ISNUMBER(U327),IF(ABS(U312-U327)&lt;=1,0,ROUND(U312-U327,0)),"")</f>
        <v>0</v>
      </c>
      <c r="V326" s="211">
        <f>IF(ISNUMBER(V327),IF(ABS(V312-V327)&lt;=1,0,ROUND(V312-V327,0)),"")</f>
        <v>0</v>
      </c>
      <c r="W326" s="211">
        <f>IF(ISNUMBER(W327),IF(ABS(W312-W327)&lt;=1,0,ROUND(W312-W327,0)),"")</f>
        <v>0</v>
      </c>
      <c r="X326" s="211">
        <f>IF(ISNUMBER(X327),IF(ABS(X312-X327)&lt;=1,0,ROUND(X312-X327,0)),"")</f>
        <v>0</v>
      </c>
      <c r="Y326" s="211">
        <f>IF(ISNUMBER(Y327),IF(ABS(Y312-Y327)&lt;=1,0,ROUND(Y312-Y327,0)),"")</f>
        <v>0</v>
      </c>
      <c r="Z326" s="211">
        <f>IF(ISNUMBER(Z327),IF(ABS(Z312-Z327)&lt;=1,0,ROUND(Z312-Z327,0)),"")</f>
        <v>0</v>
      </c>
      <c r="AA326" s="211">
        <f>IF(ISNUMBER(AA327),IF(ABS(AA312-AA327)&lt;=1,0,ROUND(AA312-AA327,0)),"")</f>
        <v>0</v>
      </c>
      <c r="AB326" s="211">
        <f>IF(ISNUMBER(AB327),IF(ABS(AB312-AB327)&lt;=1,0,ROUND(AB312-AB327,0)),"")</f>
        <v>0</v>
      </c>
      <c r="AC326" s="211">
        <f>IF(ISNUMBER(AC327),IF(ABS(AC312-AC327)&lt;=1,0,ROUND(AC312-AC327,0)),"")</f>
        <v>0</v>
      </c>
      <c r="AD326" s="211">
        <f>IF(ISNUMBER(AD327),IF(ABS(AD312-AD327)&lt;=1,0,ROUND(AD312-AD327,0)),"")</f>
        <v>0</v>
      </c>
      <c r="AE326" s="211">
        <f>IF(ISNUMBER(AE327),IF(ABS(AE312-AE327)&lt;=1,0,ROUND(AE312-AE327,0)),"")</f>
        <v>0</v>
      </c>
      <c r="AF326" s="211">
        <f>IF(ISNUMBER(AF327),IF(ABS(AF312-AF327)&lt;=1,0,ROUND(AF312-AF327,0)),"")</f>
        <v>0</v>
      </c>
      <c r="AG326" s="211">
        <f>IF(ISNUMBER(AG327),IF(ABS(AG312-AG327)&lt;=1,0,ROUND(AG312-AG327,0)),"")</f>
        <v>0</v>
      </c>
      <c r="AH326" s="211">
        <f>IF(ISNUMBER(AH327),IF(ABS(AH312-AH327)&lt;=1,0,ROUND(AH312-AH327,0)),"")</f>
        <v>0</v>
      </c>
      <c r="AI326" s="211">
        <f>IF(ISNUMBER(AI327),IF(ABS(AI312-AI327)&lt;=1,0,ROUND(AI312-AI327,0)),"")</f>
        <v>0</v>
      </c>
      <c r="AJ326" s="211">
        <f>IF(ISNUMBER(AJ327),IF(ABS(AJ312-AJ327)&lt;=1,0,ROUND(AJ312-AJ327,0)),"")</f>
        <v>0</v>
      </c>
      <c r="AK326" s="211">
        <f>IF(ISNUMBER(AK327),IF(ABS(AK312-AK327)&lt;=1,0,ROUND(AK312-AK327,0)),"")</f>
        <v>0</v>
      </c>
      <c r="AL326" s="211">
        <f>IF(ISNUMBER(AL327),IF(ABS(AL312-AL327)&lt;=1,0,ROUND(AL312-AL327,0)),"")</f>
        <v>0</v>
      </c>
      <c r="AM326" s="211">
        <f>IF(ISNUMBER(AM327),IF(ABS(AM312-AM327)&lt;=1,0,ROUND(AM312-AM327,0)),"")</f>
        <v>0</v>
      </c>
      <c r="AN326" s="211">
        <f>IF(ISNUMBER(AN327),IF(ABS(AN312-AN327)&lt;=1,0,ROUND(AN312-AN327,0)),"")</f>
        <v>0</v>
      </c>
      <c r="AO326" s="211">
        <f>IF(ISNUMBER(AO327),IF(ABS(AO312-AO327)&lt;=1,0,ROUND(AO312-AO327,0)),"")</f>
        <v>0</v>
      </c>
      <c r="AP326" s="211">
        <f>IF(ISNUMBER(AP327),IF(ABS(AP312-AP327)&lt;=1,0,ROUND(AP312-AP327,0)),"")</f>
        <v>0</v>
      </c>
      <c r="AQ326" s="211">
        <f>IF(ISNUMBER(AQ327),IF(ABS(AQ312-AQ327)&lt;=1,0,ROUND(AQ312-AQ327,0)),"")</f>
        <v>0</v>
      </c>
      <c r="AR326" s="211">
        <f>IF(ISNUMBER(AR327),IF(ABS(AR312-AR327)&lt;=1,0,ROUND(AR312-AR327,0)),"")</f>
        <v>0</v>
      </c>
      <c r="AS326" s="211">
        <f>IF(ISNUMBER(AS327),IF(ABS(AS312-AS327)&lt;=1,0,ROUND(AS312-AS327,0)),"")</f>
        <v>0</v>
      </c>
      <c r="AT326" s="211">
        <f>IF(ISNUMBER(AT327),IF(ABS(AT312-AT327)&lt;=1,0,ROUND(AT312-AT327,0)),"")</f>
        <v>0</v>
      </c>
      <c r="AU326" s="211">
        <f>IF(ISNUMBER(AU327),IF(ABS(AU312-AU327)&lt;=1,0,ROUND(AU312-AU327,0)),"")</f>
        <v>0</v>
      </c>
      <c r="AV326" s="211">
        <f>IF(ISNUMBER(AV327),IF(ABS(AV312-AV327)&lt;=1,0,ROUND(AV312-AV327,0)),"")</f>
        <v>0</v>
      </c>
      <c r="AW326" s="211">
        <f>IF(ISNUMBER(AW327),IF(ABS(AW312-AW327)&lt;=1,0,ROUND(AW312-AW327,0)),"")</f>
        <v>0</v>
      </c>
      <c r="AX326" s="211">
        <f>IF(ISNUMBER(AX327),IF(ABS(AX312-AX327)&lt;=1,0,ROUND(AX312-AX327,0)),"")</f>
        <v>0</v>
      </c>
      <c r="AY326" s="211">
        <f>IF(ISNUMBER(AY327),IF(ABS(AY312-AY327)&lt;=1,0,ROUND(AY312-AY327,0)),"")</f>
        <v>0</v>
      </c>
      <c r="AZ326" s="211">
        <f>IF(ISNUMBER(AZ327),IF(ABS(AZ312-AZ327)&lt;=1,0,ROUND(AZ312-AZ327,0)),"")</f>
        <v>0</v>
      </c>
      <c r="BA326" s="211">
        <f>IF(ISNUMBER(BA327),IF(ABS(BA312-BA327)&lt;=1,0,ROUND(BA312-BA327,0)),"")</f>
        <v>0</v>
      </c>
      <c r="BB326" s="211">
        <f>IF(ISNUMBER(BB327),IF(ABS(BB312-BB327)&lt;=1,0,ROUND(BB312-BB327,0)),"")</f>
        <v>0</v>
      </c>
      <c r="BC326" s="211">
        <f>IF(ISNUMBER(BC327),IF(ABS(BC312-BC327)&lt;=1,0,ROUND(BC312-BC327,0)),"")</f>
        <v>0</v>
      </c>
      <c r="BD326" s="211">
        <f>IF(ISNUMBER(BD327),IF(ABS(BD312-BD327)&lt;=1,0,ROUND(BD312-BD327,0)),"")</f>
        <v>0</v>
      </c>
      <c r="BE326" s="211">
        <f>IF(ISNUMBER(BE327),IF(ABS(BE312-BE327)&lt;=1,0,ROUND(BE312-BE327,0)),"")</f>
        <v>0</v>
      </c>
      <c r="BF326" s="211">
        <f>IF(ISNUMBER(BF327),IF(ABS(BF312-BF327)&lt;=1,0,ROUND(BF312-BF327,0)),"")</f>
        <v>0</v>
      </c>
      <c r="BG326" s="211">
        <f>IF(ISNUMBER(BG327),IF(ABS(BG312-BG327)&lt;=1,0,ROUND(BG312-BG327,0)),"")</f>
        <v>0</v>
      </c>
      <c r="BH326" s="211">
        <f>IF(ISNUMBER(BH327),IF(ABS(BH312-BH327)&lt;=1,0,ROUND(BH312-BH327,0)),"")</f>
        <v>0</v>
      </c>
      <c r="BI326" s="211">
        <f>IF(ISNUMBER(BI327),IF(ABS(BI312-BI327)&lt;=1,0,ROUND(BI312-BI327,0)),"")</f>
        <v>0</v>
      </c>
      <c r="BJ326" s="211">
        <f>IF(ISNUMBER(BJ327),IF(ABS(BJ312-BJ327)&lt;=1,0,ROUND(BJ312-BJ327,0)),"")</f>
        <v>0</v>
      </c>
      <c r="BK326" s="211">
        <f>IF(ISNUMBER(BK327),IF(ABS(BK312-BK327)&lt;=1,0,ROUND(BK312-BK327,0)),"")</f>
        <v>0</v>
      </c>
      <c r="BL326" s="211">
        <f>IF(ISNUMBER(BL327),IF(ABS(BL312-BL327)&lt;=1,0,ROUND(BL312-BL327,0)),"")</f>
        <v>0</v>
      </c>
      <c r="BM326" s="211">
        <f>IF(ISNUMBER(BM327),IF(ABS(BM312-BM327)&lt;=1,0,ROUND(BM312-BM327,0)),"")</f>
        <v>0</v>
      </c>
      <c r="BN326" s="211">
        <f>IF(ISNUMBER(BN327),IF(ABS(BN312-BN327)&lt;=1,0,ROUND(BN312-BN327,0)),"")</f>
        <v>0</v>
      </c>
      <c r="BO326" s="211">
        <f>IF(ISNUMBER(BO327),IF(ABS(BO312-BO327)&lt;=1,0,ROUND(BO312-BO327,0)),"")</f>
        <v>0</v>
      </c>
      <c r="BP326" s="211">
        <f>IF(ISNUMBER(BP327),IF(ABS(BP312-BP327)&lt;=1,0,ROUND(BP312-BP327,0)),"")</f>
        <v>0</v>
      </c>
      <c r="BQ326" s="211">
        <f>IF(ISNUMBER(BQ327),IF(ABS(BQ312-BQ327)&lt;=1,0,ROUND(BQ312-BQ327,0)),"")</f>
        <v>0</v>
      </c>
      <c r="BR326" s="211">
        <f>IF(ISNUMBER(BR327),IF(ABS(BR312-BR327)&lt;=1,0,ROUND(BR312-BR327,0)),"")</f>
        <v>0</v>
      </c>
      <c r="BS326" s="211">
        <f>IF(ISNUMBER(BS327),IF(ABS(BS312-BS327)&lt;=1,0,ROUND(BS312-BS327,0)),"")</f>
        <v>0</v>
      </c>
      <c r="BT326" s="211">
        <f>IF(ISNUMBER(BT327),IF(ABS(BT312-BT327)&lt;=1,0,ROUND(BT312-BT327,0)),"")</f>
        <v>0</v>
      </c>
      <c r="BU326" s="211">
        <f>IF(ISNUMBER(BU327),IF(ABS(BU312-BU327)&lt;=1,0,ROUND(BU312-BU327,0)),"")</f>
        <v>0</v>
      </c>
      <c r="BV326" s="211">
        <f>IF(ISNUMBER(BV327),IF(ABS(BV312-BV327)&lt;=1,0,ROUND(BV312-BV327,0)),"")</f>
        <v>0</v>
      </c>
      <c r="BW326" s="211">
        <f>IF(ISNUMBER(BW327),IF(ABS(BW312-BW327)&lt;=1,0,ROUND(BW312-BW327,0)),"")</f>
        <v>0</v>
      </c>
      <c r="BX326" s="211">
        <f>IF(ISNUMBER(BX327),IF(ABS(BX312-BX327)&lt;=1,0,ROUND(BX312-BX327,0)),"")</f>
        <v>0</v>
      </c>
      <c r="BY326" s="153" t="n"/>
      <c r="BZ326" s="153" t="n"/>
      <c r="CA326" s="153" t="n"/>
      <c r="CB326" s="153" t="n"/>
      <c r="CC326" s="153" t="n"/>
      <c r="CD326" s="153" t="n"/>
      <c r="CE326" s="153" t="n"/>
      <c r="CF326" s="153" t="n"/>
    </row>
    <row r="327" ht="15" customHeight="1" s="251">
      <c r="B327" s="156" t="inlineStr">
        <is>
          <t xml:space="preserve">  Memo: total assets as reported</t>
        </is>
      </c>
      <c r="C327" s="253" t="n">
        <v>18473.351</v>
      </c>
      <c r="D327" s="253" t="n">
        <v>25335.806</v>
      </c>
      <c r="E327" s="253" t="n">
        <v>31767.575</v>
      </c>
      <c r="F327" s="253" t="n">
        <v>40496.778</v>
      </c>
      <c r="G327" s="253" t="n">
        <v>57851</v>
      </c>
      <c r="H327" s="253" t="n">
        <v>72574</v>
      </c>
      <c r="I327" s="253" t="n">
        <v>93798</v>
      </c>
      <c r="J327" s="253" t="n">
        <v>96692</v>
      </c>
      <c r="K327" s="253" t="n">
        <v>101182</v>
      </c>
      <c r="L327" s="253" t="n">
        <v>105068</v>
      </c>
      <c r="M327" s="253" t="n">
        <v>110920</v>
      </c>
      <c r="N327" s="253" t="n">
        <v>110920</v>
      </c>
      <c r="O327" s="253" t="n">
        <v>116526</v>
      </c>
      <c r="P327" s="253" t="n">
        <v>121608</v>
      </c>
      <c r="Q327" s="253" t="n">
        <v>125781</v>
      </c>
      <c r="R327" s="253" t="n">
        <v>131133</v>
      </c>
      <c r="S327" s="253" t="n">
        <v>131133</v>
      </c>
      <c r="T327" s="253" t="n">
        <v>133400</v>
      </c>
      <c r="U327" s="253" t="n">
        <v>138807</v>
      </c>
      <c r="V327" s="253" t="n">
        <v>144281</v>
      </c>
      <c r="W327" s="253" t="n">
        <v>147461</v>
      </c>
      <c r="X327" s="253" t="n">
        <v>147461</v>
      </c>
      <c r="Y327" s="253" t="n">
        <v>149747</v>
      </c>
      <c r="Z327" s="253" t="n">
        <v>154292</v>
      </c>
      <c r="AA327" s="253" t="n">
        <v>159948</v>
      </c>
      <c r="AB327" s="253" t="n">
        <v>167497</v>
      </c>
      <c r="AC327" s="253" t="n">
        <v>167497</v>
      </c>
      <c r="AD327" s="253" t="n">
        <v>172756</v>
      </c>
      <c r="AE327" s="253" t="n">
        <v>178621</v>
      </c>
      <c r="AF327" s="253" t="n">
        <v>189536</v>
      </c>
      <c r="AG327" s="253" t="n">
        <v>197295</v>
      </c>
      <c r="AH327" s="253" t="n">
        <v>197295</v>
      </c>
      <c r="AI327" s="253" t="n">
        <v>206935</v>
      </c>
      <c r="AJ327" s="253" t="n">
        <v>211610</v>
      </c>
      <c r="AK327" s="253" t="n">
        <v>221538</v>
      </c>
      <c r="AL327" s="253" t="n">
        <v>232792</v>
      </c>
      <c r="AM327" s="253" t="n">
        <v>232792</v>
      </c>
      <c r="AN327" s="253" t="n">
        <v>245349</v>
      </c>
      <c r="AO327" s="253" t="n">
        <v>257101</v>
      </c>
      <c r="AP327" s="253" t="n">
        <v>263044</v>
      </c>
      <c r="AQ327" s="253" t="n">
        <v>275909</v>
      </c>
      <c r="AR327" s="253" t="n">
        <v>275909</v>
      </c>
      <c r="AS327" s="253" t="n">
        <v>273403</v>
      </c>
      <c r="AT327" s="253" t="n">
        <v>278492</v>
      </c>
      <c r="AU327" s="253" t="n">
        <v>299243</v>
      </c>
      <c r="AV327" s="253" t="n">
        <v>319616</v>
      </c>
      <c r="AW327" s="253" t="n">
        <v>319616</v>
      </c>
      <c r="AX327" s="253" t="n">
        <v>327095</v>
      </c>
      <c r="AY327" s="253" t="n">
        <v>335387</v>
      </c>
      <c r="AZ327" s="253" t="n">
        <v>347403</v>
      </c>
      <c r="BA327" s="253" t="n">
        <v>359268</v>
      </c>
      <c r="BB327" s="253" t="n">
        <v>359268</v>
      </c>
      <c r="BC327" s="253" t="n">
        <v>357096</v>
      </c>
      <c r="BD327" s="253" t="n">
        <v>355185</v>
      </c>
      <c r="BE327" s="253" t="n">
        <v>358255</v>
      </c>
      <c r="BF327" s="253" t="n">
        <v>365264</v>
      </c>
      <c r="BG327" s="253" t="n">
        <v>365264</v>
      </c>
      <c r="BH327" s="253" t="n">
        <v>369491</v>
      </c>
      <c r="BI327" s="253" t="n">
        <v>383044</v>
      </c>
      <c r="BJ327" s="253" t="n">
        <v>396711</v>
      </c>
      <c r="BK327" s="253" t="n">
        <v>402392</v>
      </c>
      <c r="BL327" s="253" t="n">
        <v>402392</v>
      </c>
      <c r="BM327" s="253" t="n">
        <v>407350</v>
      </c>
      <c r="BN327" s="253" t="n">
        <v>414770</v>
      </c>
      <c r="BO327" s="253" t="n">
        <v>430266</v>
      </c>
      <c r="BP327" s="253" t="n">
        <v>450256</v>
      </c>
      <c r="BQ327" s="253" t="n">
        <v>450256</v>
      </c>
      <c r="BR327" s="253" t="n">
        <v>475374</v>
      </c>
      <c r="BS327" s="253" t="n">
        <v>502053</v>
      </c>
      <c r="BT327" s="253" t="n">
        <v>536469</v>
      </c>
      <c r="BU327" s="253" t="n">
        <v>595281</v>
      </c>
      <c r="BV327" s="253" t="n">
        <v>595281</v>
      </c>
      <c r="BW327" s="253" t="n">
        <v>703919</v>
      </c>
      <c r="BX327" s="253" t="n">
        <v>921983</v>
      </c>
      <c r="BY327" s="153" t="n"/>
      <c r="BZ327" s="153" t="n"/>
      <c r="CA327" s="153" t="n"/>
      <c r="CB327" s="153" t="n"/>
      <c r="CC327" s="153" t="n"/>
      <c r="CD327" s="153" t="n"/>
      <c r="CE327" s="153" t="n"/>
      <c r="CF327" s="153" t="n"/>
    </row>
    <row r="328" ht="15" customHeight="1" s="251">
      <c r="B328" s="156" t="inlineStr">
        <is>
          <t xml:space="preserve">  Memo: cash-flow cash − balance-sheet cash (restricted cash from 2018; Motorola held-for-sale cash Q1–Q3/14)</t>
        </is>
      </c>
      <c r="C328" s="211">
        <f>IF(AND(ISNUMBER(C269),ISNUMBER(C303)),C269-C303,"")</f>
        <v>0</v>
      </c>
      <c r="D328" s="211">
        <f>IF(AND(ISNUMBER(D269),ISNUMBER(D303)),D269-D303,"")</f>
        <v>0</v>
      </c>
      <c r="E328" s="211">
        <f>IF(AND(ISNUMBER(E269),ISNUMBER(E303)),E269-E303,"")</f>
        <v>0</v>
      </c>
      <c r="F328" s="211">
        <f>IF(AND(ISNUMBER(F269),ISNUMBER(F303)),F269-F303,"")</f>
        <v>0</v>
      </c>
      <c r="G328" s="211">
        <f>IF(AND(ISNUMBER(G269),ISNUMBER(G303)),G269-G303,"")</f>
        <v>0</v>
      </c>
      <c r="H328" s="211">
        <f>IF(AND(ISNUMBER(H269),ISNUMBER(H303)),H269-H303,"")</f>
        <v>0</v>
      </c>
      <c r="I328" s="211">
        <f>IF(AND(ISNUMBER(I269),ISNUMBER(I303)),I269-I303,"")</f>
        <v>0</v>
      </c>
      <c r="J328" s="211">
        <f>IF(AND(ISNUMBER(J269),ISNUMBER(J303)),J269-J303,"")</f>
        <v>0</v>
      </c>
      <c r="K328" s="211">
        <f>IF(AND(ISNUMBER(K269),ISNUMBER(K303)),K269-K303,"")</f>
        <v>0</v>
      </c>
      <c r="L328" s="211">
        <f>IF(AND(ISNUMBER(L269),ISNUMBER(L303)),L269-L303,"")</f>
        <v>0</v>
      </c>
      <c r="M328" s="211">
        <f>IF(AND(ISNUMBER(M269),ISNUMBER(M303)),M269-M303,"")</f>
        <v>0</v>
      </c>
      <c r="N328" s="211">
        <f>IF(AND(ISNUMBER(N269),ISNUMBER(N303)),N269-N303,"")</f>
        <v>0</v>
      </c>
      <c r="O328" s="211">
        <f>IF(AND(ISNUMBER(O269),ISNUMBER(O303)),O269-O303,"")</f>
        <v>160</v>
      </c>
      <c r="P328" s="211">
        <f>IF(AND(ISNUMBER(P269),ISNUMBER(P303)),P269-P303,"")</f>
        <v>160</v>
      </c>
      <c r="Q328" s="211">
        <f>IF(AND(ISNUMBER(Q269),ISNUMBER(Q303)),Q269-Q303,"")</f>
        <v>160</v>
      </c>
      <c r="R328" s="211">
        <f>IF(AND(ISNUMBER(R269),ISNUMBER(R303)),R269-R303,"")</f>
        <v>0</v>
      </c>
      <c r="S328" s="211">
        <f>IF(AND(ISNUMBER(S269),ISNUMBER(S303)),S269-S303,"")</f>
        <v>0</v>
      </c>
      <c r="T328" s="211">
        <f>IF(AND(ISNUMBER(T269),ISNUMBER(T303)),T269-T303,"")</f>
        <v>0</v>
      </c>
      <c r="U328" s="211">
        <f>IF(AND(ISNUMBER(U269),ISNUMBER(U303)),U269-U303,"")</f>
        <v>0</v>
      </c>
      <c r="V328" s="211">
        <f>IF(AND(ISNUMBER(V269),ISNUMBER(V303)),V269-V303,"")</f>
        <v>0</v>
      </c>
      <c r="W328" s="211">
        <f>IF(AND(ISNUMBER(W269),ISNUMBER(W303)),W269-W303,"")</f>
        <v>0</v>
      </c>
      <c r="X328" s="211">
        <f>IF(AND(ISNUMBER(X269),ISNUMBER(X303)),X269-X303,"")</f>
        <v>0</v>
      </c>
      <c r="Y328" s="211">
        <f>IF(AND(ISNUMBER(Y269),ISNUMBER(Y303)),Y269-Y303,"")</f>
        <v>0</v>
      </c>
      <c r="Z328" s="211">
        <f>IF(AND(ISNUMBER(Z269),ISNUMBER(Z303)),Z269-Z303,"")</f>
        <v>0</v>
      </c>
      <c r="AA328" s="211">
        <f>IF(AND(ISNUMBER(AA269),ISNUMBER(AA303)),AA269-AA303,"")</f>
        <v>0</v>
      </c>
      <c r="AB328" s="211">
        <f>IF(AND(ISNUMBER(AB269),ISNUMBER(AB303)),AB269-AB303,"")</f>
        <v>0</v>
      </c>
      <c r="AC328" s="211">
        <f>IF(AND(ISNUMBER(AC269),ISNUMBER(AC303)),AC269-AC303,"")</f>
        <v>0</v>
      </c>
      <c r="AD328" s="211">
        <f>IF(AND(ISNUMBER(AD269),ISNUMBER(AD303)),AD269-AD303,"")</f>
        <v>0</v>
      </c>
      <c r="AE328" s="211">
        <f>IF(AND(ISNUMBER(AE269),ISNUMBER(AE303)),AE269-AE303,"")</f>
        <v>0</v>
      </c>
      <c r="AF328" s="211">
        <f>IF(AND(ISNUMBER(AF269),ISNUMBER(AF303)),AF269-AF303,"")</f>
        <v>0</v>
      </c>
      <c r="AG328" s="211">
        <f>IF(AND(ISNUMBER(AG269),ISNUMBER(AG303)),AG269-AG303,"")</f>
        <v>0</v>
      </c>
      <c r="AH328" s="211">
        <f>IF(AND(ISNUMBER(AH269),ISNUMBER(AH303)),AH269-AH303,"")</f>
        <v>0</v>
      </c>
      <c r="AI328" s="211">
        <f>IF(AND(ISNUMBER(AI269),ISNUMBER(AI303)),AI269-AI303,"")</f>
        <v>0</v>
      </c>
      <c r="AJ328" s="211">
        <f>IF(AND(ISNUMBER(AJ269),ISNUMBER(AJ303)),AJ269-AJ303,"")</f>
        <v>0</v>
      </c>
      <c r="AK328" s="211">
        <f>IF(AND(ISNUMBER(AK269),ISNUMBER(AK303)),AK269-AK303,"")</f>
        <v>0</v>
      </c>
      <c r="AL328" s="211">
        <f>IF(AND(ISNUMBER(AL269),ISNUMBER(AL303)),AL269-AL303,"")</f>
        <v>0</v>
      </c>
      <c r="AM328" s="211">
        <f>IF(AND(ISNUMBER(AM269),ISNUMBER(AM303)),AM269-AM303,"")</f>
        <v>0</v>
      </c>
      <c r="AN328" s="211">
        <f>IF(AND(ISNUMBER(AN269),ISNUMBER(AN303)),AN269-AN303,"")</f>
        <v>0</v>
      </c>
      <c r="AO328" s="211">
        <f>IF(AND(ISNUMBER(AO269),ISNUMBER(AO303)),AO269-AO303,"")</f>
        <v>0</v>
      </c>
      <c r="AP328" s="211">
        <f>IF(AND(ISNUMBER(AP269),ISNUMBER(AP303)),AP269-AP303,"")</f>
        <v>0</v>
      </c>
      <c r="AQ328" s="211">
        <f>IF(AND(ISNUMBER(AQ269),ISNUMBER(AQ303)),AQ269-AQ303,"")</f>
        <v>0</v>
      </c>
      <c r="AR328" s="211">
        <f>IF(AND(ISNUMBER(AR269),ISNUMBER(AR303)),AR269-AR303,"")</f>
        <v>0</v>
      </c>
      <c r="AS328" s="211">
        <f>IF(AND(ISNUMBER(AS269),ISNUMBER(AS303)),AS269-AS303,"")</f>
        <v>0</v>
      </c>
      <c r="AT328" s="211">
        <f>IF(AND(ISNUMBER(AT269),ISNUMBER(AT303)),AT269-AT303,"")</f>
        <v>0</v>
      </c>
      <c r="AU328" s="211">
        <f>IF(AND(ISNUMBER(AU269),ISNUMBER(AU303)),AU269-AU303,"")</f>
        <v>0</v>
      </c>
      <c r="AV328" s="211">
        <f>IF(AND(ISNUMBER(AV269),ISNUMBER(AV303)),AV269-AV303,"")</f>
        <v>0</v>
      </c>
      <c r="AW328" s="211">
        <f>IF(AND(ISNUMBER(AW269),ISNUMBER(AW303)),AW269-AW303,"")</f>
        <v>0</v>
      </c>
      <c r="AX328" s="211">
        <f>IF(AND(ISNUMBER(AX269),ISNUMBER(AX303)),AX269-AX303,"")</f>
        <v>0</v>
      </c>
      <c r="AY328" s="211">
        <f>IF(AND(ISNUMBER(AY269),ISNUMBER(AY303)),AY269-AY303,"")</f>
        <v>0</v>
      </c>
      <c r="AZ328" s="211">
        <f>IF(AND(ISNUMBER(AZ269),ISNUMBER(AZ303)),AZ269-AZ303,"")</f>
        <v>0</v>
      </c>
      <c r="BA328" s="211">
        <f>IF(AND(ISNUMBER(BA269),ISNUMBER(BA303)),BA269-BA303,"")</f>
        <v>0</v>
      </c>
      <c r="BB328" s="211">
        <f>IF(AND(ISNUMBER(BB269),ISNUMBER(BB303)),BB269-BB303,"")</f>
        <v>0</v>
      </c>
      <c r="BC328" s="211">
        <f>IF(AND(ISNUMBER(BC269),ISNUMBER(BC303)),BC269-BC303,"")</f>
        <v>0</v>
      </c>
      <c r="BD328" s="211">
        <f>IF(AND(ISNUMBER(BD269),ISNUMBER(BD303)),BD269-BD303,"")</f>
        <v>0</v>
      </c>
      <c r="BE328" s="211">
        <f>IF(AND(ISNUMBER(BE269),ISNUMBER(BE303)),BE269-BE303,"")</f>
        <v>0</v>
      </c>
      <c r="BF328" s="211">
        <f>IF(AND(ISNUMBER(BF269),ISNUMBER(BF303)),BF269-BF303,"")</f>
        <v>0</v>
      </c>
      <c r="BG328" s="211">
        <f>IF(AND(ISNUMBER(BG269),ISNUMBER(BG303)),BG269-BG303,"")</f>
        <v>0</v>
      </c>
      <c r="BH328" s="211">
        <f>IF(AND(ISNUMBER(BH269),ISNUMBER(BH303)),BH269-BH303,"")</f>
        <v>0</v>
      </c>
      <c r="BI328" s="211">
        <f>IF(AND(ISNUMBER(BI269),ISNUMBER(BI303)),BI269-BI303,"")</f>
        <v>0</v>
      </c>
      <c r="BJ328" s="211">
        <f>IF(AND(ISNUMBER(BJ269),ISNUMBER(BJ303)),BJ269-BJ303,"")</f>
        <v>0</v>
      </c>
      <c r="BK328" s="211">
        <f>IF(AND(ISNUMBER(BK269),ISNUMBER(BK303)),BK269-BK303,"")</f>
        <v>0</v>
      </c>
      <c r="BL328" s="211">
        <f>IF(AND(ISNUMBER(BL269),ISNUMBER(BL303)),BL269-BL303,"")</f>
        <v>0</v>
      </c>
      <c r="BM328" s="211">
        <f>IF(AND(ISNUMBER(BM269),ISNUMBER(BM303)),BM269-BM303,"")</f>
        <v>0</v>
      </c>
      <c r="BN328" s="211">
        <f>IF(AND(ISNUMBER(BN269),ISNUMBER(BN303)),BN269-BN303,"")</f>
        <v>0</v>
      </c>
      <c r="BO328" s="211">
        <f>IF(AND(ISNUMBER(BO269),ISNUMBER(BO303)),BO269-BO303,"")</f>
        <v>0</v>
      </c>
      <c r="BP328" s="211">
        <f>IF(AND(ISNUMBER(BP269),ISNUMBER(BP303)),BP269-BP303,"")</f>
        <v>0</v>
      </c>
      <c r="BQ328" s="211">
        <f>IF(AND(ISNUMBER(BQ269),ISNUMBER(BQ303)),BQ269-BQ303,"")</f>
        <v>0</v>
      </c>
      <c r="BR328" s="211">
        <f>IF(AND(ISNUMBER(BR269),ISNUMBER(BR303)),BR269-BR303,"")</f>
        <v>0</v>
      </c>
      <c r="BS328" s="211">
        <f>IF(AND(ISNUMBER(BS269),ISNUMBER(BS303)),BS269-BS303,"")</f>
        <v>0</v>
      </c>
      <c r="BT328" s="211">
        <f>IF(AND(ISNUMBER(BT269),ISNUMBER(BT303)),BT269-BT303,"")</f>
        <v>0</v>
      </c>
      <c r="BU328" s="211">
        <f>IF(AND(ISNUMBER(BU269),ISNUMBER(BU303)),BU269-BU303,"")</f>
        <v>0</v>
      </c>
      <c r="BV328" s="211">
        <f>IF(AND(ISNUMBER(BV269),ISNUMBER(BV303)),BV269-BV303,"")</f>
        <v>0</v>
      </c>
      <c r="BW328" s="211">
        <f>IF(AND(ISNUMBER(BW269),ISNUMBER(BW303)),BW269-BW303,"")</f>
        <v>0</v>
      </c>
      <c r="BX328" s="211">
        <f>IF(AND(ISNUMBER(BX269),ISNUMBER(BX303)),BX269-BX303,"")</f>
        <v>0</v>
      </c>
      <c r="BY328" s="35" t="n"/>
      <c r="BZ328" s="35" t="n"/>
      <c r="CA328" s="254">
        <f>BX328</f>
        <v>0</v>
      </c>
      <c r="CB328" s="254">
        <f>CA328</f>
        <v>0</v>
      </c>
      <c r="CC328" s="254">
        <f>CB328</f>
        <v>0</v>
      </c>
      <c r="CD328" s="254">
        <f>CC328</f>
        <v>0</v>
      </c>
      <c r="CE328" s="254">
        <f>CD328</f>
        <v>0</v>
      </c>
      <c r="CF328" s="153" t="inlineStr">
        <is>
          <t>Forecast: held at the 30-Jun-2026 difference.</t>
        </is>
      </c>
    </row>
    <row r="329" ht="15" customHeight="1" s="251">
      <c r="B329" s="156" t="inlineStr">
        <is>
          <t xml:space="preserve">  Memo: shares outstanding at period end (Class A + B + C, m; split-adjusted)</t>
        </is>
      </c>
      <c r="C329" s="34" t="n"/>
      <c r="D329" s="34" t="n"/>
      <c r="E329" s="34" t="n"/>
      <c r="F329" s="285" t="n">
        <v>12710.88</v>
      </c>
      <c r="G329" s="285" t="n">
        <v>12852.04</v>
      </c>
      <c r="H329" s="285" t="n">
        <v>12995.8</v>
      </c>
      <c r="I329" s="285" t="n">
        <v>13199.16</v>
      </c>
      <c r="J329" s="285" t="n">
        <v>13240.32</v>
      </c>
      <c r="K329" s="285" t="n">
        <v>13325.36</v>
      </c>
      <c r="L329" s="285" t="n">
        <v>13366.28</v>
      </c>
      <c r="M329" s="285" t="n">
        <v>13433.28</v>
      </c>
      <c r="N329" s="285" t="n">
        <v>13433.28</v>
      </c>
      <c r="O329" s="285" t="n">
        <v>13489.24</v>
      </c>
      <c r="P329" s="285" t="n">
        <v>13518.1</v>
      </c>
      <c r="Q329" s="285" t="n">
        <v>13565.54</v>
      </c>
      <c r="R329" s="285" t="n">
        <v>13603.44</v>
      </c>
      <c r="S329" s="285" t="n">
        <v>13603.44</v>
      </c>
      <c r="T329" s="285" t="n">
        <v>13646.6</v>
      </c>
      <c r="U329" s="285" t="n">
        <v>13709.8</v>
      </c>
      <c r="V329" s="285" t="n">
        <v>13753.86</v>
      </c>
      <c r="W329" s="285" t="n">
        <v>13746.96</v>
      </c>
      <c r="X329" s="285" t="n">
        <v>13746.96</v>
      </c>
      <c r="Y329" s="285" t="n">
        <v>13735.84</v>
      </c>
      <c r="Z329" s="285" t="n">
        <v>13735.56</v>
      </c>
      <c r="AA329" s="285" t="n">
        <v>13782.72</v>
      </c>
      <c r="AB329" s="285" t="n">
        <v>13825.86</v>
      </c>
      <c r="AC329" s="285" t="n">
        <v>13825.86</v>
      </c>
      <c r="AD329" s="285" t="n">
        <v>13842.16</v>
      </c>
      <c r="AE329" s="285" t="n">
        <v>13857.52</v>
      </c>
      <c r="AF329" s="285" t="n">
        <v>13895.8</v>
      </c>
      <c r="AG329" s="285" t="n">
        <v>13895.66</v>
      </c>
      <c r="AH329" s="285" t="n">
        <v>13895.66</v>
      </c>
      <c r="AI329" s="285" t="n">
        <v>13898.9</v>
      </c>
      <c r="AJ329" s="285" t="n">
        <v>13918.92</v>
      </c>
      <c r="AK329" s="285" t="n">
        <v>13919.14</v>
      </c>
      <c r="AL329" s="285" t="n">
        <v>13911.12</v>
      </c>
      <c r="AM329" s="285" t="n">
        <v>13911.12</v>
      </c>
      <c r="AN329" s="285" t="n">
        <v>13895.64</v>
      </c>
      <c r="AO329" s="285" t="n">
        <v>13881</v>
      </c>
      <c r="AP329" s="285" t="n">
        <v>13818.12</v>
      </c>
      <c r="AQ329" s="285" t="n">
        <v>13766.7</v>
      </c>
      <c r="AR329" s="285" t="n">
        <v>13766.7</v>
      </c>
      <c r="AS329" s="285" t="n">
        <v>13679.44</v>
      </c>
      <c r="AT329" s="285" t="n">
        <v>13624.3</v>
      </c>
      <c r="AU329" s="285" t="n">
        <v>13554.48</v>
      </c>
      <c r="AV329" s="285" t="n">
        <v>13504.44</v>
      </c>
      <c r="AW329" s="285" t="n">
        <v>13504.44</v>
      </c>
      <c r="AX329" s="285" t="n">
        <v>13421.88</v>
      </c>
      <c r="AY329" s="285" t="n">
        <v>13352.74</v>
      </c>
      <c r="AZ329" s="285" t="n">
        <v>13293.64</v>
      </c>
      <c r="BA329" s="285" t="n">
        <v>13242.42</v>
      </c>
      <c r="BB329" s="285" t="n">
        <v>13242.42</v>
      </c>
      <c r="BC329" s="285" t="n">
        <v>13175.26</v>
      </c>
      <c r="BD329" s="285" t="n">
        <v>13078</v>
      </c>
      <c r="BE329" s="285" t="n">
        <v>12971</v>
      </c>
      <c r="BF329" s="285" t="n">
        <v>12849</v>
      </c>
      <c r="BG329" s="285" t="n">
        <v>12849</v>
      </c>
      <c r="BH329" s="285" t="n">
        <v>12722</v>
      </c>
      <c r="BI329" s="285" t="n">
        <v>12629</v>
      </c>
      <c r="BJ329" s="285" t="n">
        <v>12541</v>
      </c>
      <c r="BK329" s="285" t="n">
        <v>12460</v>
      </c>
      <c r="BL329" s="285" t="n">
        <v>12460</v>
      </c>
      <c r="BM329" s="285" t="n">
        <v>12381</v>
      </c>
      <c r="BN329" s="285" t="n">
        <v>12322</v>
      </c>
      <c r="BO329" s="285" t="n">
        <v>12264</v>
      </c>
      <c r="BP329" s="285" t="n">
        <v>12211</v>
      </c>
      <c r="BQ329" s="285" t="n">
        <v>12211</v>
      </c>
      <c r="BR329" s="285" t="n">
        <v>12155</v>
      </c>
      <c r="BS329" s="285" t="n">
        <v>12104</v>
      </c>
      <c r="BT329" s="285" t="n">
        <v>12077</v>
      </c>
      <c r="BU329" s="285" t="n">
        <v>12088</v>
      </c>
      <c r="BV329" s="285" t="n">
        <v>12088</v>
      </c>
      <c r="BW329" s="285" t="n">
        <v>12116</v>
      </c>
      <c r="BX329" s="285" t="n">
        <v>12230</v>
      </c>
      <c r="BY329" s="153" t="n"/>
      <c r="BZ329" s="153" t="n"/>
      <c r="CA329" s="286">
        <f>CA291</f>
        <v>12290</v>
      </c>
      <c r="CB329" s="286">
        <f>CB291</f>
        <v>12337.0897973005</v>
      </c>
      <c r="CC329" s="286">
        <f>CC291</f>
        <v>12457.0897973005</v>
      </c>
      <c r="CD329" s="286">
        <f>CD291</f>
        <v>12620.1835475273</v>
      </c>
      <c r="CE329" s="286">
        <f>CE291</f>
        <v>12740.1835475273</v>
      </c>
      <c r="CF329" s="153" t="n"/>
    </row>
    <row r="330" ht="15" customHeight="1" s="251">
      <c r="CN330" s="11" t="n"/>
      <c r="CO330" s="12" t="n"/>
      <c r="CP330" s="12" t="n"/>
      <c r="CQ330" s="12" t="n"/>
      <c r="CR330" s="13" t="n"/>
    </row>
    <row r="331" ht="15" customHeight="1" s="251">
      <c r="B331" s="10" t="inlineStr">
        <is>
          <t>WORKING CAPITAL &amp; CASH CONVERSION</t>
        </is>
      </c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  <c r="AD331" s="10" t="n"/>
      <c r="AE331" s="10" t="n"/>
      <c r="AF331" s="10" t="n"/>
      <c r="AG331" s="10" t="n"/>
      <c r="AH331" s="10" t="n"/>
      <c r="AI331" s="10" t="n"/>
      <c r="AJ331" s="10" t="n"/>
      <c r="AK331" s="10" t="n"/>
      <c r="AL331" s="10" t="n"/>
      <c r="AM331" s="10" t="n"/>
      <c r="AN331" s="10" t="n"/>
      <c r="AO331" s="10" t="n"/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0" t="n"/>
      <c r="BC331" s="10" t="n"/>
      <c r="BD331" s="10" t="n"/>
      <c r="BE331" s="10" t="n"/>
      <c r="BF331" s="10" t="n"/>
      <c r="BG331" s="10" t="n"/>
      <c r="BH331" s="10" t="n"/>
      <c r="BI331" s="10" t="n"/>
      <c r="BJ331" s="10" t="n"/>
      <c r="BK331" s="10" t="n"/>
      <c r="BL331" s="10" t="n"/>
      <c r="BM331" s="10" t="n"/>
      <c r="BN331" s="10" t="n"/>
      <c r="BO331" s="10" t="n"/>
      <c r="BP331" s="10" t="n"/>
      <c r="BQ331" s="10" t="n"/>
      <c r="BR331" s="10" t="n"/>
      <c r="BS331" s="10" t="n"/>
      <c r="BT331" s="10" t="n"/>
      <c r="BU331" s="10" t="n"/>
      <c r="BV331" s="10" t="n"/>
      <c r="BW331" s="10" t="n"/>
      <c r="BX331" s="10" t="n"/>
      <c r="BY331" s="10" t="n"/>
      <c r="BZ331" s="10" t="n"/>
      <c r="CA331" s="10" t="n"/>
      <c r="CB331" s="10" t="n"/>
      <c r="CC331" s="10" t="n"/>
      <c r="CD331" s="10" t="n"/>
      <c r="CE331" s="10" t="n"/>
      <c r="CF331" s="10" t="inlineStr">
        <is>
          <t>WORKING CAPITAL — forecast drivers (blue = input; year-end levels)</t>
        </is>
      </c>
    </row>
    <row r="332" ht="15" customHeight="1" s="251">
      <c r="B332" s="25" t="inlineStr">
        <is>
          <t xml:space="preserve">  Revenues — annualised (quarters × 4)</t>
        </is>
      </c>
      <c r="C332" s="211">
        <f>IF(ISNUMBER(C132),C132*1,"")</f>
        <v>10604.917</v>
      </c>
      <c r="D332" s="211">
        <f>IF(ISNUMBER(D132),D132*1,"")</f>
        <v>16593.986</v>
      </c>
      <c r="E332" s="211">
        <f>IF(ISNUMBER(E132),E132*1,"")</f>
        <v>21795.55</v>
      </c>
      <c r="F332" s="211">
        <f>IF(ISNUMBER(F132),F132*1,"")</f>
        <v>23650.563</v>
      </c>
      <c r="G332" s="211">
        <f>IF(ISNUMBER(G132),G132*1,"")</f>
        <v>29321</v>
      </c>
      <c r="H332" s="211">
        <f>IF(ISNUMBER(H132),H132*1,"")</f>
        <v>37905</v>
      </c>
      <c r="I332" s="211">
        <f>IF(ISNUMBER(I132),I132*1,"")</f>
        <v>50175</v>
      </c>
      <c r="J332" s="211">
        <f>IF(ISNUMBER(J132),J132*4,"")</f>
        <v>55876</v>
      </c>
      <c r="K332" s="211">
        <f>IF(ISNUMBER(K132),K132*4,"")</f>
        <v>56420</v>
      </c>
      <c r="L332" s="211">
        <f>IF(ISNUMBER(L132),L132*4,"")</f>
        <v>59572</v>
      </c>
      <c r="M332" s="211">
        <f>IF(ISNUMBER(M132),M132*4,"")</f>
        <v>67432</v>
      </c>
      <c r="N332" s="211">
        <f>IF(ISNUMBER(N132),N132*1,"")</f>
        <v>59825</v>
      </c>
      <c r="O332" s="211">
        <f>IF(ISNUMBER(O132),O132*4,"")</f>
        <v>61680</v>
      </c>
      <c r="P332" s="211">
        <f>IF(ISNUMBER(P132),P132*4,"")</f>
        <v>63820</v>
      </c>
      <c r="Q332" s="211">
        <f>IF(ISNUMBER(Q132),Q132*4,"")</f>
        <v>66092</v>
      </c>
      <c r="R332" s="211">
        <f>IF(ISNUMBER(R132),R132*4,"")</f>
        <v>72412</v>
      </c>
      <c r="S332" s="211">
        <f>IF(ISNUMBER(S132),S132*1,"")</f>
        <v>66001</v>
      </c>
      <c r="T332" s="211">
        <f>IF(ISNUMBER(T132),T132*4,"")</f>
        <v>69032</v>
      </c>
      <c r="U332" s="211">
        <f>IF(ISNUMBER(U132),U132*4,"")</f>
        <v>70908</v>
      </c>
      <c r="V332" s="211">
        <f>IF(ISNUMBER(V132),V132*4,"")</f>
        <v>74700</v>
      </c>
      <c r="W332" s="211">
        <f>IF(ISNUMBER(W132),W132*4,"")</f>
        <v>85316</v>
      </c>
      <c r="X332" s="211">
        <f>IF(ISNUMBER(X132),X132*1,"")</f>
        <v>74989</v>
      </c>
      <c r="Y332" s="211">
        <f>IF(ISNUMBER(Y132),Y132*4,"")</f>
        <v>81028</v>
      </c>
      <c r="Z332" s="211">
        <f>IF(ISNUMBER(Z132),Z132*4,"")</f>
        <v>86000</v>
      </c>
      <c r="AA332" s="211">
        <f>IF(ISNUMBER(AA132),AA132*4,"")</f>
        <v>89804</v>
      </c>
      <c r="AB332" s="211">
        <f>IF(ISNUMBER(AB132),AB132*4,"")</f>
        <v>104256</v>
      </c>
      <c r="AC332" s="211">
        <f>IF(ISNUMBER(AC132),AC132*1,"")</f>
        <v>90272</v>
      </c>
      <c r="AD332" s="211">
        <f>IF(ISNUMBER(AD132),AD132*4,"")</f>
        <v>99000</v>
      </c>
      <c r="AE332" s="211">
        <f>IF(ISNUMBER(AE132),AE132*4,"")</f>
        <v>104040</v>
      </c>
      <c r="AF332" s="211">
        <f>IF(ISNUMBER(AF132),AF132*4,"")</f>
        <v>111088</v>
      </c>
      <c r="AG332" s="211">
        <f>IF(ISNUMBER(AG132),AG132*4,"")</f>
        <v>129292</v>
      </c>
      <c r="AH332" s="211">
        <f>IF(ISNUMBER(AH132),AH132*1,"")</f>
        <v>110855</v>
      </c>
      <c r="AI332" s="211">
        <f>IF(ISNUMBER(AI132),AI132*4,"")</f>
        <v>124584</v>
      </c>
      <c r="AJ332" s="211">
        <f>IF(ISNUMBER(AJ132),AJ132*4,"")</f>
        <v>130628</v>
      </c>
      <c r="AK332" s="211">
        <f>IF(ISNUMBER(AK132),AK132*4,"")</f>
        <v>134960</v>
      </c>
      <c r="AL332" s="211">
        <f>IF(ISNUMBER(AL132),AL132*4,"")</f>
        <v>157104</v>
      </c>
      <c r="AM332" s="211">
        <f>IF(ISNUMBER(AM132),AM132*1,"")</f>
        <v>136819</v>
      </c>
      <c r="AN332" s="211">
        <f>IF(ISNUMBER(AN132),AN132*4,"")</f>
        <v>145356</v>
      </c>
      <c r="AO332" s="211">
        <f>IF(ISNUMBER(AO132),AO132*4,"")</f>
        <v>155776</v>
      </c>
      <c r="AP332" s="211">
        <f>IF(ISNUMBER(AP132),AP132*4,"")</f>
        <v>161996</v>
      </c>
      <c r="AQ332" s="211">
        <f>IF(ISNUMBER(AQ132),AQ132*4,"")</f>
        <v>184300</v>
      </c>
      <c r="AR332" s="211">
        <f>IF(ISNUMBER(AR132),AR132*1,"")</f>
        <v>161857</v>
      </c>
      <c r="AS332" s="211">
        <f>IF(ISNUMBER(AS132),AS132*4,"")</f>
        <v>164636</v>
      </c>
      <c r="AT332" s="211">
        <f>IF(ISNUMBER(AT132),AT132*4,"")</f>
        <v>153188</v>
      </c>
      <c r="AU332" s="211">
        <f>IF(ISNUMBER(AU132),AU132*4,"")</f>
        <v>184692</v>
      </c>
      <c r="AV332" s="211">
        <f>IF(ISNUMBER(AV132),AV132*4,"")</f>
        <v>227592</v>
      </c>
      <c r="AW332" s="211">
        <f>IF(ISNUMBER(AW132),AW132*1,"")</f>
        <v>182527</v>
      </c>
      <c r="AX332" s="211">
        <f>IF(ISNUMBER(AX132),AX132*4,"")</f>
        <v>221256</v>
      </c>
      <c r="AY332" s="211">
        <f>IF(ISNUMBER(AY132),AY132*4,"")</f>
        <v>247520</v>
      </c>
      <c r="AZ332" s="211">
        <f>IF(ISNUMBER(AZ132),AZ132*4,"")</f>
        <v>260472</v>
      </c>
      <c r="BA332" s="211">
        <f>IF(ISNUMBER(BA132),BA132*4,"")</f>
        <v>301300</v>
      </c>
      <c r="BB332" s="211">
        <f>IF(ISNUMBER(BB132),BB132*1,"")</f>
        <v>257637</v>
      </c>
      <c r="BC332" s="211">
        <f>IF(ISNUMBER(BC132),BC132*4,"")</f>
        <v>272044</v>
      </c>
      <c r="BD332" s="211">
        <f>IF(ISNUMBER(BD132),BD132*4,"")</f>
        <v>278740</v>
      </c>
      <c r="BE332" s="211">
        <f>IF(ISNUMBER(BE132),BE132*4,"")</f>
        <v>276368</v>
      </c>
      <c r="BF332" s="211">
        <f>IF(ISNUMBER(BF132),BF132*4,"")</f>
        <v>304192</v>
      </c>
      <c r="BG332" s="211">
        <f>IF(ISNUMBER(BG132),BG132*1,"")</f>
        <v>282836</v>
      </c>
      <c r="BH332" s="211">
        <f>IF(ISNUMBER(BH132),BH132*4,"")</f>
        <v>279148</v>
      </c>
      <c r="BI332" s="211">
        <f>IF(ISNUMBER(BI132),BI132*4,"")</f>
        <v>298416</v>
      </c>
      <c r="BJ332" s="211">
        <f>IF(ISNUMBER(BJ132),BJ132*4,"")</f>
        <v>306772</v>
      </c>
      <c r="BK332" s="211">
        <f>IF(ISNUMBER(BK132),BK132*4,"")</f>
        <v>345240</v>
      </c>
      <c r="BL332" s="211">
        <f>IF(ISNUMBER(BL132),BL132*1,"")</f>
        <v>307394</v>
      </c>
      <c r="BM332" s="211">
        <f>IF(ISNUMBER(BM132),BM132*4,"")</f>
        <v>322156</v>
      </c>
      <c r="BN332" s="211">
        <f>IF(ISNUMBER(BN132),BN132*4,"")</f>
        <v>338968</v>
      </c>
      <c r="BO332" s="211">
        <f>IF(ISNUMBER(BO132),BO132*4,"")</f>
        <v>353072</v>
      </c>
      <c r="BP332" s="211">
        <f>IF(ISNUMBER(BP132),BP132*4,"")</f>
        <v>385876</v>
      </c>
      <c r="BQ332" s="211">
        <f>IF(ISNUMBER(BQ132),BQ132*1,"")</f>
        <v>350018</v>
      </c>
      <c r="BR332" s="211">
        <f>IF(ISNUMBER(BR132),BR132*4,"")</f>
        <v>360936</v>
      </c>
      <c r="BS332" s="211">
        <f>IF(ISNUMBER(BS132),BS132*4,"")</f>
        <v>385712</v>
      </c>
      <c r="BT332" s="211">
        <f>IF(ISNUMBER(BT132),BT132*4,"")</f>
        <v>409384</v>
      </c>
      <c r="BU332" s="211">
        <f>IF(ISNUMBER(BU132),BU132*4,"")</f>
        <v>455316</v>
      </c>
      <c r="BV332" s="211">
        <f>IF(ISNUMBER(BV132),BV132*1,"")</f>
        <v>402836</v>
      </c>
      <c r="BW332" s="211">
        <f>IF(ISNUMBER(BW132),BW132*4,"")</f>
        <v>439584</v>
      </c>
      <c r="BX332" s="211">
        <f>IF(ISNUMBER(BX132),BX132*4,"")</f>
        <v>479184</v>
      </c>
      <c r="BY332" s="35" t="n"/>
      <c r="BZ332" s="35" t="n"/>
      <c r="CA332" s="254">
        <f>IF(ISNUMBER(CA132),CA132*1,"")</f>
        <v>498275.237720704</v>
      </c>
      <c r="CB332" s="254">
        <f>IF(ISNUMBER(CB132),CB132*1,"")</f>
        <v>584884.101093513</v>
      </c>
      <c r="CC332" s="254">
        <f>IF(ISNUMBER(CC132),CC132*1,"")</f>
        <v>670962.237105089</v>
      </c>
      <c r="CD332" s="254">
        <f>IF(ISNUMBER(CD132),CD132*1,"")</f>
        <v>758009.546641855</v>
      </c>
      <c r="CE332" s="254">
        <f>IF(ISNUMBER(CE132),CE132*1,"")</f>
        <v>843758.740007116</v>
      </c>
      <c r="CF332" s="19" t="n"/>
    </row>
    <row r="333" ht="15" customHeight="1" s="251">
      <c r="B333" s="25" t="inlineStr">
        <is>
          <t xml:space="preserve">  DSO — receivables / revenues × 365</t>
        </is>
      </c>
      <c r="C333" s="287">
        <f>IFERROR(C305/C332*365,"")</f>
        <v>45.5122939670344</v>
      </c>
      <c r="D333" s="287">
        <f>IFERROR(D305/D332*365,"")</f>
        <v>47.5666404081575</v>
      </c>
      <c r="E333" s="287">
        <f>IFERROR(E305/E332*365,"")</f>
        <v>44.2475679668556</v>
      </c>
      <c r="F333" s="287">
        <f>IFERROR(F305/F332*365,"")</f>
        <v>49.0534586851062</v>
      </c>
      <c r="G333" s="287">
        <f>IFERROR(G305/G332*365,"")</f>
        <v>52.9306640291941</v>
      </c>
      <c r="H333" s="287">
        <f>IFERROR(H305/H332*365,"")</f>
        <v>52.2584091808469</v>
      </c>
      <c r="I333" s="287">
        <f>IFERROR(I305/I332*365,"")</f>
        <v>57.3597409068261</v>
      </c>
      <c r="J333" s="287">
        <f>IFERROR(J305/J332*365,"")</f>
        <v>49.724031784666</v>
      </c>
      <c r="K333" s="287">
        <f>IFERROR(K305/K332*365,"")</f>
        <v>47.3620170152428</v>
      </c>
      <c r="L333" s="287">
        <f>IFERROR(L305/L332*365,"")</f>
        <v>48.5322802658967</v>
      </c>
      <c r="M333" s="287">
        <f>IFERROR(M305/M332*365,"")</f>
        <v>48.0770257444537</v>
      </c>
      <c r="N333" s="287">
        <f>IFERROR(N305/N332*365,"")</f>
        <v>54.1902214793147</v>
      </c>
      <c r="O333" s="287">
        <f>IFERROR(O305/O332*365,"")</f>
        <v>46.3173638132296</v>
      </c>
      <c r="P333" s="287">
        <f>IFERROR(P305/P332*365,"")</f>
        <v>47.5895487308054</v>
      </c>
      <c r="Q333" s="287">
        <f>IFERROR(Q305/Q332*365,"")</f>
        <v>45.4896961810809</v>
      </c>
      <c r="R333" s="287">
        <f>IFERROR(R305/R332*365,"")</f>
        <v>47.2959592332763</v>
      </c>
      <c r="S333" s="287">
        <f>IFERROR(S305/S332*365,"")</f>
        <v>51.8900471204982</v>
      </c>
      <c r="T333" s="287">
        <f>IFERROR(T305/T332*365,"")</f>
        <v>45.3870668675397</v>
      </c>
      <c r="U333" s="287">
        <f>IFERROR(U305/U332*365,"")</f>
        <v>48.3557567552321</v>
      </c>
      <c r="V333" s="287">
        <f>IFERROR(V305/V332*365,"")</f>
        <v>47.6356760374833</v>
      </c>
      <c r="W333" s="287">
        <f>IFERROR(W305/W332*365,"")</f>
        <v>49.4390266772938</v>
      </c>
      <c r="X333" s="287">
        <f>IFERROR(X305/X332*365,"")</f>
        <v>56.2474496259451</v>
      </c>
      <c r="Y333" s="287">
        <f>IFERROR(Y305/Y332*365,"")</f>
        <v>48.7309325171546</v>
      </c>
      <c r="Z333" s="287">
        <f>IFERROR(Z305/Z332*365,"")</f>
        <v>49.5975581395349</v>
      </c>
      <c r="AA333" s="287">
        <f>IFERROR(AA305/AA332*365,"")</f>
        <v>48.687530622244</v>
      </c>
      <c r="AB333" s="287">
        <f>IFERROR(AB305/AB332*365,"")</f>
        <v>49.4936022866789</v>
      </c>
      <c r="AC333" s="287">
        <f>IFERROR(AC305/AC332*365,"")</f>
        <v>57.16063674229</v>
      </c>
      <c r="AD333" s="287">
        <f>IFERROR(AD305/AD332*365,"")</f>
        <v>47.6085353535354</v>
      </c>
      <c r="AE333" s="287">
        <f>IFERROR(AE305/AE332*365,"")</f>
        <v>49.1262495194156</v>
      </c>
      <c r="AF333" s="287">
        <f>IFERROR(AF305/AF332*365,"")</f>
        <v>50.2545279418119</v>
      </c>
      <c r="AG333" s="287">
        <f>IFERROR(AG305/AG332*365,"")</f>
        <v>51.7637595520218</v>
      </c>
      <c r="AH333" s="287">
        <f>IFERROR(AH305/AH332*365,"")</f>
        <v>60.3729195796311</v>
      </c>
      <c r="AI333" s="287">
        <f>IFERROR(AI305/AI332*365,"")</f>
        <v>49.1524192512682</v>
      </c>
      <c r="AJ333" s="287">
        <f>IFERROR(AJ305/AJ332*365,"")</f>
        <v>47.6214517561319</v>
      </c>
      <c r="AK333" s="287">
        <f>IFERROR(AK305/AK332*365,"")</f>
        <v>48.4025266745703</v>
      </c>
      <c r="AL333" s="287">
        <f>IFERROR(AL305/AL332*365,"")</f>
        <v>48.4129621142683</v>
      </c>
      <c r="AM333" s="287">
        <f>IFERROR(AM305/AM332*365,"")</f>
        <v>55.5907439756174</v>
      </c>
      <c r="AN333" s="287">
        <f>IFERROR(AN305/AN332*365,"")</f>
        <v>48.0845991909519</v>
      </c>
      <c r="AO333" s="287">
        <f>IFERROR(AO305/AO332*365,"")</f>
        <v>49.1232603225144</v>
      </c>
      <c r="AP333" s="287">
        <f>IFERROR(AP305/AP332*365,"")</f>
        <v>47.0658843428233</v>
      </c>
      <c r="AQ333" s="287">
        <f>IFERROR(AQ305/AQ332*365,"")</f>
        <v>50.157297883885</v>
      </c>
      <c r="AR333" s="287">
        <f>IFERROR(AR305/AR332*365,"")</f>
        <v>57.1120804166641</v>
      </c>
      <c r="AS333" s="287">
        <f>IFERROR(AS305/AS332*365,"")</f>
        <v>48.3862885395661</v>
      </c>
      <c r="AT333" s="287">
        <f>IFERROR(AT305/AT332*365,"")</f>
        <v>50.515477713659</v>
      </c>
      <c r="AU333" s="287">
        <f>IFERROR(AU305/AU332*365,"")</f>
        <v>49.2583598639898</v>
      </c>
      <c r="AV333" s="287">
        <f>IFERROR(AV305/AV332*365,"")</f>
        <v>49.6038964462723</v>
      </c>
      <c r="AW333" s="287">
        <f>IFERROR(AW305/AW332*365,"")</f>
        <v>61.8508494633671</v>
      </c>
      <c r="AX333" s="287">
        <f>IFERROR(AX305/AX332*365,"")</f>
        <v>46.2007357992552</v>
      </c>
      <c r="AY333" s="287">
        <f>IFERROR(AY305/AY332*365,"")</f>
        <v>47.1394432773109</v>
      </c>
      <c r="AZ333" s="287">
        <f>IFERROR(AZ305/AZ332*365,"")</f>
        <v>47.7101377499309</v>
      </c>
      <c r="BA333" s="287">
        <f>IFERROR(BA305/BA332*365,"")</f>
        <v>47.6135413209426</v>
      </c>
      <c r="BB333" s="287">
        <f>IFERROR(BB305/BB332*365,"")</f>
        <v>55.6828405857854</v>
      </c>
      <c r="BC333" s="287">
        <f>IFERROR(BC305/BC332*365,"")</f>
        <v>46.5608320712826</v>
      </c>
      <c r="BD333" s="287">
        <f>IFERROR(BD305/BD332*365,"")</f>
        <v>46.7570316423908</v>
      </c>
      <c r="BE333" s="287">
        <f>IFERROR(BE305/BE332*365,"")</f>
        <v>45.8244261274822</v>
      </c>
      <c r="BF333" s="287">
        <f>IFERROR(BF305/BF332*365,"")</f>
        <v>48.3055767410057</v>
      </c>
      <c r="BG333" s="287">
        <f>IFERROR(BG305/BG332*365,"")</f>
        <v>51.9529692118401</v>
      </c>
      <c r="BH333" s="287">
        <f>IFERROR(BH305/BH332*365,"")</f>
        <v>47.1188760084256</v>
      </c>
      <c r="BI333" s="287">
        <f>IFERROR(BI305/BI332*365,"")</f>
        <v>47.462133397673</v>
      </c>
      <c r="BJ333" s="287">
        <f>IFERROR(BJ305/BJ332*365,"")</f>
        <v>48.8059536072393</v>
      </c>
      <c r="BK333" s="287">
        <f>IFERROR(BK305/BK332*365,"")</f>
        <v>50.7092457420925</v>
      </c>
      <c r="BL333" s="287">
        <f>IFERROR(BL305/BL332*365,"")</f>
        <v>56.9525104588899</v>
      </c>
      <c r="BM333" s="287">
        <f>IFERROR(BM305/BM332*365,"")</f>
        <v>50.4770359701511</v>
      </c>
      <c r="BN333" s="287">
        <f>IFERROR(BN305/BN332*365,"")</f>
        <v>50.7031784711241</v>
      </c>
      <c r="BO333" s="287">
        <f>IFERROR(BO305/BO332*365,"")</f>
        <v>50.7629038836271</v>
      </c>
      <c r="BP333" s="287">
        <f>IFERROR(BP305/BP332*365,"")</f>
        <v>49.508391296686</v>
      </c>
      <c r="BQ333" s="287">
        <f>IFERROR(BQ305/BQ332*365,"")</f>
        <v>54.5803358684411</v>
      </c>
      <c r="BR333" s="287">
        <f>IFERROR(BR305/BR332*365,"")</f>
        <v>51.5742403085312</v>
      </c>
      <c r="BS333" s="287">
        <f>IFERROR(BS305/BS332*365,"")</f>
        <v>52.0920272120131</v>
      </c>
      <c r="BT333" s="287">
        <f>IFERROR(BT305/BT332*365,"")</f>
        <v>50.9522111269615</v>
      </c>
      <c r="BU333" s="287">
        <f>IFERROR(BU305/BU332*365,"")</f>
        <v>50.4119995783148</v>
      </c>
      <c r="BV333" s="287">
        <f>IFERROR(BV305/BV332*365,"")</f>
        <v>56.979490412972</v>
      </c>
      <c r="BW333" s="287">
        <f>IFERROR(BW305/BW332*365,"")</f>
        <v>52.3099908094926</v>
      </c>
      <c r="BX333" s="287">
        <f>IFERROR(BX305/BX332*365,"")</f>
        <v>52.6913982937661</v>
      </c>
      <c r="BY333" s="35" t="n"/>
      <c r="BZ333" s="35" t="n"/>
      <c r="CA333" s="288" t="n">
        <v>57</v>
      </c>
      <c r="CB333" s="288" t="n">
        <v>57</v>
      </c>
      <c r="CC333" s="288" t="n">
        <v>57</v>
      </c>
      <c r="CD333" s="288" t="n">
        <v>57</v>
      </c>
      <c r="CE333" s="288" t="n">
        <v>57</v>
      </c>
      <c r="CF333" s="19" t="n"/>
    </row>
    <row r="334" ht="15" customHeight="1" s="251">
      <c r="B334" s="25" t="inlineStr">
        <is>
          <t xml:space="preserve">  Accounts payable % of annual capex (payables are dominated by technical-infrastructure vendors)</t>
        </is>
      </c>
      <c r="C334" s="215">
        <f>IFERROR(C314/(-C254*1),"")</f>
        <v>0.110978149020548</v>
      </c>
      <c r="D334" s="215">
        <f>IFERROR(D314/(-D254*1),"")</f>
        <v>0.117405237136056</v>
      </c>
      <c r="E334" s="215">
        <f>IFERROR(E314/(-E254*1),"")</f>
        <v>0.075474642150114</v>
      </c>
      <c r="F334" s="215">
        <f>IFERROR(F314/(-F254*1),"")</f>
        <v>0.266539323955905</v>
      </c>
      <c r="G334" s="215">
        <f>IFERROR(G314/(-G254*1),"")</f>
        <v>0.120209059233449</v>
      </c>
      <c r="H334" s="215">
        <f>IFERROR(H314/(-H254*1),"")</f>
        <v>0.171029668411867</v>
      </c>
      <c r="I334" s="215">
        <f>IFERROR(I314/(-I254*1),"")</f>
        <v>0.614726550565231</v>
      </c>
      <c r="J334" s="215">
        <f>IFERROR(J314/(-J254*4),"")</f>
        <v>0.435162094763092</v>
      </c>
      <c r="K334" s="215">
        <f>IFERROR(K314/(-K254*4),"")</f>
        <v>0.272811918063315</v>
      </c>
      <c r="L334" s="215">
        <f>IFERROR(L314/(-L254*4),"")</f>
        <v>0.231979030144168</v>
      </c>
      <c r="M334" s="215">
        <f>IFERROR(M314/(-M254*4),"")</f>
        <v>0.271951219512195</v>
      </c>
      <c r="N334" s="215">
        <f>IFERROR(N314/(-N254*1),"")</f>
        <v>0.333378635498777</v>
      </c>
      <c r="O334" s="215">
        <f>IFERROR(O314/(-O254*4),"")</f>
        <v>0.173027718550107</v>
      </c>
      <c r="P334" s="215">
        <f>IFERROR(P314/(-P254*4),"")</f>
        <v>0.127078609221466</v>
      </c>
      <c r="Q334" s="215">
        <f>IFERROR(Q314/(-Q254*4),"")</f>
        <v>0.1414977244518</v>
      </c>
      <c r="R334" s="215">
        <f>IFERROR(R314/(-R254*4),"")</f>
        <v>0.120740636440439</v>
      </c>
      <c r="S334" s="215">
        <f>IFERROR(S314/(-S254*1),"")</f>
        <v>0.156492380691669</v>
      </c>
      <c r="T334" s="215">
        <f>IFERROR(T314/(-T254*4),"")</f>
        <v>0.144174923129484</v>
      </c>
      <c r="U334" s="215">
        <f>IFERROR(U314/(-U254*4),"")</f>
        <v>0.130715705765408</v>
      </c>
      <c r="V334" s="215">
        <f>IFERROR(V314/(-V254*4),"")</f>
        <v>0.163190054782975</v>
      </c>
      <c r="W334" s="215">
        <f>IFERROR(W314/(-W254*4),"")</f>
        <v>0.229880952380952</v>
      </c>
      <c r="X334" s="215">
        <f>IFERROR(X314/(-X254*1),"")</f>
        <v>0.194755421079173</v>
      </c>
      <c r="Y334" s="215">
        <f>IFERROR(Y314/(-Y254*4),"")</f>
        <v>0.171643327841845</v>
      </c>
      <c r="Z334" s="215">
        <f>IFERROR(Z314/(-Z254*4),"")</f>
        <v>0.202072538860104</v>
      </c>
      <c r="AA334" s="215">
        <f>IFERROR(AA314/(-AA254*4),"")</f>
        <v>0.210511033681765</v>
      </c>
      <c r="AB334" s="215">
        <f>IFERROR(AB314/(-AB254*4),"")</f>
        <v>0.165773229369721</v>
      </c>
      <c r="AC334" s="215">
        <f>IFERROR(AC314/(-AC254*1),"")</f>
        <v>0.199862906384646</v>
      </c>
      <c r="AD334" s="215">
        <f>IFERROR(AD314/(-AD254*4),"")</f>
        <v>0.229864433811802</v>
      </c>
      <c r="AE334" s="215">
        <f>IFERROR(AE314/(-AE254*4),"")</f>
        <v>0.219710349699753</v>
      </c>
      <c r="AF334" s="215">
        <f>IFERROR(AF314/(-AF254*4),"")</f>
        <v>0.188948558507631</v>
      </c>
      <c r="AG334" s="215">
        <f>IFERROR(AG314/(-AG254*4),"")</f>
        <v>0.182087299744602</v>
      </c>
      <c r="AH334" s="215">
        <f>IFERROR(AH314/(-AH254*1),"")</f>
        <v>0.237939927184466</v>
      </c>
      <c r="AI334" s="215">
        <f>IFERROR(AI314/(-AI254*4),"")</f>
        <v>0.120769968488834</v>
      </c>
      <c r="AJ334" s="215">
        <f>IFERROR(AJ314/(-AJ254*4),"")</f>
        <v>0.153779441299982</v>
      </c>
      <c r="AK334" s="215">
        <f>IFERROR(AK314/(-AK254*4),"")</f>
        <v>0.179335478985233</v>
      </c>
      <c r="AL334" s="215">
        <f>IFERROR(AL314/(-AL254*4),"")</f>
        <v>0.15456856376218</v>
      </c>
      <c r="AM334" s="215">
        <f>IFERROR(AM314/(-AM254*1),"")</f>
        <v>0.174151716456502</v>
      </c>
      <c r="AN334" s="215">
        <f>IFERROR(AN314/(-AN254*4),"")</f>
        <v>0.19997843898232</v>
      </c>
      <c r="AO334" s="215">
        <f>IFERROR(AO314/(-AO254*4),"")</f>
        <v>0.160177930133856</v>
      </c>
      <c r="AP334" s="215">
        <f>IFERROR(AP314/(-AP254*4),"")</f>
        <v>0.153817587641117</v>
      </c>
      <c r="AQ334" s="215">
        <f>IFERROR(AQ314/(-AQ254*4),"")</f>
        <v>0.229717448777264</v>
      </c>
      <c r="AR334" s="215">
        <f>IFERROR(AR314/(-AR254*1),"")</f>
        <v>0.23615593680992</v>
      </c>
      <c r="AS334" s="215">
        <f>IFERROR(AS314/(-AS254*4),"")</f>
        <v>0.170649458784346</v>
      </c>
      <c r="AT334" s="215">
        <f>IFERROR(AT314/(-AT254*4),"")</f>
        <v>0.188462251901317</v>
      </c>
      <c r="AU334" s="215">
        <f>IFERROR(AU314/(-AU254*4),"")</f>
        <v>0.203061413244543</v>
      </c>
      <c r="AV334" s="215">
        <f>IFERROR(AV314/(-AV254*4),"")</f>
        <v>0.255019164081037</v>
      </c>
      <c r="AW334" s="215">
        <f>IFERROR(AW314/(-AW254*1),"")</f>
        <v>0.250841524168574</v>
      </c>
      <c r="AX334" s="215">
        <f>IFERROR(AX314/(-AX254*4),"")</f>
        <v>0.201994278020868</v>
      </c>
      <c r="AY334" s="215">
        <f>IFERROR(AY314/(-AY254*4),"")</f>
        <v>0.214155749636099</v>
      </c>
      <c r="AZ334" s="215">
        <f>IFERROR(AZ314/(-AZ254*4),"")</f>
        <v>0.169233025370289</v>
      </c>
      <c r="BA334" s="215">
        <f>IFERROR(BA314/(-BA254*4),"")</f>
        <v>0.236448378505405</v>
      </c>
      <c r="BB334" s="215">
        <f>IFERROR(BB314/(-BB254*1),"")</f>
        <v>0.245008116883117</v>
      </c>
      <c r="BC334" s="215">
        <f>IFERROR(BC314/(-BC254*4),"")</f>
        <v>0.0877784590230942</v>
      </c>
      <c r="BD334" s="215">
        <f>IFERROR(BD314/(-BD254*4),"")</f>
        <v>0.161430872876391</v>
      </c>
      <c r="BE334" s="215">
        <f>IFERROR(BE314/(-BE254*4),"")</f>
        <v>0.216568169323804</v>
      </c>
      <c r="BF334" s="215">
        <f>IFERROR(BF314/(-BF254*4),"")</f>
        <v>0.1687952600395</v>
      </c>
      <c r="BG334" s="215">
        <f>IFERROR(BG314/(-BG254*1),"")</f>
        <v>0.16287120851199</v>
      </c>
      <c r="BH334" s="215">
        <f>IFERROR(BH314/(-BH254*4),"")</f>
        <v>0.16632214978534</v>
      </c>
      <c r="BI334" s="215">
        <f>IFERROR(BI314/(-BI254*4),"")</f>
        <v>0.192835365853659</v>
      </c>
      <c r="BJ334" s="215">
        <f>IFERROR(BJ314/(-BJ254*4),"")</f>
        <v>0.180105524518932</v>
      </c>
      <c r="BK334" s="215">
        <f>IFERROR(BK314/(-BK254*4),"")</f>
        <v>0.170001815046737</v>
      </c>
      <c r="BL334" s="215">
        <f>IFERROR(BL314/(-BL254*1),"")</f>
        <v>0.232333881119965</v>
      </c>
      <c r="BM334" s="215">
        <f>IFERROR(BM314/(-BM254*4),"")</f>
        <v>0.128996003996004</v>
      </c>
      <c r="BN334" s="215">
        <f>IFERROR(BN314/(-BN254*4),"")</f>
        <v>0.11550128924617</v>
      </c>
      <c r="BO334" s="215">
        <f>IFERROR(BO314/(-BO254*4),"")</f>
        <v>0.134924584641299</v>
      </c>
      <c r="BP334" s="215">
        <f>IFERROR(BP314/(-BP254*4),"")</f>
        <v>0.139867609974783</v>
      </c>
      <c r="BQ334" s="215">
        <f>IFERROR(BQ314/(-BQ254*1),"")</f>
        <v>0.152031978680879</v>
      </c>
      <c r="BR334" s="215">
        <f>IFERROR(BR314/(-BR254*4),"")</f>
        <v>0.123524451939292</v>
      </c>
      <c r="BS334" s="215">
        <f>IFERROR(BS314/(-BS254*4),"")</f>
        <v>0.0929675666042948</v>
      </c>
      <c r="BT334" s="215">
        <f>IFERROR(BT314/(-BT254*4),"")</f>
        <v>0.110069719868075</v>
      </c>
      <c r="BU334" s="215">
        <f>IFERROR(BU314/(-BU254*4),"")</f>
        <v>0.109511328139026</v>
      </c>
      <c r="BV334" s="215">
        <f>IFERROR(BV314/(-BV254*1),"")</f>
        <v>0.133410609424038</v>
      </c>
      <c r="BW334" s="215">
        <f>IFERROR(BW314/(-BW254*4),"")</f>
        <v>0.118097213657005</v>
      </c>
      <c r="BX334" s="215">
        <f>IFERROR(BX314/(-BX254*4),"")</f>
        <v>0.11273484106491</v>
      </c>
      <c r="BY334" s="24" t="n"/>
      <c r="BZ334" s="24" t="n"/>
      <c r="CA334" s="268" t="n">
        <v>0.12</v>
      </c>
      <c r="CB334" s="268" t="n">
        <v>0.12</v>
      </c>
      <c r="CC334" s="268" t="n">
        <v>0.12</v>
      </c>
      <c r="CD334" s="268" t="n">
        <v>0.12</v>
      </c>
      <c r="CE334" s="268" t="n">
        <v>0.12</v>
      </c>
      <c r="CF334" s="153" t="n"/>
    </row>
    <row r="335" ht="15" customHeight="1" s="251">
      <c r="B335" s="25" t="inlineStr">
        <is>
          <t xml:space="preserve">  Other current liabilities % of revenues</t>
        </is>
      </c>
      <c r="C335" s="215">
        <f>IFERROR(C316/C332,"")</f>
        <v>0.103104814493126</v>
      </c>
      <c r="D335" s="215">
        <f>IFERROR(D316/D332,"")</f>
        <v>0.105670572459203</v>
      </c>
      <c r="E335" s="215">
        <f>IFERROR(E316/E332,"")</f>
        <v>0.0974550309581543</v>
      </c>
      <c r="F335" s="215">
        <f>IFERROR(F316/F332,"")</f>
        <v>0.107041849278599</v>
      </c>
      <c r="G335" s="215">
        <f>IFERROR(G316/G332,"")</f>
        <v>0.206268544729034</v>
      </c>
      <c r="H335" s="215">
        <f>IFERROR(H316/H332,"")</f>
        <v>0.187495053423031</v>
      </c>
      <c r="I335" s="215">
        <f>IFERROR(I316/I332,"")</f>
        <v>0.194838066766318</v>
      </c>
      <c r="J335" s="215">
        <f>IFERROR(J316/J332,"")</f>
        <v>0.161214116973298</v>
      </c>
      <c r="K335" s="215">
        <f>IFERROR(K316/K332,"")</f>
        <v>0.187362637362637</v>
      </c>
      <c r="L335" s="215">
        <f>IFERROR(L316/L332,"")</f>
        <v>0.190391459074733</v>
      </c>
      <c r="M335" s="215">
        <f>IFERROR(M316/M332,"")</f>
        <v>0.184571123502195</v>
      </c>
      <c r="N335" s="215">
        <f>IFERROR(N316/N332,"")</f>
        <v>0.20804011700794</v>
      </c>
      <c r="O335" s="215">
        <f>IFERROR(O316/O332,"")</f>
        <v>0.221108949416342</v>
      </c>
      <c r="P335" s="215">
        <f>IFERROR(P316/P332,"")</f>
        <v>0.246678157317455</v>
      </c>
      <c r="Q335" s="215">
        <f>IFERROR(Q316/Q332,"")</f>
        <v>0.250302608485142</v>
      </c>
      <c r="R335" s="215">
        <f>IFERROR(R316/R332,"")</f>
        <v>0.208252775783019</v>
      </c>
      <c r="S335" s="215">
        <f>IFERROR(S316/S332,"")</f>
        <v>0.228481386645657</v>
      </c>
      <c r="T335" s="215">
        <f>IFERROR(T316/T332,"")</f>
        <v>0.183089002201877</v>
      </c>
      <c r="U335" s="215">
        <f>IFERROR(U316/U332,"")</f>
        <v>0.212091724488069</v>
      </c>
      <c r="V335" s="215">
        <f>IFERROR(V316/V332,"")</f>
        <v>0.209785809906292</v>
      </c>
      <c r="W335" s="215">
        <f>IFERROR(W316/W332,"")</f>
        <v>0.165900886117493</v>
      </c>
      <c r="X335" s="215">
        <f>IFERROR(X316/X332,"")</f>
        <v>0.188747682993506</v>
      </c>
      <c r="Y335" s="215">
        <f>IFERROR(Y316/Y332,"")</f>
        <v>0.182578861628079</v>
      </c>
      <c r="Z335" s="215">
        <f>IFERROR(Z316/Z332,"")</f>
        <v>0.179127906976744</v>
      </c>
      <c r="AA335" s="215">
        <f>IFERROR(AA316/AA332,"")</f>
        <v>0.135272370941161</v>
      </c>
      <c r="AB335" s="215">
        <f>IFERROR(AB316/AB332,"")</f>
        <v>0.141142955801105</v>
      </c>
      <c r="AC335" s="215">
        <f>IFERROR(AC316/AC332,"")</f>
        <v>0.163007355547678</v>
      </c>
      <c r="AD335" s="215">
        <f>IFERROR(AD316/AD332,"")</f>
        <v>0.130808080808081</v>
      </c>
      <c r="AE335" s="215">
        <f>IFERROR(AE316/AE332,"")</f>
        <v>0.155680507497116</v>
      </c>
      <c r="AF335" s="215">
        <f>IFERROR(AF316/AF332,"")</f>
        <v>0.162204738585626</v>
      </c>
      <c r="AG335" s="215">
        <f>IFERROR(AG316/AG332,"")</f>
        <v>0.162778826222813</v>
      </c>
      <c r="AH335" s="215">
        <f>IFERROR(AH316/AH332,"")</f>
        <v>0.189851607956339</v>
      </c>
      <c r="AI335" s="215">
        <f>IFERROR(AI316/AI332,"")</f>
        <v>0.154425929493354</v>
      </c>
      <c r="AJ335" s="215">
        <f>IFERROR(AJ316/AJ332,"")</f>
        <v>0.203126435373733</v>
      </c>
      <c r="AK335" s="215">
        <f>IFERROR(AK316/AK332,"")</f>
        <v>0.20385299347955</v>
      </c>
      <c r="AL335" s="215">
        <f>IFERROR(AL316/AL332,"")</f>
        <v>0.192496690090641</v>
      </c>
      <c r="AM335" s="215">
        <f>IFERROR(AM316/AM332,"")</f>
        <v>0.221036551940885</v>
      </c>
      <c r="AN335" s="215">
        <f>IFERROR(AN316/AN332,"")</f>
        <v>0.21464542227359</v>
      </c>
      <c r="AO335" s="215">
        <f>IFERROR(AO316/AO332,"")</f>
        <v>0.212324106409203</v>
      </c>
      <c r="AP335" s="215">
        <f>IFERROR(AP316/AP332,"")</f>
        <v>0.216560902738339</v>
      </c>
      <c r="AQ335" s="215">
        <f>IFERROR(AQ316/AQ332,"")</f>
        <v>0.215192620727075</v>
      </c>
      <c r="AR335" s="215">
        <f>IFERROR(AR316/AR332,"")</f>
        <v>0.245031107706185</v>
      </c>
      <c r="AS335" s="215">
        <f>IFERROR(AS316/AS332,"")</f>
        <v>0.21921086518137</v>
      </c>
      <c r="AT335" s="215">
        <f>IFERROR(AT316/AT332,"")</f>
        <v>0.251050996161579</v>
      </c>
      <c r="AU335" s="215">
        <f>IFERROR(AU316/AU332,"")</f>
        <v>0.231791306607758</v>
      </c>
      <c r="AV335" s="215">
        <f>IFERROR(AV316/AV332,"")</f>
        <v>0.220772259130374</v>
      </c>
      <c r="AW335" s="215">
        <f>IFERROR(AW316/AW332,"")</f>
        <v>0.275279821615432</v>
      </c>
      <c r="AX335" s="215">
        <f>IFERROR(AX316/AX332,"")</f>
        <v>0.224409733521351</v>
      </c>
      <c r="AY335" s="215">
        <f>IFERROR(AY316/AY332,"")</f>
        <v>0.206177278603749</v>
      </c>
      <c r="AZ335" s="215">
        <f>IFERROR(AZ316/AZ332,"")</f>
        <v>0.219470806842962</v>
      </c>
      <c r="BA335" s="215">
        <f>IFERROR(BA316/BA332,"")</f>
        <v>0.193219382675075</v>
      </c>
      <c r="BB335" s="215">
        <f>IFERROR(BB316/BB332,"")</f>
        <v>0.225965214623676</v>
      </c>
      <c r="BC335" s="215">
        <f>IFERROR(BC316/BC332,"")</f>
        <v>0.215082854244166</v>
      </c>
      <c r="BD335" s="215">
        <f>IFERROR(BD316/BD332,"")</f>
        <v>0.20429432446007</v>
      </c>
      <c r="BE335" s="215">
        <f>IFERROR(BE316/BE332,"")</f>
        <v>0.215929485323916</v>
      </c>
      <c r="BF335" s="215">
        <f>IFERROR(BF316/BF332,"")</f>
        <v>0.210958868083316</v>
      </c>
      <c r="BG335" s="215">
        <f>IFERROR(BG316/BG332,"")</f>
        <v>0.226887666350818</v>
      </c>
      <c r="BH335" s="215">
        <f>IFERROR(BH316/BH332,"")</f>
        <v>0.228090475303423</v>
      </c>
      <c r="BI335" s="215">
        <f>IFERROR(BI316/BI332,"")</f>
        <v>0.239253257198005</v>
      </c>
      <c r="BJ335" s="215">
        <f>IFERROR(BJ316/BJ332,"")</f>
        <v>0.259124040003651</v>
      </c>
      <c r="BK335" s="215">
        <f>IFERROR(BK316/BK332,"")</f>
        <v>0.212376897230912</v>
      </c>
      <c r="BL335" s="215">
        <f>IFERROR(BL316/BL332,"")</f>
        <v>0.238524499502267</v>
      </c>
      <c r="BM335" s="215">
        <f>IFERROR(BM316/BM332,"")</f>
        <v>0.219766200225977</v>
      </c>
      <c r="BN335" s="215">
        <f>IFERROR(BN316/BN332,"")</f>
        <v>0.211881357532274</v>
      </c>
      <c r="BO335" s="215">
        <f>IFERROR(BO316/BO332,"")</f>
        <v>0.203230502560384</v>
      </c>
      <c r="BP335" s="215">
        <f>IFERROR(BP316/BP332,"")</f>
        <v>0.201712467217448</v>
      </c>
      <c r="BQ335" s="215">
        <f>IFERROR(BQ316/BQ332,"")</f>
        <v>0.222377134890206</v>
      </c>
      <c r="BR335" s="215">
        <f>IFERROR(BR316/BR332,"")</f>
        <v>0.220695635791387</v>
      </c>
      <c r="BS335" s="215">
        <f>IFERROR(BS316/BS332,"")</f>
        <v>0.194349670220268</v>
      </c>
      <c r="BT335" s="215">
        <f>IFERROR(BT316/BT332,"")</f>
        <v>0.205208312977547</v>
      </c>
      <c r="BU335" s="215">
        <f>IFERROR(BU316/BU332,"")</f>
        <v>0.194478120689807</v>
      </c>
      <c r="BV335" s="215">
        <f>IFERROR(BV316/BV332,"")</f>
        <v>0.219814018608069</v>
      </c>
      <c r="BW335" s="215">
        <f>IFERROR(BW316/BW332,"")</f>
        <v>0.210057690907767</v>
      </c>
      <c r="BX335" s="215">
        <f>IFERROR(BX316/BX332,"")</f>
        <v>0.216730942602424</v>
      </c>
      <c r="BY335" s="24" t="n"/>
      <c r="BZ335" s="24" t="n"/>
      <c r="CA335" s="268" t="n">
        <v>0.22</v>
      </c>
      <c r="CB335" s="268" t="n">
        <v>0.22</v>
      </c>
      <c r="CC335" s="268" t="n">
        <v>0.22</v>
      </c>
      <c r="CD335" s="268" t="n">
        <v>0.22</v>
      </c>
      <c r="CE335" s="268" t="n">
        <v>0.22</v>
      </c>
      <c r="CF335" s="153" t="inlineStr">
        <is>
          <t>Forecast inputs at FY2025 year-end levels: DSO 57d on revenues; payables 12% of annual capex (FY2025 13.3%, Q2-26 11.3% annualised); other current liabilities 22.0% of revenues (incl. accrued legal &amp; regulatory fines and settlements of $17.4bn at 30-Jun-2026).</t>
        </is>
      </c>
    </row>
    <row r="336" ht="15" customHeight="1" s="251">
      <c r="B336" s="25" t="inlineStr">
        <is>
          <t xml:space="preserve">  Operating NWC (receivables + other current assets − payables − other current liabilities)</t>
        </is>
      </c>
      <c r="C336" s="211">
        <f>IF(ISNUMBER(C305),C305+C306-C314-C316,"")</f>
        <v>491.346</v>
      </c>
      <c r="D336" s="211">
        <f>IF(ISNUMBER(D305),D305+D306-D314-D316,"")</f>
        <v>1034.923</v>
      </c>
      <c r="E336" s="211">
        <f>IF(ISNUMBER(E305),E305+E306-E314-E316,"")</f>
        <v>2030.321</v>
      </c>
      <c r="F336" s="211">
        <f>IF(ISNUMBER(F305),F305+F306-F314-F316,"")</f>
        <v>1934.716</v>
      </c>
      <c r="G336" s="211">
        <f>IF(ISNUMBER(G305),G305+G306-G314-G316,"")</f>
        <v>56</v>
      </c>
      <c r="H336" s="211">
        <f>IF(ISNUMBER(H305),H305+H306-H314-H316,"")</f>
        <v>437</v>
      </c>
      <c r="I336" s="211">
        <f>IF(ISNUMBER(I305),I305+I306-I314-I316,"")</f>
        <v>578</v>
      </c>
      <c r="J336" s="211">
        <f>IF(ISNUMBER(J305),J305+J306-J314-J316,"")</f>
        <v>1608</v>
      </c>
      <c r="K336" s="211">
        <f>IF(ISNUMBER(K305),K305+K306-K314-K316,"")</f>
        <v>100</v>
      </c>
      <c r="L336" s="211">
        <f>IF(ISNUMBER(L305),L305+L306-L314-L316,"")</f>
        <v>-1131</v>
      </c>
      <c r="M336" s="211">
        <f>IF(ISNUMBER(M305),M305+M306-M314-M316,"")</f>
        <v>-730</v>
      </c>
      <c r="N336" s="211">
        <f>IF(ISNUMBER(N305),N305+N306-N314-N316,"")</f>
        <v>-730</v>
      </c>
      <c r="O336" s="211">
        <f>IF(ISNUMBER(O305),O305+O306-O314-O316,"")</f>
        <v>674</v>
      </c>
      <c r="P336" s="211">
        <f>IF(ISNUMBER(P305),P305+P306-P314-P316,"")</f>
        <v>-387</v>
      </c>
      <c r="Q336" s="211">
        <f>IF(ISNUMBER(Q305),Q305+Q306-Q314-Q316,"")</f>
        <v>47</v>
      </c>
      <c r="R336" s="211">
        <f>IF(ISNUMBER(R305),R305+R306-R314-R316,"")</f>
        <v>-505</v>
      </c>
      <c r="S336" s="211">
        <f>IF(ISNUMBER(S305),S305+S306-S314-S316,"")</f>
        <v>-505</v>
      </c>
      <c r="T336" s="211">
        <f>IF(ISNUMBER(T305),T305+T306-T314-T316,"")</f>
        <v>550</v>
      </c>
      <c r="U336" s="211">
        <f>IF(ISNUMBER(U305),U305+U306-U314-U316,"")</f>
        <v>-1970</v>
      </c>
      <c r="V336" s="211">
        <f>IF(ISNUMBER(V305),V305+V306-V314-V316,"")</f>
        <v>-1884</v>
      </c>
      <c r="W336" s="211">
        <f>IF(ISNUMBER(W305),W305+W306-W314-W316,"")</f>
        <v>963</v>
      </c>
      <c r="X336" s="211">
        <f>IF(ISNUMBER(X305),X305+X306-X314-X316,"")</f>
        <v>963</v>
      </c>
      <c r="Y336" s="211">
        <f>IF(ISNUMBER(Y305),Y305+Y306-Y314-Y316,"")</f>
        <v>-770</v>
      </c>
      <c r="Z336" s="211">
        <f>IF(ISNUMBER(Z305),Z305+Z306-Z314-Z316,"")</f>
        <v>-1343</v>
      </c>
      <c r="AA336" s="211">
        <f>IF(ISNUMBER(AA305),AA305+AA306-AA314-AA316,"")</f>
        <v>1167</v>
      </c>
      <c r="AB336" s="211">
        <f>IF(ISNUMBER(AB305),AB305+AB306-AB314-AB316,"")</f>
        <v>2319</v>
      </c>
      <c r="AC336" s="211">
        <f>IF(ISNUMBER(AC305),AC305+AC306-AC314-AC316,"")</f>
        <v>2319</v>
      </c>
      <c r="AD336" s="211">
        <f>IF(ISNUMBER(AD305),AD305+AD306-AD314-AD316,"")</f>
        <v>1099</v>
      </c>
      <c r="AE336" s="211">
        <f>IF(ISNUMBER(AE305),AE305+AE306-AE314-AE316,"")</f>
        <v>-1012</v>
      </c>
      <c r="AF336" s="211">
        <f>IF(ISNUMBER(AF305),AF305+AF306-AF314-AF316,"")</f>
        <v>-1491</v>
      </c>
      <c r="AG336" s="211">
        <f>IF(ISNUMBER(AG305),AG305+AG306-AG314-AG316,"")</f>
        <v>-1746</v>
      </c>
      <c r="AH336" s="211">
        <f>IF(ISNUMBER(AH305),AH305+AH306-AH314-AH316,"")</f>
        <v>-1746</v>
      </c>
      <c r="AI336" s="211">
        <f>IF(ISNUMBER(AI305),AI305+AI306-AI314-AI316,"")</f>
        <v>-1889</v>
      </c>
      <c r="AJ336" s="211">
        <f>IF(ISNUMBER(AJ305),AJ305+AJ306-AJ314-AJ316,"")</f>
        <v>-8000</v>
      </c>
      <c r="AK336" s="211">
        <f>IF(ISNUMBER(AK305),AK305+AK306-AK314-AK316,"")</f>
        <v>-8015</v>
      </c>
      <c r="AL336" s="211">
        <f>IF(ISNUMBER(AL305),AL305+AL306-AL314-AL316,"")</f>
        <v>-8084</v>
      </c>
      <c r="AM336" s="211">
        <f>IF(ISNUMBER(AM305),AM305+AM306-AM314-AM316,"")</f>
        <v>-8084</v>
      </c>
      <c r="AN336" s="211">
        <f>IF(ISNUMBER(AN305),AN305+AN306-AN314-AN316,"")</f>
        <v>-10191</v>
      </c>
      <c r="AO336" s="211">
        <f>IF(ISNUMBER(AO305),AO305+AO306-AO314-AO316,"")</f>
        <v>-10619</v>
      </c>
      <c r="AP336" s="211">
        <f>IF(ISNUMBER(AP305),AP305+AP306-AP314-AP316,"")</f>
        <v>-12043</v>
      </c>
      <c r="AQ336" s="211">
        <f>IF(ISNUMBER(AQ305),AQ305+AQ306-AQ314-AQ316,"")</f>
        <v>-12318</v>
      </c>
      <c r="AR336" s="211">
        <f>IF(ISNUMBER(AR305),AR305+AR306-AR314-AR316,"")</f>
        <v>-12318</v>
      </c>
      <c r="AS336" s="211">
        <f>IF(ISNUMBER(AS305),AS305+AS306-AS314-AS316,"")</f>
        <v>-10400</v>
      </c>
      <c r="AT336" s="211">
        <f>IF(ISNUMBER(AT305),AT305+AT306-AT314-AT316,"")</f>
        <v>-14533</v>
      </c>
      <c r="AU336" s="211">
        <f>IF(ISNUMBER(AU305),AU305+AU306-AU314-AU316,"")</f>
        <v>-15428</v>
      </c>
      <c r="AV336" s="211">
        <f>IF(ISNUMBER(AV305),AV305+AV306-AV314-AV316,"")</f>
        <v>-18233</v>
      </c>
      <c r="AW336" s="211">
        <f>IF(ISNUMBER(AW305),AW305+AW306-AW314-AW316,"")</f>
        <v>-18233</v>
      </c>
      <c r="AX336" s="211">
        <f>IF(ISNUMBER(AX305),AX305+AX306-AX314-AX316,"")</f>
        <v>-17420</v>
      </c>
      <c r="AY336" s="211">
        <f>IF(ISNUMBER(AY305),AY305+AY306-AY314-AY316,"")</f>
        <v>-15907</v>
      </c>
      <c r="AZ336" s="211">
        <f>IF(ISNUMBER(AZ305),AZ305+AZ306-AZ314-AZ316,"")</f>
        <v>-19675</v>
      </c>
      <c r="BA336" s="211">
        <f>IF(ISNUMBER(BA305),BA305+BA306-BA314-BA316,"")</f>
        <v>-15760</v>
      </c>
      <c r="BB336" s="211">
        <f>IF(ISNUMBER(BB305),BB305+BB306-BB314-BB316,"")</f>
        <v>-15760</v>
      </c>
      <c r="BC336" s="211">
        <f>IF(ISNUMBER(BC305),BC305+BC306-BC314-BC316,"")</f>
        <v>-18065</v>
      </c>
      <c r="BD336" s="211">
        <f>IF(ISNUMBER(BD305),BD305+BD306-BD314-BD316,"")</f>
        <v>-13980</v>
      </c>
      <c r="BE336" s="211">
        <f>IF(ISNUMBER(BE305),BE305+BE306-BE314-BE316,"")</f>
        <v>-16129</v>
      </c>
      <c r="BF336" s="211">
        <f>IF(ISNUMBER(BF305),BF305+BF306-BF314-BF316,"")</f>
        <v>-18267</v>
      </c>
      <c r="BG336" s="211">
        <f>IF(ISNUMBER(BG305),BG305+BG306-BG314-BG316,"")</f>
        <v>-18267</v>
      </c>
      <c r="BH336" s="211">
        <f>IF(ISNUMBER(BH305),BH305+BH306-BH314-BH316,"")</f>
        <v>-20972</v>
      </c>
      <c r="BI336" s="211">
        <f>IF(ISNUMBER(BI305),BI305+BI306-BI314-BI316,"")</f>
        <v>-26254</v>
      </c>
      <c r="BJ336" s="211">
        <f>IF(ISNUMBER(BJ305),BJ305+BJ306-BJ314-BJ316,"")</f>
        <v>-28920</v>
      </c>
      <c r="BK336" s="211">
        <f>IF(ISNUMBER(BK305),BK305+BK306-BK314-BK316,"")</f>
        <v>-20200</v>
      </c>
      <c r="BL336" s="211">
        <f>IF(ISNUMBER(BL305),BL305+BL306-BL314-BL316,"")</f>
        <v>-20200</v>
      </c>
      <c r="BM336" s="211">
        <f>IF(ISNUMBER(BM305),BM305+BM306-BM314-BM316,"")</f>
        <v>-19616</v>
      </c>
      <c r="BN336" s="211">
        <f>IF(ISNUMBER(BN305),BN305+BN306-BN314-BN316,"")</f>
        <v>-16643</v>
      </c>
      <c r="BO336" s="211">
        <f>IF(ISNUMBER(BO305),BO305+BO306-BO314-BO316,"")</f>
        <v>-14493</v>
      </c>
      <c r="BP336" s="211">
        <f>IF(ISNUMBER(BP305),BP305+BP306-BP314-BP316,"")</f>
        <v>-17769</v>
      </c>
      <c r="BQ336" s="211">
        <f>IF(ISNUMBER(BQ305),BQ305+BQ306-BQ314-BQ316,"")</f>
        <v>-17769</v>
      </c>
      <c r="BR336" s="211">
        <f>IF(ISNUMBER(BR305),BR305+BR306-BR314-BR316,"")</f>
        <v>-21430</v>
      </c>
      <c r="BS336" s="211">
        <f>IF(ISNUMBER(BS305),BS305+BS306-BS314-BS316,"")</f>
        <v>-12242</v>
      </c>
      <c r="BT336" s="211">
        <f>IF(ISNUMBER(BT305),BT305+BT306-BT314-BT316,"")</f>
        <v>-19104</v>
      </c>
      <c r="BU336" s="211">
        <f>IF(ISNUMBER(BU305),BU305+BU306-BU314-BU316,"")</f>
        <v>-21554</v>
      </c>
      <c r="BV336" s="211">
        <f>IF(ISNUMBER(BV305),BV305+BV306-BV314-BV316,"")</f>
        <v>-21554</v>
      </c>
      <c r="BW336" s="211">
        <f>IF(ISNUMBER(BW305),BW305+BW306-BW314-BW316,"")</f>
        <v>-22277</v>
      </c>
      <c r="BX336" s="211">
        <f>IF(ISNUMBER(BX305),BX305+BX306-BX314-BX316,"")</f>
        <v>-23062</v>
      </c>
      <c r="BY336" s="35" t="n"/>
      <c r="BZ336" s="35" t="n"/>
      <c r="CA336" s="254">
        <f>IF(ISNUMBER(CA305),CA305+CA306-CA314-CA316,"")</f>
        <v>-31032.7069558696</v>
      </c>
      <c r="CB336" s="254">
        <f>IF(ISNUMBER(CB305),CB305+CB306-CB314-CB316,"")</f>
        <v>-38255.1131879515</v>
      </c>
      <c r="CC336" s="254">
        <f>IF(ISNUMBER(CC305),CC305+CC306-CC314-CC316,"")</f>
        <v>-41870.0286805336</v>
      </c>
      <c r="CD336" s="254">
        <f>IF(ISNUMBER(CD305),CD305+CD306-CD314-CD316,"")</f>
        <v>-44898.6231859906</v>
      </c>
      <c r="CE336" s="254">
        <f>IF(ISNUMBER(CE305),CE305+CE306-CE314-CE316,"")</f>
        <v>-47908.895948889</v>
      </c>
      <c r="CF336" s="19" t="n"/>
    </row>
    <row r="337" ht="15" customHeight="1" s="251">
      <c r="B337" s="25" t="inlineStr">
        <is>
          <t xml:space="preserve">  NWC % of revenues</t>
        </is>
      </c>
      <c r="C337" s="215">
        <f>IF(ISNUMBER(C336),IFERROR(C336/C332,""),"")</f>
        <v>0.0463319043421085</v>
      </c>
      <c r="D337" s="215">
        <f>IF(ISNUMBER(D336),IFERROR(D336/D332,""),"")</f>
        <v>0.0623673540522452</v>
      </c>
      <c r="E337" s="215">
        <f>IF(ISNUMBER(E336),IFERROR(E336/E332,""),"")</f>
        <v>0.0931530060035191</v>
      </c>
      <c r="F337" s="215">
        <f>IF(ISNUMBER(F336),IFERROR(F336/F332,""),"")</f>
        <v>0.0818042259712803</v>
      </c>
      <c r="G337" s="215">
        <f>IF(ISNUMBER(G336),IFERROR(G336/G332,""),"")</f>
        <v>0.00190989393267624</v>
      </c>
      <c r="H337" s="215">
        <f>IF(ISNUMBER(H336),IFERROR(H336/H332,""),"")</f>
        <v>0.0115288220551378</v>
      </c>
      <c r="I337" s="215">
        <f>IF(ISNUMBER(I336),IFERROR(I336/I332,""),"")</f>
        <v>0.0115196811160937</v>
      </c>
      <c r="J337" s="215">
        <f>IF(ISNUMBER(J336),IFERROR(J336/J332,""),"")</f>
        <v>0.0287780084472761</v>
      </c>
      <c r="K337" s="215">
        <f>IF(ISNUMBER(K336),IFERROR(K336/K332,""),"")</f>
        <v>0.00177242112725984</v>
      </c>
      <c r="L337" s="215">
        <f>IF(ISNUMBER(L336),IFERROR(L336/L332,""),"")</f>
        <v>-0.0189854293963607</v>
      </c>
      <c r="M337" s="215">
        <f>IF(ISNUMBER(M336),IFERROR(M336/M332,""),"")</f>
        <v>-0.0108257207260648</v>
      </c>
      <c r="N337" s="215">
        <f>IF(ISNUMBER(N336),IFERROR(N336/N332,""),"")</f>
        <v>-0.0122022565816966</v>
      </c>
      <c r="O337" s="215">
        <f>IF(ISNUMBER(O336),IFERROR(O336/O332,""),"")</f>
        <v>0.0109273670557717</v>
      </c>
      <c r="P337" s="215">
        <f>IF(ISNUMBER(P336),IFERROR(P336/P332,""),"")</f>
        <v>-0.00606392980256973</v>
      </c>
      <c r="Q337" s="215">
        <f>IF(ISNUMBER(Q336),IFERROR(Q336/Q332,""),"")</f>
        <v>0.00071112994008352</v>
      </c>
      <c r="R337" s="215">
        <f>IF(ISNUMBER(R336),IFERROR(R336/R332,""),"")</f>
        <v>-0.00697398221289289</v>
      </c>
      <c r="S337" s="215">
        <f>IF(ISNUMBER(S336),IFERROR(S336/S332,""),"")</f>
        <v>-0.00765139922122392</v>
      </c>
      <c r="T337" s="215">
        <f>IF(ISNUMBER(T336),IFERROR(T336/T332,""),"")</f>
        <v>0.00796731950399815</v>
      </c>
      <c r="U337" s="215">
        <f>IF(ISNUMBER(U336),IFERROR(U336/U332,""),"")</f>
        <v>-0.0277824787048006</v>
      </c>
      <c r="V337" s="215">
        <f>IF(ISNUMBER(V336),IFERROR(V336/V332,""),"")</f>
        <v>-0.0252208835341365</v>
      </c>
      <c r="W337" s="215">
        <f>IF(ISNUMBER(W336),IFERROR(W336/W332,""),"")</f>
        <v>0.0112874490130808</v>
      </c>
      <c r="X337" s="215">
        <f>IF(ISNUMBER(X336),IFERROR(X336/X332,""),"")</f>
        <v>0.0128418834762432</v>
      </c>
      <c r="Y337" s="215">
        <f>IF(ISNUMBER(Y336),IFERROR(Y336/Y332,""),"")</f>
        <v>-0.00950288789060572</v>
      </c>
      <c r="Z337" s="215">
        <f>IF(ISNUMBER(Z336),IFERROR(Z336/Z332,""),"")</f>
        <v>-0.0156162790697674</v>
      </c>
      <c r="AA337" s="215">
        <f>IF(ISNUMBER(AA336),IFERROR(AA336/AA332,""),"")</f>
        <v>0.0129949668166229</v>
      </c>
      <c r="AB337" s="215">
        <f>IF(ISNUMBER(AB336),IFERROR(AB336/AB332,""),"")</f>
        <v>0.0222433241252302</v>
      </c>
      <c r="AC337" s="215">
        <f>IF(ISNUMBER(AC336),IFERROR(AC336/AC332,""),"")</f>
        <v>0.0256890287132223</v>
      </c>
      <c r="AD337" s="215">
        <f>IF(ISNUMBER(AD336),IFERROR(AD336/AD332,""),"")</f>
        <v>0.0111010101010101</v>
      </c>
      <c r="AE337" s="215">
        <f>IF(ISNUMBER(AE336),IFERROR(AE336/AE332,""),"")</f>
        <v>-0.00972702806612841</v>
      </c>
      <c r="AF337" s="215">
        <f>IF(ISNUMBER(AF336),IFERROR(AF336/AF332,""),"")</f>
        <v>-0.0134217917326804</v>
      </c>
      <c r="AG337" s="215">
        <f>IF(ISNUMBER(AG336),IFERROR(AG336/AG332,""),"")</f>
        <v>-0.0135043158122699</v>
      </c>
      <c r="AH337" s="215">
        <f>IF(ISNUMBER(AH336),IFERROR(AH336/AH332,""),"")</f>
        <v>-0.0157503044517613</v>
      </c>
      <c r="AI337" s="215">
        <f>IF(ISNUMBER(AI336),IFERROR(AI336/AI332,""),"")</f>
        <v>-0.0151624606691068</v>
      </c>
      <c r="AJ337" s="215">
        <f>IF(ISNUMBER(AJ336),IFERROR(AJ336/AJ332,""),"")</f>
        <v>-0.0612426126098539</v>
      </c>
      <c r="AK337" s="215">
        <f>IF(ISNUMBER(AK336),IFERROR(AK336/AK332,""),"")</f>
        <v>-0.0593879668049793</v>
      </c>
      <c r="AL337" s="215">
        <f>IF(ISNUMBER(AL336),IFERROR(AL336/AL332,""),"")</f>
        <v>-0.0514563601181383</v>
      </c>
      <c r="AM337" s="215">
        <f>IF(ISNUMBER(AM336),IFERROR(AM336/AM332,""),"")</f>
        <v>-0.0590853609513299</v>
      </c>
      <c r="AN337" s="215">
        <f>IF(ISNUMBER(AN336),IFERROR(AN336/AN332,""),"")</f>
        <v>-0.0701106249484026</v>
      </c>
      <c r="AO337" s="215">
        <f>IF(ISNUMBER(AO336),IFERROR(AO336/AO332,""),"")</f>
        <v>-0.0681683956450288</v>
      </c>
      <c r="AP337" s="215">
        <f>IF(ISNUMBER(AP336),IFERROR(AP336/AP332,""),"")</f>
        <v>-0.074341341761525</v>
      </c>
      <c r="AQ337" s="215">
        <f>IF(ISNUMBER(AQ336),IFERROR(AQ336/AQ332,""),"")</f>
        <v>-0.0668366793271839</v>
      </c>
      <c r="AR337" s="215">
        <f>IF(ISNUMBER(AR336),IFERROR(AR336/AR332,""),"")</f>
        <v>-0.0761042154494399</v>
      </c>
      <c r="AS337" s="215">
        <f>IF(ISNUMBER(AS336),IFERROR(AS336/AS332,""),"")</f>
        <v>-0.063169659126801</v>
      </c>
      <c r="AT337" s="215">
        <f>IF(ISNUMBER(AT336),IFERROR(AT336/AT332,""),"")</f>
        <v>-0.094870355380317</v>
      </c>
      <c r="AU337" s="215">
        <f>IF(ISNUMBER(AU336),IFERROR(AU336/AU332,""),"")</f>
        <v>-0.0835336668615858</v>
      </c>
      <c r="AV337" s="215">
        <f>IF(ISNUMBER(AV336),IFERROR(AV336/AV332,""),"")</f>
        <v>-0.0801126577384091</v>
      </c>
      <c r="AW337" s="215">
        <f>IF(ISNUMBER(AW336),IFERROR(AW336/AW332,""),"")</f>
        <v>-0.0998920707621338</v>
      </c>
      <c r="AX337" s="215">
        <f>IF(ISNUMBER(AX336),IFERROR(AX336/AX332,""),"")</f>
        <v>-0.0787323281628521</v>
      </c>
      <c r="AY337" s="215">
        <f>IF(ISNUMBER(AY336),IFERROR(AY336/AY332,""),"")</f>
        <v>-0.0642655138978668</v>
      </c>
      <c r="AZ337" s="215">
        <f>IF(ISNUMBER(AZ336),IFERROR(AZ336/AZ332,""),"")</f>
        <v>-0.0755359501213182</v>
      </c>
      <c r="BA337" s="215">
        <f>IF(ISNUMBER(BA336),IFERROR(BA336/BA332,""),"")</f>
        <v>-0.052306671091935</v>
      </c>
      <c r="BB337" s="215">
        <f>IF(ISNUMBER(BB336),IFERROR(BB336/BB332,""),"")</f>
        <v>-0.0611713379677608</v>
      </c>
      <c r="BC337" s="215">
        <f>IF(ISNUMBER(BC336),IFERROR(BC336/BC332,""),"")</f>
        <v>-0.0664046992398289</v>
      </c>
      <c r="BD337" s="215">
        <f>IF(ISNUMBER(BD336),IFERROR(BD336/BD332,""),"")</f>
        <v>-0.0501542656238789</v>
      </c>
      <c r="BE337" s="215">
        <f>IF(ISNUMBER(BE336),IFERROR(BE336/BE332,""),"")</f>
        <v>-0.0583605916748683</v>
      </c>
      <c r="BF337" s="215">
        <f>IF(ISNUMBER(BF336),IFERROR(BF336/BF332,""),"")</f>
        <v>-0.0600508889122659</v>
      </c>
      <c r="BG337" s="215">
        <f>IF(ISNUMBER(BG336),IFERROR(BG336/BG332,""),"")</f>
        <v>-0.0645851306057221</v>
      </c>
      <c r="BH337" s="215">
        <f>IF(ISNUMBER(BH336),IFERROR(BH336/BH332,""),"")</f>
        <v>-0.0751286056142261</v>
      </c>
      <c r="BI337" s="215">
        <f>IF(ISNUMBER(BI336),IFERROR(BI336/BI332,""),"")</f>
        <v>-0.0879778564152056</v>
      </c>
      <c r="BJ337" s="215">
        <f>IF(ISNUMBER(BJ336),IFERROR(BJ336/BJ332,""),"")</f>
        <v>-0.0942719674546569</v>
      </c>
      <c r="BK337" s="215">
        <f>IF(ISNUMBER(BK336),IFERROR(BK336/BK332,""),"")</f>
        <v>-0.0585100220136717</v>
      </c>
      <c r="BL337" s="215">
        <f>IF(ISNUMBER(BL336),IFERROR(BL336/BL332,""),"")</f>
        <v>-0.0657137094413034</v>
      </c>
      <c r="BM337" s="215">
        <f>IF(ISNUMBER(BM336),IFERROR(BM336/BM332,""),"")</f>
        <v>-0.0608897552738425</v>
      </c>
      <c r="BN337" s="215">
        <f>IF(ISNUMBER(BN336),IFERROR(BN336/BN332,""),"")</f>
        <v>-0.0490990299969319</v>
      </c>
      <c r="BO337" s="215">
        <f>IF(ISNUMBER(BO336),IFERROR(BO336/BO332,""),"")</f>
        <v>-0.0410482847691123</v>
      </c>
      <c r="BP337" s="215">
        <f>IF(ISNUMBER(BP336),IFERROR(BP336/BP332,""),"")</f>
        <v>-0.0460484715297142</v>
      </c>
      <c r="BQ337" s="215">
        <f>IF(ISNUMBER(BQ336),IFERROR(BQ336/BQ332,""),"")</f>
        <v>-0.0507659606077402</v>
      </c>
      <c r="BR337" s="215">
        <f>IF(ISNUMBER(BR336),IFERROR(BR336/BR332,""),"")</f>
        <v>-0.0593734069197863</v>
      </c>
      <c r="BS337" s="215">
        <f>IF(ISNUMBER(BS336),IFERROR(BS336/BS332,""),"")</f>
        <v>-0.0317387065997428</v>
      </c>
      <c r="BT337" s="215">
        <f>IF(ISNUMBER(BT336),IFERROR(BT336/BT332,""),"")</f>
        <v>-0.0466652336192914</v>
      </c>
      <c r="BU337" s="215">
        <f>IF(ISNUMBER(BU336),IFERROR(BU336/BU332,""),"")</f>
        <v>-0.0473385516871799</v>
      </c>
      <c r="BV337" s="215">
        <f>IF(ISNUMBER(BV336),IFERROR(BV336/BV332,""),"")</f>
        <v>-0.0535056449771123</v>
      </c>
      <c r="BW337" s="215">
        <f>IF(ISNUMBER(BW336),IFERROR(BW336/BW332,""),"")</f>
        <v>-0.0506774586882143</v>
      </c>
      <c r="BX337" s="215">
        <f>IF(ISNUMBER(BX336),IFERROR(BX336/BX332,""),"")</f>
        <v>-0.0481276503389095</v>
      </c>
      <c r="BY337" s="24" t="n"/>
      <c r="BZ337" s="24" t="n"/>
      <c r="CA337" s="256">
        <f>IF(ISNUMBER(CA336),IFERROR(CA336/CA332,""),"")</f>
        <v>-0.0622802511676573</v>
      </c>
      <c r="CB337" s="256">
        <f>IF(ISNUMBER(CB336),IFERROR(CB336/CB332,""),"")</f>
        <v>-0.065406314031154</v>
      </c>
      <c r="CC337" s="256">
        <f>IF(ISNUMBER(CC336),IFERROR(CC336/CC332,""),"")</f>
        <v>-0.0624029585646796</v>
      </c>
      <c r="CD337" s="256">
        <f>IF(ISNUMBER(CD336),IFERROR(CD336/CD332,""),"")</f>
        <v>-0.0592322661170973</v>
      </c>
      <c r="CE337" s="256">
        <f>IF(ISNUMBER(CE336),IFERROR(CE336/CE332,""),"")</f>
        <v>-0.0567803255566692</v>
      </c>
      <c r="CF337" s="153" t="n"/>
      <c r="CH337" s="37">
        <f>IFERROR(AVERAGE(CA337,CB337,CC337,CD337,CE337),"n/m")</f>
        <v>-0.0612204230874515</v>
      </c>
      <c r="CI337" s="37">
        <f>IFERROR(AVERAGE(BB337,BG337,BL337,BQ337,BV337),"n/m")</f>
        <v>-0.0591483567199277</v>
      </c>
      <c r="CJ337" s="37">
        <f>IFERROR(AVERAGE(AC337,AH337,AM337,AR337,AW337,BB337,BG337,BL337,BQ337,BV337),"n/m")</f>
        <v>-0.0520884706501081</v>
      </c>
      <c r="CK337" s="37">
        <f>IFERROR(AVERAGE(C337,D337,E337,F337,G337,H337,I337,N337,S337,X337,AC337,AH337,AM337,AR337,AW337,BB337,BG337,BL337,BQ337,BV337),"n/m")</f>
        <v>-0.0109640795677349</v>
      </c>
    </row>
    <row r="338" ht="15" customHeight="1" s="251">
      <c r="CN338" s="11" t="n"/>
      <c r="CO338" s="12" t="n"/>
      <c r="CP338" s="12" t="n"/>
      <c r="CQ338" s="12" t="n"/>
      <c r="CR338" s="13" t="n"/>
    </row>
    <row r="339" ht="15" customHeight="1" s="251">
      <c r="B339" s="10" t="inlineStr">
        <is>
          <t>BALANCE SHEET FORECAST SCHEDULES</t>
        </is>
      </c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0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0" t="n"/>
      <c r="CE339" s="10" t="n"/>
      <c r="CF339" s="10" t="inlineStr">
        <is>
          <t>BS FORECAST SCHEDULES — explicit driver assumptions</t>
        </is>
      </c>
    </row>
    <row r="340" ht="15" customHeight="1" s="251">
      <c r="B340" s="25" t="inlineStr">
        <is>
          <t>Acquisitions — consideration &amp; purchase-price allocation (closing-quarter column)</t>
        </is>
      </c>
      <c r="CF340" s="153" t="n"/>
    </row>
    <row r="341" ht="15" customHeight="1" s="251">
      <c r="B341" s="69" t="inlineStr">
        <is>
          <t xml:space="preserve">  Consideration (total purchase price)</t>
        </is>
      </c>
      <c r="C341" s="44" t="n"/>
      <c r="D341" s="44" t="n"/>
      <c r="E341" s="44" t="n"/>
      <c r="F341" s="44" t="n"/>
      <c r="G341" s="44" t="n"/>
      <c r="H341" s="44" t="n"/>
      <c r="I341" s="44" t="n"/>
      <c r="J341" s="44" t="n"/>
      <c r="K341" s="44" t="n"/>
      <c r="L341" s="44" t="n"/>
      <c r="M341" s="44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44" t="n"/>
      <c r="X341" s="44" t="n"/>
      <c r="Y341" s="44" t="n"/>
      <c r="Z341" s="44" t="n"/>
      <c r="AA341" s="44" t="n"/>
      <c r="AB341" s="44" t="n"/>
      <c r="AC341" s="44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  <c r="AQ341" s="44" t="n"/>
      <c r="AR341" s="44" t="n"/>
      <c r="AS341" s="44" t="n"/>
      <c r="AT341" s="44" t="n"/>
      <c r="AU341" s="44" t="n"/>
      <c r="AV341" s="44" t="n"/>
      <c r="AW341" s="44" t="n"/>
      <c r="AX341" s="44" t="n"/>
      <c r="AY341" s="44" t="n"/>
      <c r="AZ341" s="44" t="n"/>
      <c r="BA341" s="44" t="n"/>
      <c r="BB341" s="44" t="n"/>
      <c r="BC341" s="44" t="n"/>
      <c r="BD341" s="44" t="n"/>
      <c r="BE341" s="44" t="n"/>
      <c r="BF341" s="44" t="n"/>
      <c r="BG341" s="44" t="n"/>
      <c r="BH341" s="44" t="n"/>
      <c r="BI341" s="44" t="n"/>
      <c r="BJ341" s="44" t="n"/>
      <c r="BK341" s="44" t="n"/>
      <c r="BL341" s="44" t="n"/>
      <c r="BM341" s="44" t="n"/>
      <c r="BN341" s="44" t="n"/>
      <c r="BO341" s="44" t="n"/>
      <c r="BP341" s="44" t="n"/>
      <c r="BQ341" s="44" t="n"/>
      <c r="BR341" s="44" t="n"/>
      <c r="BS341" s="44" t="n"/>
      <c r="BT341" s="44" t="n"/>
      <c r="BU341" s="44" t="n"/>
      <c r="BV341" s="44" t="n"/>
      <c r="BW341" s="253" t="n">
        <v>35335</v>
      </c>
      <c r="BX341" s="44" t="n"/>
      <c r="BY341" s="153" t="n"/>
      <c r="BZ341" s="153" t="n"/>
      <c r="CA341" s="35" t="n"/>
      <c r="CB341" s="35" t="n"/>
      <c r="CC341" s="35" t="n"/>
      <c r="CD341" s="35" t="n"/>
      <c r="CE341" s="35" t="n"/>
      <c r="CF341" s="19" t="n"/>
    </row>
    <row r="342" ht="15" customHeight="1" s="251">
      <c r="B342" s="69" t="inlineStr">
        <is>
          <t xml:space="preserve">  Property &amp; equipment</t>
        </is>
      </c>
      <c r="C342" s="44" t="n"/>
      <c r="D342" s="44" t="n"/>
      <c r="E342" s="44" t="n"/>
      <c r="F342" s="44" t="n"/>
      <c r="G342" s="44" t="n"/>
      <c r="H342" s="44" t="n"/>
      <c r="I342" s="44" t="n"/>
      <c r="J342" s="44" t="n"/>
      <c r="K342" s="44" t="n"/>
      <c r="L342" s="44" t="n"/>
      <c r="M342" s="44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  <c r="AC342" s="44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  <c r="AQ342" s="44" t="n"/>
      <c r="AR342" s="44" t="n"/>
      <c r="AS342" s="44" t="n"/>
      <c r="AT342" s="44" t="n"/>
      <c r="AU342" s="44" t="n"/>
      <c r="AV342" s="44" t="n"/>
      <c r="AW342" s="44" t="n"/>
      <c r="AX342" s="44" t="n"/>
      <c r="AY342" s="44" t="n"/>
      <c r="AZ342" s="44" t="n"/>
      <c r="BA342" s="44" t="n"/>
      <c r="BB342" s="44" t="n"/>
      <c r="BC342" s="44" t="n"/>
      <c r="BD342" s="44" t="n"/>
      <c r="BE342" s="44" t="n"/>
      <c r="BF342" s="44" t="n"/>
      <c r="BG342" s="44" t="n"/>
      <c r="BH342" s="44" t="n"/>
      <c r="BI342" s="44" t="n"/>
      <c r="BJ342" s="44" t="n"/>
      <c r="BK342" s="44" t="n"/>
      <c r="BL342" s="44" t="n"/>
      <c r="BM342" s="44" t="n"/>
      <c r="BN342" s="44" t="n"/>
      <c r="BO342" s="44" t="n"/>
      <c r="BP342" s="44" t="n"/>
      <c r="BQ342" s="44" t="n"/>
      <c r="BR342" s="44" t="n"/>
      <c r="BS342" s="44" t="n"/>
      <c r="BT342" s="44" t="n"/>
      <c r="BU342" s="44" t="n"/>
      <c r="BV342" s="44" t="n"/>
      <c r="BW342" s="253" t="n">
        <v>5129</v>
      </c>
      <c r="BX342" s="44" t="n"/>
      <c r="BY342" s="153" t="n"/>
      <c r="BZ342" s="153" t="n"/>
      <c r="CA342" s="35" t="n"/>
      <c r="CB342" s="35" t="n"/>
      <c r="CC342" s="35" t="n"/>
      <c r="CD342" s="35" t="n"/>
      <c r="CE342" s="35" t="n"/>
      <c r="CF342" s="19" t="n"/>
    </row>
    <row r="343" ht="15" customHeight="1" s="251">
      <c r="B343" s="69" t="inlineStr">
        <is>
          <t xml:space="preserve">  Intangible assets (technology, customer relationships, trade names)</t>
        </is>
      </c>
      <c r="C343" s="44" t="n"/>
      <c r="D343" s="44" t="n"/>
      <c r="E343" s="44" t="n"/>
      <c r="F343" s="44" t="n"/>
      <c r="G343" s="44" t="n"/>
      <c r="H343" s="44" t="n"/>
      <c r="I343" s="44" t="n"/>
      <c r="J343" s="44" t="n"/>
      <c r="K343" s="44" t="n"/>
      <c r="L343" s="44" t="n"/>
      <c r="M343" s="44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44" t="n"/>
      <c r="X343" s="44" t="n"/>
      <c r="Y343" s="44" t="n"/>
      <c r="Z343" s="44" t="n"/>
      <c r="AA343" s="44" t="n"/>
      <c r="AB343" s="44" t="n"/>
      <c r="AC343" s="44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  <c r="AQ343" s="44" t="n"/>
      <c r="AR343" s="44" t="n"/>
      <c r="AS343" s="44" t="n"/>
      <c r="AT343" s="44" t="n"/>
      <c r="AU343" s="44" t="n"/>
      <c r="AV343" s="44" t="n"/>
      <c r="AW343" s="44" t="n"/>
      <c r="AX343" s="44" t="n"/>
      <c r="AY343" s="44" t="n"/>
      <c r="AZ343" s="44" t="n"/>
      <c r="BA343" s="44" t="n"/>
      <c r="BB343" s="44" t="n"/>
      <c r="BC343" s="44" t="n"/>
      <c r="BD343" s="44" t="n"/>
      <c r="BE343" s="44" t="n"/>
      <c r="BF343" s="44" t="n"/>
      <c r="BG343" s="44" t="n"/>
      <c r="BH343" s="44" t="n"/>
      <c r="BI343" s="44" t="n"/>
      <c r="BJ343" s="44" t="n"/>
      <c r="BK343" s="44" t="n"/>
      <c r="BL343" s="44" t="n"/>
      <c r="BM343" s="44" t="n"/>
      <c r="BN343" s="44" t="n"/>
      <c r="BO343" s="44" t="n"/>
      <c r="BP343" s="44" t="n"/>
      <c r="BQ343" s="44" t="n"/>
      <c r="BR343" s="44" t="n"/>
      <c r="BS343" s="44" t="n"/>
      <c r="BT343" s="44" t="n"/>
      <c r="BU343" s="44" t="n"/>
      <c r="BV343" s="44" t="n"/>
      <c r="BW343" s="253" t="n">
        <v>8300</v>
      </c>
      <c r="BX343" s="44" t="n"/>
      <c r="BY343" s="153" t="n"/>
      <c r="BZ343" s="153" t="n"/>
      <c r="CA343" s="35" t="n"/>
      <c r="CB343" s="35" t="n"/>
      <c r="CC343" s="35" t="n"/>
      <c r="CD343" s="35" t="n"/>
      <c r="CE343" s="35" t="n"/>
      <c r="CF343" s="19" t="n"/>
    </row>
    <row r="344" ht="15" customHeight="1" s="251">
      <c r="B344" s="69" t="inlineStr">
        <is>
          <t xml:space="preserve">  Goodwill</t>
        </is>
      </c>
      <c r="C344" s="44" t="n"/>
      <c r="D344" s="44" t="n"/>
      <c r="E344" s="44" t="n"/>
      <c r="F344" s="44" t="n"/>
      <c r="G344" s="44" t="n"/>
      <c r="H344" s="44" t="n"/>
      <c r="I344" s="44" t="n"/>
      <c r="J344" s="44" t="n"/>
      <c r="K344" s="44" t="n"/>
      <c r="L344" s="44" t="n"/>
      <c r="M344" s="44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  <c r="AC344" s="44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  <c r="AQ344" s="44" t="n"/>
      <c r="AR344" s="44" t="n"/>
      <c r="AS344" s="44" t="n"/>
      <c r="AT344" s="44" t="n"/>
      <c r="AU344" s="44" t="n"/>
      <c r="AV344" s="44" t="n"/>
      <c r="AW344" s="44" t="n"/>
      <c r="AX344" s="44" t="n"/>
      <c r="AY344" s="44" t="n"/>
      <c r="AZ344" s="44" t="n"/>
      <c r="BA344" s="44" t="n"/>
      <c r="BB344" s="44" t="n"/>
      <c r="BC344" s="44" t="n"/>
      <c r="BD344" s="44" t="n"/>
      <c r="BE344" s="44" t="n"/>
      <c r="BF344" s="44" t="n"/>
      <c r="BG344" s="44" t="n"/>
      <c r="BH344" s="44" t="n"/>
      <c r="BI344" s="44" t="n"/>
      <c r="BJ344" s="44" t="n"/>
      <c r="BK344" s="44" t="n"/>
      <c r="BL344" s="44" t="n"/>
      <c r="BM344" s="44" t="n"/>
      <c r="BN344" s="44" t="n"/>
      <c r="BO344" s="44" t="n"/>
      <c r="BP344" s="44" t="n"/>
      <c r="BQ344" s="44" t="n"/>
      <c r="BR344" s="44" t="n"/>
      <c r="BS344" s="44" t="n"/>
      <c r="BT344" s="44" t="n"/>
      <c r="BU344" s="44" t="n"/>
      <c r="BV344" s="44" t="n"/>
      <c r="BW344" s="253" t="n">
        <v>24879</v>
      </c>
      <c r="BX344" s="44" t="n"/>
      <c r="BY344" s="153" t="n"/>
      <c r="BZ344" s="153" t="n"/>
      <c r="CA344" s="35" t="n"/>
      <c r="CB344" s="35" t="n"/>
      <c r="CC344" s="35" t="n"/>
      <c r="CD344" s="35" t="n"/>
      <c r="CE344" s="35" t="n"/>
      <c r="CF344" s="19" t="n"/>
    </row>
    <row r="345" ht="15" customHeight="1" s="251">
      <c r="B345" s="69" t="inlineStr">
        <is>
          <t xml:space="preserve">  Net other assets (liabilities) assumed, incl. cash acquired</t>
        </is>
      </c>
      <c r="C345" s="44" t="n"/>
      <c r="D345" s="44" t="n"/>
      <c r="E345" s="44" t="n"/>
      <c r="F345" s="44" t="n"/>
      <c r="G345" s="44" t="n"/>
      <c r="H345" s="44" t="n"/>
      <c r="I345" s="44" t="n"/>
      <c r="J345" s="44" t="n"/>
      <c r="K345" s="44" t="n"/>
      <c r="L345" s="44" t="n"/>
      <c r="M345" s="44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44" t="n"/>
      <c r="X345" s="44" t="n"/>
      <c r="Y345" s="44" t="n"/>
      <c r="Z345" s="44" t="n"/>
      <c r="AA345" s="44" t="n"/>
      <c r="AB345" s="44" t="n"/>
      <c r="AC345" s="44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  <c r="AQ345" s="44" t="n"/>
      <c r="AR345" s="44" t="n"/>
      <c r="AS345" s="44" t="n"/>
      <c r="AT345" s="44" t="n"/>
      <c r="AU345" s="44" t="n"/>
      <c r="AV345" s="44" t="n"/>
      <c r="AW345" s="44" t="n"/>
      <c r="AX345" s="44" t="n"/>
      <c r="AY345" s="44" t="n"/>
      <c r="AZ345" s="44" t="n"/>
      <c r="BA345" s="44" t="n"/>
      <c r="BB345" s="44" t="n"/>
      <c r="BC345" s="44" t="n"/>
      <c r="BD345" s="44" t="n"/>
      <c r="BE345" s="44" t="n"/>
      <c r="BF345" s="44" t="n"/>
      <c r="BG345" s="44" t="n"/>
      <c r="BH345" s="44" t="n"/>
      <c r="BI345" s="44" t="n"/>
      <c r="BJ345" s="44" t="n"/>
      <c r="BK345" s="44" t="n"/>
      <c r="BL345" s="44" t="n"/>
      <c r="BM345" s="44" t="n"/>
      <c r="BN345" s="44" t="n"/>
      <c r="BO345" s="44" t="n"/>
      <c r="BP345" s="44" t="n"/>
      <c r="BQ345" s="44" t="n"/>
      <c r="BR345" s="44" t="n"/>
      <c r="BS345" s="44" t="n"/>
      <c r="BT345" s="44" t="n"/>
      <c r="BU345" s="44" t="n"/>
      <c r="BV345" s="44" t="n"/>
      <c r="BW345" s="253" t="n">
        <v>-1759</v>
      </c>
      <c r="BX345" s="44" t="n"/>
      <c r="BY345" s="153" t="n"/>
      <c r="BZ345" s="153" t="n"/>
      <c r="CA345" s="35" t="n"/>
      <c r="CB345" s="35" t="n"/>
      <c r="CC345" s="35" t="n"/>
      <c r="CD345" s="35" t="n"/>
      <c r="CE345" s="35" t="n"/>
      <c r="CF345" s="19" t="n"/>
    </row>
    <row r="346" ht="15" customHeight="1" s="251">
      <c r="B346" s="69" t="inlineStr">
        <is>
          <t xml:space="preserve">  Debt assumed</t>
        </is>
      </c>
      <c r="C346" s="44" t="n"/>
      <c r="D346" s="44" t="n"/>
      <c r="E346" s="44" t="n"/>
      <c r="F346" s="44" t="n"/>
      <c r="G346" s="44" t="n"/>
      <c r="H346" s="44" t="n"/>
      <c r="I346" s="44" t="n"/>
      <c r="J346" s="44" t="n"/>
      <c r="K346" s="44" t="n"/>
      <c r="L346" s="44" t="n"/>
      <c r="M346" s="44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  <c r="AC346" s="44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  <c r="AQ346" s="44" t="n"/>
      <c r="AR346" s="44" t="n"/>
      <c r="AS346" s="44" t="n"/>
      <c r="AT346" s="44" t="n"/>
      <c r="AU346" s="44" t="n"/>
      <c r="AV346" s="44" t="n"/>
      <c r="AW346" s="44" t="n"/>
      <c r="AX346" s="44" t="n"/>
      <c r="AY346" s="44" t="n"/>
      <c r="AZ346" s="44" t="n"/>
      <c r="BA346" s="44" t="n"/>
      <c r="BB346" s="44" t="n"/>
      <c r="BC346" s="44" t="n"/>
      <c r="BD346" s="44" t="n"/>
      <c r="BE346" s="44" t="n"/>
      <c r="BF346" s="44" t="n"/>
      <c r="BG346" s="44" t="n"/>
      <c r="BH346" s="44" t="n"/>
      <c r="BI346" s="44" t="n"/>
      <c r="BJ346" s="44" t="n"/>
      <c r="BK346" s="44" t="n"/>
      <c r="BL346" s="44" t="n"/>
      <c r="BM346" s="44" t="n"/>
      <c r="BN346" s="44" t="n"/>
      <c r="BO346" s="44" t="n"/>
      <c r="BP346" s="44" t="n"/>
      <c r="BQ346" s="44" t="n"/>
      <c r="BR346" s="44" t="n"/>
      <c r="BS346" s="44" t="n"/>
      <c r="BT346" s="44" t="n"/>
      <c r="BU346" s="44" t="n"/>
      <c r="BV346" s="44" t="n"/>
      <c r="BW346" s="253" t="n">
        <v>-1214</v>
      </c>
      <c r="BX346" s="44" t="n"/>
      <c r="BY346" s="153" t="n"/>
      <c r="BZ346" s="153" t="n"/>
      <c r="CA346" s="35" t="n"/>
      <c r="CB346" s="35" t="n"/>
      <c r="CC346" s="35" t="n"/>
      <c r="CD346" s="35" t="n"/>
      <c r="CE346" s="35" t="n"/>
      <c r="CF346" s="19" t="n"/>
    </row>
    <row r="347" ht="15" customHeight="1" s="251">
      <c r="B347" s="57" t="inlineStr">
        <is>
          <t xml:space="preserve">  Check: assets acquired − liabilities assumed − consideration (should be 0)</t>
        </is>
      </c>
      <c r="C347" s="211">
        <f>IF(ISNUMBER(C341),ROUND(N(C342)+N(C343)+N(C344)+N(C345)+N(C346)-C341,0),"")</f>
      </c>
      <c r="D347" s="211">
        <f>IF(ISNUMBER(D341),ROUND(N(D342)+N(D343)+N(D344)+N(D345)+N(D346)-D341,0),"")</f>
      </c>
      <c r="E347" s="211">
        <f>IF(ISNUMBER(E341),ROUND(N(E342)+N(E343)+N(E344)+N(E345)+N(E346)-E341,0),"")</f>
      </c>
      <c r="F347" s="211">
        <f>IF(ISNUMBER(F341),ROUND(N(F342)+N(F343)+N(F344)+N(F345)+N(F346)-F341,0),"")</f>
      </c>
      <c r="G347" s="211">
        <f>IF(ISNUMBER(G341),ROUND(N(G342)+N(G343)+N(G344)+N(G345)+N(G346)-G341,0),"")</f>
      </c>
      <c r="H347" s="211">
        <f>IF(ISNUMBER(H341),ROUND(N(H342)+N(H343)+N(H344)+N(H345)+N(H346)-H341,0),"")</f>
      </c>
      <c r="I347" s="211">
        <f>IF(ISNUMBER(I341),ROUND(N(I342)+N(I343)+N(I344)+N(I345)+N(I346)-I341,0),"")</f>
      </c>
      <c r="J347" s="211">
        <f>IF(ISNUMBER(J341),ROUND(N(J342)+N(J343)+N(J344)+N(J345)+N(J346)-J341,0),"")</f>
      </c>
      <c r="K347" s="211">
        <f>IF(ISNUMBER(K341),ROUND(N(K342)+N(K343)+N(K344)+N(K345)+N(K346)-K341,0),"")</f>
      </c>
      <c r="L347" s="211">
        <f>IF(ISNUMBER(L341),ROUND(N(L342)+N(L343)+N(L344)+N(L345)+N(L346)-L341,0),"")</f>
      </c>
      <c r="M347" s="211">
        <f>IF(ISNUMBER(M341),ROUND(N(M342)+N(M343)+N(M344)+N(M345)+N(M346)-M341,0),"")</f>
      </c>
      <c r="N347" s="211">
        <f>IF(ISNUMBER(N341),ROUND(N(N342)+N(N343)+N(N344)+N(N345)+N(N346)-N341,0),"")</f>
      </c>
      <c r="O347" s="211">
        <f>IF(ISNUMBER(O341),ROUND(N(O342)+N(O343)+N(O344)+N(O345)+N(O346)-O341,0),"")</f>
      </c>
      <c r="P347" s="211">
        <f>IF(ISNUMBER(P341),ROUND(N(P342)+N(P343)+N(P344)+N(P345)+N(P346)-P341,0),"")</f>
      </c>
      <c r="Q347" s="211">
        <f>IF(ISNUMBER(Q341),ROUND(N(Q342)+N(Q343)+N(Q344)+N(Q345)+N(Q346)-Q341,0),"")</f>
      </c>
      <c r="R347" s="211">
        <f>IF(ISNUMBER(R341),ROUND(N(R342)+N(R343)+N(R344)+N(R345)+N(R346)-R341,0),"")</f>
      </c>
      <c r="S347" s="211">
        <f>IF(ISNUMBER(S341),ROUND(N(S342)+N(S343)+N(S344)+N(S345)+N(S346)-S341,0),"")</f>
      </c>
      <c r="T347" s="211">
        <f>IF(ISNUMBER(T341),ROUND(N(T342)+N(T343)+N(T344)+N(T345)+N(T346)-T341,0),"")</f>
      </c>
      <c r="U347" s="211">
        <f>IF(ISNUMBER(U341),ROUND(N(U342)+N(U343)+N(U344)+N(U345)+N(U346)-U341,0),"")</f>
      </c>
      <c r="V347" s="211">
        <f>IF(ISNUMBER(V341),ROUND(N(V342)+N(V343)+N(V344)+N(V345)+N(V346)-V341,0),"")</f>
      </c>
      <c r="W347" s="211">
        <f>IF(ISNUMBER(W341),ROUND(N(W342)+N(W343)+N(W344)+N(W345)+N(W346)-W341,0),"")</f>
      </c>
      <c r="X347" s="211">
        <f>IF(ISNUMBER(X341),ROUND(N(X342)+N(X343)+N(X344)+N(X345)+N(X346)-X341,0),"")</f>
      </c>
      <c r="Y347" s="211">
        <f>IF(ISNUMBER(Y341),ROUND(N(Y342)+N(Y343)+N(Y344)+N(Y345)+N(Y346)-Y341,0),"")</f>
      </c>
      <c r="Z347" s="211">
        <f>IF(ISNUMBER(Z341),ROUND(N(Z342)+N(Z343)+N(Z344)+N(Z345)+N(Z346)-Z341,0),"")</f>
      </c>
      <c r="AA347" s="211">
        <f>IF(ISNUMBER(AA341),ROUND(N(AA342)+N(AA343)+N(AA344)+N(AA345)+N(AA346)-AA341,0),"")</f>
      </c>
      <c r="AB347" s="211">
        <f>IF(ISNUMBER(AB341),ROUND(N(AB342)+N(AB343)+N(AB344)+N(AB345)+N(AB346)-AB341,0),"")</f>
      </c>
      <c r="AC347" s="211">
        <f>IF(ISNUMBER(AC341),ROUND(N(AC342)+N(AC343)+N(AC344)+N(AC345)+N(AC346)-AC341,0),"")</f>
      </c>
      <c r="AD347" s="211">
        <f>IF(ISNUMBER(AD341),ROUND(N(AD342)+N(AD343)+N(AD344)+N(AD345)+N(AD346)-AD341,0),"")</f>
      </c>
      <c r="AE347" s="211">
        <f>IF(ISNUMBER(AE341),ROUND(N(AE342)+N(AE343)+N(AE344)+N(AE345)+N(AE346)-AE341,0),"")</f>
      </c>
      <c r="AF347" s="211">
        <f>IF(ISNUMBER(AF341),ROUND(N(AF342)+N(AF343)+N(AF344)+N(AF345)+N(AF346)-AF341,0),"")</f>
      </c>
      <c r="AG347" s="211">
        <f>IF(ISNUMBER(AG341),ROUND(N(AG342)+N(AG343)+N(AG344)+N(AG345)+N(AG346)-AG341,0),"")</f>
      </c>
      <c r="AH347" s="211">
        <f>IF(ISNUMBER(AH341),ROUND(N(AH342)+N(AH343)+N(AH344)+N(AH345)+N(AH346)-AH341,0),"")</f>
      </c>
      <c r="AI347" s="211">
        <f>IF(ISNUMBER(AI341),ROUND(N(AI342)+N(AI343)+N(AI344)+N(AI345)+N(AI346)-AI341,0),"")</f>
      </c>
      <c r="AJ347" s="211">
        <f>IF(ISNUMBER(AJ341),ROUND(N(AJ342)+N(AJ343)+N(AJ344)+N(AJ345)+N(AJ346)-AJ341,0),"")</f>
      </c>
      <c r="AK347" s="211">
        <f>IF(ISNUMBER(AK341),ROUND(N(AK342)+N(AK343)+N(AK344)+N(AK345)+N(AK346)-AK341,0),"")</f>
      </c>
      <c r="AL347" s="211">
        <f>IF(ISNUMBER(AL341),ROUND(N(AL342)+N(AL343)+N(AL344)+N(AL345)+N(AL346)-AL341,0),"")</f>
      </c>
      <c r="AM347" s="211">
        <f>IF(ISNUMBER(AM341),ROUND(N(AM342)+N(AM343)+N(AM344)+N(AM345)+N(AM346)-AM341,0),"")</f>
      </c>
      <c r="AN347" s="211">
        <f>IF(ISNUMBER(AN341),ROUND(N(AN342)+N(AN343)+N(AN344)+N(AN345)+N(AN346)-AN341,0),"")</f>
      </c>
      <c r="AO347" s="211">
        <f>IF(ISNUMBER(AO341),ROUND(N(AO342)+N(AO343)+N(AO344)+N(AO345)+N(AO346)-AO341,0),"")</f>
      </c>
      <c r="AP347" s="211">
        <f>IF(ISNUMBER(AP341),ROUND(N(AP342)+N(AP343)+N(AP344)+N(AP345)+N(AP346)-AP341,0),"")</f>
      </c>
      <c r="AQ347" s="211">
        <f>IF(ISNUMBER(AQ341),ROUND(N(AQ342)+N(AQ343)+N(AQ344)+N(AQ345)+N(AQ346)-AQ341,0),"")</f>
      </c>
      <c r="AR347" s="211">
        <f>IF(ISNUMBER(AR341),ROUND(N(AR342)+N(AR343)+N(AR344)+N(AR345)+N(AR346)-AR341,0),"")</f>
      </c>
      <c r="AS347" s="211">
        <f>IF(ISNUMBER(AS341),ROUND(N(AS342)+N(AS343)+N(AS344)+N(AS345)+N(AS346)-AS341,0),"")</f>
      </c>
      <c r="AT347" s="211">
        <f>IF(ISNUMBER(AT341),ROUND(N(AT342)+N(AT343)+N(AT344)+N(AT345)+N(AT346)-AT341,0),"")</f>
      </c>
      <c r="AU347" s="211">
        <f>IF(ISNUMBER(AU341),ROUND(N(AU342)+N(AU343)+N(AU344)+N(AU345)+N(AU346)-AU341,0),"")</f>
      </c>
      <c r="AV347" s="211">
        <f>IF(ISNUMBER(AV341),ROUND(N(AV342)+N(AV343)+N(AV344)+N(AV345)+N(AV346)-AV341,0),"")</f>
      </c>
      <c r="AW347" s="211">
        <f>IF(ISNUMBER(AW341),ROUND(N(AW342)+N(AW343)+N(AW344)+N(AW345)+N(AW346)-AW341,0),"")</f>
      </c>
      <c r="AX347" s="211">
        <f>IF(ISNUMBER(AX341),ROUND(N(AX342)+N(AX343)+N(AX344)+N(AX345)+N(AX346)-AX341,0),"")</f>
      </c>
      <c r="AY347" s="211">
        <f>IF(ISNUMBER(AY341),ROUND(N(AY342)+N(AY343)+N(AY344)+N(AY345)+N(AY346)-AY341,0),"")</f>
      </c>
      <c r="AZ347" s="211">
        <f>IF(ISNUMBER(AZ341),ROUND(N(AZ342)+N(AZ343)+N(AZ344)+N(AZ345)+N(AZ346)-AZ341,0),"")</f>
      </c>
      <c r="BA347" s="211">
        <f>IF(ISNUMBER(BA341),ROUND(N(BA342)+N(BA343)+N(BA344)+N(BA345)+N(BA346)-BA341,0),"")</f>
      </c>
      <c r="BB347" s="211">
        <f>IF(ISNUMBER(BB341),ROUND(N(BB342)+N(BB343)+N(BB344)+N(BB345)+N(BB346)-BB341,0),"")</f>
      </c>
      <c r="BC347" s="211">
        <f>IF(ISNUMBER(BC341),ROUND(N(BC342)+N(BC343)+N(BC344)+N(BC345)+N(BC346)-BC341,0),"")</f>
      </c>
      <c r="BD347" s="211">
        <f>IF(ISNUMBER(BD341),ROUND(N(BD342)+N(BD343)+N(BD344)+N(BD345)+N(BD346)-BD341,0),"")</f>
      </c>
      <c r="BE347" s="211">
        <f>IF(ISNUMBER(BE341),ROUND(N(BE342)+N(BE343)+N(BE344)+N(BE345)+N(BE346)-BE341,0),"")</f>
      </c>
      <c r="BF347" s="211">
        <f>IF(ISNUMBER(BF341),ROUND(N(BF342)+N(BF343)+N(BF344)+N(BF345)+N(BF346)-BF341,0),"")</f>
      </c>
      <c r="BG347" s="211">
        <f>IF(ISNUMBER(BG341),ROUND(N(BG342)+N(BG343)+N(BG344)+N(BG345)+N(BG346)-BG341,0),"")</f>
      </c>
      <c r="BH347" s="211">
        <f>IF(ISNUMBER(BH341),ROUND(N(BH342)+N(BH343)+N(BH344)+N(BH345)+N(BH346)-BH341,0),"")</f>
      </c>
      <c r="BI347" s="211">
        <f>IF(ISNUMBER(BI341),ROUND(N(BI342)+N(BI343)+N(BI344)+N(BI345)+N(BI346)-BI341,0),"")</f>
      </c>
      <c r="BJ347" s="211">
        <f>IF(ISNUMBER(BJ341),ROUND(N(BJ342)+N(BJ343)+N(BJ344)+N(BJ345)+N(BJ346)-BJ341,0),"")</f>
      </c>
      <c r="BK347" s="211">
        <f>IF(ISNUMBER(BK341),ROUND(N(BK342)+N(BK343)+N(BK344)+N(BK345)+N(BK346)-BK341,0),"")</f>
      </c>
      <c r="BL347" s="211">
        <f>IF(ISNUMBER(BL341),ROUND(N(BL342)+N(BL343)+N(BL344)+N(BL345)+N(BL346)-BL341,0),"")</f>
      </c>
      <c r="BM347" s="211">
        <f>IF(ISNUMBER(BM341),ROUND(N(BM342)+N(BM343)+N(BM344)+N(BM345)+N(BM346)-BM341,0),"")</f>
      </c>
      <c r="BN347" s="211">
        <f>IF(ISNUMBER(BN341),ROUND(N(BN342)+N(BN343)+N(BN344)+N(BN345)+N(BN346)-BN341,0),"")</f>
      </c>
      <c r="BO347" s="211">
        <f>IF(ISNUMBER(BO341),ROUND(N(BO342)+N(BO343)+N(BO344)+N(BO345)+N(BO346)-BO341,0),"")</f>
      </c>
      <c r="BP347" s="211">
        <f>IF(ISNUMBER(BP341),ROUND(N(BP342)+N(BP343)+N(BP344)+N(BP345)+N(BP346)-BP341,0),"")</f>
      </c>
      <c r="BQ347" s="211">
        <f>IF(ISNUMBER(BQ341),ROUND(N(BQ342)+N(BQ343)+N(BQ344)+N(BQ345)+N(BQ346)-BQ341,0),"")</f>
      </c>
      <c r="BR347" s="211">
        <f>IF(ISNUMBER(BR341),ROUND(N(BR342)+N(BR343)+N(BR344)+N(BR345)+N(BR346)-BR341,0),"")</f>
      </c>
      <c r="BS347" s="211">
        <f>IF(ISNUMBER(BS341),ROUND(N(BS342)+N(BS343)+N(BS344)+N(BS345)+N(BS346)-BS341,0),"")</f>
      </c>
      <c r="BT347" s="211">
        <f>IF(ISNUMBER(BT341),ROUND(N(BT342)+N(BT343)+N(BT344)+N(BT345)+N(BT346)-BT341,0),"")</f>
      </c>
      <c r="BU347" s="211">
        <f>IF(ISNUMBER(BU341),ROUND(N(BU342)+N(BU343)+N(BU344)+N(BU345)+N(BU346)-BU341,0),"")</f>
      </c>
      <c r="BV347" s="211">
        <f>IF(ISNUMBER(BV341),ROUND(N(BV342)+N(BV343)+N(BV344)+N(BV345)+N(BV346)-BV341,0),"")</f>
      </c>
      <c r="BW347" s="211">
        <f>IF(ISNUMBER(BW341),ROUND(N(BW342)+N(BW343)+N(BW344)+N(BW345)+N(BW346)-BW341,0),"")</f>
        <v>0</v>
      </c>
      <c r="BX347" s="211">
        <f>IF(ISNUMBER(BX341),ROUND(N(BX342)+N(BX343)+N(BX344)+N(BX345)+N(BX346)-BX341,0),"")</f>
      </c>
      <c r="BY347" s="153" t="n"/>
      <c r="BZ347" s="153" t="n"/>
      <c r="CA347" s="153" t="n"/>
      <c r="CB347" s="153" t="n"/>
      <c r="CC347" s="153" t="n"/>
      <c r="CD347" s="153" t="n"/>
      <c r="CE347" s="153" t="n"/>
      <c r="CF347" s="153" t="n"/>
    </row>
    <row r="348" ht="15" customHeight="1" s="251">
      <c r="B348" s="158" t="inlineStr">
        <is>
          <t xml:space="preserve">  Deals closed in the period</t>
        </is>
      </c>
      <c r="BW348" s="289" t="inlineStr">
        <is>
          <t>Wiz (11-Mar-2026) + Intersect (10-Mar-2026)</t>
        </is>
      </c>
      <c r="BY348" s="153" t="n"/>
      <c r="BZ348" s="153" t="n"/>
      <c r="CA348" s="153" t="n"/>
      <c r="CB348" s="153" t="n"/>
      <c r="CC348" s="153" t="n"/>
      <c r="CD348" s="153" t="n"/>
      <c r="CE348" s="153" t="n"/>
      <c r="CF348" s="19" t="n"/>
    </row>
    <row r="349" ht="15" customHeight="1" s="251">
      <c r="B349" s="25" t="inlineStr">
        <is>
          <t>Share count, pricing &amp; capital returns</t>
        </is>
      </c>
      <c r="CF349" s="153" t="n"/>
    </row>
    <row r="350" ht="15" customHeight="1" s="251">
      <c r="B350" s="69" t="inlineStr">
        <is>
          <t xml:space="preserve">  Dilutive RSUs and other contingently issuable shares (m)</t>
        </is>
      </c>
      <c r="C350" s="44" t="n"/>
      <c r="D350" s="44" t="n"/>
      <c r="E350" s="44" t="n"/>
      <c r="F350" s="44" t="n"/>
      <c r="G350" s="44" t="n"/>
      <c r="H350" s="44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  <c r="AC350" s="44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  <c r="AQ350" s="44" t="n"/>
      <c r="AR350" s="44" t="n"/>
      <c r="AS350" s="44" t="n"/>
      <c r="AT350" s="44" t="n"/>
      <c r="AU350" s="44" t="n"/>
      <c r="AV350" s="44" t="n"/>
      <c r="AW350" s="44" t="n"/>
      <c r="AX350" s="44" t="n"/>
      <c r="AY350" s="44" t="n"/>
      <c r="AZ350" s="44" t="n"/>
      <c r="BA350" s="44" t="n"/>
      <c r="BB350" s="44" t="n"/>
      <c r="BC350" s="44" t="n"/>
      <c r="BD350" s="44" t="n"/>
      <c r="BE350" s="44" t="n"/>
      <c r="BF350" s="44" t="n"/>
      <c r="BG350" s="44" t="n"/>
      <c r="BH350" s="44" t="n"/>
      <c r="BI350" s="44" t="n"/>
      <c r="BJ350" s="44" t="n"/>
      <c r="BK350" s="44" t="n"/>
      <c r="BL350" s="44" t="n"/>
      <c r="BM350" s="44" t="n"/>
      <c r="BN350" s="44" t="n"/>
      <c r="BO350" s="44" t="n"/>
      <c r="BP350" s="44" t="n"/>
      <c r="BQ350" s="44" t="n"/>
      <c r="BR350" s="44" t="n"/>
      <c r="BS350" s="44" t="n"/>
      <c r="BT350" s="44" t="n"/>
      <c r="BU350" s="44" t="n"/>
      <c r="BV350" s="44" t="n"/>
      <c r="BW350" s="44" t="n"/>
      <c r="BX350" s="44" t="n"/>
      <c r="BY350" s="153" t="n"/>
      <c r="BZ350" s="153" t="n"/>
      <c r="CA350" s="35" t="n"/>
      <c r="CB350" s="290" t="n">
        <v>145</v>
      </c>
      <c r="CC350" s="290" t="n">
        <v>145</v>
      </c>
      <c r="CD350" s="290" t="n">
        <v>145</v>
      </c>
      <c r="CE350" s="290" t="n">
        <v>145</v>
      </c>
      <c r="CF350" s="19" t="inlineStr">
        <is>
          <t>Q2-26: 142m RSU / contingent shares in diluted EPS.</t>
        </is>
      </c>
    </row>
    <row r="351" ht="15" customHeight="1" s="251">
      <c r="B351" s="69" t="inlineStr">
        <is>
          <t xml:space="preserve">  Share-price appreciation % (buyback pricing, preferred conversion)</t>
        </is>
      </c>
      <c r="C351" s="44" t="n"/>
      <c r="D351" s="44" t="n"/>
      <c r="E351" s="44" t="n"/>
      <c r="F351" s="44" t="n"/>
      <c r="G351" s="44" t="n"/>
      <c r="H351" s="44" t="n"/>
      <c r="I351" s="44" t="n"/>
      <c r="J351" s="44" t="n"/>
      <c r="K351" s="44" t="n"/>
      <c r="L351" s="44" t="n"/>
      <c r="M351" s="44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44" t="n"/>
      <c r="X351" s="44" t="n"/>
      <c r="Y351" s="44" t="n"/>
      <c r="Z351" s="44" t="n"/>
      <c r="AA351" s="44" t="n"/>
      <c r="AB351" s="44" t="n"/>
      <c r="AC351" s="44" t="n"/>
      <c r="AD351" s="44" t="n"/>
      <c r="AE351" s="44" t="n"/>
      <c r="AF351" s="44" t="n"/>
      <c r="AG351" s="44" t="n"/>
      <c r="AH351" s="44" t="n"/>
      <c r="AI351" s="44" t="n"/>
      <c r="AJ351" s="44" t="n"/>
      <c r="AK351" s="44" t="n"/>
      <c r="AL351" s="44" t="n"/>
      <c r="AM351" s="44" t="n"/>
      <c r="AN351" s="44" t="n"/>
      <c r="AO351" s="44" t="n"/>
      <c r="AP351" s="44" t="n"/>
      <c r="AQ351" s="44" t="n"/>
      <c r="AR351" s="44" t="n"/>
      <c r="AS351" s="44" t="n"/>
      <c r="AT351" s="44" t="n"/>
      <c r="AU351" s="44" t="n"/>
      <c r="AV351" s="44" t="n"/>
      <c r="AW351" s="44" t="n"/>
      <c r="AX351" s="44" t="n"/>
      <c r="AY351" s="44" t="n"/>
      <c r="AZ351" s="44" t="n"/>
      <c r="BA351" s="44" t="n"/>
      <c r="BB351" s="44" t="n"/>
      <c r="BC351" s="44" t="n"/>
      <c r="BD351" s="44" t="n"/>
      <c r="BE351" s="44" t="n"/>
      <c r="BF351" s="44" t="n"/>
      <c r="BG351" s="44" t="n"/>
      <c r="BH351" s="44" t="n"/>
      <c r="BI351" s="44" t="n"/>
      <c r="BJ351" s="44" t="n"/>
      <c r="BK351" s="44" t="n"/>
      <c r="BL351" s="44" t="n"/>
      <c r="BM351" s="44" t="n"/>
      <c r="BN351" s="44" t="n"/>
      <c r="BO351" s="44" t="n"/>
      <c r="BP351" s="44" t="n"/>
      <c r="BQ351" s="44" t="n"/>
      <c r="BR351" s="44" t="n"/>
      <c r="BS351" s="44" t="n"/>
      <c r="BT351" s="44" t="n"/>
      <c r="BU351" s="44" t="n"/>
      <c r="BV351" s="44" t="n"/>
      <c r="BW351" s="44" t="n"/>
      <c r="BX351" s="44" t="n"/>
      <c r="BY351" s="153" t="n"/>
      <c r="BZ351" s="153" t="n"/>
      <c r="CA351" s="35" t="n"/>
      <c r="CB351" s="268" t="n">
        <v>0.08</v>
      </c>
      <c r="CC351" s="268" t="n">
        <v>0.08</v>
      </c>
      <c r="CD351" s="268" t="n">
        <v>0.08</v>
      </c>
      <c r="CE351" s="268" t="n">
        <v>0.08</v>
      </c>
      <c r="CF351" s="19" t="n"/>
    </row>
    <row r="352" ht="15" customHeight="1" s="251">
      <c r="B352" s="69" t="inlineStr">
        <is>
          <t xml:space="preserve">  Net payments for stock-based award activities % of stock-based compensation</t>
        </is>
      </c>
      <c r="C352" s="44" t="n"/>
      <c r="D352" s="44" t="n"/>
      <c r="E352" s="44" t="n"/>
      <c r="F352" s="44" t="n"/>
      <c r="G352" s="44" t="n"/>
      <c r="H352" s="44" t="n"/>
      <c r="I352" s="44" t="n"/>
      <c r="J352" s="44" t="n"/>
      <c r="K352" s="44" t="n"/>
      <c r="L352" s="44" t="n"/>
      <c r="M352" s="44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  <c r="AC352" s="44" t="n"/>
      <c r="AD352" s="44" t="n"/>
      <c r="AE352" s="44" t="n"/>
      <c r="AF352" s="44" t="n"/>
      <c r="AG352" s="44" t="n"/>
      <c r="AH352" s="44" t="n"/>
      <c r="AI352" s="44" t="n"/>
      <c r="AJ352" s="44" t="n"/>
      <c r="AK352" s="44" t="n"/>
      <c r="AL352" s="44" t="n"/>
      <c r="AM352" s="44" t="n"/>
      <c r="AN352" s="44" t="n"/>
      <c r="AO352" s="44" t="n"/>
      <c r="AP352" s="44" t="n"/>
      <c r="AQ352" s="44" t="n"/>
      <c r="AR352" s="44" t="n"/>
      <c r="AS352" s="44" t="n"/>
      <c r="AT352" s="44" t="n"/>
      <c r="AU352" s="44" t="n"/>
      <c r="AV352" s="44" t="n"/>
      <c r="AW352" s="44" t="n"/>
      <c r="AX352" s="44" t="n"/>
      <c r="AY352" s="44" t="n"/>
      <c r="AZ352" s="44" t="n"/>
      <c r="BA352" s="44" t="n"/>
      <c r="BB352" s="44" t="n"/>
      <c r="BC352" s="44" t="n"/>
      <c r="BD352" s="44" t="n"/>
      <c r="BE352" s="44" t="n"/>
      <c r="BF352" s="44" t="n"/>
      <c r="BG352" s="44" t="n"/>
      <c r="BH352" s="44" t="n"/>
      <c r="BI352" s="44" t="n"/>
      <c r="BJ352" s="44" t="n"/>
      <c r="BK352" s="44" t="n"/>
      <c r="BL352" s="44" t="n"/>
      <c r="BM352" s="44" t="n"/>
      <c r="BN352" s="44" t="n"/>
      <c r="BO352" s="44" t="n"/>
      <c r="BP352" s="44" t="n"/>
      <c r="BQ352" s="44" t="n"/>
      <c r="BR352" s="44" t="n"/>
      <c r="BS352" s="44" t="n"/>
      <c r="BT352" s="44" t="n"/>
      <c r="BU352" s="44" t="n"/>
      <c r="BV352" s="44" t="n"/>
      <c r="BW352" s="44" t="n"/>
      <c r="BX352" s="44" t="n"/>
      <c r="BY352" s="153" t="n"/>
      <c r="BZ352" s="153" t="n"/>
      <c r="CA352" s="35" t="n"/>
      <c r="CB352" s="268" t="n">
        <v>0.6</v>
      </c>
      <c r="CC352" s="268" t="n">
        <v>0.6</v>
      </c>
      <c r="CD352" s="268" t="n">
        <v>0.6</v>
      </c>
      <c r="CE352" s="268" t="n">
        <v>0.6</v>
      </c>
      <c r="CF352" s="19" t="inlineStr">
        <is>
          <t>FY2025 57% ($14.2bn / $25.0bn); 1H26 82% (higher share price at vesting).</t>
        </is>
      </c>
    </row>
    <row r="353" ht="15" customHeight="1" s="251">
      <c r="B353" s="69" t="inlineStr">
        <is>
          <t xml:space="preserve">  At-the-market common stock issuance ($m; $40bn program, Jun-2026)</t>
        </is>
      </c>
      <c r="C353" s="44" t="n"/>
      <c r="D353" s="44" t="n"/>
      <c r="E353" s="44" t="n"/>
      <c r="F353" s="44" t="n"/>
      <c r="G353" s="44" t="n"/>
      <c r="H353" s="44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44" t="n"/>
      <c r="X353" s="44" t="n"/>
      <c r="Y353" s="44" t="n"/>
      <c r="Z353" s="44" t="n"/>
      <c r="AA353" s="44" t="n"/>
      <c r="AB353" s="44" t="n"/>
      <c r="AC353" s="44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  <c r="AQ353" s="44" t="n"/>
      <c r="AR353" s="44" t="n"/>
      <c r="AS353" s="44" t="n"/>
      <c r="AT353" s="44" t="n"/>
      <c r="AU353" s="44" t="n"/>
      <c r="AV353" s="44" t="n"/>
      <c r="AW353" s="44" t="n"/>
      <c r="AX353" s="44" t="n"/>
      <c r="AY353" s="44" t="n"/>
      <c r="AZ353" s="44" t="n"/>
      <c r="BA353" s="44" t="n"/>
      <c r="BB353" s="44" t="n"/>
      <c r="BC353" s="44" t="n"/>
      <c r="BD353" s="44" t="n"/>
      <c r="BE353" s="44" t="n"/>
      <c r="BF353" s="44" t="n"/>
      <c r="BG353" s="44" t="n"/>
      <c r="BH353" s="44" t="n"/>
      <c r="BI353" s="44" t="n"/>
      <c r="BJ353" s="44" t="n"/>
      <c r="BK353" s="44" t="n"/>
      <c r="BL353" s="44" t="n"/>
      <c r="BM353" s="44" t="n"/>
      <c r="BN353" s="44" t="n"/>
      <c r="BO353" s="44" t="n"/>
      <c r="BP353" s="44" t="n"/>
      <c r="BQ353" s="44" t="n"/>
      <c r="BR353" s="44" t="n"/>
      <c r="BS353" s="44" t="n"/>
      <c r="BT353" s="44" t="n"/>
      <c r="BU353" s="44" t="n"/>
      <c r="BV353" s="44" t="n"/>
      <c r="BW353" s="44" t="n"/>
      <c r="BX353" s="44" t="n"/>
      <c r="BY353" s="153" t="n"/>
      <c r="BZ353" s="153" t="n"/>
      <c r="CA353" s="35" t="n"/>
      <c r="CB353" s="265" t="n">
        <v>0</v>
      </c>
      <c r="CC353" s="265" t="n">
        <v>0</v>
      </c>
      <c r="CD353" s="265" t="n">
        <v>0</v>
      </c>
      <c r="CE353" s="265" t="n">
        <v>0</v>
      </c>
      <c r="CF353" s="19" t="inlineStr">
        <is>
          <t>Program intended primarily to meet tax obligations on employee equity grants; none sold at 30-Jun-2026. Forecast input (assumption: nil).</t>
        </is>
      </c>
    </row>
    <row r="354" ht="15" customHeight="1" s="251">
      <c r="B354" s="25" t="inlineStr">
        <is>
          <t>Debt schedule (senior notes repaid at maturity and refinanced; commercial paper drawn or repaid to a minimum cash balance)</t>
        </is>
      </c>
      <c r="CF354" s="153" t="n"/>
    </row>
    <row r="355" ht="15" customHeight="1" s="251">
      <c r="B355" s="69" t="inlineStr">
        <is>
          <t xml:space="preserve">  Total debt (short-term debt + current portion + long-term debt)</t>
        </is>
      </c>
      <c r="C355" s="211">
        <f>IF(ISNUMBER(C318),N(C315)+C318,"")</f>
        <v>0</v>
      </c>
      <c r="D355" s="211">
        <f>IF(ISNUMBER(D318),N(D315)+D318,"")</f>
        <v>0</v>
      </c>
      <c r="E355" s="211">
        <f>IF(ISNUMBER(E318),N(E315)+E318,"")</f>
        <v>0</v>
      </c>
      <c r="F355" s="211">
        <f>IF(ISNUMBER(F318),N(F315)+F318,"")</f>
        <v>0</v>
      </c>
      <c r="G355" s="211">
        <f>IF(ISNUMBER(G318),N(G315)+G318,"")</f>
        <v>3465</v>
      </c>
      <c r="H355" s="211">
        <f>IF(ISNUMBER(H318),N(H315)+H318,"")</f>
        <v>4204</v>
      </c>
      <c r="I355" s="211">
        <f>IF(ISNUMBER(I318),N(I315)+I318,"")</f>
        <v>5537</v>
      </c>
      <c r="J355" s="211">
        <f>IF(ISNUMBER(J318),N(J315)+J318,"")</f>
        <v>5139</v>
      </c>
      <c r="K355" s="211">
        <f>IF(ISNUMBER(K318),N(K315)+K318,"")</f>
        <v>4989</v>
      </c>
      <c r="L355" s="211">
        <f>IF(ISNUMBER(L318),N(L315)+L318,"")</f>
        <v>2999</v>
      </c>
      <c r="M355" s="211">
        <f>IF(ISNUMBER(M318),N(M315)+M318,"")</f>
        <v>2999</v>
      </c>
      <c r="N355" s="211">
        <f>IF(ISNUMBER(N318),N(N315)+N318,"")</f>
        <v>2999</v>
      </c>
      <c r="O355" s="211">
        <f>IF(ISNUMBER(O318),N(O315)+O318,"")</f>
        <v>4000</v>
      </c>
      <c r="P355" s="211">
        <f>IF(ISNUMBER(P318),N(P315)+P318,"")</f>
        <v>3000</v>
      </c>
      <c r="Q355" s="211">
        <f>IF(ISNUMBER(Q318),N(Q315)+Q318,"")</f>
        <v>3001</v>
      </c>
      <c r="R355" s="211">
        <f>IF(ISNUMBER(R318),N(R315)+R318,"")</f>
        <v>3002</v>
      </c>
      <c r="S355" s="211">
        <f>IF(ISNUMBER(S318),N(S315)+S318,"")</f>
        <v>3002</v>
      </c>
      <c r="T355" s="211">
        <f>IF(ISNUMBER(T318),N(T315)+T318,"")</f>
        <v>3002</v>
      </c>
      <c r="U355" s="211">
        <f>IF(ISNUMBER(U318),N(U315)+U318,"")</f>
        <v>3002</v>
      </c>
      <c r="V355" s="211">
        <f>IF(ISNUMBER(V318),N(V315)+V318,"")</f>
        <v>3231</v>
      </c>
      <c r="W355" s="211">
        <f>IF(ISNUMBER(W318),N(W315)+W318,"")</f>
        <v>5220</v>
      </c>
      <c r="X355" s="211">
        <f>IF(ISNUMBER(X318),N(X315)+X318,"")</f>
        <v>5220</v>
      </c>
      <c r="Y355" s="211">
        <f>IF(ISNUMBER(Y318),N(Y315)+Y318,"")</f>
        <v>3210</v>
      </c>
      <c r="Z355" s="211">
        <f>IF(ISNUMBER(Z318),N(Z315)+Z318,"")</f>
        <v>2204</v>
      </c>
      <c r="AA355" s="211">
        <f>IF(ISNUMBER(AA318),N(AA315)+AA318,"")</f>
        <v>3938</v>
      </c>
      <c r="AB355" s="211">
        <f>IF(ISNUMBER(AB318),N(AB315)+AB318,"")</f>
        <v>3935</v>
      </c>
      <c r="AC355" s="211">
        <f>IF(ISNUMBER(AC318),N(AC315)+AC318,"")</f>
        <v>3935</v>
      </c>
      <c r="AD355" s="211">
        <f>IF(ISNUMBER(AD318),N(AD315)+AD318,"")</f>
        <v>3937</v>
      </c>
      <c r="AE355" s="211">
        <f>IF(ISNUMBER(AE318),N(AE315)+AE318,"")</f>
        <v>3939</v>
      </c>
      <c r="AF355" s="211">
        <f>IF(ISNUMBER(AF318),N(AF315)+AF318,"")</f>
        <v>3941</v>
      </c>
      <c r="AG355" s="211">
        <f>IF(ISNUMBER(AG318),N(AG315)+AG318,"")</f>
        <v>3943</v>
      </c>
      <c r="AH355" s="211">
        <f>IF(ISNUMBER(AH318),N(AH315)+AH318,"")</f>
        <v>3943</v>
      </c>
      <c r="AI355" s="211">
        <f>IF(ISNUMBER(AI318),N(AI315)+AI318,"")</f>
        <v>6573</v>
      </c>
      <c r="AJ355" s="211">
        <f>IF(ISNUMBER(AJ318),N(AJ315)+AJ318,"")</f>
        <v>3947</v>
      </c>
      <c r="AK355" s="211">
        <f>IF(ISNUMBER(AK318),N(AK315)+AK318,"")</f>
        <v>3948</v>
      </c>
      <c r="AL355" s="211">
        <f>IF(ISNUMBER(AL318),N(AL315)+AL318,"")</f>
        <v>3950</v>
      </c>
      <c r="AM355" s="211">
        <f>IF(ISNUMBER(AM318),N(AM315)+AM318,"")</f>
        <v>3950</v>
      </c>
      <c r="AN355" s="211">
        <f>IF(ISNUMBER(AN318),N(AN315)+AN318,"")</f>
        <v>3952</v>
      </c>
      <c r="AO355" s="211">
        <f>IF(ISNUMBER(AO318),N(AO315)+AO318,"")</f>
        <v>3954</v>
      </c>
      <c r="AP355" s="211">
        <f>IF(ISNUMBER(AP318),N(AP315)+AP318,"")</f>
        <v>3956</v>
      </c>
      <c r="AQ355" s="211">
        <f>IF(ISNUMBER(AQ318),N(AQ315)+AQ318,"")</f>
        <v>3958</v>
      </c>
      <c r="AR355" s="211">
        <f>IF(ISNUMBER(AR318),N(AR315)+AR318,"")</f>
        <v>3958</v>
      </c>
      <c r="AS355" s="211">
        <f>IF(ISNUMBER(AS318),N(AS315)+AS318,"")</f>
        <v>3960</v>
      </c>
      <c r="AT355" s="211">
        <f>IF(ISNUMBER(AT318),N(AT315)+AT318,"")</f>
        <v>4099</v>
      </c>
      <c r="AU355" s="211">
        <f>IF(ISNUMBER(AU318),N(AU315)+AU318,"")</f>
        <v>14901</v>
      </c>
      <c r="AV355" s="211">
        <f>IF(ISNUMBER(AV318),N(AV315)+AV318,"")</f>
        <v>14931</v>
      </c>
      <c r="AW355" s="211">
        <f>IF(ISNUMBER(AW318),N(AW315)+AW318,"")</f>
        <v>14931</v>
      </c>
      <c r="AX355" s="211">
        <f>IF(ISNUMBER(AX318),N(AX315)+AX318,"")</f>
        <v>14887</v>
      </c>
      <c r="AY355" s="211">
        <f>IF(ISNUMBER(AY318),N(AY315)+AY318,"")</f>
        <v>14328</v>
      </c>
      <c r="AZ355" s="211">
        <f>IF(ISNUMBER(AZ318),N(AZ315)+AZ318,"")</f>
        <v>14288</v>
      </c>
      <c r="BA355" s="211">
        <f>IF(ISNUMBER(BA318),N(BA315)+BA318,"")</f>
        <v>14817</v>
      </c>
      <c r="BB355" s="211">
        <f>IF(ISNUMBER(BB318),N(BB315)+BB318,"")</f>
        <v>14817</v>
      </c>
      <c r="BC355" s="211">
        <f>IF(ISNUMBER(BC318),N(BC315)+BC318,"")</f>
        <v>14791</v>
      </c>
      <c r="BD355" s="211">
        <f>IF(ISNUMBER(BD318),N(BD315)+BD318,"")</f>
        <v>14734</v>
      </c>
      <c r="BE355" s="211">
        <f>IF(ISNUMBER(BE318),N(BE315)+BE318,"")</f>
        <v>14653</v>
      </c>
      <c r="BF355" s="211">
        <f>IF(ISNUMBER(BF318),N(BF315)+BF318,"")</f>
        <v>14701</v>
      </c>
      <c r="BG355" s="211">
        <f>IF(ISNUMBER(BG318),N(BG315)+BG318,"")</f>
        <v>14701</v>
      </c>
      <c r="BH355" s="211">
        <f>IF(ISNUMBER(BH318),N(BH315)+BH318,"")</f>
        <v>14696</v>
      </c>
      <c r="BI355" s="211">
        <f>IF(ISNUMBER(BI318),N(BI315)+BI318,"")</f>
        <v>14704</v>
      </c>
      <c r="BJ355" s="211">
        <f>IF(ISNUMBER(BJ318),N(BJ315)+BJ318,"")</f>
        <v>14781</v>
      </c>
      <c r="BK355" s="211">
        <f>IF(ISNUMBER(BK318),N(BK315)+BK318,"")</f>
        <v>14253</v>
      </c>
      <c r="BL355" s="211">
        <f>IF(ISNUMBER(BL318),N(BL315)+BL318,"")</f>
        <v>14253</v>
      </c>
      <c r="BM355" s="211">
        <f>IF(ISNUMBER(BM318),N(BM315)+BM318,"")</f>
        <v>13228</v>
      </c>
      <c r="BN355" s="211">
        <f>IF(ISNUMBER(BN318),N(BN315)+BN318,"")</f>
        <v>13238</v>
      </c>
      <c r="BO355" s="211">
        <f>IF(ISNUMBER(BO318),N(BO315)+BO318,"")</f>
        <v>14296</v>
      </c>
      <c r="BP355" s="211">
        <f>IF(ISNUMBER(BP318),N(BP315)+BP318,"")</f>
        <v>14182</v>
      </c>
      <c r="BQ355" s="211">
        <f>IF(ISNUMBER(BQ318),N(BQ315)+BQ318,"")</f>
        <v>14182</v>
      </c>
      <c r="BR355" s="211">
        <f>IF(ISNUMBER(BR318),N(BR315)+BR318,"")</f>
        <v>14386</v>
      </c>
      <c r="BS355" s="211">
        <f>IF(ISNUMBER(BS318),N(BS315)+BS318,"")</f>
        <v>27607</v>
      </c>
      <c r="BT355" s="211">
        <f>IF(ISNUMBER(BT318),N(BT315)+BT318,"")</f>
        <v>26602</v>
      </c>
      <c r="BU355" s="211">
        <f>IF(ISNUMBER(BU318),N(BU315)+BU318,"")</f>
        <v>48543</v>
      </c>
      <c r="BV355" s="211">
        <f>IF(ISNUMBER(BV318),N(BV315)+BV318,"")</f>
        <v>48543</v>
      </c>
      <c r="BW355" s="211">
        <f>IF(ISNUMBER(BW318),N(BW315)+BW318,"")</f>
        <v>79499</v>
      </c>
      <c r="BX355" s="211">
        <f>IF(ISNUMBER(BX318),N(BX315)+BX318,"")</f>
        <v>100164</v>
      </c>
      <c r="BY355" s="153" t="n"/>
      <c r="BZ355" s="153" t="n"/>
      <c r="CA355" s="254">
        <f>CA357+CA356</f>
        <v>98164</v>
      </c>
      <c r="CB355" s="254">
        <f>CB357+CB356</f>
        <v>98164</v>
      </c>
      <c r="CC355" s="254">
        <f>CC357+CC356</f>
        <v>98164</v>
      </c>
      <c r="CD355" s="254">
        <f>CD357+CD356</f>
        <v>98164</v>
      </c>
      <c r="CE355" s="254">
        <f>CE357+CE356</f>
        <v>98164</v>
      </c>
      <c r="CF355" s="19" t="inlineStr">
        <is>
          <t>Total face value of long-term debt $101,085m at 30-Jun-2026 (Q2-26 10-Q Note 6): 2016 USD notes $2,000m due 2026 (2.00%); 2020 USD $9,000m 2027-60 (0.80-2.25%); 2025 USD $22,500m 2028-75 (3.88-5.70%, incl. $500m SOFR+0.52% FRN 2028); 2025 EUR $15,074m 2028-64 (2.38-4.38%); 2026 USD $20,000m 2029-66 (3.70-5.75%, w.a. 4.80%); 2026 GBP $7,263m 2029-2126 (w.a. 5.31%); 2026 CHF $3,772m 2029-51 (w.a. 1.06%); 2026 EUR $10,239m 2030-63 (w.a. 3.90%); 2026 CAD $5,985m 2031-56 (w.a. 4.35%); 2026 JPY $3,566m 2029-66 (w.a. 2.65%); other long-term debt $1,686m (incl. Intersect project debt). Credit facilities $11.7bn, $1.3bn drawn (SOFR + 1.5-2.25%). Commercial paper program $25bn, nil outstanding.</t>
        </is>
      </c>
    </row>
    <row r="356" ht="15" customHeight="1" s="251">
      <c r="B356" s="69" t="inlineStr">
        <is>
          <t xml:space="preserve">  Commercial paper / credit facilities drawn (plug)</t>
        </is>
      </c>
      <c r="C356" s="253" t="n">
        <v>0</v>
      </c>
      <c r="D356" s="253" t="n">
        <v>0</v>
      </c>
      <c r="E356" s="253" t="n">
        <v>0</v>
      </c>
      <c r="F356" s="253" t="n">
        <v>0</v>
      </c>
      <c r="G356" s="253" t="n">
        <v>3465</v>
      </c>
      <c r="H356" s="253" t="n">
        <v>1218</v>
      </c>
      <c r="I356" s="253" t="n">
        <v>2549</v>
      </c>
      <c r="J356" s="253" t="n">
        <v>2150</v>
      </c>
      <c r="K356" s="253" t="n">
        <v>3000</v>
      </c>
      <c r="L356" s="253" t="n">
        <v>0</v>
      </c>
      <c r="M356" s="253" t="n">
        <v>0</v>
      </c>
      <c r="N356" s="253" t="n">
        <v>0</v>
      </c>
      <c r="O356" s="253" t="n">
        <v>0</v>
      </c>
      <c r="P356" s="253" t="n">
        <v>0</v>
      </c>
      <c r="Q356" s="253" t="n">
        <v>0</v>
      </c>
      <c r="R356" s="253" t="n">
        <v>0</v>
      </c>
      <c r="S356" s="253" t="n">
        <v>0</v>
      </c>
      <c r="T356" s="253" t="n">
        <v>0</v>
      </c>
      <c r="U356" s="253" t="n">
        <v>0</v>
      </c>
      <c r="V356" s="253" t="n">
        <v>0</v>
      </c>
      <c r="W356" s="253" t="n">
        <v>2000</v>
      </c>
      <c r="X356" s="253" t="n">
        <v>2000</v>
      </c>
      <c r="Y356" s="253" t="n">
        <v>0</v>
      </c>
      <c r="Z356" s="253" t="n">
        <v>0</v>
      </c>
      <c r="AA356" s="253" t="n">
        <v>0</v>
      </c>
      <c r="AB356" s="253" t="n">
        <v>0</v>
      </c>
      <c r="AC356" s="253" t="n">
        <v>0</v>
      </c>
      <c r="AD356" s="253" t="n">
        <v>0</v>
      </c>
      <c r="AE356" s="253" t="n">
        <v>0</v>
      </c>
      <c r="AF356" s="253" t="n">
        <v>0</v>
      </c>
      <c r="AG356" s="253" t="n">
        <v>0</v>
      </c>
      <c r="AH356" s="253" t="n">
        <v>0</v>
      </c>
      <c r="AI356" s="253" t="n">
        <v>1300</v>
      </c>
      <c r="AJ356" s="253" t="n">
        <v>0</v>
      </c>
      <c r="AK356" s="253" t="n">
        <v>0</v>
      </c>
      <c r="AL356" s="253" t="n">
        <v>0</v>
      </c>
      <c r="AM356" s="253" t="n">
        <v>0</v>
      </c>
      <c r="AN356" s="253" t="n">
        <v>0</v>
      </c>
      <c r="AO356" s="253" t="n">
        <v>0</v>
      </c>
      <c r="AP356" s="253" t="n">
        <v>0</v>
      </c>
      <c r="AQ356" s="253" t="n">
        <v>0</v>
      </c>
      <c r="AR356" s="253" t="n">
        <v>0</v>
      </c>
      <c r="AS356" s="253" t="n">
        <v>0</v>
      </c>
      <c r="AT356" s="253" t="n">
        <v>0</v>
      </c>
      <c r="AU356" s="253" t="n">
        <v>0</v>
      </c>
      <c r="AV356" s="253" t="n">
        <v>0</v>
      </c>
      <c r="AW356" s="253" t="n">
        <v>0</v>
      </c>
      <c r="AX356" s="253" t="n">
        <v>0</v>
      </c>
      <c r="AY356" s="253" t="n">
        <v>0</v>
      </c>
      <c r="AZ356" s="253" t="n">
        <v>0</v>
      </c>
      <c r="BA356" s="253" t="n">
        <v>0</v>
      </c>
      <c r="BB356" s="253" t="n">
        <v>0</v>
      </c>
      <c r="BC356" s="253" t="n">
        <v>0</v>
      </c>
      <c r="BD356" s="253" t="n">
        <v>0</v>
      </c>
      <c r="BE356" s="253" t="n">
        <v>0</v>
      </c>
      <c r="BF356" s="253" t="n">
        <v>0</v>
      </c>
      <c r="BG356" s="253" t="n">
        <v>0</v>
      </c>
      <c r="BH356" s="253" t="n">
        <v>0</v>
      </c>
      <c r="BI356" s="253" t="n">
        <v>0</v>
      </c>
      <c r="BJ356" s="253" t="n">
        <v>0</v>
      </c>
      <c r="BK356" s="253" t="n">
        <v>0</v>
      </c>
      <c r="BL356" s="253" t="n">
        <v>0</v>
      </c>
      <c r="BM356" s="253" t="n">
        <v>0</v>
      </c>
      <c r="BN356" s="253" t="n">
        <v>0</v>
      </c>
      <c r="BO356" s="253" t="n">
        <v>1000</v>
      </c>
      <c r="BP356" s="253" t="n">
        <v>2300</v>
      </c>
      <c r="BQ356" s="253" t="n">
        <v>2300</v>
      </c>
      <c r="BR356" s="253" t="n">
        <v>2500</v>
      </c>
      <c r="BS356" s="253" t="n">
        <v>3000</v>
      </c>
      <c r="BT356" s="253" t="n">
        <v>3000</v>
      </c>
      <c r="BU356" s="253" t="n">
        <v>0</v>
      </c>
      <c r="BV356" s="253" t="n">
        <v>0</v>
      </c>
      <c r="BW356" s="253" t="n">
        <v>0</v>
      </c>
      <c r="BX356" s="253" t="n">
        <v>0</v>
      </c>
      <c r="BY356" s="153" t="n"/>
      <c r="BZ356" s="153" t="n"/>
      <c r="CA356" s="254">
        <f>MAX(0,BX356+CA362-CA361)</f>
        <v>0</v>
      </c>
      <c r="CB356" s="254">
        <f>MAX(0,CA356+CB362-CB361)</f>
        <v>0</v>
      </c>
      <c r="CC356" s="254">
        <f>MAX(0,CB356+CC362-CC361)</f>
        <v>0</v>
      </c>
      <c r="CD356" s="254">
        <f>MAX(0,CC356+CD362-CD361)</f>
        <v>0</v>
      </c>
      <c r="CE356" s="254">
        <f>MAX(0,CD356+CE362-CE361)</f>
        <v>0</v>
      </c>
      <c r="CF356" s="19" t="inlineStr">
        <is>
          <t>$25bn commercial-paper program (nil outstanding at 30-Jun-2026); $11.7bn credit facilities ($1.3bn drawn, inside long-term debt).</t>
        </is>
      </c>
    </row>
    <row r="357" ht="15" customHeight="1" s="251">
      <c r="B357" s="69" t="inlineStr">
        <is>
          <t xml:space="preserve">  Senior notes &amp; other long-term debt (incl. current portion)</t>
        </is>
      </c>
      <c r="C357" s="211">
        <f>IF(ISNUMBER(C355),C355-N(C356),"")</f>
        <v>0</v>
      </c>
      <c r="D357" s="211">
        <f>IF(ISNUMBER(D355),D355-N(D356),"")</f>
        <v>0</v>
      </c>
      <c r="E357" s="211">
        <f>IF(ISNUMBER(E355),E355-N(E356),"")</f>
        <v>0</v>
      </c>
      <c r="F357" s="211">
        <f>IF(ISNUMBER(F355),F355-N(F356),"")</f>
        <v>0</v>
      </c>
      <c r="G357" s="211">
        <f>IF(ISNUMBER(G355),G355-N(G356),"")</f>
        <v>0</v>
      </c>
      <c r="H357" s="211">
        <f>IF(ISNUMBER(H355),H355-N(H356),"")</f>
        <v>2986</v>
      </c>
      <c r="I357" s="211">
        <f>IF(ISNUMBER(I355),I355-N(I356),"")</f>
        <v>2988</v>
      </c>
      <c r="J357" s="211">
        <f>IF(ISNUMBER(J355),J355-N(J356),"")</f>
        <v>2989</v>
      </c>
      <c r="K357" s="211">
        <f>IF(ISNUMBER(K355),K355-N(K356),"")</f>
        <v>1989</v>
      </c>
      <c r="L357" s="211">
        <f>IF(ISNUMBER(L355),L355-N(L356),"")</f>
        <v>2999</v>
      </c>
      <c r="M357" s="211">
        <f>IF(ISNUMBER(M355),M355-N(M356),"")</f>
        <v>2999</v>
      </c>
      <c r="N357" s="211">
        <f>IF(ISNUMBER(N355),N355-N(N356),"")</f>
        <v>2999</v>
      </c>
      <c r="O357" s="211">
        <f>IF(ISNUMBER(O355),O355-N(O356),"")</f>
        <v>4000</v>
      </c>
      <c r="P357" s="211">
        <f>IF(ISNUMBER(P355),P355-N(P356),"")</f>
        <v>3000</v>
      </c>
      <c r="Q357" s="211">
        <f>IF(ISNUMBER(Q355),Q355-N(Q356),"")</f>
        <v>3001</v>
      </c>
      <c r="R357" s="211">
        <f>IF(ISNUMBER(R355),R355-N(R356),"")</f>
        <v>3002</v>
      </c>
      <c r="S357" s="211">
        <f>IF(ISNUMBER(S355),S355-N(S356),"")</f>
        <v>3002</v>
      </c>
      <c r="T357" s="211">
        <f>IF(ISNUMBER(T355),T355-N(T356),"")</f>
        <v>3002</v>
      </c>
      <c r="U357" s="211">
        <f>IF(ISNUMBER(U355),U355-N(U356),"")</f>
        <v>3002</v>
      </c>
      <c r="V357" s="211">
        <f>IF(ISNUMBER(V355),V355-N(V356),"")</f>
        <v>3231</v>
      </c>
      <c r="W357" s="211">
        <f>IF(ISNUMBER(W355),W355-N(W356),"")</f>
        <v>3220</v>
      </c>
      <c r="X357" s="211">
        <f>IF(ISNUMBER(X355),X355-N(X356),"")</f>
        <v>3220</v>
      </c>
      <c r="Y357" s="211">
        <f>IF(ISNUMBER(Y355),Y355-N(Y356),"")</f>
        <v>3210</v>
      </c>
      <c r="Z357" s="211">
        <f>IF(ISNUMBER(Z355),Z355-N(Z356),"")</f>
        <v>2204</v>
      </c>
      <c r="AA357" s="211">
        <f>IF(ISNUMBER(AA355),AA355-N(AA356),"")</f>
        <v>3938</v>
      </c>
      <c r="AB357" s="211">
        <f>IF(ISNUMBER(AB355),AB355-N(AB356),"")</f>
        <v>3935</v>
      </c>
      <c r="AC357" s="211">
        <f>IF(ISNUMBER(AC355),AC355-N(AC356),"")</f>
        <v>3935</v>
      </c>
      <c r="AD357" s="211">
        <f>IF(ISNUMBER(AD355),AD355-N(AD356),"")</f>
        <v>3937</v>
      </c>
      <c r="AE357" s="211">
        <f>IF(ISNUMBER(AE355),AE355-N(AE356),"")</f>
        <v>3939</v>
      </c>
      <c r="AF357" s="211">
        <f>IF(ISNUMBER(AF355),AF355-N(AF356),"")</f>
        <v>3941</v>
      </c>
      <c r="AG357" s="211">
        <f>IF(ISNUMBER(AG355),AG355-N(AG356),"")</f>
        <v>3943</v>
      </c>
      <c r="AH357" s="211">
        <f>IF(ISNUMBER(AH355),AH355-N(AH356),"")</f>
        <v>3943</v>
      </c>
      <c r="AI357" s="211">
        <f>IF(ISNUMBER(AI355),AI355-N(AI356),"")</f>
        <v>5273</v>
      </c>
      <c r="AJ357" s="211">
        <f>IF(ISNUMBER(AJ355),AJ355-N(AJ356),"")</f>
        <v>3947</v>
      </c>
      <c r="AK357" s="211">
        <f>IF(ISNUMBER(AK355),AK355-N(AK356),"")</f>
        <v>3948</v>
      </c>
      <c r="AL357" s="211">
        <f>IF(ISNUMBER(AL355),AL355-N(AL356),"")</f>
        <v>3950</v>
      </c>
      <c r="AM357" s="211">
        <f>IF(ISNUMBER(AM355),AM355-N(AM356),"")</f>
        <v>3950</v>
      </c>
      <c r="AN357" s="211">
        <f>IF(ISNUMBER(AN355),AN355-N(AN356),"")</f>
        <v>3952</v>
      </c>
      <c r="AO357" s="211">
        <f>IF(ISNUMBER(AO355),AO355-N(AO356),"")</f>
        <v>3954</v>
      </c>
      <c r="AP357" s="211">
        <f>IF(ISNUMBER(AP355),AP355-N(AP356),"")</f>
        <v>3956</v>
      </c>
      <c r="AQ357" s="211">
        <f>IF(ISNUMBER(AQ355),AQ355-N(AQ356),"")</f>
        <v>3958</v>
      </c>
      <c r="AR357" s="211">
        <f>IF(ISNUMBER(AR355),AR355-N(AR356),"")</f>
        <v>3958</v>
      </c>
      <c r="AS357" s="211">
        <f>IF(ISNUMBER(AS355),AS355-N(AS356),"")</f>
        <v>3960</v>
      </c>
      <c r="AT357" s="211">
        <f>IF(ISNUMBER(AT355),AT355-N(AT356),"")</f>
        <v>4099</v>
      </c>
      <c r="AU357" s="211">
        <f>IF(ISNUMBER(AU355),AU355-N(AU356),"")</f>
        <v>14901</v>
      </c>
      <c r="AV357" s="211">
        <f>IF(ISNUMBER(AV355),AV355-N(AV356),"")</f>
        <v>14931</v>
      </c>
      <c r="AW357" s="211">
        <f>IF(ISNUMBER(AW355),AW355-N(AW356),"")</f>
        <v>14931</v>
      </c>
      <c r="AX357" s="211">
        <f>IF(ISNUMBER(AX355),AX355-N(AX356),"")</f>
        <v>14887</v>
      </c>
      <c r="AY357" s="211">
        <f>IF(ISNUMBER(AY355),AY355-N(AY356),"")</f>
        <v>14328</v>
      </c>
      <c r="AZ357" s="211">
        <f>IF(ISNUMBER(AZ355),AZ355-N(AZ356),"")</f>
        <v>14288</v>
      </c>
      <c r="BA357" s="211">
        <f>IF(ISNUMBER(BA355),BA355-N(BA356),"")</f>
        <v>14817</v>
      </c>
      <c r="BB357" s="211">
        <f>IF(ISNUMBER(BB355),BB355-N(BB356),"")</f>
        <v>14817</v>
      </c>
      <c r="BC357" s="211">
        <f>IF(ISNUMBER(BC355),BC355-N(BC356),"")</f>
        <v>14791</v>
      </c>
      <c r="BD357" s="211">
        <f>IF(ISNUMBER(BD355),BD355-N(BD356),"")</f>
        <v>14734</v>
      </c>
      <c r="BE357" s="211">
        <f>IF(ISNUMBER(BE355),BE355-N(BE356),"")</f>
        <v>14653</v>
      </c>
      <c r="BF357" s="211">
        <f>IF(ISNUMBER(BF355),BF355-N(BF356),"")</f>
        <v>14701</v>
      </c>
      <c r="BG357" s="211">
        <f>IF(ISNUMBER(BG355),BG355-N(BG356),"")</f>
        <v>14701</v>
      </c>
      <c r="BH357" s="211">
        <f>IF(ISNUMBER(BH355),BH355-N(BH356),"")</f>
        <v>14696</v>
      </c>
      <c r="BI357" s="211">
        <f>IF(ISNUMBER(BI355),BI355-N(BI356),"")</f>
        <v>14704</v>
      </c>
      <c r="BJ357" s="211">
        <f>IF(ISNUMBER(BJ355),BJ355-N(BJ356),"")</f>
        <v>14781</v>
      </c>
      <c r="BK357" s="211">
        <f>IF(ISNUMBER(BK355),BK355-N(BK356),"")</f>
        <v>14253</v>
      </c>
      <c r="BL357" s="211">
        <f>IF(ISNUMBER(BL355),BL355-N(BL356),"")</f>
        <v>14253</v>
      </c>
      <c r="BM357" s="211">
        <f>IF(ISNUMBER(BM355),BM355-N(BM356),"")</f>
        <v>13228</v>
      </c>
      <c r="BN357" s="211">
        <f>IF(ISNUMBER(BN355),BN355-N(BN356),"")</f>
        <v>13238</v>
      </c>
      <c r="BO357" s="211">
        <f>IF(ISNUMBER(BO355),BO355-N(BO356),"")</f>
        <v>13296</v>
      </c>
      <c r="BP357" s="211">
        <f>IF(ISNUMBER(BP355),BP355-N(BP356),"")</f>
        <v>11882</v>
      </c>
      <c r="BQ357" s="211">
        <f>IF(ISNUMBER(BQ355),BQ355-N(BQ356),"")</f>
        <v>11882</v>
      </c>
      <c r="BR357" s="211">
        <f>IF(ISNUMBER(BR355),BR355-N(BR356),"")</f>
        <v>11886</v>
      </c>
      <c r="BS357" s="211">
        <f>IF(ISNUMBER(BS355),BS355-N(BS356),"")</f>
        <v>24607</v>
      </c>
      <c r="BT357" s="211">
        <f>IF(ISNUMBER(BT355),BT355-N(BT356),"")</f>
        <v>23602</v>
      </c>
      <c r="BU357" s="211">
        <f>IF(ISNUMBER(BU355),BU355-N(BU356),"")</f>
        <v>48543</v>
      </c>
      <c r="BV357" s="211">
        <f>IF(ISNUMBER(BV355),BV355-N(BV356),"")</f>
        <v>48543</v>
      </c>
      <c r="BW357" s="211">
        <f>IF(ISNUMBER(BW355),BW355-N(BW356),"")</f>
        <v>79499</v>
      </c>
      <c r="BX357" s="211">
        <f>IF(ISNUMBER(BX355),BX355-N(BX356),"")</f>
        <v>100164</v>
      </c>
      <c r="BY357" s="153" t="n"/>
      <c r="BZ357" s="153" t="n"/>
      <c r="CA357" s="254">
        <f>BX357-CA359+CA358</f>
        <v>98164</v>
      </c>
      <c r="CB357" s="254">
        <f>CA357-CB359+CB358</f>
        <v>98164</v>
      </c>
      <c r="CC357" s="254">
        <f>CB357-CC359+CC358</f>
        <v>98164</v>
      </c>
      <c r="CD357" s="254">
        <f>CC357-CD359+CD358</f>
        <v>98164</v>
      </c>
      <c r="CE357" s="254">
        <f>CD357-CE359+CE358</f>
        <v>98164</v>
      </c>
      <c r="CF357" s="19" t="n"/>
    </row>
    <row r="358" ht="15" customHeight="1" s="251">
      <c r="B358" s="69" t="inlineStr">
        <is>
          <t xml:space="preserve">  New notes issued (input; 2H26E nil, 2027E+ refinance maturities)</t>
        </is>
      </c>
      <c r="C358" s="44" t="n"/>
      <c r="D358" s="44" t="n"/>
      <c r="E358" s="44" t="n"/>
      <c r="F358" s="44" t="n"/>
      <c r="G358" s="44" t="n"/>
      <c r="H358" s="44" t="n"/>
      <c r="I358" s="44" t="n"/>
      <c r="J358" s="44" t="n"/>
      <c r="K358" s="44" t="n"/>
      <c r="L358" s="44" t="n"/>
      <c r="M358" s="44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  <c r="AC358" s="44" t="n"/>
      <c r="AD358" s="44" t="n"/>
      <c r="AE358" s="44" t="n"/>
      <c r="AF358" s="44" t="n"/>
      <c r="AG358" s="44" t="n"/>
      <c r="AH358" s="44" t="n"/>
      <c r="AI358" s="44" t="n"/>
      <c r="AJ358" s="44" t="n"/>
      <c r="AK358" s="44" t="n"/>
      <c r="AL358" s="44" t="n"/>
      <c r="AM358" s="44" t="n"/>
      <c r="AN358" s="44" t="n"/>
      <c r="AO358" s="44" t="n"/>
      <c r="AP358" s="44" t="n"/>
      <c r="AQ358" s="44" t="n"/>
      <c r="AR358" s="44" t="n"/>
      <c r="AS358" s="44" t="n"/>
      <c r="AT358" s="44" t="n"/>
      <c r="AU358" s="44" t="n"/>
      <c r="AV358" s="44" t="n"/>
      <c r="AW358" s="44" t="n"/>
      <c r="AX358" s="44" t="n"/>
      <c r="AY358" s="44" t="n"/>
      <c r="AZ358" s="44" t="n"/>
      <c r="BA358" s="44" t="n"/>
      <c r="BB358" s="44" t="n"/>
      <c r="BC358" s="44" t="n"/>
      <c r="BD358" s="44" t="n"/>
      <c r="BE358" s="44" t="n"/>
      <c r="BF358" s="44" t="n"/>
      <c r="BG358" s="44" t="n"/>
      <c r="BH358" s="44" t="n"/>
      <c r="BI358" s="44" t="n"/>
      <c r="BJ358" s="44" t="n"/>
      <c r="BK358" s="44" t="n"/>
      <c r="BL358" s="44" t="n"/>
      <c r="BM358" s="44" t="n"/>
      <c r="BN358" s="44" t="n"/>
      <c r="BO358" s="44" t="n"/>
      <c r="BP358" s="44" t="n"/>
      <c r="BQ358" s="44" t="n"/>
      <c r="BR358" s="44" t="n"/>
      <c r="BS358" s="44" t="n"/>
      <c r="BT358" s="44" t="n"/>
      <c r="BU358" s="44" t="n"/>
      <c r="BV358" s="44" t="n"/>
      <c r="BW358" s="44" t="n"/>
      <c r="BX358" s="44" t="n"/>
      <c r="BY358" s="153" t="n"/>
      <c r="BZ358" s="153" t="n"/>
      <c r="CA358" s="265" t="n">
        <v>0</v>
      </c>
      <c r="CB358" s="254">
        <f>CB359</f>
        <v>1000</v>
      </c>
      <c r="CC358" s="254">
        <f>CC359</f>
        <v>2676</v>
      </c>
      <c r="CD358" s="254">
        <f>CD359</f>
        <v>1764</v>
      </c>
      <c r="CE358" s="254">
        <f>CE359</f>
        <v>5500</v>
      </c>
      <c r="CF358" s="19" t="n"/>
    </row>
    <row r="359" ht="15" customHeight="1" s="251">
      <c r="B359" s="69" t="inlineStr">
        <is>
          <t xml:space="preserve">  Notes repaid at maturity (input)</t>
        </is>
      </c>
      <c r="C359" s="44" t="n"/>
      <c r="D359" s="44" t="n"/>
      <c r="E359" s="44" t="n"/>
      <c r="F359" s="44" t="n"/>
      <c r="G359" s="44" t="n"/>
      <c r="H359" s="44" t="n"/>
      <c r="I359" s="44" t="n"/>
      <c r="J359" s="44" t="n"/>
      <c r="K359" s="44" t="n"/>
      <c r="L359" s="44" t="n"/>
      <c r="M359" s="44" t="n"/>
      <c r="N359" s="44" t="n"/>
      <c r="O359" s="44" t="n"/>
      <c r="P359" s="44" t="n"/>
      <c r="Q359" s="44" t="n"/>
      <c r="R359" s="44" t="n"/>
      <c r="S359" s="44" t="n"/>
      <c r="T359" s="44" t="n"/>
      <c r="U359" s="44" t="n"/>
      <c r="V359" s="44" t="n"/>
      <c r="W359" s="44" t="n"/>
      <c r="X359" s="44" t="n"/>
      <c r="Y359" s="44" t="n"/>
      <c r="Z359" s="44" t="n"/>
      <c r="AA359" s="44" t="n"/>
      <c r="AB359" s="44" t="n"/>
      <c r="AC359" s="44" t="n"/>
      <c r="AD359" s="44" t="n"/>
      <c r="AE359" s="44" t="n"/>
      <c r="AF359" s="44" t="n"/>
      <c r="AG359" s="44" t="n"/>
      <c r="AH359" s="44" t="n"/>
      <c r="AI359" s="44" t="n"/>
      <c r="AJ359" s="44" t="n"/>
      <c r="AK359" s="44" t="n"/>
      <c r="AL359" s="44" t="n"/>
      <c r="AM359" s="44" t="n"/>
      <c r="AN359" s="44" t="n"/>
      <c r="AO359" s="44" t="n"/>
      <c r="AP359" s="44" t="n"/>
      <c r="AQ359" s="44" t="n"/>
      <c r="AR359" s="44" t="n"/>
      <c r="AS359" s="44" t="n"/>
      <c r="AT359" s="44" t="n"/>
      <c r="AU359" s="44" t="n"/>
      <c r="AV359" s="44" t="n"/>
      <c r="AW359" s="44" t="n"/>
      <c r="AX359" s="44" t="n"/>
      <c r="AY359" s="44" t="n"/>
      <c r="AZ359" s="44" t="n"/>
      <c r="BA359" s="44" t="n"/>
      <c r="BB359" s="44" t="n"/>
      <c r="BC359" s="44" t="n"/>
      <c r="BD359" s="44" t="n"/>
      <c r="BE359" s="44" t="n"/>
      <c r="BF359" s="44" t="n"/>
      <c r="BG359" s="44" t="n"/>
      <c r="BH359" s="44" t="n"/>
      <c r="BI359" s="44" t="n"/>
      <c r="BJ359" s="44" t="n"/>
      <c r="BK359" s="44" t="n"/>
      <c r="BL359" s="44" t="n"/>
      <c r="BM359" s="44" t="n"/>
      <c r="BN359" s="44" t="n"/>
      <c r="BO359" s="44" t="n"/>
      <c r="BP359" s="44" t="n"/>
      <c r="BQ359" s="44" t="n"/>
      <c r="BR359" s="44" t="n"/>
      <c r="BS359" s="44" t="n"/>
      <c r="BT359" s="44" t="n"/>
      <c r="BU359" s="44" t="n"/>
      <c r="BV359" s="44" t="n"/>
      <c r="BW359" s="44" t="n"/>
      <c r="BX359" s="44" t="n"/>
      <c r="BY359" s="153" t="n"/>
      <c r="BZ359" s="153" t="n"/>
      <c r="CA359" s="265" t="n">
        <v>2000</v>
      </c>
      <c r="CB359" s="265" t="n">
        <v>1000</v>
      </c>
      <c r="CC359" s="265" t="n">
        <v>2676</v>
      </c>
      <c r="CD359" s="265" t="n">
        <v>1764</v>
      </c>
      <c r="CE359" s="265" t="n">
        <v>5500</v>
      </c>
      <c r="CF359" s="19" t="inlineStr">
        <is>
          <t>FY2025 10-K maturity ladder (face): 2026 $2,000m (2.00% notes, Aug-2026), 2027 $1,000m, 2028 $2,676m, 2029 $1,764m, 2030 $5,500m. The 2026 USD / GBP / CHF / EUR / CAD / JPY issues mature 2029–2126 and are not split by year in the 10-Q (assumed beyond 2030). Maturities refinanced (assumption).</t>
        </is>
      </c>
    </row>
    <row r="360" ht="15" customHeight="1" s="251">
      <c r="B360" s="69" t="inlineStr">
        <is>
          <t xml:space="preserve">  Maturities in the following year (current portion)</t>
        </is>
      </c>
      <c r="C360" s="44" t="n"/>
      <c r="D360" s="44" t="n"/>
      <c r="E360" s="44" t="n"/>
      <c r="F360" s="44" t="n"/>
      <c r="G360" s="44" t="n"/>
      <c r="H360" s="44" t="n"/>
      <c r="I360" s="44" t="n"/>
      <c r="J360" s="44" t="n"/>
      <c r="K360" s="44" t="n"/>
      <c r="L360" s="44" t="n"/>
      <c r="M360" s="44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  <c r="AC360" s="44" t="n"/>
      <c r="AD360" s="44" t="n"/>
      <c r="AE360" s="44" t="n"/>
      <c r="AF360" s="44" t="n"/>
      <c r="AG360" s="44" t="n"/>
      <c r="AH360" s="44" t="n"/>
      <c r="AI360" s="44" t="n"/>
      <c r="AJ360" s="44" t="n"/>
      <c r="AK360" s="44" t="n"/>
      <c r="AL360" s="44" t="n"/>
      <c r="AM360" s="44" t="n"/>
      <c r="AN360" s="44" t="n"/>
      <c r="AO360" s="44" t="n"/>
      <c r="AP360" s="44" t="n"/>
      <c r="AQ360" s="44" t="n"/>
      <c r="AR360" s="44" t="n"/>
      <c r="AS360" s="44" t="n"/>
      <c r="AT360" s="44" t="n"/>
      <c r="AU360" s="44" t="n"/>
      <c r="AV360" s="44" t="n"/>
      <c r="AW360" s="44" t="n"/>
      <c r="AX360" s="44" t="n"/>
      <c r="AY360" s="44" t="n"/>
      <c r="AZ360" s="44" t="n"/>
      <c r="BA360" s="44" t="n"/>
      <c r="BB360" s="44" t="n"/>
      <c r="BC360" s="44" t="n"/>
      <c r="BD360" s="44" t="n"/>
      <c r="BE360" s="44" t="n"/>
      <c r="BF360" s="44" t="n"/>
      <c r="BG360" s="44" t="n"/>
      <c r="BH360" s="44" t="n"/>
      <c r="BI360" s="44" t="n"/>
      <c r="BJ360" s="44" t="n"/>
      <c r="BK360" s="44" t="n"/>
      <c r="BL360" s="44" t="n"/>
      <c r="BM360" s="44" t="n"/>
      <c r="BN360" s="44" t="n"/>
      <c r="BO360" s="44" t="n"/>
      <c r="BP360" s="44" t="n"/>
      <c r="BQ360" s="44" t="n"/>
      <c r="BR360" s="44" t="n"/>
      <c r="BS360" s="44" t="n"/>
      <c r="BT360" s="44" t="n"/>
      <c r="BU360" s="44" t="n"/>
      <c r="BV360" s="44" t="n"/>
      <c r="BW360" s="44" t="n"/>
      <c r="BX360" s="44" t="n"/>
      <c r="BY360" s="153" t="n"/>
      <c r="BZ360" s="153" t="n"/>
      <c r="CA360" s="265" t="n">
        <v>1000</v>
      </c>
      <c r="CB360" s="265" t="n">
        <v>2676</v>
      </c>
      <c r="CC360" s="265" t="n">
        <v>1764</v>
      </c>
      <c r="CD360" s="265" t="n">
        <v>5500</v>
      </c>
      <c r="CE360" s="265" t="n">
        <v>5000</v>
      </c>
      <c r="CF360" s="19" t="n"/>
    </row>
    <row r="361" ht="15" customHeight="1" s="251">
      <c r="B361" s="69" t="inlineStr">
        <is>
          <t xml:space="preserve">  Liquidity before commercial paper (opening cash + marketable securities + CFO + capex, M&amp;A, divestitures + buybacks, dividends, award payments, issuance, other + FX − repaid + issued)</t>
        </is>
      </c>
      <c r="C361" s="44" t="n"/>
      <c r="D361" s="44" t="n"/>
      <c r="E361" s="44" t="n"/>
      <c r="F361" s="44" t="n"/>
      <c r="G361" s="44" t="n"/>
      <c r="H361" s="44" t="n"/>
      <c r="I361" s="44" t="n"/>
      <c r="J361" s="44" t="n"/>
      <c r="K361" s="44" t="n"/>
      <c r="L361" s="44" t="n"/>
      <c r="M361" s="44" t="n"/>
      <c r="N361" s="44" t="n"/>
      <c r="O361" s="44" t="n"/>
      <c r="P361" s="44" t="n"/>
      <c r="Q361" s="44" t="n"/>
      <c r="R361" s="44" t="n"/>
      <c r="S361" s="44" t="n"/>
      <c r="T361" s="44" t="n"/>
      <c r="U361" s="44" t="n"/>
      <c r="V361" s="44" t="n"/>
      <c r="W361" s="44" t="n"/>
      <c r="X361" s="44" t="n"/>
      <c r="Y361" s="44" t="n"/>
      <c r="Z361" s="44" t="n"/>
      <c r="AA361" s="44" t="n"/>
      <c r="AB361" s="44" t="n"/>
      <c r="AC361" s="44" t="n"/>
      <c r="AD361" s="44" t="n"/>
      <c r="AE361" s="44" t="n"/>
      <c r="AF361" s="44" t="n"/>
      <c r="AG361" s="44" t="n"/>
      <c r="AH361" s="44" t="n"/>
      <c r="AI361" s="44" t="n"/>
      <c r="AJ361" s="44" t="n"/>
      <c r="AK361" s="44" t="n"/>
      <c r="AL361" s="44" t="n"/>
      <c r="AM361" s="44" t="n"/>
      <c r="AN361" s="44" t="n"/>
      <c r="AO361" s="44" t="n"/>
      <c r="AP361" s="44" t="n"/>
      <c r="AQ361" s="44" t="n"/>
      <c r="AR361" s="44" t="n"/>
      <c r="AS361" s="44" t="n"/>
      <c r="AT361" s="44" t="n"/>
      <c r="AU361" s="44" t="n"/>
      <c r="AV361" s="44" t="n"/>
      <c r="AW361" s="44" t="n"/>
      <c r="AX361" s="44" t="n"/>
      <c r="AY361" s="44" t="n"/>
      <c r="AZ361" s="44" t="n"/>
      <c r="BA361" s="44" t="n"/>
      <c r="BB361" s="44" t="n"/>
      <c r="BC361" s="44" t="n"/>
      <c r="BD361" s="44" t="n"/>
      <c r="BE361" s="44" t="n"/>
      <c r="BF361" s="44" t="n"/>
      <c r="BG361" s="44" t="n"/>
      <c r="BH361" s="44" t="n"/>
      <c r="BI361" s="44" t="n"/>
      <c r="BJ361" s="44" t="n"/>
      <c r="BK361" s="44" t="n"/>
      <c r="BL361" s="44" t="n"/>
      <c r="BM361" s="44" t="n"/>
      <c r="BN361" s="44" t="n"/>
      <c r="BO361" s="44" t="n"/>
      <c r="BP361" s="44" t="n"/>
      <c r="BQ361" s="44" t="n"/>
      <c r="BR361" s="44" t="n"/>
      <c r="BS361" s="44" t="n"/>
      <c r="BT361" s="44" t="n"/>
      <c r="BU361" s="44" t="n"/>
      <c r="BV361" s="44" t="n"/>
      <c r="BW361" s="44" t="n"/>
      <c r="BX361" s="44" t="n"/>
      <c r="BY361" s="153" t="n"/>
      <c r="BZ361" s="153" t="n"/>
      <c r="CA361" s="254">
        <f>BX269-CA328+BX304+(CA253-SUM(BW253:BX253))+(CA254-SUM(BW254:BX254))+(CA255-SUM(BW255:BX255))+(CA256-SUM(BW256:BX256))+(CA259-SUM(BW259:BX259))+(CA260-SUM(BW260:BX260))+(CA261-SUM(BW261:BX261))+(CA262-SUM(BW262:BX262))+(CA264-SUM(BW264:BX264))+(CA266-SUM(BW266:BX266))-CA359+CA358</f>
        <v>218669.199141267</v>
      </c>
      <c r="CB361" s="254">
        <f>CB268-CB328+CA304+CB253+CB254+CB255+CB256+CB259+CB260+CB261+CB262+CB264+CB266-CB359+CB358</f>
        <v>159407.654125393</v>
      </c>
      <c r="CC361" s="254">
        <f>CC268-CC328+CB304+CC253+CC254+CC255+CC256+CC259+CC260+CC261+CC262+CC264+CC266-CC359+CC358</f>
        <v>142096.770939678</v>
      </c>
      <c r="CD361" s="254">
        <f>CD268-CD328+CC304+CD253+CD254+CD255+CD256+CD259+CD260+CD261+CD262+CD264+CD266-CD359+CD358</f>
        <v>152230.776772702</v>
      </c>
      <c r="CE361" s="254">
        <f>CE268-CE328+CD304+CE253+CE254+CE255+CE256+CE259+CE260+CE261+CE262+CE264+CE266-CE359+CE358</f>
        <v>189748.274982261</v>
      </c>
      <c r="CF361" s="19" t="n"/>
    </row>
    <row r="362" ht="15" customHeight="1" s="251">
      <c r="B362" s="69" t="inlineStr">
        <is>
          <t xml:space="preserve">  Minimum cash balance (balance-sheet cash; marketable securities are drawn down first)</t>
        </is>
      </c>
      <c r="C362" s="44" t="n"/>
      <c r="D362" s="44" t="n"/>
      <c r="E362" s="44" t="n"/>
      <c r="F362" s="44" t="n"/>
      <c r="G362" s="44" t="n"/>
      <c r="H362" s="44" t="n"/>
      <c r="I362" s="44" t="n"/>
      <c r="J362" s="44" t="n"/>
      <c r="K362" s="44" t="n"/>
      <c r="L362" s="44" t="n"/>
      <c r="M362" s="44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  <c r="AC362" s="44" t="n"/>
      <c r="AD362" s="44" t="n"/>
      <c r="AE362" s="44" t="n"/>
      <c r="AF362" s="44" t="n"/>
      <c r="AG362" s="44" t="n"/>
      <c r="AH362" s="44" t="n"/>
      <c r="AI362" s="44" t="n"/>
      <c r="AJ362" s="44" t="n"/>
      <c r="AK362" s="44" t="n"/>
      <c r="AL362" s="44" t="n"/>
      <c r="AM362" s="44" t="n"/>
      <c r="AN362" s="44" t="n"/>
      <c r="AO362" s="44" t="n"/>
      <c r="AP362" s="44" t="n"/>
      <c r="AQ362" s="44" t="n"/>
      <c r="AR362" s="44" t="n"/>
      <c r="AS362" s="44" t="n"/>
      <c r="AT362" s="44" t="n"/>
      <c r="AU362" s="44" t="n"/>
      <c r="AV362" s="44" t="n"/>
      <c r="AW362" s="44" t="n"/>
      <c r="AX362" s="44" t="n"/>
      <c r="AY362" s="44" t="n"/>
      <c r="AZ362" s="44" t="n"/>
      <c r="BA362" s="44" t="n"/>
      <c r="BB362" s="44" t="n"/>
      <c r="BC362" s="44" t="n"/>
      <c r="BD362" s="44" t="n"/>
      <c r="BE362" s="44" t="n"/>
      <c r="BF362" s="44" t="n"/>
      <c r="BG362" s="44" t="n"/>
      <c r="BH362" s="44" t="n"/>
      <c r="BI362" s="44" t="n"/>
      <c r="BJ362" s="44" t="n"/>
      <c r="BK362" s="44" t="n"/>
      <c r="BL362" s="44" t="n"/>
      <c r="BM362" s="44" t="n"/>
      <c r="BN362" s="44" t="n"/>
      <c r="BO362" s="44" t="n"/>
      <c r="BP362" s="44" t="n"/>
      <c r="BQ362" s="44" t="n"/>
      <c r="BR362" s="44" t="n"/>
      <c r="BS362" s="44" t="n"/>
      <c r="BT362" s="44" t="n"/>
      <c r="BU362" s="44" t="n"/>
      <c r="BV362" s="44" t="n"/>
      <c r="BW362" s="44" t="n"/>
      <c r="BX362" s="44" t="n"/>
      <c r="BY362" s="153" t="n"/>
      <c r="BZ362" s="153" t="n"/>
      <c r="CA362" s="265" t="n">
        <v>25000</v>
      </c>
      <c r="CB362" s="265" t="n">
        <v>25000</v>
      </c>
      <c r="CC362" s="265" t="n">
        <v>25000</v>
      </c>
      <c r="CD362" s="265" t="n">
        <v>25000</v>
      </c>
      <c r="CE362" s="265" t="n">
        <v>25000</v>
      </c>
      <c r="CF362" s="19" t="n"/>
    </row>
    <row r="363" ht="15" customHeight="1" s="251">
      <c r="B363" s="69" t="inlineStr">
        <is>
          <t xml:space="preserve">  Net issuance / (repayment)</t>
        </is>
      </c>
      <c r="C363" s="44" t="n"/>
      <c r="D363" s="44" t="n"/>
      <c r="E363" s="44" t="n"/>
      <c r="F363" s="44" t="n"/>
      <c r="G363" s="44" t="n"/>
      <c r="H363" s="44" t="n"/>
      <c r="I363" s="44" t="n"/>
      <c r="J363" s="44" t="n"/>
      <c r="K363" s="44" t="n"/>
      <c r="L363" s="44" t="n"/>
      <c r="M363" s="44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44" t="n"/>
      <c r="X363" s="44" t="n"/>
      <c r="Y363" s="44" t="n"/>
      <c r="Z363" s="44" t="n"/>
      <c r="AA363" s="44" t="n"/>
      <c r="AB363" s="44" t="n"/>
      <c r="AC363" s="44" t="n"/>
      <c r="AD363" s="44" t="n"/>
      <c r="AE363" s="44" t="n"/>
      <c r="AF363" s="44" t="n"/>
      <c r="AG363" s="44" t="n"/>
      <c r="AH363" s="44" t="n"/>
      <c r="AI363" s="44" t="n"/>
      <c r="AJ363" s="44" t="n"/>
      <c r="AK363" s="44" t="n"/>
      <c r="AL363" s="44" t="n"/>
      <c r="AM363" s="44" t="n"/>
      <c r="AN363" s="44" t="n"/>
      <c r="AO363" s="44" t="n"/>
      <c r="AP363" s="44" t="n"/>
      <c r="AQ363" s="44" t="n"/>
      <c r="AR363" s="44" t="n"/>
      <c r="AS363" s="44" t="n"/>
      <c r="AT363" s="44" t="n"/>
      <c r="AU363" s="44" t="n"/>
      <c r="AV363" s="44" t="n"/>
      <c r="AW363" s="44" t="n"/>
      <c r="AX363" s="44" t="n"/>
      <c r="AY363" s="44" t="n"/>
      <c r="AZ363" s="44" t="n"/>
      <c r="BA363" s="44" t="n"/>
      <c r="BB363" s="44" t="n"/>
      <c r="BC363" s="44" t="n"/>
      <c r="BD363" s="44" t="n"/>
      <c r="BE363" s="44" t="n"/>
      <c r="BF363" s="44" t="n"/>
      <c r="BG363" s="44" t="n"/>
      <c r="BH363" s="44" t="n"/>
      <c r="BI363" s="44" t="n"/>
      <c r="BJ363" s="44" t="n"/>
      <c r="BK363" s="44" t="n"/>
      <c r="BL363" s="44" t="n"/>
      <c r="BM363" s="44" t="n"/>
      <c r="BN363" s="44" t="n"/>
      <c r="BO363" s="44" t="n"/>
      <c r="BP363" s="44" t="n"/>
      <c r="BQ363" s="44" t="n"/>
      <c r="BR363" s="44" t="n"/>
      <c r="BS363" s="44" t="n"/>
      <c r="BT363" s="44" t="n"/>
      <c r="BU363" s="44" t="n"/>
      <c r="BV363" s="44" t="n"/>
      <c r="BW363" s="44" t="n"/>
      <c r="BX363" s="44" t="n"/>
      <c r="BY363" s="153" t="n"/>
      <c r="BZ363" s="153" t="n"/>
      <c r="CA363" s="254">
        <f>IFERROR(CA355-BV355,"")</f>
        <v>49621</v>
      </c>
      <c r="CB363" s="254">
        <f>IFERROR(CB355-CA355,"")</f>
        <v>0</v>
      </c>
      <c r="CC363" s="254">
        <f>IFERROR(CC355-CB355,"")</f>
        <v>0</v>
      </c>
      <c r="CD363" s="254">
        <f>IFERROR(CD355-CC355,"")</f>
        <v>0</v>
      </c>
      <c r="CE363" s="254">
        <f>IFERROR(CE355-CD355,"")</f>
        <v>0</v>
      </c>
      <c r="CF363" s="19" t="n"/>
    </row>
    <row r="364" ht="15" customHeight="1" s="251">
      <c r="B364" s="69" t="inlineStr">
        <is>
          <t xml:space="preserve">  Interest rate on opening notes %</t>
        </is>
      </c>
      <c r="C364" s="44" t="n"/>
      <c r="D364" s="44" t="n"/>
      <c r="E364" s="44" t="n"/>
      <c r="F364" s="44" t="n"/>
      <c r="G364" s="44" t="n"/>
      <c r="H364" s="44" t="n"/>
      <c r="I364" s="44" t="n"/>
      <c r="J364" s="44" t="n"/>
      <c r="K364" s="44" t="n"/>
      <c r="L364" s="44" t="n"/>
      <c r="M364" s="44" t="n"/>
      <c r="N364" s="44" t="n"/>
      <c r="O364" s="44" t="n"/>
      <c r="P364" s="44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  <c r="AC364" s="44" t="n"/>
      <c r="AD364" s="44" t="n"/>
      <c r="AE364" s="44" t="n"/>
      <c r="AF364" s="44" t="n"/>
      <c r="AG364" s="44" t="n"/>
      <c r="AH364" s="44" t="n"/>
      <c r="AI364" s="44" t="n"/>
      <c r="AJ364" s="44" t="n"/>
      <c r="AK364" s="44" t="n"/>
      <c r="AL364" s="44" t="n"/>
      <c r="AM364" s="44" t="n"/>
      <c r="AN364" s="44" t="n"/>
      <c r="AO364" s="44" t="n"/>
      <c r="AP364" s="44" t="n"/>
      <c r="AQ364" s="44" t="n"/>
      <c r="AR364" s="44" t="n"/>
      <c r="AS364" s="44" t="n"/>
      <c r="AT364" s="44" t="n"/>
      <c r="AU364" s="44" t="n"/>
      <c r="AV364" s="44" t="n"/>
      <c r="AW364" s="44" t="n"/>
      <c r="AX364" s="44" t="n"/>
      <c r="AY364" s="44" t="n"/>
      <c r="AZ364" s="44" t="n"/>
      <c r="BA364" s="44" t="n"/>
      <c r="BB364" s="44" t="n"/>
      <c r="BC364" s="44" t="n"/>
      <c r="BD364" s="44" t="n"/>
      <c r="BE364" s="44" t="n"/>
      <c r="BF364" s="44" t="n"/>
      <c r="BG364" s="44" t="n"/>
      <c r="BH364" s="44" t="n"/>
      <c r="BI364" s="44" t="n"/>
      <c r="BJ364" s="44" t="n"/>
      <c r="BK364" s="44" t="n"/>
      <c r="BL364" s="44" t="n"/>
      <c r="BM364" s="44" t="n"/>
      <c r="BN364" s="44" t="n"/>
      <c r="BO364" s="44" t="n"/>
      <c r="BP364" s="44" t="n"/>
      <c r="BQ364" s="44" t="n"/>
      <c r="BR364" s="44" t="n"/>
      <c r="BS364" s="44" t="n"/>
      <c r="BT364" s="44" t="n"/>
      <c r="BU364" s="44" t="n"/>
      <c r="BV364" s="44" t="n"/>
      <c r="BW364" s="44" t="n"/>
      <c r="BX364" s="44" t="n"/>
      <c r="BY364" s="153" t="n"/>
      <c r="BZ364" s="153" t="n"/>
      <c r="CA364" s="35" t="n"/>
      <c r="CB364" s="268" t="n">
        <v>0.042</v>
      </c>
      <c r="CC364" s="268" t="n">
        <v>0.042</v>
      </c>
      <c r="CD364" s="268" t="n">
        <v>0.042</v>
      </c>
      <c r="CE364" s="268" t="n">
        <v>0.042</v>
      </c>
      <c r="CF364" s="19" t="inlineStr">
        <is>
          <t>Weighted coupon ~4.0% on $101bn of notes at 30-Jun-2026 (2026 issues 1.06–5.31%, 2025 issues 2.38–5.70%, 2020 notes 0.80–2.25%) + credit-facility / project debt. Assumption 4.2%.</t>
        </is>
      </c>
    </row>
    <row r="365" ht="15" customHeight="1" s="251">
      <c r="B365" s="69" t="inlineStr">
        <is>
          <t xml:space="preserve">  Interest rate on opening commercial paper %</t>
        </is>
      </c>
      <c r="C365" s="44" t="n"/>
      <c r="D365" s="44" t="n"/>
      <c r="E365" s="44" t="n"/>
      <c r="F365" s="44" t="n"/>
      <c r="G365" s="44" t="n"/>
      <c r="H365" s="44" t="n"/>
      <c r="I365" s="44" t="n"/>
      <c r="J365" s="44" t="n"/>
      <c r="K365" s="44" t="n"/>
      <c r="L365" s="44" t="n"/>
      <c r="M365" s="44" t="n"/>
      <c r="N365" s="44" t="n"/>
      <c r="O365" s="44" t="n"/>
      <c r="P365" s="44" t="n"/>
      <c r="Q365" s="44" t="n"/>
      <c r="R365" s="44" t="n"/>
      <c r="S365" s="44" t="n"/>
      <c r="T365" s="44" t="n"/>
      <c r="U365" s="44" t="n"/>
      <c r="V365" s="44" t="n"/>
      <c r="W365" s="44" t="n"/>
      <c r="X365" s="44" t="n"/>
      <c r="Y365" s="44" t="n"/>
      <c r="Z365" s="44" t="n"/>
      <c r="AA365" s="44" t="n"/>
      <c r="AB365" s="44" t="n"/>
      <c r="AC365" s="44" t="n"/>
      <c r="AD365" s="44" t="n"/>
      <c r="AE365" s="44" t="n"/>
      <c r="AF365" s="44" t="n"/>
      <c r="AG365" s="44" t="n"/>
      <c r="AH365" s="44" t="n"/>
      <c r="AI365" s="44" t="n"/>
      <c r="AJ365" s="44" t="n"/>
      <c r="AK365" s="44" t="n"/>
      <c r="AL365" s="44" t="n"/>
      <c r="AM365" s="44" t="n"/>
      <c r="AN365" s="44" t="n"/>
      <c r="AO365" s="44" t="n"/>
      <c r="AP365" s="44" t="n"/>
      <c r="AQ365" s="44" t="n"/>
      <c r="AR365" s="44" t="n"/>
      <c r="AS365" s="44" t="n"/>
      <c r="AT365" s="44" t="n"/>
      <c r="AU365" s="44" t="n"/>
      <c r="AV365" s="44" t="n"/>
      <c r="AW365" s="44" t="n"/>
      <c r="AX365" s="44" t="n"/>
      <c r="AY365" s="44" t="n"/>
      <c r="AZ365" s="44" t="n"/>
      <c r="BA365" s="44" t="n"/>
      <c r="BB365" s="44" t="n"/>
      <c r="BC365" s="44" t="n"/>
      <c r="BD365" s="44" t="n"/>
      <c r="BE365" s="44" t="n"/>
      <c r="BF365" s="44" t="n"/>
      <c r="BG365" s="44" t="n"/>
      <c r="BH365" s="44" t="n"/>
      <c r="BI365" s="44" t="n"/>
      <c r="BJ365" s="44" t="n"/>
      <c r="BK365" s="44" t="n"/>
      <c r="BL365" s="44" t="n"/>
      <c r="BM365" s="44" t="n"/>
      <c r="BN365" s="44" t="n"/>
      <c r="BO365" s="44" t="n"/>
      <c r="BP365" s="44" t="n"/>
      <c r="BQ365" s="44" t="n"/>
      <c r="BR365" s="44" t="n"/>
      <c r="BS365" s="44" t="n"/>
      <c r="BT365" s="44" t="n"/>
      <c r="BU365" s="44" t="n"/>
      <c r="BV365" s="44" t="n"/>
      <c r="BW365" s="44" t="n"/>
      <c r="BX365" s="44" t="n"/>
      <c r="BY365" s="153" t="n"/>
      <c r="BZ365" s="153" t="n"/>
      <c r="CA365" s="35" t="n"/>
      <c r="CB365" s="268" t="n">
        <v>0.042</v>
      </c>
      <c r="CC365" s="268" t="n">
        <v>0.042</v>
      </c>
      <c r="CD365" s="268" t="n">
        <v>0.042</v>
      </c>
      <c r="CE365" s="268" t="n">
        <v>0.042</v>
      </c>
      <c r="CF365" s="19" t="n"/>
    </row>
    <row r="366" ht="15" customHeight="1" s="251">
      <c r="B366" s="69" t="inlineStr">
        <is>
          <t xml:space="preserve">  Interest income yield on opening cash + marketable securities %</t>
        </is>
      </c>
      <c r="C366" s="44" t="n"/>
      <c r="D366" s="44" t="n"/>
      <c r="E366" s="44" t="n"/>
      <c r="F366" s="44" t="n"/>
      <c r="G366" s="44" t="n"/>
      <c r="H366" s="44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  <c r="AC366" s="44" t="n"/>
      <c r="AD366" s="44" t="n"/>
      <c r="AE366" s="44" t="n"/>
      <c r="AF366" s="44" t="n"/>
      <c r="AG366" s="44" t="n"/>
      <c r="AH366" s="44" t="n"/>
      <c r="AI366" s="44" t="n"/>
      <c r="AJ366" s="44" t="n"/>
      <c r="AK366" s="44" t="n"/>
      <c r="AL366" s="44" t="n"/>
      <c r="AM366" s="44" t="n"/>
      <c r="AN366" s="44" t="n"/>
      <c r="AO366" s="44" t="n"/>
      <c r="AP366" s="44" t="n"/>
      <c r="AQ366" s="44" t="n"/>
      <c r="AR366" s="44" t="n"/>
      <c r="AS366" s="44" t="n"/>
      <c r="AT366" s="44" t="n"/>
      <c r="AU366" s="44" t="n"/>
      <c r="AV366" s="44" t="n"/>
      <c r="AW366" s="44" t="n"/>
      <c r="AX366" s="44" t="n"/>
      <c r="AY366" s="44" t="n"/>
      <c r="AZ366" s="44" t="n"/>
      <c r="BA366" s="44" t="n"/>
      <c r="BB366" s="44" t="n"/>
      <c r="BC366" s="44" t="n"/>
      <c r="BD366" s="44" t="n"/>
      <c r="BE366" s="44" t="n"/>
      <c r="BF366" s="44" t="n"/>
      <c r="BG366" s="44" t="n"/>
      <c r="BH366" s="44" t="n"/>
      <c r="BI366" s="44" t="n"/>
      <c r="BJ366" s="44" t="n"/>
      <c r="BK366" s="44" t="n"/>
      <c r="BL366" s="44" t="n"/>
      <c r="BM366" s="44" t="n"/>
      <c r="BN366" s="44" t="n"/>
      <c r="BO366" s="44" t="n"/>
      <c r="BP366" s="44" t="n"/>
      <c r="BQ366" s="44" t="n"/>
      <c r="BR366" s="44" t="n"/>
      <c r="BS366" s="44" t="n"/>
      <c r="BT366" s="44" t="n"/>
      <c r="BU366" s="44" t="n"/>
      <c r="BV366" s="44" t="n"/>
      <c r="BW366" s="44" t="n"/>
      <c r="BX366" s="44" t="n"/>
      <c r="BY366" s="153" t="n"/>
      <c r="BZ366" s="153" t="n"/>
      <c r="CA366" s="35" t="n"/>
      <c r="CB366" s="268" t="n">
        <v>0.032</v>
      </c>
      <c r="CC366" s="268" t="n">
        <v>0.032</v>
      </c>
      <c r="CD366" s="268" t="n">
        <v>0.032</v>
      </c>
      <c r="CE366" s="268" t="n">
        <v>0.032</v>
      </c>
      <c r="CF366" s="19" t="inlineStr">
        <is>
          <t>Interest income ÷ average cash and marketable securities: FY2025 ~4.0%, Q2-26 ~3.1% annualised. Assumption 3.2%.</t>
        </is>
      </c>
    </row>
    <row r="367" ht="15" customHeight="1" s="251">
      <c r="B367" s="25" t="inlineStr">
        <is>
          <t>Leverage-targeted buybacks (repurchases plug to a target net debt / adjusted EBITDA; negative target = net-cash floor; 2027E+)</t>
        </is>
      </c>
      <c r="CF367" s="153" t="n"/>
    </row>
    <row r="368" ht="15" customHeight="1" s="251">
      <c r="B368" s="69" t="inlineStr">
        <is>
          <t xml:space="preserve">  Target net debt / adjusted EBITDA (x) (scenario)</t>
        </is>
      </c>
      <c r="C368" s="44" t="n"/>
      <c r="D368" s="44" t="n"/>
      <c r="E368" s="44" t="n"/>
      <c r="F368" s="44" t="n"/>
      <c r="G368" s="44" t="n"/>
      <c r="H368" s="44" t="n"/>
      <c r="I368" s="44" t="n"/>
      <c r="J368" s="44" t="n"/>
      <c r="K368" s="44" t="n"/>
      <c r="L368" s="44" t="n"/>
      <c r="M368" s="44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  <c r="AC368" s="44" t="n"/>
      <c r="AD368" s="44" t="n"/>
      <c r="AE368" s="44" t="n"/>
      <c r="AF368" s="44" t="n"/>
      <c r="AG368" s="44" t="n"/>
      <c r="AH368" s="44" t="n"/>
      <c r="AI368" s="44" t="n"/>
      <c r="AJ368" s="44" t="n"/>
      <c r="AK368" s="44" t="n"/>
      <c r="AL368" s="44" t="n"/>
      <c r="AM368" s="44" t="n"/>
      <c r="AN368" s="44" t="n"/>
      <c r="AO368" s="44" t="n"/>
      <c r="AP368" s="44" t="n"/>
      <c r="AQ368" s="44" t="n"/>
      <c r="AR368" s="44" t="n"/>
      <c r="AS368" s="44" t="n"/>
      <c r="AT368" s="44" t="n"/>
      <c r="AU368" s="44" t="n"/>
      <c r="AV368" s="44" t="n"/>
      <c r="AW368" s="44" t="n"/>
      <c r="AX368" s="44" t="n"/>
      <c r="AY368" s="44" t="n"/>
      <c r="AZ368" s="44" t="n"/>
      <c r="BA368" s="44" t="n"/>
      <c r="BB368" s="44" t="n"/>
      <c r="BC368" s="44" t="n"/>
      <c r="BD368" s="44" t="n"/>
      <c r="BE368" s="44" t="n"/>
      <c r="BF368" s="44" t="n"/>
      <c r="BG368" s="44" t="n"/>
      <c r="BH368" s="44" t="n"/>
      <c r="BI368" s="44" t="n"/>
      <c r="BJ368" s="44" t="n"/>
      <c r="BK368" s="44" t="n"/>
      <c r="BL368" s="44" t="n"/>
      <c r="BM368" s="44" t="n"/>
      <c r="BN368" s="44" t="n"/>
      <c r="BO368" s="44" t="n"/>
      <c r="BP368" s="44" t="n"/>
      <c r="BQ368" s="44" t="n"/>
      <c r="BR368" s="44" t="n"/>
      <c r="BS368" s="44" t="n"/>
      <c r="BT368" s="44" t="n"/>
      <c r="BU368" s="44" t="n"/>
      <c r="BV368" s="44" t="n"/>
      <c r="BW368" s="44" t="n"/>
      <c r="BX368" s="44" t="n"/>
      <c r="BY368" s="153" t="n"/>
      <c r="BZ368" s="153" t="n"/>
      <c r="CA368" s="35" t="n"/>
      <c r="CB368" s="280">
        <f>CHOOSE(MATCH($CF$2,{"Bull","Base","Bear"},0),$CO$27,$CP$27,$CQ$27)</f>
        <v>-0.25</v>
      </c>
      <c r="CC368" s="280">
        <f>CHOOSE(MATCH($CF$2,{"Bull","Base","Bear"},0),$CO$27,$CP$27,$CQ$27)</f>
        <v>-0.25</v>
      </c>
      <c r="CD368" s="280">
        <f>CHOOSE(MATCH($CF$2,{"Bull","Base","Bear"},0),$CO$27,$CP$27,$CQ$27)</f>
        <v>-0.25</v>
      </c>
      <c r="CE368" s="280">
        <f>CHOOSE(MATCH($CF$2,{"Bull","Base","Bear"},0),$CO$27,$CP$27,$CQ$27)</f>
        <v>-0.25</v>
      </c>
      <c r="CF368" s="19" t="inlineStr">
        <is>
          <t>Alphabet is net cash ($142bn at 30-Jun-2026 after the $49.6bn equity raise; $100bn of debt vs $242bn of cash and marketable securities). Negative target = net-cash floor: buybacks return liquidity above |x| × adjusted EBITDA. Bull −0.10x (more buybacks), Base −0.25x, Bear −0.40x (assumption).</t>
        </is>
      </c>
    </row>
    <row r="369" ht="15" customHeight="1" s="251">
      <c r="B369" s="69" t="inlineStr">
        <is>
          <t xml:space="preserve">  Net debt before buybacks (year end; debt − cash − marketable securities)</t>
        </is>
      </c>
      <c r="C369" s="44" t="n"/>
      <c r="D369" s="44" t="n"/>
      <c r="E369" s="44" t="n"/>
      <c r="F369" s="44" t="n"/>
      <c r="G369" s="44" t="n"/>
      <c r="H369" s="44" t="n"/>
      <c r="I369" s="44" t="n"/>
      <c r="J369" s="44" t="n"/>
      <c r="K369" s="44" t="n"/>
      <c r="L369" s="44" t="n"/>
      <c r="M369" s="44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44" t="n"/>
      <c r="X369" s="44" t="n"/>
      <c r="Y369" s="44" t="n"/>
      <c r="Z369" s="44" t="n"/>
      <c r="AA369" s="44" t="n"/>
      <c r="AB369" s="44" t="n"/>
      <c r="AC369" s="44" t="n"/>
      <c r="AD369" s="44" t="n"/>
      <c r="AE369" s="44" t="n"/>
      <c r="AF369" s="44" t="n"/>
      <c r="AG369" s="44" t="n"/>
      <c r="AH369" s="44" t="n"/>
      <c r="AI369" s="44" t="n"/>
      <c r="AJ369" s="44" t="n"/>
      <c r="AK369" s="44" t="n"/>
      <c r="AL369" s="44" t="n"/>
      <c r="AM369" s="44" t="n"/>
      <c r="AN369" s="44" t="n"/>
      <c r="AO369" s="44" t="n"/>
      <c r="AP369" s="44" t="n"/>
      <c r="AQ369" s="44" t="n"/>
      <c r="AR369" s="44" t="n"/>
      <c r="AS369" s="44" t="n"/>
      <c r="AT369" s="44" t="n"/>
      <c r="AU369" s="44" t="n"/>
      <c r="AV369" s="44" t="n"/>
      <c r="AW369" s="44" t="n"/>
      <c r="AX369" s="44" t="n"/>
      <c r="AY369" s="44" t="n"/>
      <c r="AZ369" s="44" t="n"/>
      <c r="BA369" s="44" t="n"/>
      <c r="BB369" s="44" t="n"/>
      <c r="BC369" s="44" t="n"/>
      <c r="BD369" s="44" t="n"/>
      <c r="BE369" s="44" t="n"/>
      <c r="BF369" s="44" t="n"/>
      <c r="BG369" s="44" t="n"/>
      <c r="BH369" s="44" t="n"/>
      <c r="BI369" s="44" t="n"/>
      <c r="BJ369" s="44" t="n"/>
      <c r="BK369" s="44" t="n"/>
      <c r="BL369" s="44" t="n"/>
      <c r="BM369" s="44" t="n"/>
      <c r="BN369" s="44" t="n"/>
      <c r="BO369" s="44" t="n"/>
      <c r="BP369" s="44" t="n"/>
      <c r="BQ369" s="44" t="n"/>
      <c r="BR369" s="44" t="n"/>
      <c r="BS369" s="44" t="n"/>
      <c r="BT369" s="44" t="n"/>
      <c r="BU369" s="44" t="n"/>
      <c r="BV369" s="44" t="n"/>
      <c r="BW369" s="44" t="n"/>
      <c r="BX369" s="44" t="n"/>
      <c r="BY369" s="153" t="n"/>
      <c r="BZ369" s="153" t="n"/>
      <c r="CA369" s="35" t="n"/>
      <c r="CB369" s="254">
        <f>CA355-CA303-CA304-CB253-CB254-CB255-CB256-CB260-CB261-CB262-CB264-CB266</f>
        <v>-88803.7107458184</v>
      </c>
      <c r="CC369" s="254">
        <f>CB355-CB303-CB304-CC253-CC254-CC255-CC256-CC260-CC261-CC262-CC264-CC266</f>
        <v>-43932.7709396784</v>
      </c>
      <c r="CD369" s="254">
        <f>CC355-CC303-CC304-CD253-CD254-CD255-CD256-CD260-CD261-CD262-CD264-CD266</f>
        <v>-54066.7767727018</v>
      </c>
      <c r="CE369" s="254">
        <f>CD355-CD303-CD304-CE253-CE254-CE255-CE256-CE260-CE261-CE262-CE264-CE266</f>
        <v>-91584.2749822606</v>
      </c>
      <c r="CF369" s="19" t="n"/>
    </row>
    <row r="370" ht="15" customHeight="1" s="251">
      <c r="B370" s="69" t="inlineStr">
        <is>
          <t xml:space="preserve">  Target net debt = target leverage × adjusted EBITDA</t>
        </is>
      </c>
      <c r="C370" s="44" t="n"/>
      <c r="D370" s="44" t="n"/>
      <c r="E370" s="44" t="n"/>
      <c r="F370" s="44" t="n"/>
      <c r="G370" s="44" t="n"/>
      <c r="H370" s="44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  <c r="AC370" s="44" t="n"/>
      <c r="AD370" s="44" t="n"/>
      <c r="AE370" s="44" t="n"/>
      <c r="AF370" s="44" t="n"/>
      <c r="AG370" s="44" t="n"/>
      <c r="AH370" s="44" t="n"/>
      <c r="AI370" s="44" t="n"/>
      <c r="AJ370" s="44" t="n"/>
      <c r="AK370" s="44" t="n"/>
      <c r="AL370" s="44" t="n"/>
      <c r="AM370" s="44" t="n"/>
      <c r="AN370" s="44" t="n"/>
      <c r="AO370" s="44" t="n"/>
      <c r="AP370" s="44" t="n"/>
      <c r="AQ370" s="44" t="n"/>
      <c r="AR370" s="44" t="n"/>
      <c r="AS370" s="44" t="n"/>
      <c r="AT370" s="44" t="n"/>
      <c r="AU370" s="44" t="n"/>
      <c r="AV370" s="44" t="n"/>
      <c r="AW370" s="44" t="n"/>
      <c r="AX370" s="44" t="n"/>
      <c r="AY370" s="44" t="n"/>
      <c r="AZ370" s="44" t="n"/>
      <c r="BA370" s="44" t="n"/>
      <c r="BB370" s="44" t="n"/>
      <c r="BC370" s="44" t="n"/>
      <c r="BD370" s="44" t="n"/>
      <c r="BE370" s="44" t="n"/>
      <c r="BF370" s="44" t="n"/>
      <c r="BG370" s="44" t="n"/>
      <c r="BH370" s="44" t="n"/>
      <c r="BI370" s="44" t="n"/>
      <c r="BJ370" s="44" t="n"/>
      <c r="BK370" s="44" t="n"/>
      <c r="BL370" s="44" t="n"/>
      <c r="BM370" s="44" t="n"/>
      <c r="BN370" s="44" t="n"/>
      <c r="BO370" s="44" t="n"/>
      <c r="BP370" s="44" t="n"/>
      <c r="BQ370" s="44" t="n"/>
      <c r="BR370" s="44" t="n"/>
      <c r="BS370" s="44" t="n"/>
      <c r="BT370" s="44" t="n"/>
      <c r="BU370" s="44" t="n"/>
      <c r="BV370" s="44" t="n"/>
      <c r="BW370" s="44" t="n"/>
      <c r="BX370" s="44" t="n"/>
      <c r="BY370" s="153" t="n"/>
      <c r="BZ370" s="153" t="n"/>
      <c r="CA370" s="35" t="n"/>
      <c r="CB370" s="254">
        <f>CB368*CB191</f>
        <v>-61243.6541253929</v>
      </c>
      <c r="CC370" s="254">
        <f>CC368*CC191</f>
        <v>-71504.2402073816</v>
      </c>
      <c r="CD370" s="254">
        <f>CD368*CD191</f>
        <v>-82818.1138178299</v>
      </c>
      <c r="CE370" s="254">
        <f>CE368*CE191</f>
        <v>-93805.7988680811</v>
      </c>
      <c r="CF370" s="19" t="n"/>
    </row>
    <row r="371" ht="15" customHeight="1" s="251">
      <c r="B371" s="69" t="inlineStr">
        <is>
          <t xml:space="preserve">  Share repurchases: plug to the target</t>
        </is>
      </c>
      <c r="C371" s="44" t="n"/>
      <c r="D371" s="44" t="n"/>
      <c r="E371" s="44" t="n"/>
      <c r="F371" s="44" t="n"/>
      <c r="G371" s="44" t="n"/>
      <c r="H371" s="44" t="n"/>
      <c r="I371" s="44" t="n"/>
      <c r="J371" s="44" t="n"/>
      <c r="K371" s="44" t="n"/>
      <c r="L371" s="44" t="n"/>
      <c r="M371" s="44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44" t="n"/>
      <c r="X371" s="44" t="n"/>
      <c r="Y371" s="44" t="n"/>
      <c r="Z371" s="44" t="n"/>
      <c r="AA371" s="44" t="n"/>
      <c r="AB371" s="44" t="n"/>
      <c r="AC371" s="44" t="n"/>
      <c r="AD371" s="44" t="n"/>
      <c r="AE371" s="44" t="n"/>
      <c r="AF371" s="44" t="n"/>
      <c r="AG371" s="44" t="n"/>
      <c r="AH371" s="44" t="n"/>
      <c r="AI371" s="44" t="n"/>
      <c r="AJ371" s="44" t="n"/>
      <c r="AK371" s="44" t="n"/>
      <c r="AL371" s="44" t="n"/>
      <c r="AM371" s="44" t="n"/>
      <c r="AN371" s="44" t="n"/>
      <c r="AO371" s="44" t="n"/>
      <c r="AP371" s="44" t="n"/>
      <c r="AQ371" s="44" t="n"/>
      <c r="AR371" s="44" t="n"/>
      <c r="AS371" s="44" t="n"/>
      <c r="AT371" s="44" t="n"/>
      <c r="AU371" s="44" t="n"/>
      <c r="AV371" s="44" t="n"/>
      <c r="AW371" s="44" t="n"/>
      <c r="AX371" s="44" t="n"/>
      <c r="AY371" s="44" t="n"/>
      <c r="AZ371" s="44" t="n"/>
      <c r="BA371" s="44" t="n"/>
      <c r="BB371" s="44" t="n"/>
      <c r="BC371" s="44" t="n"/>
      <c r="BD371" s="44" t="n"/>
      <c r="BE371" s="44" t="n"/>
      <c r="BF371" s="44" t="n"/>
      <c r="BG371" s="44" t="n"/>
      <c r="BH371" s="44" t="n"/>
      <c r="BI371" s="44" t="n"/>
      <c r="BJ371" s="44" t="n"/>
      <c r="BK371" s="44" t="n"/>
      <c r="BL371" s="44" t="n"/>
      <c r="BM371" s="44" t="n"/>
      <c r="BN371" s="44" t="n"/>
      <c r="BO371" s="44" t="n"/>
      <c r="BP371" s="44" t="n"/>
      <c r="BQ371" s="44" t="n"/>
      <c r="BR371" s="44" t="n"/>
      <c r="BS371" s="44" t="n"/>
      <c r="BT371" s="44" t="n"/>
      <c r="BU371" s="44" t="n"/>
      <c r="BV371" s="44" t="n"/>
      <c r="BW371" s="44" t="n"/>
      <c r="BX371" s="44" t="n"/>
      <c r="BY371" s="153" t="n"/>
      <c r="BZ371" s="153" t="n"/>
      <c r="CA371" s="35" t="n"/>
      <c r="CB371" s="254">
        <f>MAX(0,CB370-CB369)</f>
        <v>27560.0566204255</v>
      </c>
      <c r="CC371" s="254">
        <f>MAX(0,CC370-CC369)</f>
        <v>0</v>
      </c>
      <c r="CD371" s="254">
        <f>MAX(0,CD370-CD369)</f>
        <v>0</v>
      </c>
      <c r="CE371" s="254">
        <f>MAX(0,CE370-CE369)</f>
        <v>0</v>
      </c>
      <c r="CF371" s="19" t="inlineStr">
        <is>
          <t>Surplus liquidity beyond the target is returned via buybacks; feeds the cash-flow repurchase line.</t>
        </is>
      </c>
    </row>
    <row r="372" ht="15" customHeight="1" s="251">
      <c r="B372" s="25" t="inlineStr">
        <is>
          <t>Historical reference (driver context)</t>
        </is>
      </c>
      <c r="CF372" s="153" t="n"/>
    </row>
    <row r="373" ht="15" customHeight="1" s="251">
      <c r="B373" s="25" t="inlineStr">
        <is>
          <t xml:space="preserve">  Total D&amp;A % of revenues</t>
        </is>
      </c>
      <c r="C373" s="215">
        <f>IF(AND(ISNUMBER(C155),ISNUMBER(C132)),IFERROR(C155/C132,""),"")</f>
        <v>0.0539314923445417</v>
      </c>
      <c r="D373" s="215">
        <f>IF(AND(ISNUMBER(D155),ISNUMBER(D132)),IFERROR(D155/D132,""),"")</f>
        <v>0.0583137770515173</v>
      </c>
      <c r="E373" s="215">
        <f>IF(AND(ISNUMBER(E155),ISNUMBER(E132)),IFERROR(E155/E132,""),"")</f>
        <v>0.0688162033075559</v>
      </c>
      <c r="F373" s="215">
        <f>IF(AND(ISNUMBER(F155),ISNUMBER(F132)),IFERROR(F155/F132,""),"")</f>
        <v>0.0644512352623487</v>
      </c>
      <c r="G373" s="215">
        <f>IF(AND(ISNUMBER(G155),ISNUMBER(G132)),IFERROR(G155/G132,""),"")</f>
        <v>0.0476109273217148</v>
      </c>
      <c r="H373" s="215">
        <f>IF(AND(ISNUMBER(H155),ISNUMBER(H132)),IFERROR(H155/H132,""),"")</f>
        <v>0.0488326078353779</v>
      </c>
      <c r="I373" s="215">
        <f>IF(AND(ISNUMBER(I155),ISNUMBER(I132)),IFERROR(I155/I132,""),"")</f>
        <v>0.0590333831589437</v>
      </c>
      <c r="J373" s="215">
        <f>IF(AND(ISNUMBER(J155),ISNUMBER(J132)),IFERROR(J155/J132,""),"")</f>
        <v>0.0643567900350777</v>
      </c>
      <c r="K373" s="215">
        <f>IF(AND(ISNUMBER(K155),ISNUMBER(K132)),IFERROR(K155/K132,""),"")</f>
        <v>0.0730237504431053</v>
      </c>
      <c r="L373" s="215">
        <f>IF(AND(ISNUMBER(L155),ISNUMBER(L132)),IFERROR(L155/L132,""),"")</f>
        <v>0.0653998522795944</v>
      </c>
      <c r="M373" s="215">
        <f>IF(AND(ISNUMBER(M155),ISNUMBER(M132)),IFERROR(M155/M132,""),"")</f>
        <v>0.0614545023134417</v>
      </c>
      <c r="N373" s="215">
        <f>IF(AND(ISNUMBER(N155),ISNUMBER(N132)),IFERROR(N155/N132,""),"")</f>
        <v>0.0658420392812369</v>
      </c>
      <c r="O373" s="215">
        <f>IF(AND(ISNUMBER(O155),ISNUMBER(O132)),IFERROR(O155/O132,""),"")</f>
        <v>0.0704280155642023</v>
      </c>
      <c r="P373" s="215">
        <f>IF(AND(ISNUMBER(P155),ISNUMBER(P132)),IFERROR(P155/P132,""),"")</f>
        <v>0.0676277029144469</v>
      </c>
      <c r="Q373" s="215">
        <f>IF(AND(ISNUMBER(Q155),ISNUMBER(Q132)),IFERROR(Q155/Q132,""),"")</f>
        <v>0.0936270653029111</v>
      </c>
      <c r="R373" s="215">
        <f>IF(AND(ISNUMBER(R155),ISNUMBER(R132)),IFERROR(R155/R132,""),"")</f>
        <v>0.0699883997127548</v>
      </c>
      <c r="S373" s="215">
        <f>IF(AND(ISNUMBER(S155),ISNUMBER(S132)),IFERROR(S155/S132,""),"")</f>
        <v>0.0754382509355919</v>
      </c>
      <c r="T373" s="215">
        <f>IF(AND(ISNUMBER(T155),ISNUMBER(T132)),IFERROR(T155/T132,""),"")</f>
        <v>0.0682002549542241</v>
      </c>
      <c r="U373" s="215">
        <f>IF(AND(ISNUMBER(U155),ISNUMBER(U132)),IFERROR(U155/U132,""),"")</f>
        <v>0.0696113273537542</v>
      </c>
      <c r="V373" s="215">
        <f>IF(AND(ISNUMBER(V155),ISNUMBER(V132)),IFERROR(V155/V132,""),"")</f>
        <v>0.0668273092369478</v>
      </c>
      <c r="W373" s="215">
        <f>IF(AND(ISNUMBER(W155),ISNUMBER(W132)),IFERROR(W155/W132,""),"")</f>
        <v>0.0658258708800225</v>
      </c>
      <c r="X373" s="215">
        <f>IF(AND(ISNUMBER(X155),ISNUMBER(X132)),IFERROR(X155/X132,""),"")</f>
        <v>0.0675165690968009</v>
      </c>
      <c r="Y373" s="215">
        <f>IF(AND(ISNUMBER(Y155),ISNUMBER(Y132)),IFERROR(Y155/Y132,""),"")</f>
        <v>0.0676803080416646</v>
      </c>
      <c r="Z373" s="215">
        <f>IF(AND(ISNUMBER(Z155),ISNUMBER(Z132)),IFERROR(Z155/Z132,""),"")</f>
        <v>0.0693023255813954</v>
      </c>
      <c r="AA373" s="215">
        <f>IF(AND(ISNUMBER(AA155),ISNUMBER(AA132)),IFERROR(AA155/AA132,""),"")</f>
        <v>0.0710881475212686</v>
      </c>
      <c r="AB373" s="215">
        <f>IF(AND(ISNUMBER(AB155),ISNUMBER(AB132)),IFERROR(AB155/AB132,""),"")</f>
        <v>0.0647252915899325</v>
      </c>
      <c r="AC373" s="215">
        <f>IF(AND(ISNUMBER(AC155),ISNUMBER(AC132)),IFERROR(AC155/AC132,""),"")</f>
        <v>0.0680609712867777</v>
      </c>
      <c r="AD373" s="215">
        <f>IF(AND(ISNUMBER(AD155),ISNUMBER(AD132)),IFERROR(AD155/AD132,""),"")</f>
        <v>0.0607272727272727</v>
      </c>
      <c r="AE373" s="215">
        <f>IF(AND(ISNUMBER(AE155),ISNUMBER(AE132)),IFERROR(AE155/AE132,""),"")</f>
        <v>0.0624759707804691</v>
      </c>
      <c r="AF373" s="215">
        <f>IF(AND(ISNUMBER(AF155),ISNUMBER(AF132)),IFERROR(AF155/AF132,""),"")</f>
        <v>0.0634091891113352</v>
      </c>
      <c r="AG373" s="215">
        <f>IF(AND(ISNUMBER(AG155),ISNUMBER(AG132)),IFERROR(AG155/AG132,""),"")</f>
        <v>0.0626798255112459</v>
      </c>
      <c r="AH373" s="215">
        <f>IF(AND(ISNUMBER(AH155),ISNUMBER(AH132)),IFERROR(AH155/AH132,""),"")</f>
        <v>0.0623787830950341</v>
      </c>
      <c r="AI373" s="215">
        <f>IF(AND(ISNUMBER(AI155),ISNUMBER(AI132)),IFERROR(AI155/AI132,""),"")</f>
        <v>0.063764207281834</v>
      </c>
      <c r="AJ373" s="215">
        <f>IF(AND(ISNUMBER(AJ155),ISNUMBER(AJ132)),IFERROR(AJ155/AJ132,""),"")</f>
        <v>0.0647334415286156</v>
      </c>
      <c r="AK373" s="215">
        <f>IF(AND(ISNUMBER(AK155),ISNUMBER(AK132)),IFERROR(AK155/AK132,""),"")</f>
        <v>0.0697984588026082</v>
      </c>
      <c r="AL373" s="215">
        <f>IF(AND(ISNUMBER(AL155),ISNUMBER(AL132)),IFERROR(AL155/AL132,""),"")</f>
        <v>0.0656889703635808</v>
      </c>
      <c r="AM373" s="215">
        <f>IF(AND(ISNUMBER(AM155),ISNUMBER(AM132)),IFERROR(AM155/AM132,""),"")</f>
        <v>0.0660361499499339</v>
      </c>
      <c r="AN373" s="215">
        <f>IF(AND(ISNUMBER(AN155),ISNUMBER(AN132)),IFERROR(AN155/AN132,""),"")</f>
        <v>0.0719062164616528</v>
      </c>
      <c r="AO373" s="215">
        <f>IF(AND(ISNUMBER(AO155),ISNUMBER(AO132)),IFERROR(AO155/AO132,""),"")</f>
        <v>0.0727968364831553</v>
      </c>
      <c r="AP373" s="215">
        <f>IF(AND(ISNUMBER(AP155),ISNUMBER(AP132)),IFERROR(AP155/AP132,""),"")</f>
        <v>0.0721005456924862</v>
      </c>
      <c r="AQ373" s="215">
        <f>IF(AND(ISNUMBER(AQ155),ISNUMBER(AQ132)),IFERROR(AQ155/AQ132,""),"")</f>
        <v>0.0740748779164406</v>
      </c>
      <c r="AR373" s="215">
        <f>IF(AND(ISNUMBER(AR155),ISNUMBER(AR132)),IFERROR(AR155/AR132,""),"")</f>
        <v>0.0727864720092427</v>
      </c>
      <c r="AS373" s="215">
        <f>IF(AND(ISNUMBER(AS155),ISNUMBER(AS132)),IFERROR(AS155/AS132,""),"")</f>
        <v>0.0755120386792682</v>
      </c>
      <c r="AT373" s="215">
        <f>IF(AND(ISNUMBER(AT155),ISNUMBER(AT132)),IFERROR(AT155/AT132,""),"")</f>
        <v>0.0884142361020446</v>
      </c>
      <c r="AU373" s="215">
        <f>IF(AND(ISNUMBER(AU155),ISNUMBER(AU132)),IFERROR(AU155/AU132,""),"")</f>
        <v>0.0753254066229182</v>
      </c>
      <c r="AV373" s="215">
        <f>IF(AND(ISNUMBER(AV155),ISNUMBER(AV132)),IFERROR(AV155/AV132,""),"")</f>
        <v>0.0654680305107385</v>
      </c>
      <c r="AW373" s="215">
        <f>IF(AND(ISNUMBER(AW155),ISNUMBER(AW132)),IFERROR(AW155/AW132,""),"")</f>
        <v>0.0750409528453325</v>
      </c>
      <c r="AX373" s="215">
        <f>IF(AND(ISNUMBER(AX155),ISNUMBER(AX132)),IFERROR(AX155/AX132,""),"")</f>
        <v>0.0497704017066204</v>
      </c>
      <c r="AY373" s="215">
        <f>IF(AND(ISNUMBER(AY155),ISNUMBER(AY132)),IFERROR(AY155/AY132,""),"")</f>
        <v>0.0475921137685844</v>
      </c>
      <c r="AZ373" s="215">
        <f>IF(AND(ISNUMBER(AZ155),ISNUMBER(AZ132)),IFERROR(AZ155/AZ132,""),"")</f>
        <v>0.0507386590497251</v>
      </c>
      <c r="BA373" s="215">
        <f>IF(AND(ISNUMBER(BA155),ISNUMBER(BA132)),IFERROR(BA155/BA132,""),"")</f>
        <v>0.0456554928642549</v>
      </c>
      <c r="BB373" s="215">
        <f>IF(AND(ISNUMBER(BB155),ISNUMBER(BB132)),IFERROR(BB155/BB132,""),"")</f>
        <v>0.0482888715518346</v>
      </c>
      <c r="BC373" s="215">
        <f>IF(AND(ISNUMBER(BC155),ISNUMBER(BC132)),IFERROR(BC155/BC132,""),"")</f>
        <v>0.0556086515416624</v>
      </c>
      <c r="BD373" s="215">
        <f>IF(AND(ISNUMBER(BD155),ISNUMBER(BD132)),IFERROR(BD155/BD132,""),"")</f>
        <v>0.0559517830236062</v>
      </c>
      <c r="BE373" s="215">
        <f>IF(AND(ISNUMBER(BE155),ISNUMBER(BE132)),IFERROR(BE155/BE132,""),"")</f>
        <v>0.0585596016904996</v>
      </c>
      <c r="BF373" s="215">
        <f>IF(AND(ISNUMBER(BF155),ISNUMBER(BF132)),IFERROR(BF155/BF132,""),"")</f>
        <v>0.0552414264674942</v>
      </c>
      <c r="BG373" s="215">
        <f>IF(AND(ISNUMBER(BG155),ISNUMBER(BG132)),IFERROR(BG155/BG132,""),"")</f>
        <v>0.056315320539111</v>
      </c>
      <c r="BH373" s="215">
        <f>IF(AND(ISNUMBER(BH155),ISNUMBER(BH132)),IFERROR(BH155/BH132,""),"")</f>
        <v>0.045653201885738</v>
      </c>
      <c r="BI373" s="215">
        <f>IF(AND(ISNUMBER(BI155),ISNUMBER(BI132)),IFERROR(BI155/BI132,""),"")</f>
        <v>0.0455337515414723</v>
      </c>
      <c r="BJ373" s="215">
        <f>IF(AND(ISNUMBER(BJ155),ISNUMBER(BJ132)),IFERROR(BJ155/BJ132,""),"")</f>
        <v>0.0495481986621986</v>
      </c>
      <c r="BK373" s="215">
        <f>IF(AND(ISNUMBER(BK155),ISNUMBER(BK132)),IFERROR(BK155/BK132,""),"")</f>
        <v>0.0181091414668057</v>
      </c>
      <c r="BL373" s="215">
        <f>IF(AND(ISNUMBER(BL155),ISNUMBER(BL132)),IFERROR(BL155/BL132,""),"")</f>
        <v>0.0388621768804856</v>
      </c>
      <c r="BM373" s="215">
        <f>IF(AND(ISNUMBER(BM155),ISNUMBER(BM132)),IFERROR(BM155/BM132,""),"")</f>
        <v>0.0423769850631371</v>
      </c>
      <c r="BN373" s="215">
        <f>IF(AND(ISNUMBER(BN155),ISNUMBER(BN132)),IFERROR(BN155/BN132,""),"")</f>
        <v>0.0437563427816195</v>
      </c>
      <c r="BO373" s="215">
        <f>IF(AND(ISNUMBER(BO155),ISNUMBER(BO132)),IFERROR(BO155/BO132,""),"")</f>
        <v>0.0451465989939729</v>
      </c>
      <c r="BP373" s="215">
        <f>IF(AND(ISNUMBER(BP155),ISNUMBER(BP132)),IFERROR(BP155/BP132,""),"")</f>
        <v>0.0435891322601043</v>
      </c>
      <c r="BQ373" s="215">
        <f>IF(AND(ISNUMBER(BQ155),ISNUMBER(BQ132)),IFERROR(BQ155/BQ132,""),"")</f>
        <v>0.0437434646218194</v>
      </c>
      <c r="BR373" s="215">
        <f>IF(AND(ISNUMBER(BR155),ISNUMBER(BR132)),IFERROR(BR155/BR132,""),"")</f>
        <v>0.0497262672606778</v>
      </c>
      <c r="BS373" s="215">
        <f>IF(AND(ISNUMBER(BS155),ISNUMBER(BS132)),IFERROR(BS155/BS132,""),"")</f>
        <v>0.0518314182602564</v>
      </c>
      <c r="BT373" s="215">
        <f>IF(AND(ISNUMBER(BT155),ISNUMBER(BT132)),IFERROR(BT155/BT132,""),"")</f>
        <v>0.0548238328806206</v>
      </c>
      <c r="BU373" s="215">
        <f>IF(AND(ISNUMBER(BU155),ISNUMBER(BU132)),IFERROR(BU155/BU132,""),"")</f>
        <v>0.0530620492141721</v>
      </c>
      <c r="BV373" s="215">
        <f>IF(AND(ISNUMBER(BV155),ISNUMBER(BV132)),IFERROR(BV155/BV132,""),"")</f>
        <v>0.0524680018667646</v>
      </c>
      <c r="BW373" s="215">
        <f>IF(AND(ISNUMBER(BW155),ISNUMBER(BW132)),IFERROR(BW155/BW132,""),"")</f>
        <v>0.0606027516925093</v>
      </c>
      <c r="BX373" s="215">
        <f>IF(AND(ISNUMBER(BX155),ISNUMBER(BX132)),IFERROR(BX155/BX132,""),"")</f>
        <v>0.0623643527329794</v>
      </c>
      <c r="BY373" s="24" t="n"/>
      <c r="BZ373" s="24" t="n"/>
      <c r="CA373" s="256">
        <f>IF(AND(ISNUMBER(CA155),ISNUMBER(CA132)),IFERROR(CA155/CA132,""),"")</f>
        <v>0.0625967740373305</v>
      </c>
      <c r="CB373" s="256">
        <f>IF(AND(ISNUMBER(CB155),ISNUMBER(CB132)),IFERROR(CB155/CB132,""),"")</f>
        <v>0.0860535896300468</v>
      </c>
      <c r="CC373" s="256">
        <f>IF(AND(ISNUMBER(CC155),ISNUMBER(CC132)),IFERROR(CC155/CC132,""),"")</f>
        <v>0.109685875834469</v>
      </c>
      <c r="CD373" s="256">
        <f>IF(AND(ISNUMBER(CD155),ISNUMBER(CD132)),IFERROR(CD155/CD132,""),"")</f>
        <v>0.127304246079656</v>
      </c>
      <c r="CE373" s="256">
        <f>IF(AND(ISNUMBER(CE155),ISNUMBER(CE132)),IFERROR(CE155/CE132,""),"")</f>
        <v>0.140450273098131</v>
      </c>
      <c r="CF373" s="153" t="n"/>
    </row>
    <row r="374" ht="15" customHeight="1" s="251">
      <c r="B374" s="25" t="inlineStr">
        <is>
          <t xml:space="preserve">  Interest expense ÷ average total debt %</t>
        </is>
      </c>
      <c r="C374" s="36" t="n"/>
      <c r="D374" s="215">
        <f>IFERROR(D128*1/AVERAGE(D355,C355),"")</f>
      </c>
      <c r="E374" s="215">
        <f>IFERROR(E128*1/AVERAGE(E355,D355),"")</f>
      </c>
      <c r="F374" s="215">
        <f>IFERROR(F128*1/AVERAGE(F355,E355),"")</f>
      </c>
      <c r="G374" s="215">
        <f>IFERROR(G128*1/AVERAGE(G355,F355),"")</f>
        <v>0</v>
      </c>
      <c r="H374" s="215">
        <f>IFERROR(H128*1/AVERAGE(H355,G355),"")</f>
        <v>0.0151258312687443</v>
      </c>
      <c r="I374" s="215">
        <f>IFERROR(I128*1/AVERAGE(I355,H355),"")</f>
        <v>0.0172466892516169</v>
      </c>
      <c r="J374" s="36" t="n"/>
      <c r="K374" s="215">
        <f>IFERROR(K128*4/AVERAGE(K355,J355),"")</f>
        <v>0.0150078988941548</v>
      </c>
      <c r="L374" s="215">
        <f>IFERROR(L128*4/AVERAGE(L355,K355),"")</f>
        <v>0.0220330495743615</v>
      </c>
      <c r="M374" s="215">
        <f>IFERROR(M128*4/AVERAGE(M355,L355),"")</f>
        <v>0.0280093364454818</v>
      </c>
      <c r="N374" s="215">
        <f>IFERROR(N128*1/AVERAGE(N355,I355),"")</f>
        <v>0.0194470477975633</v>
      </c>
      <c r="O374" s="215">
        <f>IFERROR(O128*4/AVERAGE(O355,M355),"")</f>
        <v>0.0274324903557651</v>
      </c>
      <c r="P374" s="215">
        <f>IFERROR(P128*4/AVERAGE(P355,O355),"")</f>
        <v>0.0308571428571429</v>
      </c>
      <c r="Q374" s="215">
        <f>IFERROR(Q128*4/AVERAGE(Q355,P355),"")</f>
        <v>0.0333277787035494</v>
      </c>
      <c r="R374" s="215">
        <f>IFERROR(R128*4/AVERAGE(R355,Q355),"")</f>
        <v>0.0333166749958354</v>
      </c>
      <c r="S374" s="215">
        <f>IFERROR(S128*1/AVERAGE(S355,N355),"")</f>
        <v>0.0336610564905849</v>
      </c>
      <c r="T374" s="215">
        <f>IFERROR(T128*4/AVERAGE(T355,R355),"")</f>
        <v>0.0346435709526982</v>
      </c>
      <c r="U374" s="215">
        <f>IFERROR(U128*4/AVERAGE(U355,T355),"")</f>
        <v>0.0346435709526982</v>
      </c>
      <c r="V374" s="215">
        <f>IFERROR(V128*4/AVERAGE(V355,U355),"")</f>
        <v>0.0333707684902936</v>
      </c>
      <c r="W374" s="215">
        <f>IFERROR(W128*4/AVERAGE(W355,V355),"")</f>
        <v>0.0246124718968169</v>
      </c>
      <c r="X374" s="215">
        <f>IFERROR(X128*1/AVERAGE(X355,S355),"")</f>
        <v>0.0252979810265142</v>
      </c>
      <c r="Y374" s="215">
        <f>IFERROR(Y128*4/AVERAGE(Y355,W355),"")</f>
        <v>0.0284697508896797</v>
      </c>
      <c r="Z374" s="215">
        <f>IFERROR(Z128*4/AVERAGE(Z355,Y355),"")</f>
        <v>0.0472848171407462</v>
      </c>
      <c r="AA374" s="215">
        <f>IFERROR(AA128*4/AVERAGE(AA355,Z355),"")</f>
        <v>0.0377727124715077</v>
      </c>
      <c r="AB374" s="215">
        <f>IFERROR(AB128*4/AVERAGE(AB355,AA355),"")</f>
        <v>0.0335323256700114</v>
      </c>
      <c r="AC374" s="215">
        <f>IFERROR(AC128*1/AVERAGE(AC355,X355),"")</f>
        <v>0.0270890223921354</v>
      </c>
      <c r="AD374" s="215">
        <f>IFERROR(AD128*4/AVERAGE(AD355,AB355),"")</f>
        <v>0.0254065040650407</v>
      </c>
      <c r="AE374" s="215">
        <f>IFERROR(AE128*4/AVERAGE(AE355,AD355),"")</f>
        <v>0.02133062468258</v>
      </c>
      <c r="AF374" s="215">
        <f>IFERROR(AF128*4/AVERAGE(AF355,AE355),"")</f>
        <v>0.0274111675126904</v>
      </c>
      <c r="AG374" s="215">
        <f>IFERROR(AG128*4/AVERAGE(AG355,AF355),"")</f>
        <v>0.0365296803652968</v>
      </c>
      <c r="AH374" s="215">
        <f>IFERROR(AH128*1/AVERAGE(AH355,AC355),"")</f>
        <v>0.0276719979690277</v>
      </c>
      <c r="AI374" s="215">
        <f>IFERROR(AI128*4/AVERAGE(AI355,AG355),"")</f>
        <v>0.0228223659186002</v>
      </c>
      <c r="AJ374" s="215">
        <f>IFERROR(AJ128*4/AVERAGE(AJ355,AI355),"")</f>
        <v>0.020532319391635</v>
      </c>
      <c r="AK374" s="215">
        <f>IFERROR(AK128*4/AVERAGE(AK355,AJ355),"")</f>
        <v>0.0283723875870804</v>
      </c>
      <c r="AL374" s="215">
        <f>IFERROR(AL128*4/AVERAGE(AL355,AK355),"")</f>
        <v>0.0293745251962522</v>
      </c>
      <c r="AM374" s="215">
        <f>IFERROR(AM128*1/AVERAGE(AM355,AH355),"")</f>
        <v>0.0288863549980996</v>
      </c>
      <c r="AN374" s="215">
        <f>IFERROR(AN128*4/AVERAGE(AN355,AL355),"")</f>
        <v>0.0354340673247279</v>
      </c>
      <c r="AO374" s="215">
        <f>IFERROR(AO128*4/AVERAGE(AO355,AN355),"")</f>
        <v>0.0252972426005565</v>
      </c>
      <c r="AP374" s="215">
        <f>IFERROR(AP128*4/AVERAGE(AP355,AO355),"")</f>
        <v>0.0232616940581542</v>
      </c>
      <c r="AQ374" s="215">
        <f>IFERROR(AQ128*4/AVERAGE(AQ355,AP355),"")</f>
        <v>0.0171847359110437</v>
      </c>
      <c r="AR374" s="215">
        <f>IFERROR(AR128*1/AVERAGE(AR355,AM355),"")</f>
        <v>0.0252908447142135</v>
      </c>
      <c r="AS374" s="215">
        <f>IFERROR(AS128*4/AVERAGE(AS355,AQ355),"")</f>
        <v>0.0212174791614044</v>
      </c>
      <c r="AT374" s="215">
        <f>IFERROR(AT128*4/AVERAGE(AT355,AS355),"")</f>
        <v>0.0129048269016007</v>
      </c>
      <c r="AU374" s="215">
        <f>IFERROR(AU128*4/AVERAGE(AU355,AT355),"")</f>
        <v>0.0202105263157895</v>
      </c>
      <c r="AV374" s="215">
        <f>IFERROR(AV128*4/AVERAGE(AV355,AU355),"")</f>
        <v>0.0142129257173505</v>
      </c>
      <c r="AW374" s="215">
        <f>IFERROR(AW128*1/AVERAGE(AW355,AR355),"")</f>
        <v>0.0142940335645084</v>
      </c>
      <c r="AX374" s="215">
        <f>IFERROR(AX128*4/AVERAGE(AX355,AV355),"")</f>
        <v>0.0203903682339526</v>
      </c>
      <c r="AY374" s="215">
        <f>IFERROR(AY128*4/AVERAGE(AY355,AX355),"")</f>
        <v>0.0208112271093616</v>
      </c>
      <c r="AZ374" s="215">
        <f>IFERROR(AZ128*4/AVERAGE(AZ355,AY355),"")</f>
        <v>0.0215264187866928</v>
      </c>
      <c r="BA374" s="215">
        <f>IFERROR(BA128*4/AVERAGE(BA355,AZ355),"")</f>
        <v>0.0321594227795911</v>
      </c>
      <c r="BB374" s="215">
        <f>IFERROR(BB128*1/AVERAGE(BB355,AW355),"")</f>
        <v>0.0232620680381874</v>
      </c>
      <c r="BC374" s="215">
        <f>IFERROR(BC128*4/AVERAGE(BC355,BA355),"")</f>
        <v>0.0224263712510132</v>
      </c>
      <c r="BD374" s="215">
        <f>IFERROR(BD128*4/AVERAGE(BD355,BC355),"")</f>
        <v>0.0224894157493649</v>
      </c>
      <c r="BE374" s="215">
        <f>IFERROR(BE128*4/AVERAGE(BE355,BD355),"")</f>
        <v>0.0274951509170722</v>
      </c>
      <c r="BF374" s="215">
        <f>IFERROR(BF128*4/AVERAGE(BF355,BE355),"")</f>
        <v>0.0245281733324249</v>
      </c>
      <c r="BG374" s="215">
        <f>IFERROR(BG128*1/AVERAGE(BG355,BB355),"")</f>
        <v>0.0241886306660343</v>
      </c>
      <c r="BH374" s="215">
        <f>IFERROR(BH128*4/AVERAGE(BH355,BF355),"")</f>
        <v>0.0217709290063612</v>
      </c>
      <c r="BI374" s="215">
        <f>IFERROR(BI128*4/AVERAGE(BI355,BH355),"")</f>
        <v>0.0117006802721088</v>
      </c>
      <c r="BJ374" s="215">
        <f>IFERROR(BJ128*4/AVERAGE(BJ355,BI355),"")</f>
        <v>0.0314736306596575</v>
      </c>
      <c r="BK374" s="215">
        <f>IFERROR(BK128*4/AVERAGE(BK355,BJ355),"")</f>
        <v>0.0190121926017772</v>
      </c>
      <c r="BL374" s="215">
        <f>IFERROR(BL128*1/AVERAGE(BL355,BG355),"")</f>
        <v>0.0212751260620294</v>
      </c>
      <c r="BM374" s="215">
        <f>IFERROR(BM128*4/AVERAGE(BM355,BK355),"")</f>
        <v>0.0273643608311197</v>
      </c>
      <c r="BN374" s="215">
        <f>IFERROR(BN128*4/AVERAGE(BN355,BM355),"")</f>
        <v>0.0202523993047684</v>
      </c>
      <c r="BO374" s="215">
        <f>IFERROR(BO128*4/AVERAGE(BO355,BN355),"")</f>
        <v>0.0156896927435171</v>
      </c>
      <c r="BP374" s="215">
        <f>IFERROR(BP128*4/AVERAGE(BP355,BO355),"")</f>
        <v>0.0148886860032306</v>
      </c>
      <c r="BQ374" s="215">
        <f>IFERROR(BQ128*1/AVERAGE(BQ355,BL355),"")</f>
        <v>0.0188500087919817</v>
      </c>
      <c r="BR374" s="215">
        <f>IFERROR(BR128*4/AVERAGE(BR355,BP355),"")</f>
        <v>0.00952114253710445</v>
      </c>
      <c r="BS374" s="215">
        <f>IFERROR(BS128*4/AVERAGE(BS355,BR355),"")</f>
        <v>0.049722572809754</v>
      </c>
      <c r="BT374" s="215">
        <f>IFERROR(BT128*4/AVERAGE(BT355,BS355),"")</f>
        <v>0.0211035067977642</v>
      </c>
      <c r="BU374" s="215">
        <f>IFERROR(BU128*4/AVERAGE(BU355,BT355),"")</f>
        <v>0.0317253310266818</v>
      </c>
      <c r="BV374" s="215">
        <f>IFERROR(BV128*1/AVERAGE(BV355,BQ355),"")</f>
        <v>0.0234675169390195</v>
      </c>
      <c r="BW374" s="215">
        <f>IFERROR(BW128*4/AVERAGE(BW355,BU355),"")</f>
        <v>0.0333015729213852</v>
      </c>
      <c r="BX374" s="215">
        <f>IFERROR(BX128*4/AVERAGE(BX355,BW355),"")</f>
        <v>0.0569065416919455</v>
      </c>
      <c r="BY374" s="24" t="n"/>
      <c r="BZ374" s="24" t="n"/>
      <c r="CA374" s="256">
        <f>IFERROR(CA128*1/AVERAGE(CA355,BV355),"")</f>
        <v>0.0560436788973941</v>
      </c>
      <c r="CB374" s="256">
        <f>IFERROR(CB128*1/AVERAGE(CB355,CA355),"")</f>
        <v>0.042</v>
      </c>
      <c r="CC374" s="256">
        <f>IFERROR(CC128*1/AVERAGE(CC355,CB355),"")</f>
        <v>0.042</v>
      </c>
      <c r="CD374" s="256">
        <f>IFERROR(CD128*1/AVERAGE(CD355,CC355),"")</f>
        <v>0.042</v>
      </c>
      <c r="CE374" s="256">
        <f>IFERROR(CE128*1/AVERAGE(CE355,CD355),"")</f>
        <v>0.042</v>
      </c>
      <c r="CF374" s="153" t="n"/>
    </row>
    <row r="375" ht="15" customHeight="1" s="251">
      <c r="CN375" s="11" t="n"/>
      <c r="CO375" s="12" t="n"/>
      <c r="CP375" s="12" t="n"/>
      <c r="CQ375" s="12" t="n"/>
      <c r="CR375" s="13" t="n"/>
    </row>
    <row r="376" ht="15" customHeight="1" s="251">
      <c r="B376" s="10" t="inlineStr">
        <is>
          <t>RATIO ANALYSIS</t>
        </is>
      </c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  <c r="AD376" s="10" t="n"/>
      <c r="AE376" s="10" t="n"/>
      <c r="AF376" s="10" t="n"/>
      <c r="AG376" s="10" t="n"/>
      <c r="AH376" s="10" t="n"/>
      <c r="AI376" s="10" t="n"/>
      <c r="AJ376" s="10" t="n"/>
      <c r="AK376" s="10" t="n"/>
      <c r="AL376" s="10" t="n"/>
      <c r="AM376" s="10" t="n"/>
      <c r="AN376" s="10" t="n"/>
      <c r="AO376" s="10" t="n"/>
      <c r="AP376" s="10" t="n"/>
      <c r="AQ376" s="10" t="n"/>
      <c r="AR376" s="10" t="n"/>
      <c r="AS376" s="10" t="n"/>
      <c r="AT376" s="10" t="n"/>
      <c r="AU376" s="10" t="n"/>
      <c r="AV376" s="10" t="n"/>
      <c r="AW376" s="10" t="n"/>
      <c r="AX376" s="10" t="n"/>
      <c r="AY376" s="10" t="n"/>
      <c r="AZ376" s="10" t="n"/>
      <c r="BA376" s="10" t="n"/>
      <c r="BB376" s="10" t="n"/>
      <c r="BC376" s="10" t="n"/>
      <c r="BD376" s="10" t="n"/>
      <c r="BE376" s="10" t="n"/>
      <c r="BF376" s="10" t="n"/>
      <c r="BG376" s="10" t="n"/>
      <c r="BH376" s="10" t="n"/>
      <c r="BI376" s="10" t="n"/>
      <c r="BJ376" s="10" t="n"/>
      <c r="BK376" s="10" t="n"/>
      <c r="BL376" s="10" t="n"/>
      <c r="BM376" s="10" t="n"/>
      <c r="BN376" s="10" t="n"/>
      <c r="BO376" s="10" t="n"/>
      <c r="BP376" s="10" t="n"/>
      <c r="BQ376" s="10" t="n"/>
      <c r="BR376" s="10" t="n"/>
      <c r="BS376" s="10" t="n"/>
      <c r="BT376" s="10" t="n"/>
      <c r="BU376" s="10" t="n"/>
      <c r="BV376" s="10" t="n"/>
      <c r="BW376" s="10" t="n"/>
      <c r="BX376" s="10" t="n"/>
      <c r="BY376" s="10" t="n"/>
      <c r="BZ376" s="10" t="n"/>
      <c r="CA376" s="10" t="n"/>
      <c r="CB376" s="10" t="n"/>
      <c r="CC376" s="10" t="n"/>
      <c r="CD376" s="10" t="n"/>
      <c r="CE376" s="10" t="n"/>
      <c r="CF376" s="10" t="inlineStr">
        <is>
          <t>RETURNS — annual columns (NOPAT on adjusted EBIT; invested capital excludes non-marketable equity stakes)</t>
        </is>
      </c>
    </row>
    <row r="377" ht="15" customHeight="1" s="251">
      <c r="B377" s="25" t="inlineStr">
        <is>
          <t>DuPont decomposition of ROIC</t>
        </is>
      </c>
      <c r="CF377" s="153" t="n"/>
    </row>
    <row r="378" ht="15" customHeight="1" s="251">
      <c r="B378" s="25" t="inlineStr">
        <is>
          <t>Adjusted EBIT (= adjusted operating income)</t>
        </is>
      </c>
      <c r="C378" s="211">
        <f>C195</f>
        <v>3549.996</v>
      </c>
      <c r="D378" s="211">
        <f>D195</f>
        <v>5084.4</v>
      </c>
      <c r="E378" s="211">
        <f>E195</f>
        <v>6631.969</v>
      </c>
      <c r="F378" s="211">
        <f>F195</f>
        <v>8312.186</v>
      </c>
      <c r="G378" s="211">
        <f>G195</f>
        <v>10381</v>
      </c>
      <c r="H378" s="211">
        <f>H195</f>
        <v>11742</v>
      </c>
      <c r="I378" s="211">
        <f>I195</f>
        <v>12760</v>
      </c>
      <c r="J378" s="34" t="n"/>
      <c r="K378" s="34" t="n"/>
      <c r="L378" s="34" t="n"/>
      <c r="M378" s="34" t="n"/>
      <c r="N378" s="211">
        <f>N195</f>
        <v>13966</v>
      </c>
      <c r="O378" s="34" t="n"/>
      <c r="P378" s="34" t="n"/>
      <c r="Q378" s="34" t="n"/>
      <c r="R378" s="34" t="n"/>
      <c r="S378" s="211">
        <f>S195</f>
        <v>16496</v>
      </c>
      <c r="T378" s="34" t="n"/>
      <c r="U378" s="34" t="n"/>
      <c r="V378" s="34" t="n"/>
      <c r="W378" s="34" t="n"/>
      <c r="X378" s="211">
        <f>X195</f>
        <v>19360</v>
      </c>
      <c r="Y378" s="34" t="n"/>
      <c r="Z378" s="34" t="n"/>
      <c r="AA378" s="34" t="n"/>
      <c r="AB378" s="34" t="n"/>
      <c r="AC378" s="211">
        <f>AC195</f>
        <v>23716</v>
      </c>
      <c r="AD378" s="34" t="n"/>
      <c r="AE378" s="34" t="n"/>
      <c r="AF378" s="34" t="n"/>
      <c r="AG378" s="34" t="n"/>
      <c r="AH378" s="211">
        <f>AH195</f>
        <v>28882</v>
      </c>
      <c r="AI378" s="34" t="n"/>
      <c r="AJ378" s="34" t="n"/>
      <c r="AK378" s="34" t="n"/>
      <c r="AL378" s="34" t="n"/>
      <c r="AM378" s="211">
        <f>AM195</f>
        <v>31392</v>
      </c>
      <c r="AN378" s="34" t="n"/>
      <c r="AO378" s="34" t="n"/>
      <c r="AP378" s="34" t="n"/>
      <c r="AQ378" s="34" t="n"/>
      <c r="AR378" s="211">
        <f>AR195</f>
        <v>35928</v>
      </c>
      <c r="AS378" s="34" t="n"/>
      <c r="AT378" s="34" t="n"/>
      <c r="AU378" s="34" t="n"/>
      <c r="AV378" s="34" t="n"/>
      <c r="AW378" s="211">
        <f>AW195</f>
        <v>41224</v>
      </c>
      <c r="AX378" s="34" t="n"/>
      <c r="AY378" s="34" t="n"/>
      <c r="AZ378" s="34" t="n"/>
      <c r="BA378" s="34" t="n"/>
      <c r="BB378" s="211">
        <f>BB195</f>
        <v>78714</v>
      </c>
      <c r="BC378" s="34" t="n"/>
      <c r="BD378" s="34" t="n"/>
      <c r="BE378" s="34" t="n"/>
      <c r="BF378" s="34" t="n"/>
      <c r="BG378" s="211">
        <f>BG195</f>
        <v>74842</v>
      </c>
      <c r="BH378" s="34" t="n"/>
      <c r="BI378" s="34" t="n"/>
      <c r="BJ378" s="34" t="n"/>
      <c r="BK378" s="34" t="n"/>
      <c r="BL378" s="211">
        <f>BL195</f>
        <v>86851</v>
      </c>
      <c r="BM378" s="34" t="n"/>
      <c r="BN378" s="34" t="n"/>
      <c r="BO378" s="34" t="n"/>
      <c r="BP378" s="34" t="n"/>
      <c r="BQ378" s="211">
        <f>BQ195</f>
        <v>113106</v>
      </c>
      <c r="BR378" s="34" t="n"/>
      <c r="BS378" s="34" t="n"/>
      <c r="BT378" s="34" t="n"/>
      <c r="BU378" s="34" t="n"/>
      <c r="BV378" s="211">
        <f>BV195</f>
        <v>132496</v>
      </c>
      <c r="BW378" s="34" t="n"/>
      <c r="BX378" s="34" t="n"/>
      <c r="BY378" s="35" t="n"/>
      <c r="BZ378" s="35" t="n"/>
      <c r="CA378" s="254">
        <f>CA195</f>
        <v>172938.832200787</v>
      </c>
      <c r="CB378" s="254">
        <f>CB195</f>
        <v>194643.240084932</v>
      </c>
      <c r="CC378" s="254">
        <f>CC195</f>
        <v>212421.8802008</v>
      </c>
      <c r="CD378" s="254">
        <f>CD195</f>
        <v>234774.621414897</v>
      </c>
      <c r="CE378" s="254">
        <f>CE195</f>
        <v>256717.05000939</v>
      </c>
      <c r="CF378" s="19" t="n"/>
    </row>
    <row r="379" ht="15" customHeight="1" s="251">
      <c r="B379" s="25" t="inlineStr">
        <is>
          <t>Tax rate (GAAP effective; 18% where not meaningful)</t>
        </is>
      </c>
      <c r="C379" s="215">
        <f>IFERROR(IF(AND(C147&gt;0.05,C147&lt;0.4),C147,0.18),0.18)</f>
        <v>0.232756093182816</v>
      </c>
      <c r="D379" s="215">
        <f>IFERROR(IF(AND(D147&gt;0.05,D147&lt;0.4),D147,0.18),0.18)</f>
        <v>0.259123225672279</v>
      </c>
      <c r="E379" s="215">
        <f>IFERROR(IF(AND(E147&gt;0.05,E147&lt;0.4),E147,0.18),0.18)</f>
        <v>0.277904043941536</v>
      </c>
      <c r="F379" s="215">
        <f>IFERROR(IF(AND(F147&gt;0.05,F147&lt;0.4),F147,0.18),0.18)</f>
        <v>0.222013964844368</v>
      </c>
      <c r="G379" s="215">
        <f>IFERROR(IF(AND(G147&gt;0.05,G147&lt;0.4),G147,0.18),0.18)</f>
        <v>0.212208225268618</v>
      </c>
      <c r="H379" s="215">
        <f>IFERROR(IF(AND(H147&gt;0.05,H147&lt;0.4),H147,0.18),0.18)</f>
        <v>0.210043809832874</v>
      </c>
      <c r="I379" s="215">
        <f>IFERROR(IF(AND(I147&gt;0.05,I147&lt;0.4),I147,0.18),0.18)</f>
        <v>0.194083370685791</v>
      </c>
      <c r="J379" s="34" t="n"/>
      <c r="K379" s="34" t="n"/>
      <c r="L379" s="34" t="n"/>
      <c r="M379" s="34" t="n"/>
      <c r="N379" s="215">
        <f>IFERROR(IF(AND(N147&gt;0.05,N147&lt;0.4),N147,0.18),0.18)</f>
        <v>0.157422737306843</v>
      </c>
      <c r="O379" s="34" t="n"/>
      <c r="P379" s="34" t="n"/>
      <c r="Q379" s="34" t="n"/>
      <c r="R379" s="34" t="n"/>
      <c r="S379" s="215">
        <f>IFERROR(IF(AND(S147&gt;0.05,S147&lt;0.4),S147,0.18),0.18)</f>
        <v>0.193000753230199</v>
      </c>
      <c r="T379" s="34" t="n"/>
      <c r="U379" s="34" t="n"/>
      <c r="V379" s="34" t="n"/>
      <c r="W379" s="34" t="n"/>
      <c r="X379" s="215">
        <f>IFERROR(IF(AND(X147&gt;0.05,X147&lt;0.4),X147,0.18),0.18)</f>
        <v>0.168083049208692</v>
      </c>
      <c r="Y379" s="34" t="n"/>
      <c r="Z379" s="34" t="n"/>
      <c r="AA379" s="34" t="n"/>
      <c r="AB379" s="34" t="n"/>
      <c r="AC379" s="215">
        <f>IFERROR(IF(AND(AC147&gt;0.05,AC147&lt;0.4),AC147,0.18),0.18)</f>
        <v>0.193457556935818</v>
      </c>
      <c r="AD379" s="34" t="n"/>
      <c r="AE379" s="34" t="n"/>
      <c r="AF379" s="34" t="n"/>
      <c r="AG379" s="34" t="n"/>
      <c r="AH379" s="215">
        <f>IFERROR(IF(AND(AH147&gt;0.05,AH147&lt;0.4),AH147,0.18),0.18)</f>
        <v>0.18</v>
      </c>
      <c r="AI379" s="34" t="n"/>
      <c r="AJ379" s="34" t="n"/>
      <c r="AK379" s="34" t="n"/>
      <c r="AL379" s="34" t="n"/>
      <c r="AM379" s="215">
        <f>IFERROR(IF(AND(AM147&gt;0.05,AM147&lt;0.4),AM147,0.18),0.18)</f>
        <v>0.119640248617993</v>
      </c>
      <c r="AN379" s="34" t="n"/>
      <c r="AO379" s="34" t="n"/>
      <c r="AP379" s="34" t="n"/>
      <c r="AQ379" s="34" t="n"/>
      <c r="AR379" s="215">
        <f>IFERROR(IF(AND(AR147&gt;0.05,AR147&lt;0.4),AR147,0.18),0.18)</f>
        <v>0.133299684542587</v>
      </c>
      <c r="AS379" s="34" t="n"/>
      <c r="AT379" s="34" t="n"/>
      <c r="AU379" s="34" t="n"/>
      <c r="AV379" s="34" t="n"/>
      <c r="AW379" s="215">
        <f>IFERROR(IF(AND(AW147&gt;0.05,AW147&lt;0.4),AW147,0.18),0.18)</f>
        <v>0.162493240713781</v>
      </c>
      <c r="AX379" s="34" t="n"/>
      <c r="AY379" s="34" t="n"/>
      <c r="AZ379" s="34" t="n"/>
      <c r="BA379" s="34" t="n"/>
      <c r="BB379" s="215">
        <f>IFERROR(IF(AND(BB147&gt;0.05,BB147&lt;0.4),BB147,0.18),0.18)</f>
        <v>0.162023056406639</v>
      </c>
      <c r="BC379" s="34" t="n"/>
      <c r="BD379" s="34" t="n"/>
      <c r="BE379" s="34" t="n"/>
      <c r="BF379" s="34" t="n"/>
      <c r="BG379" s="215">
        <f>IFERROR(IF(AND(BG147&gt;0.05,BG147&lt;0.4),BG147,0.18),0.18)</f>
        <v>0.159208165096456</v>
      </c>
      <c r="BH379" s="34" t="n"/>
      <c r="BI379" s="34" t="n"/>
      <c r="BJ379" s="34" t="n"/>
      <c r="BK379" s="34" t="n"/>
      <c r="BL379" s="215">
        <f>IFERROR(IF(AND(BL147&gt;0.05,BL147&lt;0.4),BL147,0.18),0.18)</f>
        <v>0.139085595622805</v>
      </c>
      <c r="BM379" s="34" t="n"/>
      <c r="BN379" s="34" t="n"/>
      <c r="BO379" s="34" t="n"/>
      <c r="BP379" s="34" t="n"/>
      <c r="BQ379" s="215">
        <f>IFERROR(IF(AND(BQ147&gt;0.05,BQ147&lt;0.4),BQ147,0.18),0.18)</f>
        <v>0.16439510912657</v>
      </c>
      <c r="BR379" s="34" t="n"/>
      <c r="BS379" s="34" t="n"/>
      <c r="BT379" s="34" t="n"/>
      <c r="BU379" s="34" t="n"/>
      <c r="BV379" s="215">
        <f>IFERROR(IF(AND(BV147&gt;0.05,BV147&lt;0.4),BV147,0.18),0.18)</f>
        <v>0.167831463362422</v>
      </c>
      <c r="BW379" s="34" t="n"/>
      <c r="BX379" s="34" t="n"/>
      <c r="BY379" s="35" t="n"/>
      <c r="BZ379" s="35" t="n"/>
      <c r="CA379" s="256">
        <f>IFERROR(IF(AND(CA147&gt;0.05,CA147&lt;0.4),CA147,0.18),0.18)</f>
        <v>0.188005125930584</v>
      </c>
      <c r="CB379" s="256">
        <f>IFERROR(IF(AND(CB147&gt;0.05,CB147&lt;0.4),CB147,0.18),0.18)</f>
        <v>0.175</v>
      </c>
      <c r="CC379" s="256">
        <f>IFERROR(IF(AND(CC147&gt;0.05,CC147&lt;0.4),CC147,0.18),0.18)</f>
        <v>0.175</v>
      </c>
      <c r="CD379" s="256">
        <f>IFERROR(IF(AND(CD147&gt;0.05,CD147&lt;0.4),CD147,0.18),0.18)</f>
        <v>0.175</v>
      </c>
      <c r="CE379" s="256">
        <f>IFERROR(IF(AND(CE147&gt;0.05,CE147&lt;0.4),CE147,0.18),0.18)</f>
        <v>0.175</v>
      </c>
      <c r="CF379" s="19" t="n"/>
    </row>
    <row r="380" ht="15" customHeight="1" s="251">
      <c r="B380" s="25" t="inlineStr">
        <is>
          <t>NOPAT = Adjusted EBIT × (1 − tax rate)</t>
        </is>
      </c>
      <c r="C380" s="211">
        <f>IFERROR(C378*(1-C379),"n/a")</f>
        <v>2723.71280022538</v>
      </c>
      <c r="D380" s="211">
        <f>IFERROR(D378*(1-D379),"n/a")</f>
        <v>3766.91387139186</v>
      </c>
      <c r="E380" s="211">
        <f>IFERROR(E378*(1-E379),"n/a")</f>
        <v>4788.91799560509</v>
      </c>
      <c r="F380" s="211">
        <f>IFERROR(F378*(1-F379),"n/a")</f>
        <v>6466.76462961616</v>
      </c>
      <c r="G380" s="211">
        <f>IFERROR(G378*(1-G379),"n/a")</f>
        <v>8178.06641348648</v>
      </c>
      <c r="H380" s="211">
        <f>IFERROR(H378*(1-H379),"n/a")</f>
        <v>9275.6655849424</v>
      </c>
      <c r="I380" s="211">
        <f>IFERROR(I378*(1-I379),"n/a")</f>
        <v>10283.4961900493</v>
      </c>
      <c r="J380" s="34" t="n"/>
      <c r="K380" s="34" t="n"/>
      <c r="L380" s="34" t="n"/>
      <c r="M380" s="34" t="n"/>
      <c r="N380" s="211">
        <f>IFERROR(N378*(1-N379),"n/a")</f>
        <v>11767.4340507726</v>
      </c>
      <c r="O380" s="34" t="n"/>
      <c r="P380" s="34" t="n"/>
      <c r="Q380" s="34" t="n"/>
      <c r="R380" s="34" t="n"/>
      <c r="S380" s="211">
        <f>IFERROR(S378*(1-S379),"n/a")</f>
        <v>13312.2595747146</v>
      </c>
      <c r="T380" s="34" t="n"/>
      <c r="U380" s="34" t="n"/>
      <c r="V380" s="34" t="n"/>
      <c r="W380" s="34" t="n"/>
      <c r="X380" s="211">
        <f>IFERROR(X378*(1-X379),"n/a")</f>
        <v>16105.9121673197</v>
      </c>
      <c r="Y380" s="34" t="n"/>
      <c r="Z380" s="34" t="n"/>
      <c r="AA380" s="34" t="n"/>
      <c r="AB380" s="34" t="n"/>
      <c r="AC380" s="211">
        <f>IFERROR(AC378*(1-AC379),"n/a")</f>
        <v>19127.9605797101</v>
      </c>
      <c r="AD380" s="34" t="n"/>
      <c r="AE380" s="34" t="n"/>
      <c r="AF380" s="34" t="n"/>
      <c r="AG380" s="34" t="n"/>
      <c r="AH380" s="211">
        <f>IFERROR(AH378*(1-AH379),"n/a")</f>
        <v>23683.24</v>
      </c>
      <c r="AI380" s="34" t="n"/>
      <c r="AJ380" s="34" t="n"/>
      <c r="AK380" s="34" t="n"/>
      <c r="AL380" s="34" t="n"/>
      <c r="AM380" s="211">
        <f>IFERROR(AM378*(1-AM379),"n/a")</f>
        <v>27636.253315384</v>
      </c>
      <c r="AN380" s="34" t="n"/>
      <c r="AO380" s="34" t="n"/>
      <c r="AP380" s="34" t="n"/>
      <c r="AQ380" s="34" t="n"/>
      <c r="AR380" s="211">
        <f>IFERROR(AR378*(1-AR379),"n/a")</f>
        <v>31138.8089337539</v>
      </c>
      <c r="AS380" s="34" t="n"/>
      <c r="AT380" s="34" t="n"/>
      <c r="AU380" s="34" t="n"/>
      <c r="AV380" s="34" t="n"/>
      <c r="AW380" s="211">
        <f>IFERROR(AW378*(1-AW379),"n/a")</f>
        <v>34525.3786448151</v>
      </c>
      <c r="AX380" s="34" t="n"/>
      <c r="AY380" s="34" t="n"/>
      <c r="AZ380" s="34" t="n"/>
      <c r="BA380" s="34" t="n"/>
      <c r="BB380" s="211">
        <f>IFERROR(BB378*(1-BB379),"n/a")</f>
        <v>65960.5171380078</v>
      </c>
      <c r="BC380" s="34" t="n"/>
      <c r="BD380" s="34" t="n"/>
      <c r="BE380" s="34" t="n"/>
      <c r="BF380" s="34" t="n"/>
      <c r="BG380" s="211">
        <f>IFERROR(BG378*(1-BG379),"n/a")</f>
        <v>62926.5425078511</v>
      </c>
      <c r="BH380" s="34" t="n"/>
      <c r="BI380" s="34" t="n"/>
      <c r="BJ380" s="34" t="n"/>
      <c r="BK380" s="34" t="n"/>
      <c r="BL380" s="211">
        <f>IFERROR(BL378*(1-BL379),"n/a")</f>
        <v>74771.2769345637</v>
      </c>
      <c r="BM380" s="34" t="n"/>
      <c r="BN380" s="34" t="n"/>
      <c r="BO380" s="34" t="n"/>
      <c r="BP380" s="34" t="n"/>
      <c r="BQ380" s="211">
        <f>IFERROR(BQ378*(1-BQ379),"n/a")</f>
        <v>94511.9267871302</v>
      </c>
      <c r="BR380" s="34" t="n"/>
      <c r="BS380" s="34" t="n"/>
      <c r="BT380" s="34" t="n"/>
      <c r="BU380" s="34" t="n"/>
      <c r="BV380" s="211">
        <f>IFERROR(BV378*(1-BV379),"n/a")</f>
        <v>110259.002430333</v>
      </c>
      <c r="BW380" s="34" t="n"/>
      <c r="BX380" s="34" t="n"/>
      <c r="BY380" s="35" t="n"/>
      <c r="BZ380" s="35" t="n"/>
      <c r="CA380" s="254">
        <f>IFERROR(CA378*(1-CA379),"n/a")</f>
        <v>140425.44527459</v>
      </c>
      <c r="CB380" s="254">
        <f>IFERROR(CB378*(1-CB379),"n/a")</f>
        <v>160580.673070069</v>
      </c>
      <c r="CC380" s="254">
        <f>IFERROR(CC378*(1-CC379),"n/a")</f>
        <v>175248.05116566</v>
      </c>
      <c r="CD380" s="254">
        <f>IFERROR(CD378*(1-CD379),"n/a")</f>
        <v>193689.06266729</v>
      </c>
      <c r="CE380" s="254">
        <f>IFERROR(CE378*(1-CE379),"n/a")</f>
        <v>211791.566257747</v>
      </c>
      <c r="CF380" s="19" t="n"/>
    </row>
    <row r="381" ht="15" customHeight="1" s="251">
      <c r="B381" s="25" t="inlineStr">
        <is>
          <t>Invested capital (IC) = Equity + Net debt − Non-marketable securities</t>
        </is>
      </c>
      <c r="C381" s="211">
        <f>IFERROR(C382+C383-C308,"n/a")</f>
        <v>4764.076</v>
      </c>
      <c r="D381" s="211">
        <f>IFERROR(D382+D383-D308,"n/a")</f>
        <v>7411.372</v>
      </c>
      <c r="E381" s="211">
        <f>IFERROR(E382+E383-E308,"n/a")</f>
        <v>12307.931</v>
      </c>
      <c r="F381" s="211">
        <f>IFERROR(F382+F383-F308,"n/a")</f>
        <v>11390.472</v>
      </c>
      <c r="G381" s="211">
        <f>IFERROR(G382+G383-G308,"n/a")</f>
        <v>14208</v>
      </c>
      <c r="H381" s="211">
        <f>IFERROR(H382+H383-H308,"n/a")</f>
        <v>16933</v>
      </c>
      <c r="I381" s="211">
        <f>IFERROR(I382+I383-I308,"n/a")</f>
        <v>27695</v>
      </c>
      <c r="J381" s="34" t="n"/>
      <c r="K381" s="34" t="n"/>
      <c r="L381" s="34" t="n"/>
      <c r="M381" s="34" t="n"/>
      <c r="N381" s="211">
        <f>IFERROR(N382+N383-N308,"n/a")</f>
        <v>29615</v>
      </c>
      <c r="O381" s="34" t="n"/>
      <c r="P381" s="34" t="n"/>
      <c r="Q381" s="34" t="n"/>
      <c r="R381" s="34" t="n"/>
      <c r="S381" s="211">
        <f>IFERROR(S382+S383-S308,"n/a")</f>
        <v>40028</v>
      </c>
      <c r="T381" s="34" t="n"/>
      <c r="U381" s="34" t="n"/>
      <c r="V381" s="34" t="n"/>
      <c r="W381" s="34" t="n"/>
      <c r="X381" s="211">
        <f>IFERROR(X382+X383-X308,"n/a")</f>
        <v>47302</v>
      </c>
      <c r="Y381" s="34" t="n"/>
      <c r="Z381" s="34" t="n"/>
      <c r="AA381" s="34" t="n"/>
      <c r="AB381" s="34" t="n"/>
      <c r="AC381" s="211">
        <f>IFERROR(AC382+AC383-AC308,"n/a")</f>
        <v>50760</v>
      </c>
      <c r="AD381" s="34" t="n"/>
      <c r="AE381" s="34" t="n"/>
      <c r="AF381" s="34" t="n"/>
      <c r="AG381" s="34" t="n"/>
      <c r="AH381" s="211">
        <f>IFERROR(AH382+AH383-AH308,"n/a")</f>
        <v>46761</v>
      </c>
      <c r="AI381" s="34" t="n"/>
      <c r="AJ381" s="34" t="n"/>
      <c r="AK381" s="34" t="n"/>
      <c r="AL381" s="34" t="n"/>
      <c r="AM381" s="211">
        <f>IFERROR(AM382+AM383-AM308,"n/a")</f>
        <v>58579</v>
      </c>
      <c r="AN381" s="34" t="n"/>
      <c r="AO381" s="34" t="n"/>
      <c r="AP381" s="34" t="n"/>
      <c r="AQ381" s="34" t="n"/>
      <c r="AR381" s="211">
        <f>IFERROR(AR382+AR383-AR308,"n/a")</f>
        <v>72647</v>
      </c>
      <c r="AS381" s="34" t="n"/>
      <c r="AT381" s="34" t="n"/>
      <c r="AU381" s="34" t="n"/>
      <c r="AV381" s="34" t="n"/>
      <c r="AW381" s="211">
        <f>IFERROR(AW382+AW383-AW308,"n/a")</f>
        <v>80078</v>
      </c>
      <c r="AX381" s="34" t="n"/>
      <c r="AY381" s="34" t="n"/>
      <c r="AZ381" s="34" t="n"/>
      <c r="BA381" s="34" t="n"/>
      <c r="BB381" s="211">
        <f>IFERROR(BB382+BB383-BB308,"n/a")</f>
        <v>97254</v>
      </c>
      <c r="BC381" s="34" t="n"/>
      <c r="BD381" s="34" t="n"/>
      <c r="BE381" s="34" t="n"/>
      <c r="BF381" s="34" t="n"/>
      <c r="BG381" s="211">
        <f>IFERROR(BG382+BG383-BG308,"n/a")</f>
        <v>126591</v>
      </c>
      <c r="BH381" s="34" t="n"/>
      <c r="BI381" s="34" t="n"/>
      <c r="BJ381" s="34" t="n"/>
      <c r="BK381" s="34" t="n"/>
      <c r="BL381" s="211">
        <f>IFERROR(BL382+BL383-BL308,"n/a")</f>
        <v>155708</v>
      </c>
      <c r="BM381" s="34" t="n"/>
      <c r="BN381" s="34" t="n"/>
      <c r="BO381" s="34" t="n"/>
      <c r="BP381" s="34" t="n"/>
      <c r="BQ381" s="211">
        <f>IFERROR(BQ382+BQ383-BQ308,"n/a")</f>
        <v>205627</v>
      </c>
      <c r="BR381" s="34" t="n"/>
      <c r="BS381" s="34" t="n"/>
      <c r="BT381" s="34" t="n"/>
      <c r="BU381" s="34" t="n"/>
      <c r="BV381" s="211">
        <f>IFERROR(BV382+BV383-BV308,"n/a")</f>
        <v>268278</v>
      </c>
      <c r="BW381" s="34" t="n"/>
      <c r="BX381" s="34" t="n"/>
      <c r="BY381" s="35" t="n"/>
      <c r="BZ381" s="35" t="n"/>
      <c r="CA381" s="254">
        <f>IFERROR(CA382+CA383-CA308,"n/a")</f>
        <v>466680.87058013</v>
      </c>
      <c r="CB381" s="254">
        <f>IFERROR(CB382+CB383-CB308,"n/a")</f>
        <v>664127.087931408</v>
      </c>
      <c r="CC381" s="254">
        <f>IFERROR(CC382+CC383-CC308,"n/a")</f>
        <v>861917.0918101</v>
      </c>
      <c r="CD381" s="254">
        <f>IFERROR(CD382+CD383-CD308,"n/a")</f>
        <v>1052390.66344822</v>
      </c>
      <c r="CE381" s="254">
        <f>IFERROR(CE382+CE383-CE308,"n/a")</f>
        <v>1235874.24522239</v>
      </c>
      <c r="CF381" s="19" t="n"/>
    </row>
    <row r="382" ht="15" customHeight="1" s="251">
      <c r="B382" s="25" t="inlineStr">
        <is>
          <t xml:space="preserve">  Total equity (incl. preferred)</t>
        </is>
      </c>
      <c r="C382" s="211">
        <f>IF(ISNUMBER(C323),C323,"n/a")</f>
        <v>17039.84</v>
      </c>
      <c r="D382" s="211">
        <f>IF(ISNUMBER(D323),D323,"n/a")</f>
        <v>22689.679</v>
      </c>
      <c r="E382" s="211">
        <f>IF(ISNUMBER(E323),E323,"n/a")</f>
        <v>28238.862</v>
      </c>
      <c r="F382" s="211">
        <f>IF(ISNUMBER(F323),F323,"n/a")</f>
        <v>36004.224</v>
      </c>
      <c r="G382" s="211">
        <f>IF(ISNUMBER(G323),G323,"n/a")</f>
        <v>46241</v>
      </c>
      <c r="H382" s="211">
        <f>IF(ISNUMBER(H323),H323,"n/a")</f>
        <v>58145</v>
      </c>
      <c r="I382" s="211">
        <f>IF(ISNUMBER(I323),I323,"n/a")</f>
        <v>71715</v>
      </c>
      <c r="J382" s="34" t="n"/>
      <c r="K382" s="34" t="n"/>
      <c r="L382" s="34" t="n"/>
      <c r="M382" s="34" t="n"/>
      <c r="N382" s="211">
        <f>IF(ISNUMBER(N323),N323,"n/a")</f>
        <v>87309</v>
      </c>
      <c r="O382" s="34" t="n"/>
      <c r="P382" s="34" t="n"/>
      <c r="Q382" s="34" t="n"/>
      <c r="R382" s="34" t="n"/>
      <c r="S382" s="211">
        <f>IF(ISNUMBER(S323),S323,"n/a")</f>
        <v>104500</v>
      </c>
      <c r="T382" s="34" t="n"/>
      <c r="U382" s="34" t="n"/>
      <c r="V382" s="34" t="n"/>
      <c r="W382" s="34" t="n"/>
      <c r="X382" s="211">
        <f>IF(ISNUMBER(X323),X323,"n/a")</f>
        <v>120331</v>
      </c>
      <c r="Y382" s="34" t="n"/>
      <c r="Z382" s="34" t="n"/>
      <c r="AA382" s="34" t="n"/>
      <c r="AB382" s="34" t="n"/>
      <c r="AC382" s="211">
        <f>IF(ISNUMBER(AC323),AC323,"n/a")</f>
        <v>139036</v>
      </c>
      <c r="AD382" s="34" t="n"/>
      <c r="AE382" s="34" t="n"/>
      <c r="AF382" s="34" t="n"/>
      <c r="AG382" s="34" t="n"/>
      <c r="AH382" s="211">
        <f>IF(ISNUMBER(AH323),AH323,"n/a")</f>
        <v>152502</v>
      </c>
      <c r="AI382" s="34" t="n"/>
      <c r="AJ382" s="34" t="n"/>
      <c r="AK382" s="34" t="n"/>
      <c r="AL382" s="34" t="n"/>
      <c r="AM382" s="211">
        <f>IF(ISNUMBER(AM323),AM323,"n/a")</f>
        <v>177628</v>
      </c>
      <c r="AN382" s="34" t="n"/>
      <c r="AO382" s="34" t="n"/>
      <c r="AP382" s="34" t="n"/>
      <c r="AQ382" s="34" t="n"/>
      <c r="AR382" s="211">
        <f>IF(ISNUMBER(AR323),AR323,"n/a")</f>
        <v>201442</v>
      </c>
      <c r="AS382" s="34" t="n"/>
      <c r="AT382" s="34" t="n"/>
      <c r="AU382" s="34" t="n"/>
      <c r="AV382" s="34" t="n"/>
      <c r="AW382" s="211">
        <f>IF(ISNUMBER(AW323),AW323,"n/a")</f>
        <v>222544</v>
      </c>
      <c r="AX382" s="34" t="n"/>
      <c r="AY382" s="34" t="n"/>
      <c r="AZ382" s="34" t="n"/>
      <c r="BA382" s="34" t="n"/>
      <c r="BB382" s="211">
        <f>IF(ISNUMBER(BB323),BB323,"n/a")</f>
        <v>251635</v>
      </c>
      <c r="BC382" s="34" t="n"/>
      <c r="BD382" s="34" t="n"/>
      <c r="BE382" s="34" t="n"/>
      <c r="BF382" s="34" t="n"/>
      <c r="BG382" s="211">
        <f>IF(ISNUMBER(BG323),BG323,"n/a")</f>
        <v>256144</v>
      </c>
      <c r="BH382" s="34" t="n"/>
      <c r="BI382" s="34" t="n"/>
      <c r="BJ382" s="34" t="n"/>
      <c r="BK382" s="34" t="n"/>
      <c r="BL382" s="211">
        <f>IF(ISNUMBER(BL323),BL323,"n/a")</f>
        <v>283379</v>
      </c>
      <c r="BM382" s="34" t="n"/>
      <c r="BN382" s="34" t="n"/>
      <c r="BO382" s="34" t="n"/>
      <c r="BP382" s="34" t="n"/>
      <c r="BQ382" s="211">
        <f>IF(ISNUMBER(BQ323),BQ323,"n/a")</f>
        <v>325084</v>
      </c>
      <c r="BR382" s="34" t="n"/>
      <c r="BS382" s="34" t="n"/>
      <c r="BT382" s="34" t="n"/>
      <c r="BU382" s="34" t="n"/>
      <c r="BV382" s="211">
        <f>IF(ISNUMBER(BV323),BV323,"n/a")</f>
        <v>415265</v>
      </c>
      <c r="BW382" s="34" t="n"/>
      <c r="BX382" s="34" t="n"/>
      <c r="BY382" s="35" t="n"/>
      <c r="BZ382" s="35" t="n"/>
      <c r="CA382" s="254">
        <f>IF(ISNUMBER(CA323),CA323,"n/a")</f>
        <v>718647.069721397</v>
      </c>
      <c r="CB382" s="254">
        <f>IF(ISNUMBER(CB323),CB323,"n/a")</f>
        <v>856831.742056801</v>
      </c>
      <c r="CC382" s="254">
        <f>IF(ISNUMBER(CC323),CC323,"n/a")</f>
        <v>1037310.86274978</v>
      </c>
      <c r="CD382" s="254">
        <f>IF(ISNUMBER(CD323),CD323,"n/a")</f>
        <v>1237918.44022092</v>
      </c>
      <c r="CE382" s="254">
        <f>IF(ISNUMBER(CE323),CE323,"n/a")</f>
        <v>1458919.52020465</v>
      </c>
      <c r="CF382" s="19" t="n"/>
    </row>
    <row r="383" ht="15" customHeight="1" s="251">
      <c r="B383" s="25" t="inlineStr">
        <is>
          <t xml:space="preserve">  Net debt = Total debt − Cash − Marketable securities</t>
        </is>
      </c>
      <c r="C383" s="211">
        <f>IFERROR(C355-C303-C304,"n/a")</f>
        <v>-11243.914</v>
      </c>
      <c r="D383" s="211">
        <f>IFERROR(D355-D303-D304,"n/a")</f>
        <v>-14218.613</v>
      </c>
      <c r="E383" s="211">
        <f>IFERROR(E355-E303-E304,"n/a")</f>
        <v>-15845.771</v>
      </c>
      <c r="F383" s="211">
        <f>IFERROR(F355-F303-F304,"n/a")</f>
        <v>-24484.775</v>
      </c>
      <c r="G383" s="211">
        <f>IFERROR(G355-G303-G304,"n/a")</f>
        <v>-31510</v>
      </c>
      <c r="H383" s="211">
        <f>IFERROR(H355-H303-H304,"n/a")</f>
        <v>-40422</v>
      </c>
      <c r="I383" s="211">
        <f>IFERROR(I355-I303-I304,"n/a")</f>
        <v>-42551</v>
      </c>
      <c r="J383" s="34" t="n"/>
      <c r="K383" s="34" t="n"/>
      <c r="L383" s="34" t="n"/>
      <c r="M383" s="34" t="n"/>
      <c r="N383" s="211">
        <f>IFERROR(N355-N303-N304,"n/a")</f>
        <v>-55718</v>
      </c>
      <c r="O383" s="34" t="n"/>
      <c r="P383" s="34" t="n"/>
      <c r="Q383" s="34" t="n"/>
      <c r="R383" s="34" t="n"/>
      <c r="S383" s="211">
        <f>IFERROR(S355-S303-S304,"n/a")</f>
        <v>-61393</v>
      </c>
      <c r="T383" s="34" t="n"/>
      <c r="U383" s="34" t="n"/>
      <c r="V383" s="34" t="n"/>
      <c r="W383" s="34" t="n"/>
      <c r="X383" s="211">
        <f>IFERROR(X355-X303-X304,"n/a")</f>
        <v>-67846</v>
      </c>
      <c r="Y383" s="34" t="n"/>
      <c r="Z383" s="34" t="n"/>
      <c r="AA383" s="34" t="n"/>
      <c r="AB383" s="34" t="n"/>
      <c r="AC383" s="211">
        <f>IFERROR(AC355-AC303-AC304,"n/a")</f>
        <v>-82398</v>
      </c>
      <c r="AD383" s="34" t="n"/>
      <c r="AE383" s="34" t="n"/>
      <c r="AF383" s="34" t="n"/>
      <c r="AG383" s="34" t="n"/>
      <c r="AH383" s="211">
        <f>IFERROR(AH355-AH303-AH304,"n/a")</f>
        <v>-97928</v>
      </c>
      <c r="AI383" s="34" t="n"/>
      <c r="AJ383" s="34" t="n"/>
      <c r="AK383" s="34" t="n"/>
      <c r="AL383" s="34" t="n"/>
      <c r="AM383" s="211">
        <f>IFERROR(AM355-AM303-AM304,"n/a")</f>
        <v>-105190</v>
      </c>
      <c r="AN383" s="34" t="n"/>
      <c r="AO383" s="34" t="n"/>
      <c r="AP383" s="34" t="n"/>
      <c r="AQ383" s="34" t="n"/>
      <c r="AR383" s="211">
        <f>IFERROR(AR355-AR303-AR304,"n/a")</f>
        <v>-115717</v>
      </c>
      <c r="AS383" s="34" t="n"/>
      <c r="AT383" s="34" t="n"/>
      <c r="AU383" s="34" t="n"/>
      <c r="AV383" s="34" t="n"/>
      <c r="AW383" s="211">
        <f>IFERROR(AW355-AW303-AW304,"n/a")</f>
        <v>-121763</v>
      </c>
      <c r="AX383" s="34" t="n"/>
      <c r="AY383" s="34" t="n"/>
      <c r="AZ383" s="34" t="n"/>
      <c r="BA383" s="34" t="n"/>
      <c r="BB383" s="211">
        <f>IFERROR(BB355-BB303-BB304,"n/a")</f>
        <v>-124832</v>
      </c>
      <c r="BC383" s="34" t="n"/>
      <c r="BD383" s="34" t="n"/>
      <c r="BE383" s="34" t="n"/>
      <c r="BF383" s="34" t="n"/>
      <c r="BG383" s="211">
        <f>IFERROR(BG355-BG303-BG304,"n/a")</f>
        <v>-99061</v>
      </c>
      <c r="BH383" s="34" t="n"/>
      <c r="BI383" s="34" t="n"/>
      <c r="BJ383" s="34" t="n"/>
      <c r="BK383" s="34" t="n"/>
      <c r="BL383" s="211">
        <f>IFERROR(BL355-BL303-BL304,"n/a")</f>
        <v>-96663</v>
      </c>
      <c r="BM383" s="34" t="n"/>
      <c r="BN383" s="34" t="n"/>
      <c r="BO383" s="34" t="n"/>
      <c r="BP383" s="34" t="n"/>
      <c r="BQ383" s="211">
        <f>IFERROR(BQ355-BQ303-BQ304,"n/a")</f>
        <v>-81475</v>
      </c>
      <c r="BR383" s="34" t="n"/>
      <c r="BS383" s="34" t="n"/>
      <c r="BT383" s="34" t="n"/>
      <c r="BU383" s="34" t="n"/>
      <c r="BV383" s="211">
        <f>IFERROR(BV355-BV303-BV304,"n/a")</f>
        <v>-78300</v>
      </c>
      <c r="BW383" s="34" t="n"/>
      <c r="BX383" s="34" t="n"/>
      <c r="BY383" s="35" t="n"/>
      <c r="BZ383" s="35" t="n"/>
      <c r="CA383" s="254">
        <f>IFERROR(CA355-CA303-CA304,"n/a")</f>
        <v>-120505.199141267</v>
      </c>
      <c r="CB383" s="254">
        <f>IFERROR(CB355-CB303-CB304,"n/a")</f>
        <v>-61243.6541253929</v>
      </c>
      <c r="CC383" s="254">
        <f>IFERROR(CC355-CC303-CC304,"n/a")</f>
        <v>-43932.7709396784</v>
      </c>
      <c r="CD383" s="254">
        <f>IFERROR(CD355-CD303-CD304,"n/a")</f>
        <v>-54066.7767727018</v>
      </c>
      <c r="CE383" s="254">
        <f>IFERROR(CE355-CE303-CE304,"n/a")</f>
        <v>-91584.2749822606</v>
      </c>
      <c r="CF383" s="19" t="n"/>
    </row>
    <row r="384" ht="15" customHeight="1" s="251">
      <c r="B384" s="55" t="inlineStr">
        <is>
          <t>ROIC = NOPAT / IC</t>
        </is>
      </c>
      <c r="C384" s="291">
        <f>IFERROR(C380/C381,"n/a")</f>
        <v>0.571719007048875</v>
      </c>
      <c r="D384" s="291">
        <f>IFERROR(D380/D381,"n/a")</f>
        <v>0.50826134100297</v>
      </c>
      <c r="E384" s="291">
        <f>IFERROR(E380/E381,"n/a")</f>
        <v>0.38909204118914</v>
      </c>
      <c r="F384" s="291">
        <f>IFERROR(F380/F381,"n/a")</f>
        <v>0.567734561800087</v>
      </c>
      <c r="G384" s="291">
        <f>IFERROR(G380/G381,"n/a")</f>
        <v>0.575595890588857</v>
      </c>
      <c r="H384" s="291">
        <f>IFERROR(H380/H381,"n/a")</f>
        <v>0.547786309864903</v>
      </c>
      <c r="I384" s="291">
        <f>IFERROR(I380/I381,"n/a")</f>
        <v>0.371312373715447</v>
      </c>
      <c r="J384" s="56" t="n"/>
      <c r="K384" s="56" t="n"/>
      <c r="L384" s="56" t="n"/>
      <c r="M384" s="56" t="n"/>
      <c r="N384" s="291">
        <f>IFERROR(N380/N381,"n/a")</f>
        <v>0.397347089338937</v>
      </c>
      <c r="O384" s="56" t="n"/>
      <c r="P384" s="56" t="n"/>
      <c r="Q384" s="56" t="n"/>
      <c r="R384" s="56" t="n"/>
      <c r="S384" s="291">
        <f>IFERROR(S380/S381,"n/a")</f>
        <v>0.332573687786416</v>
      </c>
      <c r="T384" s="56" t="n"/>
      <c r="U384" s="56" t="n"/>
      <c r="V384" s="56" t="n"/>
      <c r="W384" s="56" t="n"/>
      <c r="X384" s="291">
        <f>IFERROR(X380/X381,"n/a")</f>
        <v>0.340491145560859</v>
      </c>
      <c r="Y384" s="56" t="n"/>
      <c r="Z384" s="56" t="n"/>
      <c r="AA384" s="56" t="n"/>
      <c r="AB384" s="56" t="n"/>
      <c r="AC384" s="291">
        <f>IFERROR(AC380/AC381,"n/a")</f>
        <v>0.376831374698782</v>
      </c>
      <c r="AD384" s="56" t="n"/>
      <c r="AE384" s="56" t="n"/>
      <c r="AF384" s="56" t="n"/>
      <c r="AG384" s="56" t="n"/>
      <c r="AH384" s="291">
        <f>IFERROR(AH380/AH381,"n/a")</f>
        <v>0.50647419858429</v>
      </c>
      <c r="AI384" s="56" t="n"/>
      <c r="AJ384" s="56" t="n"/>
      <c r="AK384" s="56" t="n"/>
      <c r="AL384" s="56" t="n"/>
      <c r="AM384" s="291">
        <f>IFERROR(AM380/AM381,"n/a")</f>
        <v>0.471777485368203</v>
      </c>
      <c r="AN384" s="56" t="n"/>
      <c r="AO384" s="56" t="n"/>
      <c r="AP384" s="56" t="n"/>
      <c r="AQ384" s="56" t="n"/>
      <c r="AR384" s="291">
        <f>IFERROR(AR380/AR381,"n/a")</f>
        <v>0.428631725105702</v>
      </c>
      <c r="AS384" s="56" t="n"/>
      <c r="AT384" s="56" t="n"/>
      <c r="AU384" s="56" t="n"/>
      <c r="AV384" s="56" t="n"/>
      <c r="AW384" s="291">
        <f>IFERROR(AW380/AW381,"n/a")</f>
        <v>0.431146864866944</v>
      </c>
      <c r="AX384" s="56" t="n"/>
      <c r="AY384" s="56" t="n"/>
      <c r="AZ384" s="56" t="n"/>
      <c r="BA384" s="56" t="n"/>
      <c r="BB384" s="291">
        <f>IFERROR(BB380/BB381,"n/a")</f>
        <v>0.678229349312191</v>
      </c>
      <c r="BC384" s="56" t="n"/>
      <c r="BD384" s="56" t="n"/>
      <c r="BE384" s="56" t="n"/>
      <c r="BF384" s="56" t="n"/>
      <c r="BG384" s="291">
        <f>IFERROR(BG380/BG381,"n/a")</f>
        <v>0.49708543662544</v>
      </c>
      <c r="BH384" s="56" t="n"/>
      <c r="BI384" s="56" t="n"/>
      <c r="BJ384" s="56" t="n"/>
      <c r="BK384" s="56" t="n"/>
      <c r="BL384" s="291">
        <f>IFERROR(BL380/BL381,"n/a")</f>
        <v>0.480201896720552</v>
      </c>
      <c r="BM384" s="56" t="n"/>
      <c r="BN384" s="56" t="n"/>
      <c r="BO384" s="56" t="n"/>
      <c r="BP384" s="56" t="n"/>
      <c r="BQ384" s="291">
        <f>IFERROR(BQ380/BQ381,"n/a")</f>
        <v>0.459628000151391</v>
      </c>
      <c r="BR384" s="56" t="n"/>
      <c r="BS384" s="56" t="n"/>
      <c r="BT384" s="56" t="n"/>
      <c r="BU384" s="56" t="n"/>
      <c r="BV384" s="291">
        <f>IFERROR(BV380/BV381,"n/a")</f>
        <v>0.410987864939848</v>
      </c>
      <c r="BW384" s="56" t="n"/>
      <c r="BX384" s="56" t="n"/>
      <c r="BY384" s="56" t="n"/>
      <c r="BZ384" s="56" t="n"/>
      <c r="CA384" s="291">
        <f>IFERROR(CA380/CA381,"n/a")</f>
        <v>0.300902509888669</v>
      </c>
      <c r="CB384" s="291">
        <f>IFERROR(CB380/CB381,"n/a")</f>
        <v>0.241792084659937</v>
      </c>
      <c r="CC384" s="291">
        <f>IFERROR(CC380/CC381,"n/a")</f>
        <v>0.203323559575346</v>
      </c>
      <c r="CD384" s="291">
        <f>IFERROR(CD380/CD381,"n/a")</f>
        <v>0.184046732258776</v>
      </c>
      <c r="CE384" s="291">
        <f>IFERROR(CE380/CE381,"n/a")</f>
        <v>0.17136983562566</v>
      </c>
      <c r="CF384" s="153" t="n"/>
      <c r="CH384" s="37">
        <f>IFERROR(AVERAGE(CA384,CB384,CC384,CD384,CE384),"n/m")</f>
        <v>0.220286944401678</v>
      </c>
      <c r="CI384" s="37">
        <f>IFERROR(AVERAGE(BB384,BG384,BL384,BQ384,BV384),"n/m")</f>
        <v>0.505226509549885</v>
      </c>
      <c r="CJ384" s="37">
        <f>IFERROR(AVERAGE(AC384,AH384,AM384,AR384,AW384,BB384,BG384,BL384,BQ384,BV384),"n/m")</f>
        <v>0.474099419637334</v>
      </c>
      <c r="CK384" s="37">
        <f>IFERROR(AVERAGE(C384,D384,E384,F384,G384,H384,I384,N384,S384,X384,AC384,AH384,AM384,AR384,AW384,BB384,BG384,BL384,BQ384,BV384),"n/m")</f>
        <v>0.467145382213492</v>
      </c>
    </row>
    <row r="385" ht="15" customHeight="1" s="251">
      <c r="B385" s="25" t="inlineStr">
        <is>
          <t xml:space="preserve">  Margin = Adjusted EBIT / Revenues</t>
        </is>
      </c>
      <c r="C385" s="215">
        <f>IFERROR(C378/C132,"n/a")</f>
        <v>0.334750003229634</v>
      </c>
      <c r="D385" s="215">
        <f>IFERROR(D378/D132,"n/a")</f>
        <v>0.306400162082817</v>
      </c>
      <c r="E385" s="215">
        <f>IFERROR(E378/E132,"n/a")</f>
        <v>0.304280873848102</v>
      </c>
      <c r="F385" s="215">
        <f>IFERROR(F378/F132,"n/a")</f>
        <v>0.351458271839026</v>
      </c>
      <c r="G385" s="215">
        <f>IFERROR(G378/G132,"n/a")</f>
        <v>0.354046587769858</v>
      </c>
      <c r="H385" s="215">
        <f>IFERROR(H378/H132,"n/a")</f>
        <v>0.309774436090226</v>
      </c>
      <c r="I385" s="215">
        <f>IFERROR(I378/I132,"n/a")</f>
        <v>0.254309915296462</v>
      </c>
      <c r="J385" s="34" t="n"/>
      <c r="K385" s="34" t="n"/>
      <c r="L385" s="34" t="n"/>
      <c r="M385" s="34" t="n"/>
      <c r="N385" s="215">
        <f>IFERROR(N378/N132,"n/a")</f>
        <v>0.233447555369829</v>
      </c>
      <c r="O385" s="34" t="n"/>
      <c r="P385" s="34" t="n"/>
      <c r="Q385" s="34" t="n"/>
      <c r="R385" s="34" t="n"/>
      <c r="S385" s="215">
        <f>IFERROR(S378/S132,"n/a")</f>
        <v>0.249935607036257</v>
      </c>
      <c r="T385" s="34" t="n"/>
      <c r="U385" s="34" t="n"/>
      <c r="V385" s="34" t="n"/>
      <c r="W385" s="34" t="n"/>
      <c r="X385" s="215">
        <f>IFERROR(X378/X132,"n/a")</f>
        <v>0.258171198442438</v>
      </c>
      <c r="Y385" s="34" t="n"/>
      <c r="Z385" s="34" t="n"/>
      <c r="AA385" s="34" t="n"/>
      <c r="AB385" s="34" t="n"/>
      <c r="AC385" s="215">
        <f>IFERROR(AC378/AC132,"n/a")</f>
        <v>0.262717121588089</v>
      </c>
      <c r="AD385" s="34" t="n"/>
      <c r="AE385" s="34" t="n"/>
      <c r="AF385" s="34" t="n"/>
      <c r="AG385" s="34" t="n"/>
      <c r="AH385" s="215">
        <f>IFERROR(AH378/AH132,"n/a")</f>
        <v>0.260538541337784</v>
      </c>
      <c r="AI385" s="34" t="n"/>
      <c r="AJ385" s="34" t="n"/>
      <c r="AK385" s="34" t="n"/>
      <c r="AL385" s="34" t="n"/>
      <c r="AM385" s="215">
        <f>IFERROR(AM378/AM132,"n/a")</f>
        <v>0.229441817291458</v>
      </c>
      <c r="AN385" s="34" t="n"/>
      <c r="AO385" s="34" t="n"/>
      <c r="AP385" s="34" t="n"/>
      <c r="AQ385" s="34" t="n"/>
      <c r="AR385" s="215">
        <f>IFERROR(AR378/AR132,"n/a")</f>
        <v>0.221973717540792</v>
      </c>
      <c r="AS385" s="34" t="n"/>
      <c r="AT385" s="34" t="n"/>
      <c r="AU385" s="34" t="n"/>
      <c r="AV385" s="34" t="n"/>
      <c r="AW385" s="215">
        <f>IFERROR(AW378/AW132,"n/a")</f>
        <v>0.225851517857632</v>
      </c>
      <c r="AX385" s="34" t="n"/>
      <c r="AY385" s="34" t="n"/>
      <c r="AZ385" s="34" t="n"/>
      <c r="BA385" s="34" t="n"/>
      <c r="BB385" s="215">
        <f>IFERROR(BB378/BB132,"n/a")</f>
        <v>0.305522886852432</v>
      </c>
      <c r="BC385" s="34" t="n"/>
      <c r="BD385" s="34" t="n"/>
      <c r="BE385" s="34" t="n"/>
      <c r="BF385" s="34" t="n"/>
      <c r="BG385" s="215">
        <f>IFERROR(BG378/BG132,"n/a")</f>
        <v>0.26461270842467</v>
      </c>
      <c r="BH385" s="34" t="n"/>
      <c r="BI385" s="34" t="n"/>
      <c r="BJ385" s="34" t="n"/>
      <c r="BK385" s="34" t="n"/>
      <c r="BL385" s="215">
        <f>IFERROR(BL378/BL132,"n/a")</f>
        <v>0.28253967221221</v>
      </c>
      <c r="BM385" s="34" t="n"/>
      <c r="BN385" s="34" t="n"/>
      <c r="BO385" s="34" t="n"/>
      <c r="BP385" s="34" t="n"/>
      <c r="BQ385" s="215">
        <f>IFERROR(BQ378/BQ132,"n/a")</f>
        <v>0.323143381197538</v>
      </c>
      <c r="BR385" s="34" t="n"/>
      <c r="BS385" s="34" t="n"/>
      <c r="BT385" s="34" t="n"/>
      <c r="BU385" s="34" t="n"/>
      <c r="BV385" s="215">
        <f>IFERROR(BV378/BV132,"n/a")</f>
        <v>0.328908041982345</v>
      </c>
      <c r="BW385" s="34" t="n"/>
      <c r="BX385" s="34" t="n"/>
      <c r="BY385" s="35" t="n"/>
      <c r="BZ385" s="35" t="n"/>
      <c r="CA385" s="256">
        <f>IFERROR(CA378/CA132,"n/a")</f>
        <v>0.34707490781977</v>
      </c>
      <c r="CB385" s="256">
        <f>IFERROR(CB378/CB132,"n/a")</f>
        <v>0.332789418828486</v>
      </c>
      <c r="CC385" s="256">
        <f>IFERROR(CC378/CC132,"n/a")</f>
        <v>0.316592899650073</v>
      </c>
      <c r="CD385" s="256">
        <f>IFERROR(CD378/CD132,"n/a")</f>
        <v>0.309725151160693</v>
      </c>
      <c r="CE385" s="256">
        <f>IFERROR(CE378/CE132,"n/a")</f>
        <v>0.304254092831353</v>
      </c>
      <c r="CF385" s="19" t="n"/>
    </row>
    <row r="386" ht="15" customHeight="1" s="251">
      <c r="B386" s="25" t="inlineStr">
        <is>
          <t xml:space="preserve">  Capital turnover = Revenues / IC</t>
        </is>
      </c>
      <c r="C386" s="279">
        <f>IFERROR(C132/C381,"n/a")</f>
        <v>2.22601759501738</v>
      </c>
      <c r="D386" s="279">
        <f>IFERROR(D132/D381,"n/a")</f>
        <v>2.23898975790178</v>
      </c>
      <c r="E386" s="279">
        <f>IFERROR(E132/E381,"n/a")</f>
        <v>1.77085409399841</v>
      </c>
      <c r="F386" s="279">
        <f>IFERROR(F132/F381,"n/a")</f>
        <v>2.07634617775277</v>
      </c>
      <c r="G386" s="279">
        <f>IFERROR(G132/G381,"n/a")</f>
        <v>2.06369650900901</v>
      </c>
      <c r="H386" s="279">
        <f>IFERROR(H132/H381,"n/a")</f>
        <v>2.23852831748656</v>
      </c>
      <c r="I386" s="279">
        <f>IFERROR(I132/I381,"n/a")</f>
        <v>1.81169886261058</v>
      </c>
      <c r="J386" s="34" t="n"/>
      <c r="K386" s="34" t="n"/>
      <c r="L386" s="34" t="n"/>
      <c r="M386" s="34" t="n"/>
      <c r="N386" s="279">
        <f>IFERROR(N132/N381,"n/a")</f>
        <v>2.0200911700152</v>
      </c>
      <c r="O386" s="34" t="n"/>
      <c r="P386" s="34" t="n"/>
      <c r="Q386" s="34" t="n"/>
      <c r="R386" s="34" t="n"/>
      <c r="S386" s="279">
        <f>IFERROR(S132/S381,"n/a")</f>
        <v>1.64887079044669</v>
      </c>
      <c r="T386" s="34" t="n"/>
      <c r="U386" s="34" t="n"/>
      <c r="V386" s="34" t="n"/>
      <c r="W386" s="34" t="n"/>
      <c r="X386" s="279">
        <f>IFERROR(X132/X381,"n/a")</f>
        <v>1.58532408777642</v>
      </c>
      <c r="Y386" s="34" t="n"/>
      <c r="Z386" s="34" t="n"/>
      <c r="AA386" s="34" t="n"/>
      <c r="AB386" s="34" t="n"/>
      <c r="AC386" s="279">
        <f>IFERROR(AC132/AC381,"n/a")</f>
        <v>1.77840819542947</v>
      </c>
      <c r="AD386" s="34" t="n"/>
      <c r="AE386" s="34" t="n"/>
      <c r="AF386" s="34" t="n"/>
      <c r="AG386" s="34" t="n"/>
      <c r="AH386" s="279">
        <f>IFERROR(AH132/AH381,"n/a")</f>
        <v>2.37067214131434</v>
      </c>
      <c r="AI386" s="34" t="n"/>
      <c r="AJ386" s="34" t="n"/>
      <c r="AK386" s="34" t="n"/>
      <c r="AL386" s="34" t="n"/>
      <c r="AM386" s="279">
        <f>IFERROR(AM132/AM381,"n/a")</f>
        <v>2.33563222315164</v>
      </c>
      <c r="AN386" s="34" t="n"/>
      <c r="AO386" s="34" t="n"/>
      <c r="AP386" s="34" t="n"/>
      <c r="AQ386" s="34" t="n"/>
      <c r="AR386" s="279">
        <f>IFERROR(AR132/AR381,"n/a")</f>
        <v>2.22799289716024</v>
      </c>
      <c r="AS386" s="34" t="n"/>
      <c r="AT386" s="34" t="n"/>
      <c r="AU386" s="34" t="n"/>
      <c r="AV386" s="34" t="n"/>
      <c r="AW386" s="279">
        <f>IFERROR(AW132/AW381,"n/a")</f>
        <v>2.27936511900897</v>
      </c>
      <c r="AX386" s="34" t="n"/>
      <c r="AY386" s="34" t="n"/>
      <c r="AZ386" s="34" t="n"/>
      <c r="BA386" s="34" t="n"/>
      <c r="BB386" s="279">
        <f>IFERROR(BB132/BB381,"n/a")</f>
        <v>2.6491146893701</v>
      </c>
      <c r="BC386" s="34" t="n"/>
      <c r="BD386" s="34" t="n"/>
      <c r="BE386" s="34" t="n"/>
      <c r="BF386" s="34" t="n"/>
      <c r="BG386" s="279">
        <f>IFERROR(BG132/BG381,"n/a")</f>
        <v>2.2342504601433</v>
      </c>
      <c r="BH386" s="34" t="n"/>
      <c r="BI386" s="34" t="n"/>
      <c r="BJ386" s="34" t="n"/>
      <c r="BK386" s="34" t="n"/>
      <c r="BL386" s="279">
        <f>IFERROR(BL132/BL381,"n/a")</f>
        <v>1.97416959950677</v>
      </c>
      <c r="BM386" s="34" t="n"/>
      <c r="BN386" s="34" t="n"/>
      <c r="BO386" s="34" t="n"/>
      <c r="BP386" s="34" t="n"/>
      <c r="BQ386" s="279">
        <f>IFERROR(BQ132/BQ381,"n/a")</f>
        <v>1.70219864122902</v>
      </c>
      <c r="BR386" s="34" t="n"/>
      <c r="BS386" s="34" t="n"/>
      <c r="BT386" s="34" t="n"/>
      <c r="BU386" s="34" t="n"/>
      <c r="BV386" s="279">
        <f>IFERROR(BV132/BV381,"n/a")</f>
        <v>1.50156181274648</v>
      </c>
      <c r="BW386" s="34" t="n"/>
      <c r="BX386" s="34" t="n"/>
      <c r="BY386" s="35" t="n"/>
      <c r="BZ386" s="35" t="n"/>
      <c r="CA386" s="280">
        <f>IFERROR(CA132/CA381,"n/a")</f>
        <v>1.0677001547145</v>
      </c>
      <c r="CB386" s="280">
        <f>IFERROR(CB132/CB381,"n/a")</f>
        <v>0.880680989711296</v>
      </c>
      <c r="CC386" s="280">
        <f>IFERROR(CC132/CC381,"n/a")</f>
        <v>0.778453337891248</v>
      </c>
      <c r="CD386" s="280">
        <f>IFERROR(CD132/CD381,"n/a")</f>
        <v>0.720273918202763</v>
      </c>
      <c r="CE386" s="280">
        <f>IFERROR(CE132/CE381,"n/a")</f>
        <v>0.682722164709636</v>
      </c>
      <c r="CF386" s="19" t="n"/>
    </row>
    <row r="387" ht="15" customHeight="1" s="251">
      <c r="B387" s="25" t="inlineStr">
        <is>
          <t xml:space="preserve">  Tax burden = (1 − tax rate)</t>
        </is>
      </c>
      <c r="C387" s="215">
        <f>IFERROR(1-C379,"n/a")</f>
        <v>0.767243906817185</v>
      </c>
      <c r="D387" s="215">
        <f>IFERROR(1-D379,"n/a")</f>
        <v>0.740876774327721</v>
      </c>
      <c r="E387" s="215">
        <f>IFERROR(1-E379,"n/a")</f>
        <v>0.722095956058464</v>
      </c>
      <c r="F387" s="215">
        <f>IFERROR(1-F379,"n/a")</f>
        <v>0.777986035155633</v>
      </c>
      <c r="G387" s="215">
        <f>IFERROR(1-G379,"n/a")</f>
        <v>0.787791774731382</v>
      </c>
      <c r="H387" s="215">
        <f>IFERROR(1-H379,"n/a")</f>
        <v>0.789956190167126</v>
      </c>
      <c r="I387" s="215">
        <f>IFERROR(1-I379,"n/a")</f>
        <v>0.805916629314209</v>
      </c>
      <c r="J387" s="34" t="n"/>
      <c r="K387" s="34" t="n"/>
      <c r="L387" s="34" t="n"/>
      <c r="M387" s="34" t="n"/>
      <c r="N387" s="215">
        <f>IFERROR(1-N379,"n/a")</f>
        <v>0.842577262693157</v>
      </c>
      <c r="O387" s="34" t="n"/>
      <c r="P387" s="34" t="n"/>
      <c r="Q387" s="34" t="n"/>
      <c r="R387" s="34" t="n"/>
      <c r="S387" s="215">
        <f>IFERROR(1-S379,"n/a")</f>
        <v>0.806999246769801</v>
      </c>
      <c r="T387" s="34" t="n"/>
      <c r="U387" s="34" t="n"/>
      <c r="V387" s="34" t="n"/>
      <c r="W387" s="34" t="n"/>
      <c r="X387" s="215">
        <f>IFERROR(1-X379,"n/a")</f>
        <v>0.831916950791308</v>
      </c>
      <c r="Y387" s="34" t="n"/>
      <c r="Z387" s="34" t="n"/>
      <c r="AA387" s="34" t="n"/>
      <c r="AB387" s="34" t="n"/>
      <c r="AC387" s="215">
        <f>IFERROR(1-AC379,"n/a")</f>
        <v>0.806542443064182</v>
      </c>
      <c r="AD387" s="34" t="n"/>
      <c r="AE387" s="34" t="n"/>
      <c r="AF387" s="34" t="n"/>
      <c r="AG387" s="34" t="n"/>
      <c r="AH387" s="215">
        <f>IFERROR(1-AH379,"n/a")</f>
        <v>0.82</v>
      </c>
      <c r="AI387" s="34" t="n"/>
      <c r="AJ387" s="34" t="n"/>
      <c r="AK387" s="34" t="n"/>
      <c r="AL387" s="34" t="n"/>
      <c r="AM387" s="215">
        <f>IFERROR(1-AM379,"n/a")</f>
        <v>0.880359751382007</v>
      </c>
      <c r="AN387" s="34" t="n"/>
      <c r="AO387" s="34" t="n"/>
      <c r="AP387" s="34" t="n"/>
      <c r="AQ387" s="34" t="n"/>
      <c r="AR387" s="215">
        <f>IFERROR(1-AR379,"n/a")</f>
        <v>0.866700315457413</v>
      </c>
      <c r="AS387" s="34" t="n"/>
      <c r="AT387" s="34" t="n"/>
      <c r="AU387" s="34" t="n"/>
      <c r="AV387" s="34" t="n"/>
      <c r="AW387" s="215">
        <f>IFERROR(1-AW379,"n/a")</f>
        <v>0.837506759286219</v>
      </c>
      <c r="AX387" s="34" t="n"/>
      <c r="AY387" s="34" t="n"/>
      <c r="AZ387" s="34" t="n"/>
      <c r="BA387" s="34" t="n"/>
      <c r="BB387" s="215">
        <f>IFERROR(1-BB379,"n/a")</f>
        <v>0.837976943593361</v>
      </c>
      <c r="BC387" s="34" t="n"/>
      <c r="BD387" s="34" t="n"/>
      <c r="BE387" s="34" t="n"/>
      <c r="BF387" s="34" t="n"/>
      <c r="BG387" s="215">
        <f>IFERROR(1-BG379,"n/a")</f>
        <v>0.840791834903544</v>
      </c>
      <c r="BH387" s="34" t="n"/>
      <c r="BI387" s="34" t="n"/>
      <c r="BJ387" s="34" t="n"/>
      <c r="BK387" s="34" t="n"/>
      <c r="BL387" s="215">
        <f>IFERROR(1-BL379,"n/a")</f>
        <v>0.860914404377195</v>
      </c>
      <c r="BM387" s="34" t="n"/>
      <c r="BN387" s="34" t="n"/>
      <c r="BO387" s="34" t="n"/>
      <c r="BP387" s="34" t="n"/>
      <c r="BQ387" s="215">
        <f>IFERROR(1-BQ379,"n/a")</f>
        <v>0.83560489087343</v>
      </c>
      <c r="BR387" s="34" t="n"/>
      <c r="BS387" s="34" t="n"/>
      <c r="BT387" s="34" t="n"/>
      <c r="BU387" s="34" t="n"/>
      <c r="BV387" s="215">
        <f>IFERROR(1-BV379,"n/a")</f>
        <v>0.832168536637578</v>
      </c>
      <c r="BW387" s="34" t="n"/>
      <c r="BX387" s="34" t="n"/>
      <c r="BY387" s="35" t="n"/>
      <c r="BZ387" s="35" t="n"/>
      <c r="CA387" s="256">
        <f>IFERROR(1-CA379,"n/a")</f>
        <v>0.811994874069416</v>
      </c>
      <c r="CB387" s="256">
        <f>IFERROR(1-CB379,"n/a")</f>
        <v>0.825</v>
      </c>
      <c r="CC387" s="256">
        <f>IFERROR(1-CC379,"n/a")</f>
        <v>0.825</v>
      </c>
      <c r="CD387" s="256">
        <f>IFERROR(1-CD379,"n/a")</f>
        <v>0.825</v>
      </c>
      <c r="CE387" s="256">
        <f>IFERROR(1-CE379,"n/a")</f>
        <v>0.825</v>
      </c>
      <c r="CF387" s="19" t="n"/>
    </row>
    <row r="388" ht="15" customHeight="1" s="251">
      <c r="B388" s="25" t="inlineStr">
        <is>
          <t xml:space="preserve">  Check: Margin × Turnover × Tax burden = ROIC</t>
        </is>
      </c>
      <c r="C388" s="215">
        <f>IFERROR(C385*C386*C387,"n/a")</f>
        <v>0.571719007048876</v>
      </c>
      <c r="D388" s="215">
        <f>IFERROR(D385*D386*D387,"n/a")</f>
        <v>0.50826134100297</v>
      </c>
      <c r="E388" s="215">
        <f>IFERROR(E385*E386*E387,"n/a")</f>
        <v>0.38909204118914</v>
      </c>
      <c r="F388" s="215">
        <f>IFERROR(F385*F386*F387,"n/a")</f>
        <v>0.567734561800086</v>
      </c>
      <c r="G388" s="215">
        <f>IFERROR(G385*G386*G387,"n/a")</f>
        <v>0.575595890588857</v>
      </c>
      <c r="H388" s="215">
        <f>IFERROR(H385*H386*H387,"n/a")</f>
        <v>0.547786309864903</v>
      </c>
      <c r="I388" s="215">
        <f>IFERROR(I385*I386*I387,"n/a")</f>
        <v>0.371312373715447</v>
      </c>
      <c r="J388" s="34" t="n"/>
      <c r="K388" s="34" t="n"/>
      <c r="L388" s="34" t="n"/>
      <c r="M388" s="34" t="n"/>
      <c r="N388" s="215">
        <f>IFERROR(N385*N386*N387,"n/a")</f>
        <v>0.397347089338937</v>
      </c>
      <c r="O388" s="34" t="n"/>
      <c r="P388" s="34" t="n"/>
      <c r="Q388" s="34" t="n"/>
      <c r="R388" s="34" t="n"/>
      <c r="S388" s="215">
        <f>IFERROR(S385*S386*S387,"n/a")</f>
        <v>0.332573687786416</v>
      </c>
      <c r="T388" s="34" t="n"/>
      <c r="U388" s="34" t="n"/>
      <c r="V388" s="34" t="n"/>
      <c r="W388" s="34" t="n"/>
      <c r="X388" s="215">
        <f>IFERROR(X385*X386*X387,"n/a")</f>
        <v>0.340491145560859</v>
      </c>
      <c r="Y388" s="34" t="n"/>
      <c r="Z388" s="34" t="n"/>
      <c r="AA388" s="34" t="n"/>
      <c r="AB388" s="34" t="n"/>
      <c r="AC388" s="215">
        <f>IFERROR(AC385*AC386*AC387,"n/a")</f>
        <v>0.376831374698781</v>
      </c>
      <c r="AD388" s="34" t="n"/>
      <c r="AE388" s="34" t="n"/>
      <c r="AF388" s="34" t="n"/>
      <c r="AG388" s="34" t="n"/>
      <c r="AH388" s="215">
        <f>IFERROR(AH385*AH386*AH387,"n/a")</f>
        <v>0.50647419858429</v>
      </c>
      <c r="AI388" s="34" t="n"/>
      <c r="AJ388" s="34" t="n"/>
      <c r="AK388" s="34" t="n"/>
      <c r="AL388" s="34" t="n"/>
      <c r="AM388" s="215">
        <f>IFERROR(AM385*AM386*AM387,"n/a")</f>
        <v>0.471777485368203</v>
      </c>
      <c r="AN388" s="34" t="n"/>
      <c r="AO388" s="34" t="n"/>
      <c r="AP388" s="34" t="n"/>
      <c r="AQ388" s="34" t="n"/>
      <c r="AR388" s="215">
        <f>IFERROR(AR385*AR386*AR387,"n/a")</f>
        <v>0.428631725105702</v>
      </c>
      <c r="AS388" s="34" t="n"/>
      <c r="AT388" s="34" t="n"/>
      <c r="AU388" s="34" t="n"/>
      <c r="AV388" s="34" t="n"/>
      <c r="AW388" s="215">
        <f>IFERROR(AW385*AW386*AW387,"n/a")</f>
        <v>0.431146864866944</v>
      </c>
      <c r="AX388" s="34" t="n"/>
      <c r="AY388" s="34" t="n"/>
      <c r="AZ388" s="34" t="n"/>
      <c r="BA388" s="34" t="n"/>
      <c r="BB388" s="215">
        <f>IFERROR(BB385*BB386*BB387,"n/a")</f>
        <v>0.678229349312191</v>
      </c>
      <c r="BC388" s="34" t="n"/>
      <c r="BD388" s="34" t="n"/>
      <c r="BE388" s="34" t="n"/>
      <c r="BF388" s="34" t="n"/>
      <c r="BG388" s="215">
        <f>IFERROR(BG385*BG386*BG387,"n/a")</f>
        <v>0.49708543662544</v>
      </c>
      <c r="BH388" s="34" t="n"/>
      <c r="BI388" s="34" t="n"/>
      <c r="BJ388" s="34" t="n"/>
      <c r="BK388" s="34" t="n"/>
      <c r="BL388" s="215">
        <f>IFERROR(BL385*BL386*BL387,"n/a")</f>
        <v>0.480201896720552</v>
      </c>
      <c r="BM388" s="34" t="n"/>
      <c r="BN388" s="34" t="n"/>
      <c r="BO388" s="34" t="n"/>
      <c r="BP388" s="34" t="n"/>
      <c r="BQ388" s="215">
        <f>IFERROR(BQ385*BQ386*BQ387,"n/a")</f>
        <v>0.459628000151392</v>
      </c>
      <c r="BR388" s="34" t="n"/>
      <c r="BS388" s="34" t="n"/>
      <c r="BT388" s="34" t="n"/>
      <c r="BU388" s="34" t="n"/>
      <c r="BV388" s="215">
        <f>IFERROR(BV385*BV386*BV387,"n/a")</f>
        <v>0.410987864939848</v>
      </c>
      <c r="BW388" s="34" t="n"/>
      <c r="BX388" s="34" t="n"/>
      <c r="BY388" s="35" t="n"/>
      <c r="BZ388" s="35" t="n"/>
      <c r="CA388" s="256">
        <f>IFERROR(CA385*CA386*CA387,"n/a")</f>
        <v>0.300902509888669</v>
      </c>
      <c r="CB388" s="256">
        <f>IFERROR(CB385*CB386*CB387,"n/a")</f>
        <v>0.241792084659937</v>
      </c>
      <c r="CC388" s="256">
        <f>IFERROR(CC385*CC386*CC387,"n/a")</f>
        <v>0.203323559575346</v>
      </c>
      <c r="CD388" s="256">
        <f>IFERROR(CD385*CD386*CD387,"n/a")</f>
        <v>0.184046732258776</v>
      </c>
      <c r="CE388" s="256">
        <f>IFERROR(CE385*CE386*CE387,"n/a")</f>
        <v>0.17136983562566</v>
      </c>
      <c r="CF388" s="19" t="n"/>
    </row>
    <row r="389" ht="15" customHeight="1" s="251">
      <c r="B389" s="25" t="inlineStr">
        <is>
          <t>RONTA decomposition</t>
        </is>
      </c>
      <c r="CF389" s="153" t="n"/>
    </row>
    <row r="390" ht="15" customHeight="1" s="251">
      <c r="B390" s="25" t="inlineStr">
        <is>
          <t>NOPAT = Adjusted EBIT × (1 − tax rate)</t>
        </is>
      </c>
      <c r="C390" s="211">
        <f>C380</f>
        <v>2723.71280022538</v>
      </c>
      <c r="D390" s="211">
        <f>D380</f>
        <v>3766.91387139186</v>
      </c>
      <c r="E390" s="211">
        <f>E380</f>
        <v>4788.91799560509</v>
      </c>
      <c r="F390" s="211">
        <f>F380</f>
        <v>6466.76462961616</v>
      </c>
      <c r="G390" s="211">
        <f>G380</f>
        <v>8178.06641348648</v>
      </c>
      <c r="H390" s="211">
        <f>H380</f>
        <v>9275.6655849424</v>
      </c>
      <c r="I390" s="211">
        <f>I380</f>
        <v>10283.4961900493</v>
      </c>
      <c r="J390" s="34" t="n"/>
      <c r="K390" s="34" t="n"/>
      <c r="L390" s="34" t="n"/>
      <c r="M390" s="34" t="n"/>
      <c r="N390" s="211">
        <f>N380</f>
        <v>11767.4340507726</v>
      </c>
      <c r="O390" s="34" t="n"/>
      <c r="P390" s="34" t="n"/>
      <c r="Q390" s="34" t="n"/>
      <c r="R390" s="34" t="n"/>
      <c r="S390" s="211">
        <f>S380</f>
        <v>13312.2595747146</v>
      </c>
      <c r="T390" s="34" t="n"/>
      <c r="U390" s="34" t="n"/>
      <c r="V390" s="34" t="n"/>
      <c r="W390" s="34" t="n"/>
      <c r="X390" s="211">
        <f>X380</f>
        <v>16105.9121673197</v>
      </c>
      <c r="Y390" s="34" t="n"/>
      <c r="Z390" s="34" t="n"/>
      <c r="AA390" s="34" t="n"/>
      <c r="AB390" s="34" t="n"/>
      <c r="AC390" s="211">
        <f>AC380</f>
        <v>19127.9605797101</v>
      </c>
      <c r="AD390" s="34" t="n"/>
      <c r="AE390" s="34" t="n"/>
      <c r="AF390" s="34" t="n"/>
      <c r="AG390" s="34" t="n"/>
      <c r="AH390" s="211">
        <f>AH380</f>
        <v>23683.24</v>
      </c>
      <c r="AI390" s="34" t="n"/>
      <c r="AJ390" s="34" t="n"/>
      <c r="AK390" s="34" t="n"/>
      <c r="AL390" s="34" t="n"/>
      <c r="AM390" s="211">
        <f>AM380</f>
        <v>27636.253315384</v>
      </c>
      <c r="AN390" s="34" t="n"/>
      <c r="AO390" s="34" t="n"/>
      <c r="AP390" s="34" t="n"/>
      <c r="AQ390" s="34" t="n"/>
      <c r="AR390" s="211">
        <f>AR380</f>
        <v>31138.8089337539</v>
      </c>
      <c r="AS390" s="34" t="n"/>
      <c r="AT390" s="34" t="n"/>
      <c r="AU390" s="34" t="n"/>
      <c r="AV390" s="34" t="n"/>
      <c r="AW390" s="211">
        <f>AW380</f>
        <v>34525.3786448151</v>
      </c>
      <c r="AX390" s="34" t="n"/>
      <c r="AY390" s="34" t="n"/>
      <c r="AZ390" s="34" t="n"/>
      <c r="BA390" s="34" t="n"/>
      <c r="BB390" s="211">
        <f>BB380</f>
        <v>65960.5171380078</v>
      </c>
      <c r="BC390" s="34" t="n"/>
      <c r="BD390" s="34" t="n"/>
      <c r="BE390" s="34" t="n"/>
      <c r="BF390" s="34" t="n"/>
      <c r="BG390" s="211">
        <f>BG380</f>
        <v>62926.5425078511</v>
      </c>
      <c r="BH390" s="34" t="n"/>
      <c r="BI390" s="34" t="n"/>
      <c r="BJ390" s="34" t="n"/>
      <c r="BK390" s="34" t="n"/>
      <c r="BL390" s="211">
        <f>BL380</f>
        <v>74771.2769345637</v>
      </c>
      <c r="BM390" s="34" t="n"/>
      <c r="BN390" s="34" t="n"/>
      <c r="BO390" s="34" t="n"/>
      <c r="BP390" s="34" t="n"/>
      <c r="BQ390" s="211">
        <f>BQ380</f>
        <v>94511.9267871302</v>
      </c>
      <c r="BR390" s="34" t="n"/>
      <c r="BS390" s="34" t="n"/>
      <c r="BT390" s="34" t="n"/>
      <c r="BU390" s="34" t="n"/>
      <c r="BV390" s="211">
        <f>BV380</f>
        <v>110259.002430333</v>
      </c>
      <c r="BW390" s="34" t="n"/>
      <c r="BX390" s="34" t="n"/>
      <c r="BY390" s="35" t="n"/>
      <c r="BZ390" s="35" t="n"/>
      <c r="CA390" s="254">
        <f>CA380</f>
        <v>140425.44527459</v>
      </c>
      <c r="CB390" s="254">
        <f>CB380</f>
        <v>160580.673070069</v>
      </c>
      <c r="CC390" s="254">
        <f>CC380</f>
        <v>175248.05116566</v>
      </c>
      <c r="CD390" s="254">
        <f>CD380</f>
        <v>193689.06266729</v>
      </c>
      <c r="CE390" s="254">
        <f>CE380</f>
        <v>211791.566257747</v>
      </c>
      <c r="CF390" s="19" t="n"/>
    </row>
    <row r="391" ht="15" customHeight="1" s="251">
      <c r="B391" s="25" t="inlineStr">
        <is>
          <t xml:space="preserve">  Total assets</t>
        </is>
      </c>
      <c r="C391" s="211">
        <f>C312</f>
        <v>18473.351</v>
      </c>
      <c r="D391" s="211">
        <f>D312</f>
        <v>25335.806</v>
      </c>
      <c r="E391" s="211">
        <f>E312</f>
        <v>31767.575</v>
      </c>
      <c r="F391" s="211">
        <f>F312</f>
        <v>40496.778</v>
      </c>
      <c r="G391" s="211">
        <f>G312</f>
        <v>57851</v>
      </c>
      <c r="H391" s="211">
        <f>H312</f>
        <v>72574</v>
      </c>
      <c r="I391" s="211">
        <f>I312</f>
        <v>93798</v>
      </c>
      <c r="J391" s="34" t="n"/>
      <c r="K391" s="34" t="n"/>
      <c r="L391" s="34" t="n"/>
      <c r="M391" s="34" t="n"/>
      <c r="N391" s="211">
        <f>N312</f>
        <v>110920</v>
      </c>
      <c r="O391" s="34" t="n"/>
      <c r="P391" s="34" t="n"/>
      <c r="Q391" s="34" t="n"/>
      <c r="R391" s="34" t="n"/>
      <c r="S391" s="211">
        <f>S312</f>
        <v>131133</v>
      </c>
      <c r="T391" s="34" t="n"/>
      <c r="U391" s="34" t="n"/>
      <c r="V391" s="34" t="n"/>
      <c r="W391" s="34" t="n"/>
      <c r="X391" s="211">
        <f>X312</f>
        <v>147461</v>
      </c>
      <c r="Y391" s="34" t="n"/>
      <c r="Z391" s="34" t="n"/>
      <c r="AA391" s="34" t="n"/>
      <c r="AB391" s="34" t="n"/>
      <c r="AC391" s="211">
        <f>AC312</f>
        <v>167497</v>
      </c>
      <c r="AD391" s="34" t="n"/>
      <c r="AE391" s="34" t="n"/>
      <c r="AF391" s="34" t="n"/>
      <c r="AG391" s="34" t="n"/>
      <c r="AH391" s="211">
        <f>AH312</f>
        <v>197295</v>
      </c>
      <c r="AI391" s="34" t="n"/>
      <c r="AJ391" s="34" t="n"/>
      <c r="AK391" s="34" t="n"/>
      <c r="AL391" s="34" t="n"/>
      <c r="AM391" s="211">
        <f>AM312</f>
        <v>232792</v>
      </c>
      <c r="AN391" s="34" t="n"/>
      <c r="AO391" s="34" t="n"/>
      <c r="AP391" s="34" t="n"/>
      <c r="AQ391" s="34" t="n"/>
      <c r="AR391" s="211">
        <f>AR312</f>
        <v>275909</v>
      </c>
      <c r="AS391" s="34" t="n"/>
      <c r="AT391" s="34" t="n"/>
      <c r="AU391" s="34" t="n"/>
      <c r="AV391" s="34" t="n"/>
      <c r="AW391" s="211">
        <f>AW312</f>
        <v>319616</v>
      </c>
      <c r="AX391" s="34" t="n"/>
      <c r="AY391" s="34" t="n"/>
      <c r="AZ391" s="34" t="n"/>
      <c r="BA391" s="34" t="n"/>
      <c r="BB391" s="211">
        <f>BB312</f>
        <v>359268</v>
      </c>
      <c r="BC391" s="34" t="n"/>
      <c r="BD391" s="34" t="n"/>
      <c r="BE391" s="34" t="n"/>
      <c r="BF391" s="34" t="n"/>
      <c r="BG391" s="211">
        <f>BG312</f>
        <v>365264</v>
      </c>
      <c r="BH391" s="34" t="n"/>
      <c r="BI391" s="34" t="n"/>
      <c r="BJ391" s="34" t="n"/>
      <c r="BK391" s="34" t="n"/>
      <c r="BL391" s="211">
        <f>BL312</f>
        <v>402392</v>
      </c>
      <c r="BM391" s="34" t="n"/>
      <c r="BN391" s="34" t="n"/>
      <c r="BO391" s="34" t="n"/>
      <c r="BP391" s="34" t="n"/>
      <c r="BQ391" s="211">
        <f>BQ312</f>
        <v>450256</v>
      </c>
      <c r="BR391" s="34" t="n"/>
      <c r="BS391" s="34" t="n"/>
      <c r="BT391" s="34" t="n"/>
      <c r="BU391" s="34" t="n"/>
      <c r="BV391" s="211">
        <f>BV312</f>
        <v>595281</v>
      </c>
      <c r="BW391" s="34" t="n"/>
      <c r="BX391" s="34" t="n"/>
      <c r="BY391" s="35" t="n"/>
      <c r="BZ391" s="35" t="n"/>
      <c r="CA391" s="254">
        <f>CA312</f>
        <v>1007658.62201995</v>
      </c>
      <c r="CB391" s="254">
        <f>CB312</f>
        <v>1170897.24429737</v>
      </c>
      <c r="CC391" s="254">
        <f>CC312</f>
        <v>1372713.5549129</v>
      </c>
      <c r="CD391" s="254">
        <f>CD312</f>
        <v>1594271.54048213</v>
      </c>
      <c r="CE391" s="254">
        <f>CE312</f>
        <v>1835937.44300621</v>
      </c>
      <c r="CF391" s="19" t="n"/>
    </row>
    <row r="392" ht="15" customHeight="1" s="251">
      <c r="B392" s="25" t="inlineStr">
        <is>
          <t xml:space="preserve">  − Goodwill, cash, marketable &amp; non-marketable securities</t>
        </is>
      </c>
      <c r="C392" s="211">
        <f>IFERROR(-(C310+C303+C304+C308),"n/a")</f>
        <v>-13820.883</v>
      </c>
      <c r="D392" s="211">
        <f>IFERROR(-(D310+D303+D304+D308),"n/a")</f>
        <v>-17577.675</v>
      </c>
      <c r="E392" s="211">
        <f>IFERROR(-(E310+E303+E304+E308),"n/a")</f>
        <v>-20770.785</v>
      </c>
      <c r="F392" s="211">
        <f>IFERROR(-(F310+F303+F304+F308),"n/a")</f>
        <v>-29516.317</v>
      </c>
      <c r="G392" s="211">
        <f>IFERROR(-(G310+G303+G304+G308),"n/a")</f>
        <v>-41754</v>
      </c>
      <c r="H392" s="211">
        <f>IFERROR(-(H310+H303+H304+H308),"n/a")</f>
        <v>-52762</v>
      </c>
      <c r="I392" s="211">
        <f>IFERROR(-(I310+I303+I304+I308),"n/a")</f>
        <v>-60094</v>
      </c>
      <c r="J392" s="34" t="n"/>
      <c r="K392" s="34" t="n"/>
      <c r="L392" s="34" t="n"/>
      <c r="M392" s="34" t="n"/>
      <c r="N392" s="211">
        <f>IFERROR(-(N310+N303+N304+N308),"n/a")</f>
        <v>-72185</v>
      </c>
      <c r="O392" s="34" t="n"/>
      <c r="P392" s="34" t="n"/>
      <c r="Q392" s="34" t="n"/>
      <c r="R392" s="34" t="n"/>
      <c r="S392" s="211">
        <f>IFERROR(-(S310+S303+S304+S308),"n/a")</f>
        <v>-83073</v>
      </c>
      <c r="T392" s="34" t="n"/>
      <c r="U392" s="34" t="n"/>
      <c r="V392" s="34" t="n"/>
      <c r="W392" s="34" t="n"/>
      <c r="X392" s="211">
        <f>IFERROR(-(X310+X303+X304+X308),"n/a")</f>
        <v>-94118</v>
      </c>
      <c r="Y392" s="34" t="n"/>
      <c r="Z392" s="34" t="n"/>
      <c r="AA392" s="34" t="n"/>
      <c r="AB392" s="34" t="n"/>
      <c r="AC392" s="211">
        <f>IFERROR(-(AC310+AC303+AC304+AC308),"n/a")</f>
        <v>-108679</v>
      </c>
      <c r="AD392" s="34" t="n"/>
      <c r="AE392" s="34" t="n"/>
      <c r="AF392" s="34" t="n"/>
      <c r="AG392" s="34" t="n"/>
      <c r="AH392" s="211">
        <f>IFERROR(-(AH310+AH303+AH304+AH308),"n/a")</f>
        <v>-126431</v>
      </c>
      <c r="AI392" s="34" t="n"/>
      <c r="AJ392" s="34" t="n"/>
      <c r="AK392" s="34" t="n"/>
      <c r="AL392" s="34" t="n"/>
      <c r="AM392" s="211">
        <f>IFERROR(-(AM310+AM303+AM304+AM308),"n/a")</f>
        <v>-140887</v>
      </c>
      <c r="AN392" s="34" t="n"/>
      <c r="AO392" s="34" t="n"/>
      <c r="AP392" s="34" t="n"/>
      <c r="AQ392" s="34" t="n"/>
      <c r="AR392" s="211">
        <f>IFERROR(-(AR310+AR303+AR304+AR308),"n/a")</f>
        <v>-153377</v>
      </c>
      <c r="AS392" s="34" t="n"/>
      <c r="AT392" s="34" t="n"/>
      <c r="AU392" s="34" t="n"/>
      <c r="AV392" s="34" t="n"/>
      <c r="AW392" s="211">
        <f>IFERROR(-(AW310+AW303+AW304+AW308),"n/a")</f>
        <v>-178572</v>
      </c>
      <c r="AX392" s="34" t="n"/>
      <c r="AY392" s="34" t="n"/>
      <c r="AZ392" s="34" t="n"/>
      <c r="BA392" s="34" t="n"/>
      <c r="BB392" s="211">
        <f>IFERROR(-(BB310+BB303+BB304+BB308),"n/a")</f>
        <v>-192154</v>
      </c>
      <c r="BC392" s="34" t="n"/>
      <c r="BD392" s="34" t="n"/>
      <c r="BE392" s="34" t="n"/>
      <c r="BF392" s="34" t="n"/>
      <c r="BG392" s="211">
        <f>IFERROR(-(BG310+BG303+BG304+BG308),"n/a")</f>
        <v>-173214</v>
      </c>
      <c r="BH392" s="34" t="n"/>
      <c r="BI392" s="34" t="n"/>
      <c r="BJ392" s="34" t="n"/>
      <c r="BK392" s="34" t="n"/>
      <c r="BL392" s="211">
        <f>IFERROR(-(BL310+BL303+BL304+BL308),"n/a")</f>
        <v>-171122</v>
      </c>
      <c r="BM392" s="34" t="n"/>
      <c r="BN392" s="34" t="n"/>
      <c r="BO392" s="34" t="n"/>
      <c r="BP392" s="34" t="n"/>
      <c r="BQ392" s="211">
        <f>IFERROR(-(BQ310+BQ303+BQ304+BQ308),"n/a")</f>
        <v>-165524</v>
      </c>
      <c r="BR392" s="34" t="n"/>
      <c r="BS392" s="34" t="n"/>
      <c r="BT392" s="34" t="n"/>
      <c r="BU392" s="34" t="n"/>
      <c r="BV392" s="211">
        <f>IFERROR(-(BV310+BV303+BV304+BV308),"n/a")</f>
        <v>-228910</v>
      </c>
      <c r="BW392" s="34" t="n"/>
      <c r="BX392" s="34" t="n"/>
      <c r="BY392" s="35" t="n"/>
      <c r="BZ392" s="35" t="n"/>
      <c r="CA392" s="254">
        <f>IFERROR(-(CA310+CA303+CA304+CA308),"n/a")</f>
        <v>-407958.199141267</v>
      </c>
      <c r="CB392" s="254">
        <f>IFERROR(-(CB310+CB303+CB304+CB308),"n/a")</f>
        <v>-352296.654125393</v>
      </c>
      <c r="CC392" s="254">
        <f>IFERROR(-(CC310+CC303+CC304+CC308),"n/a")</f>
        <v>-338585.770939678</v>
      </c>
      <c r="CD392" s="254">
        <f>IFERROR(-(CD310+CD303+CD304+CD308),"n/a")</f>
        <v>-352319.776772702</v>
      </c>
      <c r="CE392" s="254">
        <f>IFERROR(-(CE310+CE303+CE304+CE308),"n/a")</f>
        <v>-393437.274982261</v>
      </c>
      <c r="CF392" s="19" t="n"/>
    </row>
    <row r="393" ht="15" customHeight="1" s="251">
      <c r="B393" s="25" t="inlineStr">
        <is>
          <t xml:space="preserve">  − Non-interest-bearing current liabilities (total CL excl. short-term debt)</t>
        </is>
      </c>
      <c r="C393" s="211">
        <f>IFERROR(-(C317-N(C315)),"n/a")</f>
        <v>-1304.587</v>
      </c>
      <c r="D393" s="211">
        <f>IFERROR(-(D317-N(D315)),"n/a")</f>
        <v>-2035.602</v>
      </c>
      <c r="E393" s="211">
        <f>IFERROR(-(E317-N(E315)),"n/a")</f>
        <v>-2302.09</v>
      </c>
      <c r="F393" s="211">
        <f>IFERROR(-(F317-N(F315)),"n/a")</f>
        <v>-2747.467</v>
      </c>
      <c r="G393" s="211">
        <f>IFERROR(-(G317-N(G315)),"n/a")</f>
        <v>-6531</v>
      </c>
      <c r="H393" s="211">
        <f>IFERROR(-(H317-N(H315)),"n/a")</f>
        <v>-7695</v>
      </c>
      <c r="I393" s="211">
        <f>IFERROR(-(I317-N(I315)),"n/a")</f>
        <v>-11788</v>
      </c>
      <c r="J393" s="34" t="n"/>
      <c r="K393" s="34" t="n"/>
      <c r="L393" s="34" t="n"/>
      <c r="M393" s="34" t="n"/>
      <c r="N393" s="211">
        <f>IFERROR(-(N317-N(N315)),"n/a")</f>
        <v>-14899</v>
      </c>
      <c r="O393" s="34" t="n"/>
      <c r="P393" s="34" t="n"/>
      <c r="Q393" s="34" t="n"/>
      <c r="R393" s="34" t="n"/>
      <c r="S393" s="211">
        <f>IFERROR(-(S317-N(S315)),"n/a")</f>
        <v>-16795</v>
      </c>
      <c r="T393" s="34" t="n"/>
      <c r="U393" s="34" t="n"/>
      <c r="V393" s="34" t="n"/>
      <c r="W393" s="34" t="n"/>
      <c r="X393" s="211">
        <f>IFERROR(-(X317-N(X315)),"n/a")</f>
        <v>-16085</v>
      </c>
      <c r="Y393" s="34" t="n"/>
      <c r="Z393" s="34" t="n"/>
      <c r="AA393" s="34" t="n"/>
      <c r="AB393" s="34" t="n"/>
      <c r="AC393" s="211">
        <f>IFERROR(-(AC317-N(AC315)),"n/a")</f>
        <v>-16756</v>
      </c>
      <c r="AD393" s="34" t="n"/>
      <c r="AE393" s="34" t="n"/>
      <c r="AF393" s="34" t="n"/>
      <c r="AG393" s="34" t="n"/>
      <c r="AH393" s="211">
        <f>IFERROR(-(AH317-N(AH315)),"n/a")</f>
        <v>-24183</v>
      </c>
      <c r="AI393" s="34" t="n"/>
      <c r="AJ393" s="34" t="n"/>
      <c r="AK393" s="34" t="n"/>
      <c r="AL393" s="34" t="n"/>
      <c r="AM393" s="211">
        <f>IFERROR(-(AM317-N(AM315)),"n/a")</f>
        <v>-34620</v>
      </c>
      <c r="AN393" s="34" t="n"/>
      <c r="AO393" s="34" t="n"/>
      <c r="AP393" s="34" t="n"/>
      <c r="AQ393" s="34" t="n"/>
      <c r="AR393" s="211">
        <f>IFERROR(-(AR317-N(AR315)),"n/a")</f>
        <v>-45221</v>
      </c>
      <c r="AS393" s="34" t="n"/>
      <c r="AT393" s="34" t="n"/>
      <c r="AU393" s="34" t="n"/>
      <c r="AV393" s="34" t="n"/>
      <c r="AW393" s="211">
        <f>IFERROR(-(AW317-N(AW315)),"n/a")</f>
        <v>-55835</v>
      </c>
      <c r="AX393" s="34" t="n"/>
      <c r="AY393" s="34" t="n"/>
      <c r="AZ393" s="34" t="n"/>
      <c r="BA393" s="34" t="n"/>
      <c r="BB393" s="211">
        <f>IFERROR(-(BB317-N(BB315)),"n/a")</f>
        <v>-64254</v>
      </c>
      <c r="BC393" s="34" t="n"/>
      <c r="BD393" s="34" t="n"/>
      <c r="BE393" s="34" t="n"/>
      <c r="BF393" s="34" t="n"/>
      <c r="BG393" s="211">
        <f>IFERROR(-(BG317-N(BG315)),"n/a")</f>
        <v>-69300</v>
      </c>
      <c r="BH393" s="34" t="n"/>
      <c r="BI393" s="34" t="n"/>
      <c r="BJ393" s="34" t="n"/>
      <c r="BK393" s="34" t="n"/>
      <c r="BL393" s="211">
        <f>IFERROR(-(BL317-N(BL315)),"n/a")</f>
        <v>-80814</v>
      </c>
      <c r="BM393" s="34" t="n"/>
      <c r="BN393" s="34" t="n"/>
      <c r="BO393" s="34" t="n"/>
      <c r="BP393" s="34" t="n"/>
      <c r="BQ393" s="211">
        <f>IFERROR(-(BQ317-N(BQ315)),"n/a")</f>
        <v>-85823</v>
      </c>
      <c r="BR393" s="34" t="n"/>
      <c r="BS393" s="34" t="n"/>
      <c r="BT393" s="34" t="n"/>
      <c r="BU393" s="34" t="n"/>
      <c r="BV393" s="211">
        <f>IFERROR(-(BV317-N(BV315)),"n/a")</f>
        <v>-100749</v>
      </c>
      <c r="BW393" s="34" t="n"/>
      <c r="BX393" s="34" t="n"/>
      <c r="BY393" s="35" t="n"/>
      <c r="BZ393" s="35" t="n"/>
      <c r="CA393" s="254">
        <f>IFERROR(-(CA317-N(CA315)),"n/a")</f>
        <v>-133620.552298555</v>
      </c>
      <c r="CB393" s="254">
        <f>IFERROR(-(CB317-N(CB315)),"n/a")</f>
        <v>-158674.502240573</v>
      </c>
      <c r="CC393" s="254">
        <f>IFERROR(-(CC317-N(CC315)),"n/a")</f>
        <v>-180011.69216312</v>
      </c>
      <c r="CD393" s="254">
        <f>IFERROR(-(CD317-N(CD315)),"n/a")</f>
        <v>-200962.100261208</v>
      </c>
      <c r="CE393" s="254">
        <f>IFERROR(-(CE317-N(CE315)),"n/a")</f>
        <v>-221626.922801565</v>
      </c>
      <c r="CF393" s="19" t="n"/>
    </row>
    <row r="394" ht="15" customHeight="1" s="251">
      <c r="B394" s="25" t="inlineStr">
        <is>
          <t xml:space="preserve">  = Net operating tangible assets</t>
        </is>
      </c>
      <c r="C394" s="211">
        <f>IFERROR(SUM(C391:C393),"n/a")</f>
        <v>3347.881</v>
      </c>
      <c r="D394" s="211">
        <f>IFERROR(SUM(D391:D393),"n/a")</f>
        <v>5722.529</v>
      </c>
      <c r="E394" s="211">
        <f>IFERROR(SUM(E391:E393),"n/a")</f>
        <v>8694.7</v>
      </c>
      <c r="F394" s="211">
        <f>IFERROR(SUM(F391:F393),"n/a")</f>
        <v>8232.994</v>
      </c>
      <c r="G394" s="211">
        <f>IFERROR(SUM(G391:G393),"n/a")</f>
        <v>9566</v>
      </c>
      <c r="H394" s="211">
        <f>IFERROR(SUM(H391:H393),"n/a")</f>
        <v>12117</v>
      </c>
      <c r="I394" s="211">
        <f>IFERROR(SUM(I391:I393),"n/a")</f>
        <v>21916</v>
      </c>
      <c r="J394" s="34" t="n"/>
      <c r="K394" s="34" t="n"/>
      <c r="L394" s="34" t="n"/>
      <c r="M394" s="34" t="n"/>
      <c r="N394" s="211">
        <f>IFERROR(SUM(N391:N393),"n/a")</f>
        <v>23836</v>
      </c>
      <c r="O394" s="34" t="n"/>
      <c r="P394" s="34" t="n"/>
      <c r="Q394" s="34" t="n"/>
      <c r="R394" s="34" t="n"/>
      <c r="S394" s="211">
        <f>IFERROR(SUM(S391:S393),"n/a")</f>
        <v>31265</v>
      </c>
      <c r="T394" s="34" t="n"/>
      <c r="U394" s="34" t="n"/>
      <c r="V394" s="34" t="n"/>
      <c r="W394" s="34" t="n"/>
      <c r="X394" s="211">
        <f>IFERROR(SUM(X391:X393),"n/a")</f>
        <v>37258</v>
      </c>
      <c r="Y394" s="34" t="n"/>
      <c r="Z394" s="34" t="n"/>
      <c r="AA394" s="34" t="n"/>
      <c r="AB394" s="34" t="n"/>
      <c r="AC394" s="211">
        <f>IFERROR(SUM(AC391:AC393),"n/a")</f>
        <v>42062</v>
      </c>
      <c r="AD394" s="34" t="n"/>
      <c r="AE394" s="34" t="n"/>
      <c r="AF394" s="34" t="n"/>
      <c r="AG394" s="34" t="n"/>
      <c r="AH394" s="211">
        <f>IFERROR(SUM(AH391:AH393),"n/a")</f>
        <v>46681</v>
      </c>
      <c r="AI394" s="34" t="n"/>
      <c r="AJ394" s="34" t="n"/>
      <c r="AK394" s="34" t="n"/>
      <c r="AL394" s="34" t="n"/>
      <c r="AM394" s="211">
        <f>IFERROR(SUM(AM391:AM393),"n/a")</f>
        <v>57285</v>
      </c>
      <c r="AN394" s="34" t="n"/>
      <c r="AO394" s="34" t="n"/>
      <c r="AP394" s="34" t="n"/>
      <c r="AQ394" s="34" t="n"/>
      <c r="AR394" s="211">
        <f>IFERROR(SUM(AR391:AR393),"n/a")</f>
        <v>77311</v>
      </c>
      <c r="AS394" s="34" t="n"/>
      <c r="AT394" s="34" t="n"/>
      <c r="AU394" s="34" t="n"/>
      <c r="AV394" s="34" t="n"/>
      <c r="AW394" s="211">
        <f>IFERROR(SUM(AW391:AW393),"n/a")</f>
        <v>85209</v>
      </c>
      <c r="AX394" s="34" t="n"/>
      <c r="AY394" s="34" t="n"/>
      <c r="AZ394" s="34" t="n"/>
      <c r="BA394" s="34" t="n"/>
      <c r="BB394" s="211">
        <f>IFERROR(SUM(BB391:BB393),"n/a")</f>
        <v>102860</v>
      </c>
      <c r="BC394" s="34" t="n"/>
      <c r="BD394" s="34" t="n"/>
      <c r="BE394" s="34" t="n"/>
      <c r="BF394" s="34" t="n"/>
      <c r="BG394" s="211">
        <f>IFERROR(SUM(BG391:BG393),"n/a")</f>
        <v>122750</v>
      </c>
      <c r="BH394" s="34" t="n"/>
      <c r="BI394" s="34" t="n"/>
      <c r="BJ394" s="34" t="n"/>
      <c r="BK394" s="34" t="n"/>
      <c r="BL394" s="211">
        <f>IFERROR(SUM(BL391:BL393),"n/a")</f>
        <v>150456</v>
      </c>
      <c r="BM394" s="34" t="n"/>
      <c r="BN394" s="34" t="n"/>
      <c r="BO394" s="34" t="n"/>
      <c r="BP394" s="34" t="n"/>
      <c r="BQ394" s="211">
        <f>IFERROR(SUM(BQ391:BQ393),"n/a")</f>
        <v>198909</v>
      </c>
      <c r="BR394" s="34" t="n"/>
      <c r="BS394" s="34" t="n"/>
      <c r="BT394" s="34" t="n"/>
      <c r="BU394" s="34" t="n"/>
      <c r="BV394" s="211">
        <f>IFERROR(SUM(BV391:BV393),"n/a")</f>
        <v>265622</v>
      </c>
      <c r="BW394" s="34" t="n"/>
      <c r="BX394" s="34" t="n"/>
      <c r="BY394" s="35" t="n"/>
      <c r="BZ394" s="35" t="n"/>
      <c r="CA394" s="254">
        <f>IFERROR(SUM(CA391:CA393),"n/a")</f>
        <v>466079.87058013</v>
      </c>
      <c r="CB394" s="254">
        <f>IFERROR(SUM(CB391:CB393),"n/a")</f>
        <v>659926.087931408</v>
      </c>
      <c r="CC394" s="254">
        <f>IFERROR(SUM(CC391:CC393),"n/a")</f>
        <v>854116.0918101</v>
      </c>
      <c r="CD394" s="254">
        <f>IFERROR(SUM(CD391:CD393),"n/a")</f>
        <v>1040989.66344822</v>
      </c>
      <c r="CE394" s="254">
        <f>IFERROR(SUM(CE391:CE393),"n/a")</f>
        <v>1220873.24522239</v>
      </c>
      <c r="CF394" s="19" t="n"/>
    </row>
    <row r="395" ht="15" customHeight="1" s="251">
      <c r="B395" s="55" t="inlineStr">
        <is>
          <t>RONTA = NOPAT / NTA</t>
        </is>
      </c>
      <c r="C395" s="291">
        <f>IFERROR(C390/C394,"n/a")</f>
        <v>0.813563206166939</v>
      </c>
      <c r="D395" s="291">
        <f>IFERROR(D390/D394,"n/a")</f>
        <v>0.658260337587082</v>
      </c>
      <c r="E395" s="291">
        <f>IFERROR(E390/E394,"n/a")</f>
        <v>0.550785880548506</v>
      </c>
      <c r="F395" s="291">
        <f>IFERROR(F390/F394,"n/a")</f>
        <v>0.785469372334797</v>
      </c>
      <c r="G395" s="291">
        <f>IFERROR(G390/G394,"n/a")</f>
        <v>0.854909723341676</v>
      </c>
      <c r="H395" s="291">
        <f>IFERROR(H390/H394,"n/a")</f>
        <v>0.765508424935413</v>
      </c>
      <c r="I395" s="291">
        <f>IFERROR(I390/I394,"n/a")</f>
        <v>0.469223224587028</v>
      </c>
      <c r="J395" s="56" t="n"/>
      <c r="K395" s="56" t="n"/>
      <c r="L395" s="56" t="n"/>
      <c r="M395" s="56" t="n"/>
      <c r="N395" s="291">
        <f>IFERROR(N390/N394,"n/a")</f>
        <v>0.493683254353609</v>
      </c>
      <c r="O395" s="56" t="n"/>
      <c r="P395" s="56" t="n"/>
      <c r="Q395" s="56" t="n"/>
      <c r="R395" s="56" t="n"/>
      <c r="S395" s="291">
        <f>IFERROR(S390/S394,"n/a")</f>
        <v>0.42578792818534</v>
      </c>
      <c r="T395" s="56" t="n"/>
      <c r="U395" s="56" t="n"/>
      <c r="V395" s="56" t="n"/>
      <c r="W395" s="56" t="n"/>
      <c r="X395" s="291">
        <f>IFERROR(X390/X394,"n/a")</f>
        <v>0.43228064220623</v>
      </c>
      <c r="Y395" s="56" t="n"/>
      <c r="Z395" s="56" t="n"/>
      <c r="AA395" s="56" t="n"/>
      <c r="AB395" s="56" t="n"/>
      <c r="AC395" s="291">
        <f>IFERROR(AC390/AC394,"n/a")</f>
        <v>0.454756325892971</v>
      </c>
      <c r="AD395" s="56" t="n"/>
      <c r="AE395" s="56" t="n"/>
      <c r="AF395" s="56" t="n"/>
      <c r="AG395" s="56" t="n"/>
      <c r="AH395" s="291">
        <f>IFERROR(AH390/AH394,"n/a")</f>
        <v>0.50734217347529</v>
      </c>
      <c r="AI395" s="56" t="n"/>
      <c r="AJ395" s="56" t="n"/>
      <c r="AK395" s="56" t="n"/>
      <c r="AL395" s="56" t="n"/>
      <c r="AM395" s="291">
        <f>IFERROR(AM390/AM394,"n/a")</f>
        <v>0.482434377505175</v>
      </c>
      <c r="AN395" s="56" t="n"/>
      <c r="AO395" s="56" t="n"/>
      <c r="AP395" s="56" t="n"/>
      <c r="AQ395" s="56" t="n"/>
      <c r="AR395" s="291">
        <f>IFERROR(AR390/AR394,"n/a")</f>
        <v>0.402773330234429</v>
      </c>
      <c r="AS395" s="56" t="n"/>
      <c r="AT395" s="56" t="n"/>
      <c r="AU395" s="56" t="n"/>
      <c r="AV395" s="56" t="n"/>
      <c r="AW395" s="291">
        <f>IFERROR(AW390/AW394,"n/a")</f>
        <v>0.405184647687628</v>
      </c>
      <c r="AX395" s="56" t="n"/>
      <c r="AY395" s="56" t="n"/>
      <c r="AZ395" s="56" t="n"/>
      <c r="BA395" s="56" t="n"/>
      <c r="BB395" s="291">
        <f>IFERROR(BB390/BB394,"n/a")</f>
        <v>0.641264992591948</v>
      </c>
      <c r="BC395" s="56" t="n"/>
      <c r="BD395" s="56" t="n"/>
      <c r="BE395" s="56" t="n"/>
      <c r="BF395" s="56" t="n"/>
      <c r="BG395" s="291">
        <f>IFERROR(BG390/BG394,"n/a")</f>
        <v>0.512639857497768</v>
      </c>
      <c r="BH395" s="56" t="n"/>
      <c r="BI395" s="56" t="n"/>
      <c r="BJ395" s="56" t="n"/>
      <c r="BK395" s="56" t="n"/>
      <c r="BL395" s="291">
        <f>IFERROR(BL390/BL394,"n/a")</f>
        <v>0.496964407764155</v>
      </c>
      <c r="BM395" s="56" t="n"/>
      <c r="BN395" s="56" t="n"/>
      <c r="BO395" s="56" t="n"/>
      <c r="BP395" s="56" t="n"/>
      <c r="BQ395" s="291">
        <f>IFERROR(BQ390/BQ394,"n/a")</f>
        <v>0.475151585836388</v>
      </c>
      <c r="BR395" s="56" t="n"/>
      <c r="BS395" s="56" t="n"/>
      <c r="BT395" s="56" t="n"/>
      <c r="BU395" s="56" t="n"/>
      <c r="BV395" s="291">
        <f>IFERROR(BV390/BV394,"n/a")</f>
        <v>0.415097403190747</v>
      </c>
      <c r="BW395" s="56" t="n"/>
      <c r="BX395" s="56" t="n"/>
      <c r="BY395" s="56" t="n"/>
      <c r="BZ395" s="56" t="n"/>
      <c r="CA395" s="291">
        <f>IFERROR(CA390/CA394,"n/a")</f>
        <v>0.301290517223587</v>
      </c>
      <c r="CB395" s="291">
        <f>IFERROR(CB390/CB394,"n/a")</f>
        <v>0.243331300287615</v>
      </c>
      <c r="CC395" s="291">
        <f>IFERROR(CC390/CC394,"n/a")</f>
        <v>0.20518059880392</v>
      </c>
      <c r="CD395" s="291">
        <f>IFERROR(CD390/CD394,"n/a")</f>
        <v>0.186062426427661</v>
      </c>
      <c r="CE395" s="291">
        <f>IFERROR(CE390/CE394,"n/a")</f>
        <v>0.173475475104844</v>
      </c>
      <c r="CF395" s="153" t="n"/>
      <c r="CH395" s="37">
        <f>IFERROR(AVERAGE(CA395,CB395,CC395,CD395,CE395),"n/m")</f>
        <v>0.221868063569526</v>
      </c>
      <c r="CI395" s="37">
        <f>IFERROR(AVERAGE(BB395,BG395,BL395,BQ395,BV395),"n/m")</f>
        <v>0.508223649376202</v>
      </c>
      <c r="CJ395" s="37">
        <f>IFERROR(AVERAGE(AC395,AH395,AM395,AR395,AW395,BB395,BG395,BL395,BQ395,BV395),"n/m")</f>
        <v>0.47936091016765</v>
      </c>
      <c r="CK395" s="37">
        <f>IFERROR(AVERAGE(C395,D395,E395,F395,G395,H395,I395,N395,S395,X395,AC395,AH395,AM395,AR395,AW395,BB395,BG395,BL395,BQ395,BV395),"n/m")</f>
        <v>0.552154054796156</v>
      </c>
    </row>
    <row r="396" ht="15" customHeight="1" s="251">
      <c r="B396" s="25" t="inlineStr">
        <is>
          <t>Return on Equity (ROE)</t>
        </is>
      </c>
      <c r="CF396" s="153" t="n"/>
    </row>
    <row r="397" ht="15" customHeight="1" s="251">
      <c r="B397" s="25" t="inlineStr">
        <is>
          <t>Net income</t>
        </is>
      </c>
      <c r="C397" s="211">
        <f>C149</f>
        <v>3077.446</v>
      </c>
      <c r="D397" s="211">
        <f>D149</f>
        <v>4203.72</v>
      </c>
      <c r="E397" s="211">
        <f>E149</f>
        <v>4226.858</v>
      </c>
      <c r="F397" s="211">
        <f>F149</f>
        <v>6520.448</v>
      </c>
      <c r="G397" s="211">
        <f>G149</f>
        <v>8505</v>
      </c>
      <c r="H397" s="211">
        <f>H149</f>
        <v>9737</v>
      </c>
      <c r="I397" s="211">
        <f>I149</f>
        <v>10737</v>
      </c>
      <c r="J397" s="34" t="n"/>
      <c r="K397" s="34" t="n"/>
      <c r="L397" s="34" t="n"/>
      <c r="M397" s="34" t="n"/>
      <c r="N397" s="211">
        <f>N149</f>
        <v>12920</v>
      </c>
      <c r="O397" s="34" t="n"/>
      <c r="P397" s="34" t="n"/>
      <c r="Q397" s="34" t="n"/>
      <c r="R397" s="34" t="n"/>
      <c r="S397" s="211">
        <f>S149</f>
        <v>14444</v>
      </c>
      <c r="T397" s="34" t="n"/>
      <c r="U397" s="34" t="n"/>
      <c r="V397" s="34" t="n"/>
      <c r="W397" s="34" t="n"/>
      <c r="X397" s="211">
        <f>X149</f>
        <v>16348</v>
      </c>
      <c r="Y397" s="34" t="n"/>
      <c r="Z397" s="34" t="n"/>
      <c r="AA397" s="34" t="n"/>
      <c r="AB397" s="34" t="n"/>
      <c r="AC397" s="211">
        <f>AC149</f>
        <v>19478</v>
      </c>
      <c r="AD397" s="34" t="n"/>
      <c r="AE397" s="34" t="n"/>
      <c r="AF397" s="34" t="n"/>
      <c r="AG397" s="34" t="n"/>
      <c r="AH397" s="211">
        <f>AH149</f>
        <v>12662</v>
      </c>
      <c r="AI397" s="34" t="n"/>
      <c r="AJ397" s="34" t="n"/>
      <c r="AK397" s="34" t="n"/>
      <c r="AL397" s="34" t="n"/>
      <c r="AM397" s="211">
        <f>AM149</f>
        <v>30736</v>
      </c>
      <c r="AN397" s="34" t="n"/>
      <c r="AO397" s="34" t="n"/>
      <c r="AP397" s="34" t="n"/>
      <c r="AQ397" s="34" t="n"/>
      <c r="AR397" s="211">
        <f>AR149</f>
        <v>34343</v>
      </c>
      <c r="AS397" s="34" t="n"/>
      <c r="AT397" s="34" t="n"/>
      <c r="AU397" s="34" t="n"/>
      <c r="AV397" s="34" t="n"/>
      <c r="AW397" s="211">
        <f>AW149</f>
        <v>40269</v>
      </c>
      <c r="AX397" s="34" t="n"/>
      <c r="AY397" s="34" t="n"/>
      <c r="AZ397" s="34" t="n"/>
      <c r="BA397" s="34" t="n"/>
      <c r="BB397" s="211">
        <f>BB149</f>
        <v>76033</v>
      </c>
      <c r="BC397" s="34" t="n"/>
      <c r="BD397" s="34" t="n"/>
      <c r="BE397" s="34" t="n"/>
      <c r="BF397" s="34" t="n"/>
      <c r="BG397" s="211">
        <f>BG149</f>
        <v>59972</v>
      </c>
      <c r="BH397" s="34" t="n"/>
      <c r="BI397" s="34" t="n"/>
      <c r="BJ397" s="34" t="n"/>
      <c r="BK397" s="34" t="n"/>
      <c r="BL397" s="211">
        <f>BL149</f>
        <v>73795</v>
      </c>
      <c r="BM397" s="34" t="n"/>
      <c r="BN397" s="34" t="n"/>
      <c r="BO397" s="34" t="n"/>
      <c r="BP397" s="34" t="n"/>
      <c r="BQ397" s="211">
        <f>BQ149</f>
        <v>100118</v>
      </c>
      <c r="BR397" s="34" t="n"/>
      <c r="BS397" s="34" t="n"/>
      <c r="BT397" s="34" t="n"/>
      <c r="BU397" s="34" t="n"/>
      <c r="BV397" s="211">
        <f>BV149</f>
        <v>132170</v>
      </c>
      <c r="BW397" s="34" t="n"/>
      <c r="BX397" s="34" t="n"/>
      <c r="BY397" s="35" t="n"/>
      <c r="BZ397" s="35" t="n"/>
      <c r="CA397" s="254">
        <f>CA149</f>
        <v>251993.395624646</v>
      </c>
      <c r="CB397" s="254">
        <f>CB149</f>
        <v>162952.157327398</v>
      </c>
      <c r="CC397" s="254">
        <f>CC149</f>
        <v>176055.03063457</v>
      </c>
      <c r="CD397" s="254">
        <f>CD149</f>
        <v>194039.034820097</v>
      </c>
      <c r="CE397" s="254">
        <f>CE149</f>
        <v>212409.076164546</v>
      </c>
      <c r="CF397" s="19" t="n"/>
    </row>
    <row r="398" ht="15" customHeight="1" s="251">
      <c r="B398" s="25" t="inlineStr">
        <is>
          <t>Common stockholders' equity</t>
        </is>
      </c>
      <c r="C398" s="211">
        <f>C322</f>
        <v>17039.84</v>
      </c>
      <c r="D398" s="211">
        <f>D322</f>
        <v>22689.679</v>
      </c>
      <c r="E398" s="211">
        <f>E322</f>
        <v>28238.862</v>
      </c>
      <c r="F398" s="211">
        <f>F322</f>
        <v>36004.224</v>
      </c>
      <c r="G398" s="211">
        <f>G322</f>
        <v>46241</v>
      </c>
      <c r="H398" s="211">
        <f>H322</f>
        <v>58145</v>
      </c>
      <c r="I398" s="211">
        <f>I322</f>
        <v>71715</v>
      </c>
      <c r="J398" s="34" t="n"/>
      <c r="K398" s="34" t="n"/>
      <c r="L398" s="34" t="n"/>
      <c r="M398" s="34" t="n"/>
      <c r="N398" s="211">
        <f>N322</f>
        <v>87309</v>
      </c>
      <c r="O398" s="34" t="n"/>
      <c r="P398" s="34" t="n"/>
      <c r="Q398" s="34" t="n"/>
      <c r="R398" s="34" t="n"/>
      <c r="S398" s="211">
        <f>S322</f>
        <v>104500</v>
      </c>
      <c r="T398" s="34" t="n"/>
      <c r="U398" s="34" t="n"/>
      <c r="V398" s="34" t="n"/>
      <c r="W398" s="34" t="n"/>
      <c r="X398" s="211">
        <f>X322</f>
        <v>120331</v>
      </c>
      <c r="Y398" s="34" t="n"/>
      <c r="Z398" s="34" t="n"/>
      <c r="AA398" s="34" t="n"/>
      <c r="AB398" s="34" t="n"/>
      <c r="AC398" s="211">
        <f>AC322</f>
        <v>139036</v>
      </c>
      <c r="AD398" s="34" t="n"/>
      <c r="AE398" s="34" t="n"/>
      <c r="AF398" s="34" t="n"/>
      <c r="AG398" s="34" t="n"/>
      <c r="AH398" s="211">
        <f>AH322</f>
        <v>152502</v>
      </c>
      <c r="AI398" s="34" t="n"/>
      <c r="AJ398" s="34" t="n"/>
      <c r="AK398" s="34" t="n"/>
      <c r="AL398" s="34" t="n"/>
      <c r="AM398" s="211">
        <f>AM322</f>
        <v>177628</v>
      </c>
      <c r="AN398" s="34" t="n"/>
      <c r="AO398" s="34" t="n"/>
      <c r="AP398" s="34" t="n"/>
      <c r="AQ398" s="34" t="n"/>
      <c r="AR398" s="211">
        <f>AR322</f>
        <v>201442</v>
      </c>
      <c r="AS398" s="34" t="n"/>
      <c r="AT398" s="34" t="n"/>
      <c r="AU398" s="34" t="n"/>
      <c r="AV398" s="34" t="n"/>
      <c r="AW398" s="211">
        <f>AW322</f>
        <v>222544</v>
      </c>
      <c r="AX398" s="34" t="n"/>
      <c r="AY398" s="34" t="n"/>
      <c r="AZ398" s="34" t="n"/>
      <c r="BA398" s="34" t="n"/>
      <c r="BB398" s="211">
        <f>BB322</f>
        <v>251635</v>
      </c>
      <c r="BC398" s="34" t="n"/>
      <c r="BD398" s="34" t="n"/>
      <c r="BE398" s="34" t="n"/>
      <c r="BF398" s="34" t="n"/>
      <c r="BG398" s="211">
        <f>BG322</f>
        <v>256144</v>
      </c>
      <c r="BH398" s="34" t="n"/>
      <c r="BI398" s="34" t="n"/>
      <c r="BJ398" s="34" t="n"/>
      <c r="BK398" s="34" t="n"/>
      <c r="BL398" s="211">
        <f>BL322</f>
        <v>283379</v>
      </c>
      <c r="BM398" s="34" t="n"/>
      <c r="BN398" s="34" t="n"/>
      <c r="BO398" s="34" t="n"/>
      <c r="BP398" s="34" t="n"/>
      <c r="BQ398" s="211">
        <f>BQ322</f>
        <v>325084</v>
      </c>
      <c r="BR398" s="34" t="n"/>
      <c r="BS398" s="34" t="n"/>
      <c r="BT398" s="34" t="n"/>
      <c r="BU398" s="34" t="n"/>
      <c r="BV398" s="211">
        <f>BV322</f>
        <v>415265</v>
      </c>
      <c r="BW398" s="34" t="n"/>
      <c r="BX398" s="34" t="n"/>
      <c r="BY398" s="35" t="n"/>
      <c r="BZ398" s="35" t="n"/>
      <c r="CA398" s="254">
        <f>CA322</f>
        <v>700624.069721397</v>
      </c>
      <c r="CB398" s="254">
        <f>CB322</f>
        <v>838808.742056801</v>
      </c>
      <c r="CC398" s="254">
        <f>CC322</f>
        <v>1019287.86274978</v>
      </c>
      <c r="CD398" s="254">
        <f>CD322</f>
        <v>1237918.44022092</v>
      </c>
      <c r="CE398" s="254">
        <f>CE322</f>
        <v>1458919.52020465</v>
      </c>
      <c r="CF398" s="19" t="n"/>
    </row>
    <row r="399" ht="15" customHeight="1" s="251">
      <c r="B399" s="25" t="inlineStr">
        <is>
          <t>ROE = Net income / Equity</t>
        </is>
      </c>
      <c r="C399" s="215">
        <f>IFERROR(C397/C398,"n/a")</f>
        <v>0.180602986882506</v>
      </c>
      <c r="D399" s="215">
        <f>IFERROR(D397/D398,"n/a")</f>
        <v>0.185270139784701</v>
      </c>
      <c r="E399" s="215">
        <f>IFERROR(E397/E398,"n/a")</f>
        <v>0.149682306602865</v>
      </c>
      <c r="F399" s="215">
        <f>IFERROR(F397/F398,"n/a")</f>
        <v>0.181102306218293</v>
      </c>
      <c r="G399" s="215">
        <f>IFERROR(G397/G398,"n/a")</f>
        <v>0.183927683224844</v>
      </c>
      <c r="H399" s="215">
        <f>IFERROR(H397/H398,"n/a")</f>
        <v>0.167460658698082</v>
      </c>
      <c r="I399" s="215">
        <f>IFERROR(I397/I398,"n/a")</f>
        <v>0.149717632294499</v>
      </c>
      <c r="J399" s="34" t="n"/>
      <c r="K399" s="34" t="n"/>
      <c r="L399" s="34" t="n"/>
      <c r="M399" s="34" t="n"/>
      <c r="N399" s="215">
        <f>IFERROR(N397/N398,"n/a")</f>
        <v>0.147980162411664</v>
      </c>
      <c r="O399" s="34" t="n"/>
      <c r="P399" s="34" t="n"/>
      <c r="Q399" s="34" t="n"/>
      <c r="R399" s="34" t="n"/>
      <c r="S399" s="215">
        <f>IFERROR(S397/S398,"n/a")</f>
        <v>0.13822009569378</v>
      </c>
      <c r="T399" s="34" t="n"/>
      <c r="U399" s="34" t="n"/>
      <c r="V399" s="34" t="n"/>
      <c r="W399" s="34" t="n"/>
      <c r="X399" s="215">
        <f>IFERROR(X397/X398,"n/a")</f>
        <v>0.135858590055763</v>
      </c>
      <c r="Y399" s="34" t="n"/>
      <c r="Z399" s="34" t="n"/>
      <c r="AA399" s="34" t="n"/>
      <c r="AB399" s="34" t="n"/>
      <c r="AC399" s="215">
        <f>IFERROR(AC397/AC398,"n/a")</f>
        <v>0.140093213268506</v>
      </c>
      <c r="AD399" s="34" t="n"/>
      <c r="AE399" s="34" t="n"/>
      <c r="AF399" s="34" t="n"/>
      <c r="AG399" s="34" t="n"/>
      <c r="AH399" s="215">
        <f>IFERROR(AH397/AH398,"n/a")</f>
        <v>0.083028419299419</v>
      </c>
      <c r="AI399" s="34" t="n"/>
      <c r="AJ399" s="34" t="n"/>
      <c r="AK399" s="34" t="n"/>
      <c r="AL399" s="34" t="n"/>
      <c r="AM399" s="215">
        <f>IFERROR(AM397/AM398,"n/a")</f>
        <v>0.17303578264688</v>
      </c>
      <c r="AN399" s="34" t="n"/>
      <c r="AO399" s="34" t="n"/>
      <c r="AP399" s="34" t="n"/>
      <c r="AQ399" s="34" t="n"/>
      <c r="AR399" s="215">
        <f>IFERROR(AR397/AR398,"n/a")</f>
        <v>0.170485797400741</v>
      </c>
      <c r="AS399" s="34" t="n"/>
      <c r="AT399" s="34" t="n"/>
      <c r="AU399" s="34" t="n"/>
      <c r="AV399" s="34" t="n"/>
      <c r="AW399" s="215">
        <f>IFERROR(AW397/AW398,"n/a")</f>
        <v>0.180948486591416</v>
      </c>
      <c r="AX399" s="34" t="n"/>
      <c r="AY399" s="34" t="n"/>
      <c r="AZ399" s="34" t="n"/>
      <c r="BA399" s="34" t="n"/>
      <c r="BB399" s="215">
        <f>IFERROR(BB397/BB398,"n/a")</f>
        <v>0.30215590041131</v>
      </c>
      <c r="BC399" s="34" t="n"/>
      <c r="BD399" s="34" t="n"/>
      <c r="BE399" s="34" t="n"/>
      <c r="BF399" s="34" t="n"/>
      <c r="BG399" s="215">
        <f>IFERROR(BG397/BG398,"n/a")</f>
        <v>0.234133924667375</v>
      </c>
      <c r="BH399" s="34" t="n"/>
      <c r="BI399" s="34" t="n"/>
      <c r="BJ399" s="34" t="n"/>
      <c r="BK399" s="34" t="n"/>
      <c r="BL399" s="215">
        <f>IFERROR(BL397/BL398,"n/a")</f>
        <v>0.260410969055576</v>
      </c>
      <c r="BM399" s="34" t="n"/>
      <c r="BN399" s="34" t="n"/>
      <c r="BO399" s="34" t="n"/>
      <c r="BP399" s="34" t="n"/>
      <c r="BQ399" s="215">
        <f>IFERROR(BQ397/BQ398,"n/a")</f>
        <v>0.307975784720257</v>
      </c>
      <c r="BR399" s="34" t="n"/>
      <c r="BS399" s="34" t="n"/>
      <c r="BT399" s="34" t="n"/>
      <c r="BU399" s="34" t="n"/>
      <c r="BV399" s="215">
        <f>IFERROR(BV397/BV398,"n/a")</f>
        <v>0.318278689511517</v>
      </c>
      <c r="BW399" s="34" t="n"/>
      <c r="BX399" s="34" t="n"/>
      <c r="BY399" s="35" t="n"/>
      <c r="BZ399" s="35" t="n"/>
      <c r="CA399" s="256">
        <f>IFERROR(CA397/CA398,"n/a")</f>
        <v>0.359669909320773</v>
      </c>
      <c r="CB399" s="256">
        <f>IFERROR(CB397/CB398,"n/a")</f>
        <v>0.194266164808716</v>
      </c>
      <c r="CC399" s="256">
        <f>IFERROR(CC397/CC398,"n/a")</f>
        <v>0.172723562271819</v>
      </c>
      <c r="CD399" s="256">
        <f>IFERROR(CD397/CD398,"n/a")</f>
        <v>0.156746218907175</v>
      </c>
      <c r="CE399" s="256">
        <f>IFERROR(CE397/CE398,"n/a")</f>
        <v>0.145593415690778</v>
      </c>
      <c r="CF399" s="19" t="n"/>
      <c r="CH399" s="37">
        <f>IFERROR(AVERAGE(CA399,CB399,CC399,CD399,CE399),"n/m")</f>
        <v>0.205799854199852</v>
      </c>
      <c r="CI399" s="37">
        <f>IFERROR(AVERAGE(BB399,BG399,BL399,BQ399,BV399),"n/m")</f>
        <v>0.284591053673207</v>
      </c>
      <c r="CJ399" s="37">
        <f>IFERROR(AVERAGE(AC399,AH399,AM399,AR399,AW399,BB399,BG399,BL399,BQ399,BV399),"n/m")</f>
        <v>0.2170546967573</v>
      </c>
      <c r="CK399" s="37">
        <f>IFERROR(AVERAGE(C399,D399,E399,F399,G399,H399,I399,N399,S399,X399,AC399,AH399,AM399,AR399,AW399,BB399,BG399,BL399,BQ399,BV399),"n/m")</f>
        <v>0.189518476472</v>
      </c>
    </row>
    <row r="400" ht="15" customHeight="1" s="251">
      <c r="B400" s="25" t="inlineStr">
        <is>
          <t>Leverage</t>
        </is>
      </c>
      <c r="CF400" s="153" t="n"/>
    </row>
    <row r="401" ht="15" customHeight="1" s="251">
      <c r="B401" s="25" t="inlineStr">
        <is>
          <t>Net debt = Total debt − cash − marketable securities (negative = net cash)</t>
        </is>
      </c>
      <c r="C401" s="211">
        <f>C383</f>
        <v>-11243.914</v>
      </c>
      <c r="D401" s="211">
        <f>D383</f>
        <v>-14218.613</v>
      </c>
      <c r="E401" s="211">
        <f>E383</f>
        <v>-15845.771</v>
      </c>
      <c r="F401" s="211">
        <f>F383</f>
        <v>-24484.775</v>
      </c>
      <c r="G401" s="211">
        <f>G383</f>
        <v>-31510</v>
      </c>
      <c r="H401" s="211">
        <f>H383</f>
        <v>-40422</v>
      </c>
      <c r="I401" s="211">
        <f>I383</f>
        <v>-42551</v>
      </c>
      <c r="J401" s="34" t="n"/>
      <c r="K401" s="34" t="n"/>
      <c r="L401" s="34" t="n"/>
      <c r="M401" s="34" t="n"/>
      <c r="N401" s="211">
        <f>N383</f>
        <v>-55718</v>
      </c>
      <c r="O401" s="34" t="n"/>
      <c r="P401" s="34" t="n"/>
      <c r="Q401" s="34" t="n"/>
      <c r="R401" s="34" t="n"/>
      <c r="S401" s="211">
        <f>S383</f>
        <v>-61393</v>
      </c>
      <c r="T401" s="34" t="n"/>
      <c r="U401" s="34" t="n"/>
      <c r="V401" s="34" t="n"/>
      <c r="W401" s="34" t="n"/>
      <c r="X401" s="211">
        <f>X383</f>
        <v>-67846</v>
      </c>
      <c r="Y401" s="34" t="n"/>
      <c r="Z401" s="34" t="n"/>
      <c r="AA401" s="34" t="n"/>
      <c r="AB401" s="34" t="n"/>
      <c r="AC401" s="211">
        <f>AC383</f>
        <v>-82398</v>
      </c>
      <c r="AD401" s="34" t="n"/>
      <c r="AE401" s="34" t="n"/>
      <c r="AF401" s="34" t="n"/>
      <c r="AG401" s="34" t="n"/>
      <c r="AH401" s="211">
        <f>AH383</f>
        <v>-97928</v>
      </c>
      <c r="AI401" s="34" t="n"/>
      <c r="AJ401" s="34" t="n"/>
      <c r="AK401" s="34" t="n"/>
      <c r="AL401" s="34" t="n"/>
      <c r="AM401" s="211">
        <f>AM383</f>
        <v>-105190</v>
      </c>
      <c r="AN401" s="34" t="n"/>
      <c r="AO401" s="34" t="n"/>
      <c r="AP401" s="34" t="n"/>
      <c r="AQ401" s="34" t="n"/>
      <c r="AR401" s="211">
        <f>AR383</f>
        <v>-115717</v>
      </c>
      <c r="AS401" s="34" t="n"/>
      <c r="AT401" s="34" t="n"/>
      <c r="AU401" s="34" t="n"/>
      <c r="AV401" s="34" t="n"/>
      <c r="AW401" s="211">
        <f>AW383</f>
        <v>-121763</v>
      </c>
      <c r="AX401" s="34" t="n"/>
      <c r="AY401" s="34" t="n"/>
      <c r="AZ401" s="34" t="n"/>
      <c r="BA401" s="34" t="n"/>
      <c r="BB401" s="211">
        <f>BB383</f>
        <v>-124832</v>
      </c>
      <c r="BC401" s="34" t="n"/>
      <c r="BD401" s="34" t="n"/>
      <c r="BE401" s="34" t="n"/>
      <c r="BF401" s="34" t="n"/>
      <c r="BG401" s="211">
        <f>BG383</f>
        <v>-99061</v>
      </c>
      <c r="BH401" s="34" t="n"/>
      <c r="BI401" s="34" t="n"/>
      <c r="BJ401" s="34" t="n"/>
      <c r="BK401" s="34" t="n"/>
      <c r="BL401" s="211">
        <f>BL383</f>
        <v>-96663</v>
      </c>
      <c r="BM401" s="34" t="n"/>
      <c r="BN401" s="34" t="n"/>
      <c r="BO401" s="34" t="n"/>
      <c r="BP401" s="34" t="n"/>
      <c r="BQ401" s="211">
        <f>BQ383</f>
        <v>-81475</v>
      </c>
      <c r="BR401" s="34" t="n"/>
      <c r="BS401" s="34" t="n"/>
      <c r="BT401" s="34" t="n"/>
      <c r="BU401" s="34" t="n"/>
      <c r="BV401" s="211">
        <f>BV383</f>
        <v>-78300</v>
      </c>
      <c r="BW401" s="34" t="n"/>
      <c r="BX401" s="34" t="n"/>
      <c r="BY401" s="35" t="n"/>
      <c r="BZ401" s="35" t="n"/>
      <c r="CA401" s="254">
        <f>CA383</f>
        <v>-120505.199141267</v>
      </c>
      <c r="CB401" s="254">
        <f>CB383</f>
        <v>-61243.6541253929</v>
      </c>
      <c r="CC401" s="254">
        <f>CC383</f>
        <v>-43932.7709396784</v>
      </c>
      <c r="CD401" s="254">
        <f>CD383</f>
        <v>-54066.7767727018</v>
      </c>
      <c r="CE401" s="254">
        <f>CE383</f>
        <v>-91584.2749822606</v>
      </c>
      <c r="CF401" s="19" t="n"/>
    </row>
    <row r="402" ht="15" customHeight="1" s="251">
      <c r="B402" s="25" t="inlineStr">
        <is>
          <t>Adjusted EBITDA</t>
        </is>
      </c>
      <c r="C402" s="211">
        <f>C191</f>
        <v>4121.935</v>
      </c>
      <c r="D402" s="211">
        <f>D191</f>
        <v>6052.058</v>
      </c>
      <c r="E402" s="211">
        <f>E191</f>
        <v>8131.856</v>
      </c>
      <c r="F402" s="211">
        <f>F191</f>
        <v>9836.494</v>
      </c>
      <c r="G402" s="211">
        <f>G191</f>
        <v>11777</v>
      </c>
      <c r="H402" s="211">
        <f>H191</f>
        <v>13593</v>
      </c>
      <c r="I402" s="211">
        <f>I191</f>
        <v>15722</v>
      </c>
      <c r="J402" s="34" t="n"/>
      <c r="K402" s="34" t="n"/>
      <c r="L402" s="34" t="n"/>
      <c r="M402" s="34" t="n"/>
      <c r="N402" s="211">
        <f>N191</f>
        <v>17905</v>
      </c>
      <c r="O402" s="34" t="n"/>
      <c r="P402" s="34" t="n"/>
      <c r="Q402" s="34" t="n"/>
      <c r="R402" s="34" t="n"/>
      <c r="S402" s="211">
        <f>S191</f>
        <v>21475</v>
      </c>
      <c r="T402" s="34" t="n"/>
      <c r="U402" s="34" t="n"/>
      <c r="V402" s="34" t="n"/>
      <c r="W402" s="34" t="n"/>
      <c r="X402" s="211">
        <f>X191</f>
        <v>24423</v>
      </c>
      <c r="Y402" s="34" t="n"/>
      <c r="Z402" s="34" t="n"/>
      <c r="AA402" s="34" t="n"/>
      <c r="AB402" s="34" t="n"/>
      <c r="AC402" s="211">
        <f>AC191</f>
        <v>29860</v>
      </c>
      <c r="AD402" s="34" t="n"/>
      <c r="AE402" s="34" t="n"/>
      <c r="AF402" s="34" t="n"/>
      <c r="AG402" s="34" t="n"/>
      <c r="AH402" s="211">
        <f>AH191</f>
        <v>35797</v>
      </c>
      <c r="AI402" s="34" t="n"/>
      <c r="AJ402" s="34" t="n"/>
      <c r="AK402" s="34" t="n"/>
      <c r="AL402" s="34" t="n"/>
      <c r="AM402" s="211">
        <f>AM191</f>
        <v>40427</v>
      </c>
      <c r="AN402" s="34" t="n"/>
      <c r="AO402" s="34" t="n"/>
      <c r="AP402" s="34" t="n"/>
      <c r="AQ402" s="34" t="n"/>
      <c r="AR402" s="211">
        <f>AR191</f>
        <v>47709</v>
      </c>
      <c r="AS402" s="34" t="n"/>
      <c r="AT402" s="34" t="n"/>
      <c r="AU402" s="34" t="n"/>
      <c r="AV402" s="34" t="n"/>
      <c r="AW402" s="211">
        <f>AW191</f>
        <v>54921</v>
      </c>
      <c r="AX402" s="34" t="n"/>
      <c r="AY402" s="34" t="n"/>
      <c r="AZ402" s="34" t="n"/>
      <c r="BA402" s="34" t="n"/>
      <c r="BB402" s="211">
        <f>BB191</f>
        <v>91155</v>
      </c>
      <c r="BC402" s="34" t="n"/>
      <c r="BD402" s="34" t="n"/>
      <c r="BE402" s="34" t="n"/>
      <c r="BF402" s="34" t="n"/>
      <c r="BG402" s="211">
        <f>BG191</f>
        <v>90770</v>
      </c>
      <c r="BH402" s="34" t="n"/>
      <c r="BI402" s="34" t="n"/>
      <c r="BJ402" s="34" t="n"/>
      <c r="BK402" s="34" t="n"/>
      <c r="BL402" s="211">
        <f>BL191</f>
        <v>98797</v>
      </c>
      <c r="BM402" s="34" t="n"/>
      <c r="BN402" s="34" t="n"/>
      <c r="BO402" s="34" t="n"/>
      <c r="BP402" s="34" t="n"/>
      <c r="BQ402" s="211">
        <f>BQ191</f>
        <v>128417</v>
      </c>
      <c r="BR402" s="34" t="n"/>
      <c r="BS402" s="34" t="n"/>
      <c r="BT402" s="34" t="n"/>
      <c r="BU402" s="34" t="n"/>
      <c r="BV402" s="211">
        <f>BV191</f>
        <v>153632</v>
      </c>
      <c r="BW402" s="34" t="n"/>
      <c r="BX402" s="34" t="n"/>
      <c r="BY402" s="35" t="n"/>
      <c r="BZ402" s="35" t="n"/>
      <c r="CA402" s="254">
        <f>CA191</f>
        <v>204129.254664787</v>
      </c>
      <c r="CB402" s="254">
        <f>CB191</f>
        <v>244974.616501572</v>
      </c>
      <c r="CC402" s="254">
        <f>CC191</f>
        <v>286016.960829526</v>
      </c>
      <c r="CD402" s="254">
        <f>CD191</f>
        <v>331272.45527132</v>
      </c>
      <c r="CE402" s="254">
        <f>CE191</f>
        <v>375223.195472324</v>
      </c>
      <c r="CF402" s="19" t="n"/>
    </row>
    <row r="403" ht="15" customHeight="1" s="251">
      <c r="B403" s="55" t="inlineStr">
        <is>
          <t>Net debt / adjusted EBITDA (x)</t>
        </is>
      </c>
      <c r="C403" s="292">
        <f>IFERROR(C401/C402,"n/a")</f>
        <v>-2.72782418936737</v>
      </c>
      <c r="D403" s="292">
        <f>IFERROR(D401/D402,"n/a")</f>
        <v>-2.34938478778624</v>
      </c>
      <c r="E403" s="292">
        <f>IFERROR(E401/E402,"n/a")</f>
        <v>-1.94860447602614</v>
      </c>
      <c r="F403" s="292">
        <f>IFERROR(F401/F402,"n/a")</f>
        <v>-2.48917703807881</v>
      </c>
      <c r="G403" s="292">
        <f>IFERROR(G401/G402,"n/a")</f>
        <v>-2.67555404602191</v>
      </c>
      <c r="H403" s="292">
        <f>IFERROR(H401/H402,"n/a")</f>
        <v>-2.9737364820128</v>
      </c>
      <c r="I403" s="292">
        <f>IFERROR(I401/I402,"n/a")</f>
        <v>-2.7064622821524</v>
      </c>
      <c r="J403" s="56" t="n"/>
      <c r="K403" s="56" t="n"/>
      <c r="L403" s="56" t="n"/>
      <c r="M403" s="56" t="n"/>
      <c r="N403" s="292">
        <f>IFERROR(N401/N402,"n/a")</f>
        <v>-3.11186819324211</v>
      </c>
      <c r="O403" s="56" t="n"/>
      <c r="P403" s="56" t="n"/>
      <c r="Q403" s="56" t="n"/>
      <c r="R403" s="56" t="n"/>
      <c r="S403" s="292">
        <f>IFERROR(S401/S402,"n/a")</f>
        <v>-2.85881257275902</v>
      </c>
      <c r="T403" s="56" t="n"/>
      <c r="U403" s="56" t="n"/>
      <c r="V403" s="56" t="n"/>
      <c r="W403" s="56" t="n"/>
      <c r="X403" s="292">
        <f>IFERROR(X401/X402,"n/a")</f>
        <v>-2.77795520615813</v>
      </c>
      <c r="Y403" s="56" t="n"/>
      <c r="Z403" s="56" t="n"/>
      <c r="AA403" s="56" t="n"/>
      <c r="AB403" s="56" t="n"/>
      <c r="AC403" s="292">
        <f>IFERROR(AC401/AC402,"n/a")</f>
        <v>-2.75947756195579</v>
      </c>
      <c r="AD403" s="56" t="n"/>
      <c r="AE403" s="56" t="n"/>
      <c r="AF403" s="56" t="n"/>
      <c r="AG403" s="56" t="n"/>
      <c r="AH403" s="292">
        <f>IFERROR(AH401/AH402,"n/a")</f>
        <v>-2.73564823867922</v>
      </c>
      <c r="AI403" s="56" t="n"/>
      <c r="AJ403" s="56" t="n"/>
      <c r="AK403" s="56" t="n"/>
      <c r="AL403" s="56" t="n"/>
      <c r="AM403" s="292">
        <f>IFERROR(AM401/AM402,"n/a")</f>
        <v>-2.60197392831524</v>
      </c>
      <c r="AN403" s="56" t="n"/>
      <c r="AO403" s="56" t="n"/>
      <c r="AP403" s="56" t="n"/>
      <c r="AQ403" s="56" t="n"/>
      <c r="AR403" s="292">
        <f>IFERROR(AR401/AR402,"n/a")</f>
        <v>-2.42547527720137</v>
      </c>
      <c r="AS403" s="56" t="n"/>
      <c r="AT403" s="56" t="n"/>
      <c r="AU403" s="56" t="n"/>
      <c r="AV403" s="56" t="n"/>
      <c r="AW403" s="292">
        <f>IFERROR(AW401/AW402,"n/a")</f>
        <v>-2.21705722765427</v>
      </c>
      <c r="AX403" s="56" t="n"/>
      <c r="AY403" s="56" t="n"/>
      <c r="AZ403" s="56" t="n"/>
      <c r="BA403" s="56" t="n"/>
      <c r="BB403" s="292">
        <f>IFERROR(BB401/BB402,"n/a")</f>
        <v>-1.36944764412265</v>
      </c>
      <c r="BC403" s="56" t="n"/>
      <c r="BD403" s="56" t="n"/>
      <c r="BE403" s="56" t="n"/>
      <c r="BF403" s="56" t="n"/>
      <c r="BG403" s="292">
        <f>IFERROR(BG401/BG402,"n/a")</f>
        <v>-1.09134075134956</v>
      </c>
      <c r="BH403" s="56" t="n"/>
      <c r="BI403" s="56" t="n"/>
      <c r="BJ403" s="56" t="n"/>
      <c r="BK403" s="56" t="n"/>
      <c r="BL403" s="292">
        <f>IFERROR(BL401/BL402,"n/a")</f>
        <v>-0.978400153850826</v>
      </c>
      <c r="BM403" s="56" t="n"/>
      <c r="BN403" s="56" t="n"/>
      <c r="BO403" s="56" t="n"/>
      <c r="BP403" s="56" t="n"/>
      <c r="BQ403" s="292">
        <f>IFERROR(BQ401/BQ402,"n/a")</f>
        <v>-0.634456497192739</v>
      </c>
      <c r="BR403" s="56" t="n"/>
      <c r="BS403" s="56" t="n"/>
      <c r="BT403" s="56" t="n"/>
      <c r="BU403" s="56" t="n"/>
      <c r="BV403" s="292">
        <f>IFERROR(BV401/BV402,"n/a")</f>
        <v>-0.509659445948761</v>
      </c>
      <c r="BW403" s="56" t="n"/>
      <c r="BX403" s="56" t="n"/>
      <c r="BY403" s="56" t="n"/>
      <c r="BZ403" s="56" t="n"/>
      <c r="CA403" s="292">
        <f>IFERROR(CA401/CA402,"n/a")</f>
        <v>-0.590337721749661</v>
      </c>
      <c r="CB403" s="292">
        <f>IFERROR(CB401/CB402,"n/a")</f>
        <v>-0.25</v>
      </c>
      <c r="CC403" s="292">
        <f>IFERROR(CC401/CC402,"n/a")</f>
        <v>-0.153601978051447</v>
      </c>
      <c r="CD403" s="292">
        <f>IFERROR(CD401/CD402,"n/a")</f>
        <v>-0.16320939429878</v>
      </c>
      <c r="CE403" s="292">
        <f>IFERROR(CE401/CE402,"n/a")</f>
        <v>-0.244079460138321</v>
      </c>
      <c r="CF403" s="153" t="n"/>
      <c r="CH403" s="37">
        <f>IFERROR(AVERAGE(CA403,CB403,CC403,CD403,CE403),"n/m")</f>
        <v>-0.280245710847642</v>
      </c>
      <c r="CI403" s="37">
        <f>IFERROR(AVERAGE(BB403,BG403,BL403,BQ403,BV403),"n/m")</f>
        <v>-0.916660898492908</v>
      </c>
      <c r="CJ403" s="37">
        <f>IFERROR(AVERAGE(AC403,AH403,AM403,AR403,AW403,BB403,BG403,BL403,BQ403,BV403),"n/m")</f>
        <v>-1.73229367262704</v>
      </c>
      <c r="CK403" s="37">
        <f>IFERROR(AVERAGE(C403,D403,E403,F403,G403,H403,I403,N403,S403,X403,AC403,AH403,AM403,AR403,AW403,BB403,BG403,BL403,BQ403,BV403),"n/m")</f>
        <v>-2.19711579999377</v>
      </c>
    </row>
    <row r="404" ht="15" customHeight="1" s="251">
      <c r="B404" s="25" t="inlineStr">
        <is>
          <t>Total debt / adjusted EBITDA (x)</t>
        </is>
      </c>
      <c r="C404" s="279">
        <f>IFERROR(C355/C191,"n/a")</f>
        <v>0</v>
      </c>
      <c r="D404" s="279">
        <f>IFERROR(D355/D191,"n/a")</f>
        <v>0</v>
      </c>
      <c r="E404" s="279">
        <f>IFERROR(E355/E191,"n/a")</f>
        <v>0</v>
      </c>
      <c r="F404" s="279">
        <f>IFERROR(F355/F191,"n/a")</f>
        <v>0</v>
      </c>
      <c r="G404" s="279">
        <f>IFERROR(G355/G191,"n/a")</f>
        <v>0.294217542667912</v>
      </c>
      <c r="H404" s="279">
        <f>IFERROR(H355/H191,"n/a")</f>
        <v>0.309276833664386</v>
      </c>
      <c r="I404" s="279">
        <f>IFERROR(I355/I191,"n/a")</f>
        <v>0.352181656277827</v>
      </c>
      <c r="J404" s="34" t="n"/>
      <c r="K404" s="34" t="n"/>
      <c r="L404" s="34" t="n"/>
      <c r="M404" s="34" t="n"/>
      <c r="N404" s="279">
        <f>IFERROR(N355/N191,"n/a")</f>
        <v>0.1674951130969</v>
      </c>
      <c r="O404" s="34" t="n"/>
      <c r="P404" s="34" t="n"/>
      <c r="Q404" s="34" t="n"/>
      <c r="R404" s="34" t="n"/>
      <c r="S404" s="279">
        <f>IFERROR(S355/S191,"n/a")</f>
        <v>0.139790454016298</v>
      </c>
      <c r="T404" s="34" t="n"/>
      <c r="U404" s="34" t="n"/>
      <c r="V404" s="34" t="n"/>
      <c r="W404" s="34" t="n"/>
      <c r="X404" s="279">
        <f>IFERROR(X355/X191,"n/a")</f>
        <v>0.213732956639234</v>
      </c>
      <c r="Y404" s="34" t="n"/>
      <c r="Z404" s="34" t="n"/>
      <c r="AA404" s="34" t="n"/>
      <c r="AB404" s="34" t="n"/>
      <c r="AC404" s="279">
        <f>IFERROR(AC355/AC191,"n/a")</f>
        <v>0.131781647689216</v>
      </c>
      <c r="AD404" s="34" t="n"/>
      <c r="AE404" s="34" t="n"/>
      <c r="AF404" s="34" t="n"/>
      <c r="AG404" s="34" t="n"/>
      <c r="AH404" s="279">
        <f>IFERROR(AH355/AH191,"n/a")</f>
        <v>0.110148895158812</v>
      </c>
      <c r="AI404" s="34" t="n"/>
      <c r="AJ404" s="34" t="n"/>
      <c r="AK404" s="34" t="n"/>
      <c r="AL404" s="34" t="n"/>
      <c r="AM404" s="279">
        <f>IFERROR(AM355/AM191,"n/a")</f>
        <v>0.097706978009746</v>
      </c>
      <c r="AN404" s="34" t="n"/>
      <c r="AO404" s="34" t="n"/>
      <c r="AP404" s="34" t="n"/>
      <c r="AQ404" s="34" t="n"/>
      <c r="AR404" s="279">
        <f>IFERROR(AR355/AR191,"n/a")</f>
        <v>0.0829612861304995</v>
      </c>
      <c r="AS404" s="34" t="n"/>
      <c r="AT404" s="34" t="n"/>
      <c r="AU404" s="34" t="n"/>
      <c r="AV404" s="34" t="n"/>
      <c r="AW404" s="279">
        <f>IFERROR(AW355/AW191,"n/a")</f>
        <v>0.271863221718468</v>
      </c>
      <c r="AX404" s="34" t="n"/>
      <c r="AY404" s="34" t="n"/>
      <c r="AZ404" s="34" t="n"/>
      <c r="BA404" s="34" t="n"/>
      <c r="BB404" s="279">
        <f>IFERROR(BB355/BB191,"n/a")</f>
        <v>0.162547309527728</v>
      </c>
      <c r="BC404" s="34" t="n"/>
      <c r="BD404" s="34" t="n"/>
      <c r="BE404" s="34" t="n"/>
      <c r="BF404" s="34" t="n"/>
      <c r="BG404" s="279">
        <f>IFERROR(BG355/BG191,"n/a")</f>
        <v>0.161958796959348</v>
      </c>
      <c r="BH404" s="34" t="n"/>
      <c r="BI404" s="34" t="n"/>
      <c r="BJ404" s="34" t="n"/>
      <c r="BK404" s="34" t="n"/>
      <c r="BL404" s="279">
        <f>IFERROR(BL355/BL191,"n/a")</f>
        <v>0.144265514135045</v>
      </c>
      <c r="BM404" s="34" t="n"/>
      <c r="BN404" s="34" t="n"/>
      <c r="BO404" s="34" t="n"/>
      <c r="BP404" s="34" t="n"/>
      <c r="BQ404" s="279">
        <f>IFERROR(BQ355/BQ191,"n/a")</f>
        <v>0.110437091662319</v>
      </c>
      <c r="BR404" s="34" t="n"/>
      <c r="BS404" s="34" t="n"/>
      <c r="BT404" s="34" t="n"/>
      <c r="BU404" s="34" t="n"/>
      <c r="BV404" s="279">
        <f>IFERROR(BV355/BV191,"n/a")</f>
        <v>0.315969329306395</v>
      </c>
      <c r="BW404" s="34" t="n"/>
      <c r="BX404" s="34" t="n"/>
      <c r="BY404" s="35" t="n"/>
      <c r="BZ404" s="35" t="n"/>
      <c r="CA404" s="280">
        <f>IFERROR(CA355/CA191,"n/a")</f>
        <v>0.480891385025634</v>
      </c>
      <c r="CB404" s="280">
        <f>IFERROR(CB355/CB191,"n/a")</f>
        <v>0.400710903855503</v>
      </c>
      <c r="CC404" s="280">
        <f>IFERROR(CC355/CC191,"n/a")</f>
        <v>0.343210415617654</v>
      </c>
      <c r="CD404" s="280">
        <f>IFERROR(CD355/CD191,"n/a")</f>
        <v>0.296324063283805</v>
      </c>
      <c r="CE404" s="280">
        <f>IFERROR(CE355/CE191,"n/a")</f>
        <v>0.261614956603184</v>
      </c>
      <c r="CF404" s="19" t="n"/>
    </row>
    <row r="405" ht="15" customHeight="1" s="251">
      <c r="CN405" s="11" t="n"/>
      <c r="CO405" s="12" t="n"/>
      <c r="CP405" s="12" t="n"/>
      <c r="CQ405" s="12" t="n"/>
      <c r="CR405" s="13" t="n"/>
    </row>
    <row r="406" ht="15" customHeight="1" s="251">
      <c r="B406" s="10" t="inlineStr">
        <is>
          <t>VALUATION</t>
        </is>
      </c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  <c r="AD406" s="10" t="n"/>
      <c r="AE406" s="10" t="n"/>
      <c r="AF406" s="10" t="n"/>
      <c r="AG406" s="10" t="n"/>
      <c r="AH406" s="10" t="n"/>
      <c r="AI406" s="10" t="n"/>
      <c r="AJ406" s="10" t="n"/>
      <c r="AK406" s="10" t="n"/>
      <c r="AL406" s="10" t="n"/>
      <c r="AM406" s="10" t="n"/>
      <c r="AN406" s="10" t="n"/>
      <c r="AO406" s="10" t="n"/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0" t="n"/>
      <c r="BC406" s="10" t="n"/>
      <c r="BD406" s="10" t="n"/>
      <c r="BE406" s="10" t="n"/>
      <c r="BF406" s="10" t="n"/>
      <c r="BG406" s="10" t="n"/>
      <c r="BH406" s="10" t="n"/>
      <c r="BI406" s="10" t="n"/>
      <c r="BJ406" s="10" t="n"/>
      <c r="BK406" s="10" t="n"/>
      <c r="BL406" s="10" t="n"/>
      <c r="BM406" s="10" t="n"/>
      <c r="BN406" s="10" t="n"/>
      <c r="BO406" s="10" t="n"/>
      <c r="BP406" s="10" t="n"/>
      <c r="BQ406" s="10" t="n"/>
      <c r="BR406" s="10" t="n"/>
      <c r="BS406" s="10" t="n"/>
      <c r="BT406" s="10" t="n"/>
      <c r="BU406" s="10" t="n"/>
      <c r="BV406" s="10" t="n"/>
      <c r="BW406" s="10" t="n"/>
      <c r="BX406" s="10" t="n"/>
      <c r="BY406" s="10" t="n"/>
      <c r="BZ406" s="10" t="n"/>
      <c r="CA406" s="10" t="n"/>
      <c r="CB406" s="10" t="n"/>
      <c r="CC406" s="10" t="n"/>
      <c r="CD406" s="10" t="n"/>
      <c r="CE406" s="10" t="n"/>
      <c r="CF406" s="10" t="inlineStr">
        <is>
          <t>VALUATION — share price input $350.00 (GOOG Class C, user-provided 13-Oct-2026; latest SEC-filed Class C price $340.45, Form 4 sale 30-Sep-2026); applied to all share classes (GOOGL trades within ~1%); update to market</t>
        </is>
      </c>
    </row>
    <row r="407" ht="15" customHeight="1" s="251">
      <c r="B407" s="69" t="inlineStr">
        <is>
          <t>Share price ($) — GOOG (Class C), applied to all classes</t>
        </is>
      </c>
      <c r="C407" s="44" t="n"/>
      <c r="D407" s="44" t="n"/>
      <c r="E407" s="44" t="n"/>
      <c r="F407" s="44" t="n"/>
      <c r="G407" s="44" t="n"/>
      <c r="H407" s="44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44" t="n"/>
      <c r="X407" s="44" t="n"/>
      <c r="Y407" s="44" t="n"/>
      <c r="Z407" s="44" t="n"/>
      <c r="AA407" s="44" t="n"/>
      <c r="AB407" s="44" t="n"/>
      <c r="AC407" s="44" t="n"/>
      <c r="AD407" s="44" t="n"/>
      <c r="AE407" s="44" t="n"/>
      <c r="AF407" s="44" t="n"/>
      <c r="AG407" s="44" t="n"/>
      <c r="AH407" s="44" t="n"/>
      <c r="AI407" s="44" t="n"/>
      <c r="AJ407" s="44" t="n"/>
      <c r="AK407" s="44" t="n"/>
      <c r="AL407" s="44" t="n"/>
      <c r="AM407" s="44" t="n"/>
      <c r="AN407" s="44" t="n"/>
      <c r="AO407" s="44" t="n"/>
      <c r="AP407" s="44" t="n"/>
      <c r="AQ407" s="44" t="n"/>
      <c r="AR407" s="44" t="n"/>
      <c r="AS407" s="44" t="n"/>
      <c r="AT407" s="44" t="n"/>
      <c r="AU407" s="44" t="n"/>
      <c r="AV407" s="44" t="n"/>
      <c r="AW407" s="44" t="n"/>
      <c r="AX407" s="44" t="n"/>
      <c r="AY407" s="44" t="n"/>
      <c r="AZ407" s="44" t="n"/>
      <c r="BA407" s="44" t="n"/>
      <c r="BB407" s="44" t="n"/>
      <c r="BC407" s="44" t="n"/>
      <c r="BD407" s="44" t="n"/>
      <c r="BE407" s="44" t="n"/>
      <c r="BF407" s="44" t="n"/>
      <c r="BG407" s="44" t="n"/>
      <c r="BH407" s="44" t="n"/>
      <c r="BI407" s="44" t="n"/>
      <c r="BJ407" s="44" t="n"/>
      <c r="BK407" s="44" t="n"/>
      <c r="BL407" s="44" t="n"/>
      <c r="BM407" s="44" t="n"/>
      <c r="BN407" s="44" t="n"/>
      <c r="BO407" s="44" t="n"/>
      <c r="BP407" s="44" t="n"/>
      <c r="BQ407" s="44" t="n"/>
      <c r="BR407" s="44" t="n"/>
      <c r="BS407" s="44" t="n"/>
      <c r="BT407" s="44" t="n"/>
      <c r="BU407" s="44" t="n"/>
      <c r="BV407" s="44" t="n"/>
      <c r="BW407" s="44" t="n"/>
      <c r="BX407" s="44" t="n"/>
      <c r="BY407" s="153" t="n"/>
      <c r="BZ407" s="153" t="n"/>
      <c r="CA407" s="282" t="n">
        <v>350</v>
      </c>
      <c r="CB407" s="281">
        <f>CA407</f>
        <v>350</v>
      </c>
      <c r="CC407" s="281">
        <f>CB407</f>
        <v>350</v>
      </c>
      <c r="CD407" s="281">
        <f>CC407</f>
        <v>350</v>
      </c>
      <c r="CE407" s="281">
        <f>CD407</f>
        <v>350</v>
      </c>
      <c r="CF407" s="19" t="n"/>
    </row>
    <row r="408" ht="15" customHeight="1" s="251">
      <c r="B408" s="25" t="inlineStr">
        <is>
          <t>Diluted shares at period end (m; incl. RSUs and preferred if-converted to May-2029)</t>
        </is>
      </c>
      <c r="C408" s="34" t="n"/>
      <c r="D408" s="34" t="n"/>
      <c r="E408" s="34" t="n"/>
      <c r="F408" s="34" t="n"/>
      <c r="G408" s="34" t="n"/>
      <c r="H408" s="34" t="n"/>
      <c r="I408" s="34" t="n"/>
      <c r="J408" s="34" t="n"/>
      <c r="K408" s="34" t="n"/>
      <c r="L408" s="34" t="n"/>
      <c r="M408" s="34" t="n"/>
      <c r="N408" s="34" t="n"/>
      <c r="O408" s="34" t="n"/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  <c r="AA408" s="34" t="n"/>
      <c r="AB408" s="34" t="n"/>
      <c r="AC408" s="34" t="n"/>
      <c r="AD408" s="34" t="n"/>
      <c r="AE408" s="34" t="n"/>
      <c r="AF408" s="34" t="n"/>
      <c r="AG408" s="34" t="n"/>
      <c r="AH408" s="34" t="n"/>
      <c r="AI408" s="34" t="n"/>
      <c r="AJ408" s="34" t="n"/>
      <c r="AK408" s="34" t="n"/>
      <c r="AL408" s="34" t="n"/>
      <c r="AM408" s="34" t="n"/>
      <c r="AN408" s="34" t="n"/>
      <c r="AO408" s="34" t="n"/>
      <c r="AP408" s="34" t="n"/>
      <c r="AQ408" s="34" t="n"/>
      <c r="AR408" s="34" t="n"/>
      <c r="AS408" s="34" t="n"/>
      <c r="AT408" s="34" t="n"/>
      <c r="AU408" s="34" t="n"/>
      <c r="AV408" s="34" t="n"/>
      <c r="AW408" s="34" t="n"/>
      <c r="AX408" s="34" t="n"/>
      <c r="AY408" s="34" t="n"/>
      <c r="AZ408" s="34" t="n"/>
      <c r="BA408" s="34" t="n"/>
      <c r="BB408" s="34" t="n"/>
      <c r="BC408" s="34" t="n"/>
      <c r="BD408" s="34" t="n"/>
      <c r="BE408" s="34" t="n"/>
      <c r="BF408" s="34" t="n"/>
      <c r="BG408" s="34" t="n"/>
      <c r="BH408" s="34" t="n"/>
      <c r="BI408" s="34" t="n"/>
      <c r="BJ408" s="34" t="n"/>
      <c r="BK408" s="34" t="n"/>
      <c r="BL408" s="34" t="n"/>
      <c r="BM408" s="34" t="n"/>
      <c r="BN408" s="34" t="n"/>
      <c r="BO408" s="34" t="n"/>
      <c r="BP408" s="34" t="n"/>
      <c r="BQ408" s="34" t="n"/>
      <c r="BR408" s="34" t="n"/>
      <c r="BS408" s="34" t="n"/>
      <c r="BT408" s="34" t="n"/>
      <c r="BU408" s="34" t="n"/>
      <c r="BV408" s="34" t="n"/>
      <c r="BW408" s="34" t="n"/>
      <c r="BX408" s="34" t="n"/>
      <c r="BY408" s="35" t="n"/>
      <c r="BZ408" s="35" t="n"/>
      <c r="CA408" s="254">
        <f>CA291+(BX159-BX158-16)+CA296</f>
        <v>12485.751</v>
      </c>
      <c r="CB408" s="254">
        <f>CB291+N(CB350)+IF(CB294&gt;0,CB296,0)</f>
        <v>12532.354347565</v>
      </c>
      <c r="CC408" s="254">
        <f>CC291+N(CC350)+IF(CC294&gt;0,CC296,0)</f>
        <v>12648.6310475454</v>
      </c>
      <c r="CD408" s="254">
        <f>CD291+N(CD350)+IF(CD294&gt;0,CD296,0)</f>
        <v>12765.1835475273</v>
      </c>
      <c r="CE408" s="254">
        <f>CE291+N(CE350)+IF(CE294&gt;0,CE296,0)</f>
        <v>12885.1835475273</v>
      </c>
      <c r="CF408" s="19" t="n"/>
    </row>
    <row r="409" ht="15" customHeight="1" s="251">
      <c r="B409" s="25" t="inlineStr">
        <is>
          <t>Market capitalisation (USDm)</t>
        </is>
      </c>
      <c r="C409" s="34" t="n"/>
      <c r="D409" s="34" t="n"/>
      <c r="E409" s="34" t="n"/>
      <c r="F409" s="34" t="n"/>
      <c r="G409" s="34" t="n"/>
      <c r="H409" s="34" t="n"/>
      <c r="I409" s="34" t="n"/>
      <c r="J409" s="34" t="n"/>
      <c r="K409" s="34" t="n"/>
      <c r="L409" s="34" t="n"/>
      <c r="M409" s="34" t="n"/>
      <c r="N409" s="34" t="n"/>
      <c r="O409" s="34" t="n"/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  <c r="AA409" s="34" t="n"/>
      <c r="AB409" s="34" t="n"/>
      <c r="AC409" s="34" t="n"/>
      <c r="AD409" s="34" t="n"/>
      <c r="AE409" s="34" t="n"/>
      <c r="AF409" s="34" t="n"/>
      <c r="AG409" s="34" t="n"/>
      <c r="AH409" s="34" t="n"/>
      <c r="AI409" s="34" t="n"/>
      <c r="AJ409" s="34" t="n"/>
      <c r="AK409" s="34" t="n"/>
      <c r="AL409" s="34" t="n"/>
      <c r="AM409" s="34" t="n"/>
      <c r="AN409" s="34" t="n"/>
      <c r="AO409" s="34" t="n"/>
      <c r="AP409" s="34" t="n"/>
      <c r="AQ409" s="34" t="n"/>
      <c r="AR409" s="34" t="n"/>
      <c r="AS409" s="34" t="n"/>
      <c r="AT409" s="34" t="n"/>
      <c r="AU409" s="34" t="n"/>
      <c r="AV409" s="34" t="n"/>
      <c r="AW409" s="34" t="n"/>
      <c r="AX409" s="34" t="n"/>
      <c r="AY409" s="34" t="n"/>
      <c r="AZ409" s="34" t="n"/>
      <c r="BA409" s="34" t="n"/>
      <c r="BB409" s="34" t="n"/>
      <c r="BC409" s="34" t="n"/>
      <c r="BD409" s="34" t="n"/>
      <c r="BE409" s="34" t="n"/>
      <c r="BF409" s="34" t="n"/>
      <c r="BG409" s="34" t="n"/>
      <c r="BH409" s="34" t="n"/>
      <c r="BI409" s="34" t="n"/>
      <c r="BJ409" s="34" t="n"/>
      <c r="BK409" s="34" t="n"/>
      <c r="BL409" s="34" t="n"/>
      <c r="BM409" s="34" t="n"/>
      <c r="BN409" s="34" t="n"/>
      <c r="BO409" s="34" t="n"/>
      <c r="BP409" s="34" t="n"/>
      <c r="BQ409" s="34" t="n"/>
      <c r="BR409" s="34" t="n"/>
      <c r="BS409" s="34" t="n"/>
      <c r="BT409" s="34" t="n"/>
      <c r="BU409" s="34" t="n"/>
      <c r="BV409" s="34" t="n"/>
      <c r="BW409" s="34" t="n"/>
      <c r="BX409" s="34" t="n"/>
      <c r="BY409" s="35" t="n"/>
      <c r="BZ409" s="35" t="n"/>
      <c r="CA409" s="254">
        <f>IFERROR(CA407*CA408,"n/a")</f>
        <v>4370012.85</v>
      </c>
      <c r="CB409" s="254">
        <f>IFERROR(CB407*CB408,"n/a")</f>
        <v>4386324.02164775</v>
      </c>
      <c r="CC409" s="254">
        <f>IFERROR(CC407*CC408,"n/a")</f>
        <v>4427020.8666409</v>
      </c>
      <c r="CD409" s="254">
        <f>IFERROR(CD407*CD408,"n/a")</f>
        <v>4467814.24163455</v>
      </c>
      <c r="CE409" s="254">
        <f>IFERROR(CE407*CE408,"n/a")</f>
        <v>4509814.24163455</v>
      </c>
      <c r="CF409" s="19" t="n"/>
    </row>
    <row r="410" ht="15" customHeight="1" s="251">
      <c r="B410" s="25" t="inlineStr">
        <is>
          <t>Net debt (USDm; negative = net cash)</t>
        </is>
      </c>
      <c r="C410" s="34" t="n"/>
      <c r="D410" s="34" t="n"/>
      <c r="E410" s="34" t="n"/>
      <c r="F410" s="34" t="n"/>
      <c r="G410" s="34" t="n"/>
      <c r="H410" s="34" t="n"/>
      <c r="I410" s="34" t="n"/>
      <c r="J410" s="34" t="n"/>
      <c r="K410" s="34" t="n"/>
      <c r="L410" s="34" t="n"/>
      <c r="M410" s="34" t="n"/>
      <c r="N410" s="34" t="n"/>
      <c r="O410" s="34" t="n"/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  <c r="AA410" s="34" t="n"/>
      <c r="AB410" s="34" t="n"/>
      <c r="AC410" s="34" t="n"/>
      <c r="AD410" s="34" t="n"/>
      <c r="AE410" s="34" t="n"/>
      <c r="AF410" s="34" t="n"/>
      <c r="AG410" s="34" t="n"/>
      <c r="AH410" s="34" t="n"/>
      <c r="AI410" s="34" t="n"/>
      <c r="AJ410" s="34" t="n"/>
      <c r="AK410" s="34" t="n"/>
      <c r="AL410" s="34" t="n"/>
      <c r="AM410" s="34" t="n"/>
      <c r="AN410" s="34" t="n"/>
      <c r="AO410" s="34" t="n"/>
      <c r="AP410" s="34" t="n"/>
      <c r="AQ410" s="34" t="n"/>
      <c r="AR410" s="34" t="n"/>
      <c r="AS410" s="34" t="n"/>
      <c r="AT410" s="34" t="n"/>
      <c r="AU410" s="34" t="n"/>
      <c r="AV410" s="34" t="n"/>
      <c r="AW410" s="34" t="n"/>
      <c r="AX410" s="34" t="n"/>
      <c r="AY410" s="34" t="n"/>
      <c r="AZ410" s="34" t="n"/>
      <c r="BA410" s="34" t="n"/>
      <c r="BB410" s="34" t="n"/>
      <c r="BC410" s="34" t="n"/>
      <c r="BD410" s="34" t="n"/>
      <c r="BE410" s="34" t="n"/>
      <c r="BF410" s="34" t="n"/>
      <c r="BG410" s="34" t="n"/>
      <c r="BH410" s="34" t="n"/>
      <c r="BI410" s="34" t="n"/>
      <c r="BJ410" s="34" t="n"/>
      <c r="BK410" s="34" t="n"/>
      <c r="BL410" s="34" t="n"/>
      <c r="BM410" s="34" t="n"/>
      <c r="BN410" s="34" t="n"/>
      <c r="BO410" s="34" t="n"/>
      <c r="BP410" s="34" t="n"/>
      <c r="BQ410" s="34" t="n"/>
      <c r="BR410" s="34" t="n"/>
      <c r="BS410" s="34" t="n"/>
      <c r="BT410" s="34" t="n"/>
      <c r="BU410" s="34" t="n"/>
      <c r="BV410" s="34" t="n"/>
      <c r="BW410" s="34" t="n"/>
      <c r="BX410" s="34" t="n"/>
      <c r="BY410" s="35" t="n"/>
      <c r="BZ410" s="35" t="n"/>
      <c r="CA410" s="254">
        <f>CA401</f>
        <v>-120505.199141267</v>
      </c>
      <c r="CB410" s="254">
        <f>CB401</f>
        <v>-61243.6541253929</v>
      </c>
      <c r="CC410" s="254">
        <f>CC401</f>
        <v>-43932.7709396784</v>
      </c>
      <c r="CD410" s="254">
        <f>CD401</f>
        <v>-54066.7767727018</v>
      </c>
      <c r="CE410" s="254">
        <f>CE401</f>
        <v>-91584.2749822606</v>
      </c>
      <c r="CF410" s="19" t="n"/>
    </row>
    <row r="411" ht="15" customHeight="1" s="251">
      <c r="B411" s="25" t="inlineStr">
        <is>
          <t>Less: non-marketable equity securities at carrying value (USDm)</t>
        </is>
      </c>
      <c r="C411" s="34" t="n"/>
      <c r="D411" s="34" t="n"/>
      <c r="E411" s="34" t="n"/>
      <c r="F411" s="34" t="n"/>
      <c r="G411" s="34" t="n"/>
      <c r="H411" s="34" t="n"/>
      <c r="I411" s="34" t="n"/>
      <c r="J411" s="34" t="n"/>
      <c r="K411" s="34" t="n"/>
      <c r="L411" s="34" t="n"/>
      <c r="M411" s="34" t="n"/>
      <c r="N411" s="34" t="n"/>
      <c r="O411" s="34" t="n"/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  <c r="AA411" s="34" t="n"/>
      <c r="AB411" s="34" t="n"/>
      <c r="AC411" s="34" t="n"/>
      <c r="AD411" s="34" t="n"/>
      <c r="AE411" s="34" t="n"/>
      <c r="AF411" s="34" t="n"/>
      <c r="AG411" s="34" t="n"/>
      <c r="AH411" s="34" t="n"/>
      <c r="AI411" s="34" t="n"/>
      <c r="AJ411" s="34" t="n"/>
      <c r="AK411" s="34" t="n"/>
      <c r="AL411" s="34" t="n"/>
      <c r="AM411" s="34" t="n"/>
      <c r="AN411" s="34" t="n"/>
      <c r="AO411" s="34" t="n"/>
      <c r="AP411" s="34" t="n"/>
      <c r="AQ411" s="34" t="n"/>
      <c r="AR411" s="34" t="n"/>
      <c r="AS411" s="34" t="n"/>
      <c r="AT411" s="34" t="n"/>
      <c r="AU411" s="34" t="n"/>
      <c r="AV411" s="34" t="n"/>
      <c r="AW411" s="34" t="n"/>
      <c r="AX411" s="34" t="n"/>
      <c r="AY411" s="34" t="n"/>
      <c r="AZ411" s="34" t="n"/>
      <c r="BA411" s="34" t="n"/>
      <c r="BB411" s="34" t="n"/>
      <c r="BC411" s="34" t="n"/>
      <c r="BD411" s="34" t="n"/>
      <c r="BE411" s="34" t="n"/>
      <c r="BF411" s="34" t="n"/>
      <c r="BG411" s="34" t="n"/>
      <c r="BH411" s="34" t="n"/>
      <c r="BI411" s="34" t="n"/>
      <c r="BJ411" s="34" t="n"/>
      <c r="BK411" s="34" t="n"/>
      <c r="BL411" s="34" t="n"/>
      <c r="BM411" s="34" t="n"/>
      <c r="BN411" s="34" t="n"/>
      <c r="BO411" s="34" t="n"/>
      <c r="BP411" s="34" t="n"/>
      <c r="BQ411" s="34" t="n"/>
      <c r="BR411" s="34" t="n"/>
      <c r="BS411" s="34" t="n"/>
      <c r="BT411" s="34" t="n"/>
      <c r="BU411" s="34" t="n"/>
      <c r="BV411" s="34" t="n"/>
      <c r="BW411" s="34" t="n"/>
      <c r="BX411" s="34" t="n"/>
      <c r="BY411" s="35" t="n"/>
      <c r="BZ411" s="35" t="n"/>
      <c r="CA411" s="254">
        <f>-CA308</f>
        <v>-131461</v>
      </c>
      <c r="CB411" s="254">
        <f>-CB308</f>
        <v>-131461</v>
      </c>
      <c r="CC411" s="254">
        <f>-CC308</f>
        <v>-131461</v>
      </c>
      <c r="CD411" s="254">
        <f>-CD308</f>
        <v>-131461</v>
      </c>
      <c r="CE411" s="254">
        <f>-CE308</f>
        <v>-131461</v>
      </c>
      <c r="CF411" s="19" t="inlineStr">
        <is>
          <t>Equity stakes (non-marketable and equity-method investments) are outside invested capital and deducted from EV at carrying value (UBER lesson); fair values may differ.</t>
        </is>
      </c>
    </row>
    <row r="412" ht="15" customHeight="1" s="251">
      <c r="B412" s="16" t="inlineStr">
        <is>
          <t>Enterprise value (USDm; operating)</t>
        </is>
      </c>
      <c r="C412" s="43" t="n"/>
      <c r="D412" s="43" t="n"/>
      <c r="E412" s="43" t="n"/>
      <c r="F412" s="43" t="n"/>
      <c r="G412" s="43" t="n"/>
      <c r="H412" s="43" t="n"/>
      <c r="I412" s="43" t="n"/>
      <c r="J412" s="43" t="n"/>
      <c r="K412" s="43" t="n"/>
      <c r="L412" s="43" t="n"/>
      <c r="M412" s="43" t="n"/>
      <c r="N412" s="43" t="n"/>
      <c r="O412" s="43" t="n"/>
      <c r="P412" s="43" t="n"/>
      <c r="Q412" s="43" t="n"/>
      <c r="R412" s="43" t="n"/>
      <c r="S412" s="43" t="n"/>
      <c r="T412" s="43" t="n"/>
      <c r="U412" s="43" t="n"/>
      <c r="V412" s="43" t="n"/>
      <c r="W412" s="43" t="n"/>
      <c r="X412" s="43" t="n"/>
      <c r="Y412" s="43" t="n"/>
      <c r="Z412" s="43" t="n"/>
      <c r="AA412" s="43" t="n"/>
      <c r="AB412" s="43" t="n"/>
      <c r="AC412" s="43" t="n"/>
      <c r="AD412" s="43" t="n"/>
      <c r="AE412" s="43" t="n"/>
      <c r="AF412" s="43" t="n"/>
      <c r="AG412" s="43" t="n"/>
      <c r="AH412" s="43" t="n"/>
      <c r="AI412" s="43" t="n"/>
      <c r="AJ412" s="43" t="n"/>
      <c r="AK412" s="43" t="n"/>
      <c r="AL412" s="43" t="n"/>
      <c r="AM412" s="43" t="n"/>
      <c r="AN412" s="43" t="n"/>
      <c r="AO412" s="43" t="n"/>
      <c r="AP412" s="43" t="n"/>
      <c r="AQ412" s="43" t="n"/>
      <c r="AR412" s="43" t="n"/>
      <c r="AS412" s="43" t="n"/>
      <c r="AT412" s="43" t="n"/>
      <c r="AU412" s="43" t="n"/>
      <c r="AV412" s="43" t="n"/>
      <c r="AW412" s="43" t="n"/>
      <c r="AX412" s="43" t="n"/>
      <c r="AY412" s="43" t="n"/>
      <c r="AZ412" s="43" t="n"/>
      <c r="BA412" s="43" t="n"/>
      <c r="BB412" s="43" t="n"/>
      <c r="BC412" s="43" t="n"/>
      <c r="BD412" s="43" t="n"/>
      <c r="BE412" s="43" t="n"/>
      <c r="BF412" s="43" t="n"/>
      <c r="BG412" s="43" t="n"/>
      <c r="BH412" s="43" t="n"/>
      <c r="BI412" s="43" t="n"/>
      <c r="BJ412" s="43" t="n"/>
      <c r="BK412" s="43" t="n"/>
      <c r="BL412" s="43" t="n"/>
      <c r="BM412" s="43" t="n"/>
      <c r="BN412" s="43" t="n"/>
      <c r="BO412" s="43" t="n"/>
      <c r="BP412" s="43" t="n"/>
      <c r="BQ412" s="43" t="n"/>
      <c r="BR412" s="43" t="n"/>
      <c r="BS412" s="43" t="n"/>
      <c r="BT412" s="43" t="n"/>
      <c r="BU412" s="43" t="n"/>
      <c r="BV412" s="43" t="n"/>
      <c r="BW412" s="43" t="n"/>
      <c r="BX412" s="43" t="n"/>
      <c r="BY412" s="32" t="n"/>
      <c r="BZ412" s="32" t="n"/>
      <c r="CA412" s="262">
        <f>IFERROR(CA409+CA410+CA411,"n/a")</f>
        <v>4118046.65085873</v>
      </c>
      <c r="CB412" s="262">
        <f>IFERROR(CB409+CB410+CB411,"n/a")</f>
        <v>4193619.36752236</v>
      </c>
      <c r="CC412" s="262">
        <f>IFERROR(CC409+CC410+CC411,"n/a")</f>
        <v>4251627.09570122</v>
      </c>
      <c r="CD412" s="262">
        <f>IFERROR(CD409+CD410+CD411,"n/a")</f>
        <v>4282286.46486184</v>
      </c>
      <c r="CE412" s="262">
        <f>IFERROR(CE409+CE410+CE411,"n/a")</f>
        <v>4286768.96665228</v>
      </c>
      <c r="CF412" s="153" t="n"/>
    </row>
    <row r="413" ht="15" customHeight="1" s="251">
      <c r="B413" s="25" t="inlineStr">
        <is>
          <t>Multiples</t>
        </is>
      </c>
      <c r="CF413" s="153" t="n"/>
    </row>
    <row r="414" ht="15" customHeight="1" s="251">
      <c r="B414" s="25" t="inlineStr">
        <is>
          <t xml:space="preserve">  EV / Revenues</t>
        </is>
      </c>
      <c r="C414" s="34" t="n"/>
      <c r="D414" s="34" t="n"/>
      <c r="E414" s="34" t="n"/>
      <c r="F414" s="34" t="n"/>
      <c r="G414" s="34" t="n"/>
      <c r="H414" s="34" t="n"/>
      <c r="I414" s="34" t="n"/>
      <c r="J414" s="34" t="n"/>
      <c r="K414" s="34" t="n"/>
      <c r="L414" s="34" t="n"/>
      <c r="M414" s="34" t="n"/>
      <c r="N414" s="34" t="n"/>
      <c r="O414" s="34" t="n"/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  <c r="AA414" s="34" t="n"/>
      <c r="AB414" s="34" t="n"/>
      <c r="AC414" s="34" t="n"/>
      <c r="AD414" s="34" t="n"/>
      <c r="AE414" s="34" t="n"/>
      <c r="AF414" s="34" t="n"/>
      <c r="AG414" s="34" t="n"/>
      <c r="AH414" s="34" t="n"/>
      <c r="AI414" s="34" t="n"/>
      <c r="AJ414" s="34" t="n"/>
      <c r="AK414" s="34" t="n"/>
      <c r="AL414" s="34" t="n"/>
      <c r="AM414" s="34" t="n"/>
      <c r="AN414" s="34" t="n"/>
      <c r="AO414" s="34" t="n"/>
      <c r="AP414" s="34" t="n"/>
      <c r="AQ414" s="34" t="n"/>
      <c r="AR414" s="34" t="n"/>
      <c r="AS414" s="34" t="n"/>
      <c r="AT414" s="34" t="n"/>
      <c r="AU414" s="34" t="n"/>
      <c r="AV414" s="34" t="n"/>
      <c r="AW414" s="34" t="n"/>
      <c r="AX414" s="34" t="n"/>
      <c r="AY414" s="34" t="n"/>
      <c r="AZ414" s="34" t="n"/>
      <c r="BA414" s="34" t="n"/>
      <c r="BB414" s="34" t="n"/>
      <c r="BC414" s="34" t="n"/>
      <c r="BD414" s="34" t="n"/>
      <c r="BE414" s="34" t="n"/>
      <c r="BF414" s="34" t="n"/>
      <c r="BG414" s="34" t="n"/>
      <c r="BH414" s="34" t="n"/>
      <c r="BI414" s="34" t="n"/>
      <c r="BJ414" s="34" t="n"/>
      <c r="BK414" s="34" t="n"/>
      <c r="BL414" s="34" t="n"/>
      <c r="BM414" s="34" t="n"/>
      <c r="BN414" s="34" t="n"/>
      <c r="BO414" s="34" t="n"/>
      <c r="BP414" s="34" t="n"/>
      <c r="BQ414" s="34" t="n"/>
      <c r="BR414" s="34" t="n"/>
      <c r="BS414" s="34" t="n"/>
      <c r="BT414" s="34" t="n"/>
      <c r="BU414" s="34" t="n"/>
      <c r="BV414" s="34" t="n"/>
      <c r="BW414" s="34" t="n"/>
      <c r="BX414" s="34" t="n"/>
      <c r="BY414" s="35" t="n"/>
      <c r="BZ414" s="35" t="n"/>
      <c r="CA414" s="293">
        <f>IFERROR(CA412/CA132,"n/a")</f>
        <v>8.26460225014635</v>
      </c>
      <c r="CB414" s="293">
        <f>IFERROR(CB412/CB132,"n/a")</f>
        <v>7.17000062009186</v>
      </c>
      <c r="CC414" s="293">
        <f>IFERROR(CC412/CC132,"n/a")</f>
        <v>6.3366116013401</v>
      </c>
      <c r="CD414" s="293">
        <f>IFERROR(CD412/CD132,"n/a")</f>
        <v>5.649383287893</v>
      </c>
      <c r="CE414" s="293">
        <f>IFERROR(CE412/CE132,"n/a")</f>
        <v>5.08056244444488</v>
      </c>
      <c r="CF414" s="19" t="n"/>
    </row>
    <row r="415" ht="15" customHeight="1" s="251">
      <c r="B415" s="25" t="inlineStr">
        <is>
          <t xml:space="preserve">  EV / Adjusted EBITDA</t>
        </is>
      </c>
      <c r="C415" s="34" t="n"/>
      <c r="D415" s="34" t="n"/>
      <c r="E415" s="34" t="n"/>
      <c r="F415" s="34" t="n"/>
      <c r="G415" s="34" t="n"/>
      <c r="H415" s="34" t="n"/>
      <c r="I415" s="34" t="n"/>
      <c r="J415" s="34" t="n"/>
      <c r="K415" s="34" t="n"/>
      <c r="L415" s="34" t="n"/>
      <c r="M415" s="34" t="n"/>
      <c r="N415" s="34" t="n"/>
      <c r="O415" s="34" t="n"/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  <c r="AA415" s="34" t="n"/>
      <c r="AB415" s="34" t="n"/>
      <c r="AC415" s="34" t="n"/>
      <c r="AD415" s="34" t="n"/>
      <c r="AE415" s="34" t="n"/>
      <c r="AF415" s="34" t="n"/>
      <c r="AG415" s="34" t="n"/>
      <c r="AH415" s="34" t="n"/>
      <c r="AI415" s="34" t="n"/>
      <c r="AJ415" s="34" t="n"/>
      <c r="AK415" s="34" t="n"/>
      <c r="AL415" s="34" t="n"/>
      <c r="AM415" s="34" t="n"/>
      <c r="AN415" s="34" t="n"/>
      <c r="AO415" s="34" t="n"/>
      <c r="AP415" s="34" t="n"/>
      <c r="AQ415" s="34" t="n"/>
      <c r="AR415" s="34" t="n"/>
      <c r="AS415" s="34" t="n"/>
      <c r="AT415" s="34" t="n"/>
      <c r="AU415" s="34" t="n"/>
      <c r="AV415" s="34" t="n"/>
      <c r="AW415" s="34" t="n"/>
      <c r="AX415" s="34" t="n"/>
      <c r="AY415" s="34" t="n"/>
      <c r="AZ415" s="34" t="n"/>
      <c r="BA415" s="34" t="n"/>
      <c r="BB415" s="34" t="n"/>
      <c r="BC415" s="34" t="n"/>
      <c r="BD415" s="34" t="n"/>
      <c r="BE415" s="34" t="n"/>
      <c r="BF415" s="34" t="n"/>
      <c r="BG415" s="34" t="n"/>
      <c r="BH415" s="34" t="n"/>
      <c r="BI415" s="34" t="n"/>
      <c r="BJ415" s="34" t="n"/>
      <c r="BK415" s="34" t="n"/>
      <c r="BL415" s="34" t="n"/>
      <c r="BM415" s="34" t="n"/>
      <c r="BN415" s="34" t="n"/>
      <c r="BO415" s="34" t="n"/>
      <c r="BP415" s="34" t="n"/>
      <c r="BQ415" s="34" t="n"/>
      <c r="BR415" s="34" t="n"/>
      <c r="BS415" s="34" t="n"/>
      <c r="BT415" s="34" t="n"/>
      <c r="BU415" s="34" t="n"/>
      <c r="BV415" s="34" t="n"/>
      <c r="BW415" s="34" t="n"/>
      <c r="BX415" s="34" t="n"/>
      <c r="BY415" s="35" t="n"/>
      <c r="BZ415" s="35" t="n"/>
      <c r="CA415" s="293">
        <f>IFERROR(CA412/CA191,"n/a")</f>
        <v>20.1737210946134</v>
      </c>
      <c r="CB415" s="293">
        <f>IFERROR(CB412/CB191,"n/a")</f>
        <v>17.118587335335</v>
      </c>
      <c r="CC415" s="293">
        <f>IFERROR(CC412/CC191,"n/a")</f>
        <v>14.8649474610539</v>
      </c>
      <c r="CD415" s="293">
        <f>IFERROR(CD412/CD191,"n/a")</f>
        <v>12.9267809524174</v>
      </c>
      <c r="CE415" s="293">
        <f>IFERROR(CE412/CE191,"n/a")</f>
        <v>11.4245841365329</v>
      </c>
      <c r="CF415" s="19" t="n"/>
    </row>
    <row r="416" ht="15" customHeight="1" s="251">
      <c r="B416" s="25" t="inlineStr">
        <is>
          <t xml:space="preserve">  EV / Adjusted EBIT</t>
        </is>
      </c>
      <c r="C416" s="34" t="n"/>
      <c r="D416" s="34" t="n"/>
      <c r="E416" s="34" t="n"/>
      <c r="F416" s="34" t="n"/>
      <c r="G416" s="34" t="n"/>
      <c r="H416" s="34" t="n"/>
      <c r="I416" s="34" t="n"/>
      <c r="J416" s="34" t="n"/>
      <c r="K416" s="34" t="n"/>
      <c r="L416" s="34" t="n"/>
      <c r="M416" s="34" t="n"/>
      <c r="N416" s="34" t="n"/>
      <c r="O416" s="34" t="n"/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  <c r="AA416" s="34" t="n"/>
      <c r="AB416" s="34" t="n"/>
      <c r="AC416" s="34" t="n"/>
      <c r="AD416" s="34" t="n"/>
      <c r="AE416" s="34" t="n"/>
      <c r="AF416" s="34" t="n"/>
      <c r="AG416" s="34" t="n"/>
      <c r="AH416" s="34" t="n"/>
      <c r="AI416" s="34" t="n"/>
      <c r="AJ416" s="34" t="n"/>
      <c r="AK416" s="34" t="n"/>
      <c r="AL416" s="34" t="n"/>
      <c r="AM416" s="34" t="n"/>
      <c r="AN416" s="34" t="n"/>
      <c r="AO416" s="34" t="n"/>
      <c r="AP416" s="34" t="n"/>
      <c r="AQ416" s="34" t="n"/>
      <c r="AR416" s="34" t="n"/>
      <c r="AS416" s="34" t="n"/>
      <c r="AT416" s="34" t="n"/>
      <c r="AU416" s="34" t="n"/>
      <c r="AV416" s="34" t="n"/>
      <c r="AW416" s="34" t="n"/>
      <c r="AX416" s="34" t="n"/>
      <c r="AY416" s="34" t="n"/>
      <c r="AZ416" s="34" t="n"/>
      <c r="BA416" s="34" t="n"/>
      <c r="BB416" s="34" t="n"/>
      <c r="BC416" s="34" t="n"/>
      <c r="BD416" s="34" t="n"/>
      <c r="BE416" s="34" t="n"/>
      <c r="BF416" s="34" t="n"/>
      <c r="BG416" s="34" t="n"/>
      <c r="BH416" s="34" t="n"/>
      <c r="BI416" s="34" t="n"/>
      <c r="BJ416" s="34" t="n"/>
      <c r="BK416" s="34" t="n"/>
      <c r="BL416" s="34" t="n"/>
      <c r="BM416" s="34" t="n"/>
      <c r="BN416" s="34" t="n"/>
      <c r="BO416" s="34" t="n"/>
      <c r="BP416" s="34" t="n"/>
      <c r="BQ416" s="34" t="n"/>
      <c r="BR416" s="34" t="n"/>
      <c r="BS416" s="34" t="n"/>
      <c r="BT416" s="34" t="n"/>
      <c r="BU416" s="34" t="n"/>
      <c r="BV416" s="34" t="n"/>
      <c r="BW416" s="34" t="n"/>
      <c r="BX416" s="34" t="n"/>
      <c r="BY416" s="35" t="n"/>
      <c r="BZ416" s="35" t="n"/>
      <c r="CA416" s="293">
        <f>IFERROR(CA412/CA173,"n/a")</f>
        <v>23.8121571566851</v>
      </c>
      <c r="CB416" s="293">
        <f>IFERROR(CB412/CB173,"n/a")</f>
        <v>21.5451580321644</v>
      </c>
      <c r="CC416" s="293">
        <f>IFERROR(CC412/CC173,"n/a")</f>
        <v>20.0150148924499</v>
      </c>
      <c r="CD416" s="293">
        <f>IFERROR(CD412/CD173,"n/a")</f>
        <v>18.2399887988495</v>
      </c>
      <c r="CE416" s="293">
        <f>IFERROR(CE412/CE173,"n/a")</f>
        <v>16.6984193940196</v>
      </c>
      <c r="CF416" s="19" t="n"/>
    </row>
    <row r="417" ht="15" customHeight="1" s="251">
      <c r="B417" s="25" t="inlineStr">
        <is>
          <t xml:space="preserve">  EV / IC</t>
        </is>
      </c>
      <c r="C417" s="34" t="n"/>
      <c r="D417" s="34" t="n"/>
      <c r="E417" s="34" t="n"/>
      <c r="F417" s="34" t="n"/>
      <c r="G417" s="34" t="n"/>
      <c r="H417" s="34" t="n"/>
      <c r="I417" s="34" t="n"/>
      <c r="J417" s="34" t="n"/>
      <c r="K417" s="34" t="n"/>
      <c r="L417" s="34" t="n"/>
      <c r="M417" s="34" t="n"/>
      <c r="N417" s="34" t="n"/>
      <c r="O417" s="34" t="n"/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  <c r="AA417" s="34" t="n"/>
      <c r="AB417" s="34" t="n"/>
      <c r="AC417" s="34" t="n"/>
      <c r="AD417" s="34" t="n"/>
      <c r="AE417" s="34" t="n"/>
      <c r="AF417" s="34" t="n"/>
      <c r="AG417" s="34" t="n"/>
      <c r="AH417" s="34" t="n"/>
      <c r="AI417" s="34" t="n"/>
      <c r="AJ417" s="34" t="n"/>
      <c r="AK417" s="34" t="n"/>
      <c r="AL417" s="34" t="n"/>
      <c r="AM417" s="34" t="n"/>
      <c r="AN417" s="34" t="n"/>
      <c r="AO417" s="34" t="n"/>
      <c r="AP417" s="34" t="n"/>
      <c r="AQ417" s="34" t="n"/>
      <c r="AR417" s="34" t="n"/>
      <c r="AS417" s="34" t="n"/>
      <c r="AT417" s="34" t="n"/>
      <c r="AU417" s="34" t="n"/>
      <c r="AV417" s="34" t="n"/>
      <c r="AW417" s="34" t="n"/>
      <c r="AX417" s="34" t="n"/>
      <c r="AY417" s="34" t="n"/>
      <c r="AZ417" s="34" t="n"/>
      <c r="BA417" s="34" t="n"/>
      <c r="BB417" s="34" t="n"/>
      <c r="BC417" s="34" t="n"/>
      <c r="BD417" s="34" t="n"/>
      <c r="BE417" s="34" t="n"/>
      <c r="BF417" s="34" t="n"/>
      <c r="BG417" s="34" t="n"/>
      <c r="BH417" s="34" t="n"/>
      <c r="BI417" s="34" t="n"/>
      <c r="BJ417" s="34" t="n"/>
      <c r="BK417" s="34" t="n"/>
      <c r="BL417" s="34" t="n"/>
      <c r="BM417" s="34" t="n"/>
      <c r="BN417" s="34" t="n"/>
      <c r="BO417" s="34" t="n"/>
      <c r="BP417" s="34" t="n"/>
      <c r="BQ417" s="34" t="n"/>
      <c r="BR417" s="34" t="n"/>
      <c r="BS417" s="34" t="n"/>
      <c r="BT417" s="34" t="n"/>
      <c r="BU417" s="34" t="n"/>
      <c r="BV417" s="34" t="n"/>
      <c r="BW417" s="34" t="n"/>
      <c r="BX417" s="34" t="n"/>
      <c r="BY417" s="35" t="n"/>
      <c r="BZ417" s="35" t="n"/>
      <c r="CA417" s="293">
        <f>IFERROR(CA412/CA381,"n/a")</f>
        <v>8.82411710113508</v>
      </c>
      <c r="CB417" s="293">
        <f>IFERROR(CB412/CB381,"n/a")</f>
        <v>6.3144832423331</v>
      </c>
      <c r="CC417" s="293">
        <f>IFERROR(CC412/CC381,"n/a")</f>
        <v>4.93275645198361</v>
      </c>
      <c r="CD417" s="293">
        <f>IFERROR(CD412/CD381,"n/a")</f>
        <v>4.0691034361999</v>
      </c>
      <c r="CE417" s="293">
        <f>IFERROR(CE412/CE381,"n/a")</f>
        <v>3.46861259001389</v>
      </c>
      <c r="CF417" s="19" t="n"/>
    </row>
    <row r="418" ht="15" customHeight="1" s="251">
      <c r="B418" s="25" t="inlineStr">
        <is>
          <t xml:space="preserve">  P / E (GAAP diluted)</t>
        </is>
      </c>
      <c r="C418" s="34" t="n"/>
      <c r="D418" s="34" t="n"/>
      <c r="E418" s="34" t="n"/>
      <c r="F418" s="34" t="n"/>
      <c r="G418" s="34" t="n"/>
      <c r="H418" s="34" t="n"/>
      <c r="I418" s="34" t="n"/>
      <c r="J418" s="34" t="n"/>
      <c r="K418" s="34" t="n"/>
      <c r="L418" s="34" t="n"/>
      <c r="M418" s="34" t="n"/>
      <c r="N418" s="34" t="n"/>
      <c r="O418" s="34" t="n"/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  <c r="AA418" s="34" t="n"/>
      <c r="AB418" s="34" t="n"/>
      <c r="AC418" s="34" t="n"/>
      <c r="AD418" s="34" t="n"/>
      <c r="AE418" s="34" t="n"/>
      <c r="AF418" s="34" t="n"/>
      <c r="AG418" s="34" t="n"/>
      <c r="AH418" s="34" t="n"/>
      <c r="AI418" s="34" t="n"/>
      <c r="AJ418" s="34" t="n"/>
      <c r="AK418" s="34" t="n"/>
      <c r="AL418" s="34" t="n"/>
      <c r="AM418" s="34" t="n"/>
      <c r="AN418" s="34" t="n"/>
      <c r="AO418" s="34" t="n"/>
      <c r="AP418" s="34" t="n"/>
      <c r="AQ418" s="34" t="n"/>
      <c r="AR418" s="34" t="n"/>
      <c r="AS418" s="34" t="n"/>
      <c r="AT418" s="34" t="n"/>
      <c r="AU418" s="34" t="n"/>
      <c r="AV418" s="34" t="n"/>
      <c r="AW418" s="34" t="n"/>
      <c r="AX418" s="34" t="n"/>
      <c r="AY418" s="34" t="n"/>
      <c r="AZ418" s="34" t="n"/>
      <c r="BA418" s="34" t="n"/>
      <c r="BB418" s="34" t="n"/>
      <c r="BC418" s="34" t="n"/>
      <c r="BD418" s="34" t="n"/>
      <c r="BE418" s="34" t="n"/>
      <c r="BF418" s="34" t="n"/>
      <c r="BG418" s="34" t="n"/>
      <c r="BH418" s="34" t="n"/>
      <c r="BI418" s="34" t="n"/>
      <c r="BJ418" s="34" t="n"/>
      <c r="BK418" s="34" t="n"/>
      <c r="BL418" s="34" t="n"/>
      <c r="BM418" s="34" t="n"/>
      <c r="BN418" s="34" t="n"/>
      <c r="BO418" s="34" t="n"/>
      <c r="BP418" s="34" t="n"/>
      <c r="BQ418" s="34" t="n"/>
      <c r="BR418" s="34" t="n"/>
      <c r="BS418" s="34" t="n"/>
      <c r="BT418" s="34" t="n"/>
      <c r="BU418" s="34" t="n"/>
      <c r="BV418" s="34" t="n"/>
      <c r="BW418" s="34" t="n"/>
      <c r="BX418" s="34" t="n"/>
      <c r="BY418" s="35" t="n"/>
      <c r="BZ418" s="35" t="n"/>
      <c r="CA418" s="293">
        <f>IFERROR(CA407/CA160,"n/a")</f>
        <v>17.1735410536162</v>
      </c>
      <c r="CB418" s="293">
        <f>IFERROR(CB407/CB160,"n/a")</f>
        <v>26.867292700666</v>
      </c>
      <c r="CC418" s="293">
        <f>IFERROR(CC407/CC160,"n/a")</f>
        <v>25.0263843683415</v>
      </c>
      <c r="CD418" s="293">
        <f>IFERROR(CD407/CD160,"n/a")</f>
        <v>22.9073953814665</v>
      </c>
      <c r="CE418" s="293">
        <f>IFERROR(CE407/CE160,"n/a")</f>
        <v>21.132873993375</v>
      </c>
      <c r="CF418" s="19" t="n"/>
    </row>
    <row r="419" ht="15" customHeight="1" s="251">
      <c r="B419" s="25" t="inlineStr">
        <is>
          <t xml:space="preserve">  P / E (adjusted EPS, model)</t>
        </is>
      </c>
      <c r="C419" s="34" t="n"/>
      <c r="D419" s="34" t="n"/>
      <c r="E419" s="34" t="n"/>
      <c r="F419" s="34" t="n"/>
      <c r="G419" s="34" t="n"/>
      <c r="H419" s="34" t="n"/>
      <c r="I419" s="34" t="n"/>
      <c r="J419" s="34" t="n"/>
      <c r="K419" s="34" t="n"/>
      <c r="L419" s="34" t="n"/>
      <c r="M419" s="34" t="n"/>
      <c r="N419" s="34" t="n"/>
      <c r="O419" s="34" t="n"/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  <c r="AA419" s="34" t="n"/>
      <c r="AB419" s="34" t="n"/>
      <c r="AC419" s="34" t="n"/>
      <c r="AD419" s="34" t="n"/>
      <c r="AE419" s="34" t="n"/>
      <c r="AF419" s="34" t="n"/>
      <c r="AG419" s="34" t="n"/>
      <c r="AH419" s="34" t="n"/>
      <c r="AI419" s="34" t="n"/>
      <c r="AJ419" s="34" t="n"/>
      <c r="AK419" s="34" t="n"/>
      <c r="AL419" s="34" t="n"/>
      <c r="AM419" s="34" t="n"/>
      <c r="AN419" s="34" t="n"/>
      <c r="AO419" s="34" t="n"/>
      <c r="AP419" s="34" t="n"/>
      <c r="AQ419" s="34" t="n"/>
      <c r="AR419" s="34" t="n"/>
      <c r="AS419" s="34" t="n"/>
      <c r="AT419" s="34" t="n"/>
      <c r="AU419" s="34" t="n"/>
      <c r="AV419" s="34" t="n"/>
      <c r="AW419" s="34" t="n"/>
      <c r="AX419" s="34" t="n"/>
      <c r="AY419" s="34" t="n"/>
      <c r="AZ419" s="34" t="n"/>
      <c r="BA419" s="34" t="n"/>
      <c r="BB419" s="34" t="n"/>
      <c r="BC419" s="34" t="n"/>
      <c r="BD419" s="34" t="n"/>
      <c r="BE419" s="34" t="n"/>
      <c r="BF419" s="34" t="n"/>
      <c r="BG419" s="34" t="n"/>
      <c r="BH419" s="34" t="n"/>
      <c r="BI419" s="34" t="n"/>
      <c r="BJ419" s="34" t="n"/>
      <c r="BK419" s="34" t="n"/>
      <c r="BL419" s="34" t="n"/>
      <c r="BM419" s="34" t="n"/>
      <c r="BN419" s="34" t="n"/>
      <c r="BO419" s="34" t="n"/>
      <c r="BP419" s="34" t="n"/>
      <c r="BQ419" s="34" t="n"/>
      <c r="BR419" s="34" t="n"/>
      <c r="BS419" s="34" t="n"/>
      <c r="BT419" s="34" t="n"/>
      <c r="BU419" s="34" t="n"/>
      <c r="BV419" s="34" t="n"/>
      <c r="BW419" s="34" t="n"/>
      <c r="BX419" s="34" t="n"/>
      <c r="BY419" s="35" t="n"/>
      <c r="BZ419" s="35" t="n"/>
      <c r="CA419" s="293">
        <f>IFERROR(CA407/CA209,"n/a")</f>
        <v>29.9290247324173</v>
      </c>
      <c r="CB419" s="293">
        <f>IFERROR(CB407/CB209,"n/a")</f>
        <v>26.867292700666</v>
      </c>
      <c r="CC419" s="293">
        <f>IFERROR(CC407/CC209,"n/a")</f>
        <v>25.0263843683415</v>
      </c>
      <c r="CD419" s="293">
        <f>IFERROR(CD407/CD209,"n/a")</f>
        <v>22.9073953814665</v>
      </c>
      <c r="CE419" s="293">
        <f>IFERROR(CE407/CE209,"n/a")</f>
        <v>21.132873993375</v>
      </c>
      <c r="CF419" s="19" t="n"/>
    </row>
    <row r="420" ht="15" customHeight="1" s="251">
      <c r="B420" s="25" t="inlineStr">
        <is>
          <t xml:space="preserve">  FCF yield</t>
        </is>
      </c>
      <c r="C420" s="34" t="n"/>
      <c r="D420" s="34" t="n"/>
      <c r="E420" s="34" t="n"/>
      <c r="F420" s="34" t="n"/>
      <c r="G420" s="34" t="n"/>
      <c r="H420" s="34" t="n"/>
      <c r="I420" s="34" t="n"/>
      <c r="J420" s="34" t="n"/>
      <c r="K420" s="34" t="n"/>
      <c r="L420" s="34" t="n"/>
      <c r="M420" s="34" t="n"/>
      <c r="N420" s="34" t="n"/>
      <c r="O420" s="34" t="n"/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  <c r="AA420" s="34" t="n"/>
      <c r="AB420" s="34" t="n"/>
      <c r="AC420" s="34" t="n"/>
      <c r="AD420" s="34" t="n"/>
      <c r="AE420" s="34" t="n"/>
      <c r="AF420" s="34" t="n"/>
      <c r="AG420" s="34" t="n"/>
      <c r="AH420" s="34" t="n"/>
      <c r="AI420" s="34" t="n"/>
      <c r="AJ420" s="34" t="n"/>
      <c r="AK420" s="34" t="n"/>
      <c r="AL420" s="34" t="n"/>
      <c r="AM420" s="34" t="n"/>
      <c r="AN420" s="34" t="n"/>
      <c r="AO420" s="34" t="n"/>
      <c r="AP420" s="34" t="n"/>
      <c r="AQ420" s="34" t="n"/>
      <c r="AR420" s="34" t="n"/>
      <c r="AS420" s="34" t="n"/>
      <c r="AT420" s="34" t="n"/>
      <c r="AU420" s="34" t="n"/>
      <c r="AV420" s="34" t="n"/>
      <c r="AW420" s="34" t="n"/>
      <c r="AX420" s="34" t="n"/>
      <c r="AY420" s="34" t="n"/>
      <c r="AZ420" s="34" t="n"/>
      <c r="BA420" s="34" t="n"/>
      <c r="BB420" s="34" t="n"/>
      <c r="BC420" s="34" t="n"/>
      <c r="BD420" s="34" t="n"/>
      <c r="BE420" s="34" t="n"/>
      <c r="BF420" s="34" t="n"/>
      <c r="BG420" s="34" t="n"/>
      <c r="BH420" s="34" t="n"/>
      <c r="BI420" s="34" t="n"/>
      <c r="BJ420" s="34" t="n"/>
      <c r="BK420" s="34" t="n"/>
      <c r="BL420" s="34" t="n"/>
      <c r="BM420" s="34" t="n"/>
      <c r="BN420" s="34" t="n"/>
      <c r="BO420" s="34" t="n"/>
      <c r="BP420" s="34" t="n"/>
      <c r="BQ420" s="34" t="n"/>
      <c r="BR420" s="34" t="n"/>
      <c r="BS420" s="34" t="n"/>
      <c r="BT420" s="34" t="n"/>
      <c r="BU420" s="34" t="n"/>
      <c r="BV420" s="34" t="n"/>
      <c r="BW420" s="34" t="n"/>
      <c r="BX420" s="34" t="n"/>
      <c r="BY420" s="35" t="n"/>
      <c r="BZ420" s="35" t="n"/>
      <c r="CA420" s="256">
        <f>IFERROR(CA273/CA409,"n/a")</f>
        <v>-0.000645645061113577</v>
      </c>
      <c r="CB420" s="256">
        <f>IFERROR(CB273/CB409,"n/a")</f>
        <v>0.00194317759133457</v>
      </c>
      <c r="CC420" s="256">
        <f>IFERROR(CC273/CC409,"n/a")</f>
        <v>0.0060712549087449</v>
      </c>
      <c r="CD420" s="256">
        <f>IFERROR(CD273/CD409,"n/a")</f>
        <v>0.0129450511112876</v>
      </c>
      <c r="CE420" s="256">
        <f>IFERROR(CE273/CE409,"n/a")</f>
        <v>0.0196836959871472</v>
      </c>
      <c r="CF420" s="19" t="n"/>
    </row>
    <row r="421" ht="15" customHeight="1" s="251">
      <c r="B421" s="25" t="inlineStr">
        <is>
          <t xml:space="preserve">  Dividend yield</t>
        </is>
      </c>
      <c r="C421" s="34" t="n"/>
      <c r="D421" s="34" t="n"/>
      <c r="E421" s="34" t="n"/>
      <c r="F421" s="34" t="n"/>
      <c r="G421" s="34" t="n"/>
      <c r="H421" s="34" t="n"/>
      <c r="I421" s="34" t="n"/>
      <c r="J421" s="34" t="n"/>
      <c r="K421" s="34" t="n"/>
      <c r="L421" s="34" t="n"/>
      <c r="M421" s="34" t="n"/>
      <c r="N421" s="34" t="n"/>
      <c r="O421" s="34" t="n"/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  <c r="AA421" s="34" t="n"/>
      <c r="AB421" s="34" t="n"/>
      <c r="AC421" s="34" t="n"/>
      <c r="AD421" s="34" t="n"/>
      <c r="AE421" s="34" t="n"/>
      <c r="AF421" s="34" t="n"/>
      <c r="AG421" s="34" t="n"/>
      <c r="AH421" s="34" t="n"/>
      <c r="AI421" s="34" t="n"/>
      <c r="AJ421" s="34" t="n"/>
      <c r="AK421" s="34" t="n"/>
      <c r="AL421" s="34" t="n"/>
      <c r="AM421" s="34" t="n"/>
      <c r="AN421" s="34" t="n"/>
      <c r="AO421" s="34" t="n"/>
      <c r="AP421" s="34" t="n"/>
      <c r="AQ421" s="34" t="n"/>
      <c r="AR421" s="34" t="n"/>
      <c r="AS421" s="34" t="n"/>
      <c r="AT421" s="34" t="n"/>
      <c r="AU421" s="34" t="n"/>
      <c r="AV421" s="34" t="n"/>
      <c r="AW421" s="34" t="n"/>
      <c r="AX421" s="34" t="n"/>
      <c r="AY421" s="34" t="n"/>
      <c r="AZ421" s="34" t="n"/>
      <c r="BA421" s="34" t="n"/>
      <c r="BB421" s="34" t="n"/>
      <c r="BC421" s="34" t="n"/>
      <c r="BD421" s="34" t="n"/>
      <c r="BE421" s="34" t="n"/>
      <c r="BF421" s="34" t="n"/>
      <c r="BG421" s="34" t="n"/>
      <c r="BH421" s="34" t="n"/>
      <c r="BI421" s="34" t="n"/>
      <c r="BJ421" s="34" t="n"/>
      <c r="BK421" s="34" t="n"/>
      <c r="BL421" s="34" t="n"/>
      <c r="BM421" s="34" t="n"/>
      <c r="BN421" s="34" t="n"/>
      <c r="BO421" s="34" t="n"/>
      <c r="BP421" s="34" t="n"/>
      <c r="BQ421" s="34" t="n"/>
      <c r="BR421" s="34" t="n"/>
      <c r="BS421" s="34" t="n"/>
      <c r="BT421" s="34" t="n"/>
      <c r="BU421" s="34" t="n"/>
      <c r="BV421" s="34" t="n"/>
      <c r="BW421" s="34" t="n"/>
      <c r="BX421" s="34" t="n"/>
      <c r="BY421" s="35" t="n"/>
      <c r="BZ421" s="35" t="n"/>
      <c r="CA421" s="256">
        <f>IFERROR(CA165/CA407,"n/a")</f>
        <v>0.00248571428571429</v>
      </c>
      <c r="CB421" s="256">
        <f>IFERROR(CB165/CB407,"n/a")</f>
        <v>0.00261</v>
      </c>
      <c r="CC421" s="256">
        <f>IFERROR(CC165/CC407,"n/a")</f>
        <v>0.0027405</v>
      </c>
      <c r="CD421" s="256">
        <f>IFERROR(CD165/CD407,"n/a")</f>
        <v>0.002877525</v>
      </c>
      <c r="CE421" s="256">
        <f>IFERROR(CE165/CE407,"n/a")</f>
        <v>0.00302140125</v>
      </c>
      <c r="CF421" s="19" t="n"/>
    </row>
    <row r="422" ht="15" customHeight="1" s="251"/>
    <row r="423" ht="15" customHeight="1" s="251"/>
    <row r="424" ht="15" customHeight="1" s="251"/>
    <row r="425" ht="15" customHeight="1" s="251"/>
    <row r="426" ht="15" customHeight="1" s="251"/>
    <row r="427" ht="15" customHeight="1" s="251"/>
    <row r="428" ht="15" customHeight="1" s="251"/>
    <row r="429" ht="15" customHeight="1" s="251"/>
    <row r="430" ht="15" customHeight="1" s="251"/>
    <row r="431" ht="15" customHeight="1" s="251"/>
    <row r="432" ht="15" customHeight="1" s="251"/>
    <row r="433" ht="15" customHeight="1" s="251"/>
    <row r="434" ht="15" customHeight="1" s="251"/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CF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Alphabet Inc. (GOOG) — Bull / Base / Bear Case P&amp;L Summary</t>
        </is>
      </c>
      <c r="J2" s="152" t="inlineStr">
        <is>
          <t>Share price ($):</t>
        </is>
      </c>
      <c r="K2" s="74">
        <f>Model!$CA$407</f>
        <v>350</v>
      </c>
    </row>
    <row r="3" ht="15" customHeight="1" s="251">
      <c r="B3" s="4" t="inlineStr">
        <is>
          <t>Model-defined adjusted figures (adjusted EBITDA / operating income / EPS exclude company-reconciled EC fines and severance charges, equity-security gains and the Tax Act; Alphabet publishes no EBITDA or adjusted EPS) · USD millions · Live panel linked to Model — toggle scenario via Model!CF2. Bull and Bear panels are value snapshots generated from the Model with the switch set to each case. 2026E = Q1–Q2 actual + Q3–Q4 estimate (no company guidance).</t>
        </is>
      </c>
      <c r="J3" s="152" t="inlineStr">
        <is>
          <t>As of:</t>
        </is>
      </c>
      <c r="K3" s="294" t="str">
        <f>TODAY()</f>
        <v>2026-10-13 00:00:00</v>
      </c>
    </row>
    <row r="5" ht="15" customHeight="1" s="251">
      <c r="B5" s="10" t="inlineStr">
        <is>
          <t>Scenario:</t>
        </is>
      </c>
      <c r="C5" s="75" t="str">
        <f>Model!$CF$2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2025A</t>
        </is>
      </c>
      <c r="D7" s="150" t="inlineStr">
        <is>
          <t>2026E</t>
        </is>
      </c>
      <c r="E7" s="150" t="inlineStr">
        <is>
          <t>2027E</t>
        </is>
      </c>
      <c r="F7" s="150" t="inlineStr">
        <is>
          <t>2028E</t>
        </is>
      </c>
      <c r="G7" s="150" t="inlineStr">
        <is>
          <t>2029E</t>
        </is>
      </c>
      <c r="H7" s="150" t="inlineStr">
        <is>
          <t>2030E</t>
        </is>
      </c>
      <c r="I7" s="150" t="inlineStr">
        <is>
          <t>25-'30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2025A</t>
        </is>
      </c>
      <c r="P7" s="150" t="inlineStr">
        <is>
          <t>2026E</t>
        </is>
      </c>
      <c r="Q7" s="150" t="inlineStr">
        <is>
          <t>2027E</t>
        </is>
      </c>
      <c r="R7" s="150" t="inlineStr">
        <is>
          <t>2028E</t>
        </is>
      </c>
      <c r="S7" s="150" t="inlineStr">
        <is>
          <t>2029E</t>
        </is>
      </c>
      <c r="T7" s="150" t="inlineStr">
        <is>
          <t>2030E</t>
        </is>
      </c>
      <c r="U7" s="150" t="inlineStr">
        <is>
          <t>25-'30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2025A</t>
        </is>
      </c>
      <c r="AB7" s="150" t="inlineStr">
        <is>
          <t>2026E</t>
        </is>
      </c>
      <c r="AC7" s="150" t="inlineStr">
        <is>
          <t>2027E</t>
        </is>
      </c>
      <c r="AD7" s="150" t="inlineStr">
        <is>
          <t>2028E</t>
        </is>
      </c>
      <c r="AE7" s="150" t="inlineStr">
        <is>
          <t>2029E</t>
        </is>
      </c>
      <c r="AF7" s="150" t="inlineStr">
        <is>
          <t>2030E</t>
        </is>
      </c>
      <c r="AG7" s="150" t="inlineStr">
        <is>
          <t>25-'30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Revenues</t>
        </is>
      </c>
      <c r="C9" s="80">
        <f>Model!BV132</f>
        <v>402836</v>
      </c>
      <c r="D9" s="81">
        <f>Model!CA132</f>
        <v>498275.237720704</v>
      </c>
      <c r="E9" s="81">
        <f>Model!CB132</f>
        <v>584884.101093513</v>
      </c>
      <c r="F9" s="81">
        <f>Model!CC132</f>
        <v>670962.237105089</v>
      </c>
      <c r="G9" s="81">
        <f>Model!CD132</f>
        <v>758009.546641855</v>
      </c>
      <c r="H9" s="81">
        <f>Model!CE132</f>
        <v>843758.740007116</v>
      </c>
      <c r="I9" s="295">
        <f>IFERROR((H9/C9)^(1/5)-1,"n/m")</f>
        <v>0.159359171245032</v>
      </c>
      <c r="N9" s="79" t="inlineStr">
        <is>
          <t>Revenues</t>
        </is>
      </c>
      <c r="O9" s="80" t="n">
        <v>402836</v>
      </c>
      <c r="P9" s="81" t="n">
        <v>502604.217720704</v>
      </c>
      <c r="Q9" s="81" t="n">
        <v>606355.041393879</v>
      </c>
      <c r="R9" s="81" t="n">
        <v>718406.3532615521</v>
      </c>
      <c r="S9" s="81" t="n">
        <v>841460.722746797</v>
      </c>
      <c r="T9" s="81" t="n">
        <v>974322.00093327</v>
      </c>
      <c r="U9" s="295" t="n">
        <v>0.193204401943881</v>
      </c>
      <c r="Z9" s="79" t="inlineStr">
        <is>
          <t>Revenues</t>
        </is>
      </c>
      <c r="AA9" s="80" t="n">
        <v>402836</v>
      </c>
      <c r="AB9" s="81" t="n">
        <v>491781.767720704</v>
      </c>
      <c r="AC9" s="81" t="n">
        <v>549699.333849915</v>
      </c>
      <c r="AD9" s="81" t="n">
        <v>596689.152430598</v>
      </c>
      <c r="AE9" s="81" t="n">
        <v>635070.544236776</v>
      </c>
      <c r="AF9" s="81" t="n">
        <v>663838.8829985131</v>
      </c>
      <c r="AG9" s="295" t="n">
        <v>0.105062603972148</v>
      </c>
    </row>
    <row r="10" ht="15" customHeight="1" s="251">
      <c r="B10" s="83" t="inlineStr">
        <is>
          <t xml:space="preserve">   Revenues y/y %</t>
        </is>
      </c>
      <c r="C10" s="296" t="n"/>
      <c r="D10" s="297">
        <f>IFERROR(D9/C9-1,"")</f>
        <v>0.23691834324813</v>
      </c>
      <c r="E10" s="297">
        <f>IFERROR(E9/D9-1,"")</f>
        <v>0.173817313838413</v>
      </c>
      <c r="F10" s="297">
        <f>IFERROR(F9/E9-1,"")</f>
        <v>0.147171270086915</v>
      </c>
      <c r="G10" s="297">
        <f>IFERROR(G9/F9-1,"")</f>
        <v>0.129735035331253</v>
      </c>
      <c r="H10" s="297">
        <f>IFERROR(H9/G9-1,"")</f>
        <v>0.113124160170737</v>
      </c>
      <c r="N10" s="83" t="inlineStr">
        <is>
          <t xml:space="preserve">   Revenues y/y %</t>
        </is>
      </c>
      <c r="O10" s="296" t="n"/>
      <c r="P10" s="297" t="n">
        <v>0.247664602271653</v>
      </c>
      <c r="Q10" s="297" t="n">
        <v>0.206426488308598</v>
      </c>
      <c r="R10" s="297" t="n">
        <v>0.184794887843419</v>
      </c>
      <c r="S10" s="297" t="n">
        <v>0.171287975011051</v>
      </c>
      <c r="T10" s="297" t="n">
        <v>0.157893618317408</v>
      </c>
      <c r="Z10" s="83" t="inlineStr">
        <is>
          <t xml:space="preserve">   Revenues y/y %</t>
        </is>
      </c>
      <c r="AA10" s="296" t="n"/>
      <c r="AB10" s="297" t="n">
        <v>0.220798954712845</v>
      </c>
      <c r="AC10" s="297" t="n">
        <v>0.117770868972321</v>
      </c>
      <c r="AD10" s="297" t="n">
        <v>0.0854827642805769</v>
      </c>
      <c r="AE10" s="297" t="n">
        <v>0.0643239308940558</v>
      </c>
      <c r="AF10" s="297" t="n">
        <v>0.0452994380274874</v>
      </c>
    </row>
    <row r="11" ht="15" customHeight="1" s="251">
      <c r="B11" s="79" t="inlineStr">
        <is>
          <t xml:space="preserve">   Google Cloud revenues y/y %</t>
        </is>
      </c>
      <c r="C11" s="86">
        <f>Model!BV230</f>
        <v>0.358000416387148</v>
      </c>
      <c r="D11" s="87">
        <f>Model!CA230</f>
        <v>0.73064441353732</v>
      </c>
      <c r="E11" s="87">
        <f>Model!CB230</f>
        <v>0.45</v>
      </c>
      <c r="F11" s="87">
        <f>Model!CC230</f>
        <v>0.32</v>
      </c>
      <c r="G11" s="87">
        <f>Model!CD230</f>
        <v>0.25</v>
      </c>
      <c r="H11" s="87">
        <f>Model!CE230</f>
        <v>0.2</v>
      </c>
      <c r="N11" s="79" t="inlineStr">
        <is>
          <t xml:space="preserve">   Google Cloud revenues y/y %</t>
        </is>
      </c>
      <c r="O11" s="86" t="n">
        <v>0.358000416387148</v>
      </c>
      <c r="P11" s="87" t="n">
        <v>0.741826084604521</v>
      </c>
      <c r="Q11" s="87" t="n">
        <v>0.53</v>
      </c>
      <c r="R11" s="87" t="n">
        <v>0.4</v>
      </c>
      <c r="S11" s="87" t="n">
        <v>0.33</v>
      </c>
      <c r="T11" s="87" t="n">
        <v>0.28</v>
      </c>
      <c r="Z11" s="79" t="inlineStr">
        <is>
          <t xml:space="preserve">   Google Cloud revenues y/y %</t>
        </is>
      </c>
      <c r="AA11" s="86" t="n">
        <v>0.358000416387148</v>
      </c>
      <c r="AB11" s="87" t="n">
        <v>0.71387190693652</v>
      </c>
      <c r="AC11" s="87" t="n">
        <v>0.33</v>
      </c>
      <c r="AD11" s="87" t="n">
        <v>0.2</v>
      </c>
      <c r="AE11" s="87" t="n">
        <v>0.13</v>
      </c>
      <c r="AF11" s="87" t="n">
        <v>0.0800000000000001</v>
      </c>
    </row>
    <row r="12" ht="15" customHeight="1" s="251">
      <c r="B12" s="79" t="inlineStr">
        <is>
          <t>Adjusted EBITDA (model)</t>
        </is>
      </c>
      <c r="C12" s="80">
        <f>Model!BV191</f>
        <v>153632</v>
      </c>
      <c r="D12" s="81">
        <f>Model!CA191</f>
        <v>204129.254664787</v>
      </c>
      <c r="E12" s="81">
        <f>Model!CB191</f>
        <v>244974.616501572</v>
      </c>
      <c r="F12" s="81">
        <f>Model!CC191</f>
        <v>286016.960829526</v>
      </c>
      <c r="G12" s="81">
        <f>Model!CD191</f>
        <v>331272.45527132</v>
      </c>
      <c r="H12" s="81">
        <f>Model!CE191</f>
        <v>375223.195472324</v>
      </c>
      <c r="I12" s="295">
        <f>IFERROR((H12/C12)^(1/5)-1,"n/m")</f>
        <v>0.195533083508404</v>
      </c>
      <c r="N12" s="79" t="inlineStr">
        <is>
          <t>Adjusted EBITDA (model)</t>
        </is>
      </c>
      <c r="O12" s="80" t="n">
        <v>153632</v>
      </c>
      <c r="P12" s="81" t="n">
        <v>208622.965626051</v>
      </c>
      <c r="Q12" s="81" t="n">
        <v>265933.874689217</v>
      </c>
      <c r="R12" s="81" t="n">
        <v>315961.48786436</v>
      </c>
      <c r="S12" s="81" t="n">
        <v>373500.210024353</v>
      </c>
      <c r="T12" s="81" t="n">
        <v>433081.094414468</v>
      </c>
      <c r="U12" s="295" t="n">
        <v>0.230318369185474</v>
      </c>
      <c r="Z12" s="79" t="inlineStr">
        <is>
          <t>Adjusted EBITDA (model)</t>
        </is>
      </c>
      <c r="AA12" s="80" t="n">
        <v>153632</v>
      </c>
      <c r="AB12" s="81" t="n">
        <v>197550.489472892</v>
      </c>
      <c r="AC12" s="81" t="n">
        <v>210807.601680388</v>
      </c>
      <c r="AD12" s="81" t="n">
        <v>239741.889998711</v>
      </c>
      <c r="AE12" s="81" t="n">
        <v>270285.336423823</v>
      </c>
      <c r="AF12" s="81" t="n">
        <v>297678.137095584</v>
      </c>
      <c r="AG12" s="295" t="n">
        <v>0.141439903582824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0.38137604384911</v>
      </c>
      <c r="D13" s="89">
        <f>IFERROR(D12/D9,"")</f>
        <v>0.409671681857101</v>
      </c>
      <c r="E13" s="89">
        <f>IFERROR(E12/E9,"")</f>
        <v>0.418843008458533</v>
      </c>
      <c r="F13" s="89">
        <f>IFERROR(F12/F9,"")</f>
        <v>0.426278775484542</v>
      </c>
      <c r="G13" s="89">
        <f>IFERROR(G12/G9,"")</f>
        <v>0.437029397240349</v>
      </c>
      <c r="H13" s="89">
        <f>IFERROR(H12/H9,"")</f>
        <v>0.444704365929483</v>
      </c>
      <c r="J13" s="90">
        <f>IFERROR(AVERAGE(Model!C192,Model!D192,Model!E192,Model!F192,Model!G192,Model!H192,Model!I192,Model!N192,Model!S192,Model!X192,Model!AC192,Model!AH192,Model!AM192,Model!AR192,Model!AW192,Model!BB192,Model!BG192,Model!BL192,Model!BQ192,Model!BV192),"")</f>
        <v>0.342779583376578</v>
      </c>
      <c r="K13" s="90">
        <f>IFERROR(MIN(Model!C192,Model!D192,Model!E192,Model!F192,Model!G192,Model!H192,Model!I192,Model!N192,Model!S192,Model!X192,Model!AC192,Model!AH192,Model!AM192,Model!AR192,Model!AW192,Model!BB192,Model!BG192,Model!BL192,Model!BQ192,Model!BV192),"")</f>
        <v>0.294760189550035</v>
      </c>
      <c r="L13" s="90">
        <f>IFERROR(MAX(Model!C192,Model!D192,Model!E192,Model!F192,Model!G192,Model!H192,Model!I192,Model!N192,Model!S192,Model!X192,Model!AC192,Model!AH192,Model!AM192,Model!AR192,Model!AW192,Model!BB192,Model!BG192,Model!BL192,Model!BQ192,Model!BV192),"")</f>
        <v>0.415909507101374</v>
      </c>
      <c r="N13" s="83" t="inlineStr">
        <is>
          <t xml:space="preserve">   Adjusted EBITDA margin %</t>
        </is>
      </c>
      <c r="O13" s="88" t="n">
        <v>0.38137604384911</v>
      </c>
      <c r="P13" s="89" t="n">
        <v>0.415083993071428</v>
      </c>
      <c r="Q13" s="89" t="n">
        <v>0.438577824104329</v>
      </c>
      <c r="R13" s="89" t="n">
        <v>0.439808871998278</v>
      </c>
      <c r="S13" s="89" t="n">
        <v>0.443871234779835</v>
      </c>
      <c r="T13" s="89" t="n">
        <v>0.444494832303524</v>
      </c>
      <c r="V13" s="90" t="n">
        <v>0.342779583376578</v>
      </c>
      <c r="W13" s="90" t="n">
        <v>0.294760189550035</v>
      </c>
      <c r="X13" s="90" t="n">
        <v>0.415909507101374</v>
      </c>
      <c r="Z13" s="83" t="inlineStr">
        <is>
          <t xml:space="preserve">   Adjusted EBITDA margin %</t>
        </is>
      </c>
      <c r="AA13" s="88" t="n">
        <v>0.38137604384911</v>
      </c>
      <c r="AB13" s="89" t="n">
        <v>0.401703565360898</v>
      </c>
      <c r="AC13" s="89" t="n">
        <v>0.383496192734964</v>
      </c>
      <c r="AD13" s="89" t="n">
        <v>0.401786908681226</v>
      </c>
      <c r="AE13" s="89" t="n">
        <v>0.425598917910214</v>
      </c>
      <c r="AF13" s="89" t="n">
        <v>0.448419254610386</v>
      </c>
      <c r="AH13" s="90" t="n">
        <v>0.342779583376578</v>
      </c>
      <c r="AI13" s="90" t="n">
        <v>0.294760189550035</v>
      </c>
      <c r="AJ13" s="90" t="n">
        <v>0.415909507101374</v>
      </c>
    </row>
    <row r="15" ht="15" customHeight="1" s="251">
      <c r="B15" s="79" t="inlineStr">
        <is>
          <t>Income from operations (GAAP)</t>
        </is>
      </c>
      <c r="C15" s="80">
        <f>Model!BV140</f>
        <v>129039</v>
      </c>
      <c r="D15" s="81">
        <f>Model!CA140</f>
        <v>172938.832200787</v>
      </c>
      <c r="E15" s="81">
        <f>Model!CB140</f>
        <v>194643.240084932</v>
      </c>
      <c r="F15" s="81">
        <f>Model!CC140</f>
        <v>212421.8802008</v>
      </c>
      <c r="G15" s="81">
        <f>Model!CD140</f>
        <v>234774.621414897</v>
      </c>
      <c r="H15" s="81">
        <f>Model!CE140</f>
        <v>256717.05000939</v>
      </c>
      <c r="I15" s="295">
        <f>IFERROR((H15/C15)^(1/5)-1,"n/m")</f>
        <v>0.14748428088125</v>
      </c>
      <c r="N15" s="79" t="inlineStr">
        <is>
          <t>Income from operations (GAAP)</t>
        </is>
      </c>
      <c r="O15" s="80" t="n">
        <v>129039</v>
      </c>
      <c r="P15" s="81" t="n">
        <v>177432.543162051</v>
      </c>
      <c r="Q15" s="81" t="n">
        <v>215514.998272577</v>
      </c>
      <c r="R15" s="81" t="n">
        <v>243253.907235633</v>
      </c>
      <c r="S15" s="81" t="n">
        <v>278732.62616793</v>
      </c>
      <c r="T15" s="81" t="n">
        <v>317030.907701534</v>
      </c>
      <c r="U15" s="295" t="n">
        <v>0.196950314190624</v>
      </c>
      <c r="Z15" s="79" t="inlineStr">
        <is>
          <t>Income from operations (GAAP)</t>
        </is>
      </c>
      <c r="AA15" s="80" t="n">
        <v>129039</v>
      </c>
      <c r="AB15" s="81" t="n">
        <v>166360.067008892</v>
      </c>
      <c r="AC15" s="81" t="n">
        <v>160563.725263748</v>
      </c>
      <c r="AD15" s="81" t="n">
        <v>164684.309369985</v>
      </c>
      <c r="AE15" s="81" t="n">
        <v>170973.3775674</v>
      </c>
      <c r="AF15" s="81" t="n">
        <v>175181.80350765</v>
      </c>
      <c r="AG15" s="295" t="n">
        <v>0.0630497773734444</v>
      </c>
    </row>
    <row r="16" ht="15" customHeight="1" s="251">
      <c r="B16" s="83" t="inlineStr">
        <is>
          <t xml:space="preserve">   Operating income y/y %</t>
        </is>
      </c>
      <c r="C16" s="296" t="n"/>
      <c r="D16" s="297">
        <f>IFERROR(D15/C15-1,"")</f>
        <v>0.340205923796583</v>
      </c>
      <c r="E16" s="297">
        <f>IFERROR(E15/D15-1,"")</f>
        <v>0.125503379477808</v>
      </c>
      <c r="F16" s="297">
        <f>IFERROR(F15/E15-1,"")</f>
        <v>0.0913396227277692</v>
      </c>
      <c r="G16" s="297">
        <f>IFERROR(G15/F15-1,"")</f>
        <v>0.105228054628681</v>
      </c>
      <c r="H16" s="297">
        <f>IFERROR(H15/G15-1,"")</f>
        <v>0.0934616717184105</v>
      </c>
      <c r="N16" s="83" t="inlineStr">
        <is>
          <t xml:space="preserve">   Operating income y/y %</t>
        </is>
      </c>
      <c r="O16" s="296" t="n"/>
      <c r="P16" s="297" t="n">
        <v>0.375030364169368</v>
      </c>
      <c r="Q16" s="297" t="n">
        <v>0.214630610776656</v>
      </c>
      <c r="R16" s="297" t="n">
        <v>0.128709877202942</v>
      </c>
      <c r="S16" s="297" t="n">
        <v>0.14585056139686</v>
      </c>
      <c r="T16" s="297" t="n">
        <v>0.137401502149698</v>
      </c>
      <c r="Z16" s="83" t="inlineStr">
        <is>
          <t xml:space="preserve">   Operating income y/y %</t>
        </is>
      </c>
      <c r="AA16" s="296" t="n"/>
      <c r="AB16" s="297" t="n">
        <v>0.289223157408935</v>
      </c>
      <c r="AC16" s="297" t="n">
        <v>-0.0348421460111192</v>
      </c>
      <c r="AD16" s="297" t="n">
        <v>0.0256632318381229</v>
      </c>
      <c r="AE16" s="297" t="n">
        <v>0.0381886302433712</v>
      </c>
      <c r="AF16" s="297" t="n">
        <v>0.024614510166012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0.3203263859238</v>
      </c>
      <c r="D17" s="89">
        <f>IFERROR(D15/D9,"")</f>
        <v>0.34707490781977</v>
      </c>
      <c r="E17" s="89">
        <f>IFERROR(E15/E9,"")</f>
        <v>0.332789418828486</v>
      </c>
      <c r="F17" s="89">
        <f>IFERROR(F15/F9,"")</f>
        <v>0.316592899650073</v>
      </c>
      <c r="G17" s="89">
        <f>IFERROR(G15/G9,"")</f>
        <v>0.309725151160693</v>
      </c>
      <c r="H17" s="89">
        <f>IFERROR(H15/H9,"")</f>
        <v>0.304254092831352</v>
      </c>
      <c r="J17" s="90">
        <f>IFERROR(AVERAGE(Model!C239,Model!D239,Model!E239,Model!F239,Model!G239,Model!H239,Model!I239,Model!N239,Model!S239,Model!X239,Model!AC239,Model!AH239,Model!AM239,Model!AR239,Model!AW239,Model!BB239,Model!BG239,Model!BL239,Model!BQ239,Model!BV239),"")</f>
        <v>0.278532308283533</v>
      </c>
      <c r="K17" s="90">
        <f>IFERROR(MIN(Model!C239,Model!D239,Model!E239,Model!F239,Model!G239,Model!H239,Model!I239,Model!N239,Model!S239,Model!X239,Model!AC239,Model!AH239,Model!AM239,Model!AR239,Model!AW239,Model!BB239,Model!BG239,Model!BL239,Model!BQ239,Model!BV239),"")</f>
        <v>0.192378251558629</v>
      </c>
      <c r="L17" s="90">
        <f>IFERROR(MAX(Model!C239,Model!D239,Model!E239,Model!F239,Model!G239,Model!H239,Model!I239,Model!N239,Model!S239,Model!X239,Model!AC239,Model!AH239,Model!AM239,Model!AR239,Model!AW239,Model!BB239,Model!BG239,Model!BL239,Model!BQ239,Model!BV239),"")</f>
        <v>0.354046587769858</v>
      </c>
      <c r="N17" s="83" t="inlineStr">
        <is>
          <t xml:space="preserve">   Operating margin (GAAP) %</t>
        </is>
      </c>
      <c r="O17" s="88" t="n">
        <v>0.3203263859238</v>
      </c>
      <c r="P17" s="89" t="n">
        <v>0.353026371260279</v>
      </c>
      <c r="Q17" s="89" t="n">
        <v>0.35542707417284</v>
      </c>
      <c r="R17" s="89" t="n">
        <v>0.338602110255936</v>
      </c>
      <c r="S17" s="89" t="n">
        <v>0.331248528461385</v>
      </c>
      <c r="T17" s="89" t="n">
        <v>0.325386173562601</v>
      </c>
      <c r="V17" s="90" t="n">
        <v>0.278532308283533</v>
      </c>
      <c r="W17" s="90" t="n">
        <v>0.192378251558629</v>
      </c>
      <c r="X17" s="90" t="n">
        <v>0.354046587769858</v>
      </c>
      <c r="Z17" s="83" t="inlineStr">
        <is>
          <t xml:space="preserve">   Operating margin (GAAP) %</t>
        </is>
      </c>
      <c r="AA17" s="88" t="n">
        <v>0.3203263859238</v>
      </c>
      <c r="AB17" s="89" t="n">
        <v>0.338280265614426</v>
      </c>
      <c r="AC17" s="89" t="n">
        <v>0.292093723561955</v>
      </c>
      <c r="AD17" s="89" t="n">
        <v>0.275996821291534</v>
      </c>
      <c r="AE17" s="89" t="n">
        <v>0.26921950501243</v>
      </c>
      <c r="AF17" s="89" t="n">
        <v>0.263892049703938</v>
      </c>
      <c r="AH17" s="90" t="n">
        <v>0.278532308283533</v>
      </c>
      <c r="AI17" s="90" t="n">
        <v>0.192378251558629</v>
      </c>
      <c r="AJ17" s="90" t="n">
        <v>0.354046587769858</v>
      </c>
    </row>
    <row r="19" ht="15" customHeight="1" s="251">
      <c r="B19" s="79" t="inlineStr">
        <is>
          <t>Adjusted Net Income (model)</t>
        </is>
      </c>
      <c r="C19" s="80">
        <f>Model!BV207</f>
        <v>116603.8</v>
      </c>
      <c r="D19" s="81">
        <f>Model!CA207</f>
        <v>144596.055624646</v>
      </c>
      <c r="E19" s="81">
        <f>Model!CB207</f>
        <v>162952.157327398</v>
      </c>
      <c r="F19" s="81">
        <f>Model!CC207</f>
        <v>176055.03063457</v>
      </c>
      <c r="G19" s="81">
        <f>Model!CD207</f>
        <v>194039.034820097</v>
      </c>
      <c r="H19" s="81">
        <f>Model!CE207</f>
        <v>212409.076164546</v>
      </c>
      <c r="I19" s="295">
        <f>IFERROR((H19/C19)^(1/5)-1,"n/m")</f>
        <v>0.127436454654124</v>
      </c>
      <c r="N19" s="79" t="inlineStr">
        <is>
          <t>Adjusted Net Income (model)</t>
        </is>
      </c>
      <c r="O19" s="80" t="n">
        <v>116603.8</v>
      </c>
      <c r="P19" s="81" t="n">
        <v>148280.898612882</v>
      </c>
      <c r="Q19" s="81" t="n">
        <v>180144.016116545</v>
      </c>
      <c r="R19" s="81" t="n">
        <v>200576.685898577</v>
      </c>
      <c r="S19" s="81" t="n">
        <v>229978.701916504</v>
      </c>
      <c r="T19" s="81" t="n">
        <v>261726.68640823</v>
      </c>
      <c r="U19" s="295" t="n">
        <v>0.175511982918515</v>
      </c>
      <c r="Z19" s="79" t="inlineStr">
        <is>
          <t>Adjusted Net Income (model)</t>
        </is>
      </c>
      <c r="AA19" s="80" t="n">
        <v>116603.8</v>
      </c>
      <c r="AB19" s="81" t="n">
        <v>139201.468167291</v>
      </c>
      <c r="AC19" s="81" t="n">
        <v>134683.197304016</v>
      </c>
      <c r="AD19" s="81" t="n">
        <v>136244.823963444</v>
      </c>
      <c r="AE19" s="81" t="n">
        <v>139631.711939112</v>
      </c>
      <c r="AF19" s="81" t="n">
        <v>141595.147007107</v>
      </c>
      <c r="AG19" s="295" t="n">
        <v>0.0396020637662395</v>
      </c>
    </row>
    <row r="21" ht="15" customHeight="1" s="251">
      <c r="B21" s="79" t="inlineStr">
        <is>
          <t>FDSO (m)</t>
        </is>
      </c>
      <c r="C21" s="91">
        <f>Model!BV159</f>
        <v>12230</v>
      </c>
      <c r="D21" s="92">
        <f>Model!CA159</f>
        <v>12364.6255</v>
      </c>
      <c r="E21" s="92">
        <f>Model!CB159</f>
        <v>12508.8094489148</v>
      </c>
      <c r="F21" s="92">
        <f>Model!CC159</f>
        <v>12588.6310475454</v>
      </c>
      <c r="G21" s="92">
        <f>Model!CD159</f>
        <v>12699.7968287489</v>
      </c>
      <c r="H21" s="92">
        <f>Model!CE159</f>
        <v>12825.1835475273</v>
      </c>
      <c r="I21" s="295">
        <f>IFERROR((H21/C21)^(1/5)-1,"n/m")</f>
        <v>0.00954905463402622</v>
      </c>
      <c r="N21" s="79" t="inlineStr">
        <is>
          <t>FDSO (m)</t>
        </is>
      </c>
      <c r="O21" s="91" t="n">
        <v>12230</v>
      </c>
      <c r="P21" s="92" t="n">
        <v>12361.0540714286</v>
      </c>
      <c r="Q21" s="92" t="n">
        <v>12421.0427503025</v>
      </c>
      <c r="R21" s="92" t="n">
        <v>12417.434195936</v>
      </c>
      <c r="S21" s="92" t="n">
        <v>12465.9146891326</v>
      </c>
      <c r="T21" s="92" t="n">
        <v>12446.3288646531</v>
      </c>
      <c r="U21" s="295" t="n">
        <v>0.00351290773193114</v>
      </c>
      <c r="Z21" s="79" t="inlineStr">
        <is>
          <t>FDSO (m)</t>
        </is>
      </c>
      <c r="AA21" s="91" t="n">
        <v>12230</v>
      </c>
      <c r="AB21" s="92" t="n">
        <v>12364.6255</v>
      </c>
      <c r="AC21" s="92" t="n">
        <v>12545.2645502646</v>
      </c>
      <c r="AD21" s="92" t="n">
        <v>12661.541250245</v>
      </c>
      <c r="AE21" s="92" t="n">
        <v>12772.7070314485</v>
      </c>
      <c r="AF21" s="92" t="n">
        <v>12898.0937502268</v>
      </c>
      <c r="AG21" s="295" t="n">
        <v>0.0106942954143952</v>
      </c>
    </row>
    <row r="23" ht="15" customHeight="1" s="251">
      <c r="B23" s="79" t="inlineStr">
        <is>
          <t>Adjusted EPS — Diluted ($)</t>
        </is>
      </c>
      <c r="C23" s="93">
        <f>Model!BV209</f>
        <v>9.53424366312347</v>
      </c>
      <c r="D23" s="94">
        <f>Model!CA209</f>
        <v>11.6943336152515</v>
      </c>
      <c r="E23" s="94">
        <f>Model!CB209</f>
        <v>13.0269917367344</v>
      </c>
      <c r="F23" s="94">
        <f>Model!CC209</f>
        <v>13.9852403307108</v>
      </c>
      <c r="G23" s="94">
        <f>Model!CD209</f>
        <v>15.2789085870134</v>
      </c>
      <c r="H23" s="94">
        <f>Model!CE209</f>
        <v>16.5618741733719</v>
      </c>
      <c r="I23" s="295">
        <f>IFERROR((H23/C23)^(1/5)-1,"n/m")</f>
        <v>0.116772334617097</v>
      </c>
      <c r="N23" s="79" t="inlineStr">
        <is>
          <t>Adjusted EPS — Diluted ($)</t>
        </is>
      </c>
      <c r="O23" s="93" t="n">
        <v>9.534243663123471</v>
      </c>
      <c r="P23" s="94" t="n">
        <v>11.995813444067</v>
      </c>
      <c r="Q23" s="94" t="n">
        <v>14.5031314792116</v>
      </c>
      <c r="R23" s="94" t="n">
        <v>16.1528285742172</v>
      </c>
      <c r="S23" s="94" t="n">
        <v>18.4486022607705</v>
      </c>
      <c r="T23" s="94" t="n">
        <v>21.0284244659098</v>
      </c>
      <c r="U23" s="295" t="n">
        <v>0.17139697343338</v>
      </c>
      <c r="Z23" s="79" t="inlineStr">
        <is>
          <t>Adjusted EPS — Diluted ($)</t>
        </is>
      </c>
      <c r="AA23" s="93" t="n">
        <v>9.534243663123471</v>
      </c>
      <c r="AB23" s="94" t="n">
        <v>11.2580415935194</v>
      </c>
      <c r="AC23" s="94" t="n">
        <v>10.7357797648975</v>
      </c>
      <c r="AD23" s="94" t="n">
        <v>10.7605244314793</v>
      </c>
      <c r="AE23" s="94" t="n">
        <v>10.9320374761056</v>
      </c>
      <c r="AF23" s="94" t="n">
        <v>10.9779902169355</v>
      </c>
      <c r="AG23" s="295" t="n">
        <v>0.0286018912771167</v>
      </c>
    </row>
    <row r="24" ht="15" customHeight="1" s="251">
      <c r="B24" s="83" t="inlineStr">
        <is>
          <t xml:space="preserve">   EPS y/y %</t>
        </is>
      </c>
      <c r="C24" s="296" t="n"/>
      <c r="D24" s="297">
        <f>IFERROR(D23/C23-1,"")</f>
        <v>0.226561227974779</v>
      </c>
      <c r="E24" s="297">
        <f>IFERROR(E23/D23-1,"")</f>
        <v>0.113957593936341</v>
      </c>
      <c r="F24" s="297">
        <f>IFERROR(F23/E23-1,"")</f>
        <v>0.0735587012981871</v>
      </c>
      <c r="G24" s="297">
        <f>IFERROR(G23/F23-1,"")</f>
        <v>0.0925023972210022</v>
      </c>
      <c r="H24" s="297">
        <f>IFERROR(H23/G23-1,"")</f>
        <v>0.083969714135798</v>
      </c>
      <c r="N24" s="83" t="inlineStr">
        <is>
          <t xml:space="preserve">   EPS y/y %</t>
        </is>
      </c>
      <c r="O24" s="296" t="n"/>
      <c r="P24" s="297" t="n">
        <v>0.258181966805021</v>
      </c>
      <c r="Q24" s="297" t="n">
        <v>0.209016091058391</v>
      </c>
      <c r="R24" s="297" t="n">
        <v>0.113747648042095</v>
      </c>
      <c r="S24" s="297" t="n">
        <v>0.142128276543333</v>
      </c>
      <c r="T24" s="297" t="n">
        <v>0.139838355701614</v>
      </c>
      <c r="Z24" s="83" t="inlineStr">
        <is>
          <t xml:space="preserve">   EPS y/y %</t>
        </is>
      </c>
      <c r="AA24" s="296" t="n"/>
      <c r="AB24" s="297" t="n">
        <v>0.180800700223687</v>
      </c>
      <c r="AC24" s="297" t="n">
        <v>-0.0463901136164353</v>
      </c>
      <c r="AD24" s="297" t="n">
        <v>0.00230487837154558</v>
      </c>
      <c r="AE24" s="297" t="n">
        <v>0.0159390971804811</v>
      </c>
      <c r="AF24" s="297" t="n">
        <v>0.00420349280089494</v>
      </c>
    </row>
    <row r="26" ht="15" customHeight="1" s="251">
      <c r="B26" s="83" t="inlineStr">
        <is>
          <t>P / E (x) — assumed (adjusted EPS)</t>
        </is>
      </c>
      <c r="C26" s="298" t="n"/>
      <c r="D26" s="298" t="n"/>
      <c r="E26" s="298" t="n"/>
      <c r="F26" s="298" t="n"/>
      <c r="G26" s="298" t="n">
        <v>26</v>
      </c>
      <c r="H26" s="298" t="n">
        <v>26</v>
      </c>
      <c r="N26" s="83" t="inlineStr">
        <is>
          <t>P / E (x) — assumed (adjusted EPS)</t>
        </is>
      </c>
      <c r="O26" s="298" t="n"/>
      <c r="P26" s="298" t="n"/>
      <c r="Q26" s="298" t="n"/>
      <c r="R26" s="298" t="n"/>
      <c r="S26" s="298" t="n">
        <v>30</v>
      </c>
      <c r="T26" s="298" t="n">
        <v>30</v>
      </c>
      <c r="Z26" s="83" t="inlineStr">
        <is>
          <t>P / E (x) — assumed (adjusted EPS)</t>
        </is>
      </c>
      <c r="AA26" s="298" t="n"/>
      <c r="AB26" s="298" t="n"/>
      <c r="AC26" s="298" t="n"/>
      <c r="AD26" s="298" t="n">
        <v>20</v>
      </c>
      <c r="AE26" s="298" t="n">
        <v>20</v>
      </c>
      <c r="AF26" s="298" t="n">
        <v>20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397.251623262348</v>
      </c>
      <c r="H27" s="96">
        <f>H26*H23</f>
        <v>430.608728507669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553.458067823115</v>
      </c>
      <c r="T27" s="96">
        <f>T26*T23</f>
        <v>630.852733977294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215.210488629586</v>
      </c>
      <c r="AE27" s="96">
        <f>AE26*AE23</f>
        <v>218.640749522112</v>
      </c>
      <c r="AF27" s="96">
        <f>AF26*AF23</f>
        <v>219.55980433871</v>
      </c>
    </row>
    <row r="28" ht="15" customHeight="1" s="251">
      <c r="B28" t="inlineStr">
        <is>
          <t xml:space="preserve">   Upside / (Downside) vs current</t>
        </is>
      </c>
      <c r="E28" s="299" t="n"/>
      <c r="F28" s="299" t="n"/>
      <c r="G28" s="299">
        <f>IFERROR(G27/$K$2-1,"")</f>
        <v>0.135004637892423</v>
      </c>
      <c r="H28" s="299">
        <f>IFERROR(H27/$K$2-1,"")</f>
        <v>0.230310652879055</v>
      </c>
      <c r="N28" t="inlineStr">
        <is>
          <t xml:space="preserve">   Upside / (Downside) vs current</t>
        </is>
      </c>
      <c r="O28" s="299" t="n"/>
      <c r="P28" s="299" t="n"/>
      <c r="Q28" s="299" t="n"/>
      <c r="R28" s="299" t="n"/>
      <c r="S28" s="299">
        <f>IFERROR(S27/$K$2-1,"")</f>
        <v>0.5813087652089</v>
      </c>
      <c r="T28" s="299">
        <f>IFERROR(T27/$K$2-1,"")</f>
        <v>0.802436382792269</v>
      </c>
      <c r="Z28" t="inlineStr">
        <is>
          <t xml:space="preserve">   Upside / (Downside) vs current</t>
        </is>
      </c>
      <c r="AA28" s="299" t="n"/>
      <c r="AB28" s="299" t="n"/>
      <c r="AC28" s="299" t="n"/>
      <c r="AD28" s="299">
        <f>IFERROR(AD27/$K$2-1,"")</f>
        <v>-0.385112889629754</v>
      </c>
      <c r="AE28" s="299">
        <f>IFERROR(AE27/$K$2-1,"")</f>
        <v>-0.375312144222537</v>
      </c>
      <c r="AF28" s="299">
        <f>IFERROR(AF27/$K$2-1,"")</f>
        <v>-0.372686273317971</v>
      </c>
    </row>
    <row r="29" ht="15" customHeight="1" s="251">
      <c r="B29" s="75" t="inlineStr">
        <is>
          <t>IRR (to Dec-Y-1)</t>
        </is>
      </c>
      <c r="C29" s="300" t="n"/>
      <c r="D29" s="300" t="n"/>
      <c r="E29" s="300" t="n"/>
      <c r="F29" s="300" t="n"/>
      <c r="G29" s="300">
        <f>IFERROR((G27/$K$2)^(1/((DATE(2029-1,12,31)-$K$3)/365.25))-1,"")</f>
        <v>0.0587656918312185</v>
      </c>
      <c r="H29" s="300">
        <f>IFERROR((H27/$K$2)^(1/((DATE(2030-1,12,31)-$K$3)/365.25))-1,"")</f>
        <v>0.0665499299150556</v>
      </c>
      <c r="N29" s="75" t="inlineStr">
        <is>
          <t>IRR (to Dec-Y-1)</t>
        </is>
      </c>
      <c r="O29" s="300" t="n"/>
      <c r="P29" s="300" t="n"/>
      <c r="Q29" s="300" t="n"/>
      <c r="R29" s="300" t="n"/>
      <c r="S29" s="300">
        <f>IFERROR((S27/$K$2)^(1/((DATE(2029-1,12,31)-$K$3)/365.25))-1,"")</f>
        <v>0.229537502738073</v>
      </c>
      <c r="T29" s="300">
        <f>IFERROR((T27/$K$2)^(1/((DATE(2030-1,12,31)-$K$3)/365.25))-1,"")</f>
        <v>0.200976020723031</v>
      </c>
      <c r="Z29" s="75" t="inlineStr">
        <is>
          <t>IRR (to Dec-Y-1)</t>
        </is>
      </c>
      <c r="AA29" s="300" t="n"/>
      <c r="AB29" s="300" t="n"/>
      <c r="AC29" s="300" t="n"/>
      <c r="AD29" s="300">
        <f>IFERROR((AD27/$K$2)^(1/((DATE(2028-1,12,31)-$K$3)/365.25))-1,"")</f>
        <v>-0.329720917589916</v>
      </c>
      <c r="AE29" s="300">
        <f>IFERROR((AE27/$K$2)^(1/((DATE(2029-1,12,31)-$K$3)/365.25))-1,"")</f>
        <v>-0.19116641223477</v>
      </c>
      <c r="AF29" s="300">
        <f>IFERROR((AF27/$K$2)^(1/((DATE(2030-1,12,31)-$K$3)/365.25))-1,"")</f>
        <v>-0.134936612082136</v>
      </c>
    </row>
    <row r="31" ht="15" customHeight="1" s="251">
      <c r="B31" s="79" t="inlineStr">
        <is>
          <t>Free Cash Flow</t>
        </is>
      </c>
      <c r="C31" s="80">
        <f>Model!BV273</f>
        <v>73266</v>
      </c>
      <c r="D31" s="81">
        <f>Model!CA273</f>
        <v>-2821.47721360537</v>
      </c>
      <c r="E31" s="81">
        <f>Model!CB273</f>
        <v>8523.40654719845</v>
      </c>
      <c r="F31" s="81">
        <f>Model!CC273</f>
        <v>26877.5721677096</v>
      </c>
      <c r="G31" s="81">
        <f>Model!CD273</f>
        <v>57836.0837136977</v>
      </c>
      <c r="H31" s="81">
        <f>Model!CE273</f>
        <v>88769.8124908412</v>
      </c>
      <c r="I31" s="295">
        <f>IFERROR((H31/C31)^(1/5)-1,"n/m")</f>
        <v>0.0391364147157829</v>
      </c>
      <c r="N31" s="79" t="inlineStr">
        <is>
          <t>Free Cash Flow</t>
        </is>
      </c>
      <c r="O31" s="80" t="n">
        <v>73266</v>
      </c>
      <c r="P31" s="81" t="n">
        <v>1139.70888148021</v>
      </c>
      <c r="Q31" s="81" t="n">
        <v>36284.7517611056</v>
      </c>
      <c r="R31" s="81" t="n">
        <v>64010.1696908553</v>
      </c>
      <c r="S31" s="81" t="n">
        <v>108030.733347152</v>
      </c>
      <c r="T31" s="81" t="n">
        <v>154839.919346839</v>
      </c>
      <c r="U31" s="295" t="n">
        <v>0.161438159810753</v>
      </c>
      <c r="Z31" s="79" t="inlineStr">
        <is>
          <t>Free Cash Flow</t>
        </is>
      </c>
      <c r="AA31" s="80" t="n">
        <v>73266</v>
      </c>
      <c r="AB31" s="81" t="n">
        <v>-8630.579331233839</v>
      </c>
      <c r="AC31" s="81" t="n">
        <v>-35763.039321421</v>
      </c>
      <c r="AD31" s="81" t="n">
        <v>-31880.4312748826</v>
      </c>
      <c r="AE31" s="81" t="n">
        <v>-17460.2231928518</v>
      </c>
      <c r="AF31" s="81" t="n">
        <v>-5571.83980058559</v>
      </c>
      <c r="AG31" s="295" t="n">
        <v>-1.59733674067693</v>
      </c>
    </row>
    <row r="32" ht="15" customHeight="1" s="251">
      <c r="B32" s="83" t="inlineStr">
        <is>
          <t xml:space="preserve">   FCF %</t>
        </is>
      </c>
      <c r="C32" s="88">
        <f>IFERROR(C31/C9,"")</f>
        <v>0.181875502685957</v>
      </c>
      <c r="D32" s="89">
        <f>IFERROR(D31/D9,"")</f>
        <v>-0.00566248731627093</v>
      </c>
      <c r="E32" s="89">
        <f>IFERROR(E31/E9,"")</f>
        <v>0.0145728128551672</v>
      </c>
      <c r="F32" s="89">
        <f>IFERROR(F31/F9,"")</f>
        <v>0.0400582487081161</v>
      </c>
      <c r="G32" s="89">
        <f>IFERROR(G31/G9,"")</f>
        <v>0.0762999410362627</v>
      </c>
      <c r="H32" s="89">
        <f>IFERROR(H31/H9,"")</f>
        <v>0.105207576860291</v>
      </c>
      <c r="J32" s="90">
        <f>IFERROR(AVERAGE(Model!C277,Model!D277,Model!E277,Model!F277,Model!G277,Model!H277,Model!I277,Model!N277,Model!S277,Model!X277,Model!AC277,Model!AH277,Model!AM277,Model!AR277,Model!AW277,Model!BB277,Model!BG277,Model!BL277,Model!BQ277,Model!BV277),"")</f>
        <v>0.226655892184073</v>
      </c>
      <c r="K32" s="90">
        <f>IFERROR(MIN(Model!C277,Model!D277,Model!E277,Model!F277,Model!G277,Model!H277,Model!I277,Model!N277,Model!S277,Model!X277,Model!AC277,Model!AH277,Model!AM277,Model!AR277,Model!AW277,Model!BB277,Model!BG277,Model!BL277,Model!BQ277,Model!BV277),"")</f>
        <v>0.158201143865624</v>
      </c>
      <c r="L32" s="90">
        <f>IFERROR(MAX(Model!C277,Model!D277,Model!E277,Model!F277,Model!G277,Model!H277,Model!I277,Model!N277,Model!S277,Model!X277,Model!AC277,Model!AH277,Model!AM277,Model!AR277,Model!AW277,Model!BB277,Model!BG277,Model!BL277,Model!BQ277,Model!BV277),"")</f>
        <v>0.359666279403158</v>
      </c>
      <c r="N32" s="83" t="inlineStr">
        <is>
          <t xml:space="preserve">   FCF %</t>
        </is>
      </c>
      <c r="O32" s="88" t="n">
        <v>0.181875502685957</v>
      </c>
      <c r="P32" s="89" t="n">
        <v>0.00226760707788876</v>
      </c>
      <c r="Q32" s="89" t="n">
        <v>0.0598407686653265</v>
      </c>
      <c r="R32" s="89" t="n">
        <v>0.08910022774750009</v>
      </c>
      <c r="S32" s="89" t="n">
        <v>0.128384760484726</v>
      </c>
      <c r="T32" s="89" t="n">
        <v>0.15892068453604</v>
      </c>
      <c r="V32" s="90" t="n">
        <v>0.226655892184073</v>
      </c>
      <c r="W32" s="90" t="n">
        <v>0.158201143865624</v>
      </c>
      <c r="X32" s="90" t="n">
        <v>0.359666279403158</v>
      </c>
      <c r="Z32" s="83" t="inlineStr">
        <is>
          <t xml:space="preserve">   FCF %</t>
        </is>
      </c>
      <c r="AA32" s="88" t="n">
        <v>0.181875502685957</v>
      </c>
      <c r="AB32" s="89" t="n">
        <v>-0.017549612242102</v>
      </c>
      <c r="AC32" s="89" t="n">
        <v>-0.0650592735322203</v>
      </c>
      <c r="AD32" s="89" t="n">
        <v>-0.0534288769035243</v>
      </c>
      <c r="AE32" s="89" t="n">
        <v>-0.0274933601492026</v>
      </c>
      <c r="AF32" s="89" t="n">
        <v>-0.008393361617231551</v>
      </c>
      <c r="AH32" s="90" t="n">
        <v>0.226655892184073</v>
      </c>
      <c r="AI32" s="90" t="n">
        <v>0.158201143865624</v>
      </c>
      <c r="AJ32" s="90" t="n">
        <v>0.359666279403158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5.99067865903516</v>
      </c>
      <c r="D33" s="100">
        <f>IFERROR(D31/D21,"")</f>
        <v>-0.2281894598106</v>
      </c>
      <c r="E33" s="100">
        <f>IFERROR(E31/E21,"")</f>
        <v>0.681392308517251</v>
      </c>
      <c r="F33" s="100">
        <f>IFERROR(F31/F21,"")</f>
        <v>2.13506711462088</v>
      </c>
      <c r="G33" s="100">
        <f>IFERROR(G31/G21,"")</f>
        <v>4.55409519487528</v>
      </c>
      <c r="H33" s="100">
        <f>IFERROR(H31/H21,"")</f>
        <v>6.92152374754561</v>
      </c>
      <c r="N33" s="83" t="inlineStr">
        <is>
          <t xml:space="preserve">   FCF / share ($)</t>
        </is>
      </c>
      <c r="O33" s="99" t="n">
        <v>5.99067865903516</v>
      </c>
      <c r="P33" s="100" t="n">
        <v>0.0922015933992671</v>
      </c>
      <c r="Q33" s="100" t="n">
        <v>2.921232338583</v>
      </c>
      <c r="R33" s="100" t="n">
        <v>5.15486280666617</v>
      </c>
      <c r="S33" s="100" t="n">
        <v>8.66608957634933</v>
      </c>
      <c r="T33" s="100" t="n">
        <v>12.4406096794193</v>
      </c>
      <c r="Z33" s="83" t="inlineStr">
        <is>
          <t xml:space="preserve">   FCF / share ($)</t>
        </is>
      </c>
      <c r="AA33" s="99" t="n">
        <v>5.99067865903516</v>
      </c>
      <c r="AB33" s="100" t="n">
        <v>-0.698005720531838</v>
      </c>
      <c r="AC33" s="100" t="n">
        <v>-2.85072022021782</v>
      </c>
      <c r="AD33" s="100" t="n">
        <v>-2.51789498962189</v>
      </c>
      <c r="AE33" s="100" t="n">
        <v>-1.36699472945414</v>
      </c>
      <c r="AF33" s="100" t="n">
        <v>-0.431989401572431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0.0114640065092137</v>
      </c>
      <c r="H34" s="101">
        <f>IFERROR(H33/H$27,"")</f>
        <v>0.0160738119998938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0.0156580779650302</v>
      </c>
      <c r="T34" s="101">
        <f>IFERROR(T33/T$27,"")</f>
        <v>0.019720307148367</v>
      </c>
      <c r="Z34" s="83" t="inlineStr">
        <is>
          <t xml:space="preserve">   FCF Yield (on PT)</t>
        </is>
      </c>
      <c r="AC34" s="101" t="n"/>
      <c r="AD34" s="101">
        <f>IFERROR(AD33/AD$27,"")</f>
        <v>-0.0116996852971958</v>
      </c>
      <c r="AE34" s="101">
        <f>IFERROR(AE33/AE$27,"")</f>
        <v>-0.00625224132483085</v>
      </c>
      <c r="AF34" s="101">
        <f>IFERROR(AF33/AF$27,"")</f>
        <v>-0.00196752498879991</v>
      </c>
    </row>
    <row r="35" ht="15" customHeight="1" s="251">
      <c r="B35" s="79" t="inlineStr">
        <is>
          <t>Adjusted EBITDA (leverage basis)</t>
        </is>
      </c>
      <c r="C35" s="80">
        <f>Model!BV191</f>
        <v>153632</v>
      </c>
      <c r="D35" s="81">
        <f>Model!CA191</f>
        <v>204129.254664787</v>
      </c>
      <c r="E35" s="81">
        <f>Model!CB191</f>
        <v>244974.616501572</v>
      </c>
      <c r="F35" s="81">
        <f>Model!CC191</f>
        <v>286016.960829526</v>
      </c>
      <c r="G35" s="81">
        <f>Model!CD191</f>
        <v>331272.45527132</v>
      </c>
      <c r="H35" s="81">
        <f>Model!CE191</f>
        <v>375223.195472324</v>
      </c>
      <c r="I35" s="295">
        <f>IFERROR((H35/C35)^(1/5)-1,"n/m")</f>
        <v>0.195533083508404</v>
      </c>
      <c r="N35" s="79" t="inlineStr">
        <is>
          <t>Adjusted EBITDA (leverage basis)</t>
        </is>
      </c>
      <c r="O35" s="80" t="n">
        <v>153632</v>
      </c>
      <c r="P35" s="81" t="n">
        <v>208622.965626051</v>
      </c>
      <c r="Q35" s="81" t="n">
        <v>265933.874689217</v>
      </c>
      <c r="R35" s="81" t="n">
        <v>315961.48786436</v>
      </c>
      <c r="S35" s="81" t="n">
        <v>373500.210024353</v>
      </c>
      <c r="T35" s="81" t="n">
        <v>433081.094414468</v>
      </c>
      <c r="U35" s="295" t="n">
        <v>0.230318369185474</v>
      </c>
      <c r="Z35" s="79" t="inlineStr">
        <is>
          <t>Adjusted EBITDA (leverage basis)</t>
        </is>
      </c>
      <c r="AA35" s="80" t="n">
        <v>153632</v>
      </c>
      <c r="AB35" s="81" t="n">
        <v>197550.489472892</v>
      </c>
      <c r="AC35" s="81" t="n">
        <v>210807.601680388</v>
      </c>
      <c r="AD35" s="81" t="n">
        <v>239741.889998711</v>
      </c>
      <c r="AE35" s="81" t="n">
        <v>270285.336423823</v>
      </c>
      <c r="AF35" s="81" t="n">
        <v>297678.137095584</v>
      </c>
      <c r="AG35" s="295" t="n">
        <v>0.141439903582824</v>
      </c>
    </row>
    <row r="36" ht="15" customHeight="1" s="251">
      <c r="B36" s="83" t="inlineStr">
        <is>
          <t xml:space="preserve">   Adjusted EBITDA % of revenues</t>
        </is>
      </c>
      <c r="C36" s="88">
        <f>IFERROR(C35/C9,"")</f>
        <v>0.38137604384911</v>
      </c>
      <c r="D36" s="89">
        <f>IFERROR(D35/D9,"")</f>
        <v>0.409671681857101</v>
      </c>
      <c r="E36" s="89">
        <f>IFERROR(E35/E9,"")</f>
        <v>0.418843008458533</v>
      </c>
      <c r="F36" s="89">
        <f>IFERROR(F35/F9,"")</f>
        <v>0.426278775484542</v>
      </c>
      <c r="G36" s="89">
        <f>IFERROR(G35/G9,"")</f>
        <v>0.437029397240349</v>
      </c>
      <c r="H36" s="89">
        <f>IFERROR(H35/H9,"")</f>
        <v>0.444704365929483</v>
      </c>
      <c r="J36" s="90">
        <f>IFERROR(AVERAGE(Model!C238,Model!D238,Model!E238,Model!F238,Model!G238,Model!H238,Model!I238,Model!N238,Model!S238,Model!X238,Model!AC238,Model!AH238,Model!AM238,Model!AR238,Model!AW238,Model!BB238,Model!BG238,Model!BL238,Model!BQ238,Model!BV238),"")</f>
        <v>0.342779583376578</v>
      </c>
      <c r="K36" s="90">
        <f>IFERROR(MIN(Model!C238,Model!D238,Model!E238,Model!F238,Model!G238,Model!H238,Model!I238,Model!N238,Model!S238,Model!X238,Model!AC238,Model!AH238,Model!AM238,Model!AR238,Model!AW238,Model!BB238,Model!BG238,Model!BL238,Model!BQ238,Model!BV238),"")</f>
        <v>0.294760189550035</v>
      </c>
      <c r="L36" s="90">
        <f>IFERROR(MAX(Model!C238,Model!D238,Model!E238,Model!F238,Model!G238,Model!H238,Model!I238,Model!N238,Model!S238,Model!X238,Model!AC238,Model!AH238,Model!AM238,Model!AR238,Model!AW238,Model!BB238,Model!BG238,Model!BL238,Model!BQ238,Model!BV238),"")</f>
        <v>0.415909507101374</v>
      </c>
      <c r="N36" s="83" t="inlineStr">
        <is>
          <t xml:space="preserve">   Adjusted EBITDA % of revenues</t>
        </is>
      </c>
      <c r="O36" s="88" t="n">
        <v>0.38137604384911</v>
      </c>
      <c r="P36" s="89" t="n">
        <v>0.415083993071428</v>
      </c>
      <c r="Q36" s="89" t="n">
        <v>0.438577824104329</v>
      </c>
      <c r="R36" s="89" t="n">
        <v>0.439808871998278</v>
      </c>
      <c r="S36" s="89" t="n">
        <v>0.443871234779835</v>
      </c>
      <c r="T36" s="89" t="n">
        <v>0.444494832303524</v>
      </c>
      <c r="V36" s="90" t="n">
        <v>0.342779583376578</v>
      </c>
      <c r="W36" s="90" t="n">
        <v>0.294760189550035</v>
      </c>
      <c r="X36" s="90" t="n">
        <v>0.415909507101374</v>
      </c>
      <c r="Z36" s="83" t="inlineStr">
        <is>
          <t xml:space="preserve">   Adjusted EBITDA % of revenues</t>
        </is>
      </c>
      <c r="AA36" s="88" t="n">
        <v>0.38137604384911</v>
      </c>
      <c r="AB36" s="89" t="n">
        <v>0.401703565360898</v>
      </c>
      <c r="AC36" s="89" t="n">
        <v>0.383496192734964</v>
      </c>
      <c r="AD36" s="89" t="n">
        <v>0.401786908681226</v>
      </c>
      <c r="AE36" s="89" t="n">
        <v>0.425598917910214</v>
      </c>
      <c r="AF36" s="89" t="n">
        <v>0.448419254610386</v>
      </c>
      <c r="AH36" s="90" t="n">
        <v>0.342779583376578</v>
      </c>
      <c r="AI36" s="90" t="n">
        <v>0.294760189550035</v>
      </c>
      <c r="AJ36" s="90" t="n">
        <v>0.415909507101374</v>
      </c>
    </row>
    <row r="38" ht="15" customHeight="1" s="251">
      <c r="B38" s="79" t="inlineStr">
        <is>
          <t>Net Debt (negative = net cash)</t>
        </is>
      </c>
      <c r="C38" s="80">
        <f>Model!BV401</f>
        <v>-78300</v>
      </c>
      <c r="D38" s="81">
        <f>Model!CA401</f>
        <v>-120505.199141267</v>
      </c>
      <c r="E38" s="81">
        <f>Model!CB401</f>
        <v>-61243.6541253929</v>
      </c>
      <c r="F38" s="81">
        <f>Model!CC401</f>
        <v>-43932.7709396784</v>
      </c>
      <c r="G38" s="81">
        <f>Model!CD401</f>
        <v>-54066.7767727018</v>
      </c>
      <c r="H38" s="81">
        <f>Model!CE401</f>
        <v>-91584.2749822606</v>
      </c>
      <c r="N38" s="79" t="inlineStr">
        <is>
          <t>Net Debt (negative = net cash)</t>
        </is>
      </c>
      <c r="O38" s="80" t="n">
        <v>-78300</v>
      </c>
      <c r="P38" s="81" t="n">
        <v>-119469.528093495</v>
      </c>
      <c r="Q38" s="81" t="n">
        <v>-26593.3874689218</v>
      </c>
      <c r="R38" s="81" t="n">
        <v>-31596.148786436</v>
      </c>
      <c r="S38" s="81" t="n">
        <v>-37350.0210024353</v>
      </c>
      <c r="T38" s="81" t="n">
        <v>-43308.1094414469</v>
      </c>
      <c r="Z38" s="79" t="inlineStr">
        <is>
          <t>Net Debt (negative = net cash)</t>
        </is>
      </c>
      <c r="AA38" s="80" t="n">
        <v>-78300</v>
      </c>
      <c r="AB38" s="81" t="n">
        <v>-114696.097023639</v>
      </c>
      <c r="AC38" s="81" t="n">
        <v>-45080.368682071</v>
      </c>
      <c r="AD38" s="81" t="n">
        <v>23161.8012876049</v>
      </c>
      <c r="AE38" s="81" t="n">
        <v>78602.9115931909</v>
      </c>
      <c r="AF38" s="81" t="n">
        <v>123487.293093874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-0.509659445948761</v>
      </c>
      <c r="D39" s="103">
        <f>IFERROR(D38/D35,"")</f>
        <v>-0.590337721749661</v>
      </c>
      <c r="E39" s="103">
        <f>IFERROR(E38/E35,"")</f>
        <v>-0.25</v>
      </c>
      <c r="F39" s="103">
        <f>IFERROR(F38/F35,"")</f>
        <v>-0.153601978051447</v>
      </c>
      <c r="G39" s="103">
        <f>IFERROR(G38/G35,"")</f>
        <v>-0.16320939429878</v>
      </c>
      <c r="H39" s="103">
        <f>IFERROR(H38/H35,"")</f>
        <v>-0.244079460138321</v>
      </c>
      <c r="N39" s="83" t="inlineStr">
        <is>
          <t xml:space="preserve">   Net Debt / Adjusted EBITDA (x)</t>
        </is>
      </c>
      <c r="O39" s="102" t="n">
        <v>-0.509659445948761</v>
      </c>
      <c r="P39" s="103" t="n">
        <v>-0.572657606198735</v>
      </c>
      <c r="Q39" s="103" t="n">
        <v>-0.1</v>
      </c>
      <c r="R39" s="103" t="n">
        <v>-0.1</v>
      </c>
      <c r="S39" s="103" t="n">
        <v>-0.1</v>
      </c>
      <c r="T39" s="103" t="n">
        <v>-0.1</v>
      </c>
      <c r="Z39" s="83" t="inlineStr">
        <is>
          <t xml:space="preserve">   Net Debt / Adjusted EBITDA (x)</t>
        </is>
      </c>
      <c r="AA39" s="102" t="n">
        <v>-0.509659445948761</v>
      </c>
      <c r="AB39" s="103" t="n">
        <v>-0.580591307719222</v>
      </c>
      <c r="AC39" s="103" t="n">
        <v>-0.213846029852465</v>
      </c>
      <c r="AD39" s="103" t="n">
        <v>0.09661140690819379</v>
      </c>
      <c r="AE39" s="103" t="n">
        <v>0.290814561504503</v>
      </c>
      <c r="AF39" s="103" t="n">
        <v>0.414834943199818</v>
      </c>
    </row>
    <row r="40" ht="15" customHeight="1" s="251">
      <c r="B40" s="252" t="inlineStr">
        <is>
          <t xml:space="preserve">   Share repurchases ($m; 2026E = 2H)</t>
        </is>
      </c>
      <c r="C40" s="102" t="n"/>
      <c r="D40" s="248">
        <f>Model!CA286</f>
        <v>0</v>
      </c>
      <c r="E40" s="248">
        <f>Model!CB286</f>
        <v>27560.0566204255</v>
      </c>
      <c r="F40" s="248">
        <f>Model!CC286</f>
        <v>0</v>
      </c>
      <c r="G40" s="248">
        <f>Model!CD286</f>
        <v>0</v>
      </c>
      <c r="H40" s="248">
        <f>Model!CE286</f>
        <v>0</v>
      </c>
      <c r="N40" s="252" t="inlineStr">
        <is>
          <t xml:space="preserve">   Share repurchases ($m; 2026E = 2H)</t>
        </is>
      </c>
      <c r="O40" s="102" t="n"/>
      <c r="P40" s="248" t="n">
        <v>5000</v>
      </c>
      <c r="Q40" s="248" t="n">
        <v>83111.6807713179</v>
      </c>
      <c r="R40" s="248" t="n">
        <v>8123.29723609776</v>
      </c>
      <c r="S40" s="248" t="n">
        <v>46502.6256530876</v>
      </c>
      <c r="T40" s="248" t="n">
        <v>87840.6455184807</v>
      </c>
      <c r="Z40" s="83" t="n"/>
      <c r="AA40" s="102" t="n"/>
      <c r="AB40" s="103" t="n">
        <v>0</v>
      </c>
      <c r="AC40" s="103" t="n">
        <v>0</v>
      </c>
      <c r="AD40" s="103" t="n">
        <v>0</v>
      </c>
      <c r="AE40" s="103" t="n">
        <v>0</v>
      </c>
      <c r="AF40" s="103" t="n">
        <v>0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Model!CA285</f>
        <v>350</v>
      </c>
      <c r="E41" s="249">
        <f>Model!CB285</f>
        <v>378</v>
      </c>
      <c r="F41" s="249">
        <f>Model!CC285</f>
        <v>408.24</v>
      </c>
      <c r="G41" s="249">
        <f>Model!CD285</f>
        <v>440.8992</v>
      </c>
      <c r="H41" s="249">
        <f>Model!CE285</f>
        <v>476.171136</v>
      </c>
      <c r="N41" s="252" t="inlineStr">
        <is>
          <t xml:space="preserve">   Implied avg buyback price ($)</t>
        </is>
      </c>
      <c r="O41" s="102" t="n"/>
      <c r="P41" s="249" t="n">
        <v>350</v>
      </c>
      <c r="Q41" s="249" t="n">
        <v>378</v>
      </c>
      <c r="R41" s="249" t="n">
        <v>408.24</v>
      </c>
      <c r="S41" s="249" t="n">
        <v>440.8992</v>
      </c>
      <c r="T41" s="249" t="n">
        <v>476.171136</v>
      </c>
      <c r="Z41" s="83" t="n"/>
      <c r="AA41" s="102" t="n"/>
      <c r="AB41" s="103" t="n">
        <v>350</v>
      </c>
      <c r="AC41" s="103" t="n">
        <v>378</v>
      </c>
      <c r="AD41" s="103" t="n">
        <v>408.24</v>
      </c>
      <c r="AE41" s="103" t="n">
        <v>440.8992</v>
      </c>
      <c r="AF41" s="103" t="n">
        <v>476.171136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Model!CA287</f>
        <v>0</v>
      </c>
      <c r="E42" s="250">
        <f>Model!CB287</f>
        <v>72.9102026995383</v>
      </c>
      <c r="F42" s="250">
        <f>Model!CC287</f>
        <v>0</v>
      </c>
      <c r="G42" s="250">
        <f>Model!CD287</f>
        <v>0</v>
      </c>
      <c r="H42" s="250">
        <f>Model!CE287</f>
        <v>0</v>
      </c>
      <c r="N42" s="252" t="inlineStr">
        <is>
          <t xml:space="preserve">   Shares repurchased (m)</t>
        </is>
      </c>
      <c r="O42" s="102" t="n"/>
      <c r="P42" s="250" t="n">
        <v>14.2857142857143</v>
      </c>
      <c r="Q42" s="250" t="n">
        <v>219.872171352693</v>
      </c>
      <c r="R42" s="250" t="n">
        <v>19.8983373410194</v>
      </c>
      <c r="S42" s="250" t="n">
        <v>105.472238672893</v>
      </c>
      <c r="T42" s="250" t="n">
        <v>184.472847842841</v>
      </c>
      <c r="Z42" s="83" t="n"/>
      <c r="AA42" s="102" t="n"/>
      <c r="AB42" s="103" t="n">
        <v>0</v>
      </c>
      <c r="AC42" s="103" t="n">
        <v>0</v>
      </c>
      <c r="AD42" s="103" t="n">
        <v>0</v>
      </c>
      <c r="AE42" s="103" t="n">
        <v>0</v>
      </c>
      <c r="AF42" s="103" t="n">
        <v>0</v>
      </c>
    </row>
    <row r="44" ht="15" customHeight="1" s="251">
      <c r="B44" s="79" t="inlineStr">
        <is>
          <t>ROIC</t>
        </is>
      </c>
      <c r="C44" s="86">
        <f>Model!BV384</f>
        <v>0.410987864939848</v>
      </c>
      <c r="D44" s="87">
        <f>Model!CA384</f>
        <v>0.300902509888669</v>
      </c>
      <c r="E44" s="87">
        <f>Model!CB384</f>
        <v>0.241792084659937</v>
      </c>
      <c r="F44" s="87">
        <f>Model!CC384</f>
        <v>0.203323559575346</v>
      </c>
      <c r="G44" s="87">
        <f>Model!CD384</f>
        <v>0.184046732258776</v>
      </c>
      <c r="H44" s="87">
        <f>Model!CE384</f>
        <v>0.17136983562566</v>
      </c>
      <c r="J44" s="90">
        <f>IFERROR(AVERAGE(Model!C384,Model!D384,Model!E384,Model!F384,Model!G384,Model!H384,Model!I384,Model!N384,Model!S384,Model!X384,Model!AC384,Model!AH384,Model!AM384,Model!AR384,Model!AW384,Model!BB384,Model!BG384,Model!BL384,Model!BQ384,Model!BV384),"")</f>
        <v>0.467145382213492</v>
      </c>
      <c r="K44" s="90">
        <f>IFERROR(MIN(Model!C384,Model!D384,Model!E384,Model!F384,Model!G384,Model!H384,Model!I384,Model!N384,Model!S384,Model!X384,Model!AC384,Model!AH384,Model!AM384,Model!AR384,Model!AW384,Model!BB384,Model!BG384,Model!BL384,Model!BQ384,Model!BV384),"")</f>
        <v>0.332573687786416</v>
      </c>
      <c r="L44" s="90">
        <f>IFERROR(MAX(Model!C384,Model!D384,Model!E384,Model!F384,Model!G384,Model!H384,Model!I384,Model!N384,Model!S384,Model!X384,Model!AC384,Model!AH384,Model!AM384,Model!AR384,Model!AW384,Model!BB384,Model!BG384,Model!BL384,Model!BQ384,Model!BV384),"")</f>
        <v>0.678229349312191</v>
      </c>
      <c r="N44" s="79" t="inlineStr">
        <is>
          <t>ROIC</t>
        </is>
      </c>
      <c r="O44" s="86" t="n">
        <v>0.410987864939848</v>
      </c>
      <c r="P44" s="87" t="n">
        <v>0.308947663416316</v>
      </c>
      <c r="Q44" s="87" t="n">
        <v>0.269525705372134</v>
      </c>
      <c r="R44" s="87" t="n">
        <v>0.235285624821173</v>
      </c>
      <c r="S44" s="87" t="n">
        <v>0.221198768928483</v>
      </c>
      <c r="T44" s="87" t="n">
        <v>0.2144207334398</v>
      </c>
      <c r="V44" s="90" t="n">
        <v>0.467145382213492</v>
      </c>
      <c r="W44" s="90" t="n">
        <v>0.332573687786416</v>
      </c>
      <c r="X44" s="90" t="n">
        <v>0.678229349312191</v>
      </c>
      <c r="Z44" s="79" t="inlineStr">
        <is>
          <t>ROIC</t>
        </is>
      </c>
      <c r="AA44" s="86" t="n">
        <v>0.410987864939848</v>
      </c>
      <c r="AB44" s="87" t="n">
        <v>0.289137258770871</v>
      </c>
      <c r="AC44" s="87" t="n">
        <v>0.196748205606138</v>
      </c>
      <c r="AD44" s="87" t="n">
        <v>0.154359593086706</v>
      </c>
      <c r="AE44" s="87" t="n">
        <v>0.130779805524876</v>
      </c>
      <c r="AF44" s="87" t="n">
        <v>0.113900532978097</v>
      </c>
      <c r="AH44" s="90" t="n">
        <v>0.467145382213492</v>
      </c>
      <c r="AI44" s="90" t="n">
        <v>0.332573687786416</v>
      </c>
      <c r="AJ44" s="90" t="n">
        <v>0.678229349312191</v>
      </c>
    </row>
    <row r="45" ht="15" customHeight="1" s="251">
      <c r="B45" s="79" t="inlineStr">
        <is>
          <t>RONTA</t>
        </is>
      </c>
      <c r="C45" s="86">
        <f>Model!BV395</f>
        <v>0.415097403190747</v>
      </c>
      <c r="D45" s="87">
        <f>Model!CA395</f>
        <v>0.301290517223587</v>
      </c>
      <c r="E45" s="87">
        <f>Model!CB395</f>
        <v>0.243331300287615</v>
      </c>
      <c r="F45" s="87">
        <f>Model!CC395</f>
        <v>0.20518059880392</v>
      </c>
      <c r="G45" s="87">
        <f>Model!CD395</f>
        <v>0.186062426427661</v>
      </c>
      <c r="H45" s="87">
        <f>Model!CE395</f>
        <v>0.173475475104844</v>
      </c>
      <c r="J45" s="90">
        <f>IFERROR(AVERAGE(Model!C395,Model!D395,Model!E395,Model!F395,Model!G395,Model!H395,Model!I395,Model!N395,Model!S395,Model!X395,Model!AC395,Model!AH395,Model!AM395,Model!AR395,Model!AW395,Model!BB395,Model!BG395,Model!BL395,Model!BQ395,Model!BV395),"")</f>
        <v>0.552154054796156</v>
      </c>
      <c r="K45" s="90">
        <f>IFERROR(MIN(Model!C395,Model!D395,Model!E395,Model!F395,Model!G395,Model!H395,Model!I395,Model!N395,Model!S395,Model!X395,Model!AC395,Model!AH395,Model!AM395,Model!AR395,Model!AW395,Model!BB395,Model!BG395,Model!BL395,Model!BQ395,Model!BV395),"")</f>
        <v>0.402773330234429</v>
      </c>
      <c r="L45" s="90">
        <f>IFERROR(MAX(Model!C395,Model!D395,Model!E395,Model!F395,Model!G395,Model!H395,Model!I395,Model!N395,Model!S395,Model!X395,Model!AC395,Model!AH395,Model!AM395,Model!AR395,Model!AW395,Model!BB395,Model!BG395,Model!BL395,Model!BQ395,Model!BV395),"")</f>
        <v>0.854909723341676</v>
      </c>
      <c r="N45" s="79" t="inlineStr">
        <is>
          <t>RONTA</t>
        </is>
      </c>
      <c r="O45" s="86" t="n">
        <v>0.415097403190747</v>
      </c>
      <c r="P45" s="87" t="n">
        <v>0.309346281148389</v>
      </c>
      <c r="Q45" s="87" t="n">
        <v>0.272751120095889</v>
      </c>
      <c r="R45" s="87" t="n">
        <v>0.239497769745676</v>
      </c>
      <c r="S45" s="87" t="n">
        <v>0.226025702418894</v>
      </c>
      <c r="T45" s="87" t="n">
        <v>0.219716589539617</v>
      </c>
      <c r="V45" s="90" t="n">
        <v>0.552154054796156</v>
      </c>
      <c r="W45" s="90" t="n">
        <v>0.402773330234429</v>
      </c>
      <c r="X45" s="90" t="n">
        <v>0.854909723341676</v>
      </c>
      <c r="Z45" s="79" t="inlineStr">
        <is>
          <t>RONTA</t>
        </is>
      </c>
      <c r="AA45" s="86" t="n">
        <v>0.415097403190747</v>
      </c>
      <c r="AB45" s="87" t="n">
        <v>0.289509763774188</v>
      </c>
      <c r="AC45" s="87" t="n">
        <v>0.196923990882683</v>
      </c>
      <c r="AD45" s="87" t="n">
        <v>0.154465063875491</v>
      </c>
      <c r="AE45" s="87" t="n">
        <v>0.130852720288968</v>
      </c>
      <c r="AF45" s="87" t="n">
        <v>0.11395450749888</v>
      </c>
      <c r="AH45" s="90" t="n">
        <v>0.552154054796156</v>
      </c>
      <c r="AI45" s="90" t="n">
        <v>0.402773330234429</v>
      </c>
      <c r="AJ45" s="90" t="n">
        <v>0.854909723341676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5045014.90532253</v>
      </c>
      <c r="H47" s="104">
        <f>H27*H21</f>
        <v>5522635.9802782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6899361.05749512</v>
      </c>
      <c r="T47" s="104">
        <f>T27*T21</f>
        <v>7851800.59224692</v>
      </c>
      <c r="Z47" s="83" t="inlineStr">
        <is>
          <t>Implied Market Cap (USDm)</t>
        </is>
      </c>
      <c r="AC47" s="104" t="n"/>
      <c r="AD47" s="104">
        <f>AD27*AD21</f>
        <v>2724896.47926889</v>
      </c>
      <c r="AE47" s="104">
        <f>AE27*AE21</f>
        <v>2792634.23878225</v>
      </c>
      <c r="AF47" s="104">
        <f>AF27*AF21</f>
        <v>2831902.94014214</v>
      </c>
    </row>
    <row r="48" ht="15" customHeight="1" s="251">
      <c r="B48" s="83" t="inlineStr">
        <is>
          <t>(+) Net debt − non-marketable equity securities</t>
        </is>
      </c>
      <c r="E48" s="104" t="n"/>
      <c r="F48" s="104">
        <f>F38+Model!CC411</f>
        <v>-175393.770939678</v>
      </c>
      <c r="G48" s="104">
        <f>G38+Model!CD411</f>
        <v>-185527.776772702</v>
      </c>
      <c r="H48" s="104">
        <f>H38+Model!CE411</f>
        <v>-223045.274982261</v>
      </c>
      <c r="N48" s="83" t="inlineStr">
        <is>
          <t>(+) Net debt − non-marketable equity securities</t>
        </is>
      </c>
      <c r="Q48" s="104" t="n"/>
      <c r="R48" s="104">
        <f>R38+Model!CC411</f>
        <v>-163057.148786436</v>
      </c>
      <c r="S48" s="104">
        <f>S38+Model!CD411</f>
        <v>-168811.021002435</v>
      </c>
      <c r="T48" s="104">
        <f>T38+Model!CE411</f>
        <v>-174769.109441447</v>
      </c>
      <c r="Z48" s="83" t="inlineStr">
        <is>
          <t>(+) Net debt − non-marketable equity securities</t>
        </is>
      </c>
      <c r="AC48" s="104" t="n"/>
      <c r="AD48" s="104">
        <f>AD38+Model!CC411</f>
        <v>-108299.198712395</v>
      </c>
      <c r="AE48" s="104">
        <f>AE38+Model!CD411</f>
        <v>-52858.0884068091</v>
      </c>
      <c r="AF48" s="104">
        <f>AF38+Model!CE411</f>
        <v>-7973.706906126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-175393.770939678</v>
      </c>
      <c r="G49" s="104">
        <f>G47+G48</f>
        <v>4859487.12854983</v>
      </c>
      <c r="H49" s="104">
        <f>H47+H48</f>
        <v>5299590.70529594</v>
      </c>
      <c r="N49" s="83" t="inlineStr">
        <is>
          <t>Implied Enterprise Value (USDm)</t>
        </is>
      </c>
      <c r="Q49" s="104" t="n"/>
      <c r="R49" s="104">
        <f>R47+R48</f>
        <v>-163057.148786436</v>
      </c>
      <c r="S49" s="104">
        <f>S47+S48</f>
        <v>6730550.03649268</v>
      </c>
      <c r="T49" s="104">
        <f>T47+T48</f>
        <v>7677031.48280547</v>
      </c>
      <c r="Z49" s="83" t="inlineStr">
        <is>
          <t>Implied Enterprise Value (USDm)</t>
        </is>
      </c>
      <c r="AC49" s="104" t="n"/>
      <c r="AD49" s="104">
        <f>AD47+AD48</f>
        <v>2616597.28055649</v>
      </c>
      <c r="AE49" s="104">
        <f>AE47+AE48</f>
        <v>2739776.15037544</v>
      </c>
      <c r="AF49" s="104">
        <f>AF47+AF48</f>
        <v>2823929.23323601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-0.613228566694049</v>
      </c>
      <c r="G50" s="105">
        <f>IFERROR(G49/G35,"")</f>
        <v>14.6691554073513</v>
      </c>
      <c r="H50" s="105">
        <f>IFERROR(H49/H35,"")</f>
        <v>14.1238355444015</v>
      </c>
      <c r="N50" s="83" t="inlineStr">
        <is>
          <t>Implied EV / Adjusted EBITDA (x)</t>
        </is>
      </c>
      <c r="Q50" s="105" t="n"/>
      <c r="R50" s="105">
        <f>IFERROR(R49/R35,"")</f>
        <v>-0.516066530413464</v>
      </c>
      <c r="S50" s="105">
        <f>IFERROR(S49/S35,"")</f>
        <v>18.0202041547817</v>
      </c>
      <c r="T50" s="105">
        <f>IFERROR(T49/T35,"")</f>
        <v>17.726544940007</v>
      </c>
      <c r="Z50" s="83" t="inlineStr">
        <is>
          <t>Implied EV / Adjusted EBITDA (x)</t>
        </is>
      </c>
      <c r="AC50" s="105" t="n"/>
      <c r="AD50" s="105">
        <f>IFERROR(AD49/AD35,"")</f>
        <v>10.9142264648475</v>
      </c>
      <c r="AE50" s="105">
        <f>IFERROR(AE49/AE35,"")</f>
        <v>10.1366066935992</v>
      </c>
      <c r="AF50" s="105">
        <f>IFERROR(AF49/AF35,"")</f>
        <v>9.48651876415516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ALPHABET INC. (GOOG)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1.05</v>
      </c>
      <c r="D7" s="198" t="inlineStr">
        <is>
          <t>Assumption: mega-cap internet / cloud peers (MSFT, AMZN, META) ~1.0–1.2; advertising cyclicality offset by subscription and cloud backlog ($519.5bn RPO)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0.095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0.047</v>
      </c>
      <c r="D9" s="198" t="inlineStr">
        <is>
          <t>2026 senior notes: USD w.a. coupon 4.80% (15 years), GBP 5.31%, EUR 3.90%, CAD 4.35% (Q2-26 10-Q Note 6); AA+ / Aa2 issuer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0.175</v>
      </c>
      <c r="D10" s="198" t="inlineStr">
        <is>
          <t>Model 2027E+ effective tax rate (FY2025 16.8%)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0.038775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0.05</v>
      </c>
      <c r="D12" s="198" t="inlineStr">
        <is>
          <t>Net cash ~$0.1tn at YE2026E vs ~$4.3tn market cap ($350 × ~12.3bn diluted shares); debt ~$100bn, preferred converts in 2029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0.09218875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2026-10-13 00:00:00</v>
      </c>
      <c r="D15" s="198" t="inlineStr">
        <is>
          <t>Periods = (31-Dec of the year − today) / 365.25; cash flows at year-end. 2026E UFCF is excluded from the sum: YE2026E net debt already reflects 2026 cash flows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2026E</t>
        </is>
      </c>
      <c r="E17" s="203" t="inlineStr">
        <is>
          <t>2027E</t>
        </is>
      </c>
      <c r="F17" s="203" t="inlineStr">
        <is>
          <t>2028E</t>
        </is>
      </c>
      <c r="G17" s="203" t="inlineStr">
        <is>
          <t>2029E</t>
        </is>
      </c>
      <c r="H17" s="203" t="inlineStr">
        <is>
          <t>2030E</t>
        </is>
      </c>
      <c r="I17" s="203" t="inlineStr">
        <is>
          <t>2031E</t>
        </is>
      </c>
      <c r="J17" s="203" t="inlineStr">
        <is>
          <t>2032E</t>
        </is>
      </c>
      <c r="K17" s="203" t="inlineStr">
        <is>
          <t>2033E</t>
        </is>
      </c>
      <c r="L17" s="203" t="inlineStr">
        <is>
          <t>2034E</t>
        </is>
      </c>
      <c r="M17" s="203" t="inlineStr">
        <is>
          <t>2035E</t>
        </is>
      </c>
      <c r="N17" s="203" t="inlineStr">
        <is>
          <t>Terminal</t>
        </is>
      </c>
      <c r="O17" s="192" t="n"/>
      <c r="P17" s="204" t="inlineStr">
        <is>
          <t>CAGR 26–30E</t>
        </is>
      </c>
      <c r="Q17" s="204" t="inlineStr">
        <is>
          <t>CAGR 26–35E</t>
        </is>
      </c>
    </row>
    <row r="18" ht="15.75" customHeight="1" s="251">
      <c r="A18" s="192" t="n"/>
      <c r="B18" s="197" t="inlineStr">
        <is>
          <t>Adj. EBIT less cash adjusting items (EC fines, severance &amp; office space)</t>
        </is>
      </c>
      <c r="C18" s="192" t="n"/>
      <c r="D18" s="173">
        <f>Model!CA195-Model!CA197</f>
        <v>172938.832200787</v>
      </c>
      <c r="E18" s="173">
        <f>Model!CB195-Model!CB197</f>
        <v>194643.240084932</v>
      </c>
      <c r="F18" s="173">
        <f>Model!CC195-Model!CC197</f>
        <v>212421.8802008</v>
      </c>
      <c r="G18" s="173">
        <f>Model!CD195-Model!CD197</f>
        <v>234774.621414897</v>
      </c>
      <c r="H18" s="173">
        <f>Model!CE195-Model!CE197</f>
        <v>256717.05000939</v>
      </c>
      <c r="I18" s="174">
        <f>H18*(1+I$26)</f>
        <v>279821.584510235</v>
      </c>
      <c r="J18" s="174">
        <f>I18*(1+J$26)</f>
        <v>302906.86523233</v>
      </c>
      <c r="K18" s="174">
        <f>J18*(1+K$26)</f>
        <v>325624.880124754</v>
      </c>
      <c r="L18" s="174">
        <f>K18*(1+L$26)</f>
        <v>347604.559533175</v>
      </c>
      <c r="M18" s="174">
        <f>L18*(1+M$26)</f>
        <v>368460.833105166</v>
      </c>
      <c r="N18" s="192" t="n"/>
      <c r="O18" s="192" t="n"/>
      <c r="P18" s="176">
        <f>IFERROR((H18/D18)^(1/(COLUMNS(D18:H18)-1))-1,"n/m")</f>
        <v>0.103800401970175</v>
      </c>
      <c r="Q18" s="176">
        <f>IFERROR((M18/D18)^(1/(COLUMNS(D18:M18)-1))-1,"n/m")</f>
        <v>0.0876768058510462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0.825</v>
      </c>
      <c r="E19" s="177">
        <f>1-$C$10</f>
        <v>0.825</v>
      </c>
      <c r="F19" s="177">
        <f>1-$C$10</f>
        <v>0.825</v>
      </c>
      <c r="G19" s="177">
        <f>1-$C$10</f>
        <v>0.825</v>
      </c>
      <c r="H19" s="177">
        <f>1-$C$10</f>
        <v>0.825</v>
      </c>
      <c r="I19" s="177">
        <f>1-$C$10</f>
        <v>0.825</v>
      </c>
      <c r="J19" s="177">
        <f>1-$C$10</f>
        <v>0.825</v>
      </c>
      <c r="K19" s="177">
        <f>1-$C$10</f>
        <v>0.825</v>
      </c>
      <c r="L19" s="177">
        <f>1-$C$10</f>
        <v>0.825</v>
      </c>
      <c r="M19" s="177">
        <f>1-$C$10</f>
        <v>0.825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142674.53656565</v>
      </c>
      <c r="E20" s="174">
        <f>E18*E19</f>
        <v>160580.673070069</v>
      </c>
      <c r="F20" s="174">
        <f>F18*F19</f>
        <v>175248.05116566</v>
      </c>
      <c r="G20" s="174">
        <f>G18*G19</f>
        <v>193689.06266729</v>
      </c>
      <c r="H20" s="174">
        <f>H18*H19</f>
        <v>211791.566257747</v>
      </c>
      <c r="I20" s="174">
        <f>I18*I19</f>
        <v>230852.807220944</v>
      </c>
      <c r="J20" s="174">
        <f>J18*J19</f>
        <v>249898.163816672</v>
      </c>
      <c r="K20" s="174">
        <f>K18*K19</f>
        <v>268640.526102922</v>
      </c>
      <c r="L20" s="174">
        <f>L18*L19</f>
        <v>286773.761614869</v>
      </c>
      <c r="M20" s="174">
        <f>M18*M19</f>
        <v>303980.187311762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D&amp;A (depreciation + amortization of intangibles)</t>
        </is>
      </c>
      <c r="C21" s="192" t="n"/>
      <c r="D21" s="173">
        <f>Model!CA155</f>
        <v>31190.422464</v>
      </c>
      <c r="E21" s="173">
        <f>Model!CB155</f>
        <v>50331.37641664</v>
      </c>
      <c r="F21" s="173">
        <f>Model!CC155</f>
        <v>73595.0806287264</v>
      </c>
      <c r="G21" s="173">
        <f>Model!CD155</f>
        <v>96497.8338564229</v>
      </c>
      <c r="H21" s="173">
        <f>Model!CE155</f>
        <v>118506.145462934</v>
      </c>
      <c r="I21" s="174">
        <f>H21*(1+I$26)</f>
        <v>129171.698554598</v>
      </c>
      <c r="J21" s="174">
        <f>I21*(1+J$26)</f>
        <v>139828.363685353</v>
      </c>
      <c r="K21" s="174">
        <f>J21*(1+K$26)</f>
        <v>150315.490961754</v>
      </c>
      <c r="L21" s="174">
        <f>K21*(1+L$26)</f>
        <v>160461.786601673</v>
      </c>
      <c r="M21" s="174">
        <f>L21*(1+M$26)</f>
        <v>170089.493797773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(property &amp; equipment) and acquisitions (M&amp;A lever 2027E–30E; Wiz / Intersect in 2026E); fade: converges to the terminal reinvestment level</t>
        </is>
      </c>
      <c r="C22" s="192" t="n"/>
      <c r="D22" s="173">
        <f>Model!CA254+Model!CA255</f>
        <v>-233697</v>
      </c>
      <c r="E22" s="173">
        <f>Model!CB254+Model!CB255</f>
        <v>-255000</v>
      </c>
      <c r="F22" s="173">
        <f>Model!CC254+Model!CC255</f>
        <v>-275000</v>
      </c>
      <c r="G22" s="173">
        <f>Model!CD254+Model!CD255</f>
        <v>-290000</v>
      </c>
      <c r="H22" s="173">
        <f>Model!CE254+Model!CE255</f>
        <v>-305000</v>
      </c>
      <c r="I22" s="174">
        <f>$H$22+((-($M$21+$M$20*$C$27/$C$28))-$H$22)*1/5</f>
        <v>-288657.205315466</v>
      </c>
      <c r="J22" s="174">
        <f>$H$22+((-($M$21+$M$20*$C$27/$C$28))-$H$22)*2/5</f>
        <v>-272314.410630933</v>
      </c>
      <c r="K22" s="174">
        <f>$H$22+((-($M$21+$M$20*$C$27/$C$28))-$H$22)*3/5</f>
        <v>-255971.615946399</v>
      </c>
      <c r="L22" s="174">
        <f>$H$22+((-($M$21+$M$20*$C$27/$C$28))-$H$22)*4/5</f>
        <v>-239628.821261865</v>
      </c>
      <c r="M22" s="174">
        <f>$H$22+((-($M$21+$M$20*$C$27/$C$28))-$H$22)*5/5</f>
        <v>-223286.026577331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Model!CA252</f>
        <v>-9615.29304413042</v>
      </c>
      <c r="E23" s="173">
        <f>Model!CB252</f>
        <v>7222.40623208196</v>
      </c>
      <c r="F23" s="173">
        <f>Model!CC252</f>
        <v>3614.91549258209</v>
      </c>
      <c r="G23" s="173">
        <f>Model!CD252</f>
        <v>3028.59450545699</v>
      </c>
      <c r="H23" s="173">
        <f>Model!CE252</f>
        <v>3010.27276289838</v>
      </c>
      <c r="I23" s="174">
        <f>H23*(1+I$26)</f>
        <v>3281.19731155923</v>
      </c>
      <c r="J23" s="174">
        <f>I23*(1+J$26)</f>
        <v>3551.89608976287</v>
      </c>
      <c r="K23" s="174">
        <f>J23*(1+K$26)</f>
        <v>3818.28829649508</v>
      </c>
      <c r="L23" s="174">
        <f>K23*(1+L$26)</f>
        <v>4076.0227565085</v>
      </c>
      <c r="M23" s="174">
        <f>L23*(1+M$26)</f>
        <v>4320.58412189901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-69447.3340144809</v>
      </c>
      <c r="E24" s="219">
        <f>E20+E21+E22+E23</f>
        <v>-36865.5442812094</v>
      </c>
      <c r="F24" s="219">
        <f>F20+F21+F22+F23</f>
        <v>-22541.9527130315</v>
      </c>
      <c r="G24" s="219">
        <f>G20+G21+G22+G23</f>
        <v>3215.49102916966</v>
      </c>
      <c r="H24" s="219">
        <f>H20+H21+H22+H23</f>
        <v>28307.9844835794</v>
      </c>
      <c r="I24" s="219">
        <f>I20+I21+I22+I23</f>
        <v>74648.4977716353</v>
      </c>
      <c r="J24" s="219">
        <f>J20+J21+J22+J23</f>
        <v>120964.012960855</v>
      </c>
      <c r="K24" s="219">
        <f>K20+K21+K22+K23</f>
        <v>166802.689414773</v>
      </c>
      <c r="L24" s="219">
        <f>L20+L21+L22+L23</f>
        <v>211682.749711186</v>
      </c>
      <c r="M24" s="219">
        <f>M20+M21+M22+M23</f>
        <v>255104.238654102</v>
      </c>
      <c r="N24" s="219">
        <f>M24*(1+$C$27)</f>
        <v>264032.887006996</v>
      </c>
      <c r="O24" s="192" t="n"/>
      <c r="P24" s="181" t="str">
        <f>IFERROR((H24/D24)^(1/(COLUMNS(D24:H24)-1))-1,"n/m")</f>
        <v>n/m</v>
      </c>
      <c r="Q24" s="181">
        <f>IFERROR((M24/D24)^(1/(COLUMNS(D24:M24)-1))-1,"n/m")</f>
        <v>-2.15553918530419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4616867.60083051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(2031E–35E; 9.0% → 6.0%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0.09</v>
      </c>
      <c r="J26" s="183">
        <f>I26+($M$26-$I$26)/4</f>
        <v>0.0825</v>
      </c>
      <c r="K26" s="183">
        <f>J26+($M$26-$I$26)/4</f>
        <v>0.075</v>
      </c>
      <c r="L26" s="183">
        <f>K26+($M$26-$I$26)/4</f>
        <v>0.0675</v>
      </c>
      <c r="M26" s="182" t="n">
        <v>0.06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0.035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inlineStr">
        <is>
          <t>Terminal RONIC on new investment (fade capex converges to D&amp;A + NOPAT × g ÷ RONIC by 2035E)</t>
        </is>
      </c>
      <c r="C28" s="301" t="n">
        <v>0.2</v>
      </c>
      <c r="D28" s="192" t="inlineStr">
        <is>
          <t>Assumption. 2030E capex ($300bn, 36% of revenues, 2.6x D&amp;A) is a build-out level; holding that intensity in perpetuity would imply ~88% reinvestment at ~7% returns. Model ROIC 2030E ~17%; 20% terminal RONIC = reinvestment of 17.5% of NOPAT at 3.5% growth.</t>
        </is>
      </c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(DATE(2026,12,31)-$C$15)/365.25</f>
        <v>0.216290212183436</v>
      </c>
      <c r="E29" s="177">
        <f>(DATE(2027,12,31)-$C$15)/365.25</f>
        <v>1.21560574948665</v>
      </c>
      <c r="F29" s="177">
        <f>(DATE(2028,12,31)-$C$15)/365.25</f>
        <v>2.217659137577</v>
      </c>
      <c r="G29" s="177">
        <f>(DATE(2029,12,31)-$C$15)/365.25</f>
        <v>3.21697467488022</v>
      </c>
      <c r="H29" s="177">
        <f>(DATE(2030,12,31)-$C$15)/365.25</f>
        <v>4.21629021218344</v>
      </c>
      <c r="I29" s="177">
        <f>(DATE(2031,12,31)-$C$15)/365.25</f>
        <v>5.21560574948665</v>
      </c>
      <c r="J29" s="177">
        <f>(DATE(2032,12,31)-$C$15)/365.25</f>
        <v>6.217659137577</v>
      </c>
      <c r="K29" s="177">
        <f>(DATE(2033,12,31)-$C$15)/365.25</f>
        <v>7.21697467488022</v>
      </c>
      <c r="L29" s="177">
        <f>(DATE(2034,12,31)-$C$15)/365.25</f>
        <v>8.21629021218344</v>
      </c>
      <c r="M29" s="177">
        <f>(DATE(2035,12,31)-$C$15)/365.25</f>
        <v>9.21560574948665</v>
      </c>
      <c r="N29" s="177">
        <f>M29</f>
        <v>9.21560574948665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0.98110747050196</v>
      </c>
      <c r="E30" s="185">
        <f>1/(1+$C$13)^E29</f>
        <v>0.89834901744353</v>
      </c>
      <c r="F30" s="185">
        <f>1/(1+$C$13)^F29</f>
        <v>0.822372839200207</v>
      </c>
      <c r="G30" s="185">
        <f>1/(1+$C$13)^G29</f>
        <v>0.753003982010018</v>
      </c>
      <c r="H30" s="185">
        <f>1/(1+$C$13)^H29</f>
        <v>0.689486532014347</v>
      </c>
      <c r="I30" s="185">
        <f>1/(1+$C$13)^I29</f>
        <v>0.631326910862002</v>
      </c>
      <c r="J30" s="185">
        <f>1/(1+$C$13)^J29</f>
        <v>0.577933624980803</v>
      </c>
      <c r="K30" s="185">
        <f>1/(1+$C$13)^K29</f>
        <v>0.529183723250473</v>
      </c>
      <c r="L30" s="185">
        <f>1/(1+$C$13)^L29</f>
        <v>0.484545976992662</v>
      </c>
      <c r="M30" s="185">
        <f>1/(1+$C$13)^M29</f>
        <v>0.443673517351638</v>
      </c>
      <c r="N30" s="185">
        <f>1/(1+$C$13)^N29</f>
        <v>0.443673517351638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-68135.2982080521</v>
      </c>
      <c r="E31" s="222">
        <f>E24*E30</f>
        <v>-33118.1254825454</v>
      </c>
      <c r="F31" s="222">
        <f>F24*F30</f>
        <v>-18537.8896537326</v>
      </c>
      <c r="G31" s="222">
        <f>G24*G30</f>
        <v>2421.27754908224</v>
      </c>
      <c r="H31" s="222">
        <f>H24*H30</f>
        <v>19517.9740498991</v>
      </c>
      <c r="I31" s="222">
        <f>I24*I30</f>
        <v>47127.6054986556</v>
      </c>
      <c r="J31" s="222">
        <f>J24*J30</f>
        <v>69909.1705026917</v>
      </c>
      <c r="K31" s="222">
        <f>K24*K30</f>
        <v>88269.2682327018</v>
      </c>
      <c r="L31" s="222">
        <f>L24*L30</f>
        <v>102570.0247713</v>
      </c>
      <c r="M31" s="222">
        <f>M24*M30</f>
        <v>113182.994854977</v>
      </c>
      <c r="N31" s="222">
        <f>N25*N30</f>
        <v>2048381.88760729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Alphabet's adjusted EBIT (model) is after stock-based compensation (~6.5% of revenues) and amortization; only company-reconciled cash items (EC fines, severance and office-space charges) are added back, and they are deducted again in row 18. D&amp;A (row 21) is added back in full because adjusted EBIT is full-cost. Row 22 includes capex at the call outlook / scenario levels ($200bn 2026E, $250–300bn 2027E–30E; unverified) and acquisitions. Equity-security gains are excluded from NOPAT; non-marketable equity stakes are added back at carrying value in the equity bridge (row 48). 2026E UFCF is not summed (net debt at YE2026E).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Model!BV381</f>
        <v>268278</v>
      </c>
      <c r="E34" s="174">
        <f>D38</f>
        <v>480399.87058013</v>
      </c>
      <c r="F34" s="174">
        <f>E38</f>
        <v>677846.087931409</v>
      </c>
      <c r="G34" s="174">
        <f>F38</f>
        <v>875636.0918101</v>
      </c>
      <c r="H34" s="174">
        <f>G38</f>
        <v>1066109.66344822</v>
      </c>
      <c r="I34" s="174">
        <f>H38</f>
        <v>1249593.24522239</v>
      </c>
      <c r="J34" s="174">
        <f>I38</f>
        <v>1405797.5546717</v>
      </c>
      <c r="K34" s="174">
        <f>J38</f>
        <v>1534731.70552751</v>
      </c>
      <c r="L34" s="174">
        <f>K38</f>
        <v>1636569.54221566</v>
      </c>
      <c r="M34" s="174">
        <f>L38</f>
        <v>1711660.55411935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233697</v>
      </c>
      <c r="E35" s="174">
        <f>-E22</f>
        <v>255000</v>
      </c>
      <c r="F35" s="174">
        <f>-F22</f>
        <v>275000</v>
      </c>
      <c r="G35" s="174">
        <f>-G22</f>
        <v>290000</v>
      </c>
      <c r="H35" s="174">
        <f>-H22</f>
        <v>305000</v>
      </c>
      <c r="I35" s="174">
        <f>-I22</f>
        <v>288657.205315466</v>
      </c>
      <c r="J35" s="174">
        <f>-J22</f>
        <v>272314.410630933</v>
      </c>
      <c r="K35" s="174">
        <f>-K22</f>
        <v>255971.615946399</v>
      </c>
      <c r="L35" s="174">
        <f>-L22</f>
        <v>239628.821261865</v>
      </c>
      <c r="M35" s="174">
        <f>-M22</f>
        <v>223286.026577331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-31190.422464</v>
      </c>
      <c r="E36" s="174">
        <f>-E21</f>
        <v>-50331.37641664</v>
      </c>
      <c r="F36" s="174">
        <f>-F21</f>
        <v>-73595.0806287264</v>
      </c>
      <c r="G36" s="174">
        <f>-G21</f>
        <v>-96497.8338564229</v>
      </c>
      <c r="H36" s="174">
        <f>-H21</f>
        <v>-118506.145462934</v>
      </c>
      <c r="I36" s="174">
        <f>-I21</f>
        <v>-129171.698554598</v>
      </c>
      <c r="J36" s="174">
        <f>-J21</f>
        <v>-139828.363685353</v>
      </c>
      <c r="K36" s="174">
        <f>-K21</f>
        <v>-150315.490961754</v>
      </c>
      <c r="L36" s="174">
        <f>-L21</f>
        <v>-160461.786601673</v>
      </c>
      <c r="M36" s="174">
        <f>-M21</f>
        <v>-170089.493797773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9615.29304413042</v>
      </c>
      <c r="E37" s="174">
        <f>-E23</f>
        <v>-7222.40623208196</v>
      </c>
      <c r="F37" s="174">
        <f>-F23</f>
        <v>-3614.91549258209</v>
      </c>
      <c r="G37" s="174">
        <f>-G23</f>
        <v>-3028.59450545699</v>
      </c>
      <c r="H37" s="174">
        <f>-H23</f>
        <v>-3010.27276289838</v>
      </c>
      <c r="I37" s="174">
        <f>-I23</f>
        <v>-3281.19731155923</v>
      </c>
      <c r="J37" s="174">
        <f>-J23</f>
        <v>-3551.89608976287</v>
      </c>
      <c r="K37" s="174">
        <f>-K23</f>
        <v>-3818.28829649508</v>
      </c>
      <c r="L37" s="174">
        <f>-L23</f>
        <v>-4076.0227565085</v>
      </c>
      <c r="M37" s="174">
        <f>-M23</f>
        <v>-4320.58412189901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480399.87058013</v>
      </c>
      <c r="E38" s="224">
        <f>SUM(E34:E37)</f>
        <v>677846.087931409</v>
      </c>
      <c r="F38" s="224">
        <f>SUM(F34:F37)</f>
        <v>875636.0918101</v>
      </c>
      <c r="G38" s="224">
        <f>SUM(G34:G37)</f>
        <v>1066109.66344822</v>
      </c>
      <c r="H38" s="224">
        <f>SUM(H34:H37)</f>
        <v>1249593.24522239</v>
      </c>
      <c r="I38" s="224">
        <f>SUM(I34:I37)</f>
        <v>1405797.5546717</v>
      </c>
      <c r="J38" s="224">
        <f>SUM(J34:J37)</f>
        <v>1534731.70552751</v>
      </c>
      <c r="K38" s="224">
        <f>SUM(K34:K37)</f>
        <v>1636569.54221566</v>
      </c>
      <c r="L38" s="224">
        <f>SUM(L34:L37)</f>
        <v>1711660.55411935</v>
      </c>
      <c r="M38" s="224">
        <f>SUM(M34:M37)</f>
        <v>1760536.50277701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142674.53656565</v>
      </c>
      <c r="E39" s="174">
        <f>E20</f>
        <v>160580.673070069</v>
      </c>
      <c r="F39" s="174">
        <f>F20</f>
        <v>175248.05116566</v>
      </c>
      <c r="G39" s="174">
        <f>G20</f>
        <v>193689.06266729</v>
      </c>
      <c r="H39" s="174">
        <f>H20</f>
        <v>211791.566257747</v>
      </c>
      <c r="I39" s="174">
        <f>I20</f>
        <v>230852.807220944</v>
      </c>
      <c r="J39" s="174">
        <f>J20</f>
        <v>249898.163816672</v>
      </c>
      <c r="K39" s="174">
        <f>K20</f>
        <v>268640.526102922</v>
      </c>
      <c r="L39" s="174">
        <f>L20</f>
        <v>286773.761614869</v>
      </c>
      <c r="M39" s="174">
        <f>M20</f>
        <v>303980.187311762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0.381137314650678</v>
      </c>
      <c r="E40" s="180">
        <f>IFERROR(E39/AVERAGE(E34,E38),"")</f>
        <v>0.277282509625901</v>
      </c>
      <c r="F40" s="180">
        <f>IFERROR(F39/AVERAGE(F34,F38),"")</f>
        <v>0.225619647847934</v>
      </c>
      <c r="G40" s="180">
        <f>IFERROR(G39/AVERAGE(G34,G38),"")</f>
        <v>0.199499921287607</v>
      </c>
      <c r="H40" s="180">
        <f>IFERROR(H39/AVERAGE(H34,H38),"")</f>
        <v>0.182917735660082</v>
      </c>
      <c r="I40" s="180">
        <f>IFERROR(I39/AVERAGE(I34,I38),"")</f>
        <v>0.173874826432442</v>
      </c>
      <c r="J40" s="180">
        <f>IFERROR(J39/AVERAGE(J34,J38),"")</f>
        <v>0.169968153147874</v>
      </c>
      <c r="K40" s="180">
        <f>IFERROR(K39/AVERAGE(K34,K38),"")</f>
        <v>0.169419746102076</v>
      </c>
      <c r="L40" s="180">
        <f>IFERROR(L39/AVERAGE(L34,L38),"")</f>
        <v>0.171298718047349</v>
      </c>
      <c r="M40" s="180">
        <f>IFERROR(M39/AVERAGE(M34,M38),"")</f>
        <v>0.175093856904237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1.48675352789757</v>
      </c>
      <c r="E41" s="175">
        <f>IFERROR(SUM(E35:E37)/E39,"")</f>
        <v>1.22957647129255</v>
      </c>
      <c r="F41" s="175">
        <f>IFERROR(SUM(F35:F37)/F39,"")</f>
        <v>1.12862883531711</v>
      </c>
      <c r="G41" s="175">
        <f>IFERROR(SUM(G35:G37)/G39,"")</f>
        <v>0.983398695905235</v>
      </c>
      <c r="H41" s="175">
        <f>IFERROR(SUM(H35:H37)/H39,"")</f>
        <v>0.866340360082474</v>
      </c>
      <c r="I41" s="175">
        <f>IFERROR(SUM(I35:I37)/I39,"")</f>
        <v>0.676640285772263</v>
      </c>
      <c r="J41" s="175">
        <f>IFERROR(SUM(J35:J37)/J39,"")</f>
        <v>0.515946771623358</v>
      </c>
      <c r="K41" s="175">
        <f>IFERROR(SUM(K35:K37)/K39,"")</f>
        <v>0.37908590399772</v>
      </c>
      <c r="L41" s="175">
        <f>IFERROR(SUM(L35:L37)/L39,"")</f>
        <v>0.261847567506993</v>
      </c>
      <c r="M41" s="175">
        <f>IFERROR(SUM(M35:M37)/M39,"")</f>
        <v>0.160786625897865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0.217679796466608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2025A invested capital (equity + net debt − non-marketable equity securities), rolled forward with capex + M&amp;A − D&amp;A + ΔWC (2026E includes Wiz / Intersect).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SUM(E31:M31)</f>
        <v>391342.300323029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2048381.88760729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2439724.18793032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− non-marketable equity securities (Model 2026E YE)</t>
        </is>
      </c>
      <c r="C48" s="173">
        <f>Model!CA401+Model!CA411</f>
        <v>-251966.199141267</v>
      </c>
      <c r="D48" s="198" t="inlineStr">
        <is>
          <t>GOOG: net debt (debt − cash − marketable securities; negative = net cash) less non-marketable equity stakes at carrying value (outside invested capital). No NCI.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2691690.38707159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2026E period end; incl. RSUs and preferred if-converted)</t>
        </is>
      </c>
      <c r="C50" s="186">
        <f>Model!CA408</f>
        <v>12485.751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215.580976031925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Model!CA407</f>
        <v>350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-0.384054354194499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0.143357582010787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184.675808580463</v>
      </c>
      <c r="D55" s="175">
        <f>C55/C52-1</f>
        <v>-0.472354832627248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0.08218875</v>
      </c>
      <c r="E61" s="228">
        <f>F61-0.005</f>
        <v>0.08718875</v>
      </c>
      <c r="F61" s="228">
        <f>$C$13</f>
        <v>0.09218875</v>
      </c>
      <c r="G61" s="228">
        <f>F61+0.005</f>
        <v>0.09718875</v>
      </c>
      <c r="H61" s="234">
        <f>F61+0.01</f>
        <v>0.10218875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0.025</v>
      </c>
      <c r="C62" s="192" t="n"/>
      <c r="D62" s="225">
        <f t="array" ref="D62">IFERROR((SUMPRODUCT($D$24:$M$24/(1+D$61)^$D$29:$M$29)+($M$24*(1+$B62)/(D$61-$B62))/(1+D$61)^$M$29-$C$48)/$C$50,"")</f>
        <v>225.354967431171</v>
      </c>
      <c r="E62" s="225">
        <f t="array" ref="E62">IFERROR((SUMPRODUCT($D$24:$M$24/(1+E$61)^$D$29:$M$29)+($M$24*(1+$B62)/(E$61-$B62))/(1+E$61)^$M$29-$C$48)/$C$50,"")</f>
        <v>203.12596078837</v>
      </c>
      <c r="F62" s="225">
        <f t="array" ref="F62">IFERROR((SUMPRODUCT($D$24:$M$24/(1+F$61)^$D$29:$M$29)+($M$24*(1+$B62)/(F$61-$B62))/(1+F$61)^$M$29-$C$48)/$C$50,"")</f>
        <v>184.357335768819</v>
      </c>
      <c r="G62" s="225">
        <f t="array" ref="G62">IFERROR((SUMPRODUCT($D$24:$M$24/(1+G$61)^$D$29:$M$29)+($M$24*(1+$B62)/(G$61-$B62))/(1+G$61)^$M$29-$C$48)/$C$50,"")</f>
        <v>168.324821364835</v>
      </c>
      <c r="H62" s="235">
        <f t="array" ref="H62">IFERROR((SUMPRODUCT($D$24:$M$24/(1+H$61)^$D$29:$M$29)+($M$24*(1+$B62)/(H$61-$B62))/(1+H$61)^$M$29-$C$48)/$C$50,"")</f>
        <v>154.492019363384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</v>
      </c>
      <c r="C63" s="192" t="n"/>
      <c r="D63" s="225">
        <f t="array" ref="D63">IFERROR((SUMPRODUCT($D$24:$M$24/(1+D$61)^$D$29:$M$29)+($M$24*(1+$B63)/(D$61-$B63))/(1+D$61)^$M$29-$C$48)/$C$50,"")</f>
        <v>243.243118918496</v>
      </c>
      <c r="E63" s="225">
        <f t="array" ref="E63">IFERROR((SUMPRODUCT($D$24:$M$24/(1+E$61)^$D$29:$M$29)+($M$24*(1+$B63)/(E$61-$B63))/(1+E$61)^$M$29-$C$48)/$C$50,"")</f>
        <v>217.579806806206</v>
      </c>
      <c r="F63" s="225">
        <f t="array" ref="F63">IFERROR((SUMPRODUCT($D$24:$M$24/(1+F$61)^$D$29:$M$29)+($M$24*(1+$B63)/(F$61-$B63))/(1+F$61)^$M$29-$C$48)/$C$50,"")</f>
        <v>196.204811447809</v>
      </c>
      <c r="G63" s="225">
        <f t="array" ref="G63">IFERROR((SUMPRODUCT($D$24:$M$24/(1+G$61)^$D$29:$M$29)+($M$24*(1+$B63)/(G$61-$B63))/(1+G$61)^$M$29-$C$48)/$C$50,"")</f>
        <v>178.155223158998</v>
      </c>
      <c r="H63" s="235">
        <f t="array" ref="H63">IFERROR((SUMPRODUCT($D$24:$M$24/(1+H$61)^$D$29:$M$29)+($M$24*(1+$B63)/(H$61-$B63))/(1+H$61)^$M$29-$C$48)/$C$50,"")</f>
        <v>162.735128646913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0.035</v>
      </c>
      <c r="C64" s="192" t="n"/>
      <c r="D64" s="225">
        <f t="array" ref="D64">IFERROR((SUMPRODUCT($D$24:$M$24/(1+D$61)^$D$29:$M$29)+($M$24*(1+$B64)/(D$61-$B64))/(1+D$61)^$M$29-$C$48)/$C$50,"")</f>
        <v>264.922036528536</v>
      </c>
      <c r="E64" s="225">
        <f t="array" ref="E64">IFERROR((SUMPRODUCT($D$24:$M$24/(1+E$61)^$D$29:$M$29)+($M$24*(1+$B64)/(E$61-$B64))/(1+E$61)^$M$29-$C$48)/$C$50,"")</f>
        <v>234.803185724875</v>
      </c>
      <c r="F64" s="226">
        <f t="array" ref="F64">IFERROR((SUMPRODUCT($D$24:$M$24/(1+F$61)^$D$29:$M$29)+($M$24*(1+$B64)/(F$61-$B64))/(1+F$61)^$M$29-$C$48)/$C$50,"")</f>
        <v>210.123931581171</v>
      </c>
      <c r="G64" s="225">
        <f t="array" ref="G64">IFERROR((SUMPRODUCT($D$24:$M$24/(1+G$61)^$D$29:$M$29)+($M$24*(1+$B64)/(G$61-$B64))/(1+G$61)^$M$29-$C$48)/$C$50,"")</f>
        <v>189.566361307271</v>
      </c>
      <c r="H64" s="235">
        <f t="array" ref="H64">IFERROR((SUMPRODUCT($D$24:$M$24/(1+H$61)^$D$29:$M$29)+($M$24*(1+$B64)/(H$61-$B64))/(1+H$61)^$M$29-$C$48)/$C$50,"")</f>
        <v>172.205096486901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</v>
      </c>
      <c r="C65" s="192" t="n"/>
      <c r="D65" s="225">
        <f t="array" ref="D65">IFERROR((SUMPRODUCT($D$24:$M$24/(1+D$61)^$D$29:$M$29)+($M$24*(1+$B65)/(D$61-$B65))/(1+D$61)^$M$29-$C$48)/$C$50,"")</f>
        <v>291.739508281574</v>
      </c>
      <c r="E65" s="225">
        <f t="array" ref="E65">IFERROR((SUMPRODUCT($D$24:$M$24/(1+E$61)^$D$29:$M$29)+($M$24*(1+$B65)/(E$61-$B65))/(1+E$61)^$M$29-$C$48)/$C$50,"")</f>
        <v>255.676455543106</v>
      </c>
      <c r="F65" s="225">
        <f t="array" ref="F65">IFERROR((SUMPRODUCT($D$24:$M$24/(1+F$61)^$D$29:$M$29)+($M$24*(1+$B65)/(F$61-$B65))/(1+F$61)^$M$29-$C$48)/$C$50,"")</f>
        <v>226.710124624568</v>
      </c>
      <c r="G65" s="225">
        <f t="array" ref="G65">IFERROR((SUMPRODUCT($D$24:$M$24/(1+G$61)^$D$29:$M$29)+($M$24*(1+$B65)/(G$61-$B65))/(1+G$61)^$M$29-$C$48)/$C$50,"")</f>
        <v>202.972846118703</v>
      </c>
      <c r="H65" s="235">
        <f t="array" ref="H65">IFERROR((SUMPRODUCT($D$24:$M$24/(1+H$61)^$D$29:$M$29)+($M$24*(1+$B65)/(H$61-$B65))/(1+H$61)^$M$29-$C$48)/$C$50,"")</f>
        <v>183.197842617173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0.045</v>
      </c>
      <c r="C66" s="229" t="n"/>
      <c r="D66" s="230">
        <f t="array" ref="D66">IFERROR((SUMPRODUCT($D$24:$M$24/(1+D$61)^$D$29:$M$29)+($M$24*(1+$B66)/(D$61-$B66))/(1+D$61)^$M$29-$C$48)/$C$50,"")</f>
        <v>325.768158617661</v>
      </c>
      <c r="E66" s="230">
        <f t="array" ref="E66">IFERROR((SUMPRODUCT($D$24:$M$24/(1+E$61)^$D$29:$M$29)+($M$24*(1+$B66)/(E$61-$B66))/(1+E$61)^$M$29-$C$48)/$C$50,"")</f>
        <v>281.497316797023</v>
      </c>
      <c r="F66" s="230">
        <f t="array" ref="F66">IFERROR((SUMPRODUCT($D$24:$M$24/(1+F$61)^$D$29:$M$29)+($M$24*(1+$B66)/(F$61-$B66))/(1+F$61)^$M$29-$C$48)/$C$50,"")</f>
        <v>246.81117937619</v>
      </c>
      <c r="G66" s="230">
        <f t="array" ref="G66">IFERROR((SUMPRODUCT($D$24:$M$24/(1+G$61)^$D$29:$M$29)+($M$24*(1+$B66)/(G$61-$B66))/(1+G$61)^$M$29-$C$48)/$C$50,"")</f>
        <v>218.948176670152</v>
      </c>
      <c r="H66" s="236">
        <f t="array" ref="H66">IFERROR((SUMPRODUCT($D$24:$M$24/(1+H$61)^$D$29:$M$29)+($M$24*(1+$B66)/(H$61-$B66))/(1+H$61)^$M$29-$C$48)/$C$50,"")</f>
        <v>196.112775563956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(Alphabet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0.09218875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0.1</v>
      </c>
      <c r="D78" s="198" t="inlineStr">
        <is>
          <t>Model adjusted EBIT CAGR 2025–30E: Search / YouTube / subscriptions high-single to low-double digit, Cloud 20–45% with rising margins, against rising depreciation → ~10%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0.2</v>
      </c>
      <c r="D79" s="198" t="inlineStr">
        <is>
          <t>Search and YouTube earn very high returns on little capital; incremental returns now hinge on AI infrastructure (capex ~45% of revenues in 2026E–27E) monetised through Cloud backlog and AI products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15</v>
      </c>
      <c r="D80" s="198" t="inlineStr">
        <is>
          <t>Search distribution, data and TPU / infrastructure scale sustain a long competitive-advantage period; risks: AI-assistant substitution of search, antitrust remedies (US search and ad-tech cases, EC fines)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10.8473105449418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0.53905625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-74.8575521836039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-0.112819674326843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8.44540465825882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302">
        <f>C83+C87</f>
        <v>19.2927152032006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2028E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2028E Adj. EBIT less cash adjusting items</t>
        </is>
      </c>
      <c r="C91" s="209">
        <f>Model!CC195-Model!CC197</f>
        <v>212421.8802008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0.175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2028E NOPAT</t>
        </is>
      </c>
      <c r="C93" s="211">
        <f>C91*(1-C92)</f>
        <v>175248.05116566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303">
        <f>C88</f>
        <v>19.2927152032006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(2028E basis)</t>
        </is>
      </c>
      <c r="C95" s="211">
        <f>C93*C94</f>
        <v>3381010.741055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YE2027 net debt − non-marketable equity securities (Model)</t>
        </is>
      </c>
      <c r="C96" s="209">
        <f>Model!CB401+Model!CB411</f>
        <v>-192704.654125393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3573715.39518039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2028E (m, Model)</t>
        </is>
      </c>
      <c r="C98" s="212">
        <f>Model!CC408</f>
        <v>12648.6310475454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2028 ($)</t>
        </is>
      </c>
      <c r="C99" s="213">
        <f>C97/C98</f>
        <v>282.537721414042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350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-0.19274936738845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4370012.85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YE2026 net debt − non-marketable equity securities</t>
        </is>
      </c>
      <c r="C106" s="211">
        <f>C48</f>
        <v>-251966.199141267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4118046.65085873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GOOG market-implied EV/NOPAT (on 2028E NOPAT)</t>
        </is>
      </c>
      <c r="C108" s="304">
        <f>C107/C93</f>
        <v>23.4983877051277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-4.20567250192711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-0.178977066626974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Alphabet Inc. — Operating Performance (2011–2025) and Model Forecast (2026E–2030E)</t>
        </is>
      </c>
    </row>
    <row r="3" ht="15" customHeight="1" s="251">
      <c r="B3" s="4" t="inlineStr">
        <is>
          <t>USDm · Linked to Model. Bars = contribution of Google Services and Google Cloud to total revenue growth (pp; current revenue taxonomy from 2017–18, earlier years n/a). Adjusted EBITDA and operating income = model definitions. ROIC / RONTA on adjusted EBIT (invested capital excludes equity stakes).</t>
        </is>
      </c>
    </row>
    <row r="7" ht="15" customHeight="1" s="251">
      <c r="C7" s="10" t="n">
        <v>2011</v>
      </c>
      <c r="D7" s="10" t="n">
        <v>2012</v>
      </c>
      <c r="E7" s="10" t="n">
        <v>2013</v>
      </c>
      <c r="F7" s="10" t="n">
        <v>2014</v>
      </c>
      <c r="G7" s="10" t="n">
        <v>2015</v>
      </c>
      <c r="H7" s="10" t="n">
        <v>2016</v>
      </c>
      <c r="I7" s="10" t="n">
        <v>2017</v>
      </c>
      <c r="J7" s="10" t="n">
        <v>2018</v>
      </c>
      <c r="K7" s="10" t="n">
        <v>2019</v>
      </c>
      <c r="L7" s="10" t="n">
        <v>2020</v>
      </c>
      <c r="M7" s="10" t="n">
        <v>2021</v>
      </c>
      <c r="N7" s="10" t="n">
        <v>2022</v>
      </c>
      <c r="O7" s="10" t="n">
        <v>2023</v>
      </c>
      <c r="P7" s="10" t="n">
        <v>2024</v>
      </c>
      <c r="Q7" s="10" t="n">
        <v>2025</v>
      </c>
      <c r="R7" s="10" t="inlineStr">
        <is>
          <t>2026E</t>
        </is>
      </c>
      <c r="S7" s="10" t="inlineStr">
        <is>
          <t>2027E</t>
        </is>
      </c>
      <c r="T7" s="10" t="inlineStr">
        <is>
          <t>2028E</t>
        </is>
      </c>
      <c r="U7" s="10" t="inlineStr">
        <is>
          <t>2029E</t>
        </is>
      </c>
      <c r="V7" s="10" t="inlineStr">
        <is>
          <t>2030E</t>
        </is>
      </c>
    </row>
    <row r="8" ht="15" customHeight="1" s="251">
      <c r="B8" t="inlineStr">
        <is>
          <t>Google Services contribution to growth (pp)</t>
        </is>
      </c>
      <c r="C8" s="108">
        <f>IFERROR(Model!H39+0,0)</f>
        <v>0</v>
      </c>
      <c r="D8" s="108">
        <f>IFERROR(Model!I39+0,0)</f>
        <v>0</v>
      </c>
      <c r="E8" s="108">
        <f>IFERROR(Model!N39+0,0)</f>
        <v>0</v>
      </c>
      <c r="F8" s="108">
        <f>IFERROR(Model!S39+0,0)</f>
        <v>0</v>
      </c>
      <c r="G8" s="108">
        <f>IFERROR(Model!X39+0,0)</f>
        <v>0</v>
      </c>
      <c r="H8" s="108">
        <f>IFERROR(Model!AC39+0,0)</f>
        <v>0</v>
      </c>
      <c r="I8" s="108">
        <f>IFERROR(Model!AH39+0,0)</f>
        <v>0</v>
      </c>
      <c r="J8" s="108">
        <f>IFERROR(Model!AM39+0,0)</f>
        <v>0.216796716431374</v>
      </c>
      <c r="K8" s="108">
        <f>IFERROR(Model!AR39+0,0)</f>
        <v>0.155687441071781</v>
      </c>
      <c r="L8" s="108">
        <f>IFERROR(Model!AW39+0,0)</f>
        <v>0.103857108435224</v>
      </c>
      <c r="M8" s="108">
        <f>IFERROR(Model!BB39+0,0)</f>
        <v>0.377445528606727</v>
      </c>
      <c r="N8" s="108">
        <f>IFERROR(Model!BG39+0,0)</f>
        <v>0.0620989997554699</v>
      </c>
      <c r="O8" s="108">
        <f>IFERROR(Model!BL39+0,0)</f>
        <v>0.0672297727304869</v>
      </c>
      <c r="P8" s="108">
        <f>IFERROR(Model!BQ39+0,0)</f>
        <v>0.105359896419579</v>
      </c>
      <c r="Q8" s="108">
        <f>IFERROR(Model!BV39+0,0)</f>
        <v>0.107968733036587</v>
      </c>
      <c r="R8" s="108">
        <f>IFERROR(Model!CA39+0,0)</f>
        <v>0.130449572916685</v>
      </c>
      <c r="S8" s="108">
        <f>IFERROR(Model!CB39+0,0)</f>
        <v>0.0824717333760365</v>
      </c>
      <c r="T8" s="108">
        <f>IFERROR(Model!CC39+0,0)</f>
        <v>0.0655019825186164</v>
      </c>
      <c r="U8" s="108">
        <f>IFERROR(Model!CD39+0,0)</f>
        <v>0.0561416876079715</v>
      </c>
      <c r="V8" s="108">
        <f>IFERROR(Model!CE39+0,0)</f>
        <v>0.047759089018805</v>
      </c>
    </row>
    <row r="9" ht="15" customHeight="1" s="251">
      <c r="B9" t="inlineStr">
        <is>
          <t>Google Cloud contribution to growth (pp)</t>
        </is>
      </c>
      <c r="C9" s="108">
        <f>IFERROR(Model!H40+0,0)</f>
        <v>0</v>
      </c>
      <c r="D9" s="108">
        <f>IFERROR(Model!I40+0,0)</f>
        <v>0</v>
      </c>
      <c r="E9" s="108">
        <f>IFERROR(Model!N40+0,0)</f>
        <v>0</v>
      </c>
      <c r="F9" s="108">
        <f>IFERROR(Model!S40+0,0)</f>
        <v>0</v>
      </c>
      <c r="G9" s="108">
        <f>IFERROR(Model!X40+0,0)</f>
        <v>0</v>
      </c>
      <c r="H9" s="108">
        <f>IFERROR(Model!AC40+0,0)</f>
        <v>0</v>
      </c>
      <c r="I9" s="108">
        <f>IFERROR(Model!AH40+0,0)</f>
        <v>0.0449308755760369</v>
      </c>
      <c r="J9" s="108">
        <f>IFERROR(Model!AM40+0,0)</f>
        <v>0.0160750529971585</v>
      </c>
      <c r="K9" s="108">
        <f>IFERROR(Model!AR40+0,0)</f>
        <v>0.0225114932867511</v>
      </c>
      <c r="L9" s="108">
        <f>IFERROR(Model!AW40+0,0)</f>
        <v>0.0255843120779453</v>
      </c>
      <c r="M9" s="108">
        <f>IFERROR(Model!BB40+0,0)</f>
        <v>0.0336772093991574</v>
      </c>
      <c r="N9" s="108">
        <f>IFERROR(Model!BG40+0,0)</f>
        <v>0.0274572363441586</v>
      </c>
      <c r="O9" s="108">
        <f>IFERROR(Model!BL40+0,0)</f>
        <v>0.0240704860767371</v>
      </c>
      <c r="P9" s="108">
        <f>IFERROR(Model!BQ40+0,0)</f>
        <v>0.0329902340318939</v>
      </c>
      <c r="Q9" s="108">
        <f>IFERROR(Model!BV40+0,0)</f>
        <v>0.0442148689495969</v>
      </c>
      <c r="R9" s="108">
        <f>IFERROR(Model!CA40+0,0)</f>
        <v>0.106476283888998</v>
      </c>
      <c r="S9" s="108">
        <f>IFERROR(Model!CB40+0,0)</f>
        <v>0.0917542407739423</v>
      </c>
      <c r="T9" s="108">
        <f>IFERROR(Model!CC40+0,0)</f>
        <v>0.0805992687603173</v>
      </c>
      <c r="U9" s="108">
        <f>IFERROR(Model!CD40+0,0)</f>
        <v>0.0724547398251874</v>
      </c>
      <c r="V9" s="108">
        <f>IFERROR(Model!CE40+0,0)</f>
        <v>0.0641342771174152</v>
      </c>
    </row>
    <row r="11" ht="15" customHeight="1" s="251">
      <c r="C11" s="10">
        <f>C7</f>
        <v>2011</v>
      </c>
      <c r="D11" s="10">
        <f>D7</f>
        <v>2012</v>
      </c>
      <c r="E11" s="10">
        <f>E7</f>
        <v>2013</v>
      </c>
      <c r="F11" s="10">
        <f>F7</f>
        <v>2014</v>
      </c>
      <c r="G11" s="10">
        <f>G7</f>
        <v>2015</v>
      </c>
      <c r="H11" s="10">
        <f>H7</f>
        <v>2016</v>
      </c>
      <c r="I11" s="10">
        <f>I7</f>
        <v>2017</v>
      </c>
      <c r="J11" s="10">
        <f>J7</f>
        <v>2018</v>
      </c>
      <c r="K11" s="10">
        <f>K7</f>
        <v>2019</v>
      </c>
      <c r="L11" s="10">
        <f>L7</f>
        <v>2020</v>
      </c>
      <c r="M11" s="10">
        <f>M7</f>
        <v>2021</v>
      </c>
      <c r="N11" s="10">
        <f>N7</f>
        <v>2022</v>
      </c>
      <c r="O11" s="10">
        <f>O7</f>
        <v>2023</v>
      </c>
      <c r="P11" s="10">
        <f>P7</f>
        <v>2024</v>
      </c>
      <c r="Q11" s="10">
        <f>Q7</f>
        <v>2025</v>
      </c>
      <c r="R11" s="10" t="str">
        <f>R7</f>
        <v>2026E</v>
      </c>
      <c r="S11" s="10" t="str">
        <f>S7</f>
        <v>2027E</v>
      </c>
      <c r="T11" s="10" t="str">
        <f>T7</f>
        <v>2028E</v>
      </c>
      <c r="U11" s="10" t="str">
        <f>U7</f>
        <v>2029E</v>
      </c>
      <c r="V11" s="10" t="str">
        <f>V7</f>
        <v>2030E</v>
      </c>
    </row>
    <row r="12" ht="15" customHeight="1" s="251">
      <c r="B12" t="inlineStr">
        <is>
          <t>Adjusted EBITDA (model)</t>
        </is>
      </c>
      <c r="C12" s="106">
        <f>Model!H191</f>
        <v>13593</v>
      </c>
      <c r="D12" s="106">
        <f>Model!I191</f>
        <v>15722</v>
      </c>
      <c r="E12" s="106">
        <f>Model!N191</f>
        <v>17905</v>
      </c>
      <c r="F12" s="106">
        <f>Model!S191</f>
        <v>21475</v>
      </c>
      <c r="G12" s="106">
        <f>Model!X191</f>
        <v>24423</v>
      </c>
      <c r="H12" s="106">
        <f>Model!AC191</f>
        <v>29860</v>
      </c>
      <c r="I12" s="106">
        <f>Model!AH191</f>
        <v>35797</v>
      </c>
      <c r="J12" s="106">
        <f>Model!AM191</f>
        <v>40427</v>
      </c>
      <c r="K12" s="106">
        <f>Model!AR191</f>
        <v>47709</v>
      </c>
      <c r="L12" s="106">
        <f>Model!AW191</f>
        <v>54921</v>
      </c>
      <c r="M12" s="106">
        <f>Model!BB191</f>
        <v>91155</v>
      </c>
      <c r="N12" s="106">
        <f>Model!BG191</f>
        <v>90770</v>
      </c>
      <c r="O12" s="106">
        <f>Model!BL191</f>
        <v>98797</v>
      </c>
      <c r="P12" s="106">
        <f>Model!BQ191</f>
        <v>128417</v>
      </c>
      <c r="Q12" s="106">
        <f>Model!BV191</f>
        <v>153632</v>
      </c>
      <c r="R12" s="106">
        <f>Model!CA191</f>
        <v>204129.254664787</v>
      </c>
      <c r="S12" s="106">
        <f>Model!CB191</f>
        <v>244974.616501572</v>
      </c>
      <c r="T12" s="106">
        <f>Model!CC191</f>
        <v>286016.960829526</v>
      </c>
      <c r="U12" s="106">
        <f>Model!CD191</f>
        <v>331272.45527132</v>
      </c>
      <c r="V12" s="106">
        <f>Model!CE191</f>
        <v>375223.195472324</v>
      </c>
    </row>
    <row r="13" ht="15" customHeight="1" s="251">
      <c r="B13" t="inlineStr">
        <is>
          <t>Income from operations (GAAP)</t>
        </is>
      </c>
      <c r="C13" s="106">
        <f>Model!H140</f>
        <v>11742</v>
      </c>
      <c r="D13" s="106">
        <f>Model!I140</f>
        <v>12760</v>
      </c>
      <c r="E13" s="106">
        <f>Model!N140</f>
        <v>13966</v>
      </c>
      <c r="F13" s="106">
        <f>Model!S140</f>
        <v>16496</v>
      </c>
      <c r="G13" s="106">
        <f>Model!X140</f>
        <v>19360</v>
      </c>
      <c r="H13" s="106">
        <f>Model!AC140</f>
        <v>23716</v>
      </c>
      <c r="I13" s="106">
        <f>Model!AH140</f>
        <v>26146</v>
      </c>
      <c r="J13" s="106">
        <f>Model!AM140</f>
        <v>26321</v>
      </c>
      <c r="K13" s="106">
        <f>Model!AR140</f>
        <v>34231</v>
      </c>
      <c r="L13" s="106">
        <f>Model!AW140</f>
        <v>41224</v>
      </c>
      <c r="M13" s="106">
        <f>Model!BB140</f>
        <v>78714</v>
      </c>
      <c r="N13" s="106">
        <f>Model!BG140</f>
        <v>74842</v>
      </c>
      <c r="O13" s="106">
        <f>Model!BL140</f>
        <v>84293</v>
      </c>
      <c r="P13" s="106">
        <f>Model!BQ140</f>
        <v>112390</v>
      </c>
      <c r="Q13" s="106">
        <f>Model!BV140</f>
        <v>129039</v>
      </c>
      <c r="R13" s="106">
        <f>Model!CA140</f>
        <v>172938.832200787</v>
      </c>
      <c r="S13" s="106">
        <f>Model!CB140</f>
        <v>194643.240084932</v>
      </c>
      <c r="T13" s="106">
        <f>Model!CC140</f>
        <v>212421.8802008</v>
      </c>
      <c r="U13" s="106">
        <f>Model!CD140</f>
        <v>234774.621414897</v>
      </c>
      <c r="V13" s="106">
        <f>Model!CE140</f>
        <v>256717.05000939</v>
      </c>
    </row>
    <row r="14" ht="15" customHeight="1" s="251">
      <c r="B14" t="inlineStr">
        <is>
          <t>Adj. EBITDA Margin %</t>
        </is>
      </c>
      <c r="C14" s="108">
        <f>Model!H238</f>
        <v>0.358607043925604</v>
      </c>
      <c r="D14" s="108">
        <f>Model!I238</f>
        <v>0.313343298455406</v>
      </c>
      <c r="E14" s="108">
        <f>Model!N238</f>
        <v>0.299289594651066</v>
      </c>
      <c r="F14" s="108">
        <f>Model!S238</f>
        <v>0.325373857971849</v>
      </c>
      <c r="G14" s="108">
        <f>Model!X238</f>
        <v>0.325687767539239</v>
      </c>
      <c r="H14" s="108">
        <f>Model!AC238</f>
        <v>0.330778092874867</v>
      </c>
      <c r="I14" s="108">
        <f>Model!AH238</f>
        <v>0.322917324432818</v>
      </c>
      <c r="J14" s="108">
        <f>Model!AM238</f>
        <v>0.295477967241392</v>
      </c>
      <c r="K14" s="108">
        <f>Model!AR238</f>
        <v>0.294760189550035</v>
      </c>
      <c r="L14" s="108">
        <f>Model!AW238</f>
        <v>0.300892470702965</v>
      </c>
      <c r="M14" s="108">
        <f>Model!BB238</f>
        <v>0.353811758404267</v>
      </c>
      <c r="N14" s="108">
        <f>Model!BG238</f>
        <v>0.320928028963781</v>
      </c>
      <c r="O14" s="108">
        <f>Model!BL238</f>
        <v>0.321401849092695</v>
      </c>
      <c r="P14" s="108">
        <f>Model!BQ238</f>
        <v>0.366886845819358</v>
      </c>
      <c r="Q14" s="108">
        <f>Model!BV238</f>
        <v>0.38137604384911</v>
      </c>
      <c r="R14" s="108">
        <f>Model!CA238</f>
        <v>0.409671681857101</v>
      </c>
      <c r="S14" s="108">
        <f>Model!CB238</f>
        <v>0.418843008458533</v>
      </c>
      <c r="T14" s="108">
        <f>Model!CC238</f>
        <v>0.426278775484542</v>
      </c>
      <c r="U14" s="108">
        <f>Model!CD238</f>
        <v>0.437029397240349</v>
      </c>
      <c r="V14" s="108">
        <f>Model!CE238</f>
        <v>0.444704365929483</v>
      </c>
    </row>
    <row r="15" ht="15" customHeight="1" s="251">
      <c r="B15" t="inlineStr">
        <is>
          <t>Operating Margin %</t>
        </is>
      </c>
      <c r="C15" s="108">
        <f>Model!H239</f>
        <v>0.309774436090226</v>
      </c>
      <c r="D15" s="108">
        <f>Model!I239</f>
        <v>0.254309915296462</v>
      </c>
      <c r="E15" s="108">
        <f>Model!N239</f>
        <v>0.233447555369829</v>
      </c>
      <c r="F15" s="108">
        <f>Model!S239</f>
        <v>0.249935607036257</v>
      </c>
      <c r="G15" s="108">
        <f>Model!X239</f>
        <v>0.258171198442438</v>
      </c>
      <c r="H15" s="108">
        <f>Model!AC239</f>
        <v>0.262717121588089</v>
      </c>
      <c r="I15" s="108">
        <f>Model!AH239</f>
        <v>0.235857651887601</v>
      </c>
      <c r="J15" s="108">
        <f>Model!AM239</f>
        <v>0.192378251558629</v>
      </c>
      <c r="K15" s="108">
        <f>Model!AR239</f>
        <v>0.211489154006314</v>
      </c>
      <c r="L15" s="108">
        <f>Model!AW239</f>
        <v>0.225851517857632</v>
      </c>
      <c r="M15" s="108">
        <f>Model!BB239</f>
        <v>0.305522886852432</v>
      </c>
      <c r="N15" s="108">
        <f>Model!BG239</f>
        <v>0.26461270842467</v>
      </c>
      <c r="O15" s="108">
        <f>Model!BL239</f>
        <v>0.274218104452266</v>
      </c>
      <c r="P15" s="108">
        <f>Model!BQ239</f>
        <v>0.321097772114577</v>
      </c>
      <c r="Q15" s="108">
        <f>Model!BV239</f>
        <v>0.3203263859238</v>
      </c>
      <c r="R15" s="108">
        <f>Model!CA239</f>
        <v>0.34707490781977</v>
      </c>
      <c r="S15" s="108">
        <f>Model!CB239</f>
        <v>0.332789418828486</v>
      </c>
      <c r="T15" s="108">
        <f>Model!CC239</f>
        <v>0.316592899650073</v>
      </c>
      <c r="U15" s="108">
        <f>Model!CD239</f>
        <v>0.309725151160693</v>
      </c>
      <c r="V15" s="108">
        <f>Model!CE239</f>
        <v>0.304254092831352</v>
      </c>
    </row>
    <row r="17" ht="15" customHeight="1" s="251">
      <c r="C17" s="10">
        <f>C7</f>
        <v>2011</v>
      </c>
      <c r="D17" s="10">
        <f>D7</f>
        <v>2012</v>
      </c>
      <c r="E17" s="10">
        <f>E7</f>
        <v>2013</v>
      </c>
      <c r="F17" s="10">
        <f>F7</f>
        <v>2014</v>
      </c>
      <c r="G17" s="10">
        <f>G7</f>
        <v>2015</v>
      </c>
      <c r="H17" s="10">
        <f>H7</f>
        <v>2016</v>
      </c>
      <c r="I17" s="10">
        <f>I7</f>
        <v>2017</v>
      </c>
      <c r="J17" s="10">
        <f>J7</f>
        <v>2018</v>
      </c>
      <c r="K17" s="10">
        <f>K7</f>
        <v>2019</v>
      </c>
      <c r="L17" s="10">
        <f>L7</f>
        <v>2020</v>
      </c>
      <c r="M17" s="10">
        <f>M7</f>
        <v>2021</v>
      </c>
      <c r="N17" s="10">
        <f>N7</f>
        <v>2022</v>
      </c>
      <c r="O17" s="10">
        <f>O7</f>
        <v>2023</v>
      </c>
      <c r="P17" s="10">
        <f>P7</f>
        <v>2024</v>
      </c>
      <c r="Q17" s="10">
        <f>Q7</f>
        <v>2025</v>
      </c>
      <c r="R17" s="10" t="str">
        <f>R7</f>
        <v>2026E</v>
      </c>
      <c r="S17" s="10" t="str">
        <f>S7</f>
        <v>2027E</v>
      </c>
      <c r="T17" s="10" t="str">
        <f>T7</f>
        <v>2028E</v>
      </c>
      <c r="U17" s="10" t="str">
        <f>U7</f>
        <v>2029E</v>
      </c>
      <c r="V17" s="10" t="str">
        <f>V7</f>
        <v>2030E</v>
      </c>
    </row>
    <row r="18" ht="15" customHeight="1" s="251">
      <c r="B18" t="inlineStr">
        <is>
          <t>ROIC</t>
        </is>
      </c>
      <c r="C18" s="108">
        <f>IFERROR(Model!H384+0,NA())</f>
        <v>0.547786309864903</v>
      </c>
      <c r="D18" s="108">
        <f>IFERROR(Model!I384+0,NA())</f>
        <v>0.371312373715447</v>
      </c>
      <c r="E18" s="108">
        <f>IFERROR(Model!N384+0,NA())</f>
        <v>0.397347089338937</v>
      </c>
      <c r="F18" s="108">
        <f>IFERROR(Model!S384+0,NA())</f>
        <v>0.332573687786416</v>
      </c>
      <c r="G18" s="108">
        <f>IFERROR(Model!X384+0,NA())</f>
        <v>0.340491145560859</v>
      </c>
      <c r="H18" s="108">
        <f>IFERROR(Model!AC384+0,NA())</f>
        <v>0.376831374698782</v>
      </c>
      <c r="I18" s="108">
        <f>IFERROR(Model!AH384+0,NA())</f>
        <v>0.50647419858429</v>
      </c>
      <c r="J18" s="108">
        <f>IFERROR(Model!AM384+0,NA())</f>
        <v>0.471777485368203</v>
      </c>
      <c r="K18" s="108">
        <f>IFERROR(Model!AR384+0,NA())</f>
        <v>0.428631725105702</v>
      </c>
      <c r="L18" s="108">
        <f>IFERROR(Model!AW384+0,NA())</f>
        <v>0.431146864866944</v>
      </c>
      <c r="M18" s="108">
        <f>IFERROR(Model!BB384+0,NA())</f>
        <v>0.678229349312191</v>
      </c>
      <c r="N18" s="108">
        <f>IFERROR(Model!BG384+0,NA())</f>
        <v>0.49708543662544</v>
      </c>
      <c r="O18" s="108">
        <f>IFERROR(Model!BL384+0,NA())</f>
        <v>0.480201896720552</v>
      </c>
      <c r="P18" s="108">
        <f>IFERROR(Model!BQ384+0,NA())</f>
        <v>0.459628000151391</v>
      </c>
      <c r="Q18" s="108">
        <f>IFERROR(Model!BV384+0,NA())</f>
        <v>0.410987864939848</v>
      </c>
      <c r="R18" s="108">
        <f>IFERROR(Model!CA384+0,NA())</f>
        <v>0.300902509888669</v>
      </c>
      <c r="S18" s="108">
        <f>IFERROR(Model!CB384+0,NA())</f>
        <v>0.241792084659937</v>
      </c>
      <c r="T18" s="108">
        <f>IFERROR(Model!CC384+0,NA())</f>
        <v>0.203323559575346</v>
      </c>
      <c r="U18" s="108">
        <f>IFERROR(Model!CD384+0,NA())</f>
        <v>0.184046732258776</v>
      </c>
      <c r="V18" s="108">
        <f>IFERROR(Model!CE384+0,NA())</f>
        <v>0.17136983562566</v>
      </c>
    </row>
    <row r="19" ht="15" customHeight="1" s="251">
      <c r="B19" t="inlineStr">
        <is>
          <t>RONTA</t>
        </is>
      </c>
      <c r="C19" s="108">
        <f>IFERROR(Model!H395+0,NA())</f>
        <v>0.765508424935413</v>
      </c>
      <c r="D19" s="108">
        <f>IFERROR(Model!I395+0,NA())</f>
        <v>0.469223224587028</v>
      </c>
      <c r="E19" s="108">
        <f>IFERROR(Model!N395+0,NA())</f>
        <v>0.493683254353609</v>
      </c>
      <c r="F19" s="108">
        <f>IFERROR(Model!S395+0,NA())</f>
        <v>0.42578792818534</v>
      </c>
      <c r="G19" s="108">
        <f>IFERROR(Model!X395+0,NA())</f>
        <v>0.43228064220623</v>
      </c>
      <c r="H19" s="108">
        <f>IFERROR(Model!AC395+0,NA())</f>
        <v>0.454756325892971</v>
      </c>
      <c r="I19" s="108">
        <f>IFERROR(Model!AH395+0,NA())</f>
        <v>0.50734217347529</v>
      </c>
      <c r="J19" s="108">
        <f>IFERROR(Model!AM395+0,NA())</f>
        <v>0.482434377505175</v>
      </c>
      <c r="K19" s="108">
        <f>IFERROR(Model!AR395+0,NA())</f>
        <v>0.402773330234429</v>
      </c>
      <c r="L19" s="108">
        <f>IFERROR(Model!AW395+0,NA())</f>
        <v>0.405184647687628</v>
      </c>
      <c r="M19" s="108">
        <f>IFERROR(Model!BB395+0,NA())</f>
        <v>0.641264992591948</v>
      </c>
      <c r="N19" s="108">
        <f>IFERROR(Model!BG395+0,NA())</f>
        <v>0.512639857497768</v>
      </c>
      <c r="O19" s="108">
        <f>IFERROR(Model!BL395+0,NA())</f>
        <v>0.496964407764155</v>
      </c>
      <c r="P19" s="108">
        <f>IFERROR(Model!BQ395+0,NA())</f>
        <v>0.475151585836388</v>
      </c>
      <c r="Q19" s="108">
        <f>IFERROR(Model!BV395+0,NA())</f>
        <v>0.415097403190747</v>
      </c>
      <c r="R19" s="108">
        <f>IFERROR(Model!CA395+0,NA())</f>
        <v>0.301290517223587</v>
      </c>
      <c r="S19" s="108">
        <f>IFERROR(Model!CB395+0,NA())</f>
        <v>0.243331300287615</v>
      </c>
      <c r="T19" s="108">
        <f>IFERROR(Model!CC395+0,NA())</f>
        <v>0.20518059880392</v>
      </c>
      <c r="U19" s="108">
        <f>IFERROR(Model!CD395+0,NA())</f>
        <v>0.186062426427661</v>
      </c>
      <c r="V19" s="108">
        <f>IFERROR(Model!CE395+0,NA())</f>
        <v>0.173475475104844</v>
      </c>
    </row>
    <row r="20" ht="15" customHeight="1" s="251">
      <c r="B20" t="inlineStr">
        <is>
          <t>Adj. EBITDA margin %</t>
        </is>
      </c>
      <c r="C20" s="108">
        <f>IFERROR(Model!H238+0,NA())</f>
        <v>0.358607043925604</v>
      </c>
      <c r="D20" s="108">
        <f>IFERROR(Model!I238+0,NA())</f>
        <v>0.313343298455406</v>
      </c>
      <c r="E20" s="108">
        <f>IFERROR(Model!N238+0,NA())</f>
        <v>0.299289594651066</v>
      </c>
      <c r="F20" s="108">
        <f>IFERROR(Model!S238+0,NA())</f>
        <v>0.325373857971849</v>
      </c>
      <c r="G20" s="108">
        <f>IFERROR(Model!X238+0,NA())</f>
        <v>0.325687767539239</v>
      </c>
      <c r="H20" s="108">
        <f>IFERROR(Model!AC238+0,NA())</f>
        <v>0.330778092874867</v>
      </c>
      <c r="I20" s="108">
        <f>IFERROR(Model!AH238+0,NA())</f>
        <v>0.322917324432818</v>
      </c>
      <c r="J20" s="108">
        <f>IFERROR(Model!AM238+0,NA())</f>
        <v>0.295477967241392</v>
      </c>
      <c r="K20" s="108">
        <f>IFERROR(Model!AR238+0,NA())</f>
        <v>0.294760189550035</v>
      </c>
      <c r="L20" s="108">
        <f>IFERROR(Model!AW238+0,NA())</f>
        <v>0.300892470702965</v>
      </c>
      <c r="M20" s="108">
        <f>IFERROR(Model!BB238+0,NA())</f>
        <v>0.353811758404267</v>
      </c>
      <c r="N20" s="108">
        <f>IFERROR(Model!BG238+0,NA())</f>
        <v>0.320928028963781</v>
      </c>
      <c r="O20" s="108">
        <f>IFERROR(Model!BL238+0,NA())</f>
        <v>0.321401849092695</v>
      </c>
      <c r="P20" s="108">
        <f>IFERROR(Model!BQ238+0,NA())</f>
        <v>0.366886845819358</v>
      </c>
      <c r="Q20" s="108">
        <f>IFERROR(Model!BV238+0,NA())</f>
        <v>0.38137604384911</v>
      </c>
      <c r="R20" s="108">
        <f>IFERROR(Model!CA238+0,NA())</f>
        <v>0.409671681857101</v>
      </c>
      <c r="S20" s="108">
        <f>IFERROR(Model!CB238+0,NA())</f>
        <v>0.418843008458533</v>
      </c>
      <c r="T20" s="108">
        <f>IFERROR(Model!CC238+0,NA())</f>
        <v>0.426278775484542</v>
      </c>
      <c r="U20" s="108">
        <f>IFERROR(Model!CD238+0,NA())</f>
        <v>0.437029397240349</v>
      </c>
      <c r="V20" s="108">
        <f>IFERROR(Model!CE238+0,NA())</f>
        <v>0.444704365929483</v>
      </c>
    </row>
    <row r="21" ht="15" customHeight="1" s="251">
      <c r="B21" t="inlineStr">
        <is>
          <t>FCF margin %</t>
        </is>
      </c>
      <c r="C21" s="108">
        <f>IFERROR(Model!H277+0,NA())</f>
        <v>0.293549663632766</v>
      </c>
      <c r="D21" s="108">
        <f>IFERROR(Model!I277+0,NA())</f>
        <v>0.26598903836572</v>
      </c>
      <c r="E21" s="108">
        <f>IFERROR(Model!N277+0,NA())</f>
        <v>0.188900961136649</v>
      </c>
      <c r="F21" s="108">
        <f>IFERROR(Model!S277+0,NA())</f>
        <v>0.172982227542007</v>
      </c>
      <c r="G21" s="108">
        <f>IFERROR(Model!X277+0,NA())</f>
        <v>0.214818173332089</v>
      </c>
      <c r="H21" s="108">
        <f>IFERROR(Model!AC277+0,NA())</f>
        <v>0.286068769939738</v>
      </c>
      <c r="I21" s="108">
        <f>IFERROR(Model!AH277+0,NA())</f>
        <v>0.215660096522484</v>
      </c>
      <c r="J21" s="108">
        <f>IFERROR(Model!AM277+0,NA())</f>
        <v>0.16687740737763</v>
      </c>
      <c r="K21" s="108">
        <f>IFERROR(Model!AR277+0,NA())</f>
        <v>0.191354096517296</v>
      </c>
      <c r="L21" s="108">
        <f>IFERROR(Model!AW277+0,NA())</f>
        <v>0.234721438472116</v>
      </c>
      <c r="M21" s="108">
        <f>IFERROR(Model!BB277+0,NA())</f>
        <v>0.260102392125355</v>
      </c>
      <c r="N21" s="108">
        <f>IFERROR(Model!BG277+0,NA())</f>
        <v>0.212172425009546</v>
      </c>
      <c r="O21" s="108">
        <f>IFERROR(Model!BL277+0,NA())</f>
        <v>0.226077932555613</v>
      </c>
      <c r="P21" s="108">
        <f>IFERROR(Model!BQ277+0,NA())</f>
        <v>0.20788645155392</v>
      </c>
      <c r="Q21" s="108">
        <f>IFERROR(Model!BV277+0,NA())</f>
        <v>0.181875502685957</v>
      </c>
      <c r="R21" s="108">
        <f>IFERROR(Model!CA277+0,NA())</f>
        <v>-0.00566248731627093</v>
      </c>
      <c r="S21" s="108">
        <f>IFERROR(Model!CB277+0,NA())</f>
        <v>0.0145728128551672</v>
      </c>
      <c r="T21" s="108">
        <f>IFERROR(Model!CC277+0,NA())</f>
        <v>0.0400582487081161</v>
      </c>
      <c r="U21" s="108">
        <f>IFERROR(Model!CD277+0,NA())</f>
        <v>0.0762999410362627</v>
      </c>
      <c r="V21" s="108">
        <f>IFERROR(Model!CE277+0,NA())</f>
        <v>0.105207576860291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2026-10-13T11:02:46Z</dcterms:modified>
  <cp:lastModifiedBy>Payton Liske</cp:lastModifiedBy>
  <cp:revision>3</cp:revision>
</cp:coreProperties>
</file>