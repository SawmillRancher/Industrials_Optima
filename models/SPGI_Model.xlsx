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5505" yWindow="5505" windowWidth="14400" windowHeight="7275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Bull-Base-Bear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harts" sheetId="4" state="visible" r:id="rId4"/>
  </sheets>
  <definedNames/>
  <calcPr calcId="191029" fullCalcOnLoad="1" iterate="1" iterateDelta="0.0001"/>
</workbook>
</file>

<file path=xl/styles.xml><?xml version="1.0" encoding="utf-8"?>
<styleSheet xmlns="http://schemas.openxmlformats.org/spreadsheetml/2006/main">
  <numFmts count="23">
    <numFmt numFmtId="164" formatCode="#,##0.0;\(#,##0.0\);\-"/>
    <numFmt numFmtId="165" formatCode="0%;\(0%\);&quot;n/m&quot;"/>
    <numFmt numFmtId="166" formatCode="0.0%;\(0.0%\);\-"/>
    <numFmt numFmtId="167" formatCode="#,##0;\(#,##0\);\-"/>
    <numFmt numFmtId="168" formatCode="0.00;\(0.00\);\-"/>
    <numFmt numFmtId="169" formatCode="0.000\x;\(0.000&quot;x)&quot;;\-"/>
    <numFmt numFmtId="170" formatCode="0.0\x;\(0.0&quot;x)&quot;;\-"/>
    <numFmt numFmtId="171" formatCode="\+0.0%;\-0.0%"/>
    <numFmt numFmtId="172" formatCode="\+#,##0;\-#,##0"/>
    <numFmt numFmtId="173" formatCode="0.00\x;\(0.00&quot;x)&quot;;\-"/>
    <numFmt numFmtId="174" formatCode="0\d;\(0&quot;)d&quot;;\-"/>
    <numFmt numFmtId="175" formatCode="0%;\(0%\);\-"/>
    <numFmt numFmtId="176" formatCode="0.0\x"/>
    <numFmt numFmtId="177" formatCode="dd\-mmm\-yy"/>
    <numFmt numFmtId="178" formatCode="0.0%"/>
    <numFmt numFmtId="179" formatCode="0.000"/>
    <numFmt numFmtId="180" formatCode="d/mmm/yyyy"/>
    <numFmt numFmtId="181" formatCode="#,##0.0"/>
    <numFmt numFmtId="182" formatCode="0.0%;\(0.0%\)"/>
    <numFmt numFmtId="183" formatCode="0.00\x"/>
    <numFmt numFmtId="184" formatCode="0.0\x;\(0.0\x\)"/>
    <numFmt numFmtId="185" formatCode="&quot;$&quot;#,##0.00;\(&quot;$&quot;#,##0.00\);\-"/>
    <numFmt numFmtId="186" formatCode="#,##0.00;\(#,##0.00\);\-"/>
  </numFmts>
  <fonts count="58">
    <font>
      <name val="Calibri"/>
      <charset val="1"/>
      <family val="2"/>
      <color theme="1"/>
      <sz val="11"/>
    </font>
    <font>
      <name val="Calibri"/>
      <family val="2"/>
      <b val="1"/>
      <color rgb="FFC00000"/>
      <sz val="10"/>
    </font>
    <font>
      <name val="Calibri"/>
      <family val="2"/>
      <b val="1"/>
      <color rgb="FF1F3864"/>
      <sz val="16"/>
    </font>
    <font>
      <name val="Calibri"/>
      <family val="2"/>
      <b val="1"/>
      <color rgb="FF0000FF"/>
      <sz val="12"/>
    </font>
    <font>
      <name val="Calibri"/>
      <family val="2"/>
      <color rgb="FF595959"/>
      <sz val="10"/>
    </font>
    <font>
      <name val="Calibri"/>
      <family val="2"/>
      <color rgb="FFC00000"/>
      <sz val="10"/>
    </font>
    <font>
      <name val="Calibri"/>
      <family val="2"/>
      <b val="1"/>
      <color rgb="FFFFFFFF"/>
      <sz val="12"/>
    </font>
    <font>
      <name val="Calibri"/>
      <family val="2"/>
      <color rgb="FF666666"/>
      <sz val="9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color rgb="FF404040"/>
      <sz val="12"/>
    </font>
    <font>
      <name val="Calibri"/>
      <family val="2"/>
      <color rgb="FFA6A6A6"/>
      <sz val="12"/>
    </font>
    <font>
      <name val="Calibri"/>
      <family val="2"/>
      <color rgb="FF000000"/>
      <sz val="12"/>
    </font>
    <font>
      <name val="Calibri"/>
      <family val="2"/>
      <sz val="12"/>
    </font>
    <font>
      <name val="Calibri"/>
      <family val="2"/>
      <color rgb="FF0000FF"/>
      <sz val="12"/>
    </font>
    <font>
      <name val="Calibri"/>
      <family val="2"/>
      <b val="1"/>
      <color rgb="FF595959"/>
      <sz val="12"/>
    </font>
    <font>
      <name val="Arial"/>
      <family val="2"/>
      <sz val="10"/>
    </font>
    <font>
      <name val="Calibri"/>
      <family val="2"/>
      <b val="1"/>
      <color rgb="FF2F3E46"/>
      <sz val="16"/>
    </font>
    <font>
      <name val="Calibri"/>
      <family val="2"/>
      <b val="1"/>
      <color rgb="FF008000"/>
      <sz val="12"/>
    </font>
    <font>
      <name val="Calibri"/>
      <family val="2"/>
      <b val="1"/>
      <color rgb="FF2F3E46"/>
      <sz val="12"/>
    </font>
    <font>
      <name val="Calibri"/>
      <family val="2"/>
      <b val="1"/>
      <color rgb="FFFFFFFF"/>
      <sz val="9"/>
    </font>
    <font>
      <name val="Calibri"/>
      <family val="2"/>
      <color rgb="FF595959"/>
      <sz val="12"/>
    </font>
    <font>
      <name val="Calibri"/>
      <family val="2"/>
      <color rgb="FF008000"/>
      <sz val="12"/>
    </font>
    <font>
      <name val="Calibri"/>
      <family val="2"/>
      <b val="1"/>
      <sz val="14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1"/>
    </font>
    <font>
      <name val="Calibri"/>
      <family val="2"/>
      <color rgb="FF0000FF"/>
      <sz val="11"/>
    </font>
    <font>
      <name val="Calibri"/>
      <family val="2"/>
      <sz val="11"/>
    </font>
    <font>
      <name val="Calibri"/>
      <family val="2"/>
      <color rgb="FF595959"/>
      <sz val="11"/>
    </font>
    <font>
      <name val="Calibri"/>
      <family val="2"/>
      <b val="1"/>
      <sz val="11"/>
    </font>
    <font>
      <name val="Calibri"/>
      <family val="2"/>
      <color rgb="FF008000"/>
      <sz val="11"/>
    </font>
    <font>
      <name val="Calibri"/>
      <family val="2"/>
      <b val="1"/>
      <color rgb="FF0000FF"/>
      <sz val="11"/>
    </font>
    <font>
      <name val="Calibri"/>
      <charset val="1"/>
      <family val="2"/>
      <color theme="1"/>
      <sz val="10"/>
    </font>
    <font>
      <name val="Calibri"/>
      <family val="2"/>
      <b val="1"/>
      <color rgb="FF666666"/>
      <sz val="12"/>
    </font>
    <font>
      <name val="Calibri"/>
      <family val="2"/>
      <b val="1"/>
      <color rgb="FFC00000"/>
      <sz val="11"/>
    </font>
    <font>
      <name val="Calibri"/>
      <color rgb="FF000000"/>
      <sz val="11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000000"/>
      <sz val="12"/>
    </font>
    <font>
      <name val="Calibri"/>
      <color rgb="FF0000FF"/>
      <sz val="12"/>
    </font>
    <font>
      <name val="Calibri"/>
      <color rgb="FF595959"/>
      <sz val="9"/>
    </font>
    <font>
      <name val="Calibri"/>
      <b val="1"/>
      <color rgb="FF000000"/>
      <sz val="12"/>
    </font>
    <font>
      <name val="Calibri"/>
      <color rgb="FF008000"/>
      <sz val="12"/>
    </font>
    <font>
      <name val="Calibri"/>
      <b val="1"/>
      <color rgb="FF000000"/>
      <sz val="11"/>
    </font>
    <font>
      <name val="Calibri"/>
      <b val="1"/>
      <color rgb="FF0000FF"/>
      <sz val="12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color rgb="FF2F3E46"/>
      <sz val="12"/>
    </font>
    <font>
      <name val="Calibri"/>
      <color rgb="FFA6A6A6"/>
      <sz val="12"/>
    </font>
    <font>
      <name val="Calibri"/>
      <b val="1"/>
      <i val="1"/>
      <color rgb="FFC00000"/>
      <sz val="10"/>
    </font>
    <font>
      <name val="Calibri"/>
      <color rgb="FF0000FF"/>
      <sz val="11"/>
    </font>
  </fonts>
  <fills count="18">
    <fill>
      <patternFill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indexed="64"/>
      </patternFill>
    </fill>
    <fill>
      <patternFill patternType="solid">
        <fgColor rgb="FF2F3E46"/>
        <bgColor indexed="64"/>
      </patternFill>
    </fill>
    <fill>
      <patternFill patternType="solid">
        <fgColor rgb="FF52796F"/>
        <bgColor indexed="64"/>
      </patternFill>
    </fill>
    <fill>
      <patternFill patternType="solid">
        <fgColor rgb="FFCAD2C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2F3E46"/>
      </top>
      <bottom/>
      <diagonal/>
    </border>
    <border>
      <left/>
      <right/>
      <top/>
      <bottom style="thin">
        <color rgb="FF2F3E46"/>
      </bottom>
      <diagonal/>
    </border>
    <border>
      <left style="thin">
        <color rgb="FF2F3E46"/>
      </left>
      <right/>
      <top style="thin">
        <color rgb="FF2F3E46"/>
      </top>
      <bottom/>
      <diagonal/>
    </border>
    <border>
      <left style="thin">
        <color rgb="FF2F3E46"/>
      </left>
      <right/>
      <top/>
      <bottom/>
      <diagonal/>
    </border>
    <border>
      <left style="thin">
        <color rgb="FF2F3E46"/>
      </left>
      <right/>
      <top/>
      <bottom style="thin">
        <color rgb="FF2F3E46"/>
      </bottom>
      <diagonal/>
    </border>
    <border>
      <left/>
      <right style="thin">
        <color rgb="FF2F3E46"/>
      </right>
      <top style="thin">
        <color rgb="FF2F3E46"/>
      </top>
      <bottom/>
      <diagonal/>
    </border>
    <border>
      <left/>
      <right style="thin">
        <color rgb="FF2F3E46"/>
      </right>
      <top/>
      <bottom/>
      <diagonal/>
    </border>
    <border>
      <left/>
      <right style="thin">
        <color rgb="FF2F3E46"/>
      </right>
      <top/>
      <bottom style="thin">
        <color rgb="FF2F3E46"/>
      </bottom>
      <diagonal/>
    </border>
  </borders>
  <cellStyleXfs count="2">
    <xf numFmtId="0" fontId="27" fillId="0" borderId="0"/>
    <xf numFmtId="9" fontId="27" fillId="0" borderId="0"/>
  </cellStyleXfs>
  <cellXfs count="30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6" fillId="5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/>
    </xf>
    <xf numFmtId="0" fontId="10" fillId="0" borderId="0" pivotButton="0" quotePrefix="0" xfId="0"/>
    <xf numFmtId="0" fontId="11" fillId="7" borderId="0" pivotButton="0" quotePrefix="0" xfId="0"/>
    <xf numFmtId="0" fontId="6" fillId="7" borderId="0" pivotButton="0" quotePrefix="0" xfId="0"/>
    <xf numFmtId="0" fontId="12" fillId="0" borderId="2" pivotButton="0" quotePrefix="0" xfId="0"/>
    <xf numFmtId="164" fontId="3" fillId="0" borderId="2" applyAlignment="1" pivotButton="0" quotePrefix="0" xfId="0">
      <alignment horizontal="right"/>
    </xf>
    <xf numFmtId="164" fontId="9" fillId="2" borderId="2" applyAlignment="1" pivotButton="0" quotePrefix="0" xfId="0">
      <alignment horizontal="right"/>
    </xf>
    <xf numFmtId="0" fontId="10" fillId="2" borderId="0" pivotButton="0" quotePrefix="0" xfId="0"/>
    <xf numFmtId="165" fontId="12" fillId="6" borderId="0" pivotButton="0" quotePrefix="0" xfId="0"/>
    <xf numFmtId="0" fontId="6" fillId="7" borderId="0" applyAlignment="1" pivotButton="0" quotePrefix="0" xfId="0">
      <alignment horizontal="center"/>
    </xf>
    <xf numFmtId="0" fontId="13" fillId="0" borderId="0" pivotButton="0" quotePrefix="0" xfId="0"/>
    <xf numFmtId="166" fontId="14" fillId="0" borderId="0" applyAlignment="1" pivotButton="0" quotePrefix="0" xfId="0">
      <alignment horizontal="right"/>
    </xf>
    <xf numFmtId="166" fontId="15" fillId="2" borderId="0" applyAlignment="1" pivotButton="0" quotePrefix="0" xfId="0">
      <alignment horizontal="right"/>
    </xf>
    <xf numFmtId="0" fontId="16" fillId="0" borderId="0" pivotButton="0" quotePrefix="0" xfId="0"/>
    <xf numFmtId="167" fontId="17" fillId="0" borderId="0" pivotButton="0" quotePrefix="0" xfId="0"/>
    <xf numFmtId="168" fontId="17" fillId="0" borderId="0" applyAlignment="1" pivotButton="0" quotePrefix="0" xfId="0">
      <alignment horizontal="right"/>
    </xf>
    <xf numFmtId="168" fontId="15" fillId="2" borderId="0" applyAlignment="1" pivotButton="0" quotePrefix="0" xfId="0">
      <alignment horizontal="right"/>
    </xf>
    <xf numFmtId="169" fontId="15" fillId="0" borderId="0" applyAlignment="1" pivotButton="0" quotePrefix="0" xfId="0">
      <alignment horizontal="right"/>
    </xf>
    <xf numFmtId="169" fontId="15" fillId="2" borderId="0" applyAlignment="1" pivotButton="0" quotePrefix="0" xfId="0">
      <alignment horizontal="right"/>
    </xf>
    <xf numFmtId="167" fontId="3" fillId="0" borderId="2" applyAlignment="1" pivotButton="0" quotePrefix="0" xfId="0">
      <alignment horizontal="right"/>
    </xf>
    <xf numFmtId="167" fontId="9" fillId="2" borderId="2" applyAlignment="1" pivotButton="0" quotePrefix="0" xfId="0">
      <alignment horizontal="right"/>
    </xf>
    <xf numFmtId="166" fontId="15" fillId="0" borderId="0" pivotButton="0" quotePrefix="0" xfId="0"/>
    <xf numFmtId="167" fontId="17" fillId="0" borderId="0" applyAlignment="1" pivotButton="0" quotePrefix="0" xfId="0">
      <alignment horizontal="right"/>
    </xf>
    <xf numFmtId="167" fontId="15" fillId="2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166" fontId="12" fillId="6" borderId="0" pivotButton="0" quotePrefix="0" xfId="0"/>
    <xf numFmtId="168" fontId="15" fillId="0" borderId="0" applyAlignment="1" pivotButton="0" quotePrefix="0" xfId="0">
      <alignment horizontal="right"/>
    </xf>
    <xf numFmtId="170" fontId="17" fillId="0" borderId="0" pivotButton="0" quotePrefix="0" xfId="0"/>
    <xf numFmtId="166" fontId="17" fillId="0" borderId="0" applyAlignment="1" pivotButton="0" quotePrefix="0" xfId="0">
      <alignment horizontal="right"/>
    </xf>
    <xf numFmtId="171" fontId="3" fillId="8" borderId="0" applyAlignment="1" pivotButton="0" quotePrefix="0" xfId="0">
      <alignment horizontal="center"/>
    </xf>
    <xf numFmtId="166" fontId="17" fillId="0" borderId="0" pivotButton="0" quotePrefix="0" xfId="0"/>
    <xf numFmtId="167" fontId="9" fillId="0" borderId="2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" fontId="3" fillId="2" borderId="0" applyAlignment="1" pivotButton="0" quotePrefix="0" xfId="0">
      <alignment horizontal="right"/>
    </xf>
    <xf numFmtId="1" fontId="15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172" fontId="3" fillId="8" borderId="0" applyAlignment="1" pivotButton="0" quotePrefix="0" xfId="0">
      <alignment horizontal="center"/>
    </xf>
    <xf numFmtId="167" fontId="15" fillId="0" borderId="0" pivotButton="0" quotePrefix="0" xfId="0"/>
    <xf numFmtId="170" fontId="3" fillId="2" borderId="0" applyAlignment="1" pivotButton="0" quotePrefix="0" xfId="0">
      <alignment horizontal="right"/>
    </xf>
    <xf numFmtId="170" fontId="15" fillId="2" borderId="0" applyAlignment="1" pivotButton="0" quotePrefix="0" xfId="0">
      <alignment horizontal="right"/>
    </xf>
    <xf numFmtId="167" fontId="3" fillId="2" borderId="2" applyAlignment="1" pivotButton="0" quotePrefix="0" xfId="0">
      <alignment horizontal="right"/>
    </xf>
    <xf numFmtId="0" fontId="11" fillId="5" borderId="2" pivotButton="0" quotePrefix="0" xfId="0"/>
    <xf numFmtId="167" fontId="9" fillId="6" borderId="2" applyAlignment="1" pivotButton="0" quotePrefix="0" xfId="0">
      <alignment horizontal="right"/>
    </xf>
    <xf numFmtId="0" fontId="18" fillId="0" borderId="0" pivotButton="0" quotePrefix="0" xfId="0"/>
    <xf numFmtId="167" fontId="3" fillId="6" borderId="2" applyAlignment="1" pivotButton="0" quotePrefix="0" xfId="0">
      <alignment horizontal="right"/>
    </xf>
    <xf numFmtId="164" fontId="15" fillId="2" borderId="0" applyAlignment="1" pivotButton="0" quotePrefix="0" xfId="0">
      <alignment horizontal="right"/>
    </xf>
    <xf numFmtId="168" fontId="9" fillId="6" borderId="2" applyAlignment="1" pivotButton="0" quotePrefix="0" xfId="0">
      <alignment horizontal="right"/>
    </xf>
    <xf numFmtId="168" fontId="9" fillId="0" borderId="2" applyAlignment="1" pivotButton="0" quotePrefix="0" xfId="0">
      <alignment horizontal="right"/>
    </xf>
    <xf numFmtId="168" fontId="9" fillId="2" borderId="2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173" fontId="15" fillId="0" borderId="0" applyAlignment="1" pivotButton="0" quotePrefix="0" xfId="0">
      <alignment horizontal="right"/>
    </xf>
    <xf numFmtId="173" fontId="15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74" fontId="15" fillId="0" borderId="0" applyAlignment="1" pivotButton="0" quotePrefix="0" xfId="0">
      <alignment horizontal="right"/>
    </xf>
    <xf numFmtId="174" fontId="3" fillId="2" borderId="0" applyAlignment="1" pivotButton="0" quotePrefix="0" xfId="0">
      <alignment horizontal="right"/>
    </xf>
    <xf numFmtId="0" fontId="13" fillId="8" borderId="0" pivotButton="0" quotePrefix="0" xfId="0"/>
    <xf numFmtId="166" fontId="9" fillId="6" borderId="2" applyAlignment="1" pivotButton="0" quotePrefix="0" xfId="0">
      <alignment horizontal="right"/>
    </xf>
    <xf numFmtId="173" fontId="9" fillId="6" borderId="2" applyAlignment="1" pivotButton="0" quotePrefix="0" xfId="0">
      <alignment horizontal="right"/>
    </xf>
    <xf numFmtId="168" fontId="3" fillId="2" borderId="0" applyAlignment="1" pivotButton="0" quotePrefix="0" xfId="0">
      <alignment horizontal="right"/>
    </xf>
    <xf numFmtId="0" fontId="20" fillId="0" borderId="0" pivotButton="0" quotePrefix="0" xfId="0"/>
    <xf numFmtId="4" fontId="21" fillId="2" borderId="0" pivotButton="0" quotePrefix="0" xfId="0"/>
    <xf numFmtId="0" fontId="22" fillId="6" borderId="0" pivotButton="0" quotePrefix="0" xfId="0"/>
    <xf numFmtId="0" fontId="12" fillId="0" borderId="0" pivotButton="0" quotePrefix="0" xfId="0"/>
    <xf numFmtId="0" fontId="21" fillId="3" borderId="0" pivotButton="0" quotePrefix="0" xfId="0"/>
    <xf numFmtId="0" fontId="23" fillId="5" borderId="0" pivotButton="0" quotePrefix="0" xfId="0"/>
    <xf numFmtId="0" fontId="22" fillId="0" borderId="0" pivotButton="0" quotePrefix="0" xfId="0"/>
    <xf numFmtId="167" fontId="21" fillId="9" borderId="0" pivotButton="0" quotePrefix="0" xfId="0"/>
    <xf numFmtId="167" fontId="21" fillId="2" borderId="0" pivotButton="0" quotePrefix="0" xfId="0"/>
    <xf numFmtId="175" fontId="12" fillId="10" borderId="0" pivotButton="0" quotePrefix="0" xfId="0"/>
    <xf numFmtId="0" fontId="24" fillId="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66" fontId="21" fillId="9" borderId="0" pivotButton="0" quotePrefix="0" xfId="0"/>
    <xf numFmtId="166" fontId="21" fillId="2" borderId="0" pivotButton="0" quotePrefix="0" xfId="0"/>
    <xf numFmtId="166" fontId="24" fillId="9" borderId="0" pivotButton="0" quotePrefix="0" xfId="0"/>
    <xf numFmtId="166" fontId="24" fillId="2" borderId="0" pivotButton="0" quotePrefix="0" xfId="0"/>
    <xf numFmtId="166" fontId="24" fillId="11" borderId="0" pivotButton="0" quotePrefix="0" xfId="0"/>
    <xf numFmtId="164" fontId="21" fillId="9" borderId="0" pivotButton="0" quotePrefix="0" xfId="0"/>
    <xf numFmtId="164" fontId="21" fillId="2" borderId="0" pivotButton="0" quotePrefix="0" xfId="0"/>
    <xf numFmtId="168" fontId="21" fillId="9" borderId="0" pivotButton="0" quotePrefix="0" xfId="0"/>
    <xf numFmtId="168" fontId="21" fillId="2" borderId="0" pivotButton="0" quotePrefix="0" xfId="0"/>
    <xf numFmtId="176" fontId="3" fillId="12" borderId="0" pivotButton="0" quotePrefix="0" xfId="0"/>
    <xf numFmtId="167" fontId="6" fillId="5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68" fontId="24" fillId="9" borderId="0" pivotButton="0" quotePrefix="0" xfId="0"/>
    <xf numFmtId="168" fontId="24" fillId="2" borderId="0" pivotButton="0" quotePrefix="0" xfId="0"/>
    <xf numFmtId="166" fontId="24" fillId="0" borderId="0" pivotButton="0" quotePrefix="0" xfId="0"/>
    <xf numFmtId="173" fontId="24" fillId="9" borderId="0" pivotButton="0" quotePrefix="0" xfId="0"/>
    <xf numFmtId="173" fontId="24" fillId="2" borderId="0" pivotButton="0" quotePrefix="0" xfId="0"/>
    <xf numFmtId="167" fontId="24" fillId="0" borderId="0" pivotButton="0" quotePrefix="0" xfId="0"/>
    <xf numFmtId="173" fontId="24" fillId="0" borderId="0" pivotButton="0" quotePrefix="0" xfId="0"/>
    <xf numFmtId="167" fontId="25" fillId="0" borderId="0" pivotButton="0" quotePrefix="0" xfId="0"/>
    <xf numFmtId="0" fontId="26" fillId="0" borderId="0" pivotButton="0" quotePrefix="0" xfId="0"/>
    <xf numFmtId="166" fontId="25" fillId="0" borderId="0" pivotButton="0" quotePrefix="0" xfId="0"/>
    <xf numFmtId="0" fontId="28" fillId="5" borderId="0" pivotButton="0" quotePrefix="0" xfId="0"/>
    <xf numFmtId="0" fontId="29" fillId="0" borderId="0" pivotButton="0" quotePrefix="0" xfId="0"/>
    <xf numFmtId="177" fontId="29" fillId="0" borderId="0" pivotButton="0" quotePrefix="0" xfId="0"/>
    <xf numFmtId="167" fontId="29" fillId="0" borderId="0" pivotButton="0" quotePrefix="0" xfId="0"/>
    <xf numFmtId="166" fontId="30" fillId="0" borderId="0" pivotButton="0" quotePrefix="0" xfId="0"/>
    <xf numFmtId="178" fontId="29" fillId="0" borderId="0" pivotButton="0" quotePrefix="0" xfId="0"/>
    <xf numFmtId="2" fontId="29" fillId="0" borderId="0" pivotButton="0" quotePrefix="0" xfId="0"/>
    <xf numFmtId="179" fontId="29" fillId="0" borderId="0" pivotButton="0" quotePrefix="0" xfId="0"/>
    <xf numFmtId="167" fontId="30" fillId="0" borderId="0" pivotButton="0" quotePrefix="0" xfId="0"/>
    <xf numFmtId="0" fontId="31" fillId="0" borderId="0" pivotButton="0" quotePrefix="0" xfId="0"/>
    <xf numFmtId="166" fontId="31" fillId="0" borderId="0" pivotButton="0" quotePrefix="0" xfId="0"/>
    <xf numFmtId="166" fontId="29" fillId="0" borderId="0" pivotButton="0" quotePrefix="0" xfId="0"/>
    <xf numFmtId="164" fontId="29" fillId="0" borderId="0" pivotButton="0" quotePrefix="0" xfId="0"/>
    <xf numFmtId="4" fontId="29" fillId="0" borderId="0" pivotButton="0" quotePrefix="0" xfId="0"/>
    <xf numFmtId="178" fontId="32" fillId="0" borderId="0" pivotButton="0" quotePrefix="0" xfId="0"/>
    <xf numFmtId="3" fontId="29" fillId="0" borderId="0" pivotButton="0" quotePrefix="0" xfId="0"/>
    <xf numFmtId="3" fontId="29" fillId="3" borderId="0" pivotButton="0" quotePrefix="0" xfId="0"/>
    <xf numFmtId="176" fontId="29" fillId="0" borderId="0" pivotButton="0" quotePrefix="0" xfId="0"/>
    <xf numFmtId="0" fontId="33" fillId="0" borderId="0" pivotButton="0" quotePrefix="0" xfId="0"/>
    <xf numFmtId="10" fontId="32" fillId="2" borderId="0" pivotButton="0" quotePrefix="0" xfId="0"/>
    <xf numFmtId="0" fontId="34" fillId="0" borderId="0" pivotButton="0" quotePrefix="0" xfId="0"/>
    <xf numFmtId="2" fontId="32" fillId="2" borderId="0" pivotButton="0" quotePrefix="0" xfId="0"/>
    <xf numFmtId="10" fontId="33" fillId="0" borderId="0" pivotButton="0" quotePrefix="0" xfId="0"/>
    <xf numFmtId="0" fontId="35" fillId="0" borderId="0" pivotButton="0" quotePrefix="0" xfId="0"/>
    <xf numFmtId="10" fontId="35" fillId="6" borderId="0" pivotButton="0" quotePrefix="0" xfId="0"/>
    <xf numFmtId="167" fontId="36" fillId="0" borderId="0" pivotButton="0" quotePrefix="0" xfId="0"/>
    <xf numFmtId="0" fontId="35" fillId="6" borderId="0" pivotButton="0" quotePrefix="0" xfId="0"/>
    <xf numFmtId="167" fontId="35" fillId="6" borderId="0" pivotButton="0" quotePrefix="0" xfId="0"/>
    <xf numFmtId="178" fontId="32" fillId="2" borderId="0" pivotButton="0" quotePrefix="0" xfId="0"/>
    <xf numFmtId="178" fontId="30" fillId="2" borderId="0" pivotButton="0" quotePrefix="0" xfId="0"/>
    <xf numFmtId="178" fontId="37" fillId="3" borderId="0" pivotButton="0" quotePrefix="0" xfId="0"/>
    <xf numFmtId="10" fontId="30" fillId="0" borderId="0" pivotButton="0" quotePrefix="0" xfId="0"/>
    <xf numFmtId="1" fontId="32" fillId="2" borderId="0" pivotButton="0" quotePrefix="0" xfId="0"/>
    <xf numFmtId="0" fontId="30" fillId="0" borderId="0" applyAlignment="1" pivotButton="0" quotePrefix="0" xfId="0">
      <alignment horizontal="right"/>
    </xf>
    <xf numFmtId="178" fontId="32" fillId="13" borderId="0" pivotButton="0" quotePrefix="0" xfId="0"/>
    <xf numFmtId="1" fontId="32" fillId="13" borderId="0" pivotButton="0" quotePrefix="0" xfId="0"/>
    <xf numFmtId="0" fontId="38" fillId="2" borderId="0" pivotButton="0" quotePrefix="0" xfId="0"/>
    <xf numFmtId="0" fontId="16" fillId="0" borderId="3" pivotButton="0" quotePrefix="0" xfId="0"/>
    <xf numFmtId="168" fontId="15" fillId="0" borderId="3" applyAlignment="1" pivotButton="0" quotePrefix="0" xfId="0">
      <alignment horizontal="right"/>
    </xf>
    <xf numFmtId="168" fontId="15" fillId="2" borderId="3" applyAlignment="1" pivotButton="0" quotePrefix="0" xfId="0">
      <alignment horizontal="right"/>
    </xf>
    <xf numFmtId="9" fontId="30" fillId="0" borderId="0" applyAlignment="1" pivotButton="0" quotePrefix="0" xfId="1">
      <alignment horizontal="left"/>
    </xf>
    <xf numFmtId="0" fontId="11" fillId="5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shrinkToFit="1"/>
    </xf>
    <xf numFmtId="0" fontId="0" fillId="2" borderId="0" pivotButton="0" quotePrefix="0" xfId="0"/>
    <xf numFmtId="0" fontId="0" fillId="0" borderId="2" pivotButton="0" quotePrefix="0" xfId="0"/>
    <xf numFmtId="166" fontId="17" fillId="2" borderId="0" applyAlignment="1" pivotButton="0" quotePrefix="0" xfId="0">
      <alignment horizontal="right"/>
    </xf>
    <xf numFmtId="0" fontId="39" fillId="0" borderId="0" pivotButton="0" quotePrefix="0" xfId="0"/>
    <xf numFmtId="0" fontId="0" fillId="2" borderId="2" pivotButton="0" quotePrefix="0" xfId="0"/>
    <xf numFmtId="0" fontId="40" fillId="0" borderId="0" pivotButton="0" quotePrefix="0" xfId="0"/>
    <xf numFmtId="0" fontId="1" fillId="0" borderId="0" pivotButton="0" quotePrefix="0" xfId="0"/>
    <xf numFmtId="0" fontId="0" fillId="6" borderId="2" pivotButton="0" quotePrefix="0" xfId="0"/>
    <xf numFmtId="177" fontId="0" fillId="0" borderId="0" pivotButton="0" quotePrefix="0" xfId="0"/>
    <xf numFmtId="0" fontId="11" fillId="5" borderId="0" pivotButton="0" quotePrefix="0" xfId="0"/>
    <xf numFmtId="0" fontId="11" fillId="5" borderId="0" applyAlignment="1" pivotButton="0" quotePrefix="0" xfId="0">
      <alignment horizontal="right"/>
    </xf>
    <xf numFmtId="166" fontId="8" fillId="0" borderId="0" pivotButton="0" quotePrefix="0" xfId="0"/>
    <xf numFmtId="4" fontId="11" fillId="5" borderId="0" pivotButton="0" quotePrefix="0" xfId="0"/>
    <xf numFmtId="4" fontId="8" fillId="0" borderId="0" pivotButton="0" quotePrefix="0" xfId="0"/>
    <xf numFmtId="178" fontId="8" fillId="0" borderId="0" pivotButton="0" quotePrefix="0" xfId="0"/>
    <xf numFmtId="176" fontId="11" fillId="5" borderId="0" pivotButton="0" quotePrefix="0" xfId="0"/>
    <xf numFmtId="10" fontId="46" fillId="13" borderId="0" pivotButton="0" quotePrefix="0" xfId="0"/>
    <xf numFmtId="2" fontId="46" fillId="13" borderId="0" pivotButton="0" quotePrefix="0" xfId="0"/>
    <xf numFmtId="10" fontId="45" fillId="0" borderId="0" pivotButton="0" quotePrefix="0" xfId="0"/>
    <xf numFmtId="180" fontId="46" fillId="0" borderId="0" applyAlignment="1" pivotButton="0" quotePrefix="0" xfId="0">
      <alignment horizontal="center"/>
    </xf>
    <xf numFmtId="167" fontId="49" fillId="0" borderId="0" pivotButton="0" quotePrefix="0" xfId="0"/>
    <xf numFmtId="167" fontId="45" fillId="0" borderId="0" pivotButton="0" quotePrefix="0" xfId="0"/>
    <xf numFmtId="166" fontId="45" fillId="0" borderId="0" pivotButton="0" quotePrefix="0" xfId="0"/>
    <xf numFmtId="166" fontId="45" fillId="0" borderId="0" applyAlignment="1" pivotButton="0" quotePrefix="0" xfId="0">
      <alignment horizontal="center"/>
    </xf>
    <xf numFmtId="2" fontId="45" fillId="0" borderId="0" pivotButton="0" quotePrefix="0" xfId="0"/>
    <xf numFmtId="167" fontId="48" fillId="0" borderId="0" pivotButton="0" quotePrefix="0" xfId="0"/>
    <xf numFmtId="167" fontId="48" fillId="16" borderId="0" pivotButton="0" quotePrefix="0" xfId="0"/>
    <xf numFmtId="166" fontId="48" fillId="16" borderId="0" pivotButton="0" quotePrefix="0" xfId="0"/>
    <xf numFmtId="166" fontId="48" fillId="16" borderId="0" applyAlignment="1" pivotButton="0" quotePrefix="0" xfId="0">
      <alignment horizontal="center"/>
    </xf>
    <xf numFmtId="178" fontId="46" fillId="13" borderId="0" pivotButton="0" quotePrefix="0" xfId="0"/>
    <xf numFmtId="178" fontId="45" fillId="13" borderId="0" pivotButton="0" quotePrefix="0" xfId="0"/>
    <xf numFmtId="178" fontId="51" fillId="17" borderId="0" pivotButton="0" quotePrefix="0" xfId="0"/>
    <xf numFmtId="179" fontId="45" fillId="0" borderId="0" pivotButton="0" quotePrefix="0" xfId="0"/>
    <xf numFmtId="181" fontId="49" fillId="0" borderId="0" pivotButton="0" quotePrefix="0" xfId="0"/>
    <xf numFmtId="4" fontId="44" fillId="14" borderId="0" pivotButton="0" quotePrefix="0" xfId="0"/>
    <xf numFmtId="4" fontId="49" fillId="0" borderId="0" pivotButton="0" quotePrefix="0" xfId="0"/>
    <xf numFmtId="182" fontId="48" fillId="16" borderId="0" pivotButton="0" quotePrefix="0" xfId="0"/>
    <xf numFmtId="4" fontId="48" fillId="16" borderId="0" pivotButton="0" quotePrefix="0" xfId="0"/>
    <xf numFmtId="1" fontId="46" fillId="13" borderId="0" pivotButton="0" quotePrefix="0" xfId="0"/>
    <xf numFmtId="0" fontId="41" fillId="0" borderId="0" pivotButton="0" quotePrefix="0" xfId="0"/>
    <xf numFmtId="0" fontId="42" fillId="14" borderId="0" pivotButton="0" quotePrefix="0" xfId="0"/>
    <xf numFmtId="0" fontId="43" fillId="14" borderId="0" pivotButton="0" quotePrefix="0" xfId="0"/>
    <xf numFmtId="0" fontId="44" fillId="15" borderId="0" pivotButton="0" quotePrefix="0" xfId="0"/>
    <xf numFmtId="0" fontId="43" fillId="15" borderId="0" pivotButton="0" quotePrefix="0" xfId="0"/>
    <xf numFmtId="0" fontId="45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8" fillId="16" borderId="0" pivotButton="0" quotePrefix="0" xfId="0"/>
    <xf numFmtId="0" fontId="41" fillId="15" borderId="0" pivotButton="0" quotePrefix="0" xfId="0"/>
    <xf numFmtId="0" fontId="44" fillId="14" borderId="0" pivotButton="0" quotePrefix="0" xfId="0"/>
    <xf numFmtId="0" fontId="44" fillId="14" borderId="0" applyAlignment="1" pivotButton="0" quotePrefix="0" xfId="0">
      <alignment horizontal="center"/>
    </xf>
    <xf numFmtId="0" fontId="43" fillId="14" borderId="0" applyAlignment="1" pivotButton="0" quotePrefix="0" xfId="0">
      <alignment horizontal="center"/>
    </xf>
    <xf numFmtId="0" fontId="47" fillId="0" borderId="0" applyAlignment="1" pivotButton="0" quotePrefix="0" xfId="0">
      <alignment horizontal="right"/>
    </xf>
    <xf numFmtId="0" fontId="50" fillId="0" borderId="0" applyAlignment="1" pivotButton="0" quotePrefix="0" xfId="0">
      <alignment horizontal="centerContinuous"/>
    </xf>
    <xf numFmtId="0" fontId="44" fillId="15" borderId="0" applyAlignment="1" pivotButton="0" quotePrefix="0" xfId="0">
      <alignment horizontal="right"/>
    </xf>
    <xf numFmtId="1" fontId="46" fillId="13" borderId="0" applyAlignment="1" pivotButton="0" quotePrefix="0" xfId="0">
      <alignment horizontal="center"/>
    </xf>
    <xf numFmtId="167" fontId="49" fillId="0" borderId="0" applyAlignment="1" pivotButton="0" quotePrefix="0" xfId="0">
      <alignment horizontal="right"/>
    </xf>
    <xf numFmtId="178" fontId="49" fillId="0" borderId="0" applyAlignment="1" pivotButton="0" quotePrefix="0" xfId="0">
      <alignment horizontal="right"/>
    </xf>
    <xf numFmtId="167" fontId="45" fillId="0" borderId="0" applyAlignment="1" pivotButton="0" quotePrefix="0" xfId="0">
      <alignment horizontal="right"/>
    </xf>
    <xf numFmtId="181" fontId="49" fillId="0" borderId="0" applyAlignment="1" pivotButton="0" quotePrefix="0" xfId="0">
      <alignment horizontal="right"/>
    </xf>
    <xf numFmtId="4" fontId="44" fillId="14" borderId="0" applyAlignment="1" pivotButton="0" quotePrefix="0" xfId="0">
      <alignment horizontal="right"/>
    </xf>
    <xf numFmtId="4" fontId="45" fillId="0" borderId="0" applyAlignment="1" pivotButton="0" quotePrefix="0" xfId="0">
      <alignment horizontal="right"/>
    </xf>
    <xf numFmtId="166" fontId="45" fillId="0" borderId="0" applyAlignment="1" pivotButton="0" quotePrefix="0" xfId="0">
      <alignment horizontal="right"/>
    </xf>
    <xf numFmtId="10" fontId="48" fillId="16" borderId="4" pivotButton="0" quotePrefix="0" xfId="0"/>
    <xf numFmtId="0" fontId="48" fillId="16" borderId="4" pivotButton="0" quotePrefix="0" xfId="0"/>
    <xf numFmtId="0" fontId="50" fillId="16" borderId="4" pivotButton="0" quotePrefix="0" xfId="0"/>
    <xf numFmtId="167" fontId="48" fillId="16" borderId="4" pivotButton="0" quotePrefix="0" xfId="0"/>
    <xf numFmtId="0" fontId="45" fillId="0" borderId="4" pivotButton="0" quotePrefix="0" xfId="0"/>
    <xf numFmtId="0" fontId="41" fillId="0" borderId="4" pivotButton="0" quotePrefix="0" xfId="0"/>
    <xf numFmtId="167" fontId="45" fillId="0" borderId="4" pivotButton="0" quotePrefix="0" xfId="0"/>
    <xf numFmtId="0" fontId="48" fillId="0" borderId="4" pivotButton="0" quotePrefix="0" xfId="0"/>
    <xf numFmtId="167" fontId="48" fillId="0" borderId="4" pivotButton="0" quotePrefix="0" xfId="0"/>
    <xf numFmtId="3" fontId="45" fillId="0" borderId="0" applyAlignment="1" pivotButton="0" quotePrefix="0" xfId="0">
      <alignment horizontal="center"/>
    </xf>
    <xf numFmtId="3" fontId="48" fillId="17" borderId="0" applyAlignment="1" pivotButton="0" quotePrefix="0" xfId="0">
      <alignment horizontal="center"/>
    </xf>
    <xf numFmtId="0" fontId="43" fillId="14" borderId="4" pivotButton="0" quotePrefix="0" xfId="0"/>
    <xf numFmtId="10" fontId="44" fillId="14" borderId="4" applyAlignment="1" pivotButton="0" quotePrefix="0" xfId="0">
      <alignment horizontal="center"/>
    </xf>
    <xf numFmtId="0" fontId="41" fillId="0" borderId="5" pivotButton="0" quotePrefix="0" xfId="0"/>
    <xf numFmtId="3" fontId="45" fillId="0" borderId="5" applyAlignment="1" pivotButton="0" quotePrefix="0" xfId="0">
      <alignment horizontal="center"/>
    </xf>
    <xf numFmtId="0" fontId="44" fillId="14" borderId="6" pivotButton="0" quotePrefix="0" xfId="0"/>
    <xf numFmtId="10" fontId="48" fillId="0" borderId="7" applyAlignment="1" pivotButton="0" quotePrefix="0" xfId="0">
      <alignment horizontal="right"/>
    </xf>
    <xf numFmtId="10" fontId="48" fillId="0" borderId="8" applyAlignment="1" pivotButton="0" quotePrefix="0" xfId="0">
      <alignment horizontal="right"/>
    </xf>
    <xf numFmtId="10" fontId="44" fillId="14" borderId="9" applyAlignment="1" pivotButton="0" quotePrefix="0" xfId="0">
      <alignment horizontal="center"/>
    </xf>
    <xf numFmtId="3" fontId="45" fillId="0" borderId="10" applyAlignment="1" pivotButton="0" quotePrefix="0" xfId="0">
      <alignment horizontal="center"/>
    </xf>
    <xf numFmtId="3" fontId="45" fillId="0" borderId="11" applyAlignment="1" pivotButton="0" quotePrefix="0" xfId="0">
      <alignment horizontal="center"/>
    </xf>
    <xf numFmtId="0" fontId="45" fillId="0" borderId="0" applyAlignment="1" pivotButton="0" quotePrefix="0" xfId="0">
      <alignment horizontal="left" indent="2"/>
    </xf>
    <xf numFmtId="10" fontId="49" fillId="0" borderId="0" applyAlignment="1" pivotButton="0" quotePrefix="0" xfId="0">
      <alignment horizontal="center"/>
    </xf>
    <xf numFmtId="10" fontId="46" fillId="13" borderId="0" applyAlignment="1" pivotButton="0" quotePrefix="0" xfId="0">
      <alignment horizontal="center"/>
    </xf>
    <xf numFmtId="183" fontId="45" fillId="0" borderId="0" applyAlignment="1" pivotButton="0" quotePrefix="0" xfId="0">
      <alignment horizontal="center"/>
    </xf>
    <xf numFmtId="2" fontId="45" fillId="0" borderId="0" applyAlignment="1" pivotButton="0" quotePrefix="0" xfId="0">
      <alignment horizontal="center"/>
    </xf>
    <xf numFmtId="179" fontId="45" fillId="0" borderId="0" applyAlignment="1" pivotButton="0" quotePrefix="0" xfId="0">
      <alignment horizontal="center"/>
    </xf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82" fontId="48" fillId="16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  <xf numFmtId="184" fontId="48" fillId="0" borderId="0" applyAlignment="1" pivotButton="0" quotePrefix="0" xfId="0">
      <alignment horizontal="right"/>
    </xf>
    <xf numFmtId="167" fontId="25" fillId="2" borderId="0" pivotButton="0" quotePrefix="0" xfId="0"/>
    <xf numFmtId="185" fontId="25" fillId="2" borderId="0" pivotButton="0" quotePrefix="0" xfId="0"/>
    <xf numFmtId="168" fontId="25" fillId="2" borderId="0" pivotButton="0" quotePrefix="0" xfId="0"/>
    <xf numFmtId="0" fontId="0" fillId="0" borderId="0" pivotButton="0" quotePrefix="0" xfId="0"/>
    <xf numFmtId="0" fontId="54" fillId="0" borderId="0" pivotButton="0" quotePrefix="0" xfId="0"/>
    <xf numFmtId="167" fontId="46" fillId="0" borderId="0" applyAlignment="1" pivotButton="0" quotePrefix="0" xfId="0">
      <alignment horizontal="right"/>
    </xf>
    <xf numFmtId="167" fontId="45" fillId="2" borderId="0" applyAlignment="1" pivotButton="0" quotePrefix="0" xfId="0">
      <alignment horizontal="right"/>
    </xf>
    <xf numFmtId="166" fontId="55" fillId="0" borderId="0" applyAlignment="1" pivotButton="0" quotePrefix="0" xfId="0">
      <alignment horizontal="right"/>
    </xf>
    <xf numFmtId="166" fontId="45" fillId="2" borderId="0" applyAlignment="1" pivotButton="0" quotePrefix="0" xfId="0">
      <alignment horizontal="right"/>
    </xf>
    <xf numFmtId="166" fontId="46" fillId="0" borderId="0" pivotButton="0" quotePrefix="0" xfId="0"/>
    <xf numFmtId="168" fontId="46" fillId="0" borderId="0" pivotButton="0" quotePrefix="0" xfId="0"/>
    <xf numFmtId="167" fontId="46" fillId="0" borderId="0" pivotButton="0" quotePrefix="0" xfId="0"/>
    <xf numFmtId="167" fontId="48" fillId="0" borderId="2" applyAlignment="1" pivotButton="0" quotePrefix="0" xfId="0">
      <alignment horizontal="right"/>
    </xf>
    <xf numFmtId="167" fontId="48" fillId="2" borderId="2" applyAlignment="1" pivotButton="0" quotePrefix="0" xfId="0">
      <alignment horizontal="right"/>
    </xf>
    <xf numFmtId="176" fontId="17" fillId="0" borderId="0" pivotButton="0" quotePrefix="0" xfId="0"/>
    <xf numFmtId="166" fontId="48" fillId="2" borderId="0" applyAlignment="1" pivotButton="0" quotePrefix="0" xfId="0">
      <alignment horizontal="right"/>
    </xf>
    <xf numFmtId="166" fontId="51" fillId="2" borderId="0" applyAlignment="1" pivotButton="0" quotePrefix="0" xfId="0">
      <alignment horizontal="right"/>
    </xf>
    <xf numFmtId="167" fontId="51" fillId="2" borderId="0" applyAlignment="1" pivotButton="0" quotePrefix="0" xfId="0">
      <alignment horizontal="right"/>
    </xf>
    <xf numFmtId="173" fontId="51" fillId="2" borderId="0" applyAlignment="1" pivotButton="0" quotePrefix="0" xfId="0">
      <alignment horizontal="right"/>
    </xf>
    <xf numFmtId="167" fontId="51" fillId="2" borderId="2" applyAlignment="1" pivotButton="0" quotePrefix="0" xfId="0">
      <alignment horizontal="right"/>
    </xf>
    <xf numFmtId="0" fontId="51" fillId="2" borderId="0" applyAlignment="1" pivotButton="0" quotePrefix="0" xfId="0">
      <alignment horizontal="right"/>
    </xf>
    <xf numFmtId="167" fontId="48" fillId="6" borderId="2" applyAlignment="1" pivotButton="0" quotePrefix="0" xfId="0">
      <alignment horizontal="right"/>
    </xf>
    <xf numFmtId="167" fontId="41" fillId="2" borderId="0" pivotButton="0" quotePrefix="0" xfId="0"/>
    <xf numFmtId="168" fontId="41" fillId="2" borderId="0" pivotButton="0" quotePrefix="0" xfId="0"/>
    <xf numFmtId="168" fontId="45" fillId="2" borderId="0" applyAlignment="1" pivotButton="0" quotePrefix="0" xfId="0">
      <alignment horizontal="right"/>
    </xf>
    <xf numFmtId="0" fontId="41" fillId="2" borderId="0" pivotButton="0" quotePrefix="0" xfId="0"/>
    <xf numFmtId="0" fontId="45" fillId="2" borderId="0" applyAlignment="1" pivotButton="0" quotePrefix="0" xfId="0">
      <alignment horizontal="right"/>
    </xf>
    <xf numFmtId="166" fontId="41" fillId="2" borderId="0" pivotButton="0" quotePrefix="0" xfId="0"/>
    <xf numFmtId="167" fontId="51" fillId="6" borderId="2" applyAlignment="1" pivotButton="0" quotePrefix="0" xfId="0">
      <alignment horizontal="right"/>
    </xf>
    <xf numFmtId="167" fontId="51" fillId="0" borderId="2" applyAlignment="1" pivotButton="0" quotePrefix="0" xfId="0">
      <alignment horizontal="right"/>
    </xf>
    <xf numFmtId="164" fontId="46" fillId="0" borderId="0" applyAlignment="1" pivotButton="0" quotePrefix="0" xfId="0">
      <alignment horizontal="right"/>
    </xf>
    <xf numFmtId="164" fontId="45" fillId="2" borderId="0" applyAlignment="1" pivotButton="0" quotePrefix="0" xfId="0">
      <alignment horizontal="right"/>
    </xf>
    <xf numFmtId="168" fontId="48" fillId="6" borderId="2" applyAlignment="1" pivotButton="0" quotePrefix="0" xfId="0">
      <alignment horizontal="right"/>
    </xf>
    <xf numFmtId="168" fontId="46" fillId="0" borderId="0" applyAlignment="1" pivotButton="0" quotePrefix="0" xfId="0">
      <alignment horizontal="right"/>
    </xf>
    <xf numFmtId="168" fontId="45" fillId="0" borderId="0" applyAlignment="1" pivotButton="0" quotePrefix="0" xfId="0">
      <alignment horizontal="right"/>
    </xf>
    <xf numFmtId="168" fontId="51" fillId="2" borderId="0" applyAlignment="1" pivotButton="0" quotePrefix="0" xfId="0">
      <alignment horizontal="right"/>
    </xf>
    <xf numFmtId="0" fontId="56" fillId="0" borderId="0" pivotButton="0" quotePrefix="0" xfId="0"/>
    <xf numFmtId="164" fontId="45" fillId="0" borderId="0" applyAlignment="1" pivotButton="0" quotePrefix="0" xfId="0">
      <alignment horizontal="right"/>
    </xf>
    <xf numFmtId="173" fontId="45" fillId="0" borderId="0" applyAlignment="1" pivotButton="0" quotePrefix="0" xfId="0">
      <alignment horizontal="right"/>
    </xf>
    <xf numFmtId="173" fontId="45" fillId="2" borderId="0" applyAlignment="1" pivotButton="0" quotePrefix="0" xfId="0">
      <alignment horizontal="right"/>
    </xf>
    <xf numFmtId="186" fontId="45" fillId="2" borderId="0" applyAlignment="1" pivotButton="0" quotePrefix="0" xfId="0">
      <alignment horizontal="right"/>
    </xf>
    <xf numFmtId="186" fontId="51" fillId="2" borderId="0" applyAlignment="1" pivotButton="0" quotePrefix="0" xfId="0">
      <alignment horizontal="right"/>
    </xf>
    <xf numFmtId="164" fontId="41" fillId="2" borderId="0" pivotButton="0" quotePrefix="0" xfId="0"/>
    <xf numFmtId="174" fontId="45" fillId="0" borderId="0" applyAlignment="1" pivotButton="0" quotePrefix="0" xfId="0">
      <alignment horizontal="right"/>
    </xf>
    <xf numFmtId="174" fontId="51" fillId="2" borderId="0" applyAlignment="1" pivotButton="0" quotePrefix="0" xfId="0">
      <alignment horizontal="right"/>
    </xf>
    <xf numFmtId="0" fontId="57" fillId="0" borderId="0" pivotButton="0" quotePrefix="0" xfId="0"/>
    <xf numFmtId="164" fontId="51" fillId="2" borderId="0" applyAlignment="1" pivotButton="0" quotePrefix="0" xfId="0">
      <alignment horizontal="right"/>
    </xf>
    <xf numFmtId="176" fontId="45" fillId="2" borderId="0" applyAlignment="1" pivotButton="0" quotePrefix="0" xfId="0">
      <alignment horizontal="right"/>
    </xf>
    <xf numFmtId="166" fontId="48" fillId="6" borderId="2" applyAlignment="1" pivotButton="0" quotePrefix="0" xfId="0">
      <alignment horizontal="right"/>
    </xf>
    <xf numFmtId="173" fontId="48" fillId="6" borderId="2" applyAlignment="1" pivotButton="0" quotePrefix="0" xfId="0">
      <alignment horizontal="right"/>
    </xf>
    <xf numFmtId="177" fontId="0" fillId="0" borderId="0" pivotButton="0" quotePrefix="0" xfId="0"/>
    <xf numFmtId="175" fontId="12" fillId="1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76" fontId="3" fillId="12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Revenue Growth: Ratings vs. Other Divisions Contribution, pp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Charts!$C$8:$V$8</c:f>
            </c:numRef>
          </c:val>
          <c:extLst>
            <c:ext xmlns:c16="http://schemas.microsoft.com/office/drawing/2014/chart" uri="{C3380CC4-5D6E-409C-BE32-E72D297353CC}">
              <c16:uniqueId val="{00000000-FF49-44E0-9EFD-670A32200F47}"/>
            </c:ext>
          </c:extLst>
        </c:ser>
        <c:ser>
          <c:idx val="1"/>
          <c:order val="1"/>
          <c:tx>
            <c:strRef>
              <c:f>Charts!$B$9</c:f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Charts!$C$9:$V$9</c:f>
            </c:numRef>
          </c:val>
          <c:extLst>
            <c:ext xmlns:c16="http://schemas.microsoft.com/office/drawing/2014/chart" uri="{C3380CC4-5D6E-409C-BE32-E72D297353CC}">
              <c16:uniqueId val="{00000001-FF49-44E0-9EFD-670A32200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44735"/>
        <c:axId val="65342648"/>
      </c:barChart>
      <c:catAx>
        <c:axId val="20044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42648"/>
        <c:crosses val="autoZero"/>
        <c:auto val="1"/>
        <c:lblAlgn val="ctr"/>
        <c:lblOffset val="100"/>
        <c:noMultiLvlLbl val="0"/>
      </c:catAx>
      <c:valAx>
        <c:axId val="65342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44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Adjusted EBITDA &amp; Operating Profit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Charts!$C$12:$V$12</c:f>
            </c:numRef>
          </c:val>
          <c:extLst>
            <c:ext xmlns:c16="http://schemas.microsoft.com/office/drawing/2014/chart" uri="{C3380CC4-5D6E-409C-BE32-E72D297353CC}">
              <c16:uniqueId val="{00000000-70F1-4400-9151-F0905619F4D5}"/>
            </c:ext>
          </c:extLst>
        </c:ser>
        <c:ser>
          <c:idx val="1"/>
          <c:order val="1"/>
          <c:tx>
            <c:strRef>
              <c:f>Charts!$B$13</c:f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Charts!$C$13:$V$13</c:f>
            </c:numRef>
          </c:val>
          <c:extLst>
            <c:ext xmlns:c16="http://schemas.microsoft.com/office/drawing/2014/chart" uri="{C3380CC4-5D6E-409C-BE32-E72D297353CC}">
              <c16:uniqueId val="{00000001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8424"/>
        <c:axId val="81960370"/>
      </c:barChart>
      <c:lineChart>
        <c:grouping val="standard"/>
        <c:varyColors val="0"/>
        <c:ser>
          <c:idx val="2"/>
          <c:order val="2"/>
          <c:tx>
            <c:strRef>
              <c:f>Charts!$B$14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Charts!$C$14:$V$14</c:f>
            </c:numRef>
          </c:val>
          <c:smooth val="1"/>
          <c:extLst>
            <c:ext xmlns:c16="http://schemas.microsoft.com/office/drawing/2014/chart" uri="{C3380CC4-5D6E-409C-BE32-E72D297353CC}">
              <c16:uniqueId val="{00000002-70F1-4400-9151-F0905619F4D5}"/>
            </c:ext>
          </c:extLst>
        </c:ser>
        <c:ser>
          <c:idx val="3"/>
          <c:order val="3"/>
          <c:tx>
            <c:strRef>
              <c:f>Charts!$B$15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Charts!$C$15:$V$15</c:f>
            </c:numRef>
          </c:val>
          <c:smooth val="1"/>
          <c:extLst>
            <c:ext xmlns:c16="http://schemas.microsoft.com/office/drawing/2014/chart" uri="{C3380CC4-5D6E-409C-BE32-E72D297353CC}">
              <c16:uniqueId val="{00000003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874911"/>
        <c:axId val="65694817"/>
      </c:lineChart>
      <c:catAx>
        <c:axId val="22608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60370"/>
        <c:crosses val="autoZero"/>
        <c:auto val="1"/>
        <c:lblAlgn val="ctr"/>
        <c:lblOffset val="100"/>
        <c:noMultiLvlLbl val="0"/>
      </c:catAx>
      <c:valAx>
        <c:axId val="81960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08424"/>
        <c:crosses val="autoZero"/>
        <c:crossBetween val="between"/>
      </c:valAx>
      <c:catAx>
        <c:axId val="99874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94817"/>
        <c:crosses val="autoZero"/>
        <c:auto val="1"/>
        <c:lblAlgn val="ctr"/>
        <c:lblOffset val="100"/>
        <c:noMultiLvlLbl val="0"/>
      </c:catAx>
      <c:valAx>
        <c:axId val="656948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7491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Charts!$C$18:$V$18</c:f>
            </c:numRef>
          </c:val>
          <c:smooth val="1"/>
          <c:extLst>
            <c:ext xmlns:c16="http://schemas.microsoft.com/office/drawing/2014/chart" uri="{C3380CC4-5D6E-409C-BE32-E72D297353CC}">
              <c16:uniqueId val="{00000000-D2EB-4AF7-A066-6A1A3BE056BF}"/>
            </c:ext>
          </c:extLst>
        </c:ser>
        <c:ser>
          <c:idx val="1"/>
          <c:order val="1"/>
          <c:tx>
            <c:strRef>
              <c:f>Charts!$B$19</c:f>
            </c:strRef>
          </c:tx>
          <c:spPr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Charts!$C$19:$V$19</c:f>
            </c:numRef>
          </c:val>
          <c:smooth val="1"/>
          <c:extLst>
            <c:ext xmlns:c16="http://schemas.microsoft.com/office/drawing/2014/chart" uri="{C3380CC4-5D6E-409C-BE32-E72D297353CC}">
              <c16:uniqueId val="{00000001-D2EB-4AF7-A066-6A1A3BE056BF}"/>
            </c:ext>
          </c:extLst>
        </c:ser>
        <c:ser>
          <c:idx val="2"/>
          <c:order val="2"/>
          <c:tx>
            <c:strRef>
              <c:f>Charts!$B$20</c:f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Charts!$C$20:$V$20</c:f>
            </c:numRef>
          </c:val>
          <c:smooth val="1"/>
          <c:extLst>
            <c:ext xmlns:c16="http://schemas.microsoft.com/office/drawing/2014/chart" uri="{C3380CC4-5D6E-409C-BE32-E72D297353CC}">
              <c16:uniqueId val="{00000002-D2EB-4AF7-A066-6A1A3BE056BF}"/>
            </c:ext>
          </c:extLst>
        </c:ser>
        <c:ser>
          <c:idx val="3"/>
          <c:order val="3"/>
          <c:tx>
            <c:strRef>
              <c:f>Charts!$B$21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Charts!$C$21:$V$21</c:f>
            </c:numRef>
          </c:val>
          <c:smooth val="1"/>
          <c:extLst>
            <c:ext xmlns:c16="http://schemas.microsoft.com/office/drawing/2014/chart" uri="{C3380CC4-5D6E-409C-BE32-E72D297353CC}">
              <c16:uniqueId val="{00000003-D2EB-4AF7-A066-6A1A3BE05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004353"/>
        <c:axId val="61682655"/>
      </c:lineChart>
      <c:catAx>
        <c:axId val="270043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82655"/>
        <c:crosses val="autoZero"/>
        <c:auto val="1"/>
        <c:lblAlgn val="ctr"/>
        <c:lblOffset val="100"/>
        <c:noMultiLvlLbl val="0"/>
      </c:catAx>
      <c:valAx>
        <c:axId val="61682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04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omments/comment1.xml><?xml version="1.0" encoding="utf-8"?>
<comments xmlns="http://schemas.openxmlformats.org/spreadsheetml/2006/main">
  <authors>
    <author>SPGI model</author>
  </authors>
  <commentList>
    <comment ref="CC2" authorId="0" shapeId="0">
      <text>
        <t>Scenario toggle. Choose Bull / Base / Bear. Drives: FY26 revenue-growth and adjusted-EPS guidance end-points (high / mid / low), 2H-26 buybacks, 2027E–2031E revenue growth by type, division adjusted margins, M&amp;A spend and the leverage target for 2027E+ buybacks (scenario table CK:CO).</t>
      </text>
    </comment>
    <comment ref="B11" authorId="0" shapeId="0">
      <text>
        <t>Source: S&amp;P Global (McGraw Hill Financial / McGraw-Hill) earnings releases (Form 8-K Item 2.02, Ex. 99.1) — revenue-information exhibit (revenue by type; 2016–17 MCI and 2013–15 C&amp;C / Capital IQ types mapped to Energy / Market Intelligence lines). 2025–1H26 Energy / MI types: recast tables in the 8-K/A of 6-Jul-2026 (Ex. 99.1) and the Q2-26 release Exhibit 7.</t>
      </text>
    </comment>
    <comment ref="B23" authorId="0" shapeId="0">
      <text>
        <t>Source: S&amp;P Global (McGraw Hill Financial / McGraw-Hill) earnings releases (Form 8-K Item 2.02, Ex. 99.1) — Operating Results by Segment / Reported vs Adjusted exhibits (adjusted segment OP as published; FY2010 from the FY2012 10-K segment note, GAAP only). 2025–1H26: pro forma non-GAAP adjusted OP on the July-2026 recast basis (8-K/A 6-Jul-2026 recast tables; Q2-26 release Exhibit 6).</t>
      </text>
    </comment>
    <comment ref="B96" authorId="0" shapeId="0">
      <text>
        <t>Source: S&amp;P Global (McGraw Hill Financial / McGraw-Hill) earnings releases (Form 8-K Item 2.02, Ex. 99.1) — segment exhibits (Mobility and Engineering Solutions from the IHS Markit merger, 28-Feb-2022; Engineering Solutions sold 2-May-2023; Mobility spun off 1-Jul-2026).</t>
      </text>
    </comment>
    <comment ref="B109" authorId="0" shapeId="0">
      <text>
        <t>Source: S&amp;P Global (McGraw Hill Financial / McGraw-Hill) earnings releases (Form 8-K Item 2.02, Ex. 99.1) — Corporate Unallocated expense (reported and adjusted); 2025–1H26 pro forma recast (derived where the recast table rounds: Q1-25, Q3-25, FY2025).</t>
      </text>
    </comment>
    <comment ref="BP109" authorId="0" shapeId="0">
      <text>
        <t>Q3-25 pro forma adjusted corporate derived as Σ adjusted divisions + equity income − adjusted OP ($55m); the recast table prints $52m (company rounding).</t>
      </text>
    </comment>
    <comment ref="B170" authorId="0" shapeId="0">
      <text>
        <t>Source: S&amp;P Global (McGraw Hill Financial / McGraw-Hill) earnings releases (Form 8-K Item 2.02, Ex. 99.1) — reconciliation exhibits ("deal-related amortization"); added back from the 2016 releases (FY2013–15 adjusted measures included amortization).</t>
      </text>
    </comment>
    <comment ref="D176" authorId="0" shapeId="0">
      <text>
        <t>Company items (2011): RAT: Restructuring charges (S&amp;P Ratings) +9; CC: Restructuring charges (Commodities &amp; Commercial) +6; CORP: Restructuring charges within unallocated expense (computed 27 - 10) +17</t>
      </text>
    </comment>
    <comment ref="E176" authorId="0" shapeId="0">
      <text>
        <t>Company items (2012): RAT: Growth and Value Plan related costs incl. restructuring (S&amp;P Ratings) +16; CIQ: Growth and Value Plan related costs incl. restructuring (S&amp;P Capital IQ) +20; CC: Growth and Value Plan related costs incl. restructuring (Commodities &amp; Commercial) +12</t>
      </text>
    </comment>
    <comment ref="I176" authorId="0" shapeId="0">
      <text>
        <t>Company items (Q4-13): RAT: Restructuring charges (S&amp;P Ratings) +10; CIQ: Restructuring charges (S&amp;P Capital IQ) +8; CC: Restructuring charges (Commodities &amp; Commercial Markets) +8; CORP: Restructuring charges in unallocated expense (computed 51 - 36 - 13) +2</t>
      </text>
    </comment>
    <comment ref="J176" authorId="0" shapeId="0">
      <text>
        <t>Company items (2013): CORP: Restructuring charges in unallocated expense (Q4; computed) +2</t>
      </text>
    </comment>
    <comment ref="M176" authorId="0" shapeId="0">
      <text>
        <t>Company items (Q3-14): RAT: Restructuring charges (S&amp;P Ratings Services, incl. voluntary separation program) +23; CIQ: Restructuring charges (S&amp;P Capital IQ) +4; CC: Restructuring charges (Commodities &amp; Commercial Markets) +12; CORP: Restructuring charges (unallocated expense) +7</t>
      </text>
    </comment>
    <comment ref="N176" authorId="0" shapeId="0">
      <text>
        <t>Company items (Q4-14): RAT: Restructuring charges (S&amp;P Ratings Services; computed 1,574 - 1,552) +22; CIQ: Restructuring charges (S&amp;P Capital IQ) +5; CC: Restructuring charges (Commodities &amp; Commercial Markets) +4; CORP: Restructuring charges (unallocated expense) +10</t>
      </text>
    </comment>
    <comment ref="O176" authorId="0" shapeId="0">
      <text>
        <t>Company items (2014): RAT: Restructuring charges (S&amp;P Ratings Services; computed residual) +45; CIQ: Restructuring charges (S&amp;P Capital IQ) +9; CC: Restructuring charges (Commodities &amp; Commercial Markets) +16; CORP: Restructuring charges (unallocated expense) +16</t>
      </text>
    </comment>
    <comment ref="Q176" authorId="0" shapeId="0">
      <text>
        <t>Company items (Q2-15): CIQ: Restructuring charges +12; CC: Restructuring charges +1</t>
      </text>
    </comment>
    <comment ref="S176" authorId="0" shapeId="0">
      <text>
        <t>Company items (Q4-15): RAT: Restructuring charges +5; CIQ: Costs related to identified operating efficiencies primarily related to restructuring +20; CORP: Restructuring charges +9</t>
      </text>
    </comment>
    <comment ref="T176" authorId="0" shapeId="0">
      <text>
        <t>Company items (2015): RAT: Restructuring charges +13; CIQ: Costs related to identified operating efficiencies primarily related to restructuring +32; CC: Restructuring charges +1</t>
      </text>
    </comment>
    <comment ref="V176" authorId="0" shapeId="0">
      <text>
        <t>Company items (Q2-16): RAT: Restructuring charges +6</t>
      </text>
    </comment>
    <comment ref="Y176" authorId="0" shapeId="0">
      <text>
        <t>Company items (2016): RAT: Restructuring charges +6</t>
      </text>
    </comment>
    <comment ref="AA176" authorId="0" shapeId="0">
      <text>
        <t>Company items (Q2-17): MCI: Employee severance charges +5</t>
      </text>
    </comment>
    <comment ref="AB176" authorId="0" shapeId="0">
      <text>
        <t>Company items (Q3-17): RAT: Employee severance charges +15; CORP: Employee severance charges +4</t>
      </text>
    </comment>
    <comment ref="AC176" authorId="0" shapeId="0">
      <text>
        <t>Company items (Q4-17): RAT: Employee severance charges +10; MCI: Employee severance charges +3; CORP: Employee severance charges +5</t>
      </text>
    </comment>
    <comment ref="AD176" authorId="0" shapeId="0">
      <text>
        <t>Company items (2017): RAT: Employee severance charges +25; MCI: Employee severance charges +9; CORP: Employee severance charges +10</t>
      </text>
    </comment>
    <comment ref="AG176" authorId="0" shapeId="0">
      <text>
        <t>Company items (Q3-18): MI: Restructuring charges related to a business disposition and employee severance charges +2; CORP: Employee severance charges +7</t>
      </text>
    </comment>
    <comment ref="AH176" authorId="0" shapeId="0">
      <text>
        <t>Company items (Q4-18): RAT: Employee severance charges +8; MI: Employee severance charges +5; CORP: Employee severance charges +3</t>
      </text>
    </comment>
    <comment ref="AI176" authorId="0" shapeId="0">
      <text>
        <t>Company items (2018): RAT: Employee severance charges +8; MI: Restructuring charges related to a business disposition and employee severance charges +7; CORP: Employee severance charges +10</t>
      </text>
    </comment>
    <comment ref="AK176" authorId="0" shapeId="0">
      <text>
        <t>Company items (Q2-19): RAT: Employee severance charges +11; MI: Employee severance charges +1; CI: Employee severance charges +1; CORP: Employee severance charges +7</t>
      </text>
    </comment>
    <comment ref="AM176" authorId="0" shapeId="0">
      <text>
        <t>Company items (Q4-19): MI: Employee severance charges +4; CORP: Employee severance charges +1</t>
      </text>
    </comment>
    <comment ref="AN176" authorId="0" shapeId="0">
      <text>
        <t>Company items (2019): RAT: Employee severance charges +11; MI: Employee severance charges +6; CI: Employee severance charges +1; CORP: Employee severance charges +7</t>
      </text>
    </comment>
    <comment ref="AO176" authorId="0" shapeId="0">
      <text>
        <t>Company items (Q1-20): MI: Employee severance charges +2; CORP: Employee severance charges +7</t>
      </text>
    </comment>
    <comment ref="AP176" authorId="0" shapeId="0">
      <text>
        <t>Company items (Q2-20): CORP: Employee severance charges +3</t>
      </text>
    </comment>
    <comment ref="AR176" authorId="0" shapeId="0">
      <text>
        <t>Company items (Q4-20): RAT: Employee severance charges +4; MI: Employee severance charges +26; CI: Employee severance charges +11; IDX: Employee severance charges +5; CORP: Employee severance charges +9</t>
      </text>
    </comment>
    <comment ref="AS176" authorId="0" shapeId="0">
      <text>
        <t>Company items (2020): RAT: Employee severance charges +4; MI: Employee severance charges +27; CI: Employee severance charges +11; IDX: Employee severance charges +5; CORP: Employee severance charges +19</t>
      </text>
    </comment>
    <comment ref="AW176" authorId="0" shapeId="0">
      <text>
        <t>Company items (Q4-21): RAT: Employee severance charges +3; MI: Employee severance charges +3; CORP: Employee severance charges +13</t>
      </text>
    </comment>
    <comment ref="AX176" authorId="0" shapeId="0">
      <text>
        <t>Company items (2021): RAT: Employee severance charges +3; MI: Employee severance charges +3; CORP: Employee severance charges +13</t>
      </text>
    </comment>
    <comment ref="AY176" authorId="0" shapeId="0">
      <text>
        <t>Company items (Q1-22): MI: Employee severance charges +18; RAT: Employee severance charges +5; CI: Employee severance charges +7; IDX: Employee severance charges +2; ES: Employee severance charges +1; CORP: Employee severance charges +46</t>
      </text>
    </comment>
    <comment ref="AZ176" authorId="0" shapeId="0">
      <text>
        <t>Company items (Q2-22): MI: Employee severance charges +13; RAT: Employee severance charges +7; CI: Employee severance charges +17; MOB: Employee severance charges +2; IDX: Employee severance charges +2; ES: Employee severance charges +1; CORP: Employee severance charges +18</t>
      </text>
    </comment>
    <comment ref="BA176" authorId="0" shapeId="0">
      <text>
        <t>Company items (Q3-22): MI: Employee severance charges +13; RAT: Employee severance charges +2; CI: Employee severance charges +14; MOB: Employee severance charges +1; IDX: Employee severance charges +1; ES: Employee severance charges +2; CORP: Employee severance charges +23</t>
      </text>
    </comment>
    <comment ref="BB176" authorId="0" shapeId="0">
      <text>
        <t>Company items (Q4-22): MI: Employee severance charges +46; RAT: Employee severance charges +11; CI: Employee severance charges +7; MOB: Employee severance charges +1; IDX: Employee severance charges +10; CORP: Employee severance charges +20</t>
      </text>
    </comment>
    <comment ref="BC176" authorId="0" shapeId="0">
      <text>
        <t>Company items (2022): FY2022 = sum of the quarters (adjusted measures for the year were published only pro forma for IHS Markit)</t>
      </text>
    </comment>
    <comment ref="BD176" authorId="0" shapeId="0">
      <text>
        <t>Company items (Q1-23): MI: Employee severance charges +6; RAT: Employee severance charges +1; CI: Employee severance charges +2; IDX: Employee severance charges +1; CORP: Employee severance charges +1</t>
      </text>
    </comment>
    <comment ref="BE176" authorId="0" shapeId="0">
      <text>
        <t>Company items (Q2-23): MI: Employee severance charges +16; RAT: Employee severance charges +4; CI: Employee severance charges +14; MOB: Employee severance charges +3; IDX: Employee severance charges +2; CORP: Employee severance charges +12</t>
      </text>
    </comment>
    <comment ref="BF176" authorId="0" shapeId="0">
      <text>
        <t>Company items (Q3-23): MI: Employee severance charges +19; RAT: Employee severance charges +2; CI: Employee severance charges +7; MOB: Employee severance charges +3; IDX: Employee severance charges +1; CORP: Employee severance charges +6</t>
      </text>
    </comment>
    <comment ref="BG176" authorId="0" shapeId="0">
      <text>
        <t>Company items (Q4-23): MI: Employee severance charges +49; RAT: Employee severance charges +2; CI: Employee severance charges +4; MOB: Employee severance charges +3; IDX: Employee severance charges +2; CORP: Employee severance charges +23</t>
      </text>
    </comment>
    <comment ref="BH176" authorId="0" shapeId="0">
      <text>
        <t>Company items (2023): MI: Employee severance charges +90; RAT: Employee severance charges +10; CI: Employee severance charges +26; MOB: Employee severance charges +9; IDX: Employee severance charges +5; CORP: Employee severance charges +43</t>
      </text>
    </comment>
    <comment ref="BI176" authorId="0" shapeId="0">
      <text>
        <t>Company items (Q1-24): MI: Employee severance charges +31; RAT: Employee severance charges +2; IDX: Employee severance charges +1; CORP: Employee severance charges +2</t>
      </text>
    </comment>
    <comment ref="BJ176" authorId="0" shapeId="0">
      <text>
        <t>Company items (Q2-24): MI: Employee severance charges +4; MOB: Employee severance charges +6</t>
      </text>
    </comment>
    <comment ref="BK176" authorId="0" shapeId="0">
      <text>
        <t>Company items (Q3-24): CI: Employee severance charges +4</t>
      </text>
    </comment>
    <comment ref="BL176" authorId="0" shapeId="0">
      <text>
        <t>Company items (Q4-24): MI: Employee severance charges +42; MI: Executive Leadership Team transition costs +3; RAT: Employee severance charges +3; CI: Employee severance charges +9; CORP: Employee severance charges +22; CORP: Executive Leadership Team transition costs +5</t>
      </text>
    </comment>
    <comment ref="BM176" authorId="0" shapeId="0">
      <text>
        <t>Company items (2024): MI: Employee severance charges +77; MI: Executive Leadership Team transition costs +3; RAT: Employee severance charges +5; CI: Employee severance charges +13; MOB: Employee severance charges +7; IDX: Employee severance charges +1; CORP: Employee severance charges +24; CORP: Executive Leadership Team transition costs +5</t>
      </text>
    </comment>
    <comment ref="BN176" authorId="0" shapeId="0">
      <text>
        <t>Company items (Q1-25): MI: Employee severance charges +14; MI: Executive Leadership Team transition costs +4; RAT: Employee severance charges +2; CI: Employee severance charges +6; CORP: Employee severance charges +10; CORP: Executive Leadership Team transition costs +8</t>
      </text>
    </comment>
    <comment ref="BO176" authorId="0" shapeId="0">
      <text>
        <t>Company items (Q2-25): MI: Employee severance charges +19; RAT: Employee severance charges +8; CI: Employee severance charges +4; CORP: Employee severance charges +12; CORP: Executive Leadership Team transition costs +5</t>
      </text>
    </comment>
    <comment ref="BP176" authorId="0" shapeId="0">
      <text>
        <t>Company items (Q3-25): MI: Employee severance charges +11; MI: Executive Leadership Team transition costs +1; IDX: Employee severance charges +1; CORP: Executive Leadership Team transition costs +9; CORP: Employee severance charges +5</t>
      </text>
    </comment>
    <comment ref="BQ176" authorId="0" shapeId="0">
      <text>
        <t>Company items (Q4-25): MI: Employee severance charges +12; RAT: Employee severance charges +6; CI: Employee severance charges +9; IDX: Employee severance charges +3; CORP: Employee severance charges +19; CORP: Executive Leadership Team transition costs +18</t>
      </text>
    </comment>
    <comment ref="BR176" authorId="0" shapeId="0">
      <text>
        <t>Company items (2025): MI: Employee severance charges +56; MI: Executive Leadership Team transition costs +5; RAT: Employee severance charges +17; CI: Employee severance charges +19; IDX: Employee severance charges +4; CORP: Employee severance charges +47; CORP: Executive Leadership Team transition costs +41</t>
      </text>
    </comment>
    <comment ref="BS176" authorId="0" shapeId="0">
      <text>
        <t>Company items (Q1-26): IDX: Employee-related costs +1</t>
      </text>
    </comment>
    <comment ref="BT176" authorId="0" shapeId="0">
      <text>
        <t>Company items (Q2-26): RAT: Employee severance charges +8; IDX: Employee severance charges +1; IDX: Employee-related costs +1; CI: Employee severance charges +8; MI: Employee severance charges +15; CORP: Employee severance charges +11</t>
      </text>
    </comment>
    <comment ref="E177" authorId="0" shapeId="0">
      <text>
        <t>Company items (2012): IDX: S&amp;P Dow Jones Indices LLC joint venture transaction costs and restructuring charges +22</t>
      </text>
    </comment>
    <comment ref="M177" authorId="0" shapeId="0">
      <text>
        <t>Company items (Q3-14): IDX: Professional fees largely related to corporate development activities (S&amp;P Dow Jones Indices) +4</t>
      </text>
    </comment>
    <comment ref="O177" authorId="0" shapeId="0">
      <text>
        <t>Company items (2014): IDX: Professional fees largely related to corporate development activities (S&amp;P Dow Jones Indices) +4</t>
      </text>
    </comment>
    <comment ref="R177" authorId="0" shapeId="0">
      <text>
        <t>Company items (Q3-15): CIQ: Acquisition-related costs related to the acquisition of SNL +32</t>
      </text>
    </comment>
    <comment ref="S177" authorId="0" shapeId="0">
      <text>
        <t>Company items (Q4-15): CIQ: Acquisition-related costs +6</t>
      </text>
    </comment>
    <comment ref="T177" authorId="0" shapeId="0">
      <text>
        <t>Company items (2015): CIQ: Acquisition-related costs +37</t>
      </text>
    </comment>
    <comment ref="W177" authorId="0" shapeId="0">
      <text>
        <t>Company items (Q3-16): MI: Acquisition-related cost +1</t>
      </text>
    </comment>
    <comment ref="Y177" authorId="0" shapeId="0">
      <text>
        <t>Company items (2016): MCI: Acquisition-related cost +1</t>
      </text>
    </comment>
    <comment ref="AF177" authorId="0" shapeId="0">
      <text>
        <t>Company items (Q2-18): CORP: Kensho retention related expense +12</t>
      </text>
    </comment>
    <comment ref="AG177" authorId="0" shapeId="0">
      <text>
        <t>Company items (Q3-18): CORP: Kensho retention related expense +11</t>
      </text>
    </comment>
    <comment ref="AH177" authorId="0" shapeId="0">
      <text>
        <t>Company items (Q4-18): CORP: Kensho retention related expense +9</t>
      </text>
    </comment>
    <comment ref="AI177" authorId="0" shapeId="0">
      <text>
        <t>Company items (2018): CORP: Kensho retention related expense +31</t>
      </text>
    </comment>
    <comment ref="AJ177" authorId="0" shapeId="0">
      <text>
        <t>Company items (Q1-19): CORP: Kensho retention related expense +7</t>
      </text>
    </comment>
    <comment ref="AK177" authorId="0" shapeId="0">
      <text>
        <t>Company items (Q2-19): CORP: Kensho retention related expense +5</t>
      </text>
    </comment>
    <comment ref="AL177" authorId="0" shapeId="0">
      <text>
        <t>Company items (Q3-19): CORP: Kensho retention related expense +6</t>
      </text>
    </comment>
    <comment ref="AM177" authorId="0" shapeId="0">
      <text>
        <t>Company items (Q4-19): MI: Acquisition-related costs +4; CORP: Kensho retention related expense +4</t>
      </text>
    </comment>
    <comment ref="AN177" authorId="0" shapeId="0">
      <text>
        <t>Company items (2019): MI: Acquisition-related costs +4; CORP: Kensho retention related expense +21</t>
      </text>
    </comment>
    <comment ref="AO177" authorId="0" shapeId="0">
      <text>
        <t>Company items (Q1-20): CORP: Kensho retention related expense +5</t>
      </text>
    </comment>
    <comment ref="AP177" authorId="0" shapeId="0">
      <text>
        <t>Company items (Q2-20): CORP: Kensho retention related expense +2</t>
      </text>
    </comment>
    <comment ref="AQ177" authorId="0" shapeId="0">
      <text>
        <t>Company items (Q3-20): CORP: Kensho retention related expense +2</t>
      </text>
    </comment>
    <comment ref="AR177" authorId="0" shapeId="0">
      <text>
        <t>Company items (Q4-20): CORP: Kensho retention related expense +2; CORP: IHS Markit merger costs +24</t>
      </text>
    </comment>
    <comment ref="AS177" authorId="0" shapeId="0">
      <text>
        <t>Company items (2020): CORP: Kensho retention related expense +12; CORP: IHS Markit merger costs +24</t>
      </text>
    </comment>
    <comment ref="AT177" authorId="0" shapeId="0">
      <text>
        <t>Company items (Q1-21): CORP: IHS Markit merger costs +49; CORP: Kensho retention related expense +2</t>
      </text>
    </comment>
    <comment ref="AU177" authorId="0" shapeId="0">
      <text>
        <t>Company items (Q2-21): CORP: IHS Markit merger costs +50</t>
      </text>
    </comment>
    <comment ref="AV177" authorId="0" shapeId="0">
      <text>
        <t>Company items (Q3-21): CORP: IHS Markit merger costs +54</t>
      </text>
    </comment>
    <comment ref="AW177" authorId="0" shapeId="0">
      <text>
        <t>Company items (Q4-21): MI: Acquisition-related costs +2; CORP: IHS Markit merger costs +96; CORP: Acquisition-related costs +2</t>
      </text>
    </comment>
    <comment ref="AX177" authorId="0" shapeId="0">
      <text>
        <t>Company items (2021): MI: Acquisition-related costs +2; CORP: IHS Markit merger costs +249; CORP: Acquisition-related costs +2; CORP: Kensho retention related expense +2</t>
      </text>
    </comment>
    <comment ref="AY177" authorId="0" shapeId="0">
      <text>
        <t>Company items (Q1-22): MI: Acquisition-related costs +2; CI: Acquisition-related costs +2; MOB: Acquisition-related costs +1; CORP: IHS Markit merger costs +230; CORP: Acquisition-related costs +11</t>
      </text>
    </comment>
    <comment ref="AZ177" authorId="0" shapeId="0">
      <text>
        <t>Company items (Q2-22): MI: IHS Markit merger costs +12; MI: Acquisition-related costs +1; CI: IHS Markit merger costs +4; MOB: Acquisition-related costs +3; MOB: IHS Markit merger costs +1; IDX: IHS Markit merger costs +1; CORP: IHS Markit merger costs +117; CORP: Acquisition-related costs +4</t>
      </text>
    </comment>
    <comment ref="BA177" authorId="0" shapeId="0">
      <text>
        <t>Company items (Q3-22): MI: IHS Markit merger costs +6; MI: Acquisition-related costs +1; CI: IHS Markit merger costs +10; MOB: Acquisition-related benefit -19; IDX: IHS Markit merger costs +1; CORP: IHS Markit merger costs +127; CORP: Acquisition-related costs +1</t>
      </text>
    </comment>
    <comment ref="BB177" authorId="0" shapeId="0">
      <text>
        <t>Company items (Q4-22): MI: IHS Markit merger costs +14; CI: IHS Markit merger costs +10; MOB: IHS Markit merger costs +2; MOB: Acquisition-related cost +1; CORP: IHS Markit merger costs +69; CORP: Acquisition-related costs +1</t>
      </text>
    </comment>
    <comment ref="BC177" authorId="0" shapeId="0">
      <text>
        <t>Company items (2022): FY2022 = sum of the quarters (adjusted measures for the year were published only pro forma for IHS Markit)</t>
      </text>
    </comment>
    <comment ref="BD177" authorId="0" shapeId="0">
      <text>
        <t>Company items (Q1-23): MI: IHS Markit merger costs +13; CI: IHS Markit merger costs +13; MOB: IHS Markit merger costs +1; MOB: Acquisition-related costs +1; IDX: IHS Markit merger costs +1; CORP: IHS Markit merger costs +37; CORP: Acquisition-related costs +1</t>
      </text>
    </comment>
    <comment ref="BE177" authorId="0" shapeId="0">
      <text>
        <t>Company items (Q2-23): MI: IHS Markit merger costs +12; CI: IHS Markit merger costs +8; MOB: Acquisition-related costs +1; IDX: IHS Markit merger costs +1; CORP: IHS Markit merger costs +30; CORP: Acquisition-related costs +1</t>
      </text>
    </comment>
    <comment ref="BF177" authorId="0" shapeId="0">
      <text>
        <t>Company items (Q3-23): MI: IHS Markit merger costs +11; CI: IHS Markit merger costs +8; MOB: IHS Markit merger costs +1; MOB: Acquisition-related costs +1; IDX: IHS Markit merger costs +1; CORP: IHS Markit merger costs +37; CORP: Acquisition-related costs +1</t>
      </text>
    </comment>
    <comment ref="BG177" authorId="0" shapeId="0">
      <text>
        <t>Company items (Q4-23): MI: Acquisition-related costs +69; MI: IHS Markit merger costs +12; CI: IHS Markit merger costs +6; CI: Acquisition-related costs +2; MOB: IHS Markit merger costs +1; MOB: Acquisition-related costs +1; IDX: IHS Markit merger costs +1; CORP: IHS Markit merger costs +43; CORP: Acquisition-related costs +1</t>
      </text>
    </comment>
    <comment ref="BH177" authorId="0" shapeId="0">
      <text>
        <t>Company items (2023): MI: Acquisition-related costs +69; MI: IHS Markit merger costs +49; CI: IHS Markit merger costs +35; CI: Acquisition-related costs +2; MOB: IHS Markit merger costs +3; MOB: Acquisition-related costs +2; IDX: IHS Markit merger costs +4; CORP: IHS Markit merger costs +147; CORP: Acquisition-related costs +4</t>
      </text>
    </comment>
    <comment ref="BI177" authorId="0" shapeId="0">
      <text>
        <t>Company items (Q1-24): MI: IHS Markit merger costs +11; MI: Acquisition-related costs +3; CI: IHS Markit merger costs +5; MOB: IHS Markit merger costs +1; IDX: IHS Markit merger costs +1; CORP: IHS Markit merger costs +18; CORP: Acquisition-related costs +1</t>
      </text>
    </comment>
    <comment ref="BJ177" authorId="0" shapeId="0">
      <text>
        <t>Company items (Q2-24): MI: Net acquisition-related benefit -11; MI: IHS Markit merger costs +9; CI: IHS Markit merger costs +5; MOB: IHS Markit merger costs +1; MOB: Acquisition-related costs +1; IDX: IHS Markit merger costs +2; CORP: IHS Markit merger costs +20; CORP: Acquisition-related costs +6</t>
      </text>
    </comment>
    <comment ref="BK177" authorId="0" shapeId="0">
      <text>
        <t>Company items (Q3-24): MI: IHS Markit merger costs +10; CI: IHS Markit merger costs +2; MOB: IHS Markit merger costs +1; IDX: IHS Markit merger costs +1; CORP: IHS Markit merger costs +16; CORP: Acquisition-related costs +2</t>
      </text>
    </comment>
    <comment ref="BL177" authorId="0" shapeId="0">
      <text>
        <t>Company items (Q4-24): MI: IHS Markit merger costs +7; MI: Net acquisition-related benefit -4; CI: IHS Markit merger costs +1; MOB: IHS Markit merger costs +1; MOB: Acquisition-related costs +1; CORP: IHS Markit merger costs +21; CORP: Net acquisition-related benefit -1</t>
      </text>
    </comment>
    <comment ref="BM177" authorId="0" shapeId="0">
      <text>
        <t>Company items (2024): MI: IHS Markit merger costs +36; MI: Net acquisition-related benefit -12; CI: IHS Markit merger costs +14; MOB: IHS Markit merger costs +4; MOB: Acquisition-related costs +2; IDX: IHS Markit merger costs +4; CORP: IHS Markit merger costs +75; CORP: Net acquisition-related cost +8</t>
      </text>
    </comment>
    <comment ref="BN177" authorId="0" shapeId="0">
      <text>
        <t>Company items (Q1-25): MI: Acquisition-related costs +7; CORP: Acquisition-related costs +2</t>
      </text>
    </comment>
    <comment ref="BO177" authorId="0" shapeId="0">
      <text>
        <t>Company items (Q2-25): MI: Acquisition-related costs +4; CORP: Acquisition-related costs +1</t>
      </text>
    </comment>
    <comment ref="BP177" authorId="0" shapeId="0">
      <text>
        <t>Company items (Q3-25): MI: Acquisition-related costs +2; IDX: Acquisition-related costs +1; CORP: Acquisition-related costs +14</t>
      </text>
    </comment>
    <comment ref="BQ177" authorId="0" shapeId="0">
      <text>
        <t>Company items (Q4-25): MI: Acquisition-related costs +8; CORP: Acquisition-related costs +20</t>
      </text>
    </comment>
    <comment ref="BR177" authorId="0" shapeId="0">
      <text>
        <t>Company items (2025): MI: Acquisition-related costs +21; IDX: Acquisition-related costs +1; CORP: Acquisition-related costs +25</t>
      </text>
    </comment>
    <comment ref="BS177" authorId="0" shapeId="0">
      <text>
        <t>Company items (Q1-26): MI: Acquisition-related costs +9; CI: Acquisition-related costs +1; IDX: Acquisition-related costs +1</t>
      </text>
    </comment>
    <comment ref="BT177" authorId="0" shapeId="0">
      <text>
        <t>Company items (Q2-26): CI: Acquisition-related costs +3; MI: Acquisition-related costs +2; CORP: Acquisition-related costs +1</t>
      </text>
    </comment>
    <comment ref="D178" authorId="0" shapeId="0">
      <text>
        <t>Company items (2011): CORP: Growth and Value Plan costs within unallocated expense +10</t>
      </text>
    </comment>
    <comment ref="E178" authorId="0" shapeId="0">
      <text>
        <t>Company items (2012): CORP: Growth and Value Plan related costs in unallocated expense (professional fees and restructuring to enable separation; computed 104 + 52) +156</t>
      </text>
    </comment>
    <comment ref="F178" authorId="0" shapeId="0">
      <text>
        <t>Company items (Q1-13): CORP: Costs necessary to enable the separation of MHE (professional fees and other non-recurring costs) +44</t>
      </text>
    </comment>
    <comment ref="G178" authorId="0" shapeId="0">
      <text>
        <t>Company items (Q2-13): CORP: Remaining Growth and Value Plan costs to enable the separation of MHE (professional fees and outsourcing) +10</t>
      </text>
    </comment>
    <comment ref="H178" authorId="0" shapeId="0">
      <text>
        <t>Company items (Q3-13): CORP: Growth and Value Plan related costs (professional fees, restructuring and other non-recurring costs) +9</t>
      </text>
    </comment>
    <comment ref="J178" authorId="0" shapeId="0">
      <text>
        <t>Company items (2013): CORP: Growth and Value Plan costs to enable the separation of MHE (computed residual) +64</t>
      </text>
    </comment>
    <comment ref="U178" authorId="0" shapeId="0">
      <text>
        <t>Company items (Q1-16): CC: Disposition-related costs +3</t>
      </text>
    </comment>
    <comment ref="V178" authorId="0" shapeId="0">
      <text>
        <t>Company items (Q2-16): MI: Disposition-related costs +8; CI: Disposition-related costs +2; CORP: Disposition-related reserve release -3</t>
      </text>
    </comment>
    <comment ref="W178" authorId="0" shapeId="0">
      <text>
        <t>Company items (Q3-16): MI: Disposition-related costs +5; CI: Disposition-related costs +1</t>
      </text>
    </comment>
    <comment ref="X178" authorId="0" shapeId="0">
      <text>
        <t>Company items (Q4-16): MCI: Disposition-related costs +31</t>
      </text>
    </comment>
    <comment ref="Y178" authorId="0" shapeId="0">
      <text>
        <t>Company items (2016): MCI: Disposition-related costs +48; CORP: Disposition-related reserve release -3</t>
      </text>
    </comment>
    <comment ref="BB178" authorId="0" shapeId="0">
      <text>
        <t>Company items (Q4-22): CORP: Disposition-related costs +24</t>
      </text>
    </comment>
    <comment ref="BC178" authorId="0" shapeId="0">
      <text>
        <t>Company items (2022): FY2022 = sum of the quarters (adjusted measures for the year were published only pro forma for IHS Markit)</t>
      </text>
    </comment>
    <comment ref="BD178" authorId="0" shapeId="0">
      <text>
        <t>Company items (Q1-23): CORP: Disposition-related costs +13</t>
      </text>
    </comment>
    <comment ref="BE178" authorId="0" shapeId="0">
      <text>
        <t>Company items (Q2-23): CORP: Disposition-related costs +3</t>
      </text>
    </comment>
    <comment ref="BF178" authorId="0" shapeId="0">
      <text>
        <t>Company items (Q3-23): CORP: Disposition-related costs +3</t>
      </text>
    </comment>
    <comment ref="BG178" authorId="0" shapeId="0">
      <text>
        <t>Company items (Q4-23): CORP: Disposition-related costs +5</t>
      </text>
    </comment>
    <comment ref="BH178" authorId="0" shapeId="0">
      <text>
        <t>Company items (2023): CORP: Disposition-related costs +24</t>
      </text>
    </comment>
    <comment ref="BJ178" authorId="0" shapeId="0">
      <text>
        <t>Company items (Q2-24): CI: Disposition-related costs +1; CORP: Disposition-related costs +2</t>
      </text>
    </comment>
    <comment ref="BL178" authorId="0" shapeId="0">
      <text>
        <t>Company items (Q4-24): CORP: Disposition-related costs +6</t>
      </text>
    </comment>
    <comment ref="BM178" authorId="0" shapeId="0">
      <text>
        <t>Company items (2024): CI: Disposition-related costs +1; CORP: Disposition-related costs +8</t>
      </text>
    </comment>
    <comment ref="BN178" authorId="0" shapeId="0">
      <text>
        <t>Company items (Q1-25): MI: Disposition-related costs +1</t>
      </text>
    </comment>
    <comment ref="BO178" authorId="0" shapeId="0">
      <text>
        <t>Company items (Q2-25): MI: Disposition related costs +2; CORP: Disposition-related costs +9</t>
      </text>
    </comment>
    <comment ref="BP178" authorId="0" shapeId="0">
      <text>
        <t>Company items (Q3-25): MI: Disposition-related costs +4; CORP: Disposition-related costs +4</t>
      </text>
    </comment>
    <comment ref="BQ178" authorId="0" shapeId="0">
      <text>
        <t>Company items (Q4-25): MI: Disposition-related costs +4; CORP: Disposition-related costs +50</t>
      </text>
    </comment>
    <comment ref="BR178" authorId="0" shapeId="0">
      <text>
        <t>Company items (2025): MI: Disposition-related costs +10; CORP: Disposition-related costs +74</t>
      </text>
    </comment>
    <comment ref="BS178" authorId="0" shapeId="0">
      <text>
        <t>Company items (Q1-26): MI: Disposition-related costs +3; CI: Disposition-related costs +1; CORP: Disposition-related costs +23</t>
      </text>
    </comment>
    <comment ref="BT178" authorId="0" shapeId="0">
      <text>
        <t>Company items (Q2-26): CI: Disposition-related costs +2; MI: Disposition-related costs +1; CORP: Disposition-related costs +56</t>
      </text>
    </comment>
    <comment ref="H179" authorId="0" shapeId="0">
      <text>
        <t>Company items (Q3-13): RAT: Gain on the sale of an equity investment held by CRISIL (India Index Services) -16; CIQ: Loss on the sale of Financial Communications and restructuring charges +5; CC: Gain on the sale of Aviation Week and restructuring charges -9</t>
      </text>
    </comment>
    <comment ref="J179" authorId="0" shapeId="0">
      <text>
        <t>Company items (2013): RAT: Gain on sale of an equity investment held by CRISIL, net of Q4 restructuring charges -6; CIQ: Loss on the sale of Financial Communications and restructuring charges +12; CC: Gain on the sale of Aviation Week, net of restructuring charges -1</t>
      </text>
    </comment>
    <comment ref="Q179" authorId="0" shapeId="0">
      <text>
        <t>Company items (Q2-15): CORP: Gain on the sale of our interest in a legacy McGraw Hill Construction investment -11</t>
      </text>
    </comment>
    <comment ref="T179" authorId="0" shapeId="0">
      <text>
        <t>Company items (2015): CORP: Gain on the sale of our interest in a legacy McGraw Hill Construction investment -11</t>
      </text>
    </comment>
    <comment ref="W179" authorId="0" shapeId="0">
      <text>
        <t>Company items (Q3-16): CI: Gain on the sale of J.D. Power -722</t>
      </text>
    </comment>
    <comment ref="X179" authorId="0" shapeId="0">
      <text>
        <t>Company items (Q4-16): MCI: Gain on sale of Standard &amp; Poor's Securities Evaluations, Inc. and Credit Market Analysis -364; MCI: Gain on sale of Equity Research -9; MCI: Gain on sale of J.D. Power -6</t>
      </text>
    </comment>
    <comment ref="Y179" authorId="0" shapeId="0">
      <text>
        <t>Company items (2016): MCI: Gain on sale of J.D. Power -728; MCI: Gain on sale of Standard &amp; Poor's Securities Evaluations, Inc. and Credit Market Analysis -364; MCI: Gain on sale of Equity Research -9</t>
      </text>
    </comment>
    <comment ref="AL179" authorId="0" shapeId="0">
      <text>
        <t>Company items (Q3-19): MI: Gain on the sale of SPIAS -22; CI: Gain on the sale of RigData -27</t>
      </text>
    </comment>
    <comment ref="AN179" authorId="0" shapeId="0">
      <text>
        <t>Company items (2019): MI: Gain on the sale of SPIAS -22; CI: Gain on the sale of RigData -27</t>
      </text>
    </comment>
    <comment ref="AO179" authorId="0" shapeId="0">
      <text>
        <t>Company items (Q1-20): MI: Gain on the sale of Investor Relations -7</t>
      </text>
    </comment>
    <comment ref="AP179" authorId="0" shapeId="0">
      <text>
        <t>Company items (Q2-20): MI: Gain on disposition -1</t>
      </text>
    </comment>
    <comment ref="AQ179" authorId="0" shapeId="0">
      <text>
        <t>Company items (Q3-20): MI: Gain on dispositions -4; CORP: Gain on disposition -4</t>
      </text>
    </comment>
    <comment ref="AS179" authorId="0" shapeId="0">
      <text>
        <t>Company items (2020): MI: Gain on disposition -12; CORP: Gain on disposition -4</t>
      </text>
    </comment>
    <comment ref="AT179" authorId="0" shapeId="0">
      <text>
        <t>Company items (Q1-21): MI: Gain on disposition -2</t>
      </text>
    </comment>
    <comment ref="AV179" authorId="0" shapeId="0">
      <text>
        <t>Company items (Q3-21): CORP: Gain on disposition -3</t>
      </text>
    </comment>
    <comment ref="AW179" authorId="0" shapeId="0">
      <text>
        <t>Company items (Q4-21): RAT: Gain on disposition -6; MI: Gain on disposition -1</t>
      </text>
    </comment>
    <comment ref="AX179" authorId="0" shapeId="0">
      <text>
        <t>Company items (2021): RAT: Gain on disposition -6; MI: Gain on disposition -3; CORP: Gain on disposition -2</t>
      </text>
    </comment>
    <comment ref="AY179" authorId="0" shapeId="0">
      <text>
        <t>Company items (Q1-22): MI: Gain on disposition -1344</t>
      </text>
    </comment>
    <comment ref="AZ179" authorId="0" shapeId="0">
      <text>
        <t>Company items (Q2-22): MI: Gain on dispositions -518; IDX: Gain on disposition -38</t>
      </text>
    </comment>
    <comment ref="BA179" authorId="0" shapeId="0">
      <text>
        <t>Company items (Q3-22): MI: Loss on dispositions +17; IDX: Gain on disposition -14</t>
      </text>
    </comment>
    <comment ref="BB179" authorId="0" shapeId="0">
      <text>
        <t>Company items (Q4-22): MI: Gain on dispositions -1</t>
      </text>
    </comment>
    <comment ref="BC179" authorId="0" shapeId="0">
      <text>
        <t>Company items (2022): FY2022 = sum of the quarters (adjusted measures for the year were published only pro forma for IHS Markit)</t>
      </text>
    </comment>
    <comment ref="BD179" authorId="0" shapeId="0">
      <text>
        <t>Company items (Q1-23): MI: Gain on dispositions -46; IDX: Gain on disposition -4</t>
      </text>
    </comment>
    <comment ref="BE179" authorId="0" shapeId="0">
      <text>
        <t>Company items (Q2-23): CORP: Loss on disposition +120</t>
      </text>
    </comment>
    <comment ref="BH179" authorId="0" shapeId="0">
      <text>
        <t>Company items (2023): MI: Gain on disposition -46; IDX: Gain on disposition -4; CORP: Loss on disposition +120</t>
      </text>
    </comment>
    <comment ref="BJ179" authorId="0" shapeId="0">
      <text>
        <t>Company items (Q2-24): IDX: Loss on disposition +1; CORP: Gain on disposition -2</t>
      </text>
    </comment>
    <comment ref="BK179" authorId="0" shapeId="0">
      <text>
        <t>Company items (Q3-24): MI: Gain on disposition -21</t>
      </text>
    </comment>
    <comment ref="BL179" authorId="0" shapeId="0">
      <text>
        <t>Company items (Q4-24): MI: Gain on dispositions -38</t>
      </text>
    </comment>
    <comment ref="BM179" authorId="0" shapeId="0">
      <text>
        <t>Company items (2024): MI: Gain on dispositions -59; IDX: Loss on disposition +1; CORP: Gain on disposition -2</t>
      </text>
    </comment>
    <comment ref="BO179" authorId="0" shapeId="0">
      <text>
        <t>Company items (Q2-25): MI: Gain on disposition -3</t>
      </text>
    </comment>
    <comment ref="BQ179" authorId="0" shapeId="0">
      <text>
        <t>Company items (Q4-25): CORP: Gain on disposition -270</t>
      </text>
    </comment>
    <comment ref="BR179" authorId="0" shapeId="0">
      <text>
        <t>Company items (2025): MI: Gain on disposition -3; CORP: Gain on disposition -270</t>
      </text>
    </comment>
    <comment ref="BS179" authorId="0" shapeId="0">
      <text>
        <t>Company items (Q1-26): MI: Gain on disposition -172; CORP: Gain on disposition -3</t>
      </text>
    </comment>
    <comment ref="BT179" authorId="0" shapeId="0">
      <text>
        <t>Company items (Q2-26): CORP: Gain on disposition -11</t>
      </text>
    </comment>
    <comment ref="F180" authorId="0" shapeId="0">
      <text>
        <t>Company items (Q1-13): CORP: Pre-tax legal settlements (approximately $77 million) +77</t>
      </text>
    </comment>
    <comment ref="J180" authorId="0" shapeId="0">
      <text>
        <t>Company items (2013): CORP: Pre-tax legal settlements (approximately $77 million) +77</t>
      </text>
    </comment>
    <comment ref="M180" authorId="0" shapeId="0">
      <text>
        <t>Company items (Q3-14): RAT: Charge for certain regulatory matters (SEC Wells Notice; NY and MA Attorneys General) +60</t>
      </text>
    </comment>
    <comment ref="N180" authorId="0" shapeId="0">
      <text>
        <t>Company items (Q4-14): RAT: Legal settlement with the U.S. Department of Justice +687.5; RAT: Legal settlement with the Attorneys General of 19 states and the District of Columbia +687.5; RAT: Settlement of the CalPERS lawsuit +125; RAT: Additional charges for settlements with the SEC and the Attorneys General of New York and Massachusetts +17; RAT: Settlements of other private litigation stemming from the financial crisis +35</t>
      </text>
    </comment>
    <comment ref="O180" authorId="0" shapeId="0">
      <text>
        <t>Company items (2014): RAT: Legal and regulatory settlements (Q3 regulatory charge 60 + Q4 settlements 1,552; computed) +1612</t>
      </text>
    </comment>
    <comment ref="P180" authorId="0" shapeId="0">
      <text>
        <t>Company items (Q1-15): RAT: Legal settlement insurance recoveries -35; RAT: Legal settlement charges +29</t>
      </text>
    </comment>
    <comment ref="Q180" authorId="0" shapeId="0">
      <text>
        <t>Company items (Q2-15): RAT: Legal settlement insurance recoveries -45; RAT: Legal settlement charges +4</t>
      </text>
    </comment>
    <comment ref="R180" authorId="0" shapeId="0">
      <text>
        <t>Company items (Q3-15): RAT: Legal settlement charges partially offset by legal settlement insurance recoveries +86</t>
      </text>
    </comment>
    <comment ref="S180" authorId="0" shapeId="0">
      <text>
        <t>Company items (Q4-15): RAT: Legal settlements +15</t>
      </text>
    </comment>
    <comment ref="T180" authorId="0" shapeId="0">
      <text>
        <t>Company items (2015): RAT: Legal settlement charges partially offset by insurance recoveries (net) +54</t>
      </text>
    </comment>
    <comment ref="U180" authorId="0" shapeId="0">
      <text>
        <t>Company items (Q1-16): RAT: Legal settlement insurance recoveries -15; RAT: Legal settlement charges +3</t>
      </text>
    </comment>
    <comment ref="V180" authorId="0" shapeId="0">
      <text>
        <t>Company items (Q2-16): RAT: Legal settlement insurance recoveries -37; RAT: Legal settlement charges +3</t>
      </text>
    </comment>
    <comment ref="W180" authorId="0" shapeId="0">
      <text>
        <t>Company items (Q3-16): RAT: Net legal settlement insurance recoveries -17</t>
      </text>
    </comment>
    <comment ref="X180" authorId="0" shapeId="0">
      <text>
        <t>Company items (Q4-16): RAT: Legal settlement expenses net of legal settlement insurance recoveries +54</t>
      </text>
    </comment>
    <comment ref="Y180" authorId="0" shapeId="0">
      <text>
        <t>Company items (2016): RAT: Net legal settlement insurance recoveries net of legal settlement expenses -10</t>
      </text>
    </comment>
    <comment ref="Z180" authorId="0" shapeId="0">
      <text>
        <t>Company items (Q1-17): RAT: Legal settlement expenses +2</t>
      </text>
    </comment>
    <comment ref="AC180" authorId="0" shapeId="0">
      <text>
        <t>Company items (Q4-17): RAT: Legal settlement expenses +53</t>
      </text>
    </comment>
    <comment ref="AD180" authorId="0" shapeId="0">
      <text>
        <t>Company items (2017): RAT: Legal settlement expenses +55</t>
      </text>
    </comment>
    <comment ref="AF180" authorId="0" shapeId="0">
      <text>
        <t>Company items (Q2-18): RAT: Legal settlement expenses +73</t>
      </text>
    </comment>
    <comment ref="AH180" authorId="0" shapeId="0">
      <text>
        <t>Company items (Q4-18): RAT: Legal settlement expenses +1</t>
      </text>
    </comment>
    <comment ref="AI180" authorId="0" shapeId="0">
      <text>
        <t>Company items (2018): RAT: Legal settlement expenses +74</t>
      </text>
    </comment>
    <comment ref="BB180" authorId="0" shapeId="0">
      <text>
        <t>Company items (Q4-22): RAT: Legal costs +5</t>
      </text>
    </comment>
    <comment ref="BC180" authorId="0" shapeId="0">
      <text>
        <t>Company items (2022): FY2022 = sum of the quarters (adjusted measures for the year were published only pro forma for IHS Markit)</t>
      </text>
    </comment>
    <comment ref="BJ180" authorId="0" shapeId="0">
      <text>
        <t>Company items (Q2-24): RAT: Legal costs +20</t>
      </text>
    </comment>
    <comment ref="BM180" authorId="0" shapeId="0">
      <text>
        <t>Company items (2024): RAT: Legal settlement costs +20</t>
      </text>
    </comment>
    <comment ref="BO180" authorId="0" shapeId="0">
      <text>
        <t>Company items (Q2-25): RAT: Legal costs +27; CORP: Legal costs +2</t>
      </text>
    </comment>
    <comment ref="BP180" authorId="0" shapeId="0">
      <text>
        <t>Company items (Q3-25): RAT: Legal costs +12; CORP: Legal costs +1</t>
      </text>
    </comment>
    <comment ref="BQ180" authorId="0" shapeId="0">
      <text>
        <t>Company items (Q4-25): RAT: Legal costs +3; CORP: Legal costs +3</t>
      </text>
    </comment>
    <comment ref="BR180" authorId="0" shapeId="0">
      <text>
        <t>Company items (2025): RAT: Legal costs +42; CORP: Legal costs +6</t>
      </text>
    </comment>
    <comment ref="I181" authorId="0" shapeId="0">
      <text>
        <t>Company items (Q4-13): CORP: Non-cash impairment charge related to the pending sale of a data center +36</t>
      </text>
    </comment>
    <comment ref="J181" authorId="0" shapeId="0">
      <text>
        <t>Company items (2013): CORP: Non-cash impairment charge related to the pending sale of a data center +36</t>
      </text>
    </comment>
    <comment ref="U181" authorId="0" shapeId="0">
      <text>
        <t>Company items (Q1-16): MI: Technology related impairment charge +24</t>
      </text>
    </comment>
    <comment ref="Y181" authorId="0" shapeId="0">
      <text>
        <t>Company items (2016): MCI: Technology-related impairment charge +24</t>
      </text>
    </comment>
    <comment ref="AA181" authorId="0" shapeId="0">
      <text>
        <t>Company items (Q2-17): MCI: Charge to exit a leased facility +6; MCI: Asset write-off +2</t>
      </text>
    </comment>
    <comment ref="AC181" authorId="0" shapeId="0">
      <text>
        <t>Company items (Q4-17): CORP: Charge to exit leased facilities +19</t>
      </text>
    </comment>
    <comment ref="AD181" authorId="0" shapeId="0">
      <text>
        <t>Company items (2017): MCI: Charge to exit a leased facility +6; MCI: Asset write-off +2; CORP: Charge to exit leased facilities +19</t>
      </text>
    </comment>
    <comment ref="AG181" authorId="0" shapeId="0">
      <text>
        <t>Company items (Q3-18): CORP: Lease impairments +11</t>
      </text>
    </comment>
    <comment ref="AI181" authorId="0" shapeId="0">
      <text>
        <t>Company items (2018): CORP: Lease impairments +11</t>
      </text>
    </comment>
    <comment ref="AK181" authorId="0" shapeId="0">
      <text>
        <t>Company items (Q2-19): CORP: Lease impairments +5</t>
      </text>
    </comment>
    <comment ref="AM181" authorId="0" shapeId="0">
      <text>
        <t>Company items (Q4-19): CORP: Lease impairments +6</t>
      </text>
    </comment>
    <comment ref="AN181" authorId="0" shapeId="0">
      <text>
        <t>Company items (2019): CORP: Lease impairments +11</t>
      </text>
    </comment>
    <comment ref="AQ181" authorId="0" shapeId="0">
      <text>
        <t>Company items (Q3-20): RAT: Technology-related impairment charge +5</t>
      </text>
    </comment>
    <comment ref="AR181" authorId="0" shapeId="0">
      <text>
        <t>Company items (Q4-20): RAT: Technology-related impairment charge +5; IDX: Lease impairment charge +4; IDX: Technology-related impairment +2; CORP: Lease impairments +116</t>
      </text>
    </comment>
    <comment ref="AS181" authorId="0" shapeId="0">
      <text>
        <t>Company items (2020): RAT: Technology-related impairment charge +11; IDX: Lease impairment charge +4; IDX: Technology-related impairment +2; CORP: Lease impairments +116</t>
      </text>
    </comment>
    <comment ref="AU181" authorId="0" shapeId="0">
      <text>
        <t>Company items (Q2-21): CORP: Lease impairment +3</t>
      </text>
    </comment>
    <comment ref="AX181" authorId="0" shapeId="0">
      <text>
        <t>Company items (2021): CORP: Lease impairment +3</t>
      </text>
    </comment>
    <comment ref="AY181" authorId="0" shapeId="0">
      <text>
        <t>Company items (Q1-22): CORP: Lease impairments +5</t>
      </text>
    </comment>
    <comment ref="AZ181" authorId="0" shapeId="0">
      <text>
        <t>Company items (Q2-22): CORP: Asset write-off +3</t>
      </text>
    </comment>
    <comment ref="BA181" authorId="0" shapeId="0">
      <text>
        <t>Company items (Q3-22): CORP: Asset impairment +9</t>
      </text>
    </comment>
    <comment ref="BC181" authorId="0" shapeId="0">
      <text>
        <t>Company items (2022): FY2022 = sum of the quarters (adjusted measures for the year were published only pro forma for IHS Markit)</t>
      </text>
    </comment>
    <comment ref="BE181" authorId="0" shapeId="0">
      <text>
        <t>Company items (Q2-23): MI: Asset impairment +5; CORP: Lease impairments +15</t>
      </text>
    </comment>
    <comment ref="BF181" authorId="0" shapeId="0">
      <text>
        <t>Company items (Q3-23): MI: Asset write-off +1</t>
      </text>
    </comment>
    <comment ref="BG181" authorId="0" shapeId="0">
      <text>
        <t>Company items (Q4-23): RAT: Asset impairment +1; CORP: Lease impairments +1</t>
      </text>
    </comment>
    <comment ref="BH181" authorId="0" shapeId="0">
      <text>
        <t>Company items (2023): MI: Asset impairment +5; MI: Asset write-off +1; RAT: Asset impairment +1; CORP: Lease impairments +14</t>
      </text>
    </comment>
    <comment ref="BI181" authorId="0" shapeId="0">
      <text>
        <t>Company items (Q1-24): CORP: Recovery of lease-related costs -1</t>
      </text>
    </comment>
    <comment ref="BJ181" authorId="0" shapeId="0">
      <text>
        <t>Company items (Q2-24): CI: Asset write-off +1</t>
      </text>
    </comment>
    <comment ref="BK181" authorId="0" shapeId="0">
      <text>
        <t>Company items (Q3-24): CORP: Asset write-off +1</t>
      </text>
    </comment>
    <comment ref="BL181" authorId="0" shapeId="0">
      <text>
        <t>Company items (Q4-24): CORP: Lease impairments +3</t>
      </text>
    </comment>
    <comment ref="BM181" authorId="0" shapeId="0">
      <text>
        <t>Company items (2024): CI: Asset write-off +1; CORP: Lease impairments +1; CORP: Asset write-off +1</t>
      </text>
    </comment>
    <comment ref="BN181" authorId="0" shapeId="0">
      <text>
        <t>Company items (Q1-25): CORP: Lease impairment +6</t>
      </text>
    </comment>
    <comment ref="BO181" authorId="0" shapeId="0">
      <text>
        <t>Company items (Q2-25): CORP: Lease impairment +2; CORP: Asset write-off +1</t>
      </text>
    </comment>
    <comment ref="BP181" authorId="0" shapeId="0">
      <text>
        <t>Company items (Q3-25): CORP: Lease impairments +6</t>
      </text>
    </comment>
    <comment ref="BQ181" authorId="0" shapeId="0">
      <text>
        <t>Company items (Q4-25): CORP: Lease impairments +7</t>
      </text>
    </comment>
    <comment ref="BR181" authorId="0" shapeId="0">
      <text>
        <t>Company items (2025): CORP: Lease impairments +21; CORP: Asset write-off +1</t>
      </text>
    </comment>
    <comment ref="BS181" authorId="0" shapeId="0">
      <text>
        <t>Company items (Q1-26): CORP: Lease impairments +5</t>
      </text>
    </comment>
    <comment ref="BT181" authorId="0" shapeId="0">
      <text>
        <t>Company items (Q2-26): CI: Asset impairment +4</t>
      </text>
    </comment>
    <comment ref="E182" authorId="0" shapeId="0">
      <text>
        <t>Company items (2012): CORP: Vacation accrual reversal -52</t>
      </text>
    </comment>
    <comment ref="I182" authorId="0" shapeId="0">
      <text>
        <t>Company items (Q4-13): CORP: Charge related to terminating various leases (real estate footprint reduction) +13</t>
      </text>
    </comment>
    <comment ref="J182" authorId="0" shapeId="0">
      <text>
        <t>Company items (2013): CORP: Charge related to terminating various leases +13</t>
      </text>
    </comment>
    <comment ref="M182" authorId="0" shapeId="0">
      <text>
        <t>Company items (Q3-14): Rounding / unitemised vs published adjusted OP -1</t>
      </text>
    </comment>
    <comment ref="N182" authorId="0" shapeId="0">
      <text>
        <t>Company items (Q4-14): Rounding / unitemised vs published adjusted OP -1</t>
      </text>
    </comment>
    <comment ref="Q182" authorId="0" shapeId="0">
      <text>
        <t>Company items (Q2-15): Rounding / unitemised vs published adjusted OP +9</t>
      </text>
    </comment>
    <comment ref="S182" authorId="0" shapeId="0">
      <text>
        <t>Company items (Q4-15): Rounding / unitemised vs published adjusted OP -1</t>
      </text>
    </comment>
    <comment ref="T182" authorId="0" shapeId="0">
      <text>
        <t>Company items (2015): Rounding / unitemised vs published adjusted OP +10</t>
      </text>
    </comment>
    <comment ref="U182" authorId="0" shapeId="0">
      <text>
        <t>Company items (Q1-16): Rounding / unitemised vs published adjusted OP -1</t>
      </text>
    </comment>
    <comment ref="V182" authorId="0" shapeId="0">
      <text>
        <t>Company items (Q2-16): Rounding / unitemised vs published adjusted OP -1</t>
      </text>
    </comment>
    <comment ref="W182" authorId="0" shapeId="0">
      <text>
        <t>Company items (Q3-16): Rounding / unitemised vs published adjusted OP -1</t>
      </text>
    </comment>
    <comment ref="X182" authorId="0" shapeId="0">
      <text>
        <t>Company items (Q4-16): Rounding / unitemised vs published adjusted OP +1</t>
      </text>
    </comment>
    <comment ref="Y182" authorId="0" shapeId="0">
      <text>
        <t>Company items (2016): Rounding / unitemised vs published adjusted OP +1</t>
      </text>
    </comment>
    <comment ref="Z182" authorId="0" shapeId="0">
      <text>
        <t>Company items (Q1-17): MCI: Non-cash acquisition and disposition-related adjustments +15</t>
      </text>
    </comment>
    <comment ref="AC182" authorId="0" shapeId="0">
      <text>
        <t>Company items (Q4-17): CORP: Pension related charge +8; Rounding / unitemised vs published adjusted OP +1</t>
      </text>
    </comment>
    <comment ref="AD182" authorId="0" shapeId="0">
      <text>
        <t>Company items (2017): MCI: Non-cash acquisition and disposition-related adjustments +15; CORP: Pension related charge +8</t>
      </text>
    </comment>
    <comment ref="AG182" authorId="0" shapeId="0">
      <text>
        <t>Company items (Q3-18): Rounding / unitemised vs published adjusted OP -1</t>
      </text>
    </comment>
    <comment ref="AI182" authorId="0" shapeId="0">
      <text>
        <t>Company items (2018): Rounding / unitemised vs published adjusted OP -1</t>
      </text>
    </comment>
    <comment ref="AJ182" authorId="0" shapeId="0">
      <text>
        <t>Company items (Q1-19): Rounding / unitemised vs published adjusted OP -1</t>
      </text>
    </comment>
    <comment ref="AM182" authorId="0" shapeId="0">
      <text>
        <t>Company items (Q4-19): Rounding / unitemised vs published adjusted OP -1</t>
      </text>
    </comment>
    <comment ref="AQ182" authorId="0" shapeId="0">
      <text>
        <t>Company items (Q3-20): Rounding / unitemised vs published adjusted OP +1</t>
      </text>
    </comment>
    <comment ref="AR182" authorId="0" shapeId="0">
      <text>
        <t>Company items (Q4-20): RAT: Lease-related costs +5; MI: Lease-related costs +3; CI: Lease-related costs +2; IDX: Lease-related costs +1; Rounding / unitemised vs published adjusted OP -1</t>
      </text>
    </comment>
    <comment ref="AS182" authorId="0" shapeId="0">
      <text>
        <t>Company items (2020): RAT: Lease-related costs +5; MI: Lease-related costs +3; CI: Lease-related costs +2; IDX: Lease-related costs +1; Rounding / unitemised vs published adjusted OP -3</t>
      </text>
    </comment>
    <comment ref="AT182" authorId="0" shapeId="0">
      <text>
        <t>Company items (Q1-21): Rounding / unitemised vs published adjusted OP +1</t>
      </text>
    </comment>
    <comment ref="AU182" authorId="0" shapeId="0">
      <text>
        <t>Company items (Q2-21): Rounding / unitemised vs published adjusted OP -1</t>
      </text>
    </comment>
    <comment ref="AW182" authorId="0" shapeId="0">
      <text>
        <t>Company items (Q4-21): RAT: Recovery of lease-related costs -4; MI: Lease-related costs +1; CI: Recovery of lease-related costs -2; IDX: Recovery of lease-related costs -1; CORP: Lease-related costs +4; Rounding / unitemised vs published adjusted OP +1</t>
      </text>
    </comment>
    <comment ref="AX182" authorId="0" shapeId="0">
      <text>
        <t>Company items (2021): RAT: Recovery of lease-related costs -4; MI: Lease-related costs +1; CI: Recovery of lease-related costs -2; IDX: Recovery of lease-related costs -1; CORP: Lease-related costs +4</t>
      </text>
    </comment>
    <comment ref="AY182" authorId="0" shapeId="0">
      <text>
        <t>Company items (Q1-22): CORP: S&amp;P Foundation grant +200; Rounding / unitemised vs published adjusted OP -2</t>
      </text>
    </comment>
    <comment ref="AZ182" authorId="0" shapeId="0">
      <text>
        <t>Company items (Q2-22): OTHER: Divestitures (contribution of divested businesses excluded) -15; Rounding / unitemised vs published adjusted OP +3</t>
      </text>
    </comment>
    <comment ref="BA182" authorId="0" shapeId="0">
      <text>
        <t>Company items (Q3-22): CORP: Gain on acquisition -10; OTHER: Divestitures (contribution of divested businesses excluded) +1; Rounding / unitemised vs published adjusted OP -1</t>
      </text>
    </comment>
    <comment ref="BB182" authorId="0" shapeId="0">
      <text>
        <t>Company items (Q4-22): OTHER: Divestitures (contribution of divested businesses excluded) +1; Rounding / unitemised vs published adjusted OP +1</t>
      </text>
    </comment>
    <comment ref="BC182" authorId="0" shapeId="0">
      <text>
        <t>Company items (2022): FY2022 = sum of the quarters (adjusted measures for the year were published only pro forma for IHS Markit)</t>
      </text>
    </comment>
    <comment ref="BE182" authorId="0" shapeId="0">
      <text>
        <t>Company items (Q2-23): Rounding / unitemised vs published adjusted OP -1</t>
      </text>
    </comment>
    <comment ref="BG182" authorId="0" shapeId="0">
      <text>
        <t>Company items (Q4-23): EQ: Asset impairment (equity in income on unconsolidated subsidiaries) +2; Rounding / unitemised vs published adjusted OP -1</t>
      </text>
    </comment>
    <comment ref="BH182" authorId="0" shapeId="0">
      <text>
        <t>Company items (2023): EQ: Asset impairment (equity in income on unconsolidated subsidiaries) +2</t>
      </text>
    </comment>
    <comment ref="BJ182" authorId="0" shapeId="0">
      <text>
        <t>Company items (Q2-24): Rounding / unitemised vs published adjusted OP +1</t>
      </text>
    </comment>
    <comment ref="BK182" authorId="0" shapeId="0">
      <text>
        <t>Company items (Q3-24): RAT: Statutorily required bonus accrual adjustment +6; Rounding / unitemised vs published adjusted OP +3</t>
      </text>
    </comment>
    <comment ref="BL182" authorId="0" shapeId="0">
      <text>
        <t>Company items (Q4-24): MI: Liability write-off -1; MOB: Liability write-off -1; Rounding / unitemised vs published adjusted OP +1</t>
      </text>
    </comment>
    <comment ref="BM182" authorId="0" shapeId="0">
      <text>
        <t>Company items (2024): RAT: Statutorily required bonus accrual adjustment +6; MOB: Liability write-off -1; Rounding / unitemised vs published adjusted OP +2</t>
      </text>
    </comment>
    <comment ref="BN182" authorId="0" shapeId="0">
      <text>
        <t>Company items (Q1-25): Pro forma adjustment (Transition Services Agreement, reallocated costs) / rounding -9</t>
      </text>
    </comment>
    <comment ref="BO182" authorId="0" shapeId="0">
      <text>
        <t>Company items (Q2-25): Pro forma adjustment (Transition Services Agreement, reallocated costs) / rounding -17</t>
      </text>
    </comment>
    <comment ref="BP182" authorId="0" shapeId="0">
      <text>
        <t>Company items (Q3-25): Pro forma adjustment (Transition Services Agreement, reallocated costs) / rounding -20</t>
      </text>
    </comment>
    <comment ref="BQ182" authorId="0" shapeId="0">
      <text>
        <t>Company items (Q4-25): MI: Statutorily required labor law accrual adjustment +3; CI: Statutorily required labor law accrual adjustment +1; CORP: Statutorily required labor law accrual adjustment +5; Pro forma adjustment (Transition Services Agreement, reallocated costs) / rounding -54</t>
      </text>
    </comment>
    <comment ref="BR182" authorId="0" shapeId="0">
      <text>
        <t>Company items (2025): MI: Statutorily required labor law accrual adjustment +3; CI: Statutorily required labor law accrual adjustment +1; CORP: Statutorily required labor law accrual adjustment +5; Pro forma adjustment (Transition Services Agreement, reallocated costs) / rounding -98</t>
      </text>
    </comment>
    <comment ref="BS182" authorId="0" shapeId="0">
      <text>
        <t>Company items (Q1-26): Pro forma adjustment (Transition Services Agreement, reallocated costs) / rounding -29</t>
      </text>
    </comment>
    <comment ref="BT182" authorId="0" shapeId="0">
      <text>
        <t>Company items (Q2-26): MI: Statutorily required labor law accrual adjustment +2; Pro forma adjustment (Transition Services Agreement, reallocated costs) / rounding -62</t>
      </text>
    </comment>
    <comment ref="X184" authorId="0" shapeId="0">
      <text>
        <t>Company items (Q4-16): Redemption fee related to the early payment of senior notes +21</t>
      </text>
    </comment>
    <comment ref="Y184" authorId="0" shapeId="0">
      <text>
        <t>Company items (2016): Redemption fee related to the early payment of senior notes +21</t>
      </text>
    </comment>
    <comment ref="AH184" authorId="0" shapeId="0">
      <text>
        <t>Company items (Q4-18): Pension related charge +5</t>
      </text>
    </comment>
    <comment ref="AI184" authorId="0" shapeId="0">
      <text>
        <t>Company items (2018): Pension related charge +5</t>
      </text>
    </comment>
    <comment ref="AJ184" authorId="0" shapeId="0">
      <text>
        <t>Company items (Q1-19): Pension related charge +113</t>
      </text>
    </comment>
    <comment ref="AM184" authorId="0" shapeId="0">
      <text>
        <t>Company items (Q4-19): Costs associated with early repayment of our Senior Notes +57</t>
      </text>
    </comment>
    <comment ref="AN184" authorId="0" shapeId="0">
      <text>
        <t>Company items (2019): Pension related charge +113; Costs associated with early repayment of our Senior Notes +57</t>
      </text>
    </comment>
    <comment ref="AP184" authorId="0" shapeId="0">
      <text>
        <t>Company items (Q2-20): Pension related charge +3</t>
      </text>
    </comment>
    <comment ref="AQ184" authorId="0" shapeId="0">
      <text>
        <t>Company items (Q3-20): Loss on the extinguishment of debt +279</t>
      </text>
    </comment>
    <comment ref="AS184" authorId="0" shapeId="0">
      <text>
        <t>Company items (2020): Pension related charge +3; Loss on the extinguishment of debt +279</t>
      </text>
    </comment>
    <comment ref="AY184" authorId="0" shapeId="0">
      <text>
        <t>Company items (Q1-22): Loss on the extinguishment of debt +17</t>
      </text>
    </comment>
    <comment ref="AZ184" authorId="0" shapeId="0">
      <text>
        <t>Company items (Q2-22): Loss on the extinguishment of debt +2</t>
      </text>
    </comment>
    <comment ref="BA184" authorId="0" shapeId="0">
      <text>
        <t>Company items (Q3-22): Gain on the extinguishment of debt -4</t>
      </text>
    </comment>
    <comment ref="BB184" authorId="0" shapeId="0">
      <text>
        <t>Company items (Q4-22): Gain on the extinguishment of debt -7; Non-GAAP adjustment to other expense (income), net (no footnote) +13</t>
      </text>
    </comment>
    <comment ref="BC184" authorId="0" shapeId="0">
      <text>
        <t>Company items (2022): Loss on extinguishment of debt +8; Non-GAAP adjustment to other expense (income), net (no footnote) +13</t>
      </text>
    </comment>
    <comment ref="BD184" authorId="0" shapeId="0">
      <text>
        <t>Company items (Q1-23): Premium amortization benefit -7</t>
      </text>
    </comment>
    <comment ref="BE184" authorId="0" shapeId="0">
      <text>
        <t>Company items (Q2-23): Premium amortization benefit (interest expense) -6</t>
      </text>
    </comment>
    <comment ref="BF184" authorId="0" shapeId="0">
      <text>
        <t>Company items (Q3-23): Premium amortization benefit (interest expense) -7</t>
      </text>
    </comment>
    <comment ref="BG184" authorId="0" shapeId="0">
      <text>
        <t>Company items (Q4-23): Other (income) expense non-GAAP adjustment (no footnote; pension settlement charge per FY2024 10-K) +23; Premium amortization benefit (interest expense) -7</t>
      </text>
    </comment>
    <comment ref="BH184" authorId="0" shapeId="0">
      <text>
        <t>Company items (2023): Other (income) expense non-GAAP adjustment (no footnote; pension settlement charge per FY2024 10-K) +23; Premium amortization benefit (interest expense) -27</t>
      </text>
    </comment>
    <comment ref="BI184" authorId="0" shapeId="0">
      <text>
        <t>Company items (Q1-24): Premium amortization benefit (interest expense) -7</t>
      </text>
    </comment>
    <comment ref="BJ184" authorId="0" shapeId="0">
      <text>
        <t>Company items (Q2-24): Premium amortization benefit (interest expense) -6</t>
      </text>
    </comment>
    <comment ref="BK184" authorId="0" shapeId="0">
      <text>
        <t>Company items (Q3-24): Premium amortization benefit (interest expense) -6</t>
      </text>
    </comment>
    <comment ref="BM184" authorId="0" shapeId="0">
      <text>
        <t>Company items (2024): Premium amortization benefit (interest expense) -26; Deal-related amortization in other income +6</t>
      </text>
    </comment>
    <comment ref="BN184" authorId="0" shapeId="0">
      <text>
        <t>Company items (Q1-25): Premium amortization benefit (interest)</t>
      </text>
    </comment>
    <comment ref="BO184" authorId="0" shapeId="0">
      <text>
        <t>Company items (Q2-25): Premium amortization benefit (interest)</t>
      </text>
    </comment>
    <comment ref="BP184" authorId="0" shapeId="0">
      <text>
        <t>Company items (Q3-25): Premium amortization benefit (interest)</t>
      </text>
    </comment>
    <comment ref="BQ184" authorId="0" shapeId="0">
      <text>
        <t>Company items (Q4-25): Premium amortization benefit (interest)</t>
      </text>
    </comment>
    <comment ref="BR184" authorId="0" shapeId="0">
      <text>
        <t>Company items (2025): Premium amortization benefit (interest)</t>
      </text>
    </comment>
    <comment ref="BS184" authorId="0" shapeId="0">
      <text>
        <t>Company items (Q1-26): Premium amortization benefit (interest)</t>
      </text>
    </comment>
    <comment ref="BT184" authorId="0" shapeId="0">
      <text>
        <t>Company items (Q2-26): Premium amortization benefit (interest)</t>
      </text>
    </comment>
    <comment ref="B187" authorId="0" shapeId="0">
      <text>
        <t>Source: S&amp;P Global (McGraw Hill Financial / McGraw-Hill) earnings releases (Form 8-K Item 2.02, Ex. 99.1) — condensed consolidated statements of income, as originally reported; FY2010–11 continuing operations recast in the FY2012 10-K / Q4-12 release; 2025 quarters, FY2025 and 1H-26 = Article 11 pro forma continuing operations excluding Mobility (8-K/A 6-Jul-2026 Ex. 99.1–99.2; Q2-26 release Exhibit 5). Expense lines not in the condensed release statement from XBRL (10-Q / 10-K as first filed; Q4 = FY − 9M).</t>
      </text>
    </comment>
    <comment ref="D187" authorId="0" shapeId="0">
      <text>
        <t>FY2011 = continuing-operations comparative in the Q4-2012 release (McGraw-Hill Education classified as discontinued operations); not as first reported.</t>
      </text>
    </comment>
    <comment ref="O187" authorId="0" shapeId="0">
      <text>
        <t>FY2014 excludes McGraw Hill Construction (discontinued from Q3-14); Q1–Q2/14 as originally reported include it, so Σ quarters ≠ FY (check_data known exception).</t>
      </text>
    </comment>
    <comment ref="BR187" authorId="0" shapeId="0">
      <text>
        <t>FY2025 pro forma continuing operations excluding Mobility (Article 11); as reported $15,336m.</t>
      </text>
    </comment>
    <comment ref="BT187" authorId="0" shapeId="0">
      <text>
        <t>Q2-26 pro forma excluding Mobility (Q2-26 release Exhibit 5); as reported $4,146m.</t>
      </text>
    </comment>
    <comment ref="B216" authorId="0" shapeId="0">
      <text>
        <t>Source: S&amp;P Global (McGraw Hill Financial / McGraw-Hill) earnings releases (Form 8-K Item 2.02, Ex. 99.1) — statements of income (weighted-average shares). No stock splits since the 2-for-1 split of May-2005.</t>
      </text>
    </comment>
    <comment ref="B239" authorId="0" shapeId="0">
      <text>
        <t>Source: S&amp;P Global (McGraw Hill Financial / McGraw-Hill) earnings releases (Form 8-K Item 2.02, Ex. 99.1) — Reported vs Adjusted exhibits (adjusted operating profit); 2025–1H26 pro forma non-GAAP adjusted.</t>
      </text>
    </comment>
    <comment ref="D241" authorId="0" shapeId="0">
      <text>
        <t>McGraw-Hill / McGraw Hill Financial adjusted operating profit (Q4-12 to Q4-15 releases).</t>
      </text>
    </comment>
    <comment ref="B275" authorId="0" shapeId="0">
      <text>
        <t>Source: S&amp;P Global (McGraw Hill Financial / McGraw-Hill) earnings releases (Form 8-K Item 2.02, Ex. 99.1) — Adjusted Net Income / Adjusted Diluted EPS reconciliations; 2025–1H26 pro forma non-GAAP adjusted (as originally published incl. Mobility in the memo row).</t>
      </text>
    </comment>
    <comment ref="N275" authorId="0" shapeId="0">
      <text>
        <t>Q4-14 GAAP loss quarter: the company computed adjusted EPS on 276.2m diluted shares (GAAP 271.7m).</t>
      </text>
    </comment>
    <comment ref="AY275" authorId="0" shapeId="0">
      <text>
        <t>Q1-22: adjusted EPS published only pro forma for IHS Markit ($2.89); the model rebuilds the actual-scope figure (memo row).</t>
      </text>
    </comment>
    <comment ref="B311" authorId="0" shapeId="0">
      <text>
        <t>Source: XBRL company facts (Forms 10-K / 10-Q cash-flow statements, as first filed; 2013–15 10-Qs tagged continuing + discontinued separately) — year to date, discrete quarters derived (Q4 = FY − 9M); 1H-26 from the Q2-26 10-Q. As reported (incl. Mobility to 30-Jun-2026).</t>
      </text>
    </comment>
    <comment ref="B363" authorId="0" shapeId="0">
      <text>
        <t>Source: XBRL company facts (10-K / 10-Q balance sheets as first filed), 30-Jun-2026 from the Q2-26 10-Q; derived "other" lines close to reported totals. Shares outstanding: release "actual shares outstanding" / XBRL / 10-Q cover.</t>
      </text>
    </comment>
    <comment ref="B418" authorId="0" shapeId="0">
      <text>
        <t>https://www.sec.gov/Archives/edgar/data/64040/000006404023000058/spgi-20221231.htm (FY2022 Form 10-K, Note 2 Acquisitions and Divestitures: preliminary allocation of purchase price at 28-Feb-2022)</t>
      </text>
    </comment>
    <comment ref="B433" authorId="0" shapeId="0">
      <text>
        <t>Source: balance sheets; Q2-26 10-Q Note 4 (Debt) — notes by tranche, $825m commercial paper, Mobility notes ($1,981m) transferred with Mobility Global on 1-Jul-2026.</t>
      </text>
    </comment>
  </commentList>
</comments>
</file>

<file path=xl/comments/comment2.xml><?xml version="1.0" encoding="utf-8"?>
<comments xmlns="http://schemas.openxmlformats.org/spreadsheetml/2006/main">
  <authors>
    <author>SPGI model</author>
  </authors>
  <commentList>
    <comment ref="N26" authorId="0" shapeId="0">
      <text>
        <t>P/E on adjusted diluted EPS (company definition, continuing operations). SPGI at $415 trades at ~23.5x FY2026E adjusted EPS (~$17.6 guidance mid-point) and ~21x 2027E. Exit multiples are assumptions applied to 2029E–31E: Base 26x, Bull 30x (re-rating toward the ~28–33x the stock carried in 2019–24), Bear 20x (AI-disruption / issuance-downturn de-rating).</t>
      </text>
    </comment>
    <comment ref="P40" authorId="0" shapeId="0">
      <text>
        <t>Snapshot (values) of Model rows 353, 352 and 354 (Share Buyback Schedule) with Model!CC2 = Bull / Bear. Base panel (D40:H42) is live-linked.</t>
      </text>
    </comment>
  </commentList>
</comments>
</file>

<file path=xl/comments/comment3.xml><?xml version="1.0" encoding="utf-8"?>
<comments xmlns="http://schemas.openxmlformats.org/spreadsheetml/2006/main">
  <authors>
    <author>SPGI model</author>
  </authors>
  <commentList>
    <comment ref="B42" authorId="0" shapeId="0">
      <text>
        <t>S&amp;P Global has negative operating working capital (unearned revenue billed in advance), so revenue growth releases cash: net reinvestment in the fade period is negative and the implied terminal RONIC (g / reinvestment) is not meaningful. Value creation rests on the high returns of the existing franchise.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22</row>
      <rowOff>160560</rowOff>
    </from>
    <to>
      <col>12</col>
      <colOff>543600</colOff>
      <row>37</row>
      <rowOff>2160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43</row>
      <rowOff>160560</rowOff>
    </from>
    <to>
      <col>12</col>
      <colOff>543600</colOff>
      <row>58</row>
      <rowOff>1800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64</row>
      <rowOff>160560</rowOff>
    </from>
    <to>
      <col>12</col>
      <colOff>543600</colOff>
      <row>79</row>
      <rowOff>2160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502"/>
  <sheetViews>
    <sheetView showGridLines="0" tabSelected="1" zoomScale="70" zoomScaleNormal="7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C1" sqref="C1"/>
      <selection pane="bottomLeft" activeCell="A8" sqref="A8"/>
      <selection pane="bottomRight" activeCell="CA164" sqref="CA164"/>
    </sheetView>
  </sheetViews>
  <sheetFormatPr baseColWidth="8" defaultColWidth="8.5703125" defaultRowHeight="15" outlineLevelRow="2"/>
  <cols>
    <col width="2.42578125" customWidth="1" style="251" min="1" max="1"/>
    <col width="62" customWidth="1" style="251" min="2" max="2"/>
    <col width="13" customWidth="1" style="251" min="3" max="3"/>
    <col width="13" customWidth="1" style="251" min="4" max="4"/>
    <col width="13" customWidth="1" style="251" min="5" max="5"/>
    <col hidden="1" outlineLevel="1" width="9.5703125" customWidth="1" style="251" min="6" max="6"/>
    <col hidden="1" outlineLevel="1" width="9.5703125" customWidth="1" style="251" min="7" max="7"/>
    <col hidden="1" outlineLevel="1" width="9.5703125" customWidth="1" style="251" min="8" max="8"/>
    <col hidden="1" outlineLevel="1" width="9.5703125" customWidth="1" style="251" min="9" max="9"/>
    <col width="13" customWidth="1" style="251" min="10" max="10"/>
    <col hidden="1" outlineLevel="1" width="9.5703125" customWidth="1" style="251" min="11" max="11"/>
    <col hidden="1" outlineLevel="1" width="9.5703125" customWidth="1" style="251" min="12" max="12"/>
    <col hidden="1" outlineLevel="1" width="9.5703125" customWidth="1" style="251" min="13" max="13"/>
    <col hidden="1" outlineLevel="1" width="9.5703125" customWidth="1" style="251" min="14" max="14"/>
    <col width="13" customWidth="1" style="251" min="15" max="15"/>
    <col hidden="1" outlineLevel="1" width="9.5703125" customWidth="1" style="251" min="16" max="16"/>
    <col hidden="1" outlineLevel="1" width="9.5703125" customWidth="1" style="251" min="17" max="17"/>
    <col hidden="1" outlineLevel="1" width="9.5703125" customWidth="1" style="251" min="18" max="18"/>
    <col hidden="1" outlineLevel="1" width="9.5703125" customWidth="1" style="251" min="19" max="19"/>
    <col width="13" customWidth="1" style="251" min="20" max="20"/>
    <col hidden="1" outlineLevel="1" width="9.5703125" customWidth="1" style="251" min="21" max="21"/>
    <col hidden="1" outlineLevel="1" width="9.5703125" customWidth="1" style="251" min="22" max="22"/>
    <col hidden="1" outlineLevel="1" width="9.5703125" customWidth="1" style="251" min="23" max="23"/>
    <col hidden="1" outlineLevel="1" width="9.5703125" customWidth="1" style="251" min="24" max="24"/>
    <col width="13" customWidth="1" style="251" min="25" max="25"/>
    <col hidden="1" outlineLevel="1" width="9.5703125" customWidth="1" style="251" min="26" max="26"/>
    <col hidden="1" outlineLevel="1" width="9.5703125" customWidth="1" style="251" min="27" max="27"/>
    <col hidden="1" outlineLevel="1" width="9.5703125" customWidth="1" style="251" min="28" max="28"/>
    <col hidden="1" outlineLevel="1" width="9.5703125" customWidth="1" style="251" min="29" max="29"/>
    <col width="13" customWidth="1" style="251" min="30" max="30"/>
    <col hidden="1" outlineLevel="1" width="9.5703125" customWidth="1" style="251" min="31" max="31"/>
    <col hidden="1" outlineLevel="1" width="9.5703125" customWidth="1" style="251" min="32" max="32"/>
    <col hidden="1" outlineLevel="1" width="9.5703125" customWidth="1" style="251" min="33" max="33"/>
    <col hidden="1" outlineLevel="1" width="9.5703125" customWidth="1" style="251" min="34" max="34"/>
    <col width="13" customWidth="1" style="251" min="35" max="35"/>
    <col hidden="1" outlineLevel="1" width="9.5703125" customWidth="1" style="251" min="36" max="36"/>
    <col hidden="1" outlineLevel="1" width="9.5703125" customWidth="1" style="251" min="37" max="37"/>
    <col hidden="1" outlineLevel="1" width="9.5703125" customWidth="1" style="251" min="38" max="38"/>
    <col hidden="1" outlineLevel="1" width="9.5703125" customWidth="1" style="251" min="39" max="39"/>
    <col width="13" customWidth="1" style="251" min="40" max="40"/>
    <col hidden="1" outlineLevel="1" width="9.5703125" customWidth="1" style="251" min="41" max="41"/>
    <col hidden="1" outlineLevel="1" width="9.5703125" customWidth="1" style="251" min="42" max="42"/>
    <col hidden="1" outlineLevel="1" width="9.5703125" customWidth="1" style="251" min="43" max="43"/>
    <col hidden="1" outlineLevel="1" width="9.5703125" customWidth="1" style="251" min="44" max="44"/>
    <col width="13" customWidth="1" style="251" min="45" max="45"/>
    <col hidden="1" outlineLevel="1" width="9.5703125" customWidth="1" style="251" min="46" max="46"/>
    <col hidden="1" outlineLevel="1" width="9.5703125" customWidth="1" style="251" min="47" max="47"/>
    <col hidden="1" outlineLevel="1" width="9.5703125" customWidth="1" style="251" min="48" max="48"/>
    <col hidden="1" outlineLevel="1" width="9.5703125" customWidth="1" style="251" min="49" max="49"/>
    <col width="13" customWidth="1" style="251" min="50" max="50"/>
    <col hidden="1" outlineLevel="1" width="9.5703125" customWidth="1" style="251" min="51" max="51"/>
    <col hidden="1" outlineLevel="1" width="9.5703125" customWidth="1" style="251" min="52" max="52"/>
    <col hidden="1" outlineLevel="1" width="9.5703125" customWidth="1" style="251" min="53" max="53"/>
    <col hidden="1" outlineLevel="1" width="9.5703125" customWidth="1" style="251" min="54" max="54"/>
    <col width="13" customWidth="1" style="251" min="55" max="55"/>
    <col hidden="1" outlineLevel="1" width="9.5703125" customWidth="1" style="251" min="56" max="56"/>
    <col hidden="1" outlineLevel="1" width="9.5703125" customWidth="1" style="251" min="57" max="57"/>
    <col hidden="1" outlineLevel="1" width="9.5703125" customWidth="1" style="251" min="58" max="58"/>
    <col hidden="1" outlineLevel="1" width="9.5703125" customWidth="1" style="251" min="59" max="59"/>
    <col width="13" customWidth="1" style="251" min="60" max="60"/>
    <col hidden="1" outlineLevel="1" width="9.5703125" customWidth="1" style="251" min="61" max="61"/>
    <col hidden="1" outlineLevel="1" width="9.5703125" customWidth="1" style="251" min="62" max="62"/>
    <col hidden="1" outlineLevel="1" width="9.5703125" customWidth="1" style="251" min="63" max="63"/>
    <col hidden="1" outlineLevel="1" width="9.5703125" customWidth="1" style="251" min="64" max="64"/>
    <col width="13" customWidth="1" style="251" min="65" max="65"/>
    <col hidden="1" outlineLevel="1" width="9.5703125" customWidth="1" style="251" min="66" max="66"/>
    <col hidden="1" outlineLevel="1" width="9.5703125" customWidth="1" style="251" min="67" max="67"/>
    <col hidden="1" outlineLevel="1" width="9.5703125" customWidth="1" style="251" min="68" max="68"/>
    <col hidden="1" outlineLevel="1" width="9.5703125" customWidth="1" style="251" min="69" max="69"/>
    <col width="13" customWidth="1" style="251" min="70" max="70"/>
    <col hidden="1" outlineLevel="1" width="9.5703125" customWidth="1" style="251" min="71" max="71"/>
    <col hidden="1" outlineLevel="1" width="9.5703125" customWidth="1" style="251" min="72" max="72"/>
    <col hidden="1" outlineLevel="1" width="11.42578125" customWidth="1" style="251" min="73" max="73"/>
    <col hidden="1" outlineLevel="1" width="11.42578125" customWidth="1" style="251" min="74" max="74"/>
    <col width="14.140625" customWidth="1" style="251" min="75" max="75"/>
    <col width="13" customWidth="1" style="251" min="76" max="76"/>
    <col width="13" customWidth="1" style="251" min="77" max="77"/>
    <col width="13" customWidth="1" style="251" min="78" max="78"/>
    <col width="13" customWidth="1" style="251" min="79" max="79"/>
    <col width="13" customWidth="1" style="251" min="80" max="80"/>
    <col width="86.85546875" customWidth="1" style="251" min="81" max="81"/>
    <col width="2" customWidth="1" style="251" min="82" max="82"/>
    <col width="14.140625" customWidth="1" style="251" min="83" max="83"/>
    <col width="12.42578125" customWidth="1" style="251" min="84" max="84"/>
    <col width="13.42578125" customWidth="1" style="251" min="85" max="85"/>
    <col width="13" customWidth="1" style="251" min="86" max="86"/>
    <col width="2" customWidth="1" style="251" min="87" max="87"/>
    <col width="6" customWidth="1" style="251" min="88" max="88"/>
    <col width="46" customWidth="1" style="251" min="89" max="89"/>
    <col width="11.5703125" customWidth="1" style="251" min="90" max="90"/>
    <col width="13" customWidth="1" style="251" min="91" max="91"/>
    <col width="13" customWidth="1" style="251" min="92" max="92"/>
    <col width="60" customWidth="1" style="251" min="93" max="93"/>
  </cols>
  <sheetData>
    <row r="1" ht="15" customHeight="1" s="251">
      <c r="CC1" s="1" t="inlineStr">
        <is>
          <t>SCENARIO SWITCH ▼ (Bull / Base / Bear) — drives all scenario-linked forecast drivers</t>
        </is>
      </c>
    </row>
    <row r="2" ht="21" customHeight="1" s="251">
      <c r="B2" s="2" t="inlineStr">
        <is>
          <t>S&amp;P Global Inc. (NYSE: SPGI) — 3-Statement Financial Model</t>
        </is>
      </c>
      <c r="CC2" s="3" t="inlineStr">
        <is>
          <t>Base</t>
        </is>
      </c>
    </row>
    <row r="3" ht="15" customHeight="1" s="251">
      <c r="B3" s="4" t="inlineStr">
        <is>
          <t>US GAAP · USD millions (per-share data in USD; shares in millions) · Fiscal years ended 31 December · Source: S&amp;P Global Forms 10-K / 10-Q, Form 8-K earnings releases (Ex. 99.1), the 8-K / 8-K/A of 2 / 6-Jul-2026 (Mobility spin-off, pro forma and recast) and deal / financing 8-Ks, SEC EDGAR (CIK 64040; McGraw Hill Financial 2013–16, The McGraw-Hill Companies before); XBRL company facts; investor-relations releases are the same documents as filed on EDGAR</t>
        </is>
      </c>
    </row>
    <row r="4" ht="15" customHeight="1" s="251">
      <c r="B4" s="5" t="inlineStr">
        <is>
          <t>Basis notes: hybrid recast — FY2010–11 continuing operations (McGraw-Hill Education sold Mar-2013); FY2012–2024 as originally reported; 2025 and 1H-26 pro forma excluding Mobility (spun off 1-Jul-2026 as Mobility Global, NYSE: MBGL). Divisions: Ratings, Indices (S&amp;P DJI JV with CME 73/27 from Jul-2012), Energy (C&amp;C / Platts / Commodity Insights), Market Intelligence (Capital IQ; SNL Sep-2015). IHS Markit merger 28-Feb-2022; Engineering Solutions sold May-2023; OSTTRA stake sold Q4-2025. Q3–Q4/26E calibrated to FY26 guidance (28-Jul-2026).</t>
        </is>
      </c>
    </row>
    <row r="5" ht="15" customHeight="1" s="251">
      <c r="BU5" s="153" t="n"/>
      <c r="BV5" s="153" t="n"/>
      <c r="BW5" s="153" t="n"/>
      <c r="BX5" s="153" t="n"/>
      <c r="BY5" s="153" t="n"/>
      <c r="BZ5" s="153" t="n"/>
      <c r="CA5" s="153" t="n"/>
      <c r="CB5" s="153" t="n"/>
      <c r="CE5" s="6" t="inlineStr">
        <is>
          <t>Forecast</t>
        </is>
      </c>
      <c r="CF5" s="6" t="inlineStr">
        <is>
          <t>Historical</t>
        </is>
      </c>
      <c r="CG5" s="6" t="inlineStr">
        <is>
          <t>Historical</t>
        </is>
      </c>
      <c r="CH5" s="6" t="inlineStr">
        <is>
          <t>Historical</t>
        </is>
      </c>
    </row>
    <row r="6" ht="15" customHeight="1" s="251">
      <c r="B6" s="7" t="inlineStr">
        <is>
          <t>(USDm)</t>
        </is>
      </c>
      <c r="C6" s="8" t="n">
        <v>2010</v>
      </c>
      <c r="D6" s="8" t="n">
        <v>2011</v>
      </c>
      <c r="E6" s="8" t="n">
        <v>2012</v>
      </c>
      <c r="F6" s="8" t="inlineStr">
        <is>
          <t>Q1/13</t>
        </is>
      </c>
      <c r="G6" s="8" t="inlineStr">
        <is>
          <t>Q2/13</t>
        </is>
      </c>
      <c r="H6" s="8" t="inlineStr">
        <is>
          <t>Q3/13</t>
        </is>
      </c>
      <c r="I6" s="8" t="inlineStr">
        <is>
          <t>Q4/13</t>
        </is>
      </c>
      <c r="J6" s="8" t="n">
        <v>2013</v>
      </c>
      <c r="K6" s="8" t="inlineStr">
        <is>
          <t>Q1/14</t>
        </is>
      </c>
      <c r="L6" s="8" t="inlineStr">
        <is>
          <t>Q2/14</t>
        </is>
      </c>
      <c r="M6" s="8" t="inlineStr">
        <is>
          <t>Q3/14</t>
        </is>
      </c>
      <c r="N6" s="8" t="inlineStr">
        <is>
          <t>Q4/14</t>
        </is>
      </c>
      <c r="O6" s="8" t="n">
        <v>2014</v>
      </c>
      <c r="P6" s="8" t="inlineStr">
        <is>
          <t>Q1/15</t>
        </is>
      </c>
      <c r="Q6" s="8" t="inlineStr">
        <is>
          <t>Q2/15</t>
        </is>
      </c>
      <c r="R6" s="8" t="inlineStr">
        <is>
          <t>Q3/15</t>
        </is>
      </c>
      <c r="S6" s="8" t="inlineStr">
        <is>
          <t>Q4/15</t>
        </is>
      </c>
      <c r="T6" s="8" t="n">
        <v>2015</v>
      </c>
      <c r="U6" s="8" t="inlineStr">
        <is>
          <t>Q1/16</t>
        </is>
      </c>
      <c r="V6" s="8" t="inlineStr">
        <is>
          <t>Q2/16</t>
        </is>
      </c>
      <c r="W6" s="8" t="inlineStr">
        <is>
          <t>Q3/16</t>
        </is>
      </c>
      <c r="X6" s="8" t="inlineStr">
        <is>
          <t>Q4/16</t>
        </is>
      </c>
      <c r="Y6" s="8" t="n">
        <v>2016</v>
      </c>
      <c r="Z6" s="8" t="inlineStr">
        <is>
          <t>Q1/17</t>
        </is>
      </c>
      <c r="AA6" s="8" t="inlineStr">
        <is>
          <t>Q2/17</t>
        </is>
      </c>
      <c r="AB6" s="8" t="inlineStr">
        <is>
          <t>Q3/17</t>
        </is>
      </c>
      <c r="AC6" s="8" t="inlineStr">
        <is>
          <t>Q4/17</t>
        </is>
      </c>
      <c r="AD6" s="8" t="n">
        <v>2017</v>
      </c>
      <c r="AE6" s="8" t="inlineStr">
        <is>
          <t>Q1/18</t>
        </is>
      </c>
      <c r="AF6" s="8" t="inlineStr">
        <is>
          <t>Q2/18</t>
        </is>
      </c>
      <c r="AG6" s="8" t="inlineStr">
        <is>
          <t>Q3/18</t>
        </is>
      </c>
      <c r="AH6" s="8" t="inlineStr">
        <is>
          <t>Q4/18</t>
        </is>
      </c>
      <c r="AI6" s="8" t="n">
        <v>2018</v>
      </c>
      <c r="AJ6" s="8" t="inlineStr">
        <is>
          <t>Q1/19</t>
        </is>
      </c>
      <c r="AK6" s="8" t="inlineStr">
        <is>
          <t>Q2/19</t>
        </is>
      </c>
      <c r="AL6" s="8" t="inlineStr">
        <is>
          <t>Q3/19</t>
        </is>
      </c>
      <c r="AM6" s="8" t="inlineStr">
        <is>
          <t>Q4/19</t>
        </is>
      </c>
      <c r="AN6" s="8" t="n">
        <v>2019</v>
      </c>
      <c r="AO6" s="8" t="inlineStr">
        <is>
          <t>Q1/20</t>
        </is>
      </c>
      <c r="AP6" s="8" t="inlineStr">
        <is>
          <t>Q2/20</t>
        </is>
      </c>
      <c r="AQ6" s="8" t="inlineStr">
        <is>
          <t>Q3/20</t>
        </is>
      </c>
      <c r="AR6" s="8" t="inlineStr">
        <is>
          <t>Q4/20</t>
        </is>
      </c>
      <c r="AS6" s="8" t="n">
        <v>2020</v>
      </c>
      <c r="AT6" s="8" t="inlineStr">
        <is>
          <t>Q1/21</t>
        </is>
      </c>
      <c r="AU6" s="8" t="inlineStr">
        <is>
          <t>Q2/21</t>
        </is>
      </c>
      <c r="AV6" s="8" t="inlineStr">
        <is>
          <t>Q3/21</t>
        </is>
      </c>
      <c r="AW6" s="8" t="inlineStr">
        <is>
          <t>Q4/21</t>
        </is>
      </c>
      <c r="AX6" s="8" t="n">
        <v>2021</v>
      </c>
      <c r="AY6" s="8" t="inlineStr">
        <is>
          <t>Q1/22</t>
        </is>
      </c>
      <c r="AZ6" s="8" t="inlineStr">
        <is>
          <t>Q2/22</t>
        </is>
      </c>
      <c r="BA6" s="8" t="inlineStr">
        <is>
          <t>Q3/22</t>
        </is>
      </c>
      <c r="BB6" s="8" t="inlineStr">
        <is>
          <t>Q4/22</t>
        </is>
      </c>
      <c r="BC6" s="8" t="n">
        <v>2022</v>
      </c>
      <c r="BD6" s="8" t="inlineStr">
        <is>
          <t>Q1/23</t>
        </is>
      </c>
      <c r="BE6" s="8" t="inlineStr">
        <is>
          <t>Q2/23</t>
        </is>
      </c>
      <c r="BF6" s="8" t="inlineStr">
        <is>
          <t>Q3/23</t>
        </is>
      </c>
      <c r="BG6" s="8" t="inlineStr">
        <is>
          <t>Q4/23</t>
        </is>
      </c>
      <c r="BH6" s="8" t="n">
        <v>2023</v>
      </c>
      <c r="BI6" s="8" t="inlineStr">
        <is>
          <t>Q1/24</t>
        </is>
      </c>
      <c r="BJ6" s="8" t="inlineStr">
        <is>
          <t>Q2/24</t>
        </is>
      </c>
      <c r="BK6" s="8" t="inlineStr">
        <is>
          <t>Q3/24</t>
        </is>
      </c>
      <c r="BL6" s="8" t="inlineStr">
        <is>
          <t>Q4/24</t>
        </is>
      </c>
      <c r="BM6" s="8" t="n">
        <v>2024</v>
      </c>
      <c r="BN6" s="8" t="inlineStr">
        <is>
          <t>Q1/25</t>
        </is>
      </c>
      <c r="BO6" s="8" t="inlineStr">
        <is>
          <t>Q2/25</t>
        </is>
      </c>
      <c r="BP6" s="8" t="inlineStr">
        <is>
          <t>Q3/25</t>
        </is>
      </c>
      <c r="BQ6" s="8" t="inlineStr">
        <is>
          <t>Q4/25</t>
        </is>
      </c>
      <c r="BR6" s="8" t="n">
        <v>2025</v>
      </c>
      <c r="BS6" s="8" t="inlineStr">
        <is>
          <t>Q1/26</t>
        </is>
      </c>
      <c r="BT6" s="8" t="inlineStr">
        <is>
          <t>Q2/26</t>
        </is>
      </c>
      <c r="BU6" s="8" t="inlineStr">
        <is>
          <t>Q3/26E</t>
        </is>
      </c>
      <c r="BV6" s="8" t="inlineStr">
        <is>
          <t>Q4/26E</t>
        </is>
      </c>
      <c r="BW6" s="8" t="inlineStr">
        <is>
          <t>2026E</t>
        </is>
      </c>
      <c r="BX6" s="8" t="inlineStr">
        <is>
          <t>2027E</t>
        </is>
      </c>
      <c r="BY6" s="8" t="inlineStr">
        <is>
          <t>2028E</t>
        </is>
      </c>
      <c r="BZ6" s="8" t="inlineStr">
        <is>
          <t>2029E</t>
        </is>
      </c>
      <c r="CA6" s="8" t="inlineStr">
        <is>
          <t>2030E</t>
        </is>
      </c>
      <c r="CB6" s="8" t="inlineStr">
        <is>
          <t>2031E</t>
        </is>
      </c>
      <c r="CC6" s="8" t="inlineStr">
        <is>
          <t>Modelling Notes</t>
        </is>
      </c>
      <c r="CE6" s="6" t="inlineStr">
        <is>
          <t>5Y CAGR</t>
        </is>
      </c>
      <c r="CF6" s="6" t="inlineStr">
        <is>
          <t>5Y CAGR</t>
        </is>
      </c>
      <c r="CG6" s="6" t="inlineStr">
        <is>
          <t>10Y CAGR</t>
        </is>
      </c>
      <c r="CH6" s="6" t="inlineStr">
        <is>
          <t>15Y CAGR</t>
        </is>
      </c>
    </row>
    <row r="7" ht="15" customHeight="1" s="251">
      <c r="CE7" s="9" t="inlineStr">
        <is>
          <t>26-'31</t>
        </is>
      </c>
      <c r="CF7" s="9" t="inlineStr">
        <is>
          <t>20-'25</t>
        </is>
      </c>
      <c r="CG7" s="9" t="inlineStr">
        <is>
          <t>15-'25</t>
        </is>
      </c>
      <c r="CH7" s="9" t="inlineStr">
        <is>
          <t>10-'25</t>
        </is>
      </c>
    </row>
    <row r="8" ht="15" customHeight="1" s="251">
      <c r="B8" s="10" t="inlineStr">
        <is>
          <t>DIVISION P&amp;L — RATINGS · INDICES · ENERGY · MARKET INTELLIGENCE (revenue by type × adjusted operating margin)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inlineStr">
        <is>
          <t>DIVISION BUILD — modelling logic (revenue by type → division revenue → division adjusted OP at the adjusted margin → − adjusted corporate unallocated + adjusted equity income = adjusted OP → GAAP P&amp;L)</t>
        </is>
      </c>
    </row>
    <row r="9" ht="15" customHeight="1" s="251">
      <c r="CK9" s="11" t="inlineStr">
        <is>
          <t>SCENARIO INPUT TABLE — driver assumptions per Bull / Base / Bear</t>
        </is>
      </c>
      <c r="CL9" s="12" t="inlineStr">
        <is>
          <t>Bull</t>
        </is>
      </c>
      <c r="CM9" s="12" t="inlineStr">
        <is>
          <t>Base</t>
        </is>
      </c>
      <c r="CN9" s="12" t="inlineStr">
        <is>
          <t>Bear</t>
        </is>
      </c>
      <c r="CO9" s="13" t="inlineStr">
        <is>
          <t>Bull / Bear = Base + Δ (Δ inputs on each block header). Outlook block = high / mid / low end of the FY26 guidance ranges.</t>
        </is>
      </c>
    </row>
    <row r="10" ht="15" customHeight="1" s="251">
      <c r="B10" s="14" t="inlineStr">
        <is>
          <t>S&amp;P Global Ratings (credit ratings, research &amp; analytics; Crisil) — "S&amp;P Ratings" 2010–15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  <c r="BP10" s="14" t="n"/>
      <c r="BQ10" s="14" t="n"/>
      <c r="BR10" s="14" t="n"/>
      <c r="BS10" s="14" t="n"/>
      <c r="BT10" s="14" t="n"/>
      <c r="BU10" s="14" t="n"/>
      <c r="BV10" s="14" t="n"/>
      <c r="BW10" s="14" t="n"/>
      <c r="BX10" s="14" t="n"/>
      <c r="BY10" s="14" t="n"/>
      <c r="BZ10" s="14" t="n"/>
      <c r="CA10" s="14" t="n"/>
      <c r="CB10" s="14" t="n"/>
      <c r="CC10" s="15" t="inlineStr">
        <is>
          <t>RATINGS — modelling logic</t>
        </is>
      </c>
    </row>
    <row r="11" ht="15" customHeight="1" s="251">
      <c r="B11" s="25" t="inlineStr">
        <is>
          <t xml:space="preserve">  Transaction revenue (new issuance: bonds, bank loans, structured finance)</t>
        </is>
      </c>
      <c r="C11" s="34" t="n"/>
      <c r="D11" s="253" t="n">
        <v>651</v>
      </c>
      <c r="E11" s="253" t="n">
        <v>903</v>
      </c>
      <c r="F11" s="253" t="n">
        <v>264</v>
      </c>
      <c r="G11" s="253" t="n">
        <v>287</v>
      </c>
      <c r="H11" s="253" t="n">
        <v>227</v>
      </c>
      <c r="I11" s="253" t="n">
        <v>257</v>
      </c>
      <c r="J11" s="253" t="n">
        <v>1035</v>
      </c>
      <c r="K11" s="253" t="n">
        <v>245</v>
      </c>
      <c r="L11" s="253" t="n">
        <v>327</v>
      </c>
      <c r="M11" s="253" t="n">
        <v>269</v>
      </c>
      <c r="N11" s="253" t="n">
        <v>288</v>
      </c>
      <c r="O11" s="253" t="n">
        <v>1129</v>
      </c>
      <c r="P11" s="253" t="n">
        <v>289</v>
      </c>
      <c r="Q11" s="253" t="n">
        <v>329</v>
      </c>
      <c r="R11" s="253" t="n">
        <v>244</v>
      </c>
      <c r="S11" s="253" t="n">
        <v>247</v>
      </c>
      <c r="T11" s="253" t="n">
        <v>1109</v>
      </c>
      <c r="U11" s="253" t="n">
        <v>225</v>
      </c>
      <c r="V11" s="253" t="n">
        <v>343</v>
      </c>
      <c r="W11" s="253" t="n">
        <v>299</v>
      </c>
      <c r="X11" s="253" t="n">
        <v>311</v>
      </c>
      <c r="Y11" s="253" t="n">
        <v>1178</v>
      </c>
      <c r="Z11" s="253" t="n">
        <v>373</v>
      </c>
      <c r="AA11" s="253" t="n">
        <v>394</v>
      </c>
      <c r="AB11" s="253" t="n">
        <v>372</v>
      </c>
      <c r="AC11" s="253" t="n">
        <v>401</v>
      </c>
      <c r="AD11" s="253" t="n">
        <v>1540</v>
      </c>
      <c r="AE11" s="253" t="n">
        <v>368</v>
      </c>
      <c r="AF11" s="253" t="n">
        <v>397</v>
      </c>
      <c r="AG11" s="253" t="n">
        <v>328</v>
      </c>
      <c r="AH11" s="253" t="n">
        <v>283</v>
      </c>
      <c r="AI11" s="253" t="n">
        <v>1377</v>
      </c>
      <c r="AJ11" s="253" t="n">
        <v>331</v>
      </c>
      <c r="AK11" s="253" t="n">
        <v>429</v>
      </c>
      <c r="AL11" s="253" t="n">
        <v>402</v>
      </c>
      <c r="AM11" s="253" t="n">
        <v>429</v>
      </c>
      <c r="AN11" s="253" t="n">
        <v>1577</v>
      </c>
      <c r="AO11" s="253" t="n">
        <v>432</v>
      </c>
      <c r="AP11" s="253" t="n">
        <v>624</v>
      </c>
      <c r="AQ11" s="253" t="n">
        <v>490</v>
      </c>
      <c r="AR11" s="253" t="n">
        <v>430</v>
      </c>
      <c r="AS11" s="253" t="n">
        <v>1977</v>
      </c>
      <c r="AT11" s="253" t="n">
        <v>582</v>
      </c>
      <c r="AU11" s="253" t="n">
        <v>615</v>
      </c>
      <c r="AV11" s="253" t="n">
        <v>551</v>
      </c>
      <c r="AW11" s="253" t="n">
        <v>504</v>
      </c>
      <c r="AX11" s="253" t="n">
        <v>2253</v>
      </c>
      <c r="AY11" s="34" t="n"/>
      <c r="AZ11" s="253" t="n">
        <v>344</v>
      </c>
      <c r="BA11" s="253" t="n">
        <v>244</v>
      </c>
      <c r="BB11" s="253" t="n">
        <v>249</v>
      </c>
      <c r="BC11" s="34" t="n"/>
      <c r="BD11" s="253" t="n">
        <v>379</v>
      </c>
      <c r="BE11" s="253" t="n">
        <v>383</v>
      </c>
      <c r="BF11" s="253" t="n">
        <v>326</v>
      </c>
      <c r="BG11" s="253" t="n">
        <v>338</v>
      </c>
      <c r="BH11" s="253" t="n">
        <v>1425</v>
      </c>
      <c r="BI11" s="253" t="n">
        <v>582</v>
      </c>
      <c r="BJ11" s="253" t="n">
        <v>626</v>
      </c>
      <c r="BK11" s="253" t="n">
        <v>597</v>
      </c>
      <c r="BL11" s="253" t="n">
        <v>521</v>
      </c>
      <c r="BM11" s="253" t="n">
        <v>2326</v>
      </c>
      <c r="BN11" s="253" t="n">
        <v>620</v>
      </c>
      <c r="BO11" s="253" t="n">
        <v>597</v>
      </c>
      <c r="BP11" s="253" t="n">
        <v>668</v>
      </c>
      <c r="BQ11" s="253" t="n">
        <v>585</v>
      </c>
      <c r="BR11" s="253" t="n">
        <v>2470</v>
      </c>
      <c r="BS11" s="253" t="n">
        <v>712</v>
      </c>
      <c r="BT11" s="253" t="n">
        <v>746</v>
      </c>
      <c r="BU11" s="254">
        <f>BP11*(1+BU12)</f>
        <v>749.429340054618</v>
      </c>
      <c r="BV11" s="254">
        <f>BQ11*(1+BV12)</f>
        <v>656.311622652622</v>
      </c>
      <c r="BW11" s="254">
        <f>SUM(BS11:BV11)</f>
        <v>2863.74096270724</v>
      </c>
      <c r="BX11" s="254">
        <f>BW11*(1+BX12)</f>
        <v>2949.65319158846</v>
      </c>
      <c r="BY11" s="254">
        <f>BX11*(1+BY12)</f>
        <v>3126.63238308376</v>
      </c>
      <c r="BZ11" s="254">
        <f>BY11*(1+BZ12)</f>
        <v>3314.23032606879</v>
      </c>
      <c r="CA11" s="254">
        <f>BZ11*(1+CA12)</f>
        <v>3479.94184237223</v>
      </c>
      <c r="CB11" s="254">
        <f>CA11*(1+CB12)</f>
        <v>3653.93893449084</v>
      </c>
      <c r="CC11" s="19" t="inlineStr">
        <is>
          <t>Revenue by type (release revenue-information exhibit; 10-K / 10-Q revenue note). Q3–Q4/26E: prior-year quarter × (1 + growth). 2027E+: prior year × (1 + scenario lever).</t>
        </is>
      </c>
      <c r="CE11" s="20">
        <f>IFERROR((CB11/BW11)^(1/5)-1,"n/m")</f>
        <v>0.0499424880311699</v>
      </c>
      <c r="CF11" s="20">
        <f>IFERROR((BR11/AS11)^(1/5)-1,"n/m")</f>
        <v>0.0455337507523577</v>
      </c>
      <c r="CG11" s="20">
        <f>IFERROR((BR11/T11)^(1/10)-1,"n/m")</f>
        <v>0.0833693401981337</v>
      </c>
      <c r="CH11" s="20" t="str">
        <f>IFERROR((BR11/C11)^(1/15)-1,"n/m")</f>
        <v>n/m</v>
      </c>
      <c r="CK11" s="15" t="inlineStr">
        <is>
          <t>FY26 guidance — Q2-26 release (28-Jul-2026), continuing operations excl. Mobility</t>
        </is>
      </c>
      <c r="CL11" s="21" t="inlineStr">
        <is>
          <t>High</t>
        </is>
      </c>
      <c r="CM11" s="21" t="inlineStr">
        <is>
          <t>Mid</t>
        </is>
      </c>
      <c r="CN11" s="21" t="inlineStr">
        <is>
          <t>Low</t>
        </is>
      </c>
      <c r="CO11" s="13" t="inlineStr">
        <is>
          <t>Revenue +5.9–7.9% (organic cc +6–8%) on FY2025 pro forma revenue $13,589m; adjusted EPS $17.50–17.75; GAAP EPS $16.35–16.60; adjusted margin +35–60 bp (+75–100 bp ex OSTTRA); deal amortization ~$785m; corporate unallocated $185–195m adjusted; interest $365–385m GAAP / $390–410m adjusted; tax 22–23%; capex $190–210m; &gt;$7bn of 2026 buybacks. Source: SEC EDGAR 8-K Ex. 99.1 (no unverified guidance used).</t>
        </is>
      </c>
    </row>
    <row r="12" ht="15" customHeight="1" s="251">
      <c r="B12" s="22" t="inlineStr">
        <is>
          <t xml:space="preserve">    y/y %</t>
        </is>
      </c>
      <c r="C12" s="23" t="n"/>
      <c r="D12" s="255">
        <f>IF(AND(ISNUMBER(D11),ISNUMBER(C11)),IFERROR(D11/C11-1,""),"")</f>
      </c>
      <c r="E12" s="255">
        <f>IF(AND(ISNUMBER(E11),ISNUMBER(D11)),IFERROR(E11/D11-1,""),"")</f>
        <v>0.387096774193549</v>
      </c>
      <c r="F12" s="23" t="n"/>
      <c r="G12" s="23" t="n"/>
      <c r="H12" s="23" t="n"/>
      <c r="I12" s="23" t="n"/>
      <c r="J12" s="255">
        <f>IF(AND(ISNUMBER(J11),ISNUMBER(E11)),IFERROR(J11/E11-1,""),"")</f>
        <v>0.146179401993356</v>
      </c>
      <c r="K12" s="255">
        <f>IF(AND(ISNUMBER(K11),ISNUMBER(F11)),IFERROR(K11/F11-1,""),"")</f>
        <v>-0.071969696969697</v>
      </c>
      <c r="L12" s="255">
        <f>IF(AND(ISNUMBER(L11),ISNUMBER(G11)),IFERROR(L11/G11-1,""),"")</f>
        <v>0.139372822299652</v>
      </c>
      <c r="M12" s="255">
        <f>IF(AND(ISNUMBER(M11),ISNUMBER(H11)),IFERROR(M11/H11-1,""),"")</f>
        <v>0.185022026431718</v>
      </c>
      <c r="N12" s="255">
        <f>IF(AND(ISNUMBER(N11),ISNUMBER(I11)),IFERROR(N11/I11-1,""),"")</f>
        <v>0.120622568093385</v>
      </c>
      <c r="O12" s="255">
        <f>IF(AND(ISNUMBER(O11),ISNUMBER(J11)),IFERROR(O11/J11-1,""),"")</f>
        <v>0.0908212560386474</v>
      </c>
      <c r="P12" s="255">
        <f>IF(AND(ISNUMBER(P11),ISNUMBER(K11)),IFERROR(P11/K11-1,""),"")</f>
        <v>0.179591836734694</v>
      </c>
      <c r="Q12" s="255">
        <f>IF(AND(ISNUMBER(Q11),ISNUMBER(L11)),IFERROR(Q11/L11-1,""),"")</f>
        <v>0.00611620795107037</v>
      </c>
      <c r="R12" s="255">
        <f>IF(AND(ISNUMBER(R11),ISNUMBER(M11)),IFERROR(R11/M11-1,""),"")</f>
        <v>-0.0929368029739777</v>
      </c>
      <c r="S12" s="255">
        <f>IF(AND(ISNUMBER(S11),ISNUMBER(N11)),IFERROR(S11/N11-1,""),"")</f>
        <v>-0.142361111111111</v>
      </c>
      <c r="T12" s="255">
        <f>IF(AND(ISNUMBER(T11),ISNUMBER(O11)),IFERROR(T11/O11-1,""),"")</f>
        <v>-0.0177147918511957</v>
      </c>
      <c r="U12" s="255">
        <f>IF(AND(ISNUMBER(U11),ISNUMBER(P11)),IFERROR(U11/P11-1,""),"")</f>
        <v>-0.221453287197232</v>
      </c>
      <c r="V12" s="255">
        <f>IF(AND(ISNUMBER(V11),ISNUMBER(Q11)),IFERROR(V11/Q11-1,""),"")</f>
        <v>0.0425531914893618</v>
      </c>
      <c r="W12" s="255">
        <f>IF(AND(ISNUMBER(W11),ISNUMBER(R11)),IFERROR(W11/R11-1,""),"")</f>
        <v>0.225409836065574</v>
      </c>
      <c r="X12" s="255">
        <f>IF(AND(ISNUMBER(X11),ISNUMBER(S11)),IFERROR(X11/S11-1,""),"")</f>
        <v>0.259109311740891</v>
      </c>
      <c r="Y12" s="255">
        <f>IF(AND(ISNUMBER(Y11),ISNUMBER(T11)),IFERROR(Y11/T11-1,""),"")</f>
        <v>0.0622182146077548</v>
      </c>
      <c r="Z12" s="255">
        <f>IF(AND(ISNUMBER(Z11),ISNUMBER(U11)),IFERROR(Z11/U11-1,""),"")</f>
        <v>0.657777777777778</v>
      </c>
      <c r="AA12" s="255">
        <f>IF(AND(ISNUMBER(AA11),ISNUMBER(V11)),IFERROR(AA11/V11-1,""),"")</f>
        <v>0.14868804664723</v>
      </c>
      <c r="AB12" s="255">
        <f>IF(AND(ISNUMBER(AB11),ISNUMBER(W11)),IFERROR(AB11/W11-1,""),"")</f>
        <v>0.244147157190636</v>
      </c>
      <c r="AC12" s="255">
        <f>IF(AND(ISNUMBER(AC11),ISNUMBER(X11)),IFERROR(AC11/X11-1,""),"")</f>
        <v>0.289389067524116</v>
      </c>
      <c r="AD12" s="255">
        <f>IF(AND(ISNUMBER(AD11),ISNUMBER(Y11)),IFERROR(AD11/Y11-1,""),"")</f>
        <v>0.307300509337861</v>
      </c>
      <c r="AE12" s="255">
        <f>IF(AND(ISNUMBER(AE11),ISNUMBER(Z11)),IFERROR(AE11/Z11-1,""),"")</f>
        <v>-0.0134048257372654</v>
      </c>
      <c r="AF12" s="255">
        <f>IF(AND(ISNUMBER(AF11),ISNUMBER(AA11)),IFERROR(AF11/AA11-1,""),"")</f>
        <v>0.00761421319796951</v>
      </c>
      <c r="AG12" s="255">
        <f>IF(AND(ISNUMBER(AG11),ISNUMBER(AB11)),IFERROR(AG11/AB11-1,""),"")</f>
        <v>-0.118279569892473</v>
      </c>
      <c r="AH12" s="255">
        <f>IF(AND(ISNUMBER(AH11),ISNUMBER(AC11)),IFERROR(AH11/AC11-1,""),"")</f>
        <v>-0.29426433915212</v>
      </c>
      <c r="AI12" s="255">
        <f>IF(AND(ISNUMBER(AI11),ISNUMBER(AD11)),IFERROR(AI11/AD11-1,""),"")</f>
        <v>-0.105844155844156</v>
      </c>
      <c r="AJ12" s="255">
        <f>IF(AND(ISNUMBER(AJ11),ISNUMBER(AE11)),IFERROR(AJ11/AE11-1,""),"")</f>
        <v>-0.10054347826087</v>
      </c>
      <c r="AK12" s="255">
        <f>IF(AND(ISNUMBER(AK11),ISNUMBER(AF11)),IFERROR(AK11/AF11-1,""),"")</f>
        <v>0.0806045340050379</v>
      </c>
      <c r="AL12" s="255">
        <f>IF(AND(ISNUMBER(AL11),ISNUMBER(AG11)),IFERROR(AL11/AG11-1,""),"")</f>
        <v>0.225609756097561</v>
      </c>
      <c r="AM12" s="255">
        <f>IF(AND(ISNUMBER(AM11),ISNUMBER(AH11)),IFERROR(AM11/AH11-1,""),"")</f>
        <v>0.515901060070671</v>
      </c>
      <c r="AN12" s="255">
        <f>IF(AND(ISNUMBER(AN11),ISNUMBER(AI11)),IFERROR(AN11/AI11-1,""),"")</f>
        <v>0.145243282498184</v>
      </c>
      <c r="AO12" s="255">
        <f>IF(AND(ISNUMBER(AO11),ISNUMBER(AJ11)),IFERROR(AO11/AJ11-1,""),"")</f>
        <v>0.305135951661631</v>
      </c>
      <c r="AP12" s="255">
        <f>IF(AND(ISNUMBER(AP11),ISNUMBER(AK11)),IFERROR(AP11/AK11-1,""),"")</f>
        <v>0.454545454545455</v>
      </c>
      <c r="AQ12" s="255">
        <f>IF(AND(ISNUMBER(AQ11),ISNUMBER(AL11)),IFERROR(AQ11/AL11-1,""),"")</f>
        <v>0.218905472636816</v>
      </c>
      <c r="AR12" s="255">
        <f>IF(AND(ISNUMBER(AR11),ISNUMBER(AM11)),IFERROR(AR11/AM11-1,""),"")</f>
        <v>0.00233100233100236</v>
      </c>
      <c r="AS12" s="255">
        <f>IF(AND(ISNUMBER(AS11),ISNUMBER(AN11)),IFERROR(AS11/AN11-1,""),"")</f>
        <v>0.253646163601776</v>
      </c>
      <c r="AT12" s="255">
        <f>IF(AND(ISNUMBER(AT11),ISNUMBER(AO11)),IFERROR(AT11/AO11-1,""),"")</f>
        <v>0.347222222222222</v>
      </c>
      <c r="AU12" s="255">
        <f>IF(AND(ISNUMBER(AU11),ISNUMBER(AP11)),IFERROR(AU11/AP11-1,""),"")</f>
        <v>-0.0144230769230769</v>
      </c>
      <c r="AV12" s="255">
        <f>IF(AND(ISNUMBER(AV11),ISNUMBER(AQ11)),IFERROR(AV11/AQ11-1,""),"")</f>
        <v>0.124489795918367</v>
      </c>
      <c r="AW12" s="255">
        <f>IF(AND(ISNUMBER(AW11),ISNUMBER(AR11)),IFERROR(AW11/AR11-1,""),"")</f>
        <v>0.172093023255814</v>
      </c>
      <c r="AX12" s="255">
        <f>IF(AND(ISNUMBER(AX11),ISNUMBER(AS11)),IFERROR(AX11/AS11-1,""),"")</f>
        <v>0.139605462822458</v>
      </c>
      <c r="AY12" s="255">
        <f>IF(AND(ISNUMBER(AY11),ISNUMBER(AT11)),IFERROR(AY11/AT11-1,""),"")</f>
      </c>
      <c r="AZ12" s="255">
        <f>IF(AND(ISNUMBER(AZ11),ISNUMBER(AU11)),IFERROR(AZ11/AU11-1,""),"")</f>
        <v>-0.440650406504065</v>
      </c>
      <c r="BA12" s="255">
        <f>IF(AND(ISNUMBER(BA11),ISNUMBER(AV11)),IFERROR(BA11/AV11-1,""),"")</f>
        <v>-0.557168784029038</v>
      </c>
      <c r="BB12" s="255">
        <f>IF(AND(ISNUMBER(BB11),ISNUMBER(AW11)),IFERROR(BB11/AW11-1,""),"")</f>
        <v>-0.505952380952381</v>
      </c>
      <c r="BC12" s="255">
        <f>IF(AND(ISNUMBER(BC11),ISNUMBER(AX11)),IFERROR(BC11/AX11-1,""),"")</f>
      </c>
      <c r="BD12" s="255">
        <f>IF(AND(ISNUMBER(BD11),ISNUMBER(AY11)),IFERROR(BD11/AY11-1,""),"")</f>
      </c>
      <c r="BE12" s="255">
        <f>IF(AND(ISNUMBER(BE11),ISNUMBER(AZ11)),IFERROR(BE11/AZ11-1,""),"")</f>
        <v>0.113372093023256</v>
      </c>
      <c r="BF12" s="255">
        <f>IF(AND(ISNUMBER(BF11),ISNUMBER(BA11)),IFERROR(BF11/BA11-1,""),"")</f>
        <v>0.336065573770492</v>
      </c>
      <c r="BG12" s="255">
        <f>IF(AND(ISNUMBER(BG11),ISNUMBER(BB11)),IFERROR(BG11/BB11-1,""),"")</f>
        <v>0.357429718875502</v>
      </c>
      <c r="BH12" s="255">
        <f>IF(AND(ISNUMBER(BH11),ISNUMBER(BC11)),IFERROR(BH11/BC11-1,""),"")</f>
      </c>
      <c r="BI12" s="255">
        <f>IF(AND(ISNUMBER(BI11),ISNUMBER(BD11)),IFERROR(BI11/BD11-1,""),"")</f>
        <v>0.535620052770448</v>
      </c>
      <c r="BJ12" s="255">
        <f>IF(AND(ISNUMBER(BJ11),ISNUMBER(BE11)),IFERROR(BJ11/BE11-1,""),"")</f>
        <v>0.634464751958225</v>
      </c>
      <c r="BK12" s="255">
        <f>IF(AND(ISNUMBER(BK11),ISNUMBER(BF11)),IFERROR(BK11/BF11-1,""),"")</f>
        <v>0.831288343558282</v>
      </c>
      <c r="BL12" s="255">
        <f>IF(AND(ISNUMBER(BL11),ISNUMBER(BG11)),IFERROR(BL11/BG11-1,""),"")</f>
        <v>0.541420118343195</v>
      </c>
      <c r="BM12" s="255">
        <f>IF(AND(ISNUMBER(BM11),ISNUMBER(BH11)),IFERROR(BM11/BH11-1,""),"")</f>
        <v>0.632280701754386</v>
      </c>
      <c r="BN12" s="255">
        <f>IF(AND(ISNUMBER(BN11),ISNUMBER(BI11)),IFERROR(BN11/BI11-1,""),"")</f>
        <v>0.0652920962199313</v>
      </c>
      <c r="BO12" s="255">
        <f>IF(AND(ISNUMBER(BO11),ISNUMBER(BJ11)),IFERROR(BO11/BJ11-1,""),"")</f>
        <v>-0.0463258785942492</v>
      </c>
      <c r="BP12" s="255">
        <f>IF(AND(ISNUMBER(BP11),ISNUMBER(BK11)),IFERROR(BP11/BK11-1,""),"")</f>
        <v>0.11892797319933</v>
      </c>
      <c r="BQ12" s="255">
        <f>IF(AND(ISNUMBER(BQ11),ISNUMBER(BL11)),IFERROR(BQ11/BL11-1,""),"")</f>
        <v>0.122840690978887</v>
      </c>
      <c r="BR12" s="255">
        <f>IF(AND(ISNUMBER(BR11),ISNUMBER(BM11)),IFERROR(BR11/BM11-1,""),"")</f>
        <v>0.061908856405847</v>
      </c>
      <c r="BS12" s="255">
        <f>IF(AND(ISNUMBER(BS11),ISNUMBER(BN11)),IFERROR(BS11/BN11-1,""),"")</f>
        <v>0.148387096774194</v>
      </c>
      <c r="BT12" s="255">
        <f>IF(AND(ISNUMBER(BT11),ISNUMBER(BO11)),IFERROR(BT11/BO11-1,""),"")</f>
        <v>0.249581239530988</v>
      </c>
      <c r="BU12" s="256">
        <f>$BW$13+$BW$149</f>
        <v>0.121900209662601</v>
      </c>
      <c r="BV12" s="256">
        <f>$BW$13+$BW$149</f>
        <v>0.121900209662601</v>
      </c>
      <c r="BW12" s="256">
        <f>IF(AND(ISNUMBER(BW11),ISNUMBER(BR11)),IFERROR(BW11/BR11-1,""),"")</f>
        <v>0.159409296642607</v>
      </c>
      <c r="BX12" s="256">
        <f>CHOOSE(MATCH($CC$2,{"Bull","Base","Bear"},0),$CL$35,$CM$35,$CN$35)</f>
        <v>0.03</v>
      </c>
      <c r="BY12" s="256">
        <f>CHOOSE(MATCH($CC$2,{"Bull","Base","Bear"},0),$CL$36,$CM$36,$CN$36)</f>
        <v>0.06</v>
      </c>
      <c r="BZ12" s="256">
        <f>CHOOSE(MATCH($CC$2,{"Bull","Base","Bear"},0),$CL$37,$CM$37,$CN$37)</f>
        <v>0.06</v>
      </c>
      <c r="CA12" s="256">
        <f>CHOOSE(MATCH($CC$2,{"Bull","Base","Bear"},0),$CL$38,$CM$38,$CN$38)</f>
        <v>0.05</v>
      </c>
      <c r="CB12" s="256">
        <f>CHOOSE(MATCH($CC$2,{"Bull","Base","Bear"},0),$CL$39,$CM$39,$CN$39)</f>
        <v>0.05</v>
      </c>
      <c r="CC12" s="153" t="inlineStr">
        <is>
          <t>Q3–Q4/26E: 1H-26 y/y growth of the line + revenue-guidance calibration Δ (Group block). 2027E–2031E: scenario lever.</t>
        </is>
      </c>
      <c r="CK12" s="25" t="inlineStr">
        <is>
          <t xml:space="preserve">  FY26 revenue growth (vs FY2025 pro forma)</t>
        </is>
      </c>
      <c r="CL12" s="257" t="n">
        <v>0.079</v>
      </c>
      <c r="CM12" s="257" t="n">
        <v>0.06900000000000001</v>
      </c>
      <c r="CN12" s="257" t="n">
        <v>0.059</v>
      </c>
      <c r="CO12" s="13" t="inlineStr">
        <is>
          <t>Guided +5.9–7.9%. Drives the Q3–Q4/26E revenue calibration.</t>
        </is>
      </c>
    </row>
    <row r="13" ht="15" customHeight="1" s="251">
      <c r="B13" s="25" t="inlineStr">
        <is>
          <t xml:space="preserve">    Q3–Q4/26E growth before revenue calibration (1H-26 y/y)</t>
        </is>
      </c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  <c r="AP13" s="36" t="n"/>
      <c r="AQ13" s="36" t="n"/>
      <c r="AR13" s="36" t="n"/>
      <c r="AS13" s="36" t="n"/>
      <c r="AT13" s="36" t="n"/>
      <c r="AU13" s="36" t="n"/>
      <c r="AV13" s="36" t="n"/>
      <c r="AW13" s="36" t="n"/>
      <c r="AX13" s="36" t="n"/>
      <c r="AY13" s="36" t="n"/>
      <c r="AZ13" s="36" t="n"/>
      <c r="BA13" s="36" t="n"/>
      <c r="BB13" s="36" t="n"/>
      <c r="BC13" s="36" t="n"/>
      <c r="BD13" s="36" t="n"/>
      <c r="BE13" s="36" t="n"/>
      <c r="BF13" s="36" t="n"/>
      <c r="BG13" s="36" t="n"/>
      <c r="BH13" s="36" t="n"/>
      <c r="BI13" s="36" t="n"/>
      <c r="BJ13" s="36" t="n"/>
      <c r="BK13" s="36" t="n"/>
      <c r="BL13" s="36" t="n"/>
      <c r="BM13" s="36" t="n"/>
      <c r="BN13" s="36" t="n"/>
      <c r="BO13" s="36" t="n"/>
      <c r="BP13" s="36" t="n"/>
      <c r="BQ13" s="36" t="n"/>
      <c r="BR13" s="36" t="n"/>
      <c r="BS13" s="36" t="n"/>
      <c r="BT13" s="36" t="n"/>
      <c r="BU13" s="24" t="n"/>
      <c r="BV13" s="24" t="n"/>
      <c r="BW13" s="256">
        <f>IFERROR(SUM(BS11:BT11)/SUM(BN11:BO11)-1,0)</f>
        <v>0.198027937551356</v>
      </c>
      <c r="BX13" s="46" t="n"/>
      <c r="BY13" s="46" t="n"/>
      <c r="BZ13" s="46" t="n"/>
      <c r="CA13" s="46" t="n"/>
      <c r="CB13" s="46" t="n"/>
      <c r="CC13" s="19" t="n"/>
      <c r="CK13" s="25" t="inlineStr">
        <is>
          <t xml:space="preserve">  FY26 adjusted diluted EPS ($)</t>
        </is>
      </c>
      <c r="CL13" s="258" t="n">
        <v>17.75</v>
      </c>
      <c r="CM13" s="258" t="n">
        <v>17.625</v>
      </c>
      <c r="CN13" s="258" t="n">
        <v>17.5</v>
      </c>
      <c r="CO13" s="13" t="inlineStr">
        <is>
          <t>Guided $17.50–17.75. Drives the margin calibration.</t>
        </is>
      </c>
    </row>
    <row r="14" ht="15" customHeight="1" s="251">
      <c r="B14" s="25" t="inlineStr">
        <is>
          <t xml:space="preserve">  Non-transaction revenue (surveillance, frequent-issuer programs, Crisil &amp; other)</t>
        </is>
      </c>
      <c r="C14" s="34" t="n"/>
      <c r="D14" s="253" t="n">
        <v>1116</v>
      </c>
      <c r="E14" s="253" t="n">
        <v>1131</v>
      </c>
      <c r="F14" s="253" t="n">
        <v>297</v>
      </c>
      <c r="G14" s="253" t="n">
        <v>312</v>
      </c>
      <c r="H14" s="253" t="n">
        <v>313</v>
      </c>
      <c r="I14" s="253" t="n">
        <v>317</v>
      </c>
      <c r="J14" s="253" t="n">
        <v>1239</v>
      </c>
      <c r="K14" s="253" t="n">
        <v>324</v>
      </c>
      <c r="L14" s="253" t="n">
        <v>337</v>
      </c>
      <c r="M14" s="253" t="n">
        <v>335</v>
      </c>
      <c r="N14" s="253" t="n">
        <v>330</v>
      </c>
      <c r="O14" s="253" t="n">
        <v>1326</v>
      </c>
      <c r="P14" s="253" t="n">
        <v>317</v>
      </c>
      <c r="Q14" s="253" t="n">
        <v>329</v>
      </c>
      <c r="R14" s="253" t="n">
        <v>343</v>
      </c>
      <c r="S14" s="253" t="n">
        <v>331</v>
      </c>
      <c r="T14" s="253" t="n">
        <v>1319</v>
      </c>
      <c r="U14" s="253" t="n">
        <v>327</v>
      </c>
      <c r="V14" s="253" t="n">
        <v>339</v>
      </c>
      <c r="W14" s="253" t="n">
        <v>343</v>
      </c>
      <c r="X14" s="253" t="n">
        <v>347</v>
      </c>
      <c r="Y14" s="253" t="n">
        <v>1357</v>
      </c>
      <c r="Z14" s="253" t="n">
        <v>341</v>
      </c>
      <c r="AA14" s="253" t="n">
        <v>353</v>
      </c>
      <c r="AB14" s="253" t="n">
        <v>367</v>
      </c>
      <c r="AC14" s="253" t="n">
        <v>388</v>
      </c>
      <c r="AD14" s="253" t="n">
        <v>1448</v>
      </c>
      <c r="AE14" s="253" t="n">
        <v>380</v>
      </c>
      <c r="AF14" s="253" t="n">
        <v>378</v>
      </c>
      <c r="AG14" s="253" t="n">
        <v>372</v>
      </c>
      <c r="AH14" s="253" t="n">
        <v>378</v>
      </c>
      <c r="AI14" s="253" t="n">
        <v>1506</v>
      </c>
      <c r="AJ14" s="253" t="n">
        <v>365</v>
      </c>
      <c r="AK14" s="253" t="n">
        <v>372</v>
      </c>
      <c r="AL14" s="253" t="n">
        <v>387</v>
      </c>
      <c r="AM14" s="253" t="n">
        <v>391</v>
      </c>
      <c r="AN14" s="253" t="n">
        <v>1529</v>
      </c>
      <c r="AO14" s="253" t="n">
        <v>393</v>
      </c>
      <c r="AP14" s="253" t="n">
        <v>382</v>
      </c>
      <c r="AQ14" s="253" t="n">
        <v>404</v>
      </c>
      <c r="AR14" s="253" t="n">
        <v>451</v>
      </c>
      <c r="AS14" s="253" t="n">
        <v>1629</v>
      </c>
      <c r="AT14" s="253" t="n">
        <v>435</v>
      </c>
      <c r="AU14" s="253" t="n">
        <v>458</v>
      </c>
      <c r="AV14" s="253" t="n">
        <v>466</v>
      </c>
      <c r="AW14" s="253" t="n">
        <v>485</v>
      </c>
      <c r="AX14" s="253" t="n">
        <v>1844</v>
      </c>
      <c r="AY14" s="34" t="n"/>
      <c r="AZ14" s="253" t="n">
        <v>452</v>
      </c>
      <c r="BA14" s="253" t="n">
        <v>437</v>
      </c>
      <c r="BB14" s="253" t="n">
        <v>456</v>
      </c>
      <c r="BC14" s="34" t="n"/>
      <c r="BD14" s="253" t="n">
        <v>445</v>
      </c>
      <c r="BE14" s="253" t="n">
        <v>468</v>
      </c>
      <c r="BF14" s="253" t="n">
        <v>493</v>
      </c>
      <c r="BG14" s="253" t="n">
        <v>500</v>
      </c>
      <c r="BH14" s="253" t="n">
        <v>1907</v>
      </c>
      <c r="BI14" s="253" t="n">
        <v>480</v>
      </c>
      <c r="BJ14" s="253" t="n">
        <v>509</v>
      </c>
      <c r="BK14" s="253" t="n">
        <v>513</v>
      </c>
      <c r="BL14" s="253" t="n">
        <v>541</v>
      </c>
      <c r="BM14" s="253" t="n">
        <v>2044</v>
      </c>
      <c r="BN14" s="253" t="n">
        <v>529</v>
      </c>
      <c r="BO14" s="253" t="n">
        <v>551</v>
      </c>
      <c r="BP14" s="253" t="n">
        <v>572</v>
      </c>
      <c r="BQ14" s="253" t="n">
        <v>602</v>
      </c>
      <c r="BR14" s="253" t="n">
        <v>2254</v>
      </c>
      <c r="BS14" s="253" t="n">
        <v>590</v>
      </c>
      <c r="BT14" s="253" t="n">
        <v>593</v>
      </c>
      <c r="BU14" s="254">
        <f>BP14*(1+BU15)</f>
        <v>583.006791499484</v>
      </c>
      <c r="BV14" s="254">
        <f>BQ14*(1+BV15)</f>
        <v>613.584070773933</v>
      </c>
      <c r="BW14" s="254">
        <f>SUM(BS14:BV14)</f>
        <v>2379.59086227342</v>
      </c>
      <c r="BX14" s="254">
        <f>BW14*(1+BX15)</f>
        <v>2546.16222263256</v>
      </c>
      <c r="BY14" s="254">
        <f>BX14*(1+BY15)</f>
        <v>2724.39357821684</v>
      </c>
      <c r="BZ14" s="254">
        <f>BY14*(1+BZ15)</f>
        <v>2887.85719290985</v>
      </c>
      <c r="CA14" s="254">
        <f>BZ14*(1+CA15)</f>
        <v>3061.12862448444</v>
      </c>
      <c r="CB14" s="254">
        <f>CA14*(1+CB15)</f>
        <v>3244.7963419535</v>
      </c>
      <c r="CC14" s="19" t="n"/>
      <c r="CE14" s="20">
        <f>IFERROR((CB14/BW14)^(1/5)-1,"n/m")</f>
        <v>0.063988735858129</v>
      </c>
      <c r="CF14" s="20">
        <f>IFERROR((BR14/AS14)^(1/5)-1,"n/m")</f>
        <v>0.0671035519113836</v>
      </c>
      <c r="CG14" s="20">
        <f>IFERROR((BR14/T14)^(1/10)-1,"n/m")</f>
        <v>0.0550448250117617</v>
      </c>
      <c r="CH14" s="20" t="str">
        <f>IFERROR((BR14/C14)^(1/15)-1,"n/m")</f>
        <v>n/m</v>
      </c>
      <c r="CK14" s="25" t="inlineStr">
        <is>
          <t xml:space="preserve">  FY26 GAAP diluted EPS, continuing ($) — memo</t>
        </is>
      </c>
      <c r="CL14" s="258" t="n">
        <v>16.6</v>
      </c>
      <c r="CM14" s="258" t="n">
        <v>16.475</v>
      </c>
      <c r="CN14" s="258" t="n">
        <v>16.35</v>
      </c>
      <c r="CO14" s="13" t="inlineStr">
        <is>
          <t>Guided $16.35–16.60 (information row).</t>
        </is>
      </c>
    </row>
    <row r="15" ht="15" customHeight="1" s="251">
      <c r="B15" s="22" t="inlineStr">
        <is>
          <t xml:space="preserve">    y/y %</t>
        </is>
      </c>
      <c r="C15" s="23" t="n"/>
      <c r="D15" s="255">
        <f>IF(AND(ISNUMBER(D14),ISNUMBER(C14)),IFERROR(D14/C14-1,""),"")</f>
      </c>
      <c r="E15" s="255">
        <f>IF(AND(ISNUMBER(E14),ISNUMBER(D14)),IFERROR(E14/D14-1,""),"")</f>
        <v>0.0134408602150538</v>
      </c>
      <c r="F15" s="23" t="n"/>
      <c r="G15" s="23" t="n"/>
      <c r="H15" s="23" t="n"/>
      <c r="I15" s="23" t="n"/>
      <c r="J15" s="255">
        <f>IF(AND(ISNUMBER(J14),ISNUMBER(E14)),IFERROR(J14/E14-1,""),"")</f>
        <v>0.0954907161803713</v>
      </c>
      <c r="K15" s="255">
        <f>IF(AND(ISNUMBER(K14),ISNUMBER(F14)),IFERROR(K14/F14-1,""),"")</f>
        <v>0.0909090909090908</v>
      </c>
      <c r="L15" s="255">
        <f>IF(AND(ISNUMBER(L14),ISNUMBER(G14)),IFERROR(L14/G14-1,""),"")</f>
        <v>0.0801282051282051</v>
      </c>
      <c r="M15" s="255">
        <f>IF(AND(ISNUMBER(M14),ISNUMBER(H14)),IFERROR(M14/H14-1,""),"")</f>
        <v>0.0702875399361023</v>
      </c>
      <c r="N15" s="255">
        <f>IF(AND(ISNUMBER(N14),ISNUMBER(I14)),IFERROR(N14/I14-1,""),"")</f>
        <v>0.0410094637223974</v>
      </c>
      <c r="O15" s="255">
        <f>IF(AND(ISNUMBER(O14),ISNUMBER(J14)),IFERROR(O14/J14-1,""),"")</f>
        <v>0.0702179176755449</v>
      </c>
      <c r="P15" s="255">
        <f>IF(AND(ISNUMBER(P14),ISNUMBER(K14)),IFERROR(P14/K14-1,""),"")</f>
        <v>-0.0216049382716049</v>
      </c>
      <c r="Q15" s="255">
        <f>IF(AND(ISNUMBER(Q14),ISNUMBER(L14)),IFERROR(Q14/L14-1,""),"")</f>
        <v>-0.0237388724035609</v>
      </c>
      <c r="R15" s="255">
        <f>IF(AND(ISNUMBER(R14),ISNUMBER(M14)),IFERROR(R14/M14-1,""),"")</f>
        <v>0.0238805970149254</v>
      </c>
      <c r="S15" s="255">
        <f>IF(AND(ISNUMBER(S14),ISNUMBER(N14)),IFERROR(S14/N14-1,""),"")</f>
        <v>0.00303030303030294</v>
      </c>
      <c r="T15" s="255">
        <f>IF(AND(ISNUMBER(T14),ISNUMBER(O14)),IFERROR(T14/O14-1,""),"")</f>
        <v>-0.00527903469079938</v>
      </c>
      <c r="U15" s="255">
        <f>IF(AND(ISNUMBER(U14),ISNUMBER(P14)),IFERROR(U14/P14-1,""),"")</f>
        <v>0.0315457413249212</v>
      </c>
      <c r="V15" s="255">
        <f>IF(AND(ISNUMBER(V14),ISNUMBER(Q14)),IFERROR(V14/Q14-1,""),"")</f>
        <v>0.0303951367781155</v>
      </c>
      <c r="W15" s="255">
        <f>IF(AND(ISNUMBER(W14),ISNUMBER(R14)),IFERROR(W14/R14-1,""),"")</f>
        <v>0</v>
      </c>
      <c r="X15" s="255">
        <f>IF(AND(ISNUMBER(X14),ISNUMBER(S14)),IFERROR(X14/S14-1,""),"")</f>
        <v>0.0483383685800605</v>
      </c>
      <c r="Y15" s="255">
        <f>IF(AND(ISNUMBER(Y14),ISNUMBER(T14)),IFERROR(Y14/T14-1,""),"")</f>
        <v>0.0288097043214557</v>
      </c>
      <c r="Z15" s="255">
        <f>IF(AND(ISNUMBER(Z14),ISNUMBER(U14)),IFERROR(Z14/U14-1,""),"")</f>
        <v>0.0428134556574924</v>
      </c>
      <c r="AA15" s="255">
        <f>IF(AND(ISNUMBER(AA14),ISNUMBER(V14)),IFERROR(AA14/V14-1,""),"")</f>
        <v>0.0412979351032448</v>
      </c>
      <c r="AB15" s="255">
        <f>IF(AND(ISNUMBER(AB14),ISNUMBER(W14)),IFERROR(AB14/W14-1,""),"")</f>
        <v>0.0699708454810495</v>
      </c>
      <c r="AC15" s="255">
        <f>IF(AND(ISNUMBER(AC14),ISNUMBER(X14)),IFERROR(AC14/X14-1,""),"")</f>
        <v>0.118155619596542</v>
      </c>
      <c r="AD15" s="255">
        <f>IF(AND(ISNUMBER(AD14),ISNUMBER(Y14)),IFERROR(AD14/Y14-1,""),"")</f>
        <v>0.0670596904937362</v>
      </c>
      <c r="AE15" s="255">
        <f>IF(AND(ISNUMBER(AE14),ISNUMBER(Z14)),IFERROR(AE14/Z14-1,""),"")</f>
        <v>0.114369501466276</v>
      </c>
      <c r="AF15" s="255">
        <f>IF(AND(ISNUMBER(AF14),ISNUMBER(AA14)),IFERROR(AF14/AA14-1,""),"")</f>
        <v>0.0708215297450425</v>
      </c>
      <c r="AG15" s="255">
        <f>IF(AND(ISNUMBER(AG14),ISNUMBER(AB14)),IFERROR(AG14/AB14-1,""),"")</f>
        <v>0.013623978201635</v>
      </c>
      <c r="AH15" s="255">
        <f>IF(AND(ISNUMBER(AH14),ISNUMBER(AC14)),IFERROR(AH14/AC14-1,""),"")</f>
        <v>-0.0257731958762887</v>
      </c>
      <c r="AI15" s="255">
        <f>IF(AND(ISNUMBER(AI14),ISNUMBER(AD14)),IFERROR(AI14/AD14-1,""),"")</f>
        <v>0.0400552486187846</v>
      </c>
      <c r="AJ15" s="255">
        <f>IF(AND(ISNUMBER(AJ14),ISNUMBER(AE14)),IFERROR(AJ14/AE14-1,""),"")</f>
        <v>-0.0394736842105263</v>
      </c>
      <c r="AK15" s="255">
        <f>IF(AND(ISNUMBER(AK14),ISNUMBER(AF14)),IFERROR(AK14/AF14-1,""),"")</f>
        <v>-0.0158730158730159</v>
      </c>
      <c r="AL15" s="255">
        <f>IF(AND(ISNUMBER(AL14),ISNUMBER(AG14)),IFERROR(AL14/AG14-1,""),"")</f>
        <v>0.0403225806451613</v>
      </c>
      <c r="AM15" s="255">
        <f>IF(AND(ISNUMBER(AM14),ISNUMBER(AH14)),IFERROR(AM14/AH14-1,""),"")</f>
        <v>0.0343915343915344</v>
      </c>
      <c r="AN15" s="255">
        <f>IF(AND(ISNUMBER(AN14),ISNUMBER(AI14)),IFERROR(AN14/AI14-1,""),"")</f>
        <v>0.0152722443559097</v>
      </c>
      <c r="AO15" s="255">
        <f>IF(AND(ISNUMBER(AO14),ISNUMBER(AJ14)),IFERROR(AO14/AJ14-1,""),"")</f>
        <v>0.0767123287671232</v>
      </c>
      <c r="AP15" s="255">
        <f>IF(AND(ISNUMBER(AP14),ISNUMBER(AK14)),IFERROR(AP14/AK14-1,""),"")</f>
        <v>0.0268817204301075</v>
      </c>
      <c r="AQ15" s="255">
        <f>IF(AND(ISNUMBER(AQ14),ISNUMBER(AL14)),IFERROR(AQ14/AL14-1,""),"")</f>
        <v>0.0439276485788114</v>
      </c>
      <c r="AR15" s="255">
        <f>IF(AND(ISNUMBER(AR14),ISNUMBER(AM14)),IFERROR(AR14/AM14-1,""),"")</f>
        <v>0.153452685421995</v>
      </c>
      <c r="AS15" s="255">
        <f>IF(AND(ISNUMBER(AS14),ISNUMBER(AN14)),IFERROR(AS14/AN14-1,""),"")</f>
        <v>0.0654022236756049</v>
      </c>
      <c r="AT15" s="255">
        <f>IF(AND(ISNUMBER(AT14),ISNUMBER(AO14)),IFERROR(AT14/AO14-1,""),"")</f>
        <v>0.106870229007634</v>
      </c>
      <c r="AU15" s="255">
        <f>IF(AND(ISNUMBER(AU14),ISNUMBER(AP14)),IFERROR(AU14/AP14-1,""),"")</f>
        <v>0.198952879581152</v>
      </c>
      <c r="AV15" s="255">
        <f>IF(AND(ISNUMBER(AV14),ISNUMBER(AQ14)),IFERROR(AV14/AQ14-1,""),"")</f>
        <v>0.153465346534653</v>
      </c>
      <c r="AW15" s="255">
        <f>IF(AND(ISNUMBER(AW14),ISNUMBER(AR14)),IFERROR(AW14/AR14-1,""),"")</f>
        <v>0.0753880266075389</v>
      </c>
      <c r="AX15" s="255">
        <f>IF(AND(ISNUMBER(AX14),ISNUMBER(AS14)),IFERROR(AX14/AS14-1,""),"")</f>
        <v>0.131982811540823</v>
      </c>
      <c r="AY15" s="255">
        <f>IF(AND(ISNUMBER(AY14),ISNUMBER(AT14)),IFERROR(AY14/AT14-1,""),"")</f>
      </c>
      <c r="AZ15" s="255">
        <f>IF(AND(ISNUMBER(AZ14),ISNUMBER(AU14)),IFERROR(AZ14/AU14-1,""),"")</f>
        <v>-0.0131004366812227</v>
      </c>
      <c r="BA15" s="255">
        <f>IF(AND(ISNUMBER(BA14),ISNUMBER(AV14)),IFERROR(BA14/AV14-1,""),"")</f>
        <v>-0.0622317596566524</v>
      </c>
      <c r="BB15" s="255">
        <f>IF(AND(ISNUMBER(BB14),ISNUMBER(AW14)),IFERROR(BB14/AW14-1,""),"")</f>
        <v>-0.0597938144329897</v>
      </c>
      <c r="BC15" s="255">
        <f>IF(AND(ISNUMBER(BC14),ISNUMBER(AX14)),IFERROR(BC14/AX14-1,""),"")</f>
      </c>
      <c r="BD15" s="255">
        <f>IF(AND(ISNUMBER(BD14),ISNUMBER(AY14)),IFERROR(BD14/AY14-1,""),"")</f>
      </c>
      <c r="BE15" s="255">
        <f>IF(AND(ISNUMBER(BE14),ISNUMBER(AZ14)),IFERROR(BE14/AZ14-1,""),"")</f>
        <v>0.0353982300884956</v>
      </c>
      <c r="BF15" s="255">
        <f>IF(AND(ISNUMBER(BF14),ISNUMBER(BA14)),IFERROR(BF14/BA14-1,""),"")</f>
        <v>0.128146453089245</v>
      </c>
      <c r="BG15" s="255">
        <f>IF(AND(ISNUMBER(BG14),ISNUMBER(BB14)),IFERROR(BG14/BB14-1,""),"")</f>
        <v>0.0964912280701755</v>
      </c>
      <c r="BH15" s="255">
        <f>IF(AND(ISNUMBER(BH14),ISNUMBER(BC14)),IFERROR(BH14/BC14-1,""),"")</f>
      </c>
      <c r="BI15" s="255">
        <f>IF(AND(ISNUMBER(BI14),ISNUMBER(BD14)),IFERROR(BI14/BD14-1,""),"")</f>
        <v>0.0786516853932584</v>
      </c>
      <c r="BJ15" s="255">
        <f>IF(AND(ISNUMBER(BJ14),ISNUMBER(BE14)),IFERROR(BJ14/BE14-1,""),"")</f>
        <v>0.0876068376068375</v>
      </c>
      <c r="BK15" s="255">
        <f>IF(AND(ISNUMBER(BK14),ISNUMBER(BF14)),IFERROR(BK14/BF14-1,""),"")</f>
        <v>0.0405679513184585</v>
      </c>
      <c r="BL15" s="255">
        <f>IF(AND(ISNUMBER(BL14),ISNUMBER(BG14)),IFERROR(BL14/BG14-1,""),"")</f>
        <v>0.0820000000000001</v>
      </c>
      <c r="BM15" s="255">
        <f>IF(AND(ISNUMBER(BM14),ISNUMBER(BH14)),IFERROR(BM14/BH14-1,""),"")</f>
        <v>0.0718405873099108</v>
      </c>
      <c r="BN15" s="255">
        <f>IF(AND(ISNUMBER(BN14),ISNUMBER(BI14)),IFERROR(BN14/BI14-1,""),"")</f>
        <v>0.102083333333333</v>
      </c>
      <c r="BO15" s="255">
        <f>IF(AND(ISNUMBER(BO14),ISNUMBER(BJ14)),IFERROR(BO14/BJ14-1,""),"")</f>
        <v>0.0825147347740669</v>
      </c>
      <c r="BP15" s="255">
        <f>IF(AND(ISNUMBER(BP14),ISNUMBER(BK14)),IFERROR(BP14/BK14-1,""),"")</f>
        <v>0.115009746588694</v>
      </c>
      <c r="BQ15" s="255">
        <f>IF(AND(ISNUMBER(BQ14),ISNUMBER(BL14)),IFERROR(BQ14/BL14-1,""),"")</f>
        <v>0.11275415896488</v>
      </c>
      <c r="BR15" s="255">
        <f>IF(AND(ISNUMBER(BR14),ISNUMBER(BM14)),IFERROR(BR14/BM14-1,""),"")</f>
        <v>0.102739726027397</v>
      </c>
      <c r="BS15" s="255">
        <f>IF(AND(ISNUMBER(BS14),ISNUMBER(BN14)),IFERROR(BS14/BN14-1,""),"")</f>
        <v>0.11531190926276</v>
      </c>
      <c r="BT15" s="255">
        <f>IF(AND(ISNUMBER(BT14),ISNUMBER(BO14)),IFERROR(BT14/BO14-1,""),"")</f>
        <v>0.0762250453720508</v>
      </c>
      <c r="BU15" s="256">
        <f>$BW$16+$BW$149</f>
        <v>0.0192426424816158</v>
      </c>
      <c r="BV15" s="256">
        <f>$BW$16+$BW$149</f>
        <v>0.0192426424816158</v>
      </c>
      <c r="BW15" s="256">
        <f>IF(AND(ISNUMBER(BW14),ISNUMBER(BR14)),IFERROR(BW14/BR14-1,""),"")</f>
        <v>0.0557191048240535</v>
      </c>
      <c r="BX15" s="256">
        <f>CHOOSE(MATCH($CC$2,{"Bull","Base","Bear"},0),$CL$41,$CM$41,$CN$41)</f>
        <v>0.07</v>
      </c>
      <c r="BY15" s="256">
        <f>CHOOSE(MATCH($CC$2,{"Bull","Base","Bear"},0),$CL$42,$CM$42,$CN$42)</f>
        <v>0.07</v>
      </c>
      <c r="BZ15" s="256">
        <f>CHOOSE(MATCH($CC$2,{"Bull","Base","Bear"},0),$CL$43,$CM$43,$CN$43)</f>
        <v>0.06</v>
      </c>
      <c r="CA15" s="256">
        <f>CHOOSE(MATCH($CC$2,{"Bull","Base","Bear"},0),$CL$44,$CM$44,$CN$44)</f>
        <v>0.06</v>
      </c>
      <c r="CB15" s="256">
        <f>CHOOSE(MATCH($CC$2,{"Bull","Base","Bear"},0),$CL$45,$CM$45,$CN$45)</f>
        <v>0.06</v>
      </c>
      <c r="CC15" s="153" t="n"/>
      <c r="CK15" s="25" t="inlineStr">
        <is>
          <t xml:space="preserve">  FY26 adjusted margin expansion (bp) — memo</t>
        </is>
      </c>
      <c r="CL15" s="259" t="n">
        <v>60</v>
      </c>
      <c r="CM15" s="259" t="n">
        <v>47.5</v>
      </c>
      <c r="CN15" s="259" t="n">
        <v>35</v>
      </c>
      <c r="CO15" s="13" t="inlineStr">
        <is>
          <t>Guided +35–60 bp vs FY2025 pro forma 51.3% (information row).</t>
        </is>
      </c>
    </row>
    <row r="16" ht="15" customHeight="1" s="251">
      <c r="B16" s="25" t="inlineStr">
        <is>
          <t xml:space="preserve">    Q3–Q4/26E growth before revenue calibration (1H-26 y/y)</t>
        </is>
      </c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  <c r="AP16" s="36" t="n"/>
      <c r="AQ16" s="36" t="n"/>
      <c r="AR16" s="36" t="n"/>
      <c r="AS16" s="36" t="n"/>
      <c r="AT16" s="36" t="n"/>
      <c r="AU16" s="36" t="n"/>
      <c r="AV16" s="36" t="n"/>
      <c r="AW16" s="36" t="n"/>
      <c r="AX16" s="36" t="n"/>
      <c r="AY16" s="36" t="n"/>
      <c r="AZ16" s="36" t="n"/>
      <c r="BA16" s="36" t="n"/>
      <c r="BB16" s="36" t="n"/>
      <c r="BC16" s="36" t="n"/>
      <c r="BD16" s="36" t="n"/>
      <c r="BE16" s="36" t="n"/>
      <c r="BF16" s="36" t="n"/>
      <c r="BG16" s="36" t="n"/>
      <c r="BH16" s="36" t="n"/>
      <c r="BI16" s="36" t="n"/>
      <c r="BJ16" s="36" t="n"/>
      <c r="BK16" s="36" t="n"/>
      <c r="BL16" s="36" t="n"/>
      <c r="BM16" s="36" t="n"/>
      <c r="BN16" s="36" t="n"/>
      <c r="BO16" s="36" t="n"/>
      <c r="BP16" s="36" t="n"/>
      <c r="BQ16" s="36" t="n"/>
      <c r="BR16" s="36" t="n"/>
      <c r="BS16" s="36" t="n"/>
      <c r="BT16" s="36" t="n"/>
      <c r="BU16" s="24" t="n"/>
      <c r="BV16" s="24" t="n"/>
      <c r="BW16" s="256">
        <f>IFERROR(SUM(BS14:BT14)/SUM(BN14:BO14)-1,0)</f>
        <v>0.0953703703703703</v>
      </c>
      <c r="BX16" s="46" t="n"/>
      <c r="BY16" s="46" t="n"/>
      <c r="BZ16" s="46" t="n"/>
      <c r="CA16" s="46" t="n"/>
      <c r="CB16" s="46" t="n"/>
      <c r="CC16" s="19" t="n"/>
      <c r="CK16" s="25" t="inlineStr">
        <is>
          <t xml:space="preserve">  FY26 organic constant-currency growth — memo</t>
        </is>
      </c>
      <c r="CL16" s="257" t="n">
        <v>0.08</v>
      </c>
      <c r="CM16" s="257" t="n">
        <v>0.07000000000000001</v>
      </c>
      <c r="CN16" s="257" t="n">
        <v>0.06</v>
      </c>
      <c r="CO16" s="13" t="inlineStr">
        <is>
          <t>Guided +6–8% (information row).</t>
        </is>
      </c>
    </row>
    <row r="17" ht="15" customHeight="1" s="251">
      <c r="B17" s="25" t="inlineStr">
        <is>
          <t xml:space="preserve">  Not split by type (history only: periods without a revenue-by-type table on this basis)</t>
        </is>
      </c>
      <c r="C17" s="211">
        <f>IF(ISNUMBER(C21),C21-(N(C11)+N(C14)),"")</f>
        <v>1695</v>
      </c>
      <c r="D17" s="211">
        <f>IF(ISNUMBER(D21),D21-(N(D11)+N(D14)),"")</f>
        <v>0</v>
      </c>
      <c r="E17" s="211">
        <f>IF(ISNUMBER(E21),E21-(N(E11)+N(E14)),"")</f>
        <v>0</v>
      </c>
      <c r="F17" s="211">
        <f>IF(ISNUMBER(F21),F21-(N(F11)+N(F14)),"")</f>
        <v>0</v>
      </c>
      <c r="G17" s="211">
        <f>IF(ISNUMBER(G21),G21-(N(G11)+N(G14)),"")</f>
        <v>0</v>
      </c>
      <c r="H17" s="211">
        <f>IF(ISNUMBER(H21),H21-(N(H11)+N(H14)),"")</f>
        <v>0</v>
      </c>
      <c r="I17" s="211">
        <f>IF(ISNUMBER(I21),I21-(N(I11)+N(I14)),"")</f>
        <v>0</v>
      </c>
      <c r="J17" s="211">
        <f>IF(ISNUMBER(J21),J21-(N(J11)+N(J14)),"")</f>
        <v>0</v>
      </c>
      <c r="K17" s="211">
        <f>IF(ISNUMBER(K21),K21-(N(K11)+N(K14)),"")</f>
        <v>0</v>
      </c>
      <c r="L17" s="211">
        <f>IF(ISNUMBER(L21),L21-(N(L11)+N(L14)),"")</f>
        <v>0</v>
      </c>
      <c r="M17" s="211">
        <f>IF(ISNUMBER(M21),M21-(N(M11)+N(M14)),"")</f>
        <v>0</v>
      </c>
      <c r="N17" s="211">
        <f>IF(ISNUMBER(N21),N21-(N(N11)+N(N14)),"")</f>
        <v>0</v>
      </c>
      <c r="O17" s="211">
        <f>IF(ISNUMBER(O21),O21-(N(O11)+N(O14)),"")</f>
        <v>0</v>
      </c>
      <c r="P17" s="211">
        <f>IF(ISNUMBER(P21),P21-(N(P11)+N(P14)),"")</f>
        <v>0</v>
      </c>
      <c r="Q17" s="211">
        <f>IF(ISNUMBER(Q21),Q21-(N(Q11)+N(Q14)),"")</f>
        <v>0</v>
      </c>
      <c r="R17" s="211">
        <f>IF(ISNUMBER(R21),R21-(N(R11)+N(R14)),"")</f>
        <v>0</v>
      </c>
      <c r="S17" s="211">
        <f>IF(ISNUMBER(S21),S21-(N(S11)+N(S14)),"")</f>
        <v>0</v>
      </c>
      <c r="T17" s="211">
        <f>IF(ISNUMBER(T21),T21-(N(T11)+N(T14)),"")</f>
        <v>0</v>
      </c>
      <c r="U17" s="211">
        <f>IF(ISNUMBER(U21),U21-(N(U11)+N(U14)),"")</f>
        <v>0</v>
      </c>
      <c r="V17" s="211">
        <f>IF(ISNUMBER(V21),V21-(N(V11)+N(V14)),"")</f>
        <v>0</v>
      </c>
      <c r="W17" s="211">
        <f>IF(ISNUMBER(W21),W21-(N(W11)+N(W14)),"")</f>
        <v>0</v>
      </c>
      <c r="X17" s="211">
        <f>IF(ISNUMBER(X21),X21-(N(X11)+N(X14)),"")</f>
        <v>0</v>
      </c>
      <c r="Y17" s="211">
        <f>IF(ISNUMBER(Y21),Y21-(N(Y11)+N(Y14)),"")</f>
        <v>0</v>
      </c>
      <c r="Z17" s="211">
        <f>IF(ISNUMBER(Z21),Z21-(N(Z11)+N(Z14)),"")</f>
        <v>0</v>
      </c>
      <c r="AA17" s="211">
        <f>IF(ISNUMBER(AA21),AA21-(N(AA11)+N(AA14)),"")</f>
        <v>0</v>
      </c>
      <c r="AB17" s="211">
        <f>IF(ISNUMBER(AB21),AB21-(N(AB11)+N(AB14)),"")</f>
        <v>0</v>
      </c>
      <c r="AC17" s="211">
        <f>IF(ISNUMBER(AC21),AC21-(N(AC11)+N(AC14)),"")</f>
        <v>0</v>
      </c>
      <c r="AD17" s="211">
        <f>IF(ISNUMBER(AD21),AD21-(N(AD11)+N(AD14)),"")</f>
        <v>0</v>
      </c>
      <c r="AE17" s="211">
        <f>IF(ISNUMBER(AE21),AE21-(N(AE11)+N(AE14)),"")</f>
        <v>0</v>
      </c>
      <c r="AF17" s="211">
        <f>IF(ISNUMBER(AF21),AF21-(N(AF11)+N(AF14)),"")</f>
        <v>0</v>
      </c>
      <c r="AG17" s="211">
        <f>IF(ISNUMBER(AG21),AG21-(N(AG11)+N(AG14)),"")</f>
        <v>0</v>
      </c>
      <c r="AH17" s="211">
        <f>IF(ISNUMBER(AH21),AH21-(N(AH11)+N(AH14)),"")</f>
        <v>0</v>
      </c>
      <c r="AI17" s="211">
        <f>IF(ISNUMBER(AI21),AI21-(N(AI11)+N(AI14)),"")</f>
        <v>0</v>
      </c>
      <c r="AJ17" s="211">
        <f>IF(ISNUMBER(AJ21),AJ21-(N(AJ11)+N(AJ14)),"")</f>
        <v>0</v>
      </c>
      <c r="AK17" s="211">
        <f>IF(ISNUMBER(AK21),AK21-(N(AK11)+N(AK14)),"")</f>
        <v>0</v>
      </c>
      <c r="AL17" s="211">
        <f>IF(ISNUMBER(AL21),AL21-(N(AL11)+N(AL14)),"")</f>
        <v>0</v>
      </c>
      <c r="AM17" s="211">
        <f>IF(ISNUMBER(AM21),AM21-(N(AM11)+N(AM14)),"")</f>
        <v>0</v>
      </c>
      <c r="AN17" s="211">
        <f>IF(ISNUMBER(AN21),AN21-(N(AN11)+N(AN14)),"")</f>
        <v>0</v>
      </c>
      <c r="AO17" s="211">
        <f>IF(ISNUMBER(AO21),AO21-(N(AO11)+N(AO14)),"")</f>
        <v>0</v>
      </c>
      <c r="AP17" s="211">
        <f>IF(ISNUMBER(AP21),AP21-(N(AP11)+N(AP14)),"")</f>
        <v>0</v>
      </c>
      <c r="AQ17" s="211">
        <f>IF(ISNUMBER(AQ21),AQ21-(N(AQ11)+N(AQ14)),"")</f>
        <v>0</v>
      </c>
      <c r="AR17" s="211">
        <f>IF(ISNUMBER(AR21),AR21-(N(AR11)+N(AR14)),"")</f>
        <v>0</v>
      </c>
      <c r="AS17" s="211">
        <f>IF(ISNUMBER(AS21),AS21-(N(AS11)+N(AS14)),"")</f>
        <v>0</v>
      </c>
      <c r="AT17" s="211">
        <f>IF(ISNUMBER(AT21),AT21-(N(AT11)+N(AT14)),"")</f>
        <v>0</v>
      </c>
      <c r="AU17" s="211">
        <f>IF(ISNUMBER(AU21),AU21-(N(AU11)+N(AU14)),"")</f>
        <v>0</v>
      </c>
      <c r="AV17" s="211">
        <f>IF(ISNUMBER(AV21),AV21-(N(AV11)+N(AV14)),"")</f>
        <v>0</v>
      </c>
      <c r="AW17" s="211">
        <f>IF(ISNUMBER(AW21),AW21-(N(AW11)+N(AW14)),"")</f>
        <v>0</v>
      </c>
      <c r="AX17" s="211">
        <f>IF(ISNUMBER(AX21),AX21-(N(AX11)+N(AX14)),"")</f>
        <v>0</v>
      </c>
      <c r="AY17" s="211">
        <f>IF(ISNUMBER(AY21),AY21-(N(AY11)+N(AY14)),"")</f>
        <v>868</v>
      </c>
      <c r="AZ17" s="211">
        <f>IF(ISNUMBER(AZ21),AZ21-(N(AZ11)+N(AZ14)),"")</f>
        <v>0</v>
      </c>
      <c r="BA17" s="211">
        <f>IF(ISNUMBER(BA21),BA21-(N(BA11)+N(BA14)),"")</f>
        <v>0</v>
      </c>
      <c r="BB17" s="211">
        <f>IF(ISNUMBER(BB21),BB21-(N(BB11)+N(BB14)),"")</f>
        <v>0</v>
      </c>
      <c r="BC17" s="211">
        <f>IF(ISNUMBER(BC21),BC21-(N(BC11)+N(BC14)),"")</f>
        <v>3050</v>
      </c>
      <c r="BD17" s="211">
        <f>IF(ISNUMBER(BD21),BD21-(N(BD11)+N(BD14)),"")</f>
        <v>0</v>
      </c>
      <c r="BE17" s="211">
        <f>IF(ISNUMBER(BE21),BE21-(N(BE11)+N(BE14)),"")</f>
        <v>0</v>
      </c>
      <c r="BF17" s="211">
        <f>IF(ISNUMBER(BF21),BF21-(N(BF11)+N(BF14)),"")</f>
        <v>0</v>
      </c>
      <c r="BG17" s="211">
        <f>IF(ISNUMBER(BG21),BG21-(N(BG11)+N(BG14)),"")</f>
        <v>0</v>
      </c>
      <c r="BH17" s="211">
        <f>IF(ISNUMBER(BH21),BH21-(N(BH11)+N(BH14)),"")</f>
        <v>0</v>
      </c>
      <c r="BI17" s="211">
        <f>IF(ISNUMBER(BI21),BI21-(N(BI11)+N(BI14)),"")</f>
        <v>0</v>
      </c>
      <c r="BJ17" s="211">
        <f>IF(ISNUMBER(BJ21),BJ21-(N(BJ11)+N(BJ14)),"")</f>
        <v>0</v>
      </c>
      <c r="BK17" s="211">
        <f>IF(ISNUMBER(BK21),BK21-(N(BK11)+N(BK14)),"")</f>
        <v>0</v>
      </c>
      <c r="BL17" s="211">
        <f>IF(ISNUMBER(BL21),BL21-(N(BL11)+N(BL14)),"")</f>
        <v>0</v>
      </c>
      <c r="BM17" s="211">
        <f>IF(ISNUMBER(BM21),BM21-(N(BM11)+N(BM14)),"")</f>
        <v>0</v>
      </c>
      <c r="BN17" s="211">
        <f>IF(ISNUMBER(BN21),BN21-(N(BN11)+N(BN14)),"")</f>
        <v>0</v>
      </c>
      <c r="BO17" s="211">
        <f>IF(ISNUMBER(BO21),BO21-(N(BO11)+N(BO14)),"")</f>
        <v>0</v>
      </c>
      <c r="BP17" s="211">
        <f>IF(ISNUMBER(BP21),BP21-(N(BP11)+N(BP14)),"")</f>
        <v>0</v>
      </c>
      <c r="BQ17" s="211">
        <f>IF(ISNUMBER(BQ21),BQ21-(N(BQ11)+N(BQ14)),"")</f>
        <v>0</v>
      </c>
      <c r="BR17" s="211">
        <f>IF(ISNUMBER(BR21),BR21-(N(BR11)+N(BR14)),"")</f>
        <v>0</v>
      </c>
      <c r="BS17" s="211">
        <f>IF(ISNUMBER(BS21),BS21-(N(BS11)+N(BS14)),"")</f>
        <v>0</v>
      </c>
      <c r="BT17" s="211">
        <f>IF(ISNUMBER(BT21),BT21-(N(BT11)+N(BT14)),"")</f>
        <v>0</v>
      </c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19" t="n"/>
      <c r="CK17" s="25" t="inlineStr">
        <is>
          <t xml:space="preserve">  2H-26 share repurchases ($m)</t>
        </is>
      </c>
      <c r="CL17" s="259" t="n">
        <v>6000</v>
      </c>
      <c r="CM17" s="259" t="n">
        <v>5750</v>
      </c>
      <c r="CN17" s="259" t="n">
        <v>5500</v>
      </c>
      <c r="CO17" s="13" t="inlineStr">
        <is>
          <t>1H-26 $1,500m (ASRs at $426.70 and $414.76); company expects &gt;$7bn for 2026 → 2H ≥ $5.5bn (assumption by case).</t>
        </is>
      </c>
    </row>
    <row r="18" ht="15" customHeight="1" s="251">
      <c r="B18" s="16" t="inlineStr">
        <is>
          <t xml:space="preserve">  Ratings — division revenue</t>
        </is>
      </c>
      <c r="C18" s="260">
        <f>IF(ISNUMBER(C21),N(C11)+N(C14)+N(C17),"")</f>
        <v>1695</v>
      </c>
      <c r="D18" s="260">
        <f>IF(ISNUMBER(D21),N(D11)+N(D14)+N(D17),"")</f>
        <v>1767</v>
      </c>
      <c r="E18" s="260">
        <f>IF(ISNUMBER(E21),N(E11)+N(E14)+N(E17),"")</f>
        <v>2034</v>
      </c>
      <c r="F18" s="260">
        <f>IF(ISNUMBER(F21),N(F11)+N(F14)+N(F17),"")</f>
        <v>561</v>
      </c>
      <c r="G18" s="260">
        <f>IF(ISNUMBER(G21),N(G11)+N(G14)+N(G17),"")</f>
        <v>599</v>
      </c>
      <c r="H18" s="260">
        <f>IF(ISNUMBER(H21),N(H11)+N(H14)+N(H17),"")</f>
        <v>540</v>
      </c>
      <c r="I18" s="260">
        <f>IF(ISNUMBER(I21),N(I11)+N(I14)+N(I17),"")</f>
        <v>574</v>
      </c>
      <c r="J18" s="260">
        <f>IF(ISNUMBER(J21),N(J11)+N(J14)+N(J17),"")</f>
        <v>2274</v>
      </c>
      <c r="K18" s="260">
        <f>IF(ISNUMBER(K21),N(K11)+N(K14)+N(K17),"")</f>
        <v>569</v>
      </c>
      <c r="L18" s="260">
        <f>IF(ISNUMBER(L21),N(L11)+N(L14)+N(L17),"")</f>
        <v>664</v>
      </c>
      <c r="M18" s="260">
        <f>IF(ISNUMBER(M21),N(M11)+N(M14)+N(M17),"")</f>
        <v>604</v>
      </c>
      <c r="N18" s="260">
        <f>IF(ISNUMBER(N21),N(N11)+N(N14)+N(N17),"")</f>
        <v>618</v>
      </c>
      <c r="O18" s="260">
        <f>IF(ISNUMBER(O21),N(O11)+N(O14)+N(O17),"")</f>
        <v>2455</v>
      </c>
      <c r="P18" s="260">
        <f>IF(ISNUMBER(P21),N(P11)+N(P14)+N(P17),"")</f>
        <v>606</v>
      </c>
      <c r="Q18" s="260">
        <f>IF(ISNUMBER(Q21),N(Q11)+N(Q14)+N(Q17),"")</f>
        <v>658</v>
      </c>
      <c r="R18" s="260">
        <f>IF(ISNUMBER(R21),N(R11)+N(R14)+N(R17),"")</f>
        <v>587</v>
      </c>
      <c r="S18" s="260">
        <f>IF(ISNUMBER(S21),N(S11)+N(S14)+N(S17),"")</f>
        <v>578</v>
      </c>
      <c r="T18" s="260">
        <f>IF(ISNUMBER(T21),N(T11)+N(T14)+N(T17),"")</f>
        <v>2428</v>
      </c>
      <c r="U18" s="260">
        <f>IF(ISNUMBER(U21),N(U11)+N(U14)+N(U17),"")</f>
        <v>552</v>
      </c>
      <c r="V18" s="260">
        <f>IF(ISNUMBER(V21),N(V11)+N(V14)+N(V17),"")</f>
        <v>682</v>
      </c>
      <c r="W18" s="260">
        <f>IF(ISNUMBER(W21),N(W11)+N(W14)+N(W17),"")</f>
        <v>642</v>
      </c>
      <c r="X18" s="260">
        <f>IF(ISNUMBER(X21),N(X11)+N(X14)+N(X17),"")</f>
        <v>658</v>
      </c>
      <c r="Y18" s="260">
        <f>IF(ISNUMBER(Y21),N(Y11)+N(Y14)+N(Y17),"")</f>
        <v>2535</v>
      </c>
      <c r="Z18" s="260">
        <f>IF(ISNUMBER(Z21),N(Z11)+N(Z14)+N(Z17),"")</f>
        <v>714</v>
      </c>
      <c r="AA18" s="260">
        <f>IF(ISNUMBER(AA21),N(AA11)+N(AA14)+N(AA17),"")</f>
        <v>747</v>
      </c>
      <c r="AB18" s="260">
        <f>IF(ISNUMBER(AB21),N(AB11)+N(AB14)+N(AB17),"")</f>
        <v>739</v>
      </c>
      <c r="AC18" s="260">
        <f>IF(ISNUMBER(AC21),N(AC11)+N(AC14)+N(AC17),"")</f>
        <v>789</v>
      </c>
      <c r="AD18" s="260">
        <f>IF(ISNUMBER(AD21),N(AD11)+N(AD14)+N(AD17),"")</f>
        <v>2988</v>
      </c>
      <c r="AE18" s="260">
        <f>IF(ISNUMBER(AE21),N(AE11)+N(AE14)+N(AE17),"")</f>
        <v>748</v>
      </c>
      <c r="AF18" s="260">
        <f>IF(ISNUMBER(AF21),N(AF11)+N(AF14)+N(AF17),"")</f>
        <v>775</v>
      </c>
      <c r="AG18" s="260">
        <f>IF(ISNUMBER(AG21),N(AG11)+N(AG14)+N(AG17),"")</f>
        <v>700</v>
      </c>
      <c r="AH18" s="260">
        <f>IF(ISNUMBER(AH21),N(AH11)+N(AH14)+N(AH17),"")</f>
        <v>661</v>
      </c>
      <c r="AI18" s="260">
        <f>IF(ISNUMBER(AI21),N(AI11)+N(AI14)+N(AI17),"")</f>
        <v>2883</v>
      </c>
      <c r="AJ18" s="260">
        <f>IF(ISNUMBER(AJ21),N(AJ11)+N(AJ14)+N(AJ17),"")</f>
        <v>696</v>
      </c>
      <c r="AK18" s="260">
        <f>IF(ISNUMBER(AK21),N(AK11)+N(AK14)+N(AK17),"")</f>
        <v>801</v>
      </c>
      <c r="AL18" s="260">
        <f>IF(ISNUMBER(AL21),N(AL11)+N(AL14)+N(AL17),"")</f>
        <v>789</v>
      </c>
      <c r="AM18" s="260">
        <f>IF(ISNUMBER(AM21),N(AM11)+N(AM14)+N(AM17),"")</f>
        <v>820</v>
      </c>
      <c r="AN18" s="260">
        <f>IF(ISNUMBER(AN21),N(AN11)+N(AN14)+N(AN17),"")</f>
        <v>3106</v>
      </c>
      <c r="AO18" s="260">
        <f>IF(ISNUMBER(AO21),N(AO11)+N(AO14)+N(AO17),"")</f>
        <v>825</v>
      </c>
      <c r="AP18" s="260">
        <f>IF(ISNUMBER(AP21),N(AP11)+N(AP14)+N(AP17),"")</f>
        <v>1006</v>
      </c>
      <c r="AQ18" s="260">
        <f>IF(ISNUMBER(AQ21),N(AQ11)+N(AQ14)+N(AQ17),"")</f>
        <v>894</v>
      </c>
      <c r="AR18" s="260">
        <f>IF(ISNUMBER(AR21),N(AR11)+N(AR14)+N(AR17),"")</f>
        <v>881</v>
      </c>
      <c r="AS18" s="260">
        <f>IF(ISNUMBER(AS21),N(AS11)+N(AS14)+N(AS17),"")</f>
        <v>3606</v>
      </c>
      <c r="AT18" s="260">
        <f>IF(ISNUMBER(AT21),N(AT11)+N(AT14)+N(AT17),"")</f>
        <v>1017</v>
      </c>
      <c r="AU18" s="260">
        <f>IF(ISNUMBER(AU21),N(AU11)+N(AU14)+N(AU17),"")</f>
        <v>1073</v>
      </c>
      <c r="AV18" s="260">
        <f>IF(ISNUMBER(AV21),N(AV11)+N(AV14)+N(AV17),"")</f>
        <v>1017</v>
      </c>
      <c r="AW18" s="260">
        <f>IF(ISNUMBER(AW21),N(AW11)+N(AW14)+N(AW17),"")</f>
        <v>989</v>
      </c>
      <c r="AX18" s="260">
        <f>IF(ISNUMBER(AX21),N(AX11)+N(AX14)+N(AX17),"")</f>
        <v>4097</v>
      </c>
      <c r="AY18" s="260">
        <f>IF(ISNUMBER(AY21),N(AY11)+N(AY14)+N(AY17),"")</f>
        <v>868</v>
      </c>
      <c r="AZ18" s="260">
        <f>IF(ISNUMBER(AZ21),N(AZ11)+N(AZ14)+N(AZ17),"")</f>
        <v>796</v>
      </c>
      <c r="BA18" s="260">
        <f>IF(ISNUMBER(BA21),N(BA11)+N(BA14)+N(BA17),"")</f>
        <v>681</v>
      </c>
      <c r="BB18" s="260">
        <f>IF(ISNUMBER(BB21),N(BB11)+N(BB14)+N(BB17),"")</f>
        <v>705</v>
      </c>
      <c r="BC18" s="260">
        <f>IF(ISNUMBER(BC21),N(BC11)+N(BC14)+N(BC17),"")</f>
        <v>3050</v>
      </c>
      <c r="BD18" s="260">
        <f>IF(ISNUMBER(BD21),N(BD11)+N(BD14)+N(BD17),"")</f>
        <v>824</v>
      </c>
      <c r="BE18" s="260">
        <f>IF(ISNUMBER(BE21),N(BE11)+N(BE14)+N(BE17),"")</f>
        <v>851</v>
      </c>
      <c r="BF18" s="260">
        <f>IF(ISNUMBER(BF21),N(BF11)+N(BF14)+N(BF17),"")</f>
        <v>819</v>
      </c>
      <c r="BG18" s="260">
        <f>IF(ISNUMBER(BG21),N(BG11)+N(BG14)+N(BG17),"")</f>
        <v>838</v>
      </c>
      <c r="BH18" s="260">
        <f>IF(ISNUMBER(BH21),N(BH11)+N(BH14)+N(BH17),"")</f>
        <v>3332</v>
      </c>
      <c r="BI18" s="260">
        <f>IF(ISNUMBER(BI21),N(BI11)+N(BI14)+N(BI17),"")</f>
        <v>1062</v>
      </c>
      <c r="BJ18" s="260">
        <f>IF(ISNUMBER(BJ21),N(BJ11)+N(BJ14)+N(BJ17),"")</f>
        <v>1135</v>
      </c>
      <c r="BK18" s="260">
        <f>IF(ISNUMBER(BK21),N(BK11)+N(BK14)+N(BK17),"")</f>
        <v>1110</v>
      </c>
      <c r="BL18" s="260">
        <f>IF(ISNUMBER(BL21),N(BL11)+N(BL14)+N(BL17),"")</f>
        <v>1062</v>
      </c>
      <c r="BM18" s="260">
        <f>IF(ISNUMBER(BM21),N(BM11)+N(BM14)+N(BM17),"")</f>
        <v>4370</v>
      </c>
      <c r="BN18" s="260">
        <f>IF(ISNUMBER(BN21),N(BN11)+N(BN14)+N(BN17),"")</f>
        <v>1149</v>
      </c>
      <c r="BO18" s="260">
        <f>IF(ISNUMBER(BO21),N(BO11)+N(BO14)+N(BO17),"")</f>
        <v>1148</v>
      </c>
      <c r="BP18" s="260">
        <f>IF(ISNUMBER(BP21),N(BP11)+N(BP14)+N(BP17),"")</f>
        <v>1240</v>
      </c>
      <c r="BQ18" s="260">
        <f>IF(ISNUMBER(BQ21),N(BQ11)+N(BQ14)+N(BQ17),"")</f>
        <v>1187</v>
      </c>
      <c r="BR18" s="260">
        <f>IF(ISNUMBER(BR21),N(BR11)+N(BR14)+N(BR17),"")</f>
        <v>4724</v>
      </c>
      <c r="BS18" s="260">
        <f>IF(ISNUMBER(BS21),N(BS11)+N(BS14)+N(BS17),"")</f>
        <v>1302</v>
      </c>
      <c r="BT18" s="260">
        <f>IF(ISNUMBER(BT21),N(BT11)+N(BT14)+N(BT17),"")</f>
        <v>1339</v>
      </c>
      <c r="BU18" s="261">
        <f>BU11+BU14</f>
        <v>1332.4361315541</v>
      </c>
      <c r="BV18" s="261">
        <f>BV11+BV14</f>
        <v>1269.89569342655</v>
      </c>
      <c r="BW18" s="261">
        <f>BW11+BW14</f>
        <v>5243.33182498066</v>
      </c>
      <c r="BX18" s="261">
        <f>BX11+BX14</f>
        <v>5495.81541422101</v>
      </c>
      <c r="BY18" s="261">
        <f>BY11+BY14</f>
        <v>5851.0259613006</v>
      </c>
      <c r="BZ18" s="261">
        <f>BZ11+BZ14</f>
        <v>6202.08751897864</v>
      </c>
      <c r="CA18" s="261">
        <f>CA11+CA14</f>
        <v>6541.07046685667</v>
      </c>
      <c r="CB18" s="261">
        <f>CB11+CB14</f>
        <v>6898.73527644434</v>
      </c>
      <c r="CC18" s="153" t="inlineStr">
        <is>
          <t>History: division revenue as reported (Σ revenue types + any unsplit remainder).</t>
        </is>
      </c>
      <c r="CE18" s="20">
        <f>IFERROR((CB18/BW18)^(1/5)-1,"n/m")</f>
        <v>0.0564098147618515</v>
      </c>
      <c r="CF18" s="20">
        <f>IFERROR((BR18/AS18)^(1/5)-1,"n/m")</f>
        <v>0.0554965869455311</v>
      </c>
      <c r="CG18" s="20">
        <f>IFERROR((BR18/T18)^(1/10)-1,"n/m")</f>
        <v>0.0688238117542805</v>
      </c>
      <c r="CH18" s="20">
        <f>IFERROR((BR18/C18)^(1/15)-1,"n/m")</f>
        <v>0.0707202403308895</v>
      </c>
    </row>
    <row r="19" ht="15" customHeight="1" s="251">
      <c r="B19" s="22" t="inlineStr">
        <is>
          <t xml:space="preserve">  Division revenue y/y %</t>
        </is>
      </c>
      <c r="C19" s="23" t="n"/>
      <c r="D19" s="255">
        <f>IF(AND(ISNUMBER(D18),ISNUMBER(C18)),IFERROR(D18/C18-1,""),"")</f>
        <v>0.0424778761061948</v>
      </c>
      <c r="E19" s="255">
        <f>IF(AND(ISNUMBER(E18),ISNUMBER(D18)),IFERROR(E18/D18-1,""),"")</f>
        <v>0.151103565365025</v>
      </c>
      <c r="F19" s="23" t="n"/>
      <c r="G19" s="23" t="n"/>
      <c r="H19" s="23" t="n"/>
      <c r="I19" s="23" t="n"/>
      <c r="J19" s="255">
        <f>IF(AND(ISNUMBER(J18),ISNUMBER(E18)),IFERROR(J18/E18-1,""),"")</f>
        <v>0.117994100294985</v>
      </c>
      <c r="K19" s="255">
        <f>IF(AND(ISNUMBER(K18),ISNUMBER(F18)),IFERROR(K18/F18-1,""),"")</f>
        <v>0.0142602495543671</v>
      </c>
      <c r="L19" s="255">
        <f>IF(AND(ISNUMBER(L18),ISNUMBER(G18)),IFERROR(L18/G18-1,""),"")</f>
        <v>0.108514190317195</v>
      </c>
      <c r="M19" s="255">
        <f>IF(AND(ISNUMBER(M18),ISNUMBER(H18)),IFERROR(M18/H18-1,""),"")</f>
        <v>0.118518518518518</v>
      </c>
      <c r="N19" s="255">
        <f>IF(AND(ISNUMBER(N18),ISNUMBER(I18)),IFERROR(N18/I18-1,""),"")</f>
        <v>0.0766550522648084</v>
      </c>
      <c r="O19" s="255">
        <f>IF(AND(ISNUMBER(O18),ISNUMBER(J18)),IFERROR(O18/J18-1,""),"")</f>
        <v>0.0795954265611258</v>
      </c>
      <c r="P19" s="255">
        <f>IF(AND(ISNUMBER(P18),ISNUMBER(K18)),IFERROR(P18/K18-1,""),"")</f>
        <v>0.0650263620386644</v>
      </c>
      <c r="Q19" s="255">
        <f>IF(AND(ISNUMBER(Q18),ISNUMBER(L18)),IFERROR(Q18/L18-1,""),"")</f>
        <v>-0.00903614457831325</v>
      </c>
      <c r="R19" s="255">
        <f>IF(AND(ISNUMBER(R18),ISNUMBER(M18)),IFERROR(R18/M18-1,""),"")</f>
        <v>-0.0281456953642384</v>
      </c>
      <c r="S19" s="255">
        <f>IF(AND(ISNUMBER(S18),ISNUMBER(N18)),IFERROR(S18/N18-1,""),"")</f>
        <v>-0.0647249190938511</v>
      </c>
      <c r="T19" s="255">
        <f>IF(AND(ISNUMBER(T18),ISNUMBER(O18)),IFERROR(T18/O18-1,""),"")</f>
        <v>-0.0109979633401222</v>
      </c>
      <c r="U19" s="255">
        <f>IF(AND(ISNUMBER(U18),ISNUMBER(P18)),IFERROR(U18/P18-1,""),"")</f>
        <v>-0.0891089108910891</v>
      </c>
      <c r="V19" s="255">
        <f>IF(AND(ISNUMBER(V18),ISNUMBER(Q18)),IFERROR(V18/Q18-1,""),"")</f>
        <v>0.0364741641337385</v>
      </c>
      <c r="W19" s="255">
        <f>IF(AND(ISNUMBER(W18),ISNUMBER(R18)),IFERROR(W18/R18-1,""),"")</f>
        <v>0.0936967632027257</v>
      </c>
      <c r="X19" s="255">
        <f>IF(AND(ISNUMBER(X18),ISNUMBER(S18)),IFERROR(X18/S18-1,""),"")</f>
        <v>0.13840830449827</v>
      </c>
      <c r="Y19" s="255">
        <f>IF(AND(ISNUMBER(Y18),ISNUMBER(T18)),IFERROR(Y18/T18-1,""),"")</f>
        <v>0.0440691927512356</v>
      </c>
      <c r="Z19" s="255">
        <f>IF(AND(ISNUMBER(Z18),ISNUMBER(U18)),IFERROR(Z18/U18-1,""),"")</f>
        <v>0.293478260869565</v>
      </c>
      <c r="AA19" s="255">
        <f>IF(AND(ISNUMBER(AA18),ISNUMBER(V18)),IFERROR(AA18/V18-1,""),"")</f>
        <v>0.095307917888563</v>
      </c>
      <c r="AB19" s="255">
        <f>IF(AND(ISNUMBER(AB18),ISNUMBER(W18)),IFERROR(AB18/W18-1,""),"")</f>
        <v>0.151090342679128</v>
      </c>
      <c r="AC19" s="255">
        <f>IF(AND(ISNUMBER(AC18),ISNUMBER(X18)),IFERROR(AC18/X18-1,""),"")</f>
        <v>0.199088145896656</v>
      </c>
      <c r="AD19" s="255">
        <f>IF(AND(ISNUMBER(AD18),ISNUMBER(Y18)),IFERROR(AD18/Y18-1,""),"")</f>
        <v>0.178698224852071</v>
      </c>
      <c r="AE19" s="255">
        <f>IF(AND(ISNUMBER(AE18),ISNUMBER(Z18)),IFERROR(AE18/Z18-1,""),"")</f>
        <v>0.0476190476190477</v>
      </c>
      <c r="AF19" s="255">
        <f>IF(AND(ISNUMBER(AF18),ISNUMBER(AA18)),IFERROR(AF18/AA18-1,""),"")</f>
        <v>0.0374832663989291</v>
      </c>
      <c r="AG19" s="255">
        <f>IF(AND(ISNUMBER(AG18),ISNUMBER(AB18)),IFERROR(AG18/AB18-1,""),"")</f>
        <v>-0.0527740189445196</v>
      </c>
      <c r="AH19" s="255">
        <f>IF(AND(ISNUMBER(AH18),ISNUMBER(AC18)),IFERROR(AH18/AC18-1,""),"")</f>
        <v>-0.162230671736375</v>
      </c>
      <c r="AI19" s="255">
        <f>IF(AND(ISNUMBER(AI18),ISNUMBER(AD18)),IFERROR(AI18/AD18-1,""),"")</f>
        <v>-0.035140562248996</v>
      </c>
      <c r="AJ19" s="255">
        <f>IF(AND(ISNUMBER(AJ18),ISNUMBER(AE18)),IFERROR(AJ18/AE18-1,""),"")</f>
        <v>-0.0695187165775401</v>
      </c>
      <c r="AK19" s="255">
        <f>IF(AND(ISNUMBER(AK18),ISNUMBER(AF18)),IFERROR(AK18/AF18-1,""),"")</f>
        <v>0.0335483870967741</v>
      </c>
      <c r="AL19" s="255">
        <f>IF(AND(ISNUMBER(AL18),ISNUMBER(AG18)),IFERROR(AL18/AG18-1,""),"")</f>
        <v>0.127142857142857</v>
      </c>
      <c r="AM19" s="255">
        <f>IF(AND(ISNUMBER(AM18),ISNUMBER(AH18)),IFERROR(AM18/AH18-1,""),"")</f>
        <v>0.24054462934947</v>
      </c>
      <c r="AN19" s="255">
        <f>IF(AND(ISNUMBER(AN18),ISNUMBER(AI18)),IFERROR(AN18/AI18-1,""),"")</f>
        <v>0.0773499826569546</v>
      </c>
      <c r="AO19" s="255">
        <f>IF(AND(ISNUMBER(AO18),ISNUMBER(AJ18)),IFERROR(AO18/AJ18-1,""),"")</f>
        <v>0.185344827586207</v>
      </c>
      <c r="AP19" s="255">
        <f>IF(AND(ISNUMBER(AP18),ISNUMBER(AK18)),IFERROR(AP18/AK18-1,""),"")</f>
        <v>0.255930087390762</v>
      </c>
      <c r="AQ19" s="255">
        <f>IF(AND(ISNUMBER(AQ18),ISNUMBER(AL18)),IFERROR(AQ18/AL18-1,""),"")</f>
        <v>0.133079847908745</v>
      </c>
      <c r="AR19" s="255">
        <f>IF(AND(ISNUMBER(AR18),ISNUMBER(AM18)),IFERROR(AR18/AM18-1,""),"")</f>
        <v>0.0743902439024391</v>
      </c>
      <c r="AS19" s="255">
        <f>IF(AND(ISNUMBER(AS18),ISNUMBER(AN18)),IFERROR(AS18/AN18-1,""),"")</f>
        <v>0.160978750804894</v>
      </c>
      <c r="AT19" s="255">
        <f>IF(AND(ISNUMBER(AT18),ISNUMBER(AO18)),IFERROR(AT18/AO18-1,""),"")</f>
        <v>0.232727272727273</v>
      </c>
      <c r="AU19" s="255">
        <f>IF(AND(ISNUMBER(AU18),ISNUMBER(AP18)),IFERROR(AU18/AP18-1,""),"")</f>
        <v>0.0666003976143141</v>
      </c>
      <c r="AV19" s="255">
        <f>IF(AND(ISNUMBER(AV18),ISNUMBER(AQ18)),IFERROR(AV18/AQ18-1,""),"")</f>
        <v>0.13758389261745</v>
      </c>
      <c r="AW19" s="255">
        <f>IF(AND(ISNUMBER(AW18),ISNUMBER(AR18)),IFERROR(AW18/AR18-1,""),"")</f>
        <v>0.122587968217934</v>
      </c>
      <c r="AX19" s="255">
        <f>IF(AND(ISNUMBER(AX18),ISNUMBER(AS18)),IFERROR(AX18/AS18-1,""),"")</f>
        <v>0.136161952301719</v>
      </c>
      <c r="AY19" s="255">
        <f>IF(AND(ISNUMBER(AY18),ISNUMBER(AT18)),IFERROR(AY18/AT18-1,""),"")</f>
        <v>-0.146509341199607</v>
      </c>
      <c r="AZ19" s="255">
        <f>IF(AND(ISNUMBER(AZ18),ISNUMBER(AU18)),IFERROR(AZ18/AU18-1,""),"")</f>
        <v>-0.258154706430569</v>
      </c>
      <c r="BA19" s="255">
        <f>IF(AND(ISNUMBER(BA18),ISNUMBER(AV18)),IFERROR(BA18/AV18-1,""),"")</f>
        <v>-0.330383480825959</v>
      </c>
      <c r="BB19" s="255">
        <f>IF(AND(ISNUMBER(BB18),ISNUMBER(AW18)),IFERROR(BB18/AW18-1,""),"")</f>
        <v>-0.287158746208291</v>
      </c>
      <c r="BC19" s="255">
        <f>IF(AND(ISNUMBER(BC18),ISNUMBER(AX18)),IFERROR(BC18/AX18-1,""),"")</f>
        <v>-0.255552843544057</v>
      </c>
      <c r="BD19" s="255">
        <f>IF(AND(ISNUMBER(BD18),ISNUMBER(AY18)),IFERROR(BD18/AY18-1,""),"")</f>
        <v>-0.0506912442396313</v>
      </c>
      <c r="BE19" s="255">
        <f>IF(AND(ISNUMBER(BE18),ISNUMBER(AZ18)),IFERROR(BE18/AZ18-1,""),"")</f>
        <v>0.0690954773869348</v>
      </c>
      <c r="BF19" s="255">
        <f>IF(AND(ISNUMBER(BF18),ISNUMBER(BA18)),IFERROR(BF18/BA18-1,""),"")</f>
        <v>0.202643171806167</v>
      </c>
      <c r="BG19" s="255">
        <f>IF(AND(ISNUMBER(BG18),ISNUMBER(BB18)),IFERROR(BG18/BB18-1,""),"")</f>
        <v>0.188652482269503</v>
      </c>
      <c r="BH19" s="255">
        <f>IF(AND(ISNUMBER(BH18),ISNUMBER(BC18)),IFERROR(BH18/BC18-1,""),"")</f>
        <v>0.0924590163934427</v>
      </c>
      <c r="BI19" s="255">
        <f>IF(AND(ISNUMBER(BI18),ISNUMBER(BD18)),IFERROR(BI18/BD18-1,""),"")</f>
        <v>0.288834951456311</v>
      </c>
      <c r="BJ19" s="255">
        <f>IF(AND(ISNUMBER(BJ18),ISNUMBER(BE18)),IFERROR(BJ18/BE18-1,""),"")</f>
        <v>0.333725029377203</v>
      </c>
      <c r="BK19" s="255">
        <f>IF(AND(ISNUMBER(BK18),ISNUMBER(BF18)),IFERROR(BK18/BF18-1,""),"")</f>
        <v>0.355311355311355</v>
      </c>
      <c r="BL19" s="255">
        <f>IF(AND(ISNUMBER(BL18),ISNUMBER(BG18)),IFERROR(BL18/BG18-1,""),"")</f>
        <v>0.267303102625298</v>
      </c>
      <c r="BM19" s="255">
        <f>IF(AND(ISNUMBER(BM18),ISNUMBER(BH18)),IFERROR(BM18/BH18-1,""),"")</f>
        <v>0.311524609843938</v>
      </c>
      <c r="BN19" s="255">
        <f>IF(AND(ISNUMBER(BN18),ISNUMBER(BI18)),IFERROR(BN18/BI18-1,""),"")</f>
        <v>0.0819209039548023</v>
      </c>
      <c r="BO19" s="255">
        <f>IF(AND(ISNUMBER(BO18),ISNUMBER(BJ18)),IFERROR(BO18/BJ18-1,""),"")</f>
        <v>0.011453744493392</v>
      </c>
      <c r="BP19" s="255">
        <f>IF(AND(ISNUMBER(BP18),ISNUMBER(BK18)),IFERROR(BP18/BK18-1,""),"")</f>
        <v>0.117117117117117</v>
      </c>
      <c r="BQ19" s="255">
        <f>IF(AND(ISNUMBER(BQ18),ISNUMBER(BL18)),IFERROR(BQ18/BL18-1,""),"")</f>
        <v>0.117702448210923</v>
      </c>
      <c r="BR19" s="255">
        <f>IF(AND(ISNUMBER(BR18),ISNUMBER(BM18)),IFERROR(BR18/BM18-1,""),"")</f>
        <v>0.0810068649885583</v>
      </c>
      <c r="BS19" s="255">
        <f>IF(AND(ISNUMBER(BS18),ISNUMBER(BN18)),IFERROR(BS18/BN18-1,""),"")</f>
        <v>0.133159268929504</v>
      </c>
      <c r="BT19" s="255">
        <f>IF(AND(ISNUMBER(BT18),ISNUMBER(BO18)),IFERROR(BT18/BO18-1,""),"")</f>
        <v>0.166376306620209</v>
      </c>
      <c r="BU19" s="256">
        <f>IF(AND(ISNUMBER(BU18),ISNUMBER(BP18)),IFERROR(BU18/BP18-1,""),"")</f>
        <v>0.0745452673823401</v>
      </c>
      <c r="BV19" s="256">
        <f>IF(AND(ISNUMBER(BV18),ISNUMBER(BQ18)),IFERROR(BV18/BQ18-1,""),"")</f>
        <v>0.0698363044874093</v>
      </c>
      <c r="BW19" s="256">
        <f>IF(AND(ISNUMBER(BW18),ISNUMBER(BR18)),IFERROR(BW18/BR18-1,""),"")</f>
        <v>0.109934763967116</v>
      </c>
      <c r="BX19" s="256">
        <f>IF(AND(ISNUMBER(BX18),ISNUMBER(BW18)),IFERROR(BX18/BW18-1,""),"")</f>
        <v>0.0481532730843881</v>
      </c>
      <c r="BY19" s="256">
        <f>IF(AND(ISNUMBER(BY18),ISNUMBER(BX18)),IFERROR(BY18/BX18-1,""),"")</f>
        <v>0.0646329107343091</v>
      </c>
      <c r="BZ19" s="256">
        <f>IF(AND(ISNUMBER(BZ18),ISNUMBER(BY18)),IFERROR(BZ18/BY18-1,""),"")</f>
        <v>0.0599999999999998</v>
      </c>
      <c r="CA19" s="256">
        <f>IF(AND(ISNUMBER(CA18),ISNUMBER(BZ18)),IFERROR(CA18/BZ18-1,""),"")</f>
        <v>0.0546562664329919</v>
      </c>
      <c r="CB19" s="256">
        <f>IF(AND(ISNUMBER(CB18),ISNUMBER(CA18)),IFERROR(CB18/CA18-1,""),"")</f>
        <v>0.054679858809036</v>
      </c>
      <c r="CC19" s="153" t="n"/>
      <c r="CK19" s="15" t="inlineStr">
        <is>
          <t>Q3/26E–Q4/26E point estimates (all cases; per quarter unless stated)</t>
        </is>
      </c>
      <c r="CL19" s="21" t="n"/>
      <c r="CM19" s="21" t="n"/>
      <c r="CN19" s="21" t="n"/>
    </row>
    <row r="20" ht="15" customHeight="1" s="251">
      <c r="B20" s="25" t="inlineStr">
        <is>
          <t xml:space="preserve">  % of total revenue</t>
        </is>
      </c>
      <c r="C20" s="215">
        <f>IF(AND(ISNUMBER(C18),ISNUMBER(C138)),IFERROR(C18/C138,""),"")</f>
        <v>0.465787304204452</v>
      </c>
      <c r="D20" s="215">
        <f>IF(AND(ISNUMBER(D18),ISNUMBER(D138)),IFERROR(D18/D138,""),"")</f>
        <v>0.446889226100152</v>
      </c>
      <c r="E20" s="215">
        <f>IF(AND(ISNUMBER(E18),ISNUMBER(E138)),IFERROR(E18/E138,""),"")</f>
        <v>0.457078651685393</v>
      </c>
      <c r="F20" s="215">
        <f>IF(AND(ISNUMBER(F18),ISNUMBER(F138)),IFERROR(F18/F138,""),"")</f>
        <v>0.47502116850127</v>
      </c>
      <c r="G20" s="215">
        <f>IF(AND(ISNUMBER(G18),ISNUMBER(G138)),IFERROR(G18/G138,""),"")</f>
        <v>0.4792</v>
      </c>
      <c r="H20" s="215">
        <f>IF(AND(ISNUMBER(H18),ISNUMBER(H138)),IFERROR(H18/H138,""),"")</f>
        <v>0.452261306532663</v>
      </c>
      <c r="I20" s="215">
        <f>IF(AND(ISNUMBER(I18),ISNUMBER(I138)),IFERROR(I18/I138,""),"")</f>
        <v>0.4592</v>
      </c>
      <c r="J20" s="215">
        <f>IF(AND(ISNUMBER(J18),ISNUMBER(J138)),IFERROR(J18/J138,""),"")</f>
        <v>0.466461538461539</v>
      </c>
      <c r="K20" s="215">
        <f>IF(AND(ISNUMBER(K18),ISNUMBER(K138)),IFERROR(K18/K138,""),"")</f>
        <v>0.460355987055016</v>
      </c>
      <c r="L20" s="215">
        <f>IF(AND(ISNUMBER(L18),ISNUMBER(L138)),IFERROR(L18/L138,""),"")</f>
        <v>0.49331352154532</v>
      </c>
      <c r="M20" s="215">
        <f>IF(AND(ISNUMBER(M18),ISNUMBER(M138)),IFERROR(M18/M138,""),"")</f>
        <v>0.478226444972288</v>
      </c>
      <c r="N20" s="215">
        <f>IF(AND(ISNUMBER(N18),ISNUMBER(N138)),IFERROR(N18/N138,""),"")</f>
        <v>0.479069767441861</v>
      </c>
      <c r="O20" s="215">
        <f>IF(AND(ISNUMBER(O18),ISNUMBER(O138)),IFERROR(O18/O138,""),"")</f>
        <v>0.486042367847951</v>
      </c>
      <c r="P20" s="215">
        <f>IF(AND(ISNUMBER(P18),ISNUMBER(P138)),IFERROR(P18/P138,""),"")</f>
        <v>0.476040848389631</v>
      </c>
      <c r="Q20" s="215">
        <f>IF(AND(ISNUMBER(Q18),ISNUMBER(Q138)),IFERROR(Q18/Q138,""),"")</f>
        <v>0.490312965722802</v>
      </c>
      <c r="R20" s="215">
        <f>IF(AND(ISNUMBER(R18),ISNUMBER(R138)),IFERROR(R18/R138,""),"")</f>
        <v>0.443353474320242</v>
      </c>
      <c r="S20" s="215">
        <f>IF(AND(ISNUMBER(S18),ISNUMBER(S138)),IFERROR(S18/S138,""),"")</f>
        <v>0.420669577874818</v>
      </c>
      <c r="T20" s="215">
        <f>IF(AND(ISNUMBER(T18),ISNUMBER(T138)),IFERROR(T18/T138,""),"")</f>
        <v>0.45699228307924</v>
      </c>
      <c r="U20" s="215">
        <f>IF(AND(ISNUMBER(U18),ISNUMBER(U138)),IFERROR(U18/U138,""),"")</f>
        <v>0.411633109619687</v>
      </c>
      <c r="V20" s="215">
        <f>IF(AND(ISNUMBER(V18),ISNUMBER(V138)),IFERROR(V18/V138,""),"")</f>
        <v>0.460188933873144</v>
      </c>
      <c r="W20" s="215">
        <f>IF(AND(ISNUMBER(W18),ISNUMBER(W138)),IFERROR(W18/W138,""),"")</f>
        <v>0.446143154968728</v>
      </c>
      <c r="X20" s="215">
        <f>IF(AND(ISNUMBER(X18),ISNUMBER(X138)),IFERROR(X18/X138,""),"")</f>
        <v>0.470335954253038</v>
      </c>
      <c r="Y20" s="215">
        <f>IF(AND(ISNUMBER(Y18),ISNUMBER(Y138)),IFERROR(Y18/Y138,""),"")</f>
        <v>0.447800741918389</v>
      </c>
      <c r="Z20" s="215">
        <f>IF(AND(ISNUMBER(Z18),ISNUMBER(Z138)),IFERROR(Z18/Z138,""),"")</f>
        <v>0.491397109428768</v>
      </c>
      <c r="AA20" s="215">
        <f>IF(AND(ISNUMBER(AA18),ISNUMBER(AA138)),IFERROR(AA18/AA138,""),"")</f>
        <v>0.495029821073559</v>
      </c>
      <c r="AB20" s="215">
        <f>IF(AND(ISNUMBER(AB18),ISNUMBER(AB138)),IFERROR(AB18/AB138,""),"")</f>
        <v>0.488433575677462</v>
      </c>
      <c r="AC20" s="215">
        <f>IF(AND(ISNUMBER(AC18),ISNUMBER(AC138)),IFERROR(AC18/AC138,""),"")</f>
        <v>0.496538703587162</v>
      </c>
      <c r="AD20" s="215">
        <f>IF(AND(ISNUMBER(AD18),ISNUMBER(AD138)),IFERROR(AD18/AD138,""),"")</f>
        <v>0.492825333993073</v>
      </c>
      <c r="AE20" s="215">
        <f>IF(AND(ISNUMBER(AE18),ISNUMBER(AE138)),IFERROR(AE18/AE138,""),"")</f>
        <v>0.477345245692406</v>
      </c>
      <c r="AF20" s="215">
        <f>IF(AND(ISNUMBER(AF18),ISNUMBER(AF138)),IFERROR(AF18/AF138,""),"")</f>
        <v>0.4816656308266</v>
      </c>
      <c r="AG20" s="215">
        <f>IF(AND(ISNUMBER(AG18),ISNUMBER(AG138)),IFERROR(AG18/AG138,""),"")</f>
        <v>0.452781371280724</v>
      </c>
      <c r="AH20" s="215">
        <f>IF(AND(ISNUMBER(AH18),ISNUMBER(AH138)),IFERROR(AH18/AH138,""),"")</f>
        <v>0.430338541666667</v>
      </c>
      <c r="AI20" s="215">
        <f>IF(AND(ISNUMBER(AI18),ISNUMBER(AI138)),IFERROR(AI18/AI138,""),"")</f>
        <v>0.460690316395014</v>
      </c>
      <c r="AJ20" s="215">
        <f>IF(AND(ISNUMBER(AJ18),ISNUMBER(AJ138)),IFERROR(AJ18/AJ138,""),"")</f>
        <v>0.443029917250159</v>
      </c>
      <c r="AK20" s="215">
        <f>IF(AND(ISNUMBER(AK18),ISNUMBER(AK138)),IFERROR(AK18/AK138,""),"")</f>
        <v>0.470070422535211</v>
      </c>
      <c r="AL20" s="215">
        <f>IF(AND(ISNUMBER(AL18),ISNUMBER(AL138)),IFERROR(AL18/AL138,""),"")</f>
        <v>0.467140319715808</v>
      </c>
      <c r="AM20" s="215">
        <f>IF(AND(ISNUMBER(AM18),ISNUMBER(AM138)),IFERROR(AM18/AM138,""),"")</f>
        <v>0.472622478386167</v>
      </c>
      <c r="AN20" s="215">
        <f>IF(AND(ISNUMBER(AN18),ISNUMBER(AN138)),IFERROR(AN18/AN138,""),"")</f>
        <v>0.463651291237498</v>
      </c>
      <c r="AO20" s="215">
        <f>IF(AND(ISNUMBER(AO18),ISNUMBER(AO138)),IFERROR(AO18/AO138,""),"")</f>
        <v>0.461926091825308</v>
      </c>
      <c r="AP20" s="215">
        <f>IF(AND(ISNUMBER(AP18),ISNUMBER(AP138)),IFERROR(AP18/AP138,""),"")</f>
        <v>0.51775604734946</v>
      </c>
      <c r="AQ20" s="215">
        <f>IF(AND(ISNUMBER(AQ18),ISNUMBER(AQ138)),IFERROR(AQ18/AQ138,""),"")</f>
        <v>0.484290357529794</v>
      </c>
      <c r="AR20" s="215">
        <f>IF(AND(ISNUMBER(AR18),ISNUMBER(AR138)),IFERROR(AR18/AR138,""),"")</f>
        <v>0.471880021424746</v>
      </c>
      <c r="AS20" s="215">
        <f>IF(AND(ISNUMBER(AS18),ISNUMBER(AS138)),IFERROR(AS18/AS138,""),"")</f>
        <v>0.484547164740661</v>
      </c>
      <c r="AT20" s="215">
        <f>IF(AND(ISNUMBER(AT18),ISNUMBER(AT138)),IFERROR(AT18/AT138,""),"")</f>
        <v>0.504464285714286</v>
      </c>
      <c r="AU20" s="215">
        <f>IF(AND(ISNUMBER(AU18),ISNUMBER(AU138)),IFERROR(AU18/AU138,""),"")</f>
        <v>0.509496676163343</v>
      </c>
      <c r="AV20" s="215">
        <f>IF(AND(ISNUMBER(AV18),ISNUMBER(AV138)),IFERROR(AV18/AV138,""),"")</f>
        <v>0.487302347867753</v>
      </c>
      <c r="AW20" s="215">
        <f>IF(AND(ISNUMBER(AW18),ISNUMBER(AW138)),IFERROR(AW18/AW138,""),"")</f>
        <v>0.473659003831418</v>
      </c>
      <c r="AX20" s="215">
        <f>IF(AND(ISNUMBER(AX18),ISNUMBER(AX138)),IFERROR(AX18/AX138,""),"")</f>
        <v>0.493792937206219</v>
      </c>
      <c r="AY20" s="215">
        <f>IF(AND(ISNUMBER(AY18),ISNUMBER(AY138)),IFERROR(AY18/AY138,""),"")</f>
        <v>0.363331938049393</v>
      </c>
      <c r="AZ20" s="215">
        <f>IF(AND(ISNUMBER(AZ18),ISNUMBER(AZ138)),IFERROR(AZ18/AZ138,""),"")</f>
        <v>0.265953892415637</v>
      </c>
      <c r="BA20" s="215">
        <f>IF(AND(ISNUMBER(BA18),ISNUMBER(BA138)),IFERROR(BA18/BA138,""),"")</f>
        <v>0.238028661307235</v>
      </c>
      <c r="BB20" s="215">
        <f>IF(AND(ISNUMBER(BB18),ISNUMBER(BB138)),IFERROR(BB18/BB138,""),"")</f>
        <v>0.240040858018386</v>
      </c>
      <c r="BC20" s="215">
        <f>IF(AND(ISNUMBER(BC18),ISNUMBER(BC138)),IFERROR(BC18/BC138,""),"")</f>
        <v>0.272784187460871</v>
      </c>
      <c r="BD20" s="215">
        <f>IF(AND(ISNUMBER(BD18),ISNUMBER(BD138)),IFERROR(BD18/BD138,""),"")</f>
        <v>0.260759493670886</v>
      </c>
      <c r="BE20" s="215">
        <f>IF(AND(ISNUMBER(BE18),ISNUMBER(BE138)),IFERROR(BE18/BE138,""),"")</f>
        <v>0.27442760399871</v>
      </c>
      <c r="BF20" s="215">
        <f>IF(AND(ISNUMBER(BF18),ISNUMBER(BF138)),IFERROR(BF18/BF138,""),"")</f>
        <v>0.26556420233463</v>
      </c>
      <c r="BG20" s="215">
        <f>IF(AND(ISNUMBER(BG18),ISNUMBER(BG138)),IFERROR(BG18/BG138,""),"")</f>
        <v>0.265862944162437</v>
      </c>
      <c r="BH20" s="215">
        <f>IF(AND(ISNUMBER(BH18),ISNUMBER(BH138)),IFERROR(BH18/BH138,""),"")</f>
        <v>0.266623989757542</v>
      </c>
      <c r="BI20" s="215">
        <f>IF(AND(ISNUMBER(BI18),ISNUMBER(BI138)),IFERROR(BI18/BI138,""),"")</f>
        <v>0.304210827843025</v>
      </c>
      <c r="BJ20" s="215">
        <f>IF(AND(ISNUMBER(BJ18),ISNUMBER(BJ138)),IFERROR(BJ18/BJ138,""),"")</f>
        <v>0.319808396731474</v>
      </c>
      <c r="BK20" s="215">
        <f>IF(AND(ISNUMBER(BK18),ISNUMBER(BK138)),IFERROR(BK18/BK138,""),"")</f>
        <v>0.310489510489511</v>
      </c>
      <c r="BL20" s="215">
        <f>IF(AND(ISNUMBER(BL18),ISNUMBER(BL138)),IFERROR(BL18/BL138,""),"")</f>
        <v>0.2956570155902</v>
      </c>
      <c r="BM20" s="215">
        <f>IF(AND(ISNUMBER(BM18),ISNUMBER(BM138)),IFERROR(BM18/BM138,""),"")</f>
        <v>0.307573198198198</v>
      </c>
      <c r="BN20" s="215">
        <f>IF(AND(ISNUMBER(BN18),ISNUMBER(BN138)),IFERROR(BN18/BN138,""),"")</f>
        <v>0.342269883824844</v>
      </c>
      <c r="BO20" s="215">
        <f>IF(AND(ISNUMBER(BO18),ISNUMBER(BO138)),IFERROR(BO18/BO138,""),"")</f>
        <v>0.346095869761833</v>
      </c>
      <c r="BP20" s="215">
        <f>IF(AND(ISNUMBER(BP18),ISNUMBER(BP138)),IFERROR(BP18/BP138,""),"")</f>
        <v>0.360151031077549</v>
      </c>
      <c r="BQ20" s="215">
        <f>IF(AND(ISNUMBER(BQ18),ISNUMBER(BQ138)),IFERROR(BQ18/BQ138,""),"")</f>
        <v>0.341877880184332</v>
      </c>
      <c r="BR20" s="215">
        <f>IF(AND(ISNUMBER(BR18),ISNUMBER(BR138)),IFERROR(BR18/BR138,""),"")</f>
        <v>0.347634115828979</v>
      </c>
      <c r="BS20" s="215">
        <f>IF(AND(ISNUMBER(BS18),ISNUMBER(BS138)),IFERROR(BS18/BS138,""),"")</f>
        <v>0.350282485875706</v>
      </c>
      <c r="BT20" s="215">
        <f>IF(AND(ISNUMBER(BT18),ISNUMBER(BT138)),IFERROR(BT18/BT138,""),"")</f>
        <v>0.364056552474171</v>
      </c>
      <c r="BU20" s="256">
        <f>IF(AND(ISNUMBER(BU18),ISNUMBER(BU138)),IFERROR(BU18/BU138,""),"")</f>
        <v>0.374865737899683</v>
      </c>
      <c r="BV20" s="256">
        <f>IF(AND(ISNUMBER(BV18),ISNUMBER(BV138)),IFERROR(BV18/BV138,""),"")</f>
        <v>0.35499658492351</v>
      </c>
      <c r="BW20" s="256">
        <f>IF(AND(ISNUMBER(BW18),ISNUMBER(BW138)),IFERROR(BW18/BW138,""),"")</f>
        <v>0.36094592170211</v>
      </c>
      <c r="BX20" s="256">
        <f>IF(AND(ISNUMBER(BX18),ISNUMBER(BX138)),IFERROR(BX18/BX138,""),"")</f>
        <v>0.356264946972973</v>
      </c>
      <c r="BY20" s="256">
        <f>IF(AND(ISNUMBER(BY18),ISNUMBER(BY138)),IFERROR(BY18/BY138,""),"")</f>
        <v>0.354247306511142</v>
      </c>
      <c r="BZ20" s="256">
        <f>IF(AND(ISNUMBER(BZ18),ISNUMBER(BZ138)),IFERROR(BZ18/BZ138,""),"")</f>
        <v>0.35137627929085</v>
      </c>
      <c r="CA20" s="256">
        <f>IF(AND(ISNUMBER(CA18),ISNUMBER(CA138)),IFERROR(CA18/CA138,""),"")</f>
        <v>0.347757087436389</v>
      </c>
      <c r="CB20" s="256">
        <f>IF(AND(ISNUMBER(CB18),ISNUMBER(CB138)),IFERROR(CB18/CB138,""),"")</f>
        <v>0.344213872428044</v>
      </c>
      <c r="CC20" s="153" t="n"/>
      <c r="CE20" s="37">
        <f>IFERROR(AVERAGE(BX20,BY20,BZ20,CA20,CB20),"n/m")</f>
        <v>0.35077189852788</v>
      </c>
      <c r="CF20" s="37">
        <f>IFERROR(AVERAGE(AX20,BC20,BH20,BM20,BR20),"n/m")</f>
        <v>0.337681685690362</v>
      </c>
      <c r="CG20" s="37">
        <f>IFERROR(AVERAGE(Y20,AD20,AI20,AN20,AS20,AX20,BC20,BH20,BM20,BR20),"n/m")</f>
        <v>0.403792327673645</v>
      </c>
      <c r="CH20" s="37">
        <f>IFERROR(AVERAGE(C20,D20,E20,J20,O20,T20,Y20,AD20,AI20,AN20,AS20,AX20,BC20,BH20,BM20,BR20),"n/m")</f>
        <v>0.426073415507198</v>
      </c>
      <c r="CK20" s="25" t="inlineStr">
        <is>
          <t xml:space="preserve">  Adjusted corporate unallocated expense ($m / quarter)</t>
        </is>
      </c>
      <c r="CM20" s="259" t="n">
        <v>54</v>
      </c>
      <c r="CO20" s="13" t="inlineStr">
        <is>
          <t>FY26 guided $185–195m adjusted; 1H $82m → (190 − 82) ÷ 2.</t>
        </is>
      </c>
    </row>
    <row r="21" ht="15" customHeight="1" s="251">
      <c r="B21" s="156" t="inlineStr">
        <is>
          <t xml:space="preserve">  Memo: Ratings revenue as reported (segment exhibit; 2025+ adjusted as recast)</t>
        </is>
      </c>
      <c r="C21" s="253" t="n">
        <v>1695</v>
      </c>
      <c r="D21" s="253" t="n">
        <v>1767</v>
      </c>
      <c r="E21" s="253" t="n">
        <v>2034</v>
      </c>
      <c r="F21" s="253" t="n">
        <v>561</v>
      </c>
      <c r="G21" s="253" t="n">
        <v>599</v>
      </c>
      <c r="H21" s="253" t="n">
        <v>540</v>
      </c>
      <c r="I21" s="253" t="n">
        <v>574</v>
      </c>
      <c r="J21" s="253" t="n">
        <v>2274</v>
      </c>
      <c r="K21" s="253" t="n">
        <v>569</v>
      </c>
      <c r="L21" s="253" t="n">
        <v>664</v>
      </c>
      <c r="M21" s="253" t="n">
        <v>604</v>
      </c>
      <c r="N21" s="253" t="n">
        <v>618</v>
      </c>
      <c r="O21" s="253" t="n">
        <v>2455</v>
      </c>
      <c r="P21" s="253" t="n">
        <v>606</v>
      </c>
      <c r="Q21" s="253" t="n">
        <v>658</v>
      </c>
      <c r="R21" s="253" t="n">
        <v>587</v>
      </c>
      <c r="S21" s="253" t="n">
        <v>578</v>
      </c>
      <c r="T21" s="253" t="n">
        <v>2428</v>
      </c>
      <c r="U21" s="253" t="n">
        <v>552</v>
      </c>
      <c r="V21" s="253" t="n">
        <v>682</v>
      </c>
      <c r="W21" s="253" t="n">
        <v>642</v>
      </c>
      <c r="X21" s="253" t="n">
        <v>658</v>
      </c>
      <c r="Y21" s="253" t="n">
        <v>2535</v>
      </c>
      <c r="Z21" s="253" t="n">
        <v>714</v>
      </c>
      <c r="AA21" s="253" t="n">
        <v>747</v>
      </c>
      <c r="AB21" s="253" t="n">
        <v>739</v>
      </c>
      <c r="AC21" s="253" t="n">
        <v>789</v>
      </c>
      <c r="AD21" s="253" t="n">
        <v>2988</v>
      </c>
      <c r="AE21" s="253" t="n">
        <v>748</v>
      </c>
      <c r="AF21" s="253" t="n">
        <v>775</v>
      </c>
      <c r="AG21" s="253" t="n">
        <v>700</v>
      </c>
      <c r="AH21" s="253" t="n">
        <v>661</v>
      </c>
      <c r="AI21" s="253" t="n">
        <v>2883</v>
      </c>
      <c r="AJ21" s="253" t="n">
        <v>696</v>
      </c>
      <c r="AK21" s="253" t="n">
        <v>801</v>
      </c>
      <c r="AL21" s="253" t="n">
        <v>789</v>
      </c>
      <c r="AM21" s="253" t="n">
        <v>820</v>
      </c>
      <c r="AN21" s="253" t="n">
        <v>3106</v>
      </c>
      <c r="AO21" s="253" t="n">
        <v>825</v>
      </c>
      <c r="AP21" s="253" t="n">
        <v>1006</v>
      </c>
      <c r="AQ21" s="253" t="n">
        <v>894</v>
      </c>
      <c r="AR21" s="253" t="n">
        <v>881</v>
      </c>
      <c r="AS21" s="253" t="n">
        <v>3606</v>
      </c>
      <c r="AT21" s="253" t="n">
        <v>1017</v>
      </c>
      <c r="AU21" s="253" t="n">
        <v>1073</v>
      </c>
      <c r="AV21" s="253" t="n">
        <v>1017</v>
      </c>
      <c r="AW21" s="253" t="n">
        <v>989</v>
      </c>
      <c r="AX21" s="253" t="n">
        <v>4097</v>
      </c>
      <c r="AY21" s="253" t="n">
        <v>868</v>
      </c>
      <c r="AZ21" s="253" t="n">
        <v>796</v>
      </c>
      <c r="BA21" s="253" t="n">
        <v>681</v>
      </c>
      <c r="BB21" s="253" t="n">
        <v>705</v>
      </c>
      <c r="BC21" s="253" t="n">
        <v>3050</v>
      </c>
      <c r="BD21" s="253" t="n">
        <v>824</v>
      </c>
      <c r="BE21" s="253" t="n">
        <v>851</v>
      </c>
      <c r="BF21" s="253" t="n">
        <v>819</v>
      </c>
      <c r="BG21" s="253" t="n">
        <v>838</v>
      </c>
      <c r="BH21" s="253" t="n">
        <v>3332</v>
      </c>
      <c r="BI21" s="253" t="n">
        <v>1062</v>
      </c>
      <c r="BJ21" s="253" t="n">
        <v>1135</v>
      </c>
      <c r="BK21" s="253" t="n">
        <v>1110</v>
      </c>
      <c r="BL21" s="253" t="n">
        <v>1062</v>
      </c>
      <c r="BM21" s="253" t="n">
        <v>4370</v>
      </c>
      <c r="BN21" s="253" t="n">
        <v>1149</v>
      </c>
      <c r="BO21" s="253" t="n">
        <v>1148</v>
      </c>
      <c r="BP21" s="253" t="n">
        <v>1240</v>
      </c>
      <c r="BQ21" s="253" t="n">
        <v>1187</v>
      </c>
      <c r="BR21" s="253" t="n">
        <v>4724</v>
      </c>
      <c r="BS21" s="253" t="n">
        <v>1302</v>
      </c>
      <c r="BT21" s="253" t="n">
        <v>1339</v>
      </c>
      <c r="BU21" s="153" t="n"/>
      <c r="BV21" s="153" t="n"/>
      <c r="BW21" s="153" t="n"/>
      <c r="BX21" s="153" t="n"/>
      <c r="BY21" s="153" t="n"/>
      <c r="BZ21" s="153" t="n"/>
      <c r="CA21" s="153" t="n"/>
      <c r="CB21" s="153" t="n"/>
      <c r="CC21" s="153" t="n"/>
      <c r="CK21" s="25" t="inlineStr">
        <is>
          <t xml:space="preserve">  Deal-related amortization ($m / quarter)</t>
        </is>
      </c>
      <c r="CM21" s="259" t="n">
        <v>193</v>
      </c>
      <c r="CO21" s="13" t="inlineStr">
        <is>
          <t>FY26 guided ~$785m; 1H $399m → (785 − 399) ÷ 2.</t>
        </is>
      </c>
    </row>
    <row r="22" ht="15" customHeight="1" s="251">
      <c r="B22" s="57" t="inlineStr">
        <is>
          <t xml:space="preserve">  Check: revenue types vs division revenue (should be 0; ±1 rounding)</t>
        </is>
      </c>
      <c r="C22" s="211">
        <f>IF(AND(ISNUMBER(C11),ISNUMBER(C21)),IF(ABS(C18-C21)&lt;=1.01,0,ROUND(C18-C21,0)),"")</f>
      </c>
      <c r="D22" s="211">
        <f>IF(AND(ISNUMBER(D11),ISNUMBER(D21)),IF(ABS(D18-D21)&lt;=1.01,0,ROUND(D18-D21,0)),"")</f>
        <v>0</v>
      </c>
      <c r="E22" s="211">
        <f>IF(AND(ISNUMBER(E11),ISNUMBER(E21)),IF(ABS(E18-E21)&lt;=1.01,0,ROUND(E18-E21,0)),"")</f>
        <v>0</v>
      </c>
      <c r="F22" s="211">
        <f>IF(AND(ISNUMBER(F11),ISNUMBER(F21)),IF(ABS(F18-F21)&lt;=1.01,0,ROUND(F18-F21,0)),"")</f>
        <v>0</v>
      </c>
      <c r="G22" s="211">
        <f>IF(AND(ISNUMBER(G11),ISNUMBER(G21)),IF(ABS(G18-G21)&lt;=1.01,0,ROUND(G18-G21,0)),"")</f>
        <v>0</v>
      </c>
      <c r="H22" s="211">
        <f>IF(AND(ISNUMBER(H11),ISNUMBER(H21)),IF(ABS(H18-H21)&lt;=1.01,0,ROUND(H18-H21,0)),"")</f>
        <v>0</v>
      </c>
      <c r="I22" s="211">
        <f>IF(AND(ISNUMBER(I11),ISNUMBER(I21)),IF(ABS(I18-I21)&lt;=1.01,0,ROUND(I18-I21,0)),"")</f>
        <v>0</v>
      </c>
      <c r="J22" s="211">
        <f>IF(AND(ISNUMBER(J11),ISNUMBER(J21)),IF(ABS(J18-J21)&lt;=1.01,0,ROUND(J18-J21,0)),"")</f>
        <v>0</v>
      </c>
      <c r="K22" s="211">
        <f>IF(AND(ISNUMBER(K11),ISNUMBER(K21)),IF(ABS(K18-K21)&lt;=1.01,0,ROUND(K18-K21,0)),"")</f>
        <v>0</v>
      </c>
      <c r="L22" s="211">
        <f>IF(AND(ISNUMBER(L11),ISNUMBER(L21)),IF(ABS(L18-L21)&lt;=1.01,0,ROUND(L18-L21,0)),"")</f>
        <v>0</v>
      </c>
      <c r="M22" s="211">
        <f>IF(AND(ISNUMBER(M11),ISNUMBER(M21)),IF(ABS(M18-M21)&lt;=1.01,0,ROUND(M18-M21,0)),"")</f>
        <v>0</v>
      </c>
      <c r="N22" s="211">
        <f>IF(AND(ISNUMBER(N11),ISNUMBER(N21)),IF(ABS(N18-N21)&lt;=1.01,0,ROUND(N18-N21,0)),"")</f>
        <v>0</v>
      </c>
      <c r="O22" s="211">
        <f>IF(AND(ISNUMBER(O11),ISNUMBER(O21)),IF(ABS(O18-O21)&lt;=1.01,0,ROUND(O18-O21,0)),"")</f>
        <v>0</v>
      </c>
      <c r="P22" s="211">
        <f>IF(AND(ISNUMBER(P11),ISNUMBER(P21)),IF(ABS(P18-P21)&lt;=1.01,0,ROUND(P18-P21,0)),"")</f>
        <v>0</v>
      </c>
      <c r="Q22" s="211">
        <f>IF(AND(ISNUMBER(Q11),ISNUMBER(Q21)),IF(ABS(Q18-Q21)&lt;=1.01,0,ROUND(Q18-Q21,0)),"")</f>
        <v>0</v>
      </c>
      <c r="R22" s="211">
        <f>IF(AND(ISNUMBER(R11),ISNUMBER(R21)),IF(ABS(R18-R21)&lt;=1.01,0,ROUND(R18-R21,0)),"")</f>
        <v>0</v>
      </c>
      <c r="S22" s="211">
        <f>IF(AND(ISNUMBER(S11),ISNUMBER(S21)),IF(ABS(S18-S21)&lt;=1.01,0,ROUND(S18-S21,0)),"")</f>
        <v>0</v>
      </c>
      <c r="T22" s="211">
        <f>IF(AND(ISNUMBER(T11),ISNUMBER(T21)),IF(ABS(T18-T21)&lt;=1.01,0,ROUND(T18-T21,0)),"")</f>
        <v>0</v>
      </c>
      <c r="U22" s="211">
        <f>IF(AND(ISNUMBER(U11),ISNUMBER(U21)),IF(ABS(U18-U21)&lt;=1.01,0,ROUND(U18-U21,0)),"")</f>
        <v>0</v>
      </c>
      <c r="V22" s="211">
        <f>IF(AND(ISNUMBER(V11),ISNUMBER(V21)),IF(ABS(V18-V21)&lt;=1.01,0,ROUND(V18-V21,0)),"")</f>
        <v>0</v>
      </c>
      <c r="W22" s="211">
        <f>IF(AND(ISNUMBER(W11),ISNUMBER(W21)),IF(ABS(W18-W21)&lt;=1.01,0,ROUND(W18-W21,0)),"")</f>
        <v>0</v>
      </c>
      <c r="X22" s="211">
        <f>IF(AND(ISNUMBER(X11),ISNUMBER(X21)),IF(ABS(X18-X21)&lt;=1.01,0,ROUND(X18-X21,0)),"")</f>
        <v>0</v>
      </c>
      <c r="Y22" s="211">
        <f>IF(AND(ISNUMBER(Y11),ISNUMBER(Y21)),IF(ABS(Y18-Y21)&lt;=1.01,0,ROUND(Y18-Y21,0)),"")</f>
        <v>0</v>
      </c>
      <c r="Z22" s="211">
        <f>IF(AND(ISNUMBER(Z11),ISNUMBER(Z21)),IF(ABS(Z18-Z21)&lt;=1.01,0,ROUND(Z18-Z21,0)),"")</f>
        <v>0</v>
      </c>
      <c r="AA22" s="211">
        <f>IF(AND(ISNUMBER(AA11),ISNUMBER(AA21)),IF(ABS(AA18-AA21)&lt;=1.01,0,ROUND(AA18-AA21,0)),"")</f>
        <v>0</v>
      </c>
      <c r="AB22" s="211">
        <f>IF(AND(ISNUMBER(AB11),ISNUMBER(AB21)),IF(ABS(AB18-AB21)&lt;=1.01,0,ROUND(AB18-AB21,0)),"")</f>
        <v>0</v>
      </c>
      <c r="AC22" s="211">
        <f>IF(AND(ISNUMBER(AC11),ISNUMBER(AC21)),IF(ABS(AC18-AC21)&lt;=1.01,0,ROUND(AC18-AC21,0)),"")</f>
        <v>0</v>
      </c>
      <c r="AD22" s="211">
        <f>IF(AND(ISNUMBER(AD11),ISNUMBER(AD21)),IF(ABS(AD18-AD21)&lt;=1.01,0,ROUND(AD18-AD21,0)),"")</f>
        <v>0</v>
      </c>
      <c r="AE22" s="211">
        <f>IF(AND(ISNUMBER(AE11),ISNUMBER(AE21)),IF(ABS(AE18-AE21)&lt;=1.01,0,ROUND(AE18-AE21,0)),"")</f>
        <v>0</v>
      </c>
      <c r="AF22" s="211">
        <f>IF(AND(ISNUMBER(AF11),ISNUMBER(AF21)),IF(ABS(AF18-AF21)&lt;=1.01,0,ROUND(AF18-AF21,0)),"")</f>
        <v>0</v>
      </c>
      <c r="AG22" s="211">
        <f>IF(AND(ISNUMBER(AG11),ISNUMBER(AG21)),IF(ABS(AG18-AG21)&lt;=1.01,0,ROUND(AG18-AG21,0)),"")</f>
        <v>0</v>
      </c>
      <c r="AH22" s="211">
        <f>IF(AND(ISNUMBER(AH11),ISNUMBER(AH21)),IF(ABS(AH18-AH21)&lt;=1.01,0,ROUND(AH18-AH21,0)),"")</f>
        <v>0</v>
      </c>
      <c r="AI22" s="211">
        <f>IF(AND(ISNUMBER(AI11),ISNUMBER(AI21)),IF(ABS(AI18-AI21)&lt;=1.01,0,ROUND(AI18-AI21,0)),"")</f>
        <v>0</v>
      </c>
      <c r="AJ22" s="211">
        <f>IF(AND(ISNUMBER(AJ11),ISNUMBER(AJ21)),IF(ABS(AJ18-AJ21)&lt;=1.01,0,ROUND(AJ18-AJ21,0)),"")</f>
        <v>0</v>
      </c>
      <c r="AK22" s="211">
        <f>IF(AND(ISNUMBER(AK11),ISNUMBER(AK21)),IF(ABS(AK18-AK21)&lt;=1.01,0,ROUND(AK18-AK21,0)),"")</f>
        <v>0</v>
      </c>
      <c r="AL22" s="211">
        <f>IF(AND(ISNUMBER(AL11),ISNUMBER(AL21)),IF(ABS(AL18-AL21)&lt;=1.01,0,ROUND(AL18-AL21,0)),"")</f>
        <v>0</v>
      </c>
      <c r="AM22" s="211">
        <f>IF(AND(ISNUMBER(AM11),ISNUMBER(AM21)),IF(ABS(AM18-AM21)&lt;=1.01,0,ROUND(AM18-AM21,0)),"")</f>
        <v>0</v>
      </c>
      <c r="AN22" s="211">
        <f>IF(AND(ISNUMBER(AN11),ISNUMBER(AN21)),IF(ABS(AN18-AN21)&lt;=1.01,0,ROUND(AN18-AN21,0)),"")</f>
        <v>0</v>
      </c>
      <c r="AO22" s="211">
        <f>IF(AND(ISNUMBER(AO11),ISNUMBER(AO21)),IF(ABS(AO18-AO21)&lt;=1.01,0,ROUND(AO18-AO21,0)),"")</f>
        <v>0</v>
      </c>
      <c r="AP22" s="211">
        <f>IF(AND(ISNUMBER(AP11),ISNUMBER(AP21)),IF(ABS(AP18-AP21)&lt;=1.01,0,ROUND(AP18-AP21,0)),"")</f>
        <v>0</v>
      </c>
      <c r="AQ22" s="211">
        <f>IF(AND(ISNUMBER(AQ11),ISNUMBER(AQ21)),IF(ABS(AQ18-AQ21)&lt;=1.01,0,ROUND(AQ18-AQ21,0)),"")</f>
        <v>0</v>
      </c>
      <c r="AR22" s="211">
        <f>IF(AND(ISNUMBER(AR11),ISNUMBER(AR21)),IF(ABS(AR18-AR21)&lt;=1.01,0,ROUND(AR18-AR21,0)),"")</f>
        <v>0</v>
      </c>
      <c r="AS22" s="211">
        <f>IF(AND(ISNUMBER(AS11),ISNUMBER(AS21)),IF(ABS(AS18-AS21)&lt;=1.01,0,ROUND(AS18-AS21,0)),"")</f>
        <v>0</v>
      </c>
      <c r="AT22" s="211">
        <f>IF(AND(ISNUMBER(AT11),ISNUMBER(AT21)),IF(ABS(AT18-AT21)&lt;=1.01,0,ROUND(AT18-AT21,0)),"")</f>
        <v>0</v>
      </c>
      <c r="AU22" s="211">
        <f>IF(AND(ISNUMBER(AU11),ISNUMBER(AU21)),IF(ABS(AU18-AU21)&lt;=1.01,0,ROUND(AU18-AU21,0)),"")</f>
        <v>0</v>
      </c>
      <c r="AV22" s="211">
        <f>IF(AND(ISNUMBER(AV11),ISNUMBER(AV21)),IF(ABS(AV18-AV21)&lt;=1.01,0,ROUND(AV18-AV21,0)),"")</f>
        <v>0</v>
      </c>
      <c r="AW22" s="211">
        <f>IF(AND(ISNUMBER(AW11),ISNUMBER(AW21)),IF(ABS(AW18-AW21)&lt;=1.01,0,ROUND(AW18-AW21,0)),"")</f>
        <v>0</v>
      </c>
      <c r="AX22" s="211">
        <f>IF(AND(ISNUMBER(AX11),ISNUMBER(AX21)),IF(ABS(AX18-AX21)&lt;=1.01,0,ROUND(AX18-AX21,0)),"")</f>
        <v>0</v>
      </c>
      <c r="AY22" s="211">
        <f>IF(AND(ISNUMBER(AY11),ISNUMBER(AY21)),IF(ABS(AY18-AY21)&lt;=1.01,0,ROUND(AY18-AY21,0)),"")</f>
      </c>
      <c r="AZ22" s="211">
        <f>IF(AND(ISNUMBER(AZ11),ISNUMBER(AZ21)),IF(ABS(AZ18-AZ21)&lt;=1.01,0,ROUND(AZ18-AZ21,0)),"")</f>
        <v>0</v>
      </c>
      <c r="BA22" s="211">
        <f>IF(AND(ISNUMBER(BA11),ISNUMBER(BA21)),IF(ABS(BA18-BA21)&lt;=1.01,0,ROUND(BA18-BA21,0)),"")</f>
        <v>0</v>
      </c>
      <c r="BB22" s="211">
        <f>IF(AND(ISNUMBER(BB11),ISNUMBER(BB21)),IF(ABS(BB18-BB21)&lt;=1.01,0,ROUND(BB18-BB21,0)),"")</f>
        <v>0</v>
      </c>
      <c r="BC22" s="211">
        <f>IF(AND(ISNUMBER(BC11),ISNUMBER(BC21)),IF(ABS(BC18-BC21)&lt;=1.01,0,ROUND(BC18-BC21,0)),"")</f>
      </c>
      <c r="BD22" s="211">
        <f>IF(AND(ISNUMBER(BD11),ISNUMBER(BD21)),IF(ABS(BD18-BD21)&lt;=1.01,0,ROUND(BD18-BD21,0)),"")</f>
        <v>0</v>
      </c>
      <c r="BE22" s="211">
        <f>IF(AND(ISNUMBER(BE11),ISNUMBER(BE21)),IF(ABS(BE18-BE21)&lt;=1.01,0,ROUND(BE18-BE21,0)),"")</f>
        <v>0</v>
      </c>
      <c r="BF22" s="211">
        <f>IF(AND(ISNUMBER(BF11),ISNUMBER(BF21)),IF(ABS(BF18-BF21)&lt;=1.01,0,ROUND(BF18-BF21,0)),"")</f>
        <v>0</v>
      </c>
      <c r="BG22" s="211">
        <f>IF(AND(ISNUMBER(BG11),ISNUMBER(BG21)),IF(ABS(BG18-BG21)&lt;=1.01,0,ROUND(BG18-BG21,0)),"")</f>
        <v>0</v>
      </c>
      <c r="BH22" s="211">
        <f>IF(AND(ISNUMBER(BH11),ISNUMBER(BH21)),IF(ABS(BH18-BH21)&lt;=1.01,0,ROUND(BH18-BH21,0)),"")</f>
        <v>0</v>
      </c>
      <c r="BI22" s="211">
        <f>IF(AND(ISNUMBER(BI11),ISNUMBER(BI21)),IF(ABS(BI18-BI21)&lt;=1.01,0,ROUND(BI18-BI21,0)),"")</f>
        <v>0</v>
      </c>
      <c r="BJ22" s="211">
        <f>IF(AND(ISNUMBER(BJ11),ISNUMBER(BJ21)),IF(ABS(BJ18-BJ21)&lt;=1.01,0,ROUND(BJ18-BJ21,0)),"")</f>
        <v>0</v>
      </c>
      <c r="BK22" s="211">
        <f>IF(AND(ISNUMBER(BK11),ISNUMBER(BK21)),IF(ABS(BK18-BK21)&lt;=1.01,0,ROUND(BK18-BK21,0)),"")</f>
        <v>0</v>
      </c>
      <c r="BL22" s="211">
        <f>IF(AND(ISNUMBER(BL11),ISNUMBER(BL21)),IF(ABS(BL18-BL21)&lt;=1.01,0,ROUND(BL18-BL21,0)),"")</f>
        <v>0</v>
      </c>
      <c r="BM22" s="211">
        <f>IF(AND(ISNUMBER(BM11),ISNUMBER(BM21)),IF(ABS(BM18-BM21)&lt;=1.01,0,ROUND(BM18-BM21,0)),"")</f>
        <v>0</v>
      </c>
      <c r="BN22" s="211">
        <f>IF(AND(ISNUMBER(BN11),ISNUMBER(BN21)),IF(ABS(BN18-BN21)&lt;=1.01,0,ROUND(BN18-BN21,0)),"")</f>
        <v>0</v>
      </c>
      <c r="BO22" s="211">
        <f>IF(AND(ISNUMBER(BO11),ISNUMBER(BO21)),IF(ABS(BO18-BO21)&lt;=1.01,0,ROUND(BO18-BO21,0)),"")</f>
        <v>0</v>
      </c>
      <c r="BP22" s="211">
        <f>IF(AND(ISNUMBER(BP11),ISNUMBER(BP21)),IF(ABS(BP18-BP21)&lt;=1.01,0,ROUND(BP18-BP21,0)),"")</f>
        <v>0</v>
      </c>
      <c r="BQ22" s="211">
        <f>IF(AND(ISNUMBER(BQ11),ISNUMBER(BQ21)),IF(ABS(BQ18-BQ21)&lt;=1.01,0,ROUND(BQ18-BQ21,0)),"")</f>
        <v>0</v>
      </c>
      <c r="BR22" s="211">
        <f>IF(AND(ISNUMBER(BR11),ISNUMBER(BR21)),IF(ABS(BR18-BR21)&lt;=1.01,0,ROUND(BR18-BR21,0)),"")</f>
        <v>0</v>
      </c>
      <c r="BS22" s="211">
        <f>IF(AND(ISNUMBER(BS11),ISNUMBER(BS21)),IF(ABS(BS18-BS21)&lt;=1.01,0,ROUND(BS18-BS21,0)),"")</f>
        <v>0</v>
      </c>
      <c r="BT22" s="211">
        <f>IF(AND(ISNUMBER(BT11),ISNUMBER(BT21)),IF(ABS(BT18-BT21)&lt;=1.01,0,ROUND(BT18-BT21,0)),"")</f>
        <v>0</v>
      </c>
      <c r="BU22" s="153" t="n"/>
      <c r="BV22" s="153" t="n"/>
      <c r="BW22" s="153" t="n"/>
      <c r="BX22" s="153" t="n"/>
      <c r="BY22" s="153" t="n"/>
      <c r="BZ22" s="153" t="n"/>
      <c r="CA22" s="153" t="n"/>
      <c r="CB22" s="153" t="n"/>
      <c r="CC22" s="153" t="n"/>
      <c r="CK22" s="25" t="inlineStr">
        <is>
          <t xml:space="preserve">  Interest expense, net — GAAP ($m / quarter)</t>
        </is>
      </c>
      <c r="CM22" s="259" t="n">
        <v>98</v>
      </c>
      <c r="CO22" s="13" t="inlineStr">
        <is>
          <t>FY26 guided $365–385m GAAP; 1H $179m → (375 − 179) ÷ 2.</t>
        </is>
      </c>
    </row>
    <row r="23" ht="15" customHeight="1" s="251">
      <c r="B23" s="25" t="inlineStr">
        <is>
          <t xml:space="preserve">  Ratings — adjusted operating profit</t>
        </is>
      </c>
      <c r="C23" s="34" t="n"/>
      <c r="D23" s="253" t="n">
        <v>728</v>
      </c>
      <c r="E23" s="253" t="n">
        <v>865</v>
      </c>
      <c r="F23" s="253" t="n">
        <v>259</v>
      </c>
      <c r="G23" s="253" t="n">
        <v>277</v>
      </c>
      <c r="H23" s="253" t="n">
        <v>227</v>
      </c>
      <c r="I23" s="253" t="n">
        <v>231</v>
      </c>
      <c r="J23" s="253" t="n">
        <v>993</v>
      </c>
      <c r="K23" s="253" t="n">
        <v>240</v>
      </c>
      <c r="L23" s="253" t="n">
        <v>308</v>
      </c>
      <c r="M23" s="253" t="n">
        <v>266</v>
      </c>
      <c r="N23" s="253" t="n">
        <v>261</v>
      </c>
      <c r="O23" s="253" t="n">
        <v>1074</v>
      </c>
      <c r="P23" s="253" t="n">
        <v>285</v>
      </c>
      <c r="Q23" s="253" t="n">
        <v>329</v>
      </c>
      <c r="R23" s="253" t="n">
        <v>280</v>
      </c>
      <c r="S23" s="253" t="n">
        <v>252</v>
      </c>
      <c r="T23" s="253" t="n">
        <v>1146</v>
      </c>
      <c r="U23" s="253" t="n">
        <v>252</v>
      </c>
      <c r="V23" s="253" t="n">
        <v>369</v>
      </c>
      <c r="W23" s="253" t="n">
        <v>330</v>
      </c>
      <c r="X23" s="253" t="n">
        <v>313</v>
      </c>
      <c r="Y23" s="253" t="n">
        <v>1263</v>
      </c>
      <c r="Z23" s="253" t="n">
        <v>379</v>
      </c>
      <c r="AA23" s="253" t="n">
        <v>398</v>
      </c>
      <c r="AB23" s="253" t="n">
        <v>392</v>
      </c>
      <c r="AC23" s="253" t="n">
        <v>439</v>
      </c>
      <c r="AD23" s="253" t="n">
        <v>1608</v>
      </c>
      <c r="AE23" s="253" t="n">
        <v>408</v>
      </c>
      <c r="AF23" s="253" t="n">
        <v>443</v>
      </c>
      <c r="AG23" s="253" t="n">
        <v>396</v>
      </c>
      <c r="AH23" s="253" t="n">
        <v>367</v>
      </c>
      <c r="AI23" s="253" t="n">
        <v>1614</v>
      </c>
      <c r="AJ23" s="253" t="n">
        <v>364</v>
      </c>
      <c r="AK23" s="253" t="n">
        <v>467</v>
      </c>
      <c r="AL23" s="253" t="n">
        <v>472</v>
      </c>
      <c r="AM23" s="253" t="n">
        <v>473</v>
      </c>
      <c r="AN23" s="253" t="n">
        <v>1776</v>
      </c>
      <c r="AO23" s="253" t="n">
        <v>521</v>
      </c>
      <c r="AP23" s="253" t="n">
        <v>695</v>
      </c>
      <c r="AQ23" s="253" t="n">
        <v>552</v>
      </c>
      <c r="AR23" s="253" t="n">
        <v>481</v>
      </c>
      <c r="AS23" s="253" t="n">
        <v>2249</v>
      </c>
      <c r="AT23" s="253" t="n">
        <v>686</v>
      </c>
      <c r="AU23" s="253" t="n">
        <v>731</v>
      </c>
      <c r="AV23" s="253" t="n">
        <v>645</v>
      </c>
      <c r="AW23" s="253" t="n">
        <v>570</v>
      </c>
      <c r="AX23" s="253" t="n">
        <v>2632</v>
      </c>
      <c r="AY23" s="253" t="n">
        <v>518</v>
      </c>
      <c r="AZ23" s="253" t="n">
        <v>473</v>
      </c>
      <c r="BA23" s="253" t="n">
        <v>381</v>
      </c>
      <c r="BB23" s="253" t="n">
        <v>338</v>
      </c>
      <c r="BC23" s="253" t="n">
        <v>1710</v>
      </c>
      <c r="BD23" s="253" t="n">
        <v>480</v>
      </c>
      <c r="BE23" s="253" t="n">
        <v>491</v>
      </c>
      <c r="BF23" s="253" t="n">
        <v>464</v>
      </c>
      <c r="BG23" s="253" t="n">
        <v>447</v>
      </c>
      <c r="BH23" s="253" t="n">
        <v>1882</v>
      </c>
      <c r="BI23" s="253" t="n">
        <v>687</v>
      </c>
      <c r="BJ23" s="253" t="n">
        <v>747</v>
      </c>
      <c r="BK23" s="253" t="n">
        <v>684</v>
      </c>
      <c r="BL23" s="253" t="n">
        <v>634</v>
      </c>
      <c r="BM23" s="253" t="n">
        <v>2753</v>
      </c>
      <c r="BN23" s="253" t="n">
        <v>759</v>
      </c>
      <c r="BO23" s="253" t="n">
        <v>750</v>
      </c>
      <c r="BP23" s="253" t="n">
        <v>831</v>
      </c>
      <c r="BQ23" s="253" t="n">
        <v>735</v>
      </c>
      <c r="BR23" s="253" t="n">
        <v>3076</v>
      </c>
      <c r="BS23" s="253" t="n">
        <v>878</v>
      </c>
      <c r="BT23" s="253" t="n">
        <v>917</v>
      </c>
      <c r="BU23" s="254">
        <f>BU18*BU24</f>
        <v>889.378265702355</v>
      </c>
      <c r="BV23" s="254">
        <f>BV18*BV24</f>
        <v>782.928343176123</v>
      </c>
      <c r="BW23" s="254">
        <f>SUM(BS23:BV23)</f>
        <v>3467.30660887848</v>
      </c>
      <c r="BX23" s="254">
        <f>BX18*BX24</f>
        <v>3654.71725045697</v>
      </c>
      <c r="BY23" s="254">
        <f>BY18*BY24</f>
        <v>3920.1873940714</v>
      </c>
      <c r="BZ23" s="254">
        <f>BZ18*BZ24</f>
        <v>4155.39863771569</v>
      </c>
      <c r="CA23" s="254">
        <f>CA18*CA24</f>
        <v>4382.51721279397</v>
      </c>
      <c r="CB23" s="254">
        <f>CB18*CB24</f>
        <v>4622.15263521771</v>
      </c>
      <c r="CC23" s="19" t="inlineStr">
        <is>
          <t>Division adjusted OP (company non-GAAP: OP + non-GAAP adjustments + deal-related amortization). 2025+: pro forma recast basis. Forecast = revenue × adjusted margin.</t>
        </is>
      </c>
      <c r="CE23" s="20">
        <f>IFERROR((CB23/BW23)^(1/5)-1,"n/m")</f>
        <v>0.0591815499084267</v>
      </c>
      <c r="CF23" s="20">
        <f>IFERROR((BR23/AS23)^(1/5)-1,"n/m")</f>
        <v>0.0646316552622364</v>
      </c>
      <c r="CG23" s="20">
        <f>IFERROR((BR23/T23)^(1/10)-1,"n/m")</f>
        <v>0.103774029339517</v>
      </c>
      <c r="CH23" s="20" t="str">
        <f>IFERROR((BR23/C23)^(1/15)-1,"n/m")</f>
        <v>n/m</v>
      </c>
      <c r="CK23" s="25" t="inlineStr">
        <is>
          <t xml:space="preserve">  Premium amortization benefit in interest ($m / quarter)</t>
        </is>
      </c>
      <c r="CM23" s="259" t="n">
        <v>6</v>
      </c>
      <c r="CO23" s="13" t="inlineStr">
        <is>
          <t>IHS Markit notes fair-value premium: $6m a quarter (adjusted interest = GAAP + $6m).</t>
        </is>
      </c>
    </row>
    <row r="24" ht="15" customHeight="1" s="251">
      <c r="B24" s="25" t="inlineStr">
        <is>
          <t xml:space="preserve">  Adjusted operating margin %</t>
        </is>
      </c>
      <c r="C24" s="215">
        <f>IF(AND(ISNUMBER(C23),ISNUMBER(C18)),IFERROR(C23/C18,""),"")</f>
      </c>
      <c r="D24" s="215">
        <f>IF(AND(ISNUMBER(D23),ISNUMBER(D18)),IFERROR(D23/D18,""),"")</f>
        <v>0.411997736276174</v>
      </c>
      <c r="E24" s="215">
        <f>IF(AND(ISNUMBER(E23),ISNUMBER(E18)),IFERROR(E23/E18,""),"")</f>
        <v>0.425270403146509</v>
      </c>
      <c r="F24" s="215">
        <f>IF(AND(ISNUMBER(F23),ISNUMBER(F18)),IFERROR(F23/F18,""),"")</f>
        <v>0.461675579322638</v>
      </c>
      <c r="G24" s="215">
        <f>IF(AND(ISNUMBER(G23),ISNUMBER(G18)),IFERROR(G23/G18,""),"")</f>
        <v>0.462437395659432</v>
      </c>
      <c r="H24" s="215">
        <f>IF(AND(ISNUMBER(H23),ISNUMBER(H18)),IFERROR(H23/H18,""),"")</f>
        <v>0.42037037037037</v>
      </c>
      <c r="I24" s="215">
        <f>IF(AND(ISNUMBER(I23),ISNUMBER(I18)),IFERROR(I23/I18,""),"")</f>
        <v>0.402439024390244</v>
      </c>
      <c r="J24" s="215">
        <f>IF(AND(ISNUMBER(J23),ISNUMBER(J18)),IFERROR(J23/J18,""),"")</f>
        <v>0.436675461741425</v>
      </c>
      <c r="K24" s="215">
        <f>IF(AND(ISNUMBER(K23),ISNUMBER(K18)),IFERROR(K23/K18,""),"")</f>
        <v>0.421792618629174</v>
      </c>
      <c r="L24" s="215">
        <f>IF(AND(ISNUMBER(L23),ISNUMBER(L18)),IFERROR(L23/L18,""),"")</f>
        <v>0.463855421686747</v>
      </c>
      <c r="M24" s="215">
        <f>IF(AND(ISNUMBER(M23),ISNUMBER(M18)),IFERROR(M23/M18,""),"")</f>
        <v>0.440397350993377</v>
      </c>
      <c r="N24" s="215">
        <f>IF(AND(ISNUMBER(N23),ISNUMBER(N18)),IFERROR(N23/N18,""),"")</f>
        <v>0.422330097087379</v>
      </c>
      <c r="O24" s="215">
        <f>IF(AND(ISNUMBER(O23),ISNUMBER(O18)),IFERROR(O23/O18,""),"")</f>
        <v>0.437474541751528</v>
      </c>
      <c r="P24" s="215">
        <f>IF(AND(ISNUMBER(P23),ISNUMBER(P18)),IFERROR(P23/P18,""),"")</f>
        <v>0.47029702970297</v>
      </c>
      <c r="Q24" s="215">
        <f>IF(AND(ISNUMBER(Q23),ISNUMBER(Q18)),IFERROR(Q23/Q18,""),"")</f>
        <v>0.5</v>
      </c>
      <c r="R24" s="215">
        <f>IF(AND(ISNUMBER(R23),ISNUMBER(R18)),IFERROR(R23/R18,""),"")</f>
        <v>0.477001703577513</v>
      </c>
      <c r="S24" s="215">
        <f>IF(AND(ISNUMBER(S23),ISNUMBER(S18)),IFERROR(S23/S18,""),"")</f>
        <v>0.43598615916955</v>
      </c>
      <c r="T24" s="215">
        <f>IF(AND(ISNUMBER(T23),ISNUMBER(T18)),IFERROR(T23/T18,""),"")</f>
        <v>0.471993410214168</v>
      </c>
      <c r="U24" s="215">
        <f>IF(AND(ISNUMBER(U23),ISNUMBER(U18)),IFERROR(U23/U18,""),"")</f>
        <v>0.456521739130435</v>
      </c>
      <c r="V24" s="215">
        <f>IF(AND(ISNUMBER(V23),ISNUMBER(V18)),IFERROR(V23/V18,""),"")</f>
        <v>0.541055718475073</v>
      </c>
      <c r="W24" s="215">
        <f>IF(AND(ISNUMBER(W23),ISNUMBER(W18)),IFERROR(W23/W18,""),"")</f>
        <v>0.514018691588785</v>
      </c>
      <c r="X24" s="215">
        <f>IF(AND(ISNUMBER(X23),ISNUMBER(X18)),IFERROR(X23/X18,""),"")</f>
        <v>0.475683890577508</v>
      </c>
      <c r="Y24" s="215">
        <f>IF(AND(ISNUMBER(Y23),ISNUMBER(Y18)),IFERROR(Y23/Y18,""),"")</f>
        <v>0.498224852071006</v>
      </c>
      <c r="Z24" s="215">
        <f>IF(AND(ISNUMBER(Z23),ISNUMBER(Z18)),IFERROR(Z23/Z18,""),"")</f>
        <v>0.530812324929972</v>
      </c>
      <c r="AA24" s="215">
        <f>IF(AND(ISNUMBER(AA23),ISNUMBER(AA18)),IFERROR(AA23/AA18,""),"")</f>
        <v>0.532797858099063</v>
      </c>
      <c r="AB24" s="215">
        <f>IF(AND(ISNUMBER(AB23),ISNUMBER(AB18)),IFERROR(AB23/AB18,""),"")</f>
        <v>0.530446549391069</v>
      </c>
      <c r="AC24" s="215">
        <f>IF(AND(ISNUMBER(AC23),ISNUMBER(AC18)),IFERROR(AC23/AC18,""),"")</f>
        <v>0.556400506970849</v>
      </c>
      <c r="AD24" s="215">
        <f>IF(AND(ISNUMBER(AD23),ISNUMBER(AD18)),IFERROR(AD23/AD18,""),"")</f>
        <v>0.538152610441767</v>
      </c>
      <c r="AE24" s="215">
        <f>IF(AND(ISNUMBER(AE23),ISNUMBER(AE18)),IFERROR(AE23/AE18,""),"")</f>
        <v>0.545454545454545</v>
      </c>
      <c r="AF24" s="215">
        <f>IF(AND(ISNUMBER(AF23),ISNUMBER(AF18)),IFERROR(AF23/AF18,""),"")</f>
        <v>0.571612903225807</v>
      </c>
      <c r="AG24" s="215">
        <f>IF(AND(ISNUMBER(AG23),ISNUMBER(AG18)),IFERROR(AG23/AG18,""),"")</f>
        <v>0.565714285714286</v>
      </c>
      <c r="AH24" s="215">
        <f>IF(AND(ISNUMBER(AH23),ISNUMBER(AH18)),IFERROR(AH23/AH18,""),"")</f>
        <v>0.555219364599092</v>
      </c>
      <c r="AI24" s="215">
        <f>IF(AND(ISNUMBER(AI23),ISNUMBER(AI18)),IFERROR(AI23/AI18,""),"")</f>
        <v>0.559833506763788</v>
      </c>
      <c r="AJ24" s="215">
        <f>IF(AND(ISNUMBER(AJ23),ISNUMBER(AJ18)),IFERROR(AJ23/AJ18,""),"")</f>
        <v>0.522988505747126</v>
      </c>
      <c r="AK24" s="215">
        <f>IF(AND(ISNUMBER(AK23),ISNUMBER(AK18)),IFERROR(AK23/AK18,""),"")</f>
        <v>0.583021223470662</v>
      </c>
      <c r="AL24" s="215">
        <f>IF(AND(ISNUMBER(AL23),ISNUMBER(AL18)),IFERROR(AL23/AL18,""),"")</f>
        <v>0.598225602027883</v>
      </c>
      <c r="AM24" s="215">
        <f>IF(AND(ISNUMBER(AM23),ISNUMBER(AM18)),IFERROR(AM23/AM18,""),"")</f>
        <v>0.576829268292683</v>
      </c>
      <c r="AN24" s="215">
        <f>IF(AND(ISNUMBER(AN23),ISNUMBER(AN18)),IFERROR(AN23/AN18,""),"")</f>
        <v>0.571796522858983</v>
      </c>
      <c r="AO24" s="215">
        <f>IF(AND(ISNUMBER(AO23),ISNUMBER(AO18)),IFERROR(AO23/AO18,""),"")</f>
        <v>0.631515151515152</v>
      </c>
      <c r="AP24" s="215">
        <f>IF(AND(ISNUMBER(AP23),ISNUMBER(AP18)),IFERROR(AP23/AP18,""),"")</f>
        <v>0.690854870775348</v>
      </c>
      <c r="AQ24" s="215">
        <f>IF(AND(ISNUMBER(AQ23),ISNUMBER(AQ18)),IFERROR(AQ23/AQ18,""),"")</f>
        <v>0.61744966442953</v>
      </c>
      <c r="AR24" s="215">
        <f>IF(AND(ISNUMBER(AR23),ISNUMBER(AR18)),IFERROR(AR23/AR18,""),"")</f>
        <v>0.545970488081725</v>
      </c>
      <c r="AS24" s="215">
        <f>IF(AND(ISNUMBER(AS23),ISNUMBER(AS18)),IFERROR(AS23/AS18,""),"")</f>
        <v>0.623682750970605</v>
      </c>
      <c r="AT24" s="215">
        <f>IF(AND(ISNUMBER(AT23),ISNUMBER(AT18)),IFERROR(AT23/AT18,""),"")</f>
        <v>0.674532940019666</v>
      </c>
      <c r="AU24" s="215">
        <f>IF(AND(ISNUMBER(AU23),ISNUMBER(AU18)),IFERROR(AU23/AU18,""),"")</f>
        <v>0.681267474370923</v>
      </c>
      <c r="AV24" s="215">
        <f>IF(AND(ISNUMBER(AV23),ISNUMBER(AV18)),IFERROR(AV23/AV18,""),"")</f>
        <v>0.634218289085546</v>
      </c>
      <c r="AW24" s="215">
        <f>IF(AND(ISNUMBER(AW23),ISNUMBER(AW18)),IFERROR(AW23/AW18,""),"")</f>
        <v>0.57633973710819</v>
      </c>
      <c r="AX24" s="215">
        <f>IF(AND(ISNUMBER(AX23),ISNUMBER(AX18)),IFERROR(AX23/AX18,""),"")</f>
        <v>0.642421283866244</v>
      </c>
      <c r="AY24" s="215">
        <f>IF(AND(ISNUMBER(AY23),ISNUMBER(AY18)),IFERROR(AY23/AY18,""),"")</f>
        <v>0.596774193548387</v>
      </c>
      <c r="AZ24" s="215">
        <f>IF(AND(ISNUMBER(AZ23),ISNUMBER(AZ18)),IFERROR(AZ23/AZ18,""),"")</f>
        <v>0.594221105527638</v>
      </c>
      <c r="BA24" s="215">
        <f>IF(AND(ISNUMBER(BA23),ISNUMBER(BA18)),IFERROR(BA23/BA18,""),"")</f>
        <v>0.559471365638767</v>
      </c>
      <c r="BB24" s="215">
        <f>IF(AND(ISNUMBER(BB23),ISNUMBER(BB18)),IFERROR(BB23/BB18,""),"")</f>
        <v>0.479432624113475</v>
      </c>
      <c r="BC24" s="215">
        <f>IF(AND(ISNUMBER(BC23),ISNUMBER(BC18)),IFERROR(BC23/BC18,""),"")</f>
        <v>0.560655737704918</v>
      </c>
      <c r="BD24" s="215">
        <f>IF(AND(ISNUMBER(BD23),ISNUMBER(BD18)),IFERROR(BD23/BD18,""),"")</f>
        <v>0.58252427184466</v>
      </c>
      <c r="BE24" s="215">
        <f>IF(AND(ISNUMBER(BE23),ISNUMBER(BE18)),IFERROR(BE23/BE18,""),"")</f>
        <v>0.576968272620447</v>
      </c>
      <c r="BF24" s="215">
        <f>IF(AND(ISNUMBER(BF23),ISNUMBER(BF18)),IFERROR(BF23/BF18,""),"")</f>
        <v>0.566544566544567</v>
      </c>
      <c r="BG24" s="215">
        <f>IF(AND(ISNUMBER(BG23),ISNUMBER(BG18)),IFERROR(BG23/BG18,""),"")</f>
        <v>0.533412887828162</v>
      </c>
      <c r="BH24" s="215">
        <f>IF(AND(ISNUMBER(BH23),ISNUMBER(BH18)),IFERROR(BH23/BH18,""),"")</f>
        <v>0.564825930372149</v>
      </c>
      <c r="BI24" s="215">
        <f>IF(AND(ISNUMBER(BI23),ISNUMBER(BI18)),IFERROR(BI23/BI18,""),"")</f>
        <v>0.646892655367232</v>
      </c>
      <c r="BJ24" s="215">
        <f>IF(AND(ISNUMBER(BJ23),ISNUMBER(BJ18)),IFERROR(BJ23/BJ18,""),"")</f>
        <v>0.658149779735683</v>
      </c>
      <c r="BK24" s="215">
        <f>IF(AND(ISNUMBER(BK23),ISNUMBER(BK18)),IFERROR(BK23/BK18,""),"")</f>
        <v>0.616216216216216</v>
      </c>
      <c r="BL24" s="215">
        <f>IF(AND(ISNUMBER(BL23),ISNUMBER(BL18)),IFERROR(BL23/BL18,""),"")</f>
        <v>0.5969868173258</v>
      </c>
      <c r="BM24" s="215">
        <f>IF(AND(ISNUMBER(BM23),ISNUMBER(BM18)),IFERROR(BM23/BM18,""),"")</f>
        <v>0.629977116704806</v>
      </c>
      <c r="BN24" s="215">
        <f>IF(AND(ISNUMBER(BN23),ISNUMBER(BN18)),IFERROR(BN23/BN18,""),"")</f>
        <v>0.660574412532637</v>
      </c>
      <c r="BO24" s="215">
        <f>IF(AND(ISNUMBER(BO23),ISNUMBER(BO18)),IFERROR(BO23/BO18,""),"")</f>
        <v>0.653310104529617</v>
      </c>
      <c r="BP24" s="215">
        <f>IF(AND(ISNUMBER(BP23),ISNUMBER(BP18)),IFERROR(BP23/BP18,""),"")</f>
        <v>0.670161290322581</v>
      </c>
      <c r="BQ24" s="215">
        <f>IF(AND(ISNUMBER(BQ23),ISNUMBER(BQ18)),IFERROR(BQ23/BQ18,""),"")</f>
        <v>0.619208087615838</v>
      </c>
      <c r="BR24" s="215">
        <f>IF(AND(ISNUMBER(BR23),ISNUMBER(BR18)),IFERROR(BR23/BR18,""),"")</f>
        <v>0.651143099068586</v>
      </c>
      <c r="BS24" s="215">
        <f>IF(AND(ISNUMBER(BS23),ISNUMBER(BS18)),IFERROR(BS23/BS18,""),"")</f>
        <v>0.674347158218126</v>
      </c>
      <c r="BT24" s="215">
        <f>IF(AND(ISNUMBER(BT23),ISNUMBER(BT18)),IFERROR(BT23/BT18,""),"")</f>
        <v>0.684839432412248</v>
      </c>
      <c r="BU24" s="256">
        <f>BU25+$BW$159</f>
        <v>0.667482849376817</v>
      </c>
      <c r="BV24" s="256">
        <f>BV25+$BW$159</f>
        <v>0.616529646670075</v>
      </c>
      <c r="BW24" s="256">
        <f>IF(AND(ISNUMBER(BW23),ISNUMBER(BW18)),IFERROR(BW23/BW18,""),"")</f>
        <v>0.661279263761124</v>
      </c>
      <c r="BX24" s="256">
        <f>CHOOSE(MATCH($CC$2,{"Bull","Base","Bear"},0),$CL$77,$CM$77,$CN$77)</f>
        <v>0.665</v>
      </c>
      <c r="BY24" s="256">
        <f>CHOOSE(MATCH($CC$2,{"Bull","Base","Bear"},0),$CL$78,$CM$78,$CN$78)</f>
        <v>0.67</v>
      </c>
      <c r="BZ24" s="256">
        <f>CHOOSE(MATCH($CC$2,{"Bull","Base","Bear"},0),$CL$79,$CM$79,$CN$79)</f>
        <v>0.67</v>
      </c>
      <c r="CA24" s="256">
        <f>CHOOSE(MATCH($CC$2,{"Bull","Base","Bear"},0),$CL$80,$CM$80,$CN$80)</f>
        <v>0.67</v>
      </c>
      <c r="CB24" s="256">
        <f>CHOOSE(MATCH($CC$2,{"Bull","Base","Bear"},0),$CL$81,$CM$81,$CN$81)</f>
        <v>0.67</v>
      </c>
      <c r="CC24" s="153" t="inlineStr">
        <is>
          <t>Q3–Q4/26E: margin before calibration + adjusted-EPS-guidance calibration Δ (Group block). 2027E+: scenario lever.</t>
        </is>
      </c>
      <c r="CE24" s="37">
        <f>IFERROR(AVERAGE(BX24,BY24,BZ24,CA24,CB24),"n/m")</f>
        <v>0.669</v>
      </c>
      <c r="CF24" s="37">
        <f>IFERROR(AVERAGE(AX24,BC24,BH24,BM24,BR24),"n/m")</f>
        <v>0.60980463354334</v>
      </c>
      <c r="CG24" s="37">
        <f>IFERROR(AVERAGE(Y24,AD24,AI24,AN24,AS24,AX24,BC24,BH24,BM24,BR24),"n/m")</f>
        <v>0.584071341082285</v>
      </c>
      <c r="CH24" s="37">
        <f>IFERROR(AVERAGE(C24,D24,E24,J24,O24,T24,Y24,AD24,AI24,AN24,AS24,AX24,BC24,BH24,BM24,BR24),"n/m")</f>
        <v>0.53494166426351</v>
      </c>
      <c r="CK24" s="25" t="inlineStr">
        <is>
          <t xml:space="preserve">  Other income, net ($m / quarter)</t>
        </is>
      </c>
      <c r="CM24" s="259" t="n">
        <v>3</v>
      </c>
      <c r="CO24" s="13" t="inlineStr">
        <is>
          <t>1H-26 $6m (pension income).</t>
        </is>
      </c>
    </row>
    <row r="25" ht="15" customHeight="1" s="251">
      <c r="B25" s="25" t="inlineStr">
        <is>
          <t xml:space="preserve">  Q3–Q4/26E margin before EPS calibration (prior-year quarter + 1H-26 y/y drift)</t>
        </is>
      </c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  <c r="AU25" s="36" t="n"/>
      <c r="AV25" s="36" t="n"/>
      <c r="AW25" s="36" t="n"/>
      <c r="AX25" s="36" t="n"/>
      <c r="AY25" s="36" t="n"/>
      <c r="AZ25" s="36" t="n"/>
      <c r="BA25" s="36" t="n"/>
      <c r="BB25" s="36" t="n"/>
      <c r="BC25" s="36" t="n"/>
      <c r="BD25" s="36" t="n"/>
      <c r="BE25" s="36" t="n"/>
      <c r="BF25" s="36" t="n"/>
      <c r="BG25" s="36" t="n"/>
      <c r="BH25" s="36" t="n"/>
      <c r="BI25" s="36" t="n"/>
      <c r="BJ25" s="36" t="n"/>
      <c r="BK25" s="36" t="n"/>
      <c r="BL25" s="36" t="n"/>
      <c r="BM25" s="36" t="n"/>
      <c r="BN25" s="36" t="n"/>
      <c r="BO25" s="36" t="n"/>
      <c r="BP25" s="36" t="n"/>
      <c r="BQ25" s="36" t="n"/>
      <c r="BR25" s="36" t="n"/>
      <c r="BS25" s="36" t="n"/>
      <c r="BT25" s="36" t="n"/>
      <c r="BU25" s="256">
        <f>BP24+IFERROR(SUM(BS23:BT23)/SUM(BS18:BT18)-SUM(BN23:BO23)/SUM(BN18:BO18),0)</f>
        <v>0.692884243413033</v>
      </c>
      <c r="BV25" s="256">
        <f>BQ24+IFERROR(SUM(BS23:BT23)/SUM(BS18:BT18)-SUM(BN23:BO23)/SUM(BN18:BO18),0)</f>
        <v>0.641931040706291</v>
      </c>
      <c r="BW25" s="24" t="n"/>
      <c r="BX25" s="46" t="n"/>
      <c r="BY25" s="46" t="n"/>
      <c r="BZ25" s="46" t="n"/>
      <c r="CA25" s="46" t="n"/>
      <c r="CB25" s="46" t="n"/>
      <c r="CC25" s="19" t="n"/>
      <c r="CK25" s="25" t="inlineStr">
        <is>
          <t xml:space="preserve">  Depreciation ($m / quarter)</t>
        </is>
      </c>
      <c r="CM25" s="259" t="n">
        <v>29</v>
      </c>
      <c r="CO25" s="13" t="inlineStr">
        <is>
          <t>1H-26 $56m continuing.</t>
        </is>
      </c>
    </row>
    <row r="26" ht="15" customHeight="1" s="251">
      <c r="B26" s="25" t="inlineStr">
        <is>
          <t xml:space="preserve">  Incremental adjusted margin (Δ adjusted OP / Δ revenue)</t>
        </is>
      </c>
      <c r="C26" s="36" t="n"/>
      <c r="D26" s="215">
        <f>IFERROR((D23-C23)/(D18-C18),"")</f>
        <v>10.1111111111111</v>
      </c>
      <c r="E26" s="215">
        <f>IFERROR((E23-D23)/(E18-D18),"")</f>
        <v>0.51310861423221</v>
      </c>
      <c r="F26" s="36" t="n"/>
      <c r="G26" s="36" t="n"/>
      <c r="H26" s="36" t="n"/>
      <c r="I26" s="36" t="n"/>
      <c r="J26" s="215">
        <f>IFERROR((J23-E23)/(J18-E18),"")</f>
        <v>0.533333333333333</v>
      </c>
      <c r="K26" s="215">
        <f>IFERROR((K23-F23)/(K18-F18),"")</f>
        <v>-2.375</v>
      </c>
      <c r="L26" s="215">
        <f>IFERROR((L23-G23)/(L18-G18),"")</f>
        <v>0.476923076923077</v>
      </c>
      <c r="M26" s="215">
        <f>IFERROR((M23-H23)/(M18-H18),"")</f>
        <v>0.609375</v>
      </c>
      <c r="N26" s="215">
        <f>IFERROR((N23-I23)/(N18-I18),"")</f>
        <v>0.681818181818182</v>
      </c>
      <c r="O26" s="215">
        <f>IFERROR((O23-J23)/(O18-J18),"")</f>
        <v>0.447513812154696</v>
      </c>
      <c r="P26" s="215">
        <f>IFERROR((P23-K23)/(P18-K18),"")</f>
        <v>1.21621621621622</v>
      </c>
      <c r="Q26" s="215">
        <f>IFERROR((Q23-L23)/(Q18-L18),"")</f>
        <v>-3.5</v>
      </c>
      <c r="R26" s="215">
        <f>IFERROR((R23-M23)/(R18-M18),"")</f>
        <v>-0.823529411764706</v>
      </c>
      <c r="S26" s="215">
        <f>IFERROR((S23-N23)/(S18-N18),"")</f>
        <v>0.225</v>
      </c>
      <c r="T26" s="215">
        <f>IFERROR((T23-O23)/(T18-O18),"")</f>
        <v>-2.66666666666667</v>
      </c>
      <c r="U26" s="215">
        <f>IFERROR((U23-P23)/(U18-P18),"")</f>
        <v>0.611111111111111</v>
      </c>
      <c r="V26" s="215">
        <f>IFERROR((V23-Q23)/(V18-Q18),"")</f>
        <v>1.66666666666667</v>
      </c>
      <c r="W26" s="215">
        <f>IFERROR((W23-R23)/(W18-R18),"")</f>
        <v>0.909090909090909</v>
      </c>
      <c r="X26" s="215">
        <f>IFERROR((X23-S23)/(X18-S18),"")</f>
        <v>0.7625</v>
      </c>
      <c r="Y26" s="215">
        <f>IFERROR((Y23-T23)/(Y18-T18),"")</f>
        <v>1.09345794392523</v>
      </c>
      <c r="Z26" s="215">
        <f>IFERROR((Z23-U23)/(Z18-U18),"")</f>
        <v>0.783950617283951</v>
      </c>
      <c r="AA26" s="215">
        <f>IFERROR((AA23-V23)/(AA18-V18),"")</f>
        <v>0.446153846153846</v>
      </c>
      <c r="AB26" s="215">
        <f>IFERROR((AB23-W23)/(AB18-W18),"")</f>
        <v>0.639175257731959</v>
      </c>
      <c r="AC26" s="215">
        <f>IFERROR((AC23-X23)/(AC18-X18),"")</f>
        <v>0.961832061068702</v>
      </c>
      <c r="AD26" s="215">
        <f>IFERROR((AD23-Y23)/(AD18-Y18),"")</f>
        <v>0.76158940397351</v>
      </c>
      <c r="AE26" s="215">
        <f>IFERROR((AE23-Z23)/(AE18-Z18),"")</f>
        <v>0.852941176470588</v>
      </c>
      <c r="AF26" s="215">
        <f>IFERROR((AF23-AA23)/(AF18-AA18),"")</f>
        <v>1.60714285714286</v>
      </c>
      <c r="AG26" s="215">
        <f>IFERROR((AG23-AB23)/(AG18-AB18),"")</f>
        <v>-0.102564102564103</v>
      </c>
      <c r="AH26" s="215">
        <f>IFERROR((AH23-AC23)/(AH18-AC18),"")</f>
        <v>0.5625</v>
      </c>
      <c r="AI26" s="215">
        <f>IFERROR((AI23-AD23)/(AI18-AD18),"")</f>
        <v>-0.0571428571428571</v>
      </c>
      <c r="AJ26" s="215">
        <f>IFERROR((AJ23-AE23)/(AJ18-AE18),"")</f>
        <v>0.846153846153846</v>
      </c>
      <c r="AK26" s="215">
        <f>IFERROR((AK23-AF23)/(AK18-AF18),"")</f>
        <v>0.923076923076923</v>
      </c>
      <c r="AL26" s="215">
        <f>IFERROR((AL23-AG23)/(AL18-AG18),"")</f>
        <v>0.853932584269663</v>
      </c>
      <c r="AM26" s="215">
        <f>IFERROR((AM23-AH23)/(AM18-AH18),"")</f>
        <v>0.666666666666667</v>
      </c>
      <c r="AN26" s="215">
        <f>IFERROR((AN23-AI23)/(AN18-AI18),"")</f>
        <v>0.726457399103139</v>
      </c>
      <c r="AO26" s="215">
        <f>IFERROR((AO23-AJ23)/(AO18-AJ18),"")</f>
        <v>1.21705426356589</v>
      </c>
      <c r="AP26" s="215">
        <f>IFERROR((AP23-AK23)/(AP18-AK18),"")</f>
        <v>1.11219512195122</v>
      </c>
      <c r="AQ26" s="215">
        <f>IFERROR((AQ23-AL23)/(AQ18-AL18),"")</f>
        <v>0.761904761904762</v>
      </c>
      <c r="AR26" s="215">
        <f>IFERROR((AR23-AM23)/(AR18-AM18),"")</f>
        <v>0.131147540983607</v>
      </c>
      <c r="AS26" s="215">
        <f>IFERROR((AS23-AN23)/(AS18-AN18),"")</f>
        <v>0.946</v>
      </c>
      <c r="AT26" s="215">
        <f>IFERROR((AT23-AO23)/(AT18-AO18),"")</f>
        <v>0.859375</v>
      </c>
      <c r="AU26" s="215">
        <f>IFERROR((AU23-AP23)/(AU18-AP18),"")</f>
        <v>0.537313432835821</v>
      </c>
      <c r="AV26" s="215">
        <f>IFERROR((AV23-AQ23)/(AV18-AQ18),"")</f>
        <v>0.75609756097561</v>
      </c>
      <c r="AW26" s="215">
        <f>IFERROR((AW23-AR23)/(AW18-AR18),"")</f>
        <v>0.824074074074074</v>
      </c>
      <c r="AX26" s="215">
        <f>IFERROR((AX23-AS23)/(AX18-AS18),"")</f>
        <v>0.780040733197556</v>
      </c>
      <c r="AY26" s="215">
        <f>IFERROR((AY23-AT23)/(AY18-AT18),"")</f>
        <v>1.12751677852349</v>
      </c>
      <c r="AZ26" s="215">
        <f>IFERROR((AZ23-AU23)/(AZ18-AU18),"")</f>
        <v>0.931407942238267</v>
      </c>
      <c r="BA26" s="215">
        <f>IFERROR((BA23-AV23)/(BA18-AV18),"")</f>
        <v>0.785714285714286</v>
      </c>
      <c r="BB26" s="215">
        <f>IFERROR((BB23-AW23)/(BB18-AW18),"")</f>
        <v>0.816901408450704</v>
      </c>
      <c r="BC26" s="215">
        <f>IFERROR((BC23-AX23)/(BC18-AX18),"")</f>
        <v>0.880611270296084</v>
      </c>
      <c r="BD26" s="215">
        <f>IFERROR((BD23-AY23)/(BD18-AY18),"")</f>
        <v>0.863636363636364</v>
      </c>
      <c r="BE26" s="215">
        <f>IFERROR((BE23-AZ23)/(BE18-AZ18),"")</f>
        <v>0.327272727272727</v>
      </c>
      <c r="BF26" s="215">
        <f>IFERROR((BF23-BA23)/(BF18-BA18),"")</f>
        <v>0.601449275362319</v>
      </c>
      <c r="BG26" s="215">
        <f>IFERROR((BG23-BB23)/(BG18-BB18),"")</f>
        <v>0.819548872180451</v>
      </c>
      <c r="BH26" s="215">
        <f>IFERROR((BH23-BC23)/(BH18-BC18),"")</f>
        <v>0.609929078014184</v>
      </c>
      <c r="BI26" s="215">
        <f>IFERROR((BI23-BD23)/(BI18-BD18),"")</f>
        <v>0.869747899159664</v>
      </c>
      <c r="BJ26" s="215">
        <f>IFERROR((BJ23-BE23)/(BJ18-BE18),"")</f>
        <v>0.901408450704225</v>
      </c>
      <c r="BK26" s="215">
        <f>IFERROR((BK23-BF23)/(BK18-BF18),"")</f>
        <v>0.756013745704467</v>
      </c>
      <c r="BL26" s="215">
        <f>IFERROR((BL23-BG23)/(BL18-BG18),"")</f>
        <v>0.834821428571429</v>
      </c>
      <c r="BM26" s="215">
        <f>IFERROR((BM23-BH23)/(BM18-BH18),"")</f>
        <v>0.839113680154143</v>
      </c>
      <c r="BN26" s="215">
        <f>IFERROR((BN23-BI23)/(BN18-BI18),"")</f>
        <v>0.827586206896552</v>
      </c>
      <c r="BO26" s="215">
        <f>IFERROR((BO23-BJ23)/(BO18-BJ18),"")</f>
        <v>0.230769230769231</v>
      </c>
      <c r="BP26" s="215">
        <f>IFERROR((BP23-BK23)/(BP18-BK18),"")</f>
        <v>1.13076923076923</v>
      </c>
      <c r="BQ26" s="215">
        <f>IFERROR((BQ23-BL23)/(BQ18-BL18),"")</f>
        <v>0.808</v>
      </c>
      <c r="BR26" s="215">
        <f>IFERROR((BR23-BM23)/(BR18-BM18),"")</f>
        <v>0.912429378531073</v>
      </c>
      <c r="BS26" s="215">
        <f>IFERROR((BS23-BN23)/(BS18-BN18),"")</f>
        <v>0.777777777777778</v>
      </c>
      <c r="BT26" s="215">
        <f>IFERROR((BT23-BO23)/(BT18-BO18),"")</f>
        <v>0.87434554973822</v>
      </c>
      <c r="BU26" s="256">
        <f>IFERROR((BU23-BP23)/(BU18-BP18),"")</f>
        <v>0.631552453795486</v>
      </c>
      <c r="BV26" s="256">
        <f>IFERROR((BV23-BQ23)/(BV18-BQ18),"")</f>
        <v>0.578176515509671</v>
      </c>
      <c r="BW26" s="256">
        <f>IFERROR((BW23-BR23)/(BW18-BR18),"")</f>
        <v>0.753480896136211</v>
      </c>
      <c r="BX26" s="256">
        <f>IFERROR((BX23-BW23)/(BX18-BW18),"")</f>
        <v>0.742268605030349</v>
      </c>
      <c r="BY26" s="256">
        <f>IFERROR((BY23-BX23)/(BY18-BX18),"")</f>
        <v>0.747359969452</v>
      </c>
      <c r="BZ26" s="256">
        <f>IFERROR((BZ23-BY23)/(BZ18-BY18),"")</f>
        <v>0.67</v>
      </c>
      <c r="CA26" s="256">
        <f>IFERROR((CA23-BZ23)/(CA18-BZ18),"")</f>
        <v>0.670000000000001</v>
      </c>
      <c r="CB26" s="256">
        <f>IFERROR((CB23-CA23)/(CB18-CA18),"")</f>
        <v>0.669999999999999</v>
      </c>
      <c r="CC26" s="153" t="n"/>
      <c r="CK26" s="25" t="inlineStr">
        <is>
          <t xml:space="preserve">  Severance &amp; restructuring ($m / quarter)</t>
        </is>
      </c>
      <c r="CM26" s="259" t="n">
        <v>15</v>
      </c>
      <c r="CO26" s="13" t="inlineStr">
        <is>
          <t>Assumption (1H-26 continuing ~$45m).</t>
        </is>
      </c>
    </row>
    <row r="27" ht="15" customHeight="1" s="251">
      <c r="B27" s="156" t="inlineStr">
        <is>
          <t xml:space="preserve">  Memo: Ratings — operating profit (GAAP, as reported)</t>
        </is>
      </c>
      <c r="C27" s="253" t="n">
        <v>762</v>
      </c>
      <c r="D27" s="253" t="n">
        <v>720</v>
      </c>
      <c r="E27" s="253" t="n">
        <v>849</v>
      </c>
      <c r="F27" s="253" t="n">
        <v>259</v>
      </c>
      <c r="G27" s="253" t="n">
        <v>277</v>
      </c>
      <c r="H27" s="253" t="n">
        <v>243</v>
      </c>
      <c r="I27" s="253" t="n">
        <v>221</v>
      </c>
      <c r="J27" s="253" t="n">
        <v>1000</v>
      </c>
      <c r="K27" s="253" t="n">
        <v>240</v>
      </c>
      <c r="L27" s="253" t="n">
        <v>308</v>
      </c>
      <c r="M27" s="253" t="n">
        <v>183</v>
      </c>
      <c r="N27" s="253" t="n">
        <v>-1313</v>
      </c>
      <c r="O27" s="253" t="n">
        <v>-583</v>
      </c>
      <c r="P27" s="253" t="n">
        <v>291</v>
      </c>
      <c r="Q27" s="253" t="n">
        <v>361</v>
      </c>
      <c r="R27" s="253" t="n">
        <v>194</v>
      </c>
      <c r="S27" s="253" t="n">
        <v>232</v>
      </c>
      <c r="T27" s="253" t="n">
        <v>1078</v>
      </c>
      <c r="U27" s="253" t="n">
        <v>262</v>
      </c>
      <c r="V27" s="253" t="n">
        <v>396</v>
      </c>
      <c r="W27" s="253" t="n">
        <v>346</v>
      </c>
      <c r="X27" s="253" t="n">
        <v>258</v>
      </c>
      <c r="Y27" s="253" t="n">
        <v>1262</v>
      </c>
      <c r="Z27" s="253" t="n">
        <v>376</v>
      </c>
      <c r="AA27" s="253" t="n">
        <v>397</v>
      </c>
      <c r="AB27" s="253" t="n">
        <v>376</v>
      </c>
      <c r="AC27" s="253" t="n">
        <v>374</v>
      </c>
      <c r="AD27" s="253" t="n">
        <v>1524</v>
      </c>
      <c r="AE27" s="253" t="n">
        <v>408</v>
      </c>
      <c r="AF27" s="253" t="n">
        <v>369</v>
      </c>
      <c r="AG27" s="253" t="n">
        <v>395</v>
      </c>
      <c r="AH27" s="253" t="n">
        <v>357</v>
      </c>
      <c r="AI27" s="253" t="n">
        <v>1530</v>
      </c>
      <c r="AJ27" s="253" t="n">
        <v>363</v>
      </c>
      <c r="AK27" s="253" t="n">
        <v>455</v>
      </c>
      <c r="AL27" s="253" t="n">
        <v>472</v>
      </c>
      <c r="AM27" s="253" t="n">
        <v>473</v>
      </c>
      <c r="AN27" s="253" t="n">
        <v>1763</v>
      </c>
      <c r="AO27" s="253" t="n">
        <v>520</v>
      </c>
      <c r="AP27" s="253" t="n">
        <v>693</v>
      </c>
      <c r="AQ27" s="253" t="n">
        <v>544</v>
      </c>
      <c r="AR27" s="253" t="n">
        <v>465</v>
      </c>
      <c r="AS27" s="253" t="n">
        <v>2223</v>
      </c>
      <c r="AT27" s="253" t="n">
        <v>681</v>
      </c>
      <c r="AU27" s="253" t="n">
        <v>729</v>
      </c>
      <c r="AV27" s="253" t="n">
        <v>644</v>
      </c>
      <c r="AW27" s="253" t="n">
        <v>575</v>
      </c>
      <c r="AX27" s="253" t="n">
        <v>2629</v>
      </c>
      <c r="AY27" s="253" t="n">
        <v>511</v>
      </c>
      <c r="AZ27" s="253" t="n">
        <v>464</v>
      </c>
      <c r="BA27" s="253" t="n">
        <v>377</v>
      </c>
      <c r="BB27" s="253" t="n">
        <v>320</v>
      </c>
      <c r="BC27" s="253" t="n">
        <v>1672</v>
      </c>
      <c r="BD27" s="253" t="n">
        <v>477</v>
      </c>
      <c r="BE27" s="253" t="n">
        <v>486</v>
      </c>
      <c r="BF27" s="253" t="n">
        <v>459</v>
      </c>
      <c r="BG27" s="253" t="n">
        <v>442</v>
      </c>
      <c r="BH27" s="253" t="n">
        <v>1864</v>
      </c>
      <c r="BI27" s="253" t="n">
        <v>679</v>
      </c>
      <c r="BJ27" s="253" t="n">
        <v>725</v>
      </c>
      <c r="BK27" s="253" t="n">
        <v>676</v>
      </c>
      <c r="BL27" s="253" t="n">
        <v>627</v>
      </c>
      <c r="BM27" s="253" t="n">
        <v>2707</v>
      </c>
      <c r="BN27" s="34" t="n"/>
      <c r="BO27" s="34" t="n"/>
      <c r="BP27" s="34" t="n"/>
      <c r="BQ27" s="34" t="n"/>
      <c r="BR27" s="34" t="n"/>
      <c r="BS27" s="34" t="n"/>
      <c r="BT27" s="34" t="n"/>
      <c r="BU27" s="153" t="n"/>
      <c r="BV27" s="153" t="n"/>
      <c r="BW27" s="153" t="n"/>
      <c r="BX27" s="153" t="n"/>
      <c r="BY27" s="153" t="n"/>
      <c r="BZ27" s="153" t="n"/>
      <c r="CA27" s="153" t="n"/>
      <c r="CB27" s="153" t="n"/>
      <c r="CC27" s="153" t="n"/>
      <c r="CK27" s="25" t="inlineStr">
        <is>
          <t xml:space="preserve">  Disposition / separation costs ($m / quarter)</t>
        </is>
      </c>
      <c r="CM27" s="259" t="n">
        <v>10</v>
      </c>
      <c r="CO27" s="13" t="inlineStr">
        <is>
          <t>Assumption: residual Mobility separation and geoscience / EDM disposition costs.</t>
        </is>
      </c>
    </row>
    <row r="28" ht="15" customHeight="1" s="251">
      <c r="CK28" s="25" t="inlineStr">
        <is>
          <t xml:space="preserve">  Gain on geoscience portfolio sale (Q4/26E; negative = gain)</t>
        </is>
      </c>
      <c r="CM28" s="259" t="n">
        <v>-250</v>
      </c>
      <c r="CO28" s="13" t="inlineStr">
        <is>
          <t>Assumption implied by the guidance: GAAP vs adjusted margin guidance leaves ~$210m of net 2H gains after amortization, and the EPS bridge includes −$1.20 of divestiture gains ($0.60 booked in 1H).</t>
        </is>
      </c>
    </row>
    <row r="29" ht="15" customHeight="1" s="251">
      <c r="B29" s="14" t="inlineStr">
        <is>
          <t>S&amp;P Dow Jones Indices (73% / 27% JV with CME Group from Jul-2012; S&amp;P DJ Indices to 2015)</t>
        </is>
      </c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4" t="n"/>
      <c r="BE29" s="14" t="n"/>
      <c r="BF29" s="14" t="n"/>
      <c r="BG29" s="14" t="n"/>
      <c r="BH29" s="14" t="n"/>
      <c r="BI29" s="14" t="n"/>
      <c r="BJ29" s="14" t="n"/>
      <c r="BK29" s="14" t="n"/>
      <c r="BL29" s="14" t="n"/>
      <c r="BM29" s="14" t="n"/>
      <c r="BN29" s="14" t="n"/>
      <c r="BO29" s="14" t="n"/>
      <c r="BP29" s="14" t="n"/>
      <c r="BQ29" s="14" t="n"/>
      <c r="BR29" s="14" t="n"/>
      <c r="BS29" s="14" t="n"/>
      <c r="BT29" s="14" t="n"/>
      <c r="BU29" s="14" t="n"/>
      <c r="BV29" s="14" t="n"/>
      <c r="BW29" s="14" t="n"/>
      <c r="BX29" s="14" t="n"/>
      <c r="BY29" s="14" t="n"/>
      <c r="BZ29" s="14" t="n"/>
      <c r="CA29" s="14" t="n"/>
      <c r="CB29" s="14" t="n"/>
      <c r="CC29" s="15" t="inlineStr">
        <is>
          <t>INDICES (S&amp;P DOW JONES INDICES) — modelling logic</t>
        </is>
      </c>
      <c r="CK29" s="25" t="inlineStr">
        <is>
          <t xml:space="preserve">  Tax rate (GAAP &amp; adjusted)</t>
        </is>
      </c>
      <c r="CM29" s="257" t="n">
        <v>0.225</v>
      </c>
      <c r="CO29" s="13" t="inlineStr">
        <is>
          <t>FY26 guided 22–23%.</t>
        </is>
      </c>
    </row>
    <row r="30" ht="15" customHeight="1" s="251">
      <c r="B30" s="25" t="inlineStr">
        <is>
          <t xml:space="preserve">  Asset-linked fees (ETFs, mutual funds, insurance products)</t>
        </is>
      </c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253" t="n">
        <v>86</v>
      </c>
      <c r="V30" s="253" t="n">
        <v>92</v>
      </c>
      <c r="W30" s="253" t="n">
        <v>100</v>
      </c>
      <c r="X30" s="253" t="n">
        <v>104</v>
      </c>
      <c r="Y30" s="253" t="n">
        <v>381</v>
      </c>
      <c r="Z30" s="253" t="n">
        <v>108</v>
      </c>
      <c r="AA30" s="253" t="n">
        <v>114</v>
      </c>
      <c r="AB30" s="253" t="n">
        <v>118</v>
      </c>
      <c r="AC30" s="253" t="n">
        <v>121</v>
      </c>
      <c r="AD30" s="253" t="n">
        <v>461</v>
      </c>
      <c r="AE30" s="253" t="n">
        <v>131</v>
      </c>
      <c r="AF30" s="253" t="n">
        <v>135</v>
      </c>
      <c r="AG30" s="253" t="n">
        <v>131</v>
      </c>
      <c r="AH30" s="253" t="n">
        <v>126</v>
      </c>
      <c r="AI30" s="253" t="n">
        <v>522</v>
      </c>
      <c r="AJ30" s="253" t="n">
        <v>143</v>
      </c>
      <c r="AK30" s="253" t="n">
        <v>159</v>
      </c>
      <c r="AL30" s="253" t="n">
        <v>152</v>
      </c>
      <c r="AM30" s="253" t="n">
        <v>159</v>
      </c>
      <c r="AN30" s="253" t="n">
        <v>613</v>
      </c>
      <c r="AO30" s="253" t="n">
        <v>159</v>
      </c>
      <c r="AP30" s="253" t="n">
        <v>153</v>
      </c>
      <c r="AQ30" s="253" t="n">
        <v>156</v>
      </c>
      <c r="AR30" s="253" t="n">
        <v>179</v>
      </c>
      <c r="AS30" s="253" t="n">
        <v>647</v>
      </c>
      <c r="AT30" s="253" t="n">
        <v>183</v>
      </c>
      <c r="AU30" s="253" t="n">
        <v>195</v>
      </c>
      <c r="AV30" s="253" t="n">
        <v>211</v>
      </c>
      <c r="AW30" s="253" t="n">
        <v>210</v>
      </c>
      <c r="AX30" s="253" t="n">
        <v>800</v>
      </c>
      <c r="AY30" s="34" t="n"/>
      <c r="AZ30" s="253" t="n">
        <v>214</v>
      </c>
      <c r="BA30" s="253" t="n">
        <v>210</v>
      </c>
      <c r="BB30" s="253" t="n">
        <v>220</v>
      </c>
      <c r="BC30" s="34" t="n"/>
      <c r="BD30" s="253" t="n">
        <v>210</v>
      </c>
      <c r="BE30" s="253" t="n">
        <v>211</v>
      </c>
      <c r="BF30" s="253" t="n">
        <v>218</v>
      </c>
      <c r="BG30" s="253" t="n">
        <v>221</v>
      </c>
      <c r="BH30" s="253" t="n">
        <v>859</v>
      </c>
      <c r="BI30" s="253" t="n">
        <v>244</v>
      </c>
      <c r="BJ30" s="253" t="n">
        <v>245</v>
      </c>
      <c r="BK30" s="253" t="n">
        <v>266</v>
      </c>
      <c r="BL30" s="253" t="n">
        <v>291</v>
      </c>
      <c r="BM30" s="253" t="n">
        <v>1046</v>
      </c>
      <c r="BN30" s="253" t="n">
        <v>288</v>
      </c>
      <c r="BO30" s="253" t="n">
        <v>286</v>
      </c>
      <c r="BP30" s="253" t="n">
        <v>303</v>
      </c>
      <c r="BQ30" s="253" t="n">
        <v>329</v>
      </c>
      <c r="BR30" s="253" t="n">
        <v>1206</v>
      </c>
      <c r="BS30" s="253" t="n">
        <v>339</v>
      </c>
      <c r="BT30" s="253" t="n">
        <v>348</v>
      </c>
      <c r="BU30" s="254">
        <f>BP30*(1+BU31)</f>
        <v>339.58312423368</v>
      </c>
      <c r="BV30" s="254">
        <f>BQ30*(1+BV31)</f>
        <v>368.722270207527</v>
      </c>
      <c r="BW30" s="254">
        <f>SUM(BS30:BV30)</f>
        <v>1395.30539444121</v>
      </c>
      <c r="BX30" s="254">
        <f>BW30*(1+BX31)</f>
        <v>1534.83593388533</v>
      </c>
      <c r="BY30" s="254">
        <f>BX30*(1+BY31)</f>
        <v>1672.97116793501</v>
      </c>
      <c r="BZ30" s="254">
        <f>BY30*(1+BZ31)</f>
        <v>1823.53857304916</v>
      </c>
      <c r="CA30" s="254">
        <f>BZ30*(1+CA31)</f>
        <v>1969.42165889309</v>
      </c>
      <c r="CB30" s="254">
        <f>CA30*(1+CB31)</f>
        <v>2126.97539160454</v>
      </c>
      <c r="CC30" s="19" t="n"/>
      <c r="CE30" s="20">
        <f>IFERROR((CB30/BW30)^(1/5)-1,"n/m")</f>
        <v>0.0879743044394832</v>
      </c>
      <c r="CF30" s="20">
        <f>IFERROR((BR30/AS30)^(1/5)-1,"n/m")</f>
        <v>0.132631420866106</v>
      </c>
      <c r="CG30" s="20" t="str">
        <f>IFERROR((BR30/T30)^(1/10)-1,"n/m")</f>
        <v>n/m</v>
      </c>
      <c r="CH30" s="20" t="str">
        <f>IFERROR((BR30/C30)^(1/15)-1,"n/m")</f>
        <v>n/m</v>
      </c>
      <c r="CK30" s="25" t="inlineStr">
        <is>
          <t xml:space="preserve">  2H-26 capital expenditures ($m)</t>
        </is>
      </c>
      <c r="CM30" s="259" t="n">
        <v>135</v>
      </c>
      <c r="CO30" s="13" t="inlineStr">
        <is>
          <t>FY26 guided $190–210m; 1H $65m.</t>
        </is>
      </c>
    </row>
    <row r="31" ht="15" customHeight="1" s="251">
      <c r="B31" s="22" t="inlineStr">
        <is>
          <t xml:space="preserve">    y/y %</t>
        </is>
      </c>
      <c r="C31" s="23" t="n"/>
      <c r="D31" s="255">
        <f>IF(AND(ISNUMBER(D30),ISNUMBER(C30)),IFERROR(D30/C30-1,""),"")</f>
      </c>
      <c r="E31" s="255">
        <f>IF(AND(ISNUMBER(E30),ISNUMBER(D30)),IFERROR(E30/D30-1,""),"")</f>
      </c>
      <c r="F31" s="23" t="n"/>
      <c r="G31" s="23" t="n"/>
      <c r="H31" s="23" t="n"/>
      <c r="I31" s="23" t="n"/>
      <c r="J31" s="255">
        <f>IF(AND(ISNUMBER(J30),ISNUMBER(E30)),IFERROR(J30/E30-1,""),"")</f>
      </c>
      <c r="K31" s="255">
        <f>IF(AND(ISNUMBER(K30),ISNUMBER(F30)),IFERROR(K30/F30-1,""),"")</f>
      </c>
      <c r="L31" s="255">
        <f>IF(AND(ISNUMBER(L30),ISNUMBER(G30)),IFERROR(L30/G30-1,""),"")</f>
      </c>
      <c r="M31" s="255">
        <f>IF(AND(ISNUMBER(M30),ISNUMBER(H30)),IFERROR(M30/H30-1,""),"")</f>
      </c>
      <c r="N31" s="255">
        <f>IF(AND(ISNUMBER(N30),ISNUMBER(I30)),IFERROR(N30/I30-1,""),"")</f>
      </c>
      <c r="O31" s="255">
        <f>IF(AND(ISNUMBER(O30),ISNUMBER(J30)),IFERROR(O30/J30-1,""),"")</f>
      </c>
      <c r="P31" s="255">
        <f>IF(AND(ISNUMBER(P30),ISNUMBER(K30)),IFERROR(P30/K30-1,""),"")</f>
      </c>
      <c r="Q31" s="255">
        <f>IF(AND(ISNUMBER(Q30),ISNUMBER(L30)),IFERROR(Q30/L30-1,""),"")</f>
      </c>
      <c r="R31" s="255">
        <f>IF(AND(ISNUMBER(R30),ISNUMBER(M30)),IFERROR(R30/M30-1,""),"")</f>
      </c>
      <c r="S31" s="255">
        <f>IF(AND(ISNUMBER(S30),ISNUMBER(N30)),IFERROR(S30/N30-1,""),"")</f>
      </c>
      <c r="T31" s="255">
        <f>IF(AND(ISNUMBER(T30),ISNUMBER(O30)),IFERROR(T30/O30-1,""),"")</f>
      </c>
      <c r="U31" s="255">
        <f>IF(AND(ISNUMBER(U30),ISNUMBER(P30)),IFERROR(U30/P30-1,""),"")</f>
      </c>
      <c r="V31" s="255">
        <f>IF(AND(ISNUMBER(V30),ISNUMBER(Q30)),IFERROR(V30/Q30-1,""),"")</f>
      </c>
      <c r="W31" s="255">
        <f>IF(AND(ISNUMBER(W30),ISNUMBER(R30)),IFERROR(W30/R30-1,""),"")</f>
      </c>
      <c r="X31" s="255">
        <f>IF(AND(ISNUMBER(X30),ISNUMBER(S30)),IFERROR(X30/S30-1,""),"")</f>
      </c>
      <c r="Y31" s="255">
        <f>IF(AND(ISNUMBER(Y30),ISNUMBER(T30)),IFERROR(Y30/T30-1,""),"")</f>
      </c>
      <c r="Z31" s="255">
        <f>IF(AND(ISNUMBER(Z30),ISNUMBER(U30)),IFERROR(Z30/U30-1,""),"")</f>
        <v>0.255813953488372</v>
      </c>
      <c r="AA31" s="255">
        <f>IF(AND(ISNUMBER(AA30),ISNUMBER(V30)),IFERROR(AA30/V30-1,""),"")</f>
        <v>0.239130434782609</v>
      </c>
      <c r="AB31" s="255">
        <f>IF(AND(ISNUMBER(AB30),ISNUMBER(W30)),IFERROR(AB30/W30-1,""),"")</f>
        <v>0.18</v>
      </c>
      <c r="AC31" s="255">
        <f>IF(AND(ISNUMBER(AC30),ISNUMBER(X30)),IFERROR(AC30/X30-1,""),"")</f>
        <v>0.163461538461539</v>
      </c>
      <c r="AD31" s="255">
        <f>IF(AND(ISNUMBER(AD30),ISNUMBER(Y30)),IFERROR(AD30/Y30-1,""),"")</f>
        <v>0.20997375328084</v>
      </c>
      <c r="AE31" s="255">
        <f>IF(AND(ISNUMBER(AE30),ISNUMBER(Z30)),IFERROR(AE30/Z30-1,""),"")</f>
        <v>0.212962962962963</v>
      </c>
      <c r="AF31" s="255">
        <f>IF(AND(ISNUMBER(AF30),ISNUMBER(AA30)),IFERROR(AF30/AA30-1,""),"")</f>
        <v>0.184210526315789</v>
      </c>
      <c r="AG31" s="255">
        <f>IF(AND(ISNUMBER(AG30),ISNUMBER(AB30)),IFERROR(AG30/AB30-1,""),"")</f>
        <v>0.110169491525424</v>
      </c>
      <c r="AH31" s="255">
        <f>IF(AND(ISNUMBER(AH30),ISNUMBER(AC30)),IFERROR(AH30/AC30-1,""),"")</f>
        <v>0.0413223140495869</v>
      </c>
      <c r="AI31" s="255">
        <f>IF(AND(ISNUMBER(AI30),ISNUMBER(AD30)),IFERROR(AI30/AD30-1,""),"")</f>
        <v>0.132321041214751</v>
      </c>
      <c r="AJ31" s="255">
        <f>IF(AND(ISNUMBER(AJ30),ISNUMBER(AE30)),IFERROR(AJ30/AE30-1,""),"")</f>
        <v>0.0916030534351144</v>
      </c>
      <c r="AK31" s="255">
        <f>IF(AND(ISNUMBER(AK30),ISNUMBER(AF30)),IFERROR(AK30/AF30-1,""),"")</f>
        <v>0.177777777777778</v>
      </c>
      <c r="AL31" s="255">
        <f>IF(AND(ISNUMBER(AL30),ISNUMBER(AG30)),IFERROR(AL30/AG30-1,""),"")</f>
        <v>0.16030534351145</v>
      </c>
      <c r="AM31" s="255">
        <f>IF(AND(ISNUMBER(AM30),ISNUMBER(AH30)),IFERROR(AM30/AH30-1,""),"")</f>
        <v>0.261904761904762</v>
      </c>
      <c r="AN31" s="255">
        <f>IF(AND(ISNUMBER(AN30),ISNUMBER(AI30)),IFERROR(AN30/AI30-1,""),"")</f>
        <v>0.174329501915709</v>
      </c>
      <c r="AO31" s="255">
        <f>IF(AND(ISNUMBER(AO30),ISNUMBER(AJ30)),IFERROR(AO30/AJ30-1,""),"")</f>
        <v>0.111888111888112</v>
      </c>
      <c r="AP31" s="255">
        <f>IF(AND(ISNUMBER(AP30),ISNUMBER(AK30)),IFERROR(AP30/AK30-1,""),"")</f>
        <v>-0.0377358490566038</v>
      </c>
      <c r="AQ31" s="255">
        <f>IF(AND(ISNUMBER(AQ30),ISNUMBER(AL30)),IFERROR(AQ30/AL30-1,""),"")</f>
        <v>0.0263157894736843</v>
      </c>
      <c r="AR31" s="255">
        <f>IF(AND(ISNUMBER(AR30),ISNUMBER(AM30)),IFERROR(AR30/AM30-1,""),"")</f>
        <v>0.125786163522013</v>
      </c>
      <c r="AS31" s="255">
        <f>IF(AND(ISNUMBER(AS30),ISNUMBER(AN30)),IFERROR(AS30/AN30-1,""),"")</f>
        <v>0.0554649265905383</v>
      </c>
      <c r="AT31" s="255">
        <f>IF(AND(ISNUMBER(AT30),ISNUMBER(AO30)),IFERROR(AT30/AO30-1,""),"")</f>
        <v>0.150943396226415</v>
      </c>
      <c r="AU31" s="255">
        <f>IF(AND(ISNUMBER(AU30),ISNUMBER(AP30)),IFERROR(AU30/AP30-1,""),"")</f>
        <v>0.274509803921569</v>
      </c>
      <c r="AV31" s="255">
        <f>IF(AND(ISNUMBER(AV30),ISNUMBER(AQ30)),IFERROR(AV30/AQ30-1,""),"")</f>
        <v>0.352564102564103</v>
      </c>
      <c r="AW31" s="255">
        <f>IF(AND(ISNUMBER(AW30),ISNUMBER(AR30)),IFERROR(AW30/AR30-1,""),"")</f>
        <v>0.173184357541899</v>
      </c>
      <c r="AX31" s="255">
        <f>IF(AND(ISNUMBER(AX30),ISNUMBER(AS30)),IFERROR(AX30/AS30-1,""),"")</f>
        <v>0.236476043276662</v>
      </c>
      <c r="AY31" s="255">
        <f>IF(AND(ISNUMBER(AY30),ISNUMBER(AT30)),IFERROR(AY30/AT30-1,""),"")</f>
      </c>
      <c r="AZ31" s="255">
        <f>IF(AND(ISNUMBER(AZ30),ISNUMBER(AU30)),IFERROR(AZ30/AU30-1,""),"")</f>
        <v>0.0974358974358975</v>
      </c>
      <c r="BA31" s="255">
        <f>IF(AND(ISNUMBER(BA30),ISNUMBER(AV30)),IFERROR(BA30/AV30-1,""),"")</f>
        <v>-0.00473933649289104</v>
      </c>
      <c r="BB31" s="255">
        <f>IF(AND(ISNUMBER(BB30),ISNUMBER(AW30)),IFERROR(BB30/AW30-1,""),"")</f>
        <v>0.0476190476190477</v>
      </c>
      <c r="BC31" s="255">
        <f>IF(AND(ISNUMBER(BC30),ISNUMBER(AX30)),IFERROR(BC30/AX30-1,""),"")</f>
      </c>
      <c r="BD31" s="255">
        <f>IF(AND(ISNUMBER(BD30),ISNUMBER(AY30)),IFERROR(BD30/AY30-1,""),"")</f>
      </c>
      <c r="BE31" s="255">
        <f>IF(AND(ISNUMBER(BE30),ISNUMBER(AZ30)),IFERROR(BE30/AZ30-1,""),"")</f>
        <v>-0.014018691588785</v>
      </c>
      <c r="BF31" s="255">
        <f>IF(AND(ISNUMBER(BF30),ISNUMBER(BA30)),IFERROR(BF30/BA30-1,""),"")</f>
        <v>0.0380952380952382</v>
      </c>
      <c r="BG31" s="255">
        <f>IF(AND(ISNUMBER(BG30),ISNUMBER(BB30)),IFERROR(BG30/BB30-1,""),"")</f>
        <v>0.00454545454545463</v>
      </c>
      <c r="BH31" s="255">
        <f>IF(AND(ISNUMBER(BH30),ISNUMBER(BC30)),IFERROR(BH30/BC30-1,""),"")</f>
      </c>
      <c r="BI31" s="255">
        <f>IF(AND(ISNUMBER(BI30),ISNUMBER(BD30)),IFERROR(BI30/BD30-1,""),"")</f>
        <v>0.161904761904762</v>
      </c>
      <c r="BJ31" s="255">
        <f>IF(AND(ISNUMBER(BJ30),ISNUMBER(BE30)),IFERROR(BJ30/BE30-1,""),"")</f>
        <v>0.161137440758294</v>
      </c>
      <c r="BK31" s="255">
        <f>IF(AND(ISNUMBER(BK30),ISNUMBER(BF30)),IFERROR(BK30/BF30-1,""),"")</f>
        <v>0.220183486238532</v>
      </c>
      <c r="BL31" s="255">
        <f>IF(AND(ISNUMBER(BL30),ISNUMBER(BG30)),IFERROR(BL30/BG30-1,""),"")</f>
        <v>0.316742081447964</v>
      </c>
      <c r="BM31" s="255">
        <f>IF(AND(ISNUMBER(BM30),ISNUMBER(BH30)),IFERROR(BM30/BH30-1,""),"")</f>
        <v>0.217694994179278</v>
      </c>
      <c r="BN31" s="255">
        <f>IF(AND(ISNUMBER(BN30),ISNUMBER(BI30)),IFERROR(BN30/BI30-1,""),"")</f>
        <v>0.180327868852459</v>
      </c>
      <c r="BO31" s="255">
        <f>IF(AND(ISNUMBER(BO30),ISNUMBER(BJ30)),IFERROR(BO30/BJ30-1,""),"")</f>
        <v>0.16734693877551</v>
      </c>
      <c r="BP31" s="255">
        <f>IF(AND(ISNUMBER(BP30),ISNUMBER(BK30)),IFERROR(BP30/BK30-1,""),"")</f>
        <v>0.139097744360902</v>
      </c>
      <c r="BQ31" s="255">
        <f>IF(AND(ISNUMBER(BQ30),ISNUMBER(BL30)),IFERROR(BQ30/BL30-1,""),"")</f>
        <v>0.130584192439863</v>
      </c>
      <c r="BR31" s="255">
        <f>IF(AND(ISNUMBER(BR30),ISNUMBER(BM30)),IFERROR(BR30/BM30-1,""),"")</f>
        <v>0.152963671128107</v>
      </c>
      <c r="BS31" s="255">
        <f>IF(AND(ISNUMBER(BS30),ISNUMBER(BN30)),IFERROR(BS30/BN30-1,""),"")</f>
        <v>0.177083333333333</v>
      </c>
      <c r="BT31" s="255">
        <f>IF(AND(ISNUMBER(BT30),ISNUMBER(BO30)),IFERROR(BT30/BO30-1,""),"")</f>
        <v>0.216783216783217</v>
      </c>
      <c r="BU31" s="256">
        <f>$BW$32+$BW$149</f>
        <v>0.120736383609503</v>
      </c>
      <c r="BV31" s="256">
        <f>$BW$32+$BW$149</f>
        <v>0.120736383609503</v>
      </c>
      <c r="BW31" s="256">
        <f>IF(AND(ISNUMBER(BW30),ISNUMBER(BR30)),IFERROR(BW30/BR30-1,""),"")</f>
        <v>0.156969647132012</v>
      </c>
      <c r="BX31" s="256">
        <f>CHOOSE(MATCH($CC$2,{"Bull","Base","Bear"},0),$CL$47,$CM$47,$CN$47)</f>
        <v>0.1</v>
      </c>
      <c r="BY31" s="256">
        <f>CHOOSE(MATCH($CC$2,{"Bull","Base","Bear"},0),$CL$48,$CM$48,$CN$48)</f>
        <v>0.09</v>
      </c>
      <c r="BZ31" s="256">
        <f>CHOOSE(MATCH($CC$2,{"Bull","Base","Bear"},0),$CL$49,$CM$49,$CN$49)</f>
        <v>0.09</v>
      </c>
      <c r="CA31" s="256">
        <f>CHOOSE(MATCH($CC$2,{"Bull","Base","Bear"},0),$CL$50,$CM$50,$CN$50)</f>
        <v>0.08</v>
      </c>
      <c r="CB31" s="256">
        <f>CHOOSE(MATCH($CC$2,{"Bull","Base","Bear"},0),$CL$51,$CM$51,$CN$51)</f>
        <v>0.08</v>
      </c>
      <c r="CC31" s="153" t="n"/>
    </row>
    <row r="32" ht="15" customHeight="1" s="251">
      <c r="B32" s="25" t="inlineStr">
        <is>
          <t xml:space="preserve">    Q3–Q4/26E growth before revenue calibration (1H-26 y/y)</t>
        </is>
      </c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  <c r="AP32" s="36" t="n"/>
      <c r="AQ32" s="36" t="n"/>
      <c r="AR32" s="36" t="n"/>
      <c r="AS32" s="36" t="n"/>
      <c r="AT32" s="36" t="n"/>
      <c r="AU32" s="36" t="n"/>
      <c r="AV32" s="36" t="n"/>
      <c r="AW32" s="36" t="n"/>
      <c r="AX32" s="36" t="n"/>
      <c r="AY32" s="36" t="n"/>
      <c r="AZ32" s="36" t="n"/>
      <c r="BA32" s="36" t="n"/>
      <c r="BB32" s="36" t="n"/>
      <c r="BC32" s="36" t="n"/>
      <c r="BD32" s="36" t="n"/>
      <c r="BE32" s="36" t="n"/>
      <c r="BF32" s="36" t="n"/>
      <c r="BG32" s="36" t="n"/>
      <c r="BH32" s="36" t="n"/>
      <c r="BI32" s="36" t="n"/>
      <c r="BJ32" s="36" t="n"/>
      <c r="BK32" s="36" t="n"/>
      <c r="BL32" s="36" t="n"/>
      <c r="BM32" s="36" t="n"/>
      <c r="BN32" s="36" t="n"/>
      <c r="BO32" s="36" t="n"/>
      <c r="BP32" s="36" t="n"/>
      <c r="BQ32" s="36" t="n"/>
      <c r="BR32" s="36" t="n"/>
      <c r="BS32" s="36" t="n"/>
      <c r="BT32" s="36" t="n"/>
      <c r="BU32" s="24" t="n"/>
      <c r="BV32" s="24" t="n"/>
      <c r="BW32" s="256">
        <f>IFERROR(SUM(BS30:BT30)/SUM(BN30:BO30)-1,0)</f>
        <v>0.196864111498258</v>
      </c>
      <c r="BX32" s="46" t="n"/>
      <c r="BY32" s="46" t="n"/>
      <c r="BZ32" s="46" t="n"/>
      <c r="CA32" s="46" t="n"/>
      <c r="CB32" s="46" t="n"/>
      <c r="CC32" s="19" t="n"/>
      <c r="CK32" s="25" t="inlineStr">
        <is>
          <t xml:space="preserve">  Target net debt / adjusted EBITDA (x) — buyback plug 2027E+</t>
        </is>
      </c>
      <c r="CL32" s="262" t="n">
        <v>1.75</v>
      </c>
      <c r="CM32" s="262" t="n">
        <v>1.5</v>
      </c>
      <c r="CN32" s="262" t="n">
        <v>1.25</v>
      </c>
      <c r="CO32" s="13" t="inlineStr">
        <is>
          <t>Assumption: net debt / adjusted EBITDA target for 2027E+ buybacks. Model YE2026E ~1.4x after the $7bn+ 2026 buybacks; S&amp;P Global has historically returned ~85% of adjusted FCF and kept leverage near 2x gross. Bull = more buybacks (higher target).</t>
        </is>
      </c>
    </row>
    <row r="33" ht="15" customHeight="1" s="251">
      <c r="B33" s="25" t="inlineStr">
        <is>
          <t xml:space="preserve">  Exchange-traded derivatives (sales usage-based royalties)</t>
        </is>
      </c>
      <c r="C33" s="34" t="n"/>
      <c r="D33" s="253" t="n">
        <v>252</v>
      </c>
      <c r="E33" s="253" t="n">
        <v>301</v>
      </c>
      <c r="F33" s="253" t="n">
        <v>90</v>
      </c>
      <c r="G33" s="253" t="n">
        <v>97</v>
      </c>
      <c r="H33" s="253" t="n">
        <v>99</v>
      </c>
      <c r="I33" s="253" t="n">
        <v>103</v>
      </c>
      <c r="J33" s="253" t="n">
        <v>390</v>
      </c>
      <c r="K33" s="253" t="n">
        <v>111</v>
      </c>
      <c r="L33" s="253" t="n">
        <v>105</v>
      </c>
      <c r="M33" s="253" t="n">
        <v>114</v>
      </c>
      <c r="N33" s="253" t="n">
        <v>111</v>
      </c>
      <c r="O33" s="253" t="n">
        <v>441</v>
      </c>
      <c r="P33" s="253" t="n">
        <v>114</v>
      </c>
      <c r="Q33" s="253" t="n">
        <v>118</v>
      </c>
      <c r="R33" s="253" t="n">
        <v>124</v>
      </c>
      <c r="S33" s="253" t="n">
        <v>119</v>
      </c>
      <c r="T33" s="253" t="n">
        <v>475</v>
      </c>
      <c r="U33" s="253" t="n">
        <v>33</v>
      </c>
      <c r="V33" s="253" t="n">
        <v>29</v>
      </c>
      <c r="W33" s="253" t="n">
        <v>31</v>
      </c>
      <c r="X33" s="253" t="n">
        <v>30</v>
      </c>
      <c r="Y33" s="253" t="n">
        <v>125</v>
      </c>
      <c r="Z33" s="253" t="n">
        <v>32</v>
      </c>
      <c r="AA33" s="253" t="n">
        <v>33</v>
      </c>
      <c r="AB33" s="253" t="n">
        <v>33</v>
      </c>
      <c r="AC33" s="253" t="n">
        <v>34</v>
      </c>
      <c r="AD33" s="253" t="n">
        <v>131</v>
      </c>
      <c r="AE33" s="253" t="n">
        <v>50</v>
      </c>
      <c r="AF33" s="253" t="n">
        <v>38</v>
      </c>
      <c r="AG33" s="253" t="n">
        <v>33</v>
      </c>
      <c r="AH33" s="253" t="n">
        <v>48</v>
      </c>
      <c r="AI33" s="253" t="n">
        <v>171</v>
      </c>
      <c r="AJ33" s="253" t="n">
        <v>34</v>
      </c>
      <c r="AK33" s="253" t="n">
        <v>36</v>
      </c>
      <c r="AL33" s="253" t="n">
        <v>38</v>
      </c>
      <c r="AM33" s="253" t="n">
        <v>31</v>
      </c>
      <c r="AN33" s="253" t="n">
        <v>140</v>
      </c>
      <c r="AO33" s="253" t="n">
        <v>54</v>
      </c>
      <c r="AP33" s="253" t="n">
        <v>44</v>
      </c>
      <c r="AQ33" s="253" t="n">
        <v>35</v>
      </c>
      <c r="AR33" s="253" t="n">
        <v>32</v>
      </c>
      <c r="AS33" s="253" t="n">
        <v>165</v>
      </c>
      <c r="AT33" s="253" t="n">
        <v>41</v>
      </c>
      <c r="AU33" s="253" t="n">
        <v>35</v>
      </c>
      <c r="AV33" s="253" t="n">
        <v>40</v>
      </c>
      <c r="AW33" s="253" t="n">
        <v>42</v>
      </c>
      <c r="AX33" s="253" t="n">
        <v>158</v>
      </c>
      <c r="AY33" s="34" t="n"/>
      <c r="AZ33" s="253" t="n">
        <v>57</v>
      </c>
      <c r="BA33" s="253" t="n">
        <v>55</v>
      </c>
      <c r="BB33" s="253" t="n">
        <v>56</v>
      </c>
      <c r="BC33" s="34" t="n"/>
      <c r="BD33" s="253" t="n">
        <v>65</v>
      </c>
      <c r="BE33" s="253" t="n">
        <v>67</v>
      </c>
      <c r="BF33" s="253" t="n">
        <v>66</v>
      </c>
      <c r="BG33" s="253" t="n">
        <v>68</v>
      </c>
      <c r="BH33" s="253" t="n">
        <v>267</v>
      </c>
      <c r="BI33" s="253" t="n">
        <v>73</v>
      </c>
      <c r="BJ33" s="253" t="n">
        <v>70</v>
      </c>
      <c r="BK33" s="253" t="n">
        <v>76</v>
      </c>
      <c r="BL33" s="253" t="n">
        <v>71</v>
      </c>
      <c r="BM33" s="253" t="n">
        <v>290</v>
      </c>
      <c r="BN33" s="253" t="n">
        <v>81</v>
      </c>
      <c r="BO33" s="253" t="n">
        <v>80</v>
      </c>
      <c r="BP33" s="253" t="n">
        <v>77</v>
      </c>
      <c r="BQ33" s="253" t="n">
        <v>85</v>
      </c>
      <c r="BR33" s="253" t="n">
        <v>324</v>
      </c>
      <c r="BS33" s="253" t="n">
        <v>96</v>
      </c>
      <c r="BT33" s="253" t="n">
        <v>99</v>
      </c>
      <c r="BU33" s="254">
        <f>BP33*(1+BU34)</f>
        <v>87.3990345177833</v>
      </c>
      <c r="BV33" s="254">
        <f>BQ33*(1+BV34)</f>
        <v>96.4794536884621</v>
      </c>
      <c r="BW33" s="254">
        <f>SUM(BS33:BV33)</f>
        <v>378.878488206245</v>
      </c>
      <c r="BX33" s="254">
        <f>BW33*(1+BX34)</f>
        <v>397.822412616558</v>
      </c>
      <c r="BY33" s="254">
        <f>BX33*(1+BY34)</f>
        <v>417.713533247386</v>
      </c>
      <c r="BZ33" s="254">
        <f>BY33*(1+BZ34)</f>
        <v>438.599209909755</v>
      </c>
      <c r="CA33" s="254">
        <f>BZ33*(1+CA34)</f>
        <v>460.529170405243</v>
      </c>
      <c r="CB33" s="254">
        <f>CA33*(1+CB34)</f>
        <v>483.555628925505</v>
      </c>
      <c r="CC33" s="19" t="n"/>
      <c r="CE33" s="20">
        <f>IFERROR((CB33/BW33)^(1/5)-1,"n/m")</f>
        <v>0.05</v>
      </c>
      <c r="CF33" s="20">
        <f>IFERROR((BR33/AS33)^(1/5)-1,"n/m")</f>
        <v>0.14449055558819</v>
      </c>
      <c r="CG33" s="20">
        <f>IFERROR((BR33/T33)^(1/10)-1,"n/m")</f>
        <v>-0.0375345685330967</v>
      </c>
      <c r="CH33" s="20" t="str">
        <f>IFERROR((BR33/C33)^(1/15)-1,"n/m")</f>
        <v>n/m</v>
      </c>
    </row>
    <row r="34" ht="15" customHeight="1" s="251">
      <c r="B34" s="22" t="inlineStr">
        <is>
          <t xml:space="preserve">    y/y %</t>
        </is>
      </c>
      <c r="C34" s="23" t="n"/>
      <c r="D34" s="255">
        <f>IF(AND(ISNUMBER(D33),ISNUMBER(C33)),IFERROR(D33/C33-1,""),"")</f>
      </c>
      <c r="E34" s="255">
        <f>IF(AND(ISNUMBER(E33),ISNUMBER(D33)),IFERROR(E33/D33-1,""),"")</f>
        <v>0.194444444444444</v>
      </c>
      <c r="F34" s="23" t="n"/>
      <c r="G34" s="23" t="n"/>
      <c r="H34" s="23" t="n"/>
      <c r="I34" s="23" t="n"/>
      <c r="J34" s="255">
        <f>IF(AND(ISNUMBER(J33),ISNUMBER(E33)),IFERROR(J33/E33-1,""),"")</f>
        <v>0.295681063122924</v>
      </c>
      <c r="K34" s="255">
        <f>IF(AND(ISNUMBER(K33),ISNUMBER(F33)),IFERROR(K33/F33-1,""),"")</f>
        <v>0.233333333333333</v>
      </c>
      <c r="L34" s="255">
        <f>IF(AND(ISNUMBER(L33),ISNUMBER(G33)),IFERROR(L33/G33-1,""),"")</f>
        <v>0.0824742268041236</v>
      </c>
      <c r="M34" s="255">
        <f>IF(AND(ISNUMBER(M33),ISNUMBER(H33)),IFERROR(M33/H33-1,""),"")</f>
        <v>0.151515151515152</v>
      </c>
      <c r="N34" s="255">
        <f>IF(AND(ISNUMBER(N33),ISNUMBER(I33)),IFERROR(N33/I33-1,""),"")</f>
        <v>0.0776699029126213</v>
      </c>
      <c r="O34" s="255">
        <f>IF(AND(ISNUMBER(O33),ISNUMBER(J33)),IFERROR(O33/J33-1,""),"")</f>
        <v>0.130769230769231</v>
      </c>
      <c r="P34" s="255">
        <f>IF(AND(ISNUMBER(P33),ISNUMBER(K33)),IFERROR(P33/K33-1,""),"")</f>
        <v>0.027027027027027</v>
      </c>
      <c r="Q34" s="255">
        <f>IF(AND(ISNUMBER(Q33),ISNUMBER(L33)),IFERROR(Q33/L33-1,""),"")</f>
        <v>0.123809523809524</v>
      </c>
      <c r="R34" s="255">
        <f>IF(AND(ISNUMBER(R33),ISNUMBER(M33)),IFERROR(R33/M33-1,""),"")</f>
        <v>0.0877192982456141</v>
      </c>
      <c r="S34" s="255">
        <f>IF(AND(ISNUMBER(S33),ISNUMBER(N33)),IFERROR(S33/N33-1,""),"")</f>
        <v>0.072072072072072</v>
      </c>
      <c r="T34" s="255">
        <f>IF(AND(ISNUMBER(T33),ISNUMBER(O33)),IFERROR(T33/O33-1,""),"")</f>
        <v>0.0770975056689343</v>
      </c>
      <c r="U34" s="255">
        <f>IF(AND(ISNUMBER(U33),ISNUMBER(P33)),IFERROR(U33/P33-1,""),"")</f>
        <v>-0.710526315789474</v>
      </c>
      <c r="V34" s="255">
        <f>IF(AND(ISNUMBER(V33),ISNUMBER(Q33)),IFERROR(V33/Q33-1,""),"")</f>
        <v>-0.754237288135593</v>
      </c>
      <c r="W34" s="255">
        <f>IF(AND(ISNUMBER(W33),ISNUMBER(R33)),IFERROR(W33/R33-1,""),"")</f>
        <v>-0.75</v>
      </c>
      <c r="X34" s="255">
        <f>IF(AND(ISNUMBER(X33),ISNUMBER(S33)),IFERROR(X33/S33-1,""),"")</f>
        <v>-0.747899159663866</v>
      </c>
      <c r="Y34" s="255">
        <f>IF(AND(ISNUMBER(Y33),ISNUMBER(T33)),IFERROR(Y33/T33-1,""),"")</f>
        <v>-0.736842105263158</v>
      </c>
      <c r="Z34" s="255">
        <f>IF(AND(ISNUMBER(Z33),ISNUMBER(U33)),IFERROR(Z33/U33-1,""),"")</f>
        <v>-0.0303030303030303</v>
      </c>
      <c r="AA34" s="255">
        <f>IF(AND(ISNUMBER(AA33),ISNUMBER(V33)),IFERROR(AA33/V33-1,""),"")</f>
        <v>0.137931034482759</v>
      </c>
      <c r="AB34" s="255">
        <f>IF(AND(ISNUMBER(AB33),ISNUMBER(W33)),IFERROR(AB33/W33-1,""),"")</f>
        <v>0.064516129032258</v>
      </c>
      <c r="AC34" s="255">
        <f>IF(AND(ISNUMBER(AC33),ISNUMBER(X33)),IFERROR(AC33/X33-1,""),"")</f>
        <v>0.133333333333333</v>
      </c>
      <c r="AD34" s="255">
        <f>IF(AND(ISNUMBER(AD33),ISNUMBER(Y33)),IFERROR(AD33/Y33-1,""),"")</f>
        <v>0.048</v>
      </c>
      <c r="AE34" s="255">
        <f>IF(AND(ISNUMBER(AE33),ISNUMBER(Z33)),IFERROR(AE33/Z33-1,""),"")</f>
        <v>0.5625</v>
      </c>
      <c r="AF34" s="255">
        <f>IF(AND(ISNUMBER(AF33),ISNUMBER(AA33)),IFERROR(AF33/AA33-1,""),"")</f>
        <v>0.151515151515152</v>
      </c>
      <c r="AG34" s="255">
        <f>IF(AND(ISNUMBER(AG33),ISNUMBER(AB33)),IFERROR(AG33/AB33-1,""),"")</f>
        <v>0</v>
      </c>
      <c r="AH34" s="255">
        <f>IF(AND(ISNUMBER(AH33),ISNUMBER(AC33)),IFERROR(AH33/AC33-1,""),"")</f>
        <v>0.411764705882353</v>
      </c>
      <c r="AI34" s="255">
        <f>IF(AND(ISNUMBER(AI33),ISNUMBER(AD33)),IFERROR(AI33/AD33-1,""),"")</f>
        <v>0.305343511450382</v>
      </c>
      <c r="AJ34" s="255">
        <f>IF(AND(ISNUMBER(AJ33),ISNUMBER(AE33)),IFERROR(AJ33/AE33-1,""),"")</f>
        <v>-0.32</v>
      </c>
      <c r="AK34" s="255">
        <f>IF(AND(ISNUMBER(AK33),ISNUMBER(AF33)),IFERROR(AK33/AF33-1,""),"")</f>
        <v>-0.0526315789473685</v>
      </c>
      <c r="AL34" s="255">
        <f>IF(AND(ISNUMBER(AL33),ISNUMBER(AG33)),IFERROR(AL33/AG33-1,""),"")</f>
        <v>0.151515151515152</v>
      </c>
      <c r="AM34" s="255">
        <f>IF(AND(ISNUMBER(AM33),ISNUMBER(AH33)),IFERROR(AM33/AH33-1,""),"")</f>
        <v>-0.354166666666667</v>
      </c>
      <c r="AN34" s="255">
        <f>IF(AND(ISNUMBER(AN33),ISNUMBER(AI33)),IFERROR(AN33/AI33-1,""),"")</f>
        <v>-0.181286549707602</v>
      </c>
      <c r="AO34" s="255">
        <f>IF(AND(ISNUMBER(AO33),ISNUMBER(AJ33)),IFERROR(AO33/AJ33-1,""),"")</f>
        <v>0.588235294117647</v>
      </c>
      <c r="AP34" s="255">
        <f>IF(AND(ISNUMBER(AP33),ISNUMBER(AK33)),IFERROR(AP33/AK33-1,""),"")</f>
        <v>0.222222222222222</v>
      </c>
      <c r="AQ34" s="255">
        <f>IF(AND(ISNUMBER(AQ33),ISNUMBER(AL33)),IFERROR(AQ33/AL33-1,""),"")</f>
        <v>-0.0789473684210527</v>
      </c>
      <c r="AR34" s="255">
        <f>IF(AND(ISNUMBER(AR33),ISNUMBER(AM33)),IFERROR(AR33/AM33-1,""),"")</f>
        <v>0.032258064516129</v>
      </c>
      <c r="AS34" s="255">
        <f>IF(AND(ISNUMBER(AS33),ISNUMBER(AN33)),IFERROR(AS33/AN33-1,""),"")</f>
        <v>0.178571428571429</v>
      </c>
      <c r="AT34" s="255">
        <f>IF(AND(ISNUMBER(AT33),ISNUMBER(AO33)),IFERROR(AT33/AO33-1,""),"")</f>
        <v>-0.240740740740741</v>
      </c>
      <c r="AU34" s="255">
        <f>IF(AND(ISNUMBER(AU33),ISNUMBER(AP33)),IFERROR(AU33/AP33-1,""),"")</f>
        <v>-0.204545454545455</v>
      </c>
      <c r="AV34" s="255">
        <f>IF(AND(ISNUMBER(AV33),ISNUMBER(AQ33)),IFERROR(AV33/AQ33-1,""),"")</f>
        <v>0.142857142857143</v>
      </c>
      <c r="AW34" s="255">
        <f>IF(AND(ISNUMBER(AW33),ISNUMBER(AR33)),IFERROR(AW33/AR33-1,""),"")</f>
        <v>0.3125</v>
      </c>
      <c r="AX34" s="255">
        <f>IF(AND(ISNUMBER(AX33),ISNUMBER(AS33)),IFERROR(AX33/AS33-1,""),"")</f>
        <v>-0.0424242424242425</v>
      </c>
      <c r="AY34" s="255">
        <f>IF(AND(ISNUMBER(AY33),ISNUMBER(AT33)),IFERROR(AY33/AT33-1,""),"")</f>
      </c>
      <c r="AZ34" s="255">
        <f>IF(AND(ISNUMBER(AZ33),ISNUMBER(AU33)),IFERROR(AZ33/AU33-1,""),"")</f>
        <v>0.628571428571429</v>
      </c>
      <c r="BA34" s="255">
        <f>IF(AND(ISNUMBER(BA33),ISNUMBER(AV33)),IFERROR(BA33/AV33-1,""),"")</f>
        <v>0.375</v>
      </c>
      <c r="BB34" s="255">
        <f>IF(AND(ISNUMBER(BB33),ISNUMBER(AW33)),IFERROR(BB33/AW33-1,""),"")</f>
        <v>0.333333333333333</v>
      </c>
      <c r="BC34" s="255">
        <f>IF(AND(ISNUMBER(BC33),ISNUMBER(AX33)),IFERROR(BC33/AX33-1,""),"")</f>
      </c>
      <c r="BD34" s="255">
        <f>IF(AND(ISNUMBER(BD33),ISNUMBER(AY33)),IFERROR(BD33/AY33-1,""),"")</f>
      </c>
      <c r="BE34" s="255">
        <f>IF(AND(ISNUMBER(BE33),ISNUMBER(AZ33)),IFERROR(BE33/AZ33-1,""),"")</f>
        <v>0.175438596491228</v>
      </c>
      <c r="BF34" s="255">
        <f>IF(AND(ISNUMBER(BF33),ISNUMBER(BA33)),IFERROR(BF33/BA33-1,""),"")</f>
        <v>0.2</v>
      </c>
      <c r="BG34" s="255">
        <f>IF(AND(ISNUMBER(BG33),ISNUMBER(BB33)),IFERROR(BG33/BB33-1,""),"")</f>
        <v>0.214285714285714</v>
      </c>
      <c r="BH34" s="255">
        <f>IF(AND(ISNUMBER(BH33),ISNUMBER(BC33)),IFERROR(BH33/BC33-1,""),"")</f>
      </c>
      <c r="BI34" s="255">
        <f>IF(AND(ISNUMBER(BI33),ISNUMBER(BD33)),IFERROR(BI33/BD33-1,""),"")</f>
        <v>0.123076923076923</v>
      </c>
      <c r="BJ34" s="255">
        <f>IF(AND(ISNUMBER(BJ33),ISNUMBER(BE33)),IFERROR(BJ33/BE33-1,""),"")</f>
        <v>0.044776119402985</v>
      </c>
      <c r="BK34" s="255">
        <f>IF(AND(ISNUMBER(BK33),ISNUMBER(BF33)),IFERROR(BK33/BF33-1,""),"")</f>
        <v>0.151515151515152</v>
      </c>
      <c r="BL34" s="255">
        <f>IF(AND(ISNUMBER(BL33),ISNUMBER(BG33)),IFERROR(BL33/BG33-1,""),"")</f>
        <v>0.0441176470588236</v>
      </c>
      <c r="BM34" s="255">
        <f>IF(AND(ISNUMBER(BM33),ISNUMBER(BH33)),IFERROR(BM33/BH33-1,""),"")</f>
        <v>0.0861423220973783</v>
      </c>
      <c r="BN34" s="255">
        <f>IF(AND(ISNUMBER(BN33),ISNUMBER(BI33)),IFERROR(BN33/BI33-1,""),"")</f>
        <v>0.10958904109589</v>
      </c>
      <c r="BO34" s="255">
        <f>IF(AND(ISNUMBER(BO33),ISNUMBER(BJ33)),IFERROR(BO33/BJ33-1,""),"")</f>
        <v>0.142857142857143</v>
      </c>
      <c r="BP34" s="255">
        <f>IF(AND(ISNUMBER(BP33),ISNUMBER(BK33)),IFERROR(BP33/BK33-1,""),"")</f>
        <v>0.013157894736842</v>
      </c>
      <c r="BQ34" s="255">
        <f>IF(AND(ISNUMBER(BQ33),ISNUMBER(BL33)),IFERROR(BQ33/BL33-1,""),"")</f>
        <v>0.197183098591549</v>
      </c>
      <c r="BR34" s="255">
        <f>IF(AND(ISNUMBER(BR33),ISNUMBER(BM33)),IFERROR(BR33/BM33-1,""),"")</f>
        <v>0.117241379310345</v>
      </c>
      <c r="BS34" s="255">
        <f>IF(AND(ISNUMBER(BS33),ISNUMBER(BN33)),IFERROR(BS33/BN33-1,""),"")</f>
        <v>0.185185185185185</v>
      </c>
      <c r="BT34" s="255">
        <f>IF(AND(ISNUMBER(BT33),ISNUMBER(BO33)),IFERROR(BT33/BO33-1,""),"")</f>
        <v>0.2375</v>
      </c>
      <c r="BU34" s="256">
        <f>$BW$35+$BW$149</f>
        <v>0.135052396334848</v>
      </c>
      <c r="BV34" s="256">
        <f>$BW$35+$BW$149</f>
        <v>0.135052396334848</v>
      </c>
      <c r="BW34" s="256">
        <f>IF(AND(ISNUMBER(BW33),ISNUMBER(BR33)),IFERROR(BW33/BR33-1,""),"")</f>
        <v>0.169378050019276</v>
      </c>
      <c r="BX34" s="256">
        <f>CHOOSE(MATCH($CC$2,{"Bull","Base","Bear"},0),$CL$53,$CM$53,$CN$53)</f>
        <v>0.05</v>
      </c>
      <c r="BY34" s="256">
        <f>CHOOSE(MATCH($CC$2,{"Bull","Base","Bear"},0),$CL$54,$CM$54,$CN$54)</f>
        <v>0.05</v>
      </c>
      <c r="BZ34" s="256">
        <f>CHOOSE(MATCH($CC$2,{"Bull","Base","Bear"},0),$CL$55,$CM$55,$CN$55)</f>
        <v>0.05</v>
      </c>
      <c r="CA34" s="256">
        <f>CHOOSE(MATCH($CC$2,{"Bull","Base","Bear"},0),$CL$56,$CM$56,$CN$56)</f>
        <v>0.05</v>
      </c>
      <c r="CB34" s="256">
        <f>CHOOSE(MATCH($CC$2,{"Bull","Base","Bear"},0),$CL$57,$CM$57,$CN$57)</f>
        <v>0.05</v>
      </c>
      <c r="CC34" s="153" t="n"/>
      <c r="CK34" s="15" t="inlineStr">
        <is>
          <t>RAT_TR (Ratings transaction revenue y/y)</t>
        </is>
      </c>
      <c r="CL34" s="41" t="n">
        <v>0.04</v>
      </c>
      <c r="CM34" s="21" t="inlineStr">
        <is>
          <t>Δ →</t>
        </is>
      </c>
      <c r="CN34" s="41" t="n">
        <v>-0.08</v>
      </c>
      <c r="CO34" s="13" t="inlineStr">
        <is>
          <t>1H-26 +20% (record issuance, refinancing walls); FY2020–25 range −27% to +25% (cyclical). 2027E normalisation after two strong years.</t>
        </is>
      </c>
    </row>
    <row r="35" ht="15" customHeight="1" s="251">
      <c r="B35" s="25" t="inlineStr">
        <is>
          <t xml:space="preserve">    Q3–Q4/26E growth before revenue calibration (1H-26 y/y)</t>
        </is>
      </c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  <c r="AP35" s="36" t="n"/>
      <c r="AQ35" s="36" t="n"/>
      <c r="AR35" s="36" t="n"/>
      <c r="AS35" s="36" t="n"/>
      <c r="AT35" s="36" t="n"/>
      <c r="AU35" s="36" t="n"/>
      <c r="AV35" s="36" t="n"/>
      <c r="AW35" s="36" t="n"/>
      <c r="AX35" s="36" t="n"/>
      <c r="AY35" s="36" t="n"/>
      <c r="AZ35" s="36" t="n"/>
      <c r="BA35" s="36" t="n"/>
      <c r="BB35" s="36" t="n"/>
      <c r="BC35" s="36" t="n"/>
      <c r="BD35" s="36" t="n"/>
      <c r="BE35" s="36" t="n"/>
      <c r="BF35" s="36" t="n"/>
      <c r="BG35" s="36" t="n"/>
      <c r="BH35" s="36" t="n"/>
      <c r="BI35" s="36" t="n"/>
      <c r="BJ35" s="36" t="n"/>
      <c r="BK35" s="36" t="n"/>
      <c r="BL35" s="36" t="n"/>
      <c r="BM35" s="36" t="n"/>
      <c r="BN35" s="36" t="n"/>
      <c r="BO35" s="36" t="n"/>
      <c r="BP35" s="36" t="n"/>
      <c r="BQ35" s="36" t="n"/>
      <c r="BR35" s="36" t="n"/>
      <c r="BS35" s="36" t="n"/>
      <c r="BT35" s="36" t="n"/>
      <c r="BU35" s="24" t="n"/>
      <c r="BV35" s="24" t="n"/>
      <c r="BW35" s="256">
        <f>IFERROR(SUM(BS33:BT33)/SUM(BN33:BO33)-1,0)</f>
        <v>0.211180124223602</v>
      </c>
      <c r="BX35" s="46" t="n"/>
      <c r="BY35" s="46" t="n"/>
      <c r="BZ35" s="46" t="n"/>
      <c r="CA35" s="46" t="n"/>
      <c r="CB35" s="46" t="n"/>
      <c r="CC35" s="19" t="n"/>
      <c r="CK35" s="25" t="inlineStr">
        <is>
          <t xml:space="preserve">  2027E</t>
        </is>
      </c>
      <c r="CL35" s="33">
        <f>CM35+$CL$34</f>
        <v>0.07</v>
      </c>
      <c r="CM35" s="42" t="n">
        <v>0.03</v>
      </c>
      <c r="CN35" s="33">
        <f>CM35+$CN$34</f>
        <v>-0.05</v>
      </c>
    </row>
    <row r="36" ht="15" customHeight="1" s="251">
      <c r="B36" s="25" t="inlineStr">
        <is>
          <t xml:space="preserve">  Data &amp; custom subscriptions</t>
        </is>
      </c>
      <c r="C36" s="34" t="n"/>
      <c r="D36" s="253" t="n">
        <v>71</v>
      </c>
      <c r="E36" s="253" t="n">
        <v>87</v>
      </c>
      <c r="F36" s="253" t="n">
        <v>25</v>
      </c>
      <c r="G36" s="253" t="n">
        <v>26</v>
      </c>
      <c r="H36" s="253" t="n">
        <v>25</v>
      </c>
      <c r="I36" s="253" t="n">
        <v>27</v>
      </c>
      <c r="J36" s="253" t="n">
        <v>103</v>
      </c>
      <c r="K36" s="253" t="n">
        <v>26</v>
      </c>
      <c r="L36" s="253" t="n">
        <v>28</v>
      </c>
      <c r="M36" s="253" t="n">
        <v>29</v>
      </c>
      <c r="N36" s="253" t="n">
        <v>29</v>
      </c>
      <c r="O36" s="253" t="n">
        <v>111</v>
      </c>
      <c r="P36" s="253" t="n">
        <v>29</v>
      </c>
      <c r="Q36" s="253" t="n">
        <v>30</v>
      </c>
      <c r="R36" s="253" t="n">
        <v>32</v>
      </c>
      <c r="S36" s="253" t="n">
        <v>32</v>
      </c>
      <c r="T36" s="253" t="n">
        <v>122</v>
      </c>
      <c r="U36" s="253" t="n">
        <v>32</v>
      </c>
      <c r="V36" s="253" t="n">
        <v>32</v>
      </c>
      <c r="W36" s="253" t="n">
        <v>33</v>
      </c>
      <c r="X36" s="253" t="n">
        <v>37</v>
      </c>
      <c r="Y36" s="253" t="n">
        <v>133</v>
      </c>
      <c r="Z36" s="253" t="n">
        <v>31</v>
      </c>
      <c r="AA36" s="253" t="n">
        <v>37</v>
      </c>
      <c r="AB36" s="253" t="n">
        <v>36</v>
      </c>
      <c r="AC36" s="253" t="n">
        <v>36</v>
      </c>
      <c r="AD36" s="253" t="n">
        <v>141</v>
      </c>
      <c r="AE36" s="253" t="n">
        <v>33</v>
      </c>
      <c r="AF36" s="253" t="n">
        <v>36</v>
      </c>
      <c r="AG36" s="253" t="n">
        <v>41</v>
      </c>
      <c r="AH36" s="253" t="n">
        <v>41</v>
      </c>
      <c r="AI36" s="253" t="n">
        <v>144</v>
      </c>
      <c r="AJ36" s="253" t="n">
        <v>40</v>
      </c>
      <c r="AK36" s="253" t="n">
        <v>40</v>
      </c>
      <c r="AL36" s="253" t="n">
        <v>42</v>
      </c>
      <c r="AM36" s="253" t="n">
        <v>43</v>
      </c>
      <c r="AN36" s="253" t="n">
        <v>165</v>
      </c>
      <c r="AO36" s="253" t="n">
        <v>46</v>
      </c>
      <c r="AP36" s="253" t="n">
        <v>43</v>
      </c>
      <c r="AQ36" s="253" t="n">
        <v>43</v>
      </c>
      <c r="AR36" s="253" t="n">
        <v>46</v>
      </c>
      <c r="AS36" s="253" t="n">
        <v>177</v>
      </c>
      <c r="AT36" s="253" t="n">
        <v>46</v>
      </c>
      <c r="AU36" s="253" t="n">
        <v>48</v>
      </c>
      <c r="AV36" s="253" t="n">
        <v>47</v>
      </c>
      <c r="AW36" s="253" t="n">
        <v>51</v>
      </c>
      <c r="AX36" s="253" t="n">
        <v>191</v>
      </c>
      <c r="AY36" s="34" t="n"/>
      <c r="AZ36" s="253" t="n">
        <v>67</v>
      </c>
      <c r="BA36" s="253" t="n">
        <v>69</v>
      </c>
      <c r="BB36" s="253" t="n">
        <v>68</v>
      </c>
      <c r="BC36" s="34" t="n"/>
      <c r="BD36" s="253" t="n">
        <v>66</v>
      </c>
      <c r="BE36" s="253" t="n">
        <v>70</v>
      </c>
      <c r="BF36" s="253" t="n">
        <v>70</v>
      </c>
      <c r="BG36" s="253" t="n">
        <v>71</v>
      </c>
      <c r="BH36" s="253" t="n">
        <v>277</v>
      </c>
      <c r="BI36" s="253" t="n">
        <v>70</v>
      </c>
      <c r="BJ36" s="253" t="n">
        <v>74</v>
      </c>
      <c r="BK36" s="253" t="n">
        <v>74</v>
      </c>
      <c r="BL36" s="253" t="n">
        <v>74</v>
      </c>
      <c r="BM36" s="253" t="n">
        <v>292</v>
      </c>
      <c r="BN36" s="253" t="n">
        <v>76</v>
      </c>
      <c r="BO36" s="253" t="n">
        <v>80</v>
      </c>
      <c r="BP36" s="253" t="n">
        <v>82</v>
      </c>
      <c r="BQ36" s="253" t="n">
        <v>84</v>
      </c>
      <c r="BR36" s="253" t="n">
        <v>320</v>
      </c>
      <c r="BS36" s="253" t="n">
        <v>84</v>
      </c>
      <c r="BT36" s="253" t="n">
        <v>87</v>
      </c>
      <c r="BU36" s="254">
        <f>BP36*(1+BU37)</f>
        <v>83.6421416977375</v>
      </c>
      <c r="BV36" s="254">
        <f>BQ36*(1+BV37)</f>
        <v>85.6821939342677</v>
      </c>
      <c r="BW36" s="254">
        <f>SUM(BS36:BV36)</f>
        <v>340.324335632005</v>
      </c>
      <c r="BX36" s="254">
        <f>BW36*(1+BX37)</f>
        <v>367.550282482566</v>
      </c>
      <c r="BY36" s="254">
        <f>BX36*(1+BY37)</f>
        <v>396.954305081171</v>
      </c>
      <c r="BZ36" s="254">
        <f>BY36*(1+BZ37)</f>
        <v>424.741106436853</v>
      </c>
      <c r="CA36" s="254">
        <f>BZ36*(1+CA37)</f>
        <v>454.472983887433</v>
      </c>
      <c r="CB36" s="254">
        <f>CA36*(1+CB37)</f>
        <v>486.286092759553</v>
      </c>
      <c r="CC36" s="19" t="n"/>
      <c r="CE36" s="20">
        <f>IFERROR((CB36/BW36)^(1/5)-1,"n/m")</f>
        <v>0.0739888406094964</v>
      </c>
      <c r="CF36" s="20">
        <f>IFERROR((BR36/AS36)^(1/5)-1,"n/m")</f>
        <v>0.125732857709852</v>
      </c>
      <c r="CG36" s="20">
        <f>IFERROR((BR36/T36)^(1/10)-1,"n/m")</f>
        <v>0.101232486781885</v>
      </c>
      <c r="CH36" s="20" t="str">
        <f>IFERROR((BR36/C36)^(1/15)-1,"n/m")</f>
        <v>n/m</v>
      </c>
      <c r="CK36" s="25" t="inlineStr">
        <is>
          <t xml:space="preserve">  2028E</t>
        </is>
      </c>
      <c r="CL36" s="33">
        <f>CM36+$CL$34</f>
        <v>0.1</v>
      </c>
      <c r="CM36" s="42" t="n">
        <v>0.06</v>
      </c>
      <c r="CN36" s="33">
        <f>CM36+$CN$34</f>
        <v>-0.02</v>
      </c>
    </row>
    <row r="37" ht="15" customHeight="1" s="251">
      <c r="B37" s="22" t="inlineStr">
        <is>
          <t xml:space="preserve">    y/y %</t>
        </is>
      </c>
      <c r="C37" s="23" t="n"/>
      <c r="D37" s="255">
        <f>IF(AND(ISNUMBER(D36),ISNUMBER(C36)),IFERROR(D36/C36-1,""),"")</f>
      </c>
      <c r="E37" s="255">
        <f>IF(AND(ISNUMBER(E36),ISNUMBER(D36)),IFERROR(E36/D36-1,""),"")</f>
        <v>0.225352112676056</v>
      </c>
      <c r="F37" s="23" t="n"/>
      <c r="G37" s="23" t="n"/>
      <c r="H37" s="23" t="n"/>
      <c r="I37" s="23" t="n"/>
      <c r="J37" s="255">
        <f>IF(AND(ISNUMBER(J36),ISNUMBER(E36)),IFERROR(J36/E36-1,""),"")</f>
        <v>0.183908045977012</v>
      </c>
      <c r="K37" s="255">
        <f>IF(AND(ISNUMBER(K36),ISNUMBER(F36)),IFERROR(K36/F36-1,""),"")</f>
        <v>0.04</v>
      </c>
      <c r="L37" s="255">
        <f>IF(AND(ISNUMBER(L36),ISNUMBER(G36)),IFERROR(L36/G36-1,""),"")</f>
        <v>0.0769230769230769</v>
      </c>
      <c r="M37" s="255">
        <f>IF(AND(ISNUMBER(M36),ISNUMBER(H36)),IFERROR(M36/H36-1,""),"")</f>
        <v>0.16</v>
      </c>
      <c r="N37" s="255">
        <f>IF(AND(ISNUMBER(N36),ISNUMBER(I36)),IFERROR(N36/I36-1,""),"")</f>
        <v>0.0740740740740742</v>
      </c>
      <c r="O37" s="255">
        <f>IF(AND(ISNUMBER(O36),ISNUMBER(J36)),IFERROR(O36/J36-1,""),"")</f>
        <v>0.0776699029126213</v>
      </c>
      <c r="P37" s="255">
        <f>IF(AND(ISNUMBER(P36),ISNUMBER(K36)),IFERROR(P36/K36-1,""),"")</f>
        <v>0.115384615384615</v>
      </c>
      <c r="Q37" s="255">
        <f>IF(AND(ISNUMBER(Q36),ISNUMBER(L36)),IFERROR(Q36/L36-1,""),"")</f>
        <v>0.0714285714285714</v>
      </c>
      <c r="R37" s="255">
        <f>IF(AND(ISNUMBER(R36),ISNUMBER(M36)),IFERROR(R36/M36-1,""),"")</f>
        <v>0.103448275862069</v>
      </c>
      <c r="S37" s="255">
        <f>IF(AND(ISNUMBER(S36),ISNUMBER(N36)),IFERROR(S36/N36-1,""),"")</f>
        <v>0.103448275862069</v>
      </c>
      <c r="T37" s="255">
        <f>IF(AND(ISNUMBER(T36),ISNUMBER(O36)),IFERROR(T36/O36-1,""),"")</f>
        <v>0.0990990990990992</v>
      </c>
      <c r="U37" s="255">
        <f>IF(AND(ISNUMBER(U36),ISNUMBER(P36)),IFERROR(U36/P36-1,""),"")</f>
        <v>0.103448275862069</v>
      </c>
      <c r="V37" s="255">
        <f>IF(AND(ISNUMBER(V36),ISNUMBER(Q36)),IFERROR(V36/Q36-1,""),"")</f>
        <v>0.0666666666666667</v>
      </c>
      <c r="W37" s="255">
        <f>IF(AND(ISNUMBER(W36),ISNUMBER(R36)),IFERROR(W36/R36-1,""),"")</f>
        <v>0.03125</v>
      </c>
      <c r="X37" s="255">
        <f>IF(AND(ISNUMBER(X36),ISNUMBER(S36)),IFERROR(X36/S36-1,""),"")</f>
        <v>0.15625</v>
      </c>
      <c r="Y37" s="255">
        <f>IF(AND(ISNUMBER(Y36),ISNUMBER(T36)),IFERROR(Y36/T36-1,""),"")</f>
        <v>0.0901639344262295</v>
      </c>
      <c r="Z37" s="255">
        <f>IF(AND(ISNUMBER(Z36),ISNUMBER(U36)),IFERROR(Z36/U36-1,""),"")</f>
        <v>-0.03125</v>
      </c>
      <c r="AA37" s="255">
        <f>IF(AND(ISNUMBER(AA36),ISNUMBER(V36)),IFERROR(AA36/V36-1,""),"")</f>
        <v>0.15625</v>
      </c>
      <c r="AB37" s="255">
        <f>IF(AND(ISNUMBER(AB36),ISNUMBER(W36)),IFERROR(AB36/W36-1,""),"")</f>
        <v>0.0909090909090908</v>
      </c>
      <c r="AC37" s="255">
        <f>IF(AND(ISNUMBER(AC36),ISNUMBER(X36)),IFERROR(AC36/X36-1,""),"")</f>
        <v>-0.027027027027027</v>
      </c>
      <c r="AD37" s="255">
        <f>IF(AND(ISNUMBER(AD36),ISNUMBER(Y36)),IFERROR(AD36/Y36-1,""),"")</f>
        <v>0.0601503759398496</v>
      </c>
      <c r="AE37" s="255">
        <f>IF(AND(ISNUMBER(AE36),ISNUMBER(Z36)),IFERROR(AE36/Z36-1,""),"")</f>
        <v>0.064516129032258</v>
      </c>
      <c r="AF37" s="255">
        <f>IF(AND(ISNUMBER(AF36),ISNUMBER(AA36)),IFERROR(AF36/AA36-1,""),"")</f>
        <v>-0.027027027027027</v>
      </c>
      <c r="AG37" s="255">
        <f>IF(AND(ISNUMBER(AG36),ISNUMBER(AB36)),IFERROR(AG36/AB36-1,""),"")</f>
        <v>0.138888888888889</v>
      </c>
      <c r="AH37" s="255">
        <f>IF(AND(ISNUMBER(AH36),ISNUMBER(AC36)),IFERROR(AH36/AC36-1,""),"")</f>
        <v>0.138888888888889</v>
      </c>
      <c r="AI37" s="255">
        <f>IF(AND(ISNUMBER(AI36),ISNUMBER(AD36)),IFERROR(AI36/AD36-1,""),"")</f>
        <v>0.0212765957446808</v>
      </c>
      <c r="AJ37" s="255">
        <f>IF(AND(ISNUMBER(AJ36),ISNUMBER(AE36)),IFERROR(AJ36/AE36-1,""),"")</f>
        <v>0.212121212121212</v>
      </c>
      <c r="AK37" s="255">
        <f>IF(AND(ISNUMBER(AK36),ISNUMBER(AF36)),IFERROR(AK36/AF36-1,""),"")</f>
        <v>0.111111111111111</v>
      </c>
      <c r="AL37" s="255">
        <f>IF(AND(ISNUMBER(AL36),ISNUMBER(AG36)),IFERROR(AL36/AG36-1,""),"")</f>
        <v>0.024390243902439</v>
      </c>
      <c r="AM37" s="255">
        <f>IF(AND(ISNUMBER(AM36),ISNUMBER(AH36)),IFERROR(AM36/AH36-1,""),"")</f>
        <v>0.0487804878048781</v>
      </c>
      <c r="AN37" s="255">
        <f>IF(AND(ISNUMBER(AN36),ISNUMBER(AI36)),IFERROR(AN36/AI36-1,""),"")</f>
        <v>0.145833333333333</v>
      </c>
      <c r="AO37" s="255">
        <f>IF(AND(ISNUMBER(AO36),ISNUMBER(AJ36)),IFERROR(AO36/AJ36-1,""),"")</f>
        <v>0.15</v>
      </c>
      <c r="AP37" s="255">
        <f>IF(AND(ISNUMBER(AP36),ISNUMBER(AK36)),IFERROR(AP36/AK36-1,""),"")</f>
        <v>0.075</v>
      </c>
      <c r="AQ37" s="255">
        <f>IF(AND(ISNUMBER(AQ36),ISNUMBER(AL36)),IFERROR(AQ36/AL36-1,""),"")</f>
        <v>0.0238095238095237</v>
      </c>
      <c r="AR37" s="255">
        <f>IF(AND(ISNUMBER(AR36),ISNUMBER(AM36)),IFERROR(AR36/AM36-1,""),"")</f>
        <v>0.069767441860465</v>
      </c>
      <c r="AS37" s="255">
        <f>IF(AND(ISNUMBER(AS36),ISNUMBER(AN36)),IFERROR(AS36/AN36-1,""),"")</f>
        <v>0.0727272727272728</v>
      </c>
      <c r="AT37" s="255">
        <f>IF(AND(ISNUMBER(AT36),ISNUMBER(AO36)),IFERROR(AT36/AO36-1,""),"")</f>
        <v>0</v>
      </c>
      <c r="AU37" s="255">
        <f>IF(AND(ISNUMBER(AU36),ISNUMBER(AP36)),IFERROR(AU36/AP36-1,""),"")</f>
        <v>0.116279069767442</v>
      </c>
      <c r="AV37" s="255">
        <f>IF(AND(ISNUMBER(AV36),ISNUMBER(AQ36)),IFERROR(AV36/AQ36-1,""),"")</f>
        <v>0.0930232558139534</v>
      </c>
      <c r="AW37" s="255">
        <f>IF(AND(ISNUMBER(AW36),ISNUMBER(AR36)),IFERROR(AW36/AR36-1,""),"")</f>
        <v>0.108695652173913</v>
      </c>
      <c r="AX37" s="255">
        <f>IF(AND(ISNUMBER(AX36),ISNUMBER(AS36)),IFERROR(AX36/AS36-1,""),"")</f>
        <v>0.0790960451977401</v>
      </c>
      <c r="AY37" s="255">
        <f>IF(AND(ISNUMBER(AY36),ISNUMBER(AT36)),IFERROR(AY36/AT36-1,""),"")</f>
      </c>
      <c r="AZ37" s="255">
        <f>IF(AND(ISNUMBER(AZ36),ISNUMBER(AU36)),IFERROR(AZ36/AU36-1,""),"")</f>
        <v>0.395833333333333</v>
      </c>
      <c r="BA37" s="255">
        <f>IF(AND(ISNUMBER(BA36),ISNUMBER(AV36)),IFERROR(BA36/AV36-1,""),"")</f>
        <v>0.468085106382979</v>
      </c>
      <c r="BB37" s="255">
        <f>IF(AND(ISNUMBER(BB36),ISNUMBER(AW36)),IFERROR(BB36/AW36-1,""),"")</f>
        <v>0.333333333333333</v>
      </c>
      <c r="BC37" s="255">
        <f>IF(AND(ISNUMBER(BC36),ISNUMBER(AX36)),IFERROR(BC36/AX36-1,""),"")</f>
      </c>
      <c r="BD37" s="255">
        <f>IF(AND(ISNUMBER(BD36),ISNUMBER(AY36)),IFERROR(BD36/AY36-1,""),"")</f>
      </c>
      <c r="BE37" s="255">
        <f>IF(AND(ISNUMBER(BE36),ISNUMBER(AZ36)),IFERROR(BE36/AZ36-1,""),"")</f>
        <v>0.044776119402985</v>
      </c>
      <c r="BF37" s="255">
        <f>IF(AND(ISNUMBER(BF36),ISNUMBER(BA36)),IFERROR(BF36/BA36-1,""),"")</f>
        <v>0.0144927536231885</v>
      </c>
      <c r="BG37" s="255">
        <f>IF(AND(ISNUMBER(BG36),ISNUMBER(BB36)),IFERROR(BG36/BB36-1,""),"")</f>
        <v>0.0441176470588236</v>
      </c>
      <c r="BH37" s="255">
        <f>IF(AND(ISNUMBER(BH36),ISNUMBER(BC36)),IFERROR(BH36/BC36-1,""),"")</f>
      </c>
      <c r="BI37" s="255">
        <f>IF(AND(ISNUMBER(BI36),ISNUMBER(BD36)),IFERROR(BI36/BD36-1,""),"")</f>
        <v>0.0606060606060606</v>
      </c>
      <c r="BJ37" s="255">
        <f>IF(AND(ISNUMBER(BJ36),ISNUMBER(BE36)),IFERROR(BJ36/BE36-1,""),"")</f>
        <v>0.0571428571428572</v>
      </c>
      <c r="BK37" s="255">
        <f>IF(AND(ISNUMBER(BK36),ISNUMBER(BF36)),IFERROR(BK36/BF36-1,""),"")</f>
        <v>0.0571428571428572</v>
      </c>
      <c r="BL37" s="255">
        <f>IF(AND(ISNUMBER(BL36),ISNUMBER(BG36)),IFERROR(BL36/BG36-1,""),"")</f>
        <v>0.0422535211267605</v>
      </c>
      <c r="BM37" s="255">
        <f>IF(AND(ISNUMBER(BM36),ISNUMBER(BH36)),IFERROR(BM36/BH36-1,""),"")</f>
        <v>0.0541516245487366</v>
      </c>
      <c r="BN37" s="255">
        <f>IF(AND(ISNUMBER(BN36),ISNUMBER(BI36)),IFERROR(BN36/BI36-1,""),"")</f>
        <v>0.0857142857142856</v>
      </c>
      <c r="BO37" s="255">
        <f>IF(AND(ISNUMBER(BO36),ISNUMBER(BJ36)),IFERROR(BO36/BJ36-1,""),"")</f>
        <v>0.0810810810810811</v>
      </c>
      <c r="BP37" s="255">
        <f>IF(AND(ISNUMBER(BP36),ISNUMBER(BK36)),IFERROR(BP36/BK36-1,""),"")</f>
        <v>0.108108108108108</v>
      </c>
      <c r="BQ37" s="255">
        <f>IF(AND(ISNUMBER(BQ36),ISNUMBER(BL36)),IFERROR(BQ36/BL36-1,""),"")</f>
        <v>0.135135135135135</v>
      </c>
      <c r="BR37" s="255">
        <f>IF(AND(ISNUMBER(BR36),ISNUMBER(BM36)),IFERROR(BR36/BM36-1,""),"")</f>
        <v>0.0958904109589041</v>
      </c>
      <c r="BS37" s="255">
        <f>IF(AND(ISNUMBER(BS36),ISNUMBER(BN36)),IFERROR(BS36/BN36-1,""),"")</f>
        <v>0.105263157894737</v>
      </c>
      <c r="BT37" s="255">
        <f>IF(AND(ISNUMBER(BT36),ISNUMBER(BO36)),IFERROR(BT36/BO36-1,""),"")</f>
        <v>0.0874999999999999</v>
      </c>
      <c r="BU37" s="256">
        <f>$BW$38+$BW$149</f>
        <v>0.0200261182650918</v>
      </c>
      <c r="BV37" s="256">
        <f>$BW$38+$BW$149</f>
        <v>0.0200261182650918</v>
      </c>
      <c r="BW37" s="256">
        <f>IF(AND(ISNUMBER(BW36),ISNUMBER(BR36)),IFERROR(BW36/BR36-1,""),"")</f>
        <v>0.0635135488500165</v>
      </c>
      <c r="BX37" s="256">
        <f>CHOOSE(MATCH($CC$2,{"Bull","Base","Bear"},0),$CL$59,$CM$59,$CN$59)</f>
        <v>0.08</v>
      </c>
      <c r="BY37" s="256">
        <f>CHOOSE(MATCH($CC$2,{"Bull","Base","Bear"},0),$CL$60,$CM$60,$CN$60)</f>
        <v>0.08</v>
      </c>
      <c r="BZ37" s="256">
        <f>CHOOSE(MATCH($CC$2,{"Bull","Base","Bear"},0),$CL$61,$CM$61,$CN$61)</f>
        <v>0.07</v>
      </c>
      <c r="CA37" s="256">
        <f>CHOOSE(MATCH($CC$2,{"Bull","Base","Bear"},0),$CL$62,$CM$62,$CN$62)</f>
        <v>0.07</v>
      </c>
      <c r="CB37" s="256">
        <f>CHOOSE(MATCH($CC$2,{"Bull","Base","Bear"},0),$CL$63,$CM$63,$CN$63)</f>
        <v>0.07</v>
      </c>
      <c r="CC37" s="153" t="n"/>
      <c r="CK37" s="25" t="inlineStr">
        <is>
          <t xml:space="preserve">  2029E</t>
        </is>
      </c>
      <c r="CL37" s="33">
        <f>CM37+$CL$34</f>
        <v>0.1</v>
      </c>
      <c r="CM37" s="42" t="n">
        <v>0.06</v>
      </c>
      <c r="CN37" s="33">
        <f>CM37+$CN$34</f>
        <v>-0.02</v>
      </c>
    </row>
    <row r="38" ht="15" customHeight="1" s="251">
      <c r="B38" s="25" t="inlineStr">
        <is>
          <t xml:space="preserve">    Q3–Q4/26E growth before revenue calibration (1H-26 y/y)</t>
        </is>
      </c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  <c r="AU38" s="36" t="n"/>
      <c r="AV38" s="36" t="n"/>
      <c r="AW38" s="36" t="n"/>
      <c r="AX38" s="36" t="n"/>
      <c r="AY38" s="36" t="n"/>
      <c r="AZ38" s="36" t="n"/>
      <c r="BA38" s="36" t="n"/>
      <c r="BB38" s="36" t="n"/>
      <c r="BC38" s="36" t="n"/>
      <c r="BD38" s="36" t="n"/>
      <c r="BE38" s="36" t="n"/>
      <c r="BF38" s="36" t="n"/>
      <c r="BG38" s="36" t="n"/>
      <c r="BH38" s="36" t="n"/>
      <c r="BI38" s="36" t="n"/>
      <c r="BJ38" s="36" t="n"/>
      <c r="BK38" s="36" t="n"/>
      <c r="BL38" s="36" t="n"/>
      <c r="BM38" s="36" t="n"/>
      <c r="BN38" s="36" t="n"/>
      <c r="BO38" s="36" t="n"/>
      <c r="BP38" s="36" t="n"/>
      <c r="BQ38" s="36" t="n"/>
      <c r="BR38" s="36" t="n"/>
      <c r="BS38" s="36" t="n"/>
      <c r="BT38" s="36" t="n"/>
      <c r="BU38" s="24" t="n"/>
      <c r="BV38" s="24" t="n"/>
      <c r="BW38" s="256">
        <f>IFERROR(SUM(BS36:BT36)/SUM(BN36:BO36)-1,0)</f>
        <v>0.0961538461538463</v>
      </c>
      <c r="BX38" s="46" t="n"/>
      <c r="BY38" s="46" t="n"/>
      <c r="BZ38" s="46" t="n"/>
      <c r="CA38" s="46" t="n"/>
      <c r="CB38" s="46" t="n"/>
      <c r="CC38" s="19" t="n"/>
      <c r="CK38" s="25" t="inlineStr">
        <is>
          <t xml:space="preserve">  2030E</t>
        </is>
      </c>
      <c r="CL38" s="33">
        <f>CM38+$CL$34</f>
        <v>0.09</v>
      </c>
      <c r="CM38" s="42" t="n">
        <v>0.05</v>
      </c>
      <c r="CN38" s="33">
        <f>CM38+$CN$34</f>
        <v>-0.03</v>
      </c>
    </row>
    <row r="39" ht="15" customHeight="1" s="251">
      <c r="B39" s="25" t="inlineStr">
        <is>
          <t xml:space="preserve">  Not split by type (history only: periods without a revenue-by-type table on this basis)</t>
        </is>
      </c>
      <c r="C39" s="211">
        <f>IF(ISNUMBER(C43),C43-(N(C30)+N(C33)+N(C36)),"")</f>
        <v>273</v>
      </c>
      <c r="D39" s="211">
        <f>IF(ISNUMBER(D43),D43-(N(D30)+N(D33)+N(D36)),"")</f>
        <v>0</v>
      </c>
      <c r="E39" s="211">
        <f>IF(ISNUMBER(E43),E43-(N(E30)+N(E33)+N(E36)),"")</f>
        <v>0</v>
      </c>
      <c r="F39" s="211">
        <f>IF(ISNUMBER(F43),F43-(N(F30)+N(F33)+N(F36)),"")</f>
        <v>0</v>
      </c>
      <c r="G39" s="211">
        <f>IF(ISNUMBER(G43),G43-(N(G30)+N(G33)+N(G36)),"")</f>
        <v>0</v>
      </c>
      <c r="H39" s="211">
        <f>IF(ISNUMBER(H43),H43-(N(H30)+N(H33)+N(H36)),"")</f>
        <v>0</v>
      </c>
      <c r="I39" s="211">
        <f>IF(ISNUMBER(I43),I43-(N(I30)+N(I33)+N(I36)),"")</f>
        <v>0</v>
      </c>
      <c r="J39" s="211">
        <f>IF(ISNUMBER(J43),J43-(N(J30)+N(J33)+N(J36)),"")</f>
        <v>0</v>
      </c>
      <c r="K39" s="211">
        <f>IF(ISNUMBER(K43),K43-(N(K30)+N(K33)+N(K36)),"")</f>
        <v>0</v>
      </c>
      <c r="L39" s="211">
        <f>IF(ISNUMBER(L43),L43-(N(L30)+N(L33)+N(L36)),"")</f>
        <v>0</v>
      </c>
      <c r="M39" s="211">
        <f>IF(ISNUMBER(M43),M43-(N(M30)+N(M33)+N(M36)),"")</f>
        <v>0</v>
      </c>
      <c r="N39" s="211">
        <f>IF(ISNUMBER(N43),N43-(N(N30)+N(N33)+N(N36)),"")</f>
        <v>0</v>
      </c>
      <c r="O39" s="211">
        <f>IF(ISNUMBER(O43),O43-(N(O30)+N(O33)+N(O36)),"")</f>
        <v>0</v>
      </c>
      <c r="P39" s="211">
        <f>IF(ISNUMBER(P43),P43-(N(P30)+N(P33)+N(P36)),"")</f>
        <v>0</v>
      </c>
      <c r="Q39" s="211">
        <f>IF(ISNUMBER(Q43),Q43-(N(Q30)+N(Q33)+N(Q36)),"")</f>
        <v>0</v>
      </c>
      <c r="R39" s="211">
        <f>IF(ISNUMBER(R43),R43-(N(R30)+N(R33)+N(R36)),"")</f>
        <v>0</v>
      </c>
      <c r="S39" s="211">
        <f>IF(ISNUMBER(S43),S43-(N(S30)+N(S33)+N(S36)),"")</f>
        <v>0</v>
      </c>
      <c r="T39" s="211">
        <f>IF(ISNUMBER(T43),T43-(N(T30)+N(T33)+N(T36)),"")</f>
        <v>0</v>
      </c>
      <c r="U39" s="211">
        <f>IF(ISNUMBER(U43),U43-(N(U30)+N(U33)+N(U36)),"")</f>
        <v>0</v>
      </c>
      <c r="V39" s="211">
        <f>IF(ISNUMBER(V43),V43-(N(V30)+N(V33)+N(V36)),"")</f>
        <v>0</v>
      </c>
      <c r="W39" s="211">
        <f>IF(ISNUMBER(W43),W43-(N(W30)+N(W33)+N(W36)),"")</f>
        <v>0</v>
      </c>
      <c r="X39" s="211">
        <f>IF(ISNUMBER(X43),X43-(N(X30)+N(X33)+N(X36)),"")</f>
        <v>0</v>
      </c>
      <c r="Y39" s="211">
        <f>IF(ISNUMBER(Y43),Y43-(N(Y30)+N(Y33)+N(Y36)),"")</f>
        <v>0</v>
      </c>
      <c r="Z39" s="211">
        <f>IF(ISNUMBER(Z43),Z43-(N(Z30)+N(Z33)+N(Z36)),"")</f>
        <v>0</v>
      </c>
      <c r="AA39" s="211">
        <f>IF(ISNUMBER(AA43),AA43-(N(AA30)+N(AA33)+N(AA36)),"")</f>
        <v>0</v>
      </c>
      <c r="AB39" s="211">
        <f>IF(ISNUMBER(AB43),AB43-(N(AB30)+N(AB33)+N(AB36)),"")</f>
        <v>0</v>
      </c>
      <c r="AC39" s="211">
        <f>IF(ISNUMBER(AC43),AC43-(N(AC30)+N(AC33)+N(AC36)),"")</f>
        <v>0</v>
      </c>
      <c r="AD39" s="211">
        <f>IF(ISNUMBER(AD43),AD43-(N(AD30)+N(AD33)+N(AD36)),"")</f>
        <v>0</v>
      </c>
      <c r="AE39" s="211">
        <f>IF(ISNUMBER(AE43),AE43-(N(AE30)+N(AE33)+N(AE36)),"")</f>
        <v>0</v>
      </c>
      <c r="AF39" s="211">
        <f>IF(ISNUMBER(AF43),AF43-(N(AF30)+N(AF33)+N(AF36)),"")</f>
        <v>0</v>
      </c>
      <c r="AG39" s="211">
        <f>IF(ISNUMBER(AG43),AG43-(N(AG30)+N(AG33)+N(AG36)),"")</f>
        <v>0</v>
      </c>
      <c r="AH39" s="211">
        <f>IF(ISNUMBER(AH43),AH43-(N(AH30)+N(AH33)+N(AH36)),"")</f>
        <v>0</v>
      </c>
      <c r="AI39" s="211">
        <f>IF(ISNUMBER(AI43),AI43-(N(AI30)+N(AI33)+N(AI36)),"")</f>
        <v>0</v>
      </c>
      <c r="AJ39" s="211">
        <f>IF(ISNUMBER(AJ43),AJ43-(N(AJ30)+N(AJ33)+N(AJ36)),"")</f>
        <v>0</v>
      </c>
      <c r="AK39" s="211">
        <f>IF(ISNUMBER(AK43),AK43-(N(AK30)+N(AK33)+N(AK36)),"")</f>
        <v>0</v>
      </c>
      <c r="AL39" s="211">
        <f>IF(ISNUMBER(AL43),AL43-(N(AL30)+N(AL33)+N(AL36)),"")</f>
        <v>0</v>
      </c>
      <c r="AM39" s="211">
        <f>IF(ISNUMBER(AM43),AM43-(N(AM30)+N(AM33)+N(AM36)),"")</f>
        <v>0</v>
      </c>
      <c r="AN39" s="211">
        <f>IF(ISNUMBER(AN43),AN43-(N(AN30)+N(AN33)+N(AN36)),"")</f>
        <v>0</v>
      </c>
      <c r="AO39" s="211">
        <f>IF(ISNUMBER(AO43),AO43-(N(AO30)+N(AO33)+N(AO36)),"")</f>
        <v>0</v>
      </c>
      <c r="AP39" s="211">
        <f>IF(ISNUMBER(AP43),AP43-(N(AP30)+N(AP33)+N(AP36)),"")</f>
        <v>0</v>
      </c>
      <c r="AQ39" s="211">
        <f>IF(ISNUMBER(AQ43),AQ43-(N(AQ30)+N(AQ33)+N(AQ36)),"")</f>
        <v>0</v>
      </c>
      <c r="AR39" s="211">
        <f>IF(ISNUMBER(AR43),AR43-(N(AR30)+N(AR33)+N(AR36)),"")</f>
        <v>0</v>
      </c>
      <c r="AS39" s="211">
        <f>IF(ISNUMBER(AS43),AS43-(N(AS30)+N(AS33)+N(AS36)),"")</f>
        <v>0</v>
      </c>
      <c r="AT39" s="211">
        <f>IF(ISNUMBER(AT43),AT43-(N(AT30)+N(AT33)+N(AT36)),"")</f>
        <v>0</v>
      </c>
      <c r="AU39" s="211">
        <f>IF(ISNUMBER(AU43),AU43-(N(AU30)+N(AU33)+N(AU36)),"")</f>
        <v>0</v>
      </c>
      <c r="AV39" s="211">
        <f>IF(ISNUMBER(AV43),AV43-(N(AV30)+N(AV33)+N(AV36)),"")</f>
        <v>0</v>
      </c>
      <c r="AW39" s="211">
        <f>IF(ISNUMBER(AW43),AW43-(N(AW30)+N(AW33)+N(AW36)),"")</f>
        <v>0</v>
      </c>
      <c r="AX39" s="211">
        <f>IF(ISNUMBER(AX43),AX43-(N(AX30)+N(AX33)+N(AX36)),"")</f>
        <v>0</v>
      </c>
      <c r="AY39" s="211">
        <f>IF(ISNUMBER(AY43),AY43-(N(AY30)+N(AY33)+N(AY36)),"")</f>
        <v>322</v>
      </c>
      <c r="AZ39" s="211">
        <f>IF(ISNUMBER(AZ43),AZ43-(N(AZ30)+N(AZ33)+N(AZ36)),"")</f>
        <v>1</v>
      </c>
      <c r="BA39" s="211">
        <f>IF(ISNUMBER(BA43),BA43-(N(BA30)+N(BA33)+N(BA36)),"")</f>
        <v>0</v>
      </c>
      <c r="BB39" s="211">
        <f>IF(ISNUMBER(BB43),BB43-(N(BB30)+N(BB33)+N(BB36)),"")</f>
        <v>0</v>
      </c>
      <c r="BC39" s="211">
        <f>IF(ISNUMBER(BC43),BC43-(N(BC30)+N(BC33)+N(BC36)),"")</f>
        <v>1339</v>
      </c>
      <c r="BD39" s="211">
        <f>IF(ISNUMBER(BD43),BD43-(N(BD30)+N(BD33)+N(BD36)),"")</f>
        <v>0</v>
      </c>
      <c r="BE39" s="211">
        <f>IF(ISNUMBER(BE43),BE43-(N(BE30)+N(BE33)+N(BE36)),"")</f>
        <v>0</v>
      </c>
      <c r="BF39" s="211">
        <f>IF(ISNUMBER(BF43),BF43-(N(BF30)+N(BF33)+N(BF36)),"")</f>
        <v>0</v>
      </c>
      <c r="BG39" s="211">
        <f>IF(ISNUMBER(BG43),BG43-(N(BG30)+N(BG33)+N(BG36)),"")</f>
        <v>0</v>
      </c>
      <c r="BH39" s="211">
        <f>IF(ISNUMBER(BH43),BH43-(N(BH30)+N(BH33)+N(BH36)),"")</f>
        <v>0</v>
      </c>
      <c r="BI39" s="211">
        <f>IF(ISNUMBER(BI43),BI43-(N(BI30)+N(BI33)+N(BI36)),"")</f>
        <v>0</v>
      </c>
      <c r="BJ39" s="211">
        <f>IF(ISNUMBER(BJ43),BJ43-(N(BJ30)+N(BJ33)+N(BJ36)),"")</f>
        <v>0</v>
      </c>
      <c r="BK39" s="211">
        <f>IF(ISNUMBER(BK43),BK43-(N(BK30)+N(BK33)+N(BK36)),"")</f>
        <v>0</v>
      </c>
      <c r="BL39" s="211">
        <f>IF(ISNUMBER(BL43),BL43-(N(BL30)+N(BL33)+N(BL36)),"")</f>
        <v>0</v>
      </c>
      <c r="BM39" s="211">
        <f>IF(ISNUMBER(BM43),BM43-(N(BM30)+N(BM33)+N(BM36)),"")</f>
        <v>0</v>
      </c>
      <c r="BN39" s="211">
        <f>IF(ISNUMBER(BN43),BN43-(N(BN30)+N(BN33)+N(BN36)),"")</f>
        <v>0</v>
      </c>
      <c r="BO39" s="211">
        <f>IF(ISNUMBER(BO43),BO43-(N(BO30)+N(BO33)+N(BO36)),"")</f>
        <v>0</v>
      </c>
      <c r="BP39" s="211">
        <f>IF(ISNUMBER(BP43),BP43-(N(BP30)+N(BP33)+N(BP36)),"")</f>
        <v>0</v>
      </c>
      <c r="BQ39" s="211">
        <f>IF(ISNUMBER(BQ43),BQ43-(N(BQ30)+N(BQ33)+N(BQ36)),"")</f>
        <v>0</v>
      </c>
      <c r="BR39" s="211">
        <f>IF(ISNUMBER(BR43),BR43-(N(BR30)+N(BR33)+N(BR36)),"")</f>
        <v>0</v>
      </c>
      <c r="BS39" s="211">
        <f>IF(ISNUMBER(BS43),BS43-(N(BS30)+N(BS33)+N(BS36)),"")</f>
        <v>0</v>
      </c>
      <c r="BT39" s="211">
        <f>IF(ISNUMBER(BT43),BT43-(N(BT30)+N(BT33)+N(BT36)),"")</f>
        <v>0</v>
      </c>
      <c r="BU39" s="35" t="n"/>
      <c r="BV39" s="35" t="n"/>
      <c r="BW39" s="35" t="n"/>
      <c r="BX39" s="35" t="n"/>
      <c r="BY39" s="35" t="n"/>
      <c r="BZ39" s="35" t="n"/>
      <c r="CA39" s="35" t="n"/>
      <c r="CB39" s="35" t="n"/>
      <c r="CC39" s="19" t="n"/>
      <c r="CK39" s="25" t="inlineStr">
        <is>
          <t xml:space="preserve">  2031E</t>
        </is>
      </c>
      <c r="CL39" s="33">
        <f>CM39+$CL$34</f>
        <v>0.09</v>
      </c>
      <c r="CM39" s="42" t="n">
        <v>0.05</v>
      </c>
      <c r="CN39" s="33">
        <f>CM39+$CN$34</f>
        <v>-0.03</v>
      </c>
    </row>
    <row r="40" ht="15" customHeight="1" s="251">
      <c r="B40" s="16" t="inlineStr">
        <is>
          <t xml:space="preserve">  Indices (S&amp;P Dow Jones Indices) — division revenue</t>
        </is>
      </c>
      <c r="C40" s="260">
        <f>IF(ISNUMBER(C43),N(C30)+N(C33)+N(C36)+N(C39),"")</f>
        <v>273</v>
      </c>
      <c r="D40" s="260">
        <f>IF(ISNUMBER(D43),N(D30)+N(D33)+N(D36)+N(D39),"")</f>
        <v>323</v>
      </c>
      <c r="E40" s="260">
        <f>IF(ISNUMBER(E43),N(E30)+N(E33)+N(E36)+N(E39),"")</f>
        <v>388</v>
      </c>
      <c r="F40" s="260">
        <f>IF(ISNUMBER(F43),N(F30)+N(F33)+N(F36)+N(F39),"")</f>
        <v>115</v>
      </c>
      <c r="G40" s="260">
        <f>IF(ISNUMBER(G43),N(G30)+N(G33)+N(G36)+N(G39),"")</f>
        <v>123</v>
      </c>
      <c r="H40" s="260">
        <f>IF(ISNUMBER(H43),N(H30)+N(H33)+N(H36)+N(H39),"")</f>
        <v>124</v>
      </c>
      <c r="I40" s="260">
        <f>IF(ISNUMBER(I43),N(I30)+N(I33)+N(I36)+N(I39),"")</f>
        <v>130</v>
      </c>
      <c r="J40" s="260">
        <f>IF(ISNUMBER(J43),N(J30)+N(J33)+N(J36)+N(J39),"")</f>
        <v>493</v>
      </c>
      <c r="K40" s="260">
        <f>IF(ISNUMBER(K43),N(K30)+N(K33)+N(K36)+N(K39),"")</f>
        <v>137</v>
      </c>
      <c r="L40" s="260">
        <f>IF(ISNUMBER(L43),N(L30)+N(L33)+N(L36)+N(L39),"")</f>
        <v>133</v>
      </c>
      <c r="M40" s="260">
        <f>IF(ISNUMBER(M43),N(M30)+N(M33)+N(M36)+N(M39),"")</f>
        <v>143</v>
      </c>
      <c r="N40" s="260">
        <f>IF(ISNUMBER(N43),N(N30)+N(N33)+N(N36)+N(N39),"")</f>
        <v>140</v>
      </c>
      <c r="O40" s="260">
        <f>IF(ISNUMBER(O43),N(O30)+N(O33)+N(O36)+N(O39),"")</f>
        <v>552</v>
      </c>
      <c r="P40" s="260">
        <f>IF(ISNUMBER(P43),N(P30)+N(P33)+N(P36)+N(P39),"")</f>
        <v>143</v>
      </c>
      <c r="Q40" s="260">
        <f>IF(ISNUMBER(Q43),N(Q30)+N(Q33)+N(Q36)+N(Q39),"")</f>
        <v>148</v>
      </c>
      <c r="R40" s="260">
        <f>IF(ISNUMBER(R43),N(R30)+N(R33)+N(R36)+N(R39),"")</f>
        <v>156</v>
      </c>
      <c r="S40" s="260">
        <f>IF(ISNUMBER(S43),N(S30)+N(S33)+N(S36)+N(S39),"")</f>
        <v>151</v>
      </c>
      <c r="T40" s="260">
        <f>IF(ISNUMBER(T43),N(T30)+N(T33)+N(T36)+N(T39),"")</f>
        <v>597</v>
      </c>
      <c r="U40" s="260">
        <f>IF(ISNUMBER(U43),N(U30)+N(U33)+N(U36)+N(U39),"")</f>
        <v>151</v>
      </c>
      <c r="V40" s="260">
        <f>IF(ISNUMBER(V43),N(V30)+N(V33)+N(V36)+N(V39),"")</f>
        <v>153</v>
      </c>
      <c r="W40" s="260">
        <f>IF(ISNUMBER(W43),N(W30)+N(W33)+N(W36)+N(W39),"")</f>
        <v>164</v>
      </c>
      <c r="X40" s="260">
        <f>IF(ISNUMBER(X43),N(X30)+N(X33)+N(X36)+N(X39),"")</f>
        <v>171</v>
      </c>
      <c r="Y40" s="260">
        <f>IF(ISNUMBER(Y43),N(Y30)+N(Y33)+N(Y36)+N(Y39),"")</f>
        <v>639</v>
      </c>
      <c r="Z40" s="260">
        <f>IF(ISNUMBER(Z43),N(Z30)+N(Z33)+N(Z36)+N(Z39),"")</f>
        <v>171</v>
      </c>
      <c r="AA40" s="260">
        <f>IF(ISNUMBER(AA43),N(AA30)+N(AA33)+N(AA36)+N(AA39),"")</f>
        <v>184</v>
      </c>
      <c r="AB40" s="260">
        <f>IF(ISNUMBER(AB43),N(AB30)+N(AB33)+N(AB36)+N(AB39),"")</f>
        <v>187</v>
      </c>
      <c r="AC40" s="260">
        <f>IF(ISNUMBER(AC43),N(AC30)+N(AC33)+N(AC36)+N(AC39),"")</f>
        <v>191</v>
      </c>
      <c r="AD40" s="260">
        <f>IF(ISNUMBER(AD43),N(AD30)+N(AD33)+N(AD36)+N(AD39),"")</f>
        <v>733</v>
      </c>
      <c r="AE40" s="260">
        <f>IF(ISNUMBER(AE43),N(AE30)+N(AE33)+N(AE36)+N(AE39),"")</f>
        <v>214</v>
      </c>
      <c r="AF40" s="260">
        <f>IF(ISNUMBER(AF43),N(AF30)+N(AF33)+N(AF36)+N(AF39),"")</f>
        <v>209</v>
      </c>
      <c r="AG40" s="260">
        <f>IF(ISNUMBER(AG43),N(AG30)+N(AG33)+N(AG36)+N(AG39),"")</f>
        <v>205</v>
      </c>
      <c r="AH40" s="260">
        <f>IF(ISNUMBER(AH43),N(AH30)+N(AH33)+N(AH36)+N(AH39),"")</f>
        <v>215</v>
      </c>
      <c r="AI40" s="260">
        <f>IF(ISNUMBER(AI43),N(AI30)+N(AI33)+N(AI36)+N(AI39),"")</f>
        <v>837</v>
      </c>
      <c r="AJ40" s="260">
        <f>IF(ISNUMBER(AJ43),N(AJ30)+N(AJ33)+N(AJ36)+N(AJ39),"")</f>
        <v>217</v>
      </c>
      <c r="AK40" s="260">
        <f>IF(ISNUMBER(AK43),N(AK30)+N(AK33)+N(AK36)+N(AK39),"")</f>
        <v>235</v>
      </c>
      <c r="AL40" s="260">
        <f>IF(ISNUMBER(AL43),N(AL30)+N(AL33)+N(AL36)+N(AL39),"")</f>
        <v>232</v>
      </c>
      <c r="AM40" s="260">
        <f>IF(ISNUMBER(AM43),N(AM30)+N(AM33)+N(AM36)+N(AM39),"")</f>
        <v>233</v>
      </c>
      <c r="AN40" s="260">
        <f>IF(ISNUMBER(AN43),N(AN30)+N(AN33)+N(AN36)+N(AN39),"")</f>
        <v>918</v>
      </c>
      <c r="AO40" s="260">
        <f>IF(ISNUMBER(AO43),N(AO30)+N(AO33)+N(AO36)+N(AO39),"")</f>
        <v>259</v>
      </c>
      <c r="AP40" s="260">
        <f>IF(ISNUMBER(AP43),N(AP30)+N(AP33)+N(AP36)+N(AP39),"")</f>
        <v>240</v>
      </c>
      <c r="AQ40" s="260">
        <f>IF(ISNUMBER(AQ43),N(AQ30)+N(AQ33)+N(AQ36)+N(AQ39),"")</f>
        <v>234</v>
      </c>
      <c r="AR40" s="260">
        <f>IF(ISNUMBER(AR43),N(AR30)+N(AR33)+N(AR36)+N(AR39),"")</f>
        <v>257</v>
      </c>
      <c r="AS40" s="260">
        <f>IF(ISNUMBER(AS43),N(AS30)+N(AS33)+N(AS36)+N(AS39),"")</f>
        <v>989</v>
      </c>
      <c r="AT40" s="260">
        <f>IF(ISNUMBER(AT43),N(AT30)+N(AT33)+N(AT36)+N(AT39),"")</f>
        <v>270</v>
      </c>
      <c r="AU40" s="260">
        <f>IF(ISNUMBER(AU43),N(AU30)+N(AU33)+N(AU36)+N(AU39),"")</f>
        <v>278</v>
      </c>
      <c r="AV40" s="260">
        <f>IF(ISNUMBER(AV43),N(AV30)+N(AV33)+N(AV36)+N(AV39),"")</f>
        <v>298</v>
      </c>
      <c r="AW40" s="260">
        <f>IF(ISNUMBER(AW43),N(AW30)+N(AW33)+N(AW36)+N(AW39),"")</f>
        <v>303</v>
      </c>
      <c r="AX40" s="260">
        <f>IF(ISNUMBER(AX43),N(AX30)+N(AX33)+N(AX36)+N(AX39),"")</f>
        <v>1149</v>
      </c>
      <c r="AY40" s="260">
        <f>IF(ISNUMBER(AY43),N(AY30)+N(AY33)+N(AY36)+N(AY39),"")</f>
        <v>322</v>
      </c>
      <c r="AZ40" s="260">
        <f>IF(ISNUMBER(AZ43),N(AZ30)+N(AZ33)+N(AZ36)+N(AZ39),"")</f>
        <v>339</v>
      </c>
      <c r="BA40" s="260">
        <f>IF(ISNUMBER(BA43),N(BA30)+N(BA33)+N(BA36)+N(BA39),"")</f>
        <v>334</v>
      </c>
      <c r="BB40" s="260">
        <f>IF(ISNUMBER(BB43),N(BB30)+N(BB33)+N(BB36)+N(BB39),"")</f>
        <v>344</v>
      </c>
      <c r="BC40" s="260">
        <f>IF(ISNUMBER(BC43),N(BC30)+N(BC33)+N(BC36)+N(BC39),"")</f>
        <v>1339</v>
      </c>
      <c r="BD40" s="260">
        <f>IF(ISNUMBER(BD43),N(BD30)+N(BD33)+N(BD36)+N(BD39),"")</f>
        <v>341</v>
      </c>
      <c r="BE40" s="260">
        <f>IF(ISNUMBER(BE43),N(BE30)+N(BE33)+N(BE36)+N(BE39),"")</f>
        <v>348</v>
      </c>
      <c r="BF40" s="260">
        <f>IF(ISNUMBER(BF43),N(BF30)+N(BF33)+N(BF36)+N(BF39),"")</f>
        <v>354</v>
      </c>
      <c r="BG40" s="260">
        <f>IF(ISNUMBER(BG43),N(BG30)+N(BG33)+N(BG36)+N(BG39),"")</f>
        <v>360</v>
      </c>
      <c r="BH40" s="260">
        <f>IF(ISNUMBER(BH43),N(BH30)+N(BH33)+N(BH36)+N(BH39),"")</f>
        <v>1403</v>
      </c>
      <c r="BI40" s="260">
        <f>IF(ISNUMBER(BI43),N(BI30)+N(BI33)+N(BI36)+N(BI39),"")</f>
        <v>387</v>
      </c>
      <c r="BJ40" s="260">
        <f>IF(ISNUMBER(BJ43),N(BJ30)+N(BJ33)+N(BJ36)+N(BJ39),"")</f>
        <v>389</v>
      </c>
      <c r="BK40" s="260">
        <f>IF(ISNUMBER(BK43),N(BK30)+N(BK33)+N(BK36)+N(BK39),"")</f>
        <v>416</v>
      </c>
      <c r="BL40" s="260">
        <f>IF(ISNUMBER(BL43),N(BL30)+N(BL33)+N(BL36)+N(BL39),"")</f>
        <v>436</v>
      </c>
      <c r="BM40" s="260">
        <f>IF(ISNUMBER(BM43),N(BM30)+N(BM33)+N(BM36)+N(BM39),"")</f>
        <v>1628</v>
      </c>
      <c r="BN40" s="260">
        <f>IF(ISNUMBER(BN43),N(BN30)+N(BN33)+N(BN36)+N(BN39),"")</f>
        <v>445</v>
      </c>
      <c r="BO40" s="260">
        <f>IF(ISNUMBER(BO43),N(BO30)+N(BO33)+N(BO36)+N(BO39),"")</f>
        <v>446</v>
      </c>
      <c r="BP40" s="260">
        <f>IF(ISNUMBER(BP43),N(BP30)+N(BP33)+N(BP36)+N(BP39),"")</f>
        <v>462</v>
      </c>
      <c r="BQ40" s="260">
        <f>IF(ISNUMBER(BQ43),N(BQ30)+N(BQ33)+N(BQ36)+N(BQ39),"")</f>
        <v>498</v>
      </c>
      <c r="BR40" s="260">
        <f>IF(ISNUMBER(BR43),N(BR30)+N(BR33)+N(BR36)+N(BR39),"")</f>
        <v>1850</v>
      </c>
      <c r="BS40" s="260">
        <f>IF(ISNUMBER(BS43),N(BS30)+N(BS33)+N(BS36)+N(BS39),"")</f>
        <v>519</v>
      </c>
      <c r="BT40" s="260">
        <f>IF(ISNUMBER(BT43),N(BT30)+N(BT33)+N(BT36)+N(BT39),"")</f>
        <v>534</v>
      </c>
      <c r="BU40" s="261">
        <f>BU30+BU33+BU36</f>
        <v>510.6243004492</v>
      </c>
      <c r="BV40" s="261">
        <f>BV30+BV33+BV36</f>
        <v>550.883917830257</v>
      </c>
      <c r="BW40" s="261">
        <f>BW30+BW33+BW36</f>
        <v>2114.50821827946</v>
      </c>
      <c r="BX40" s="261">
        <f>BX30+BX33+BX36</f>
        <v>2300.20862898445</v>
      </c>
      <c r="BY40" s="261">
        <f>BY30+BY33+BY36</f>
        <v>2487.63900626356</v>
      </c>
      <c r="BZ40" s="261">
        <f>BZ30+BZ33+BZ36</f>
        <v>2686.87888939577</v>
      </c>
      <c r="CA40" s="261">
        <f>CA30+CA33+CA36</f>
        <v>2884.42381318577</v>
      </c>
      <c r="CB40" s="261">
        <f>CB30+CB33+CB36</f>
        <v>3096.8171132896</v>
      </c>
      <c r="CC40" s="153" t="n"/>
      <c r="CE40" s="20">
        <f>IFERROR((CB40/BW40)^(1/5)-1,"n/m")</f>
        <v>0.0792976617179901</v>
      </c>
      <c r="CF40" s="20">
        <f>IFERROR((BR40/AS40)^(1/5)-1,"n/m")</f>
        <v>0.133431001788912</v>
      </c>
      <c r="CG40" s="20">
        <f>IFERROR((BR40/T40)^(1/10)-1,"n/m")</f>
        <v>0.1197465672579</v>
      </c>
      <c r="CH40" s="20">
        <f>IFERROR((BR40/C40)^(1/15)-1,"n/m")</f>
        <v>0.136058264541175</v>
      </c>
      <c r="CK40" s="15" t="inlineStr">
        <is>
          <t>RAT_NT (Ratings non-transaction revenue y/y)</t>
        </is>
      </c>
      <c r="CL40" s="41" t="n">
        <v>0.02</v>
      </c>
      <c r="CM40" s="21" t="inlineStr">
        <is>
          <t>Δ →</t>
        </is>
      </c>
      <c r="CN40" s="41" t="n">
        <v>-0.03</v>
      </c>
      <c r="CO40" s="13" t="inlineStr">
        <is>
          <t>1H-26 +10%; surveillance and frequent-issuer fees, Crisil; price.</t>
        </is>
      </c>
    </row>
    <row r="41" ht="15" customHeight="1" s="251">
      <c r="B41" s="22" t="inlineStr">
        <is>
          <t xml:space="preserve">  Division revenue y/y %</t>
        </is>
      </c>
      <c r="C41" s="23" t="n"/>
      <c r="D41" s="255">
        <f>IF(AND(ISNUMBER(D40),ISNUMBER(C40)),IFERROR(D40/C40-1,""),"")</f>
        <v>0.183150183150183</v>
      </c>
      <c r="E41" s="255">
        <f>IF(AND(ISNUMBER(E40),ISNUMBER(D40)),IFERROR(E40/D40-1,""),"")</f>
        <v>0.201238390092879</v>
      </c>
      <c r="F41" s="23" t="n"/>
      <c r="G41" s="23" t="n"/>
      <c r="H41" s="23" t="n"/>
      <c r="I41" s="23" t="n"/>
      <c r="J41" s="255">
        <f>IF(AND(ISNUMBER(J40),ISNUMBER(E40)),IFERROR(J40/E40-1,""),"")</f>
        <v>0.270618556701031</v>
      </c>
      <c r="K41" s="255">
        <f>IF(AND(ISNUMBER(K40),ISNUMBER(F40)),IFERROR(K40/F40-1,""),"")</f>
        <v>0.191304347826087</v>
      </c>
      <c r="L41" s="255">
        <f>IF(AND(ISNUMBER(L40),ISNUMBER(G40)),IFERROR(L40/G40-1,""),"")</f>
        <v>0.0813008130081301</v>
      </c>
      <c r="M41" s="255">
        <f>IF(AND(ISNUMBER(M40),ISNUMBER(H40)),IFERROR(M40/H40-1,""),"")</f>
        <v>0.153225806451613</v>
      </c>
      <c r="N41" s="255">
        <f>IF(AND(ISNUMBER(N40),ISNUMBER(I40)),IFERROR(N40/I40-1,""),"")</f>
        <v>0.0769230769230769</v>
      </c>
      <c r="O41" s="255">
        <f>IF(AND(ISNUMBER(O40),ISNUMBER(J40)),IFERROR(O40/J40-1,""),"")</f>
        <v>0.119675456389452</v>
      </c>
      <c r="P41" s="255">
        <f>IF(AND(ISNUMBER(P40),ISNUMBER(K40)),IFERROR(P40/K40-1,""),"")</f>
        <v>0.0437956204379562</v>
      </c>
      <c r="Q41" s="255">
        <f>IF(AND(ISNUMBER(Q40),ISNUMBER(L40)),IFERROR(Q40/L40-1,""),"")</f>
        <v>0.112781954887218</v>
      </c>
      <c r="R41" s="255">
        <f>IF(AND(ISNUMBER(R40),ISNUMBER(M40)),IFERROR(R40/M40-1,""),"")</f>
        <v>0.0909090909090908</v>
      </c>
      <c r="S41" s="255">
        <f>IF(AND(ISNUMBER(S40),ISNUMBER(N40)),IFERROR(S40/N40-1,""),"")</f>
        <v>0.0785714285714285</v>
      </c>
      <c r="T41" s="255">
        <f>IF(AND(ISNUMBER(T40),ISNUMBER(O40)),IFERROR(T40/O40-1,""),"")</f>
        <v>0.0815217391304348</v>
      </c>
      <c r="U41" s="255">
        <f>IF(AND(ISNUMBER(U40),ISNUMBER(P40)),IFERROR(U40/P40-1,""),"")</f>
        <v>0.0559440559440561</v>
      </c>
      <c r="V41" s="255">
        <f>IF(AND(ISNUMBER(V40),ISNUMBER(Q40)),IFERROR(V40/Q40-1,""),"")</f>
        <v>0.0337837837837838</v>
      </c>
      <c r="W41" s="255">
        <f>IF(AND(ISNUMBER(W40),ISNUMBER(R40)),IFERROR(W40/R40-1,""),"")</f>
        <v>0.0512820512820513</v>
      </c>
      <c r="X41" s="255">
        <f>IF(AND(ISNUMBER(X40),ISNUMBER(S40)),IFERROR(X40/S40-1,""),"")</f>
        <v>0.132450331125828</v>
      </c>
      <c r="Y41" s="255">
        <f>IF(AND(ISNUMBER(Y40),ISNUMBER(T40)),IFERROR(Y40/T40-1,""),"")</f>
        <v>0.0703517587939699</v>
      </c>
      <c r="Z41" s="255">
        <f>IF(AND(ISNUMBER(Z40),ISNUMBER(U40)),IFERROR(Z40/U40-1,""),"")</f>
        <v>0.132450331125828</v>
      </c>
      <c r="AA41" s="255">
        <f>IF(AND(ISNUMBER(AA40),ISNUMBER(V40)),IFERROR(AA40/V40-1,""),"")</f>
        <v>0.202614379084967</v>
      </c>
      <c r="AB41" s="255">
        <f>IF(AND(ISNUMBER(AB40),ISNUMBER(W40)),IFERROR(AB40/W40-1,""),"")</f>
        <v>0.140243902439024</v>
      </c>
      <c r="AC41" s="255">
        <f>IF(AND(ISNUMBER(AC40),ISNUMBER(X40)),IFERROR(AC40/X40-1,""),"")</f>
        <v>0.116959064327485</v>
      </c>
      <c r="AD41" s="255">
        <f>IF(AND(ISNUMBER(AD40),ISNUMBER(Y40)),IFERROR(AD40/Y40-1,""),"")</f>
        <v>0.147104851330203</v>
      </c>
      <c r="AE41" s="255">
        <f>IF(AND(ISNUMBER(AE40),ISNUMBER(Z40)),IFERROR(AE40/Z40-1,""),"")</f>
        <v>0.251461988304094</v>
      </c>
      <c r="AF41" s="255">
        <f>IF(AND(ISNUMBER(AF40),ISNUMBER(AA40)),IFERROR(AF40/AA40-1,""),"")</f>
        <v>0.135869565217391</v>
      </c>
      <c r="AG41" s="255">
        <f>IF(AND(ISNUMBER(AG40),ISNUMBER(AB40)),IFERROR(AG40/AB40-1,""),"")</f>
        <v>0.0962566844919786</v>
      </c>
      <c r="AH41" s="255">
        <f>IF(AND(ISNUMBER(AH40),ISNUMBER(AC40)),IFERROR(AH40/AC40-1,""),"")</f>
        <v>0.12565445026178</v>
      </c>
      <c r="AI41" s="255">
        <f>IF(AND(ISNUMBER(AI40),ISNUMBER(AD40)),IFERROR(AI40/AD40-1,""),"")</f>
        <v>0.141882673942701</v>
      </c>
      <c r="AJ41" s="255">
        <f>IF(AND(ISNUMBER(AJ40),ISNUMBER(AE40)),IFERROR(AJ40/AE40-1,""),"")</f>
        <v>0.014018691588785</v>
      </c>
      <c r="AK41" s="255">
        <f>IF(AND(ISNUMBER(AK40),ISNUMBER(AF40)),IFERROR(AK40/AF40-1,""),"")</f>
        <v>0.124401913875598</v>
      </c>
      <c r="AL41" s="255">
        <f>IF(AND(ISNUMBER(AL40),ISNUMBER(AG40)),IFERROR(AL40/AG40-1,""),"")</f>
        <v>0.131707317073171</v>
      </c>
      <c r="AM41" s="255">
        <f>IF(AND(ISNUMBER(AM40),ISNUMBER(AH40)),IFERROR(AM40/AH40-1,""),"")</f>
        <v>0.0837209302325581</v>
      </c>
      <c r="AN41" s="255">
        <f>IF(AND(ISNUMBER(AN40),ISNUMBER(AI40)),IFERROR(AN40/AI40-1,""),"")</f>
        <v>0.096774193548387</v>
      </c>
      <c r="AO41" s="255">
        <f>IF(AND(ISNUMBER(AO40),ISNUMBER(AJ40)),IFERROR(AO40/AJ40-1,""),"")</f>
        <v>0.193548387096774</v>
      </c>
      <c r="AP41" s="255">
        <f>IF(AND(ISNUMBER(AP40),ISNUMBER(AK40)),IFERROR(AP40/AK40-1,""),"")</f>
        <v>0.0212765957446808</v>
      </c>
      <c r="AQ41" s="255">
        <f>IF(AND(ISNUMBER(AQ40),ISNUMBER(AL40)),IFERROR(AQ40/AL40-1,""),"")</f>
        <v>0.00862068965517238</v>
      </c>
      <c r="AR41" s="255">
        <f>IF(AND(ISNUMBER(AR40),ISNUMBER(AM40)),IFERROR(AR40/AM40-1,""),"")</f>
        <v>0.103004291845494</v>
      </c>
      <c r="AS41" s="255">
        <f>IF(AND(ISNUMBER(AS40),ISNUMBER(AN40)),IFERROR(AS40/AN40-1,""),"")</f>
        <v>0.0773420479302833</v>
      </c>
      <c r="AT41" s="255">
        <f>IF(AND(ISNUMBER(AT40),ISNUMBER(AO40)),IFERROR(AT40/AO40-1,""),"")</f>
        <v>0.0424710424710424</v>
      </c>
      <c r="AU41" s="255">
        <f>IF(AND(ISNUMBER(AU40),ISNUMBER(AP40)),IFERROR(AU40/AP40-1,""),"")</f>
        <v>0.158333333333333</v>
      </c>
      <c r="AV41" s="255">
        <f>IF(AND(ISNUMBER(AV40),ISNUMBER(AQ40)),IFERROR(AV40/AQ40-1,""),"")</f>
        <v>0.273504273504273</v>
      </c>
      <c r="AW41" s="255">
        <f>IF(AND(ISNUMBER(AW40),ISNUMBER(AR40)),IFERROR(AW40/AR40-1,""),"")</f>
        <v>0.178988326848249</v>
      </c>
      <c r="AX41" s="255">
        <f>IF(AND(ISNUMBER(AX40),ISNUMBER(AS40)),IFERROR(AX40/AS40-1,""),"")</f>
        <v>0.161779575328615</v>
      </c>
      <c r="AY41" s="255">
        <f>IF(AND(ISNUMBER(AY40),ISNUMBER(AT40)),IFERROR(AY40/AT40-1,""),"")</f>
        <v>0.192592592592593</v>
      </c>
      <c r="AZ41" s="255">
        <f>IF(AND(ISNUMBER(AZ40),ISNUMBER(AU40)),IFERROR(AZ40/AU40-1,""),"")</f>
        <v>0.219424460431655</v>
      </c>
      <c r="BA41" s="255">
        <f>IF(AND(ISNUMBER(BA40),ISNUMBER(AV40)),IFERROR(BA40/AV40-1,""),"")</f>
        <v>0.120805369127517</v>
      </c>
      <c r="BB41" s="255">
        <f>IF(AND(ISNUMBER(BB40),ISNUMBER(AW40)),IFERROR(BB40/AW40-1,""),"")</f>
        <v>0.135313531353135</v>
      </c>
      <c r="BC41" s="255">
        <f>IF(AND(ISNUMBER(BC40),ISNUMBER(AX40)),IFERROR(BC40/AX40-1,""),"")</f>
        <v>0.165361183637946</v>
      </c>
      <c r="BD41" s="255">
        <f>IF(AND(ISNUMBER(BD40),ISNUMBER(AY40)),IFERROR(BD40/AY40-1,""),"")</f>
        <v>0.0590062111801242</v>
      </c>
      <c r="BE41" s="255">
        <f>IF(AND(ISNUMBER(BE40),ISNUMBER(AZ40)),IFERROR(BE40/AZ40-1,""),"")</f>
        <v>0.0265486725663717</v>
      </c>
      <c r="BF41" s="255">
        <f>IF(AND(ISNUMBER(BF40),ISNUMBER(BA40)),IFERROR(BF40/BA40-1,""),"")</f>
        <v>0.0598802395209581</v>
      </c>
      <c r="BG41" s="255">
        <f>IF(AND(ISNUMBER(BG40),ISNUMBER(BB40)),IFERROR(BG40/BB40-1,""),"")</f>
        <v>0.0465116279069768</v>
      </c>
      <c r="BH41" s="255">
        <f>IF(AND(ISNUMBER(BH40),ISNUMBER(BC40)),IFERROR(BH40/BC40-1,""),"")</f>
        <v>0.0477968633308439</v>
      </c>
      <c r="BI41" s="255">
        <f>IF(AND(ISNUMBER(BI40),ISNUMBER(BD40)),IFERROR(BI40/BD40-1,""),"")</f>
        <v>0.134897360703812</v>
      </c>
      <c r="BJ41" s="255">
        <f>IF(AND(ISNUMBER(BJ40),ISNUMBER(BE40)),IFERROR(BJ40/BE40-1,""),"")</f>
        <v>0.117816091954023</v>
      </c>
      <c r="BK41" s="255">
        <f>IF(AND(ISNUMBER(BK40),ISNUMBER(BF40)),IFERROR(BK40/BF40-1,""),"")</f>
        <v>0.175141242937853</v>
      </c>
      <c r="BL41" s="255">
        <f>IF(AND(ISNUMBER(BL40),ISNUMBER(BG40)),IFERROR(BL40/BG40-1,""),"")</f>
        <v>0.211111111111111</v>
      </c>
      <c r="BM41" s="255">
        <f>IF(AND(ISNUMBER(BM40),ISNUMBER(BH40)),IFERROR(BM40/BH40-1,""),"")</f>
        <v>0.160370634354954</v>
      </c>
      <c r="BN41" s="255">
        <f>IF(AND(ISNUMBER(BN40),ISNUMBER(BI40)),IFERROR(BN40/BI40-1,""),"")</f>
        <v>0.149870801033592</v>
      </c>
      <c r="BO41" s="255">
        <f>IF(AND(ISNUMBER(BO40),ISNUMBER(BJ40)),IFERROR(BO40/BJ40-1,""),"")</f>
        <v>0.146529562982005</v>
      </c>
      <c r="BP41" s="255">
        <f>IF(AND(ISNUMBER(BP40),ISNUMBER(BK40)),IFERROR(BP40/BK40-1,""),"")</f>
        <v>0.110576923076923</v>
      </c>
      <c r="BQ41" s="255">
        <f>IF(AND(ISNUMBER(BQ40),ISNUMBER(BL40)),IFERROR(BQ40/BL40-1,""),"")</f>
        <v>0.142201834862385</v>
      </c>
      <c r="BR41" s="255">
        <f>IF(AND(ISNUMBER(BR40),ISNUMBER(BM40)),IFERROR(BR40/BM40-1,""),"")</f>
        <v>0.136363636363636</v>
      </c>
      <c r="BS41" s="255">
        <f>IF(AND(ISNUMBER(BS40),ISNUMBER(BN40)),IFERROR(BS40/BN40-1,""),"")</f>
        <v>0.166292134831461</v>
      </c>
      <c r="BT41" s="255">
        <f>IF(AND(ISNUMBER(BT40),ISNUMBER(BO40)),IFERROR(BT40/BO40-1,""),"")</f>
        <v>0.197309417040359</v>
      </c>
      <c r="BU41" s="256">
        <f>IF(AND(ISNUMBER(BU40),ISNUMBER(BP40)),IFERROR(BU40/BP40-1,""),"")</f>
        <v>0.105247403569698</v>
      </c>
      <c r="BV41" s="256">
        <f>IF(AND(ISNUMBER(BV40),ISNUMBER(BQ40)),IFERROR(BV40/BQ40-1,""),"")</f>
        <v>0.106192606084852</v>
      </c>
      <c r="BW41" s="256">
        <f>IF(AND(ISNUMBER(BW40),ISNUMBER(BR40)),IFERROR(BW40/BR40-1,""),"")</f>
        <v>0.142977415286193</v>
      </c>
      <c r="BX41" s="256">
        <f>IF(AND(ISNUMBER(BX40),ISNUMBER(BW40)),IFERROR(BX40/BW40-1,""),"")</f>
        <v>0.087822033085355</v>
      </c>
      <c r="BY41" s="256">
        <f>IF(AND(ISNUMBER(BY40),ISNUMBER(BX40)),IFERROR(BY40/BX40-1,""),"")</f>
        <v>0.0814840771038512</v>
      </c>
      <c r="BZ41" s="256">
        <f>IF(AND(ISNUMBER(BZ40),ISNUMBER(BY40)),IFERROR(BZ40/BY40-1,""),"")</f>
        <v>0.0800919597379448</v>
      </c>
      <c r="CA41" s="256">
        <f>IF(AND(ISNUMBER(CA40),ISNUMBER(BZ40)),IFERROR(CA40/BZ40-1,""),"")</f>
        <v>0.0735220796775193</v>
      </c>
      <c r="CB41" s="256">
        <f>IF(AND(ISNUMBER(CB40),ISNUMBER(CA40)),IFERROR(CB40/CA40-1,""),"")</f>
        <v>0.0736345675461774</v>
      </c>
      <c r="CC41" s="153" t="n"/>
      <c r="CK41" s="25" t="inlineStr">
        <is>
          <t xml:space="preserve">  2027E</t>
        </is>
      </c>
      <c r="CL41" s="33">
        <f>CM41+$CL$40</f>
        <v>0.09</v>
      </c>
      <c r="CM41" s="42" t="n">
        <v>0.07000000000000001</v>
      </c>
      <c r="CN41" s="33">
        <f>CM41+$CN$40</f>
        <v>0.04</v>
      </c>
    </row>
    <row r="42" ht="15" customHeight="1" s="251">
      <c r="B42" s="25" t="inlineStr">
        <is>
          <t xml:space="preserve">  % of total revenue</t>
        </is>
      </c>
      <c r="C42" s="215">
        <f>IF(AND(ISNUMBER(C40),ISNUMBER(C138)),IFERROR(C40/C138,""),"")</f>
        <v>0.0750206100577082</v>
      </c>
      <c r="D42" s="215">
        <f>IF(AND(ISNUMBER(D40),ISNUMBER(D138)),IFERROR(D40/D138,""),"")</f>
        <v>0.0816894284269095</v>
      </c>
      <c r="E42" s="215">
        <f>IF(AND(ISNUMBER(E40),ISNUMBER(E138)),IFERROR(E40/E138,""),"")</f>
        <v>0.0871910112359551</v>
      </c>
      <c r="F42" s="215">
        <f>IF(AND(ISNUMBER(F40),ISNUMBER(F138)),IFERROR(F40/F138,""),"")</f>
        <v>0.0973751058425064</v>
      </c>
      <c r="G42" s="215">
        <f>IF(AND(ISNUMBER(G40),ISNUMBER(G138)),IFERROR(G40/G138,""),"")</f>
        <v>0.0984</v>
      </c>
      <c r="H42" s="215">
        <f>IF(AND(ISNUMBER(H40),ISNUMBER(H138)),IFERROR(H40/H138,""),"")</f>
        <v>0.103852596314908</v>
      </c>
      <c r="I42" s="215">
        <f>IF(AND(ISNUMBER(I40),ISNUMBER(I138)),IFERROR(I40/I138,""),"")</f>
        <v>0.104</v>
      </c>
      <c r="J42" s="215">
        <f>IF(AND(ISNUMBER(J40),ISNUMBER(J138)),IFERROR(J40/J138,""),"")</f>
        <v>0.101128205128205</v>
      </c>
      <c r="K42" s="215">
        <f>IF(AND(ISNUMBER(K40),ISNUMBER(K138)),IFERROR(K40/K138,""),"")</f>
        <v>0.11084142394822</v>
      </c>
      <c r="L42" s="215">
        <f>IF(AND(ISNUMBER(L40),ISNUMBER(L138)),IFERROR(L40/L138,""),"")</f>
        <v>0.0988112927191679</v>
      </c>
      <c r="M42" s="215">
        <f>IF(AND(ISNUMBER(M40),ISNUMBER(M138)),IFERROR(M40/M138,""),"")</f>
        <v>0.113222486144101</v>
      </c>
      <c r="N42" s="215">
        <f>IF(AND(ISNUMBER(N40),ISNUMBER(N138)),IFERROR(N40/N138,""),"")</f>
        <v>0.108527131782946</v>
      </c>
      <c r="O42" s="215">
        <f>IF(AND(ISNUMBER(O40),ISNUMBER(O138)),IFERROR(O40/O138,""),"")</f>
        <v>0.109285290041576</v>
      </c>
      <c r="P42" s="215">
        <f>IF(AND(ISNUMBER(P40),ISNUMBER(P138)),IFERROR(P40/P138,""),"")</f>
        <v>0.112333071484682</v>
      </c>
      <c r="Q42" s="215">
        <f>IF(AND(ISNUMBER(Q40),ISNUMBER(Q138)),IFERROR(Q40/Q138,""),"")</f>
        <v>0.110283159463487</v>
      </c>
      <c r="R42" s="215">
        <f>IF(AND(ISNUMBER(R40),ISNUMBER(R138)),IFERROR(R40/R138,""),"")</f>
        <v>0.117824773413897</v>
      </c>
      <c r="S42" s="215">
        <f>IF(AND(ISNUMBER(S40),ISNUMBER(S138)),IFERROR(S40/S138,""),"")</f>
        <v>0.109898107714702</v>
      </c>
      <c r="T42" s="215">
        <f>IF(AND(ISNUMBER(T40),ISNUMBER(T138)),IFERROR(T40/T138,""),"")</f>
        <v>0.112365894974591</v>
      </c>
      <c r="U42" s="215">
        <f>IF(AND(ISNUMBER(U40),ISNUMBER(U138)),IFERROR(U40/U138,""),"")</f>
        <v>0.112602535421327</v>
      </c>
      <c r="V42" s="215">
        <f>IF(AND(ISNUMBER(V40),ISNUMBER(V138)),IFERROR(V40/V138,""),"")</f>
        <v>0.103238866396761</v>
      </c>
      <c r="W42" s="215">
        <f>IF(AND(ISNUMBER(W40),ISNUMBER(W138)),IFERROR(W40/W138,""),"")</f>
        <v>0.113968033356498</v>
      </c>
      <c r="X42" s="215">
        <f>IF(AND(ISNUMBER(X40),ISNUMBER(X138)),IFERROR(X40/X138,""),"")</f>
        <v>0.122230164403145</v>
      </c>
      <c r="Y42" s="215">
        <f>IF(AND(ISNUMBER(Y40),ISNUMBER(Y138)),IFERROR(Y40/Y138,""),"")</f>
        <v>0.112877583465819</v>
      </c>
      <c r="Z42" s="215">
        <f>IF(AND(ISNUMBER(Z40),ISNUMBER(Z138)),IFERROR(Z40/Z138,""),"")</f>
        <v>0.117687543014453</v>
      </c>
      <c r="AA42" s="215">
        <f>IF(AND(ISNUMBER(AA40),ISNUMBER(AA138)),IFERROR(AA40/AA138,""),"")</f>
        <v>0.121935056328695</v>
      </c>
      <c r="AB42" s="215">
        <f>IF(AND(ISNUMBER(AB40),ISNUMBER(AB138)),IFERROR(AB40/AB138,""),"")</f>
        <v>0.123595505617978</v>
      </c>
      <c r="AC42" s="215">
        <f>IF(AND(ISNUMBER(AC40),ISNUMBER(AC138)),IFERROR(AC40/AC138,""),"")</f>
        <v>0.120201384518565</v>
      </c>
      <c r="AD42" s="215">
        <f>IF(AND(ISNUMBER(AD40),ISNUMBER(AD138)),IFERROR(AD40/AD138,""),"")</f>
        <v>0.120897245587993</v>
      </c>
      <c r="AE42" s="215">
        <f>IF(AND(ISNUMBER(AE40),ISNUMBER(AE138)),IFERROR(AE40/AE138,""),"")</f>
        <v>0.136566687938736</v>
      </c>
      <c r="AF42" s="215">
        <f>IF(AND(ISNUMBER(AF40),ISNUMBER(AF138)),IFERROR(AF40/AF138,""),"")</f>
        <v>0.129894344313238</v>
      </c>
      <c r="AG42" s="215">
        <f>IF(AND(ISNUMBER(AG40),ISNUMBER(AG138)),IFERROR(AG40/AG138,""),"")</f>
        <v>0.132600258732212</v>
      </c>
      <c r="AH42" s="215">
        <f>IF(AND(ISNUMBER(AH40),ISNUMBER(AH138)),IFERROR(AH40/AH138,""),"")</f>
        <v>0.139973958333333</v>
      </c>
      <c r="AI42" s="215">
        <f>IF(AND(ISNUMBER(AI40),ISNUMBER(AI138)),IFERROR(AI40/AI138,""),"")</f>
        <v>0.133748801534036</v>
      </c>
      <c r="AJ42" s="215">
        <f>IF(AND(ISNUMBER(AJ40),ISNUMBER(AJ138)),IFERROR(AJ40/AJ138,""),"")</f>
        <v>0.138128580521961</v>
      </c>
      <c r="AK42" s="215">
        <f>IF(AND(ISNUMBER(AK40),ISNUMBER(AK138)),IFERROR(AK40/AK138,""),"")</f>
        <v>0.137910798122066</v>
      </c>
      <c r="AL42" s="215">
        <f>IF(AND(ISNUMBER(AL40),ISNUMBER(AL138)),IFERROR(AL40/AL138,""),"")</f>
        <v>0.137359384251036</v>
      </c>
      <c r="AM42" s="215">
        <f>IF(AND(ISNUMBER(AM40),ISNUMBER(AM138)),IFERROR(AM40/AM138,""),"")</f>
        <v>0.134293948126801</v>
      </c>
      <c r="AN42" s="215">
        <f>IF(AND(ISNUMBER(AN40),ISNUMBER(AN138)),IFERROR(AN40/AN138,""),"")</f>
        <v>0.137035378414689</v>
      </c>
      <c r="AO42" s="215">
        <f>IF(AND(ISNUMBER(AO40),ISNUMBER(AO138)),IFERROR(AO40/AO138,""),"")</f>
        <v>0.14501679731243</v>
      </c>
      <c r="AP42" s="215">
        <f>IF(AND(ISNUMBER(AP40),ISNUMBER(AP138)),IFERROR(AP40/AP138,""),"")</f>
        <v>0.123520329387545</v>
      </c>
      <c r="AQ42" s="215">
        <f>IF(AND(ISNUMBER(AQ40),ISNUMBER(AQ138)),IFERROR(AQ40/AQ138,""),"")</f>
        <v>0.126760563380282</v>
      </c>
      <c r="AR42" s="215">
        <f>IF(AND(ISNUMBER(AR40),ISNUMBER(AR138)),IFERROR(AR40/AR138,""),"")</f>
        <v>0.137653990358865</v>
      </c>
      <c r="AS42" s="215">
        <f>IF(AND(ISNUMBER(AS40),ISNUMBER(AS138)),IFERROR(AS40/AS138,""),"")</f>
        <v>0.132894383230314</v>
      </c>
      <c r="AT42" s="215">
        <f>IF(AND(ISNUMBER(AT40),ISNUMBER(AT138)),IFERROR(AT40/AT138,""),"")</f>
        <v>0.133928571428571</v>
      </c>
      <c r="AU42" s="215">
        <f>IF(AND(ISNUMBER(AU40),ISNUMBER(AU138)),IFERROR(AU40/AU138,""),"")</f>
        <v>0.132003798670465</v>
      </c>
      <c r="AV42" s="215">
        <f>IF(AND(ISNUMBER(AV40),ISNUMBER(AV138)),IFERROR(AV40/AV138,""),"")</f>
        <v>0.142788691902252</v>
      </c>
      <c r="AW42" s="215">
        <f>IF(AND(ISNUMBER(AW40),ISNUMBER(AW138)),IFERROR(AW40/AW138,""),"")</f>
        <v>0.145114942528736</v>
      </c>
      <c r="AX42" s="215">
        <f>IF(AND(ISNUMBER(AX40),ISNUMBER(AX138)),IFERROR(AX40/AX138,""),"")</f>
        <v>0.138483789321441</v>
      </c>
      <c r="AY42" s="215">
        <f>IF(AND(ISNUMBER(AY40),ISNUMBER(AY138)),IFERROR(AY40/AY138,""),"")</f>
        <v>0.134784428631226</v>
      </c>
      <c r="AZ42" s="215">
        <f>IF(AND(ISNUMBER(AZ40),ISNUMBER(AZ138)),IFERROR(AZ40/AZ138,""),"")</f>
        <v>0.113264283327765</v>
      </c>
      <c r="BA42" s="215">
        <f>IF(AND(ISNUMBER(BA40),ISNUMBER(BA138)),IFERROR(BA40/BA138,""),"")</f>
        <v>0.11674239776302</v>
      </c>
      <c r="BB42" s="215">
        <f>IF(AND(ISNUMBER(BB40),ISNUMBER(BB138)),IFERROR(BB40/BB138,""),"")</f>
        <v>0.11712631937351</v>
      </c>
      <c r="BC42" s="215">
        <f>IF(AND(ISNUMBER(BC40),ISNUMBER(BC138)),IFERROR(BC40/BC138,""),"")</f>
        <v>0.119756730167248</v>
      </c>
      <c r="BD42" s="215">
        <f>IF(AND(ISNUMBER(BD40),ISNUMBER(BD138)),IFERROR(BD40/BD138,""),"")</f>
        <v>0.107911392405063</v>
      </c>
      <c r="BE42" s="215">
        <f>IF(AND(ISNUMBER(BE40),ISNUMBER(BE138)),IFERROR(BE40/BE138,""),"")</f>
        <v>0.112221863914866</v>
      </c>
      <c r="BF42" s="215">
        <f>IF(AND(ISNUMBER(BF40),ISNUMBER(BF138)),IFERROR(BF40/BF138,""),"")</f>
        <v>0.114785992217899</v>
      </c>
      <c r="BG42" s="215">
        <f>IF(AND(ISNUMBER(BG40),ISNUMBER(BG138)),IFERROR(BG40/BG138,""),"")</f>
        <v>0.114213197969543</v>
      </c>
      <c r="BH42" s="215">
        <f>IF(AND(ISNUMBER(BH40),ISNUMBER(BH138)),IFERROR(BH40/BH138,""),"")</f>
        <v>0.112266944066576</v>
      </c>
      <c r="BI42" s="215">
        <f>IF(AND(ISNUMBER(BI40),ISNUMBER(BI138)),IFERROR(BI40/BI138,""),"")</f>
        <v>0.110856488112289</v>
      </c>
      <c r="BJ42" s="215">
        <f>IF(AND(ISNUMBER(BJ40),ISNUMBER(BJ138)),IFERROR(BJ40/BJ138,""),"")</f>
        <v>0.109608340377571</v>
      </c>
      <c r="BK42" s="215">
        <f>IF(AND(ISNUMBER(BK40),ISNUMBER(BK138)),IFERROR(BK40/BK138,""),"")</f>
        <v>0.116363636363636</v>
      </c>
      <c r="BL42" s="215">
        <f>IF(AND(ISNUMBER(BL40),ISNUMBER(BL138)),IFERROR(BL40/BL138,""),"")</f>
        <v>0.121380846325167</v>
      </c>
      <c r="BM42" s="215">
        <f>IF(AND(ISNUMBER(BM40),ISNUMBER(BM138)),IFERROR(BM40/BM138,""),"")</f>
        <v>0.114583333333333</v>
      </c>
      <c r="BN42" s="215">
        <f>IF(AND(ISNUMBER(BN40),ISNUMBER(BN138)),IFERROR(BN40/BN138,""),"")</f>
        <v>0.132558832290736</v>
      </c>
      <c r="BO42" s="215">
        <f>IF(AND(ISNUMBER(BO40),ISNUMBER(BO138)),IFERROR(BO40/BO138,""),"")</f>
        <v>0.134458848356949</v>
      </c>
      <c r="BP42" s="215">
        <f>IF(AND(ISNUMBER(BP40),ISNUMBER(BP138)),IFERROR(BP40/BP138,""),"")</f>
        <v>0.134185303514377</v>
      </c>
      <c r="BQ42" s="215">
        <f>IF(AND(ISNUMBER(BQ40),ISNUMBER(BQ138)),IFERROR(BQ40/BQ138,""),"")</f>
        <v>0.143433179723502</v>
      </c>
      <c r="BR42" s="215">
        <f>IF(AND(ISNUMBER(BR40),ISNUMBER(BR138)),IFERROR(BR40/BR138,""),"")</f>
        <v>0.136139524615498</v>
      </c>
      <c r="BS42" s="215">
        <f>IF(AND(ISNUMBER(BS40),ISNUMBER(BS138)),IFERROR(BS40/BS138,""),"")</f>
        <v>0.139628732849072</v>
      </c>
      <c r="BT42" s="215">
        <f>IF(AND(ISNUMBER(BT40),ISNUMBER(BT138)),IFERROR(BT40/BT138,""),"")</f>
        <v>0.145187601957586</v>
      </c>
      <c r="BU42" s="256">
        <f>IF(AND(ISNUMBER(BU40),ISNUMBER(BU138)),IFERROR(BU40/BU138,""),"")</f>
        <v>0.143658334267879</v>
      </c>
      <c r="BV42" s="256">
        <f>IF(AND(ISNUMBER(BV40),ISNUMBER(BV138)),IFERROR(BV40/BV138,""),"")</f>
        <v>0.153998403594346</v>
      </c>
      <c r="BW42" s="256">
        <f>IF(AND(ISNUMBER(BW40),ISNUMBER(BW138)),IFERROR(BW40/BW138,""),"")</f>
        <v>0.145560712781396</v>
      </c>
      <c r="BX42" s="256">
        <f>IF(AND(ISNUMBER(BX40),ISNUMBER(BX138)),IFERROR(BX40/BX138,""),"")</f>
        <v>0.149110485608999</v>
      </c>
      <c r="BY42" s="256">
        <f>IF(AND(ISNUMBER(BY40),ISNUMBER(BY138)),IFERROR(BY40/BY138,""),"")</f>
        <v>0.150612802501569</v>
      </c>
      <c r="BZ42" s="256">
        <f>IF(AND(ISNUMBER(BZ40),ISNUMBER(BZ138)),IFERROR(BZ40/BZ138,""),"")</f>
        <v>0.152223828537088</v>
      </c>
      <c r="CA42" s="256">
        <f>IF(AND(ISNUMBER(CA40),ISNUMBER(CA138)),IFERROR(CA40/CA138,""),"")</f>
        <v>0.153350866542136</v>
      </c>
      <c r="CB42" s="256">
        <f>IF(AND(ISNUMBER(CB40),ISNUMBER(CB138)),IFERROR(CB40/CB138,""),"")</f>
        <v>0.154516352353247</v>
      </c>
      <c r="CC42" s="153" t="n"/>
      <c r="CE42" s="37">
        <f>IFERROR(AVERAGE(BX42,BY42,BZ42,CA42,CB42),"n/m")</f>
        <v>0.151962867108608</v>
      </c>
      <c r="CF42" s="37">
        <f>IFERROR(AVERAGE(AX42,BC42,BH42,BM42,BR42),"n/m")</f>
        <v>0.124246064300819</v>
      </c>
      <c r="CG42" s="37">
        <f>IFERROR(AVERAGE(Y42,AD42,AI42,AN42,AS42,AX42,BC42,BH42,BM42,BR42),"n/m")</f>
        <v>0.125868371373695</v>
      </c>
      <c r="CH42" s="37">
        <f>IFERROR(AVERAGE(C42,D42,E42,J42,O42,T42,Y42,AD42,AI42,AN42,AS42,AX42,BC42,BH42,BM42,BR42),"n/m")</f>
        <v>0.114085259600118</v>
      </c>
      <c r="CK42" s="25" t="inlineStr">
        <is>
          <t xml:space="preserve">  2028E</t>
        </is>
      </c>
      <c r="CL42" s="33">
        <f>CM42+$CL$40</f>
        <v>0.09</v>
      </c>
      <c r="CM42" s="42" t="n">
        <v>0.07000000000000001</v>
      </c>
      <c r="CN42" s="33">
        <f>CM42+$CN$40</f>
        <v>0.04</v>
      </c>
    </row>
    <row r="43" ht="15" customHeight="1" s="251">
      <c r="B43" s="156" t="inlineStr">
        <is>
          <t xml:space="preserve">  Memo: Indices (S&amp;P Dow Jones Indices) revenue as reported (segment exhibit; 2025+ adjusted as recast)</t>
        </is>
      </c>
      <c r="C43" s="253" t="n">
        <v>273</v>
      </c>
      <c r="D43" s="253" t="n">
        <v>323</v>
      </c>
      <c r="E43" s="253" t="n">
        <v>388</v>
      </c>
      <c r="F43" s="253" t="n">
        <v>115</v>
      </c>
      <c r="G43" s="253" t="n">
        <v>123</v>
      </c>
      <c r="H43" s="253" t="n">
        <v>124</v>
      </c>
      <c r="I43" s="253" t="n">
        <v>130</v>
      </c>
      <c r="J43" s="253" t="n">
        <v>493</v>
      </c>
      <c r="K43" s="253" t="n">
        <v>137</v>
      </c>
      <c r="L43" s="253" t="n">
        <v>133</v>
      </c>
      <c r="M43" s="253" t="n">
        <v>143</v>
      </c>
      <c r="N43" s="253" t="n">
        <v>140</v>
      </c>
      <c r="O43" s="253" t="n">
        <v>552</v>
      </c>
      <c r="P43" s="253" t="n">
        <v>143</v>
      </c>
      <c r="Q43" s="253" t="n">
        <v>148</v>
      </c>
      <c r="R43" s="253" t="n">
        <v>156</v>
      </c>
      <c r="S43" s="253" t="n">
        <v>151</v>
      </c>
      <c r="T43" s="253" t="n">
        <v>597</v>
      </c>
      <c r="U43" s="253" t="n">
        <v>151</v>
      </c>
      <c r="V43" s="253" t="n">
        <v>153</v>
      </c>
      <c r="W43" s="253" t="n">
        <v>164</v>
      </c>
      <c r="X43" s="253" t="n">
        <v>171</v>
      </c>
      <c r="Y43" s="253" t="n">
        <v>639</v>
      </c>
      <c r="Z43" s="253" t="n">
        <v>171</v>
      </c>
      <c r="AA43" s="253" t="n">
        <v>184</v>
      </c>
      <c r="AB43" s="253" t="n">
        <v>187</v>
      </c>
      <c r="AC43" s="253" t="n">
        <v>191</v>
      </c>
      <c r="AD43" s="253" t="n">
        <v>733</v>
      </c>
      <c r="AE43" s="253" t="n">
        <v>214</v>
      </c>
      <c r="AF43" s="253" t="n">
        <v>209</v>
      </c>
      <c r="AG43" s="253" t="n">
        <v>205</v>
      </c>
      <c r="AH43" s="253" t="n">
        <v>215</v>
      </c>
      <c r="AI43" s="253" t="n">
        <v>837</v>
      </c>
      <c r="AJ43" s="253" t="n">
        <v>217</v>
      </c>
      <c r="AK43" s="253" t="n">
        <v>235</v>
      </c>
      <c r="AL43" s="253" t="n">
        <v>232</v>
      </c>
      <c r="AM43" s="253" t="n">
        <v>233</v>
      </c>
      <c r="AN43" s="253" t="n">
        <v>918</v>
      </c>
      <c r="AO43" s="253" t="n">
        <v>259</v>
      </c>
      <c r="AP43" s="253" t="n">
        <v>240</v>
      </c>
      <c r="AQ43" s="253" t="n">
        <v>234</v>
      </c>
      <c r="AR43" s="253" t="n">
        <v>257</v>
      </c>
      <c r="AS43" s="253" t="n">
        <v>989</v>
      </c>
      <c r="AT43" s="253" t="n">
        <v>270</v>
      </c>
      <c r="AU43" s="253" t="n">
        <v>278</v>
      </c>
      <c r="AV43" s="253" t="n">
        <v>298</v>
      </c>
      <c r="AW43" s="253" t="n">
        <v>303</v>
      </c>
      <c r="AX43" s="253" t="n">
        <v>1149</v>
      </c>
      <c r="AY43" s="253" t="n">
        <v>322</v>
      </c>
      <c r="AZ43" s="253" t="n">
        <v>339</v>
      </c>
      <c r="BA43" s="253" t="n">
        <v>334</v>
      </c>
      <c r="BB43" s="253" t="n">
        <v>344</v>
      </c>
      <c r="BC43" s="253" t="n">
        <v>1339</v>
      </c>
      <c r="BD43" s="253" t="n">
        <v>341</v>
      </c>
      <c r="BE43" s="253" t="n">
        <v>348</v>
      </c>
      <c r="BF43" s="253" t="n">
        <v>354</v>
      </c>
      <c r="BG43" s="253" t="n">
        <v>360</v>
      </c>
      <c r="BH43" s="253" t="n">
        <v>1403</v>
      </c>
      <c r="BI43" s="253" t="n">
        <v>387</v>
      </c>
      <c r="BJ43" s="253" t="n">
        <v>389</v>
      </c>
      <c r="BK43" s="253" t="n">
        <v>416</v>
      </c>
      <c r="BL43" s="253" t="n">
        <v>436</v>
      </c>
      <c r="BM43" s="253" t="n">
        <v>1628</v>
      </c>
      <c r="BN43" s="253" t="n">
        <v>445</v>
      </c>
      <c r="BO43" s="253" t="n">
        <v>446</v>
      </c>
      <c r="BP43" s="253" t="n">
        <v>462</v>
      </c>
      <c r="BQ43" s="253" t="n">
        <v>498</v>
      </c>
      <c r="BR43" s="253" t="n">
        <v>1850</v>
      </c>
      <c r="BS43" s="253" t="n">
        <v>519</v>
      </c>
      <c r="BT43" s="253" t="n">
        <v>534</v>
      </c>
      <c r="BU43" s="153" t="n"/>
      <c r="BV43" s="153" t="n"/>
      <c r="BW43" s="153" t="n"/>
      <c r="BX43" s="153" t="n"/>
      <c r="BY43" s="153" t="n"/>
      <c r="BZ43" s="153" t="n"/>
      <c r="CA43" s="153" t="n"/>
      <c r="CB43" s="153" t="n"/>
      <c r="CC43" s="153" t="n"/>
      <c r="CK43" s="25" t="inlineStr">
        <is>
          <t xml:space="preserve">  2029E</t>
        </is>
      </c>
      <c r="CL43" s="33">
        <f>CM43+$CL$40</f>
        <v>0.08</v>
      </c>
      <c r="CM43" s="42" t="n">
        <v>0.06</v>
      </c>
      <c r="CN43" s="33">
        <f>CM43+$CN$40</f>
        <v>0.03</v>
      </c>
    </row>
    <row r="44" ht="15" customHeight="1" s="251">
      <c r="B44" s="57" t="inlineStr">
        <is>
          <t xml:space="preserve">  Check: revenue types vs division revenue (should be 0; ±1 rounding)</t>
        </is>
      </c>
      <c r="C44" s="211">
        <f>IF(AND(ISNUMBER(C30),ISNUMBER(C43)),IF(ABS(C40-C43)&lt;=1.01,0,ROUND(C40-C43,0)),"")</f>
      </c>
      <c r="D44" s="211">
        <f>IF(AND(ISNUMBER(D30),ISNUMBER(D43)),IF(ABS(D40-D43)&lt;=1.01,0,ROUND(D40-D43,0)),"")</f>
      </c>
      <c r="E44" s="211">
        <f>IF(AND(ISNUMBER(E30),ISNUMBER(E43)),IF(ABS(E40-E43)&lt;=1.01,0,ROUND(E40-E43,0)),"")</f>
      </c>
      <c r="F44" s="211">
        <f>IF(AND(ISNUMBER(F30),ISNUMBER(F43)),IF(ABS(F40-F43)&lt;=1.01,0,ROUND(F40-F43,0)),"")</f>
      </c>
      <c r="G44" s="211">
        <f>IF(AND(ISNUMBER(G30),ISNUMBER(G43)),IF(ABS(G40-G43)&lt;=1.01,0,ROUND(G40-G43,0)),"")</f>
      </c>
      <c r="H44" s="211">
        <f>IF(AND(ISNUMBER(H30),ISNUMBER(H43)),IF(ABS(H40-H43)&lt;=1.01,0,ROUND(H40-H43,0)),"")</f>
      </c>
      <c r="I44" s="211">
        <f>IF(AND(ISNUMBER(I30),ISNUMBER(I43)),IF(ABS(I40-I43)&lt;=1.01,0,ROUND(I40-I43,0)),"")</f>
      </c>
      <c r="J44" s="211">
        <f>IF(AND(ISNUMBER(J30),ISNUMBER(J43)),IF(ABS(J40-J43)&lt;=1.01,0,ROUND(J40-J43,0)),"")</f>
      </c>
      <c r="K44" s="211">
        <f>IF(AND(ISNUMBER(K30),ISNUMBER(K43)),IF(ABS(K40-K43)&lt;=1.01,0,ROUND(K40-K43,0)),"")</f>
      </c>
      <c r="L44" s="211">
        <f>IF(AND(ISNUMBER(L30),ISNUMBER(L43)),IF(ABS(L40-L43)&lt;=1.01,0,ROUND(L40-L43,0)),"")</f>
      </c>
      <c r="M44" s="211">
        <f>IF(AND(ISNUMBER(M30),ISNUMBER(M43)),IF(ABS(M40-M43)&lt;=1.01,0,ROUND(M40-M43,0)),"")</f>
      </c>
      <c r="N44" s="211">
        <f>IF(AND(ISNUMBER(N30),ISNUMBER(N43)),IF(ABS(N40-N43)&lt;=1.01,0,ROUND(N40-N43,0)),"")</f>
      </c>
      <c r="O44" s="211">
        <f>IF(AND(ISNUMBER(O30),ISNUMBER(O43)),IF(ABS(O40-O43)&lt;=1.01,0,ROUND(O40-O43,0)),"")</f>
      </c>
      <c r="P44" s="211">
        <f>IF(AND(ISNUMBER(P30),ISNUMBER(P43)),IF(ABS(P40-P43)&lt;=1.01,0,ROUND(P40-P43,0)),"")</f>
      </c>
      <c r="Q44" s="211">
        <f>IF(AND(ISNUMBER(Q30),ISNUMBER(Q43)),IF(ABS(Q40-Q43)&lt;=1.01,0,ROUND(Q40-Q43,0)),"")</f>
      </c>
      <c r="R44" s="211">
        <f>IF(AND(ISNUMBER(R30),ISNUMBER(R43)),IF(ABS(R40-R43)&lt;=1.01,0,ROUND(R40-R43,0)),"")</f>
      </c>
      <c r="S44" s="211">
        <f>IF(AND(ISNUMBER(S30),ISNUMBER(S43)),IF(ABS(S40-S43)&lt;=1.01,0,ROUND(S40-S43,0)),"")</f>
      </c>
      <c r="T44" s="211">
        <f>IF(AND(ISNUMBER(T30),ISNUMBER(T43)),IF(ABS(T40-T43)&lt;=1.01,0,ROUND(T40-T43,0)),"")</f>
      </c>
      <c r="U44" s="211">
        <f>IF(AND(ISNUMBER(U30),ISNUMBER(U43)),IF(ABS(U40-U43)&lt;=1.01,0,ROUND(U40-U43,0)),"")</f>
        <v>0</v>
      </c>
      <c r="V44" s="211">
        <f>IF(AND(ISNUMBER(V30),ISNUMBER(V43)),IF(ABS(V40-V43)&lt;=1.01,0,ROUND(V40-V43,0)),"")</f>
        <v>0</v>
      </c>
      <c r="W44" s="211">
        <f>IF(AND(ISNUMBER(W30),ISNUMBER(W43)),IF(ABS(W40-W43)&lt;=1.01,0,ROUND(W40-W43,0)),"")</f>
        <v>0</v>
      </c>
      <c r="X44" s="211">
        <f>IF(AND(ISNUMBER(X30),ISNUMBER(X43)),IF(ABS(X40-X43)&lt;=1.01,0,ROUND(X40-X43,0)),"")</f>
        <v>0</v>
      </c>
      <c r="Y44" s="211">
        <f>IF(AND(ISNUMBER(Y30),ISNUMBER(Y43)),IF(ABS(Y40-Y43)&lt;=1.01,0,ROUND(Y40-Y43,0)),"")</f>
        <v>0</v>
      </c>
      <c r="Z44" s="211">
        <f>IF(AND(ISNUMBER(Z30),ISNUMBER(Z43)),IF(ABS(Z40-Z43)&lt;=1.01,0,ROUND(Z40-Z43,0)),"")</f>
        <v>0</v>
      </c>
      <c r="AA44" s="211">
        <f>IF(AND(ISNUMBER(AA30),ISNUMBER(AA43)),IF(ABS(AA40-AA43)&lt;=1.01,0,ROUND(AA40-AA43,0)),"")</f>
        <v>0</v>
      </c>
      <c r="AB44" s="211">
        <f>IF(AND(ISNUMBER(AB30),ISNUMBER(AB43)),IF(ABS(AB40-AB43)&lt;=1.01,0,ROUND(AB40-AB43,0)),"")</f>
        <v>0</v>
      </c>
      <c r="AC44" s="211">
        <f>IF(AND(ISNUMBER(AC30),ISNUMBER(AC43)),IF(ABS(AC40-AC43)&lt;=1.01,0,ROUND(AC40-AC43,0)),"")</f>
        <v>0</v>
      </c>
      <c r="AD44" s="211">
        <f>IF(AND(ISNUMBER(AD30),ISNUMBER(AD43)),IF(ABS(AD40-AD43)&lt;=1.01,0,ROUND(AD40-AD43,0)),"")</f>
        <v>0</v>
      </c>
      <c r="AE44" s="211">
        <f>IF(AND(ISNUMBER(AE30),ISNUMBER(AE43)),IF(ABS(AE40-AE43)&lt;=1.01,0,ROUND(AE40-AE43,0)),"")</f>
        <v>0</v>
      </c>
      <c r="AF44" s="211">
        <f>IF(AND(ISNUMBER(AF30),ISNUMBER(AF43)),IF(ABS(AF40-AF43)&lt;=1.01,0,ROUND(AF40-AF43,0)),"")</f>
        <v>0</v>
      </c>
      <c r="AG44" s="211">
        <f>IF(AND(ISNUMBER(AG30),ISNUMBER(AG43)),IF(ABS(AG40-AG43)&lt;=1.01,0,ROUND(AG40-AG43,0)),"")</f>
        <v>0</v>
      </c>
      <c r="AH44" s="211">
        <f>IF(AND(ISNUMBER(AH30),ISNUMBER(AH43)),IF(ABS(AH40-AH43)&lt;=1.01,0,ROUND(AH40-AH43,0)),"")</f>
        <v>0</v>
      </c>
      <c r="AI44" s="211">
        <f>IF(AND(ISNUMBER(AI30),ISNUMBER(AI43)),IF(ABS(AI40-AI43)&lt;=1.01,0,ROUND(AI40-AI43,0)),"")</f>
        <v>0</v>
      </c>
      <c r="AJ44" s="211">
        <f>IF(AND(ISNUMBER(AJ30),ISNUMBER(AJ43)),IF(ABS(AJ40-AJ43)&lt;=1.01,0,ROUND(AJ40-AJ43,0)),"")</f>
        <v>0</v>
      </c>
      <c r="AK44" s="211">
        <f>IF(AND(ISNUMBER(AK30),ISNUMBER(AK43)),IF(ABS(AK40-AK43)&lt;=1.01,0,ROUND(AK40-AK43,0)),"")</f>
        <v>0</v>
      </c>
      <c r="AL44" s="211">
        <f>IF(AND(ISNUMBER(AL30),ISNUMBER(AL43)),IF(ABS(AL40-AL43)&lt;=1.01,0,ROUND(AL40-AL43,0)),"")</f>
        <v>0</v>
      </c>
      <c r="AM44" s="211">
        <f>IF(AND(ISNUMBER(AM30),ISNUMBER(AM43)),IF(ABS(AM40-AM43)&lt;=1.01,0,ROUND(AM40-AM43,0)),"")</f>
        <v>0</v>
      </c>
      <c r="AN44" s="211">
        <f>IF(AND(ISNUMBER(AN30),ISNUMBER(AN43)),IF(ABS(AN40-AN43)&lt;=1.01,0,ROUND(AN40-AN43,0)),"")</f>
        <v>0</v>
      </c>
      <c r="AO44" s="211">
        <f>IF(AND(ISNUMBER(AO30),ISNUMBER(AO43)),IF(ABS(AO40-AO43)&lt;=1.01,0,ROUND(AO40-AO43,0)),"")</f>
        <v>0</v>
      </c>
      <c r="AP44" s="211">
        <f>IF(AND(ISNUMBER(AP30),ISNUMBER(AP43)),IF(ABS(AP40-AP43)&lt;=1.01,0,ROUND(AP40-AP43,0)),"")</f>
        <v>0</v>
      </c>
      <c r="AQ44" s="211">
        <f>IF(AND(ISNUMBER(AQ30),ISNUMBER(AQ43)),IF(ABS(AQ40-AQ43)&lt;=1.01,0,ROUND(AQ40-AQ43,0)),"")</f>
        <v>0</v>
      </c>
      <c r="AR44" s="211">
        <f>IF(AND(ISNUMBER(AR30),ISNUMBER(AR43)),IF(ABS(AR40-AR43)&lt;=1.01,0,ROUND(AR40-AR43,0)),"")</f>
        <v>0</v>
      </c>
      <c r="AS44" s="211">
        <f>IF(AND(ISNUMBER(AS30),ISNUMBER(AS43)),IF(ABS(AS40-AS43)&lt;=1.01,0,ROUND(AS40-AS43,0)),"")</f>
        <v>0</v>
      </c>
      <c r="AT44" s="211">
        <f>IF(AND(ISNUMBER(AT30),ISNUMBER(AT43)),IF(ABS(AT40-AT43)&lt;=1.01,0,ROUND(AT40-AT43,0)),"")</f>
        <v>0</v>
      </c>
      <c r="AU44" s="211">
        <f>IF(AND(ISNUMBER(AU30),ISNUMBER(AU43)),IF(ABS(AU40-AU43)&lt;=1.01,0,ROUND(AU40-AU43,0)),"")</f>
        <v>0</v>
      </c>
      <c r="AV44" s="211">
        <f>IF(AND(ISNUMBER(AV30),ISNUMBER(AV43)),IF(ABS(AV40-AV43)&lt;=1.01,0,ROUND(AV40-AV43,0)),"")</f>
        <v>0</v>
      </c>
      <c r="AW44" s="211">
        <f>IF(AND(ISNUMBER(AW30),ISNUMBER(AW43)),IF(ABS(AW40-AW43)&lt;=1.01,0,ROUND(AW40-AW43,0)),"")</f>
        <v>0</v>
      </c>
      <c r="AX44" s="211">
        <f>IF(AND(ISNUMBER(AX30),ISNUMBER(AX43)),IF(ABS(AX40-AX43)&lt;=1.01,0,ROUND(AX40-AX43,0)),"")</f>
        <v>0</v>
      </c>
      <c r="AY44" s="211">
        <f>IF(AND(ISNUMBER(AY30),ISNUMBER(AY43)),IF(ABS(AY40-AY43)&lt;=1.01,0,ROUND(AY40-AY43,0)),"")</f>
      </c>
      <c r="AZ44" s="211">
        <f>IF(AND(ISNUMBER(AZ30),ISNUMBER(AZ43)),IF(ABS(AZ40-AZ43)&lt;=1.01,0,ROUND(AZ40-AZ43,0)),"")</f>
        <v>0</v>
      </c>
      <c r="BA44" s="211">
        <f>IF(AND(ISNUMBER(BA30),ISNUMBER(BA43)),IF(ABS(BA40-BA43)&lt;=1.01,0,ROUND(BA40-BA43,0)),"")</f>
        <v>0</v>
      </c>
      <c r="BB44" s="211">
        <f>IF(AND(ISNUMBER(BB30),ISNUMBER(BB43)),IF(ABS(BB40-BB43)&lt;=1.01,0,ROUND(BB40-BB43,0)),"")</f>
        <v>0</v>
      </c>
      <c r="BC44" s="211">
        <f>IF(AND(ISNUMBER(BC30),ISNUMBER(BC43)),IF(ABS(BC40-BC43)&lt;=1.01,0,ROUND(BC40-BC43,0)),"")</f>
      </c>
      <c r="BD44" s="211">
        <f>IF(AND(ISNUMBER(BD30),ISNUMBER(BD43)),IF(ABS(BD40-BD43)&lt;=1.01,0,ROUND(BD40-BD43,0)),"")</f>
        <v>0</v>
      </c>
      <c r="BE44" s="211">
        <f>IF(AND(ISNUMBER(BE30),ISNUMBER(BE43)),IF(ABS(BE40-BE43)&lt;=1.01,0,ROUND(BE40-BE43,0)),"")</f>
        <v>0</v>
      </c>
      <c r="BF44" s="211">
        <f>IF(AND(ISNUMBER(BF30),ISNUMBER(BF43)),IF(ABS(BF40-BF43)&lt;=1.01,0,ROUND(BF40-BF43,0)),"")</f>
        <v>0</v>
      </c>
      <c r="BG44" s="211">
        <f>IF(AND(ISNUMBER(BG30),ISNUMBER(BG43)),IF(ABS(BG40-BG43)&lt;=1.01,0,ROUND(BG40-BG43,0)),"")</f>
        <v>0</v>
      </c>
      <c r="BH44" s="211">
        <f>IF(AND(ISNUMBER(BH30),ISNUMBER(BH43)),IF(ABS(BH40-BH43)&lt;=1.01,0,ROUND(BH40-BH43,0)),"")</f>
        <v>0</v>
      </c>
      <c r="BI44" s="211">
        <f>IF(AND(ISNUMBER(BI30),ISNUMBER(BI43)),IF(ABS(BI40-BI43)&lt;=1.01,0,ROUND(BI40-BI43,0)),"")</f>
        <v>0</v>
      </c>
      <c r="BJ44" s="211">
        <f>IF(AND(ISNUMBER(BJ30),ISNUMBER(BJ43)),IF(ABS(BJ40-BJ43)&lt;=1.01,0,ROUND(BJ40-BJ43,0)),"")</f>
        <v>0</v>
      </c>
      <c r="BK44" s="211">
        <f>IF(AND(ISNUMBER(BK30),ISNUMBER(BK43)),IF(ABS(BK40-BK43)&lt;=1.01,0,ROUND(BK40-BK43,0)),"")</f>
        <v>0</v>
      </c>
      <c r="BL44" s="211">
        <f>IF(AND(ISNUMBER(BL30),ISNUMBER(BL43)),IF(ABS(BL40-BL43)&lt;=1.01,0,ROUND(BL40-BL43,0)),"")</f>
        <v>0</v>
      </c>
      <c r="BM44" s="211">
        <f>IF(AND(ISNUMBER(BM30),ISNUMBER(BM43)),IF(ABS(BM40-BM43)&lt;=1.01,0,ROUND(BM40-BM43,0)),"")</f>
        <v>0</v>
      </c>
      <c r="BN44" s="211">
        <f>IF(AND(ISNUMBER(BN30),ISNUMBER(BN43)),IF(ABS(BN40-BN43)&lt;=1.01,0,ROUND(BN40-BN43,0)),"")</f>
        <v>0</v>
      </c>
      <c r="BO44" s="211">
        <f>IF(AND(ISNUMBER(BO30),ISNUMBER(BO43)),IF(ABS(BO40-BO43)&lt;=1.01,0,ROUND(BO40-BO43,0)),"")</f>
        <v>0</v>
      </c>
      <c r="BP44" s="211">
        <f>IF(AND(ISNUMBER(BP30),ISNUMBER(BP43)),IF(ABS(BP40-BP43)&lt;=1.01,0,ROUND(BP40-BP43,0)),"")</f>
        <v>0</v>
      </c>
      <c r="BQ44" s="211">
        <f>IF(AND(ISNUMBER(BQ30),ISNUMBER(BQ43)),IF(ABS(BQ40-BQ43)&lt;=1.01,0,ROUND(BQ40-BQ43,0)),"")</f>
        <v>0</v>
      </c>
      <c r="BR44" s="211">
        <f>IF(AND(ISNUMBER(BR30),ISNUMBER(BR43)),IF(ABS(BR40-BR43)&lt;=1.01,0,ROUND(BR40-BR43,0)),"")</f>
        <v>0</v>
      </c>
      <c r="BS44" s="211">
        <f>IF(AND(ISNUMBER(BS30),ISNUMBER(BS43)),IF(ABS(BS40-BS43)&lt;=1.01,0,ROUND(BS40-BS43,0)),"")</f>
        <v>0</v>
      </c>
      <c r="BT44" s="211">
        <f>IF(AND(ISNUMBER(BT30),ISNUMBER(BT43)),IF(ABS(BT40-BT43)&lt;=1.01,0,ROUND(BT40-BT43,0)),"")</f>
        <v>0</v>
      </c>
      <c r="BU44" s="153" t="n"/>
      <c r="BV44" s="153" t="n"/>
      <c r="BW44" s="153" t="n"/>
      <c r="BX44" s="153" t="n"/>
      <c r="BY44" s="153" t="n"/>
      <c r="BZ44" s="153" t="n"/>
      <c r="CA44" s="153" t="n"/>
      <c r="CB44" s="153" t="n"/>
      <c r="CC44" s="153" t="n"/>
      <c r="CK44" s="25" t="inlineStr">
        <is>
          <t xml:space="preserve">  2030E</t>
        </is>
      </c>
      <c r="CL44" s="33">
        <f>CM44+$CL$40</f>
        <v>0.08</v>
      </c>
      <c r="CM44" s="42" t="n">
        <v>0.06</v>
      </c>
      <c r="CN44" s="33">
        <f>CM44+$CN$40</f>
        <v>0.03</v>
      </c>
    </row>
    <row r="45" ht="15" customHeight="1" s="251">
      <c r="B45" s="25" t="inlineStr">
        <is>
          <t xml:space="preserve">  Indices (S&amp;P Dow Jones Indices) — adjusted operating profit</t>
        </is>
      </c>
      <c r="C45" s="34" t="n"/>
      <c r="D45" s="253" t="n">
        <v>189</v>
      </c>
      <c r="E45" s="253" t="n">
        <v>234</v>
      </c>
      <c r="F45" s="253" t="n">
        <v>67</v>
      </c>
      <c r="G45" s="253" t="n">
        <v>80</v>
      </c>
      <c r="H45" s="253" t="n">
        <v>80</v>
      </c>
      <c r="I45" s="253" t="n">
        <v>50</v>
      </c>
      <c r="J45" s="253" t="n">
        <v>278</v>
      </c>
      <c r="K45" s="253" t="n">
        <v>91</v>
      </c>
      <c r="L45" s="253" t="n">
        <v>82</v>
      </c>
      <c r="M45" s="253" t="n">
        <v>91</v>
      </c>
      <c r="N45" s="253" t="n">
        <v>87</v>
      </c>
      <c r="O45" s="253" t="n">
        <v>351</v>
      </c>
      <c r="P45" s="253" t="n">
        <v>95</v>
      </c>
      <c r="Q45" s="253" t="n">
        <v>96</v>
      </c>
      <c r="R45" s="253" t="n">
        <v>106</v>
      </c>
      <c r="S45" s="253" t="n">
        <v>94</v>
      </c>
      <c r="T45" s="253" t="n">
        <v>392</v>
      </c>
      <c r="U45" s="253" t="n">
        <v>102</v>
      </c>
      <c r="V45" s="253" t="n">
        <v>101</v>
      </c>
      <c r="W45" s="253" t="n">
        <v>108</v>
      </c>
      <c r="X45" s="253" t="n">
        <v>105</v>
      </c>
      <c r="Y45" s="253" t="n">
        <v>417</v>
      </c>
      <c r="Z45" s="253" t="n">
        <v>116</v>
      </c>
      <c r="AA45" s="253" t="n">
        <v>120</v>
      </c>
      <c r="AB45" s="253" t="n">
        <v>120</v>
      </c>
      <c r="AC45" s="253" t="n">
        <v>122</v>
      </c>
      <c r="AD45" s="253" t="n">
        <v>478</v>
      </c>
      <c r="AE45" s="253" t="n">
        <v>149</v>
      </c>
      <c r="AF45" s="253" t="n">
        <v>138</v>
      </c>
      <c r="AG45" s="253" t="n">
        <v>136</v>
      </c>
      <c r="AH45" s="253" t="n">
        <v>144</v>
      </c>
      <c r="AI45" s="253" t="n">
        <v>568</v>
      </c>
      <c r="AJ45" s="253" t="n">
        <v>151</v>
      </c>
      <c r="AK45" s="253" t="n">
        <v>164</v>
      </c>
      <c r="AL45" s="253" t="n">
        <v>163</v>
      </c>
      <c r="AM45" s="253" t="n">
        <v>158</v>
      </c>
      <c r="AN45" s="253" t="n">
        <v>635</v>
      </c>
      <c r="AO45" s="253" t="n">
        <v>183</v>
      </c>
      <c r="AP45" s="253" t="n">
        <v>172</v>
      </c>
      <c r="AQ45" s="253" t="n">
        <v>153</v>
      </c>
      <c r="AR45" s="253" t="n">
        <v>176</v>
      </c>
      <c r="AS45" s="253" t="n">
        <v>684</v>
      </c>
      <c r="AT45" s="253" t="n">
        <v>192</v>
      </c>
      <c r="AU45" s="253" t="n">
        <v>198</v>
      </c>
      <c r="AV45" s="253" t="n">
        <v>214</v>
      </c>
      <c r="AW45" s="253" t="n">
        <v>199</v>
      </c>
      <c r="AX45" s="253" t="n">
        <v>803</v>
      </c>
      <c r="AY45" s="253" t="n">
        <v>230</v>
      </c>
      <c r="AZ45" s="253" t="n">
        <v>243</v>
      </c>
      <c r="BA45" s="253" t="n">
        <v>234</v>
      </c>
      <c r="BB45" s="253" t="n">
        <v>214</v>
      </c>
      <c r="BC45" s="253" t="n">
        <v>921</v>
      </c>
      <c r="BD45" s="253" t="n">
        <v>245</v>
      </c>
      <c r="BE45" s="253" t="n">
        <v>238</v>
      </c>
      <c r="BF45" s="253" t="n">
        <v>246</v>
      </c>
      <c r="BG45" s="253" t="n">
        <v>238</v>
      </c>
      <c r="BH45" s="253" t="n">
        <v>967</v>
      </c>
      <c r="BI45" s="253" t="n">
        <v>282</v>
      </c>
      <c r="BJ45" s="253" t="n">
        <v>275</v>
      </c>
      <c r="BK45" s="253" t="n">
        <v>292</v>
      </c>
      <c r="BL45" s="253" t="n">
        <v>296</v>
      </c>
      <c r="BM45" s="253" t="n">
        <v>1145</v>
      </c>
      <c r="BN45" s="253" t="n">
        <v>321</v>
      </c>
      <c r="BO45" s="253" t="n">
        <v>315</v>
      </c>
      <c r="BP45" s="253" t="n">
        <v>325</v>
      </c>
      <c r="BQ45" s="253" t="n">
        <v>340</v>
      </c>
      <c r="BR45" s="253" t="n">
        <v>1301</v>
      </c>
      <c r="BS45" s="253" t="n">
        <v>379</v>
      </c>
      <c r="BT45" s="253" t="n">
        <v>382</v>
      </c>
      <c r="BU45" s="254">
        <f>BU40*BU46</f>
        <v>350.775483128315</v>
      </c>
      <c r="BV45" s="254">
        <f>BV40*BV46</f>
        <v>367.010914927797</v>
      </c>
      <c r="BW45" s="254">
        <f>SUM(BS45:BV45)</f>
        <v>1478.78639805611</v>
      </c>
      <c r="BX45" s="254">
        <f>BX40*BX46</f>
        <v>1644.64916972388</v>
      </c>
      <c r="BY45" s="254">
        <f>BY40*BY46</f>
        <v>1791.10008450977</v>
      </c>
      <c r="BZ45" s="254">
        <f>BZ40*BZ46</f>
        <v>1934.55280036495</v>
      </c>
      <c r="CA45" s="254">
        <f>CA40*CA46</f>
        <v>2091.20726455968</v>
      </c>
      <c r="CB45" s="254">
        <f>CB40*CB46</f>
        <v>2245.19240713496</v>
      </c>
      <c r="CC45" s="19" t="n"/>
      <c r="CE45" s="20">
        <f>IFERROR((CB45/BW45)^(1/5)-1,"n/m")</f>
        <v>0.0871003198340545</v>
      </c>
      <c r="CF45" s="20">
        <f>IFERROR((BR45/AS45)^(1/5)-1,"n/m")</f>
        <v>0.137219345509616</v>
      </c>
      <c r="CG45" s="20">
        <f>IFERROR((BR45/T45)^(1/10)-1,"n/m")</f>
        <v>0.127454755998684</v>
      </c>
      <c r="CH45" s="20" t="str">
        <f>IFERROR((BR45/C45)^(1/15)-1,"n/m")</f>
        <v>n/m</v>
      </c>
      <c r="CK45" s="25" t="inlineStr">
        <is>
          <t xml:space="preserve">  2031E</t>
        </is>
      </c>
      <c r="CL45" s="33">
        <f>CM45+$CL$40</f>
        <v>0.08</v>
      </c>
      <c r="CM45" s="42" t="n">
        <v>0.06</v>
      </c>
      <c r="CN45" s="33">
        <f>CM45+$CN$40</f>
        <v>0.03</v>
      </c>
    </row>
    <row r="46" ht="15" customHeight="1" s="251">
      <c r="B46" s="25" t="inlineStr">
        <is>
          <t xml:space="preserve">  Adjusted operating margin %</t>
        </is>
      </c>
      <c r="C46" s="215">
        <f>IF(AND(ISNUMBER(C45),ISNUMBER(C40)),IFERROR(C45/C40,""),"")</f>
      </c>
      <c r="D46" s="215">
        <f>IF(AND(ISNUMBER(D45),ISNUMBER(D40)),IFERROR(D45/D40,""),"")</f>
        <v>0.585139318885449</v>
      </c>
      <c r="E46" s="215">
        <f>IF(AND(ISNUMBER(E45),ISNUMBER(E40)),IFERROR(E45/E40,""),"")</f>
        <v>0.603092783505155</v>
      </c>
      <c r="F46" s="215">
        <f>IF(AND(ISNUMBER(F45),ISNUMBER(F40)),IFERROR(F45/F40,""),"")</f>
        <v>0.582608695652174</v>
      </c>
      <c r="G46" s="215">
        <f>IF(AND(ISNUMBER(G45),ISNUMBER(G40)),IFERROR(G45/G40,""),"")</f>
        <v>0.650406504065041</v>
      </c>
      <c r="H46" s="215">
        <f>IF(AND(ISNUMBER(H45),ISNUMBER(H40)),IFERROR(H45/H40,""),"")</f>
        <v>0.645161290322581</v>
      </c>
      <c r="I46" s="215">
        <f>IF(AND(ISNUMBER(I45),ISNUMBER(I40)),IFERROR(I45/I40,""),"")</f>
        <v>0.384615384615385</v>
      </c>
      <c r="J46" s="215">
        <f>IF(AND(ISNUMBER(J45),ISNUMBER(J40)),IFERROR(J45/J40,""),"")</f>
        <v>0.563894523326572</v>
      </c>
      <c r="K46" s="215">
        <f>IF(AND(ISNUMBER(K45),ISNUMBER(K40)),IFERROR(K45/K40,""),"")</f>
        <v>0.664233576642336</v>
      </c>
      <c r="L46" s="215">
        <f>IF(AND(ISNUMBER(L45),ISNUMBER(L40)),IFERROR(L45/L40,""),"")</f>
        <v>0.616541353383459</v>
      </c>
      <c r="M46" s="215">
        <f>IF(AND(ISNUMBER(M45),ISNUMBER(M40)),IFERROR(M45/M40,""),"")</f>
        <v>0.636363636363636</v>
      </c>
      <c r="N46" s="215">
        <f>IF(AND(ISNUMBER(N45),ISNUMBER(N40)),IFERROR(N45/N40,""),"")</f>
        <v>0.621428571428571</v>
      </c>
      <c r="O46" s="215">
        <f>IF(AND(ISNUMBER(O45),ISNUMBER(O40)),IFERROR(O45/O40,""),"")</f>
        <v>0.635869565217391</v>
      </c>
      <c r="P46" s="215">
        <f>IF(AND(ISNUMBER(P45),ISNUMBER(P40)),IFERROR(P45/P40,""),"")</f>
        <v>0.664335664335664</v>
      </c>
      <c r="Q46" s="215">
        <f>IF(AND(ISNUMBER(Q45),ISNUMBER(Q40)),IFERROR(Q45/Q40,""),"")</f>
        <v>0.648648648648649</v>
      </c>
      <c r="R46" s="215">
        <f>IF(AND(ISNUMBER(R45),ISNUMBER(R40)),IFERROR(R45/R40,""),"")</f>
        <v>0.67948717948718</v>
      </c>
      <c r="S46" s="215">
        <f>IF(AND(ISNUMBER(S45),ISNUMBER(S40)),IFERROR(S45/S40,""),"")</f>
        <v>0.622516556291391</v>
      </c>
      <c r="T46" s="215">
        <f>IF(AND(ISNUMBER(T45),ISNUMBER(T40)),IFERROR(T45/T40,""),"")</f>
        <v>0.656616415410385</v>
      </c>
      <c r="U46" s="215">
        <f>IF(AND(ISNUMBER(U45),ISNUMBER(U40)),IFERROR(U45/U40,""),"")</f>
        <v>0.675496688741722</v>
      </c>
      <c r="V46" s="215">
        <f>IF(AND(ISNUMBER(V45),ISNUMBER(V40)),IFERROR(V45/V40,""),"")</f>
        <v>0.660130718954248</v>
      </c>
      <c r="W46" s="215">
        <f>IF(AND(ISNUMBER(W45),ISNUMBER(W40)),IFERROR(W45/W40,""),"")</f>
        <v>0.658536585365854</v>
      </c>
      <c r="X46" s="215">
        <f>IF(AND(ISNUMBER(X45),ISNUMBER(X40)),IFERROR(X45/X40,""),"")</f>
        <v>0.614035087719298</v>
      </c>
      <c r="Y46" s="215">
        <f>IF(AND(ISNUMBER(Y45),ISNUMBER(Y40)),IFERROR(Y45/Y40,""),"")</f>
        <v>0.652582159624413</v>
      </c>
      <c r="Z46" s="215">
        <f>IF(AND(ISNUMBER(Z45),ISNUMBER(Z40)),IFERROR(Z45/Z40,""),"")</f>
        <v>0.678362573099415</v>
      </c>
      <c r="AA46" s="215">
        <f>IF(AND(ISNUMBER(AA45),ISNUMBER(AA40)),IFERROR(AA45/AA40,""),"")</f>
        <v>0.652173913043478</v>
      </c>
      <c r="AB46" s="215">
        <f>IF(AND(ISNUMBER(AB45),ISNUMBER(AB40)),IFERROR(AB45/AB40,""),"")</f>
        <v>0.641711229946524</v>
      </c>
      <c r="AC46" s="215">
        <f>IF(AND(ISNUMBER(AC45),ISNUMBER(AC40)),IFERROR(AC45/AC40,""),"")</f>
        <v>0.638743455497382</v>
      </c>
      <c r="AD46" s="215">
        <f>IF(AND(ISNUMBER(AD45),ISNUMBER(AD40)),IFERROR(AD45/AD40,""),"")</f>
        <v>0.652114597544338</v>
      </c>
      <c r="AE46" s="215">
        <f>IF(AND(ISNUMBER(AE45),ISNUMBER(AE40)),IFERROR(AE45/AE40,""),"")</f>
        <v>0.696261682242991</v>
      </c>
      <c r="AF46" s="215">
        <f>IF(AND(ISNUMBER(AF45),ISNUMBER(AF40)),IFERROR(AF45/AF40,""),"")</f>
        <v>0.660287081339713</v>
      </c>
      <c r="AG46" s="215">
        <f>IF(AND(ISNUMBER(AG45),ISNUMBER(AG40)),IFERROR(AG45/AG40,""),"")</f>
        <v>0.663414634146342</v>
      </c>
      <c r="AH46" s="215">
        <f>IF(AND(ISNUMBER(AH45),ISNUMBER(AH40)),IFERROR(AH45/AH40,""),"")</f>
        <v>0.669767441860465</v>
      </c>
      <c r="AI46" s="215">
        <f>IF(AND(ISNUMBER(AI45),ISNUMBER(AI40)),IFERROR(AI45/AI40,""),"")</f>
        <v>0.678614097968937</v>
      </c>
      <c r="AJ46" s="215">
        <f>IF(AND(ISNUMBER(AJ45),ISNUMBER(AJ40)),IFERROR(AJ45/AJ40,""),"")</f>
        <v>0.695852534562212</v>
      </c>
      <c r="AK46" s="215">
        <f>IF(AND(ISNUMBER(AK45),ISNUMBER(AK40)),IFERROR(AK45/AK40,""),"")</f>
        <v>0.697872340425532</v>
      </c>
      <c r="AL46" s="215">
        <f>IF(AND(ISNUMBER(AL45),ISNUMBER(AL40)),IFERROR(AL45/AL40,""),"")</f>
        <v>0.702586206896552</v>
      </c>
      <c r="AM46" s="215">
        <f>IF(AND(ISNUMBER(AM45),ISNUMBER(AM40)),IFERROR(AM45/AM40,""),"")</f>
        <v>0.678111587982833</v>
      </c>
      <c r="AN46" s="215">
        <f>IF(AND(ISNUMBER(AN45),ISNUMBER(AN40)),IFERROR(AN45/AN40,""),"")</f>
        <v>0.691721132897604</v>
      </c>
      <c r="AO46" s="215">
        <f>IF(AND(ISNUMBER(AO45),ISNUMBER(AO40)),IFERROR(AO45/AO40,""),"")</f>
        <v>0.706563706563707</v>
      </c>
      <c r="AP46" s="215">
        <f>IF(AND(ISNUMBER(AP45),ISNUMBER(AP40)),IFERROR(AP45/AP40,""),"")</f>
        <v>0.716666666666667</v>
      </c>
      <c r="AQ46" s="215">
        <f>IF(AND(ISNUMBER(AQ45),ISNUMBER(AQ40)),IFERROR(AQ45/AQ40,""),"")</f>
        <v>0.653846153846154</v>
      </c>
      <c r="AR46" s="215">
        <f>IF(AND(ISNUMBER(AR45),ISNUMBER(AR40)),IFERROR(AR45/AR40,""),"")</f>
        <v>0.684824902723735</v>
      </c>
      <c r="AS46" s="215">
        <f>IF(AND(ISNUMBER(AS45),ISNUMBER(AS40)),IFERROR(AS45/AS40,""),"")</f>
        <v>0.691607684529828</v>
      </c>
      <c r="AT46" s="215">
        <f>IF(AND(ISNUMBER(AT45),ISNUMBER(AT40)),IFERROR(AT45/AT40,""),"")</f>
        <v>0.711111111111111</v>
      </c>
      <c r="AU46" s="215">
        <f>IF(AND(ISNUMBER(AU45),ISNUMBER(AU40)),IFERROR(AU45/AU40,""),"")</f>
        <v>0.712230215827338</v>
      </c>
      <c r="AV46" s="215">
        <f>IF(AND(ISNUMBER(AV45),ISNUMBER(AV40)),IFERROR(AV45/AV40,""),"")</f>
        <v>0.718120805369128</v>
      </c>
      <c r="AW46" s="215">
        <f>IF(AND(ISNUMBER(AW45),ISNUMBER(AW40)),IFERROR(AW45/AW40,""),"")</f>
        <v>0.656765676567657</v>
      </c>
      <c r="AX46" s="215">
        <f>IF(AND(ISNUMBER(AX45),ISNUMBER(AX40)),IFERROR(AX45/AX40,""),"")</f>
        <v>0.698868581375109</v>
      </c>
      <c r="AY46" s="215">
        <f>IF(AND(ISNUMBER(AY45),ISNUMBER(AY40)),IFERROR(AY45/AY40,""),"")</f>
        <v>0.714285714285714</v>
      </c>
      <c r="AZ46" s="215">
        <f>IF(AND(ISNUMBER(AZ45),ISNUMBER(AZ40)),IFERROR(AZ45/AZ40,""),"")</f>
        <v>0.716814159292035</v>
      </c>
      <c r="BA46" s="215">
        <f>IF(AND(ISNUMBER(BA45),ISNUMBER(BA40)),IFERROR(BA45/BA40,""),"")</f>
        <v>0.70059880239521</v>
      </c>
      <c r="BB46" s="215">
        <f>IF(AND(ISNUMBER(BB45),ISNUMBER(BB40)),IFERROR(BB45/BB40,""),"")</f>
        <v>0.622093023255814</v>
      </c>
      <c r="BC46" s="215">
        <f>IF(AND(ISNUMBER(BC45),ISNUMBER(BC40)),IFERROR(BC45/BC40,""),"")</f>
        <v>0.687826736370426</v>
      </c>
      <c r="BD46" s="215">
        <f>IF(AND(ISNUMBER(BD45),ISNUMBER(BD40)),IFERROR(BD45/BD40,""),"")</f>
        <v>0.718475073313783</v>
      </c>
      <c r="BE46" s="215">
        <f>IF(AND(ISNUMBER(BE45),ISNUMBER(BE40)),IFERROR(BE45/BE40,""),"")</f>
        <v>0.683908045977012</v>
      </c>
      <c r="BF46" s="215">
        <f>IF(AND(ISNUMBER(BF45),ISNUMBER(BF40)),IFERROR(BF45/BF40,""),"")</f>
        <v>0.694915254237288</v>
      </c>
      <c r="BG46" s="215">
        <f>IF(AND(ISNUMBER(BG45),ISNUMBER(BG40)),IFERROR(BG45/BG40,""),"")</f>
        <v>0.661111111111111</v>
      </c>
      <c r="BH46" s="215">
        <f>IF(AND(ISNUMBER(BH45),ISNUMBER(BH40)),IFERROR(BH45/BH40,""),"")</f>
        <v>0.689237348538845</v>
      </c>
      <c r="BI46" s="215">
        <f>IF(AND(ISNUMBER(BI45),ISNUMBER(BI40)),IFERROR(BI45/BI40,""),"")</f>
        <v>0.728682170542636</v>
      </c>
      <c r="BJ46" s="215">
        <f>IF(AND(ISNUMBER(BJ45),ISNUMBER(BJ40)),IFERROR(BJ45/BJ40,""),"")</f>
        <v>0.70694087403599</v>
      </c>
      <c r="BK46" s="215">
        <f>IF(AND(ISNUMBER(BK45),ISNUMBER(BK40)),IFERROR(BK45/BK40,""),"")</f>
        <v>0.701923076923077</v>
      </c>
      <c r="BL46" s="215">
        <f>IF(AND(ISNUMBER(BL45),ISNUMBER(BL40)),IFERROR(BL45/BL40,""),"")</f>
        <v>0.678899082568807</v>
      </c>
      <c r="BM46" s="215">
        <f>IF(AND(ISNUMBER(BM45),ISNUMBER(BM40)),IFERROR(BM45/BM40,""),"")</f>
        <v>0.703316953316953</v>
      </c>
      <c r="BN46" s="215">
        <f>IF(AND(ISNUMBER(BN45),ISNUMBER(BN40)),IFERROR(BN45/BN40,""),"")</f>
        <v>0.721348314606742</v>
      </c>
      <c r="BO46" s="215">
        <f>IF(AND(ISNUMBER(BO45),ISNUMBER(BO40)),IFERROR(BO45/BO40,""),"")</f>
        <v>0.70627802690583</v>
      </c>
      <c r="BP46" s="215">
        <f>IF(AND(ISNUMBER(BP45),ISNUMBER(BP40)),IFERROR(BP45/BP40,""),"")</f>
        <v>0.703463203463204</v>
      </c>
      <c r="BQ46" s="215">
        <f>IF(AND(ISNUMBER(BQ45),ISNUMBER(BQ40)),IFERROR(BQ45/BQ40,""),"")</f>
        <v>0.682730923694779</v>
      </c>
      <c r="BR46" s="215">
        <f>IF(AND(ISNUMBER(BR45),ISNUMBER(BR40)),IFERROR(BR45/BR40,""),"")</f>
        <v>0.703243243243243</v>
      </c>
      <c r="BS46" s="215">
        <f>IF(AND(ISNUMBER(BS45),ISNUMBER(BS40)),IFERROR(BS45/BS40,""),"")</f>
        <v>0.730250481695568</v>
      </c>
      <c r="BT46" s="215">
        <f>IF(AND(ISNUMBER(BT45),ISNUMBER(BT40)),IFERROR(BT45/BT40,""),"")</f>
        <v>0.715355805243446</v>
      </c>
      <c r="BU46" s="256">
        <f>BU47+$BW$159</f>
        <v>0.686954151652663</v>
      </c>
      <c r="BV46" s="256">
        <f>BV47+$BW$159</f>
        <v>0.666221871884239</v>
      </c>
      <c r="BW46" s="256">
        <f>IF(AND(ISNUMBER(BW45),ISNUMBER(BW40)),IFERROR(BW45/BW40,""),"")</f>
        <v>0.699352400370133</v>
      </c>
      <c r="BX46" s="256">
        <f>CHOOSE(MATCH($CC$2,{"Bull","Base","Bear"},0),$CL$83,$CM$83,$CN$83)</f>
        <v>0.715</v>
      </c>
      <c r="BY46" s="256">
        <f>CHOOSE(MATCH($CC$2,{"Bull","Base","Bear"},0),$CL$84,$CM$84,$CN$84)</f>
        <v>0.72</v>
      </c>
      <c r="BZ46" s="256">
        <f>CHOOSE(MATCH($CC$2,{"Bull","Base","Bear"},0),$CL$85,$CM$85,$CN$85)</f>
        <v>0.72</v>
      </c>
      <c r="CA46" s="256">
        <f>CHOOSE(MATCH($CC$2,{"Bull","Base","Bear"},0),$CL$86,$CM$86,$CN$86)</f>
        <v>0.725</v>
      </c>
      <c r="CB46" s="256">
        <f>CHOOSE(MATCH($CC$2,{"Bull","Base","Bear"},0),$CL$87,$CM$87,$CN$87)</f>
        <v>0.725</v>
      </c>
      <c r="CC46" s="153" t="n"/>
      <c r="CE46" s="37">
        <f>IFERROR(AVERAGE(BX46,BY46,BZ46,CA46,CB46),"n/m")</f>
        <v>0.721</v>
      </c>
      <c r="CF46" s="37">
        <f>IFERROR(AVERAGE(AX46,BC46,BH46,BM46,BR46),"n/m")</f>
        <v>0.696498572568915</v>
      </c>
      <c r="CG46" s="37">
        <f>IFERROR(AVERAGE(Y46,AD46,AI46,AN46,AS46,AX46,BC46,BH46,BM46,BR46),"n/m")</f>
        <v>0.68491325354097</v>
      </c>
      <c r="CH46" s="37">
        <f>IFERROR(AVERAGE(C46,D46,E46,J46,O46,T46,Y46,AD46,AI46,AN46,AS46,AX46,BC46,BH46,BM46,BR46),"n/m")</f>
        <v>0.65958300945031</v>
      </c>
      <c r="CK46" s="15" t="inlineStr">
        <is>
          <t>IDX_ALF (Indices asset-linked fees y/y)</t>
        </is>
      </c>
      <c r="CL46" s="41" t="n">
        <v>0.05</v>
      </c>
      <c r="CM46" s="21" t="inlineStr">
        <is>
          <t>Δ →</t>
        </is>
      </c>
      <c r="CN46" s="41" t="n">
        <v>-0.12</v>
      </c>
      <c r="CO46" s="13" t="inlineStr">
        <is>
          <t>1H-26 +20% (equity-market levels and ETF inflows); market-driven (Bear = equity drawdown).</t>
        </is>
      </c>
    </row>
    <row r="47" ht="15" customHeight="1" s="251">
      <c r="B47" s="25" t="inlineStr">
        <is>
          <t xml:space="preserve">  Q3–Q4/26E margin before EPS calibration (prior-year quarter + 1H-26 y/y drift)</t>
        </is>
      </c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  <c r="AX47" s="36" t="n"/>
      <c r="AY47" s="36" t="n"/>
      <c r="AZ47" s="36" t="n"/>
      <c r="BA47" s="36" t="n"/>
      <c r="BB47" s="36" t="n"/>
      <c r="BC47" s="36" t="n"/>
      <c r="BD47" s="36" t="n"/>
      <c r="BE47" s="36" t="n"/>
      <c r="BF47" s="36" t="n"/>
      <c r="BG47" s="36" t="n"/>
      <c r="BH47" s="36" t="n"/>
      <c r="BI47" s="36" t="n"/>
      <c r="BJ47" s="36" t="n"/>
      <c r="BK47" s="36" t="n"/>
      <c r="BL47" s="36" t="n"/>
      <c r="BM47" s="36" t="n"/>
      <c r="BN47" s="36" t="n"/>
      <c r="BO47" s="36" t="n"/>
      <c r="BP47" s="36" t="n"/>
      <c r="BQ47" s="36" t="n"/>
      <c r="BR47" s="36" t="n"/>
      <c r="BS47" s="36" t="n"/>
      <c r="BT47" s="36" t="n"/>
      <c r="BU47" s="256">
        <f>BP46+IFERROR(SUM(BS45:BT45)/SUM(BS40:BT40)-SUM(BN45:BO45)/SUM(BN40:BO40),0)</f>
        <v>0.712355545688879</v>
      </c>
      <c r="BV47" s="256">
        <f>BQ46+IFERROR(SUM(BS45:BT45)/SUM(BS40:BT40)-SUM(BN45:BO45)/SUM(BN40:BO40),0)</f>
        <v>0.691623265920455</v>
      </c>
      <c r="BW47" s="24" t="n"/>
      <c r="BX47" s="46" t="n"/>
      <c r="BY47" s="46" t="n"/>
      <c r="BZ47" s="46" t="n"/>
      <c r="CA47" s="46" t="n"/>
      <c r="CB47" s="46" t="n"/>
      <c r="CC47" s="19" t="n"/>
      <c r="CK47" s="25" t="inlineStr">
        <is>
          <t xml:space="preserve">  2027E</t>
        </is>
      </c>
      <c r="CL47" s="33">
        <f>CM47+$CL$46</f>
        <v>0.15</v>
      </c>
      <c r="CM47" s="42" t="n">
        <v>0.1</v>
      </c>
      <c r="CN47" s="33">
        <f>CM47+$CN$46</f>
        <v>-0.02</v>
      </c>
    </row>
    <row r="48" ht="15" customHeight="1" s="251">
      <c r="B48" s="25" t="inlineStr">
        <is>
          <t xml:space="preserve">  Incremental adjusted margin (Δ adjusted OP / Δ revenue)</t>
        </is>
      </c>
      <c r="C48" s="36" t="n"/>
      <c r="D48" s="215">
        <f>IFERROR((D45-C45)/(D40-C40),"")</f>
        <v>3.78</v>
      </c>
      <c r="E48" s="215">
        <f>IFERROR((E45-D45)/(E40-D40),"")</f>
        <v>0.692307692307692</v>
      </c>
      <c r="F48" s="36" t="n"/>
      <c r="G48" s="36" t="n"/>
      <c r="H48" s="36" t="n"/>
      <c r="I48" s="36" t="n"/>
      <c r="J48" s="215">
        <f>IFERROR((J45-E45)/(J40-E40),"")</f>
        <v>0.419047619047619</v>
      </c>
      <c r="K48" s="215">
        <f>IFERROR((K45-F45)/(K40-F40),"")</f>
        <v>1.09090909090909</v>
      </c>
      <c r="L48" s="215">
        <f>IFERROR((L45-G45)/(L40-G40),"")</f>
        <v>0.2</v>
      </c>
      <c r="M48" s="215">
        <f>IFERROR((M45-H45)/(M40-H40),"")</f>
        <v>0.578947368421053</v>
      </c>
      <c r="N48" s="215">
        <f>IFERROR((N45-I45)/(N40-I40),"")</f>
        <v>3.7</v>
      </c>
      <c r="O48" s="215">
        <f>IFERROR((O45-J45)/(O40-J40),"")</f>
        <v>1.23728813559322</v>
      </c>
      <c r="P48" s="215">
        <f>IFERROR((P45-K45)/(P40-K40),"")</f>
        <v>0.666666666666667</v>
      </c>
      <c r="Q48" s="215">
        <f>IFERROR((Q45-L45)/(Q40-L40),"")</f>
        <v>0.933333333333333</v>
      </c>
      <c r="R48" s="215">
        <f>IFERROR((R45-M45)/(R40-M40),"")</f>
        <v>1.15384615384615</v>
      </c>
      <c r="S48" s="215">
        <f>IFERROR((S45-N45)/(S40-N40),"")</f>
        <v>0.636363636363636</v>
      </c>
      <c r="T48" s="215">
        <f>IFERROR((T45-O45)/(T40-O40),"")</f>
        <v>0.911111111111111</v>
      </c>
      <c r="U48" s="215">
        <f>IFERROR((U45-P45)/(U40-P40),"")</f>
        <v>0.875</v>
      </c>
      <c r="V48" s="215">
        <f>IFERROR((V45-Q45)/(V40-Q40),"")</f>
        <v>1</v>
      </c>
      <c r="W48" s="215">
        <f>IFERROR((W45-R45)/(W40-R40),"")</f>
        <v>0.25</v>
      </c>
      <c r="X48" s="215">
        <f>IFERROR((X45-S45)/(X40-S40),"")</f>
        <v>0.55</v>
      </c>
      <c r="Y48" s="215">
        <f>IFERROR((Y45-T45)/(Y40-T40),"")</f>
        <v>0.595238095238095</v>
      </c>
      <c r="Z48" s="215">
        <f>IFERROR((Z45-U45)/(Z40-U40),"")</f>
        <v>0.7</v>
      </c>
      <c r="AA48" s="215">
        <f>IFERROR((AA45-V45)/(AA40-V40),"")</f>
        <v>0.612903225806452</v>
      </c>
      <c r="AB48" s="215">
        <f>IFERROR((AB45-W45)/(AB40-W40),"")</f>
        <v>0.521739130434783</v>
      </c>
      <c r="AC48" s="215">
        <f>IFERROR((AC45-X45)/(AC40-X40),"")</f>
        <v>0.85</v>
      </c>
      <c r="AD48" s="215">
        <f>IFERROR((AD45-Y45)/(AD40-Y40),"")</f>
        <v>0.648936170212766</v>
      </c>
      <c r="AE48" s="215">
        <f>IFERROR((AE45-Z45)/(AE40-Z40),"")</f>
        <v>0.767441860465116</v>
      </c>
      <c r="AF48" s="215">
        <f>IFERROR((AF45-AA45)/(AF40-AA40),"")</f>
        <v>0.72</v>
      </c>
      <c r="AG48" s="215">
        <f>IFERROR((AG45-AB45)/(AG40-AB40),"")</f>
        <v>0.888888888888889</v>
      </c>
      <c r="AH48" s="215">
        <f>IFERROR((AH45-AC45)/(AH40-AC40),"")</f>
        <v>0.916666666666667</v>
      </c>
      <c r="AI48" s="215">
        <f>IFERROR((AI45-AD45)/(AI40-AD40),"")</f>
        <v>0.865384615384615</v>
      </c>
      <c r="AJ48" s="215">
        <f>IFERROR((AJ45-AE45)/(AJ40-AE40),"")</f>
        <v>0.666666666666667</v>
      </c>
      <c r="AK48" s="215">
        <f>IFERROR((AK45-AF45)/(AK40-AF40),"")</f>
        <v>1</v>
      </c>
      <c r="AL48" s="215">
        <f>IFERROR((AL45-AG45)/(AL40-AG40),"")</f>
        <v>1</v>
      </c>
      <c r="AM48" s="215">
        <f>IFERROR((AM45-AH45)/(AM40-AH40),"")</f>
        <v>0.777777777777778</v>
      </c>
      <c r="AN48" s="215">
        <f>IFERROR((AN45-AI45)/(AN40-AI40),"")</f>
        <v>0.827160493827161</v>
      </c>
      <c r="AO48" s="215">
        <f>IFERROR((AO45-AJ45)/(AO40-AJ40),"")</f>
        <v>0.761904761904762</v>
      </c>
      <c r="AP48" s="215">
        <f>IFERROR((AP45-AK45)/(AP40-AK40),"")</f>
        <v>1.6</v>
      </c>
      <c r="AQ48" s="215">
        <f>IFERROR((AQ45-AL45)/(AQ40-AL40),"")</f>
        <v>-5</v>
      </c>
      <c r="AR48" s="215">
        <f>IFERROR((AR45-AM45)/(AR40-AM40),"")</f>
        <v>0.75</v>
      </c>
      <c r="AS48" s="215">
        <f>IFERROR((AS45-AN45)/(AS40-AN40),"")</f>
        <v>0.690140845070423</v>
      </c>
      <c r="AT48" s="215">
        <f>IFERROR((AT45-AO45)/(AT40-AO40),"")</f>
        <v>0.818181818181818</v>
      </c>
      <c r="AU48" s="215">
        <f>IFERROR((AU45-AP45)/(AU40-AP40),"")</f>
        <v>0.68421052631579</v>
      </c>
      <c r="AV48" s="215">
        <f>IFERROR((AV45-AQ45)/(AV40-AQ40),"")</f>
        <v>0.953125</v>
      </c>
      <c r="AW48" s="215">
        <f>IFERROR((AW45-AR45)/(AW40-AR40),"")</f>
        <v>0.5</v>
      </c>
      <c r="AX48" s="215">
        <f>IFERROR((AX45-AS45)/(AX40-AS40),"")</f>
        <v>0.74375</v>
      </c>
      <c r="AY48" s="215">
        <f>IFERROR((AY45-AT45)/(AY40-AT40),"")</f>
        <v>0.730769230769231</v>
      </c>
      <c r="AZ48" s="215">
        <f>IFERROR((AZ45-AU45)/(AZ40-AU40),"")</f>
        <v>0.737704918032787</v>
      </c>
      <c r="BA48" s="215">
        <f>IFERROR((BA45-AV45)/(BA40-AV40),"")</f>
        <v>0.555555555555556</v>
      </c>
      <c r="BB48" s="215">
        <f>IFERROR((BB45-AW45)/(BB40-AW40),"")</f>
        <v>0.365853658536585</v>
      </c>
      <c r="BC48" s="215">
        <f>IFERROR((BC45-AX45)/(BC40-AX40),"")</f>
        <v>0.621052631578947</v>
      </c>
      <c r="BD48" s="215">
        <f>IFERROR((BD45-AY45)/(BD40-AY40),"")</f>
        <v>0.789473684210526</v>
      </c>
      <c r="BE48" s="215">
        <f>IFERROR((BE45-AZ45)/(BE40-AZ40),"")</f>
        <v>-0.555555555555556</v>
      </c>
      <c r="BF48" s="215">
        <f>IFERROR((BF45-BA45)/(BF40-BA40),"")</f>
        <v>0.6</v>
      </c>
      <c r="BG48" s="215">
        <f>IFERROR((BG45-BB45)/(BG40-BB40),"")</f>
        <v>1.5</v>
      </c>
      <c r="BH48" s="215">
        <f>IFERROR((BH45-BC45)/(BH40-BC40),"")</f>
        <v>0.71875</v>
      </c>
      <c r="BI48" s="215">
        <f>IFERROR((BI45-BD45)/(BI40-BD40),"")</f>
        <v>0.804347826086957</v>
      </c>
      <c r="BJ48" s="215">
        <f>IFERROR((BJ45-BE45)/(BJ40-BE40),"")</f>
        <v>0.902439024390244</v>
      </c>
      <c r="BK48" s="215">
        <f>IFERROR((BK45-BF45)/(BK40-BF40),"")</f>
        <v>0.741935483870968</v>
      </c>
      <c r="BL48" s="215">
        <f>IFERROR((BL45-BG45)/(BL40-BG40),"")</f>
        <v>0.763157894736842</v>
      </c>
      <c r="BM48" s="215">
        <f>IFERROR((BM45-BH45)/(BM40-BH40),"")</f>
        <v>0.791111111111111</v>
      </c>
      <c r="BN48" s="215">
        <f>IFERROR((BN45-BI45)/(BN40-BI40),"")</f>
        <v>0.672413793103448</v>
      </c>
      <c r="BO48" s="215">
        <f>IFERROR((BO45-BJ45)/(BO40-BJ40),"")</f>
        <v>0.701754385964912</v>
      </c>
      <c r="BP48" s="215">
        <f>IFERROR((BP45-BK45)/(BP40-BK40),"")</f>
        <v>0.717391304347826</v>
      </c>
      <c r="BQ48" s="215">
        <f>IFERROR((BQ45-BL45)/(BQ40-BL40),"")</f>
        <v>0.709677419354839</v>
      </c>
      <c r="BR48" s="215">
        <f>IFERROR((BR45-BM45)/(BR40-BM40),"")</f>
        <v>0.702702702702703</v>
      </c>
      <c r="BS48" s="215">
        <f>IFERROR((BS45-BN45)/(BS40-BN40),"")</f>
        <v>0.783783783783784</v>
      </c>
      <c r="BT48" s="215">
        <f>IFERROR((BT45-BO45)/(BT40-BO40),"")</f>
        <v>0.761363636363636</v>
      </c>
      <c r="BU48" s="256">
        <f>IFERROR((BU45-BP45)/(BU40-BP40),"")</f>
        <v>0.530094682909497</v>
      </c>
      <c r="BV48" s="256">
        <f>IFERROR((BV45-BQ45)/(BV40-BQ40),"")</f>
        <v>0.510758582873807</v>
      </c>
      <c r="BW48" s="256">
        <f>IFERROR((BW45-BR45)/(BW40-BR40),"")</f>
        <v>0.672139411064642</v>
      </c>
      <c r="BX48" s="256">
        <f>IFERROR((BX45-BW45)/(BX40-BW40),"")</f>
        <v>0.893173962502767</v>
      </c>
      <c r="BY48" s="256">
        <f>IFERROR((BY45-BX45)/(BY40-BX40),"")</f>
        <v>0.781361681664842</v>
      </c>
      <c r="BZ48" s="256">
        <f>IFERROR((BZ45-BY45)/(BZ40-BY40),"")</f>
        <v>0.72</v>
      </c>
      <c r="CA48" s="256">
        <f>IFERROR((CA45-BZ45)/(CA40-BZ40),"")</f>
        <v>0.793006781390446</v>
      </c>
      <c r="CB48" s="256">
        <f>IFERROR((CB45-CA45)/(CB40-CA40),"")</f>
        <v>0.725</v>
      </c>
      <c r="CC48" s="153" t="n"/>
      <c r="CK48" s="25" t="inlineStr">
        <is>
          <t xml:space="preserve">  2028E</t>
        </is>
      </c>
      <c r="CL48" s="33">
        <f>CM48+$CL$46</f>
        <v>0.14</v>
      </c>
      <c r="CM48" s="42" t="n">
        <v>0.09</v>
      </c>
      <c r="CN48" s="33">
        <f>CM48+$CN$46</f>
        <v>-0.03</v>
      </c>
    </row>
    <row r="49" ht="15" customHeight="1" s="251">
      <c r="B49" s="156" t="inlineStr">
        <is>
          <t xml:space="preserve">  Memo: Indices (S&amp;P Dow Jones Indices) — operating profit (GAAP, as reported)</t>
        </is>
      </c>
      <c r="C49" s="253" t="n">
        <v>144</v>
      </c>
      <c r="D49" s="253" t="n">
        <v>189</v>
      </c>
      <c r="E49" s="253" t="n">
        <v>212</v>
      </c>
      <c r="F49" s="253" t="n">
        <v>67</v>
      </c>
      <c r="G49" s="253" t="n">
        <v>80</v>
      </c>
      <c r="H49" s="253" t="n">
        <v>80</v>
      </c>
      <c r="I49" s="253" t="n">
        <v>50</v>
      </c>
      <c r="J49" s="253" t="n">
        <v>278</v>
      </c>
      <c r="K49" s="253" t="n">
        <v>91</v>
      </c>
      <c r="L49" s="253" t="n">
        <v>82</v>
      </c>
      <c r="M49" s="253" t="n">
        <v>86</v>
      </c>
      <c r="N49" s="253" t="n">
        <v>87</v>
      </c>
      <c r="O49" s="253" t="n">
        <v>347</v>
      </c>
      <c r="P49" s="253" t="n">
        <v>95</v>
      </c>
      <c r="Q49" s="253" t="n">
        <v>96</v>
      </c>
      <c r="R49" s="253" t="n">
        <v>106</v>
      </c>
      <c r="S49" s="253" t="n">
        <v>94</v>
      </c>
      <c r="T49" s="253" t="n">
        <v>392</v>
      </c>
      <c r="U49" s="253" t="n">
        <v>101</v>
      </c>
      <c r="V49" s="253" t="n">
        <v>100</v>
      </c>
      <c r="W49" s="253" t="n">
        <v>107</v>
      </c>
      <c r="X49" s="253" t="n">
        <v>104</v>
      </c>
      <c r="Y49" s="253" t="n">
        <v>412</v>
      </c>
      <c r="Z49" s="253" t="n">
        <v>115</v>
      </c>
      <c r="AA49" s="253" t="n">
        <v>119</v>
      </c>
      <c r="AB49" s="253" t="n">
        <v>119</v>
      </c>
      <c r="AC49" s="253" t="n">
        <v>119</v>
      </c>
      <c r="AD49" s="253" t="n">
        <v>471</v>
      </c>
      <c r="AE49" s="253" t="n">
        <v>147</v>
      </c>
      <c r="AF49" s="253" t="n">
        <v>136</v>
      </c>
      <c r="AG49" s="253" t="n">
        <v>134</v>
      </c>
      <c r="AH49" s="253" t="n">
        <v>143</v>
      </c>
      <c r="AI49" s="253" t="n">
        <v>563</v>
      </c>
      <c r="AJ49" s="253" t="n">
        <v>149</v>
      </c>
      <c r="AK49" s="253" t="n">
        <v>162</v>
      </c>
      <c r="AL49" s="253" t="n">
        <v>161</v>
      </c>
      <c r="AM49" s="253" t="n">
        <v>157</v>
      </c>
      <c r="AN49" s="253" t="n">
        <v>630</v>
      </c>
      <c r="AO49" s="253" t="n">
        <v>182</v>
      </c>
      <c r="AP49" s="253" t="n">
        <v>171</v>
      </c>
      <c r="AQ49" s="253" t="n">
        <v>151</v>
      </c>
      <c r="AR49" s="253" t="n">
        <v>163</v>
      </c>
      <c r="AS49" s="253" t="n">
        <v>666</v>
      </c>
      <c r="AT49" s="253" t="n">
        <v>191</v>
      </c>
      <c r="AU49" s="253" t="n">
        <v>196</v>
      </c>
      <c r="AV49" s="253" t="n">
        <v>213</v>
      </c>
      <c r="AW49" s="253" t="n">
        <v>199</v>
      </c>
      <c r="AX49" s="253" t="n">
        <v>798</v>
      </c>
      <c r="AY49" s="253" t="n">
        <v>224</v>
      </c>
      <c r="AZ49" s="253" t="n">
        <v>270</v>
      </c>
      <c r="BA49" s="253" t="n">
        <v>239</v>
      </c>
      <c r="BB49" s="253" t="n">
        <v>195</v>
      </c>
      <c r="BC49" s="253" t="n">
        <v>927</v>
      </c>
      <c r="BD49" s="253" t="n">
        <v>238</v>
      </c>
      <c r="BE49" s="253" t="n">
        <v>226</v>
      </c>
      <c r="BF49" s="253" t="n">
        <v>235</v>
      </c>
      <c r="BG49" s="253" t="n">
        <v>227</v>
      </c>
      <c r="BH49" s="253" t="n">
        <v>925</v>
      </c>
      <c r="BI49" s="253" t="n">
        <v>272</v>
      </c>
      <c r="BJ49" s="253" t="n">
        <v>263</v>
      </c>
      <c r="BK49" s="253" t="n">
        <v>282</v>
      </c>
      <c r="BL49" s="253" t="n">
        <v>287</v>
      </c>
      <c r="BM49" s="253" t="n">
        <v>1103</v>
      </c>
      <c r="BN49" s="34" t="n"/>
      <c r="BO49" s="34" t="n"/>
      <c r="BP49" s="34" t="n"/>
      <c r="BQ49" s="34" t="n"/>
      <c r="BR49" s="34" t="n"/>
      <c r="BS49" s="34" t="n"/>
      <c r="BT49" s="34" t="n"/>
      <c r="BU49" s="153" t="n"/>
      <c r="BV49" s="153" t="n"/>
      <c r="BW49" s="153" t="n"/>
      <c r="BX49" s="153" t="n"/>
      <c r="BY49" s="153" t="n"/>
      <c r="BZ49" s="153" t="n"/>
      <c r="CA49" s="153" t="n"/>
      <c r="CB49" s="153" t="n"/>
      <c r="CC49" s="153" t="n"/>
      <c r="CK49" s="25" t="inlineStr">
        <is>
          <t xml:space="preserve">  2029E</t>
        </is>
      </c>
      <c r="CL49" s="33">
        <f>CM49+$CL$46</f>
        <v>0.14</v>
      </c>
      <c r="CM49" s="42" t="n">
        <v>0.09</v>
      </c>
      <c r="CN49" s="33">
        <f>CM49+$CN$46</f>
        <v>-0.03</v>
      </c>
    </row>
    <row r="50" ht="15" customHeight="1" s="251">
      <c r="CK50" s="25" t="inlineStr">
        <is>
          <t xml:space="preserve">  2030E</t>
        </is>
      </c>
      <c r="CL50" s="33">
        <f>CM50+$CL$46</f>
        <v>0.13</v>
      </c>
      <c r="CM50" s="42" t="n">
        <v>0.08</v>
      </c>
      <c r="CN50" s="33">
        <f>CM50+$CN$46</f>
        <v>-0.04</v>
      </c>
    </row>
    <row r="51" ht="15" customHeight="1" s="251">
      <c r="B51" s="14" t="inlineStr">
        <is>
          <t>S&amp;P Global Energy — Commodities &amp; Commercial 2010–15 (incl. J.D. Power, Aviation Week, McGraw-Hill Construction while owned); Platts 2018–21; Commodity Insights 2022–25; Energy (recast with 451 Research and Maritime &amp; Trade) from 2025</t>
        </is>
      </c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  <c r="BA51" s="14" t="n"/>
      <c r="BB51" s="14" t="n"/>
      <c r="BC51" s="14" t="n"/>
      <c r="BD51" s="14" t="n"/>
      <c r="BE51" s="14" t="n"/>
      <c r="BF51" s="14" t="n"/>
      <c r="BG51" s="14" t="n"/>
      <c r="BH51" s="14" t="n"/>
      <c r="BI51" s="14" t="n"/>
      <c r="BJ51" s="14" t="n"/>
      <c r="BK51" s="14" t="n"/>
      <c r="BL51" s="14" t="n"/>
      <c r="BM51" s="14" t="n"/>
      <c r="BN51" s="14" t="n"/>
      <c r="BO51" s="14" t="n"/>
      <c r="BP51" s="14" t="n"/>
      <c r="BQ51" s="14" t="n"/>
      <c r="BR51" s="14" t="n"/>
      <c r="BS51" s="14" t="n"/>
      <c r="BT51" s="14" t="n"/>
      <c r="BU51" s="14" t="n"/>
      <c r="BV51" s="14" t="n"/>
      <c r="BW51" s="14" t="n"/>
      <c r="BX51" s="14" t="n"/>
      <c r="BY51" s="14" t="n"/>
      <c r="BZ51" s="14" t="n"/>
      <c r="CA51" s="14" t="n"/>
      <c r="CB51" s="14" t="n"/>
      <c r="CC51" s="15" t="inlineStr">
        <is>
          <t>ENERGY (COMMODITY INSIGHTS / PLATTS) — modelling logic</t>
        </is>
      </c>
      <c r="CK51" s="25" t="inlineStr">
        <is>
          <t xml:space="preserve">  2031E</t>
        </is>
      </c>
      <c r="CL51" s="33">
        <f>CM51+$CL$46</f>
        <v>0.13</v>
      </c>
      <c r="CM51" s="42" t="n">
        <v>0.08</v>
      </c>
      <c r="CN51" s="33">
        <f>CM51+$CN$46</f>
        <v>-0.04</v>
      </c>
    </row>
    <row r="52" ht="15" customHeight="1" s="251">
      <c r="B52" s="25" t="inlineStr">
        <is>
          <t xml:space="preserve">  Subscription</t>
        </is>
      </c>
      <c r="C52" s="34" t="n"/>
      <c r="D52" s="253" t="n">
        <v>562</v>
      </c>
      <c r="E52" s="253" t="n">
        <v>622</v>
      </c>
      <c r="F52" s="253" t="n">
        <v>163</v>
      </c>
      <c r="G52" s="253" t="n">
        <v>161</v>
      </c>
      <c r="H52" s="253" t="n">
        <v>164</v>
      </c>
      <c r="I52" s="253" t="n">
        <v>168</v>
      </c>
      <c r="J52" s="253" t="n">
        <v>656</v>
      </c>
      <c r="K52" s="253" t="n">
        <v>173</v>
      </c>
      <c r="L52" s="253" t="n">
        <v>173</v>
      </c>
      <c r="M52" s="253" t="n">
        <v>145</v>
      </c>
      <c r="N52" s="253" t="n">
        <v>148</v>
      </c>
      <c r="O52" s="253" t="n">
        <v>576</v>
      </c>
      <c r="P52" s="253" t="n">
        <v>149</v>
      </c>
      <c r="Q52" s="253" t="n">
        <v>154</v>
      </c>
      <c r="R52" s="253" t="n">
        <v>165</v>
      </c>
      <c r="S52" s="253" t="n">
        <v>172</v>
      </c>
      <c r="T52" s="253" t="n">
        <v>641</v>
      </c>
      <c r="U52" s="253" t="n">
        <v>172</v>
      </c>
      <c r="V52" s="253" t="n">
        <v>175</v>
      </c>
      <c r="W52" s="253" t="n">
        <v>172</v>
      </c>
      <c r="X52" s="34" t="n"/>
      <c r="Y52" s="34" t="n"/>
      <c r="Z52" s="34" t="n"/>
      <c r="AA52" s="34" t="n"/>
      <c r="AB52" s="34" t="n"/>
      <c r="AC52" s="34" t="n"/>
      <c r="AD52" s="34" t="n"/>
      <c r="AE52" s="253" t="n">
        <v>181</v>
      </c>
      <c r="AF52" s="253" t="n">
        <v>188</v>
      </c>
      <c r="AG52" s="253" t="n">
        <v>188</v>
      </c>
      <c r="AH52" s="253" t="n">
        <v>193</v>
      </c>
      <c r="AI52" s="253" t="n">
        <v>750</v>
      </c>
      <c r="AJ52" s="253" t="n">
        <v>191</v>
      </c>
      <c r="AK52" s="253" t="n">
        <v>195</v>
      </c>
      <c r="AL52" s="253" t="n">
        <v>194</v>
      </c>
      <c r="AM52" s="253" t="n">
        <v>195</v>
      </c>
      <c r="AN52" s="253" t="n">
        <v>774</v>
      </c>
      <c r="AO52" s="253" t="n">
        <v>197</v>
      </c>
      <c r="AP52" s="253" t="n">
        <v>201</v>
      </c>
      <c r="AQ52" s="253" t="n">
        <v>205</v>
      </c>
      <c r="AR52" s="253" t="n">
        <v>207</v>
      </c>
      <c r="AS52" s="253" t="n">
        <v>809</v>
      </c>
      <c r="AT52" s="253" t="n">
        <v>208</v>
      </c>
      <c r="AU52" s="253" t="n">
        <v>217</v>
      </c>
      <c r="AV52" s="253" t="n">
        <v>220</v>
      </c>
      <c r="AW52" s="253" t="n">
        <v>226</v>
      </c>
      <c r="AX52" s="253" t="n">
        <v>871</v>
      </c>
      <c r="AY52" s="34" t="n"/>
      <c r="AZ52" s="253" t="n">
        <v>386</v>
      </c>
      <c r="BA52" s="253" t="n">
        <v>394</v>
      </c>
      <c r="BB52" s="253" t="n">
        <v>404</v>
      </c>
      <c r="BC52" s="34" t="n"/>
      <c r="BD52" s="253" t="n">
        <v>409</v>
      </c>
      <c r="BE52" s="253" t="n">
        <v>420</v>
      </c>
      <c r="BF52" s="253" t="n">
        <v>432</v>
      </c>
      <c r="BG52" s="253" t="n">
        <v>446</v>
      </c>
      <c r="BH52" s="253" t="n">
        <v>1707</v>
      </c>
      <c r="BI52" s="253" t="n">
        <v>450</v>
      </c>
      <c r="BJ52" s="253" t="n">
        <v>459</v>
      </c>
      <c r="BK52" s="253" t="n">
        <v>478</v>
      </c>
      <c r="BL52" s="253" t="n">
        <v>486</v>
      </c>
      <c r="BM52" s="253" t="n">
        <v>1873</v>
      </c>
      <c r="BN52" s="253" t="n">
        <v>533</v>
      </c>
      <c r="BO52" s="253" t="n">
        <v>548</v>
      </c>
      <c r="BP52" s="253" t="n">
        <v>556</v>
      </c>
      <c r="BQ52" s="253" t="n">
        <v>572</v>
      </c>
      <c r="BR52" s="253" t="n">
        <v>2209</v>
      </c>
      <c r="BS52" s="253" t="n">
        <v>556</v>
      </c>
      <c r="BT52" s="253" t="n">
        <v>569</v>
      </c>
      <c r="BU52" s="254">
        <f>BP52*(1+BU53)</f>
        <v>536.303880611151</v>
      </c>
      <c r="BV52" s="254">
        <f>BQ52*(1+BV53)</f>
        <v>551.737085808594</v>
      </c>
      <c r="BW52" s="254">
        <f>SUM(BS52:BV52)</f>
        <v>2213.04096641975</v>
      </c>
      <c r="BX52" s="254">
        <f>BW52*(1+BX53)</f>
        <v>2345.82342440493</v>
      </c>
      <c r="BY52" s="254">
        <f>BX52*(1+BY53)</f>
        <v>2486.57282986923</v>
      </c>
      <c r="BZ52" s="254">
        <f>BY52*(1+BZ53)</f>
        <v>2635.76719966138</v>
      </c>
      <c r="CA52" s="254">
        <f>BZ52*(1+CA53)</f>
        <v>2793.91323164106</v>
      </c>
      <c r="CB52" s="254">
        <f>CA52*(1+CB53)</f>
        <v>2961.54802553953</v>
      </c>
      <c r="CC52" s="19" t="n"/>
      <c r="CK52" s="15" t="inlineStr">
        <is>
          <t>IDX_ETD (Indices exchange-traded derivatives y/y)</t>
        </is>
      </c>
      <c r="CL52" s="41" t="n">
        <v>0.04</v>
      </c>
      <c r="CM52" s="21" t="inlineStr">
        <is>
          <t>Δ →</t>
        </is>
      </c>
      <c r="CN52" s="41" t="n">
        <v>-0.08</v>
      </c>
      <c r="CO52" s="13" t="inlineStr">
        <is>
          <t>1H-26 +20%; volatility-driven volumes.</t>
        </is>
      </c>
    </row>
    <row r="53" ht="15" customHeight="1" s="251">
      <c r="B53" s="22" t="inlineStr">
        <is>
          <t xml:space="preserve">    y/y %</t>
        </is>
      </c>
      <c r="C53" s="23" t="n"/>
      <c r="D53" s="255">
        <f>IF(AND(ISNUMBER(D52),ISNUMBER(C52)),IFERROR(D52/C52-1,""),"")</f>
      </c>
      <c r="E53" s="255">
        <f>IF(AND(ISNUMBER(E52),ISNUMBER(D52)),IFERROR(E52/D52-1,""),"")</f>
        <v>0.106761565836299</v>
      </c>
      <c r="F53" s="23" t="n"/>
      <c r="G53" s="23" t="n"/>
      <c r="H53" s="23" t="n"/>
      <c r="I53" s="23" t="n"/>
      <c r="J53" s="255">
        <f>IF(AND(ISNUMBER(J52),ISNUMBER(E52)),IFERROR(J52/E52-1,""),"")</f>
        <v>0.0546623794212218</v>
      </c>
      <c r="K53" s="255">
        <f>IF(AND(ISNUMBER(K52),ISNUMBER(F52)),IFERROR(K52/F52-1,""),"")</f>
        <v>0.0613496932515338</v>
      </c>
      <c r="L53" s="255">
        <f>IF(AND(ISNUMBER(L52),ISNUMBER(G52)),IFERROR(L52/G52-1,""),"")</f>
        <v>0.0745341614906832</v>
      </c>
      <c r="M53" s="255">
        <f>IF(AND(ISNUMBER(M52),ISNUMBER(H52)),IFERROR(M52/H52-1,""),"")</f>
        <v>-0.115853658536585</v>
      </c>
      <c r="N53" s="255">
        <f>IF(AND(ISNUMBER(N52),ISNUMBER(I52)),IFERROR(N52/I52-1,""),"")</f>
        <v>-0.119047619047619</v>
      </c>
      <c r="O53" s="255">
        <f>IF(AND(ISNUMBER(O52),ISNUMBER(J52)),IFERROR(O52/J52-1,""),"")</f>
        <v>-0.121951219512195</v>
      </c>
      <c r="P53" s="255">
        <f>IF(AND(ISNUMBER(P52),ISNUMBER(K52)),IFERROR(P52/K52-1,""),"")</f>
        <v>-0.138728323699422</v>
      </c>
      <c r="Q53" s="255">
        <f>IF(AND(ISNUMBER(Q52),ISNUMBER(L52)),IFERROR(Q52/L52-1,""),"")</f>
        <v>-0.109826589595376</v>
      </c>
      <c r="R53" s="255">
        <f>IF(AND(ISNUMBER(R52),ISNUMBER(M52)),IFERROR(R52/M52-1,""),"")</f>
        <v>0.137931034482759</v>
      </c>
      <c r="S53" s="255">
        <f>IF(AND(ISNUMBER(S52),ISNUMBER(N52)),IFERROR(S52/N52-1,""),"")</f>
        <v>0.162162162162162</v>
      </c>
      <c r="T53" s="255">
        <f>IF(AND(ISNUMBER(T52),ISNUMBER(O52)),IFERROR(T52/O52-1,""),"")</f>
        <v>0.112847222222222</v>
      </c>
      <c r="U53" s="255">
        <f>IF(AND(ISNUMBER(U52),ISNUMBER(P52)),IFERROR(U52/P52-1,""),"")</f>
        <v>0.154362416107383</v>
      </c>
      <c r="V53" s="255">
        <f>IF(AND(ISNUMBER(V52),ISNUMBER(Q52)),IFERROR(V52/Q52-1,""),"")</f>
        <v>0.136363636363636</v>
      </c>
      <c r="W53" s="255">
        <f>IF(AND(ISNUMBER(W52),ISNUMBER(R52)),IFERROR(W52/R52-1,""),"")</f>
        <v>0.0424242424242425</v>
      </c>
      <c r="X53" s="255">
        <f>IF(AND(ISNUMBER(X52),ISNUMBER(S52)),IFERROR(X52/S52-1,""),"")</f>
      </c>
      <c r="Y53" s="255">
        <f>IF(AND(ISNUMBER(Y52),ISNUMBER(T52)),IFERROR(Y52/T52-1,""),"")</f>
      </c>
      <c r="Z53" s="255">
        <f>IF(AND(ISNUMBER(Z52),ISNUMBER(U52)),IFERROR(Z52/U52-1,""),"")</f>
      </c>
      <c r="AA53" s="255">
        <f>IF(AND(ISNUMBER(AA52),ISNUMBER(V52)),IFERROR(AA52/V52-1,""),"")</f>
      </c>
      <c r="AB53" s="255">
        <f>IF(AND(ISNUMBER(AB52),ISNUMBER(W52)),IFERROR(AB52/W52-1,""),"")</f>
      </c>
      <c r="AC53" s="255">
        <f>IF(AND(ISNUMBER(AC52),ISNUMBER(X52)),IFERROR(AC52/X52-1,""),"")</f>
      </c>
      <c r="AD53" s="255">
        <f>IF(AND(ISNUMBER(AD52),ISNUMBER(Y52)),IFERROR(AD52/Y52-1,""),"")</f>
      </c>
      <c r="AE53" s="255">
        <f>IF(AND(ISNUMBER(AE52),ISNUMBER(Z52)),IFERROR(AE52/Z52-1,""),"")</f>
      </c>
      <c r="AF53" s="255">
        <f>IF(AND(ISNUMBER(AF52),ISNUMBER(AA52)),IFERROR(AF52/AA52-1,""),"")</f>
      </c>
      <c r="AG53" s="255">
        <f>IF(AND(ISNUMBER(AG52),ISNUMBER(AB52)),IFERROR(AG52/AB52-1,""),"")</f>
      </c>
      <c r="AH53" s="255">
        <f>IF(AND(ISNUMBER(AH52),ISNUMBER(AC52)),IFERROR(AH52/AC52-1,""),"")</f>
      </c>
      <c r="AI53" s="255">
        <f>IF(AND(ISNUMBER(AI52),ISNUMBER(AD52)),IFERROR(AI52/AD52-1,""),"")</f>
      </c>
      <c r="AJ53" s="255">
        <f>IF(AND(ISNUMBER(AJ52),ISNUMBER(AE52)),IFERROR(AJ52/AE52-1,""),"")</f>
        <v>0.0552486187845305</v>
      </c>
      <c r="AK53" s="255">
        <f>IF(AND(ISNUMBER(AK52),ISNUMBER(AF52)),IFERROR(AK52/AF52-1,""),"")</f>
        <v>0.0372340425531914</v>
      </c>
      <c r="AL53" s="255">
        <f>IF(AND(ISNUMBER(AL52),ISNUMBER(AG52)),IFERROR(AL52/AG52-1,""),"")</f>
        <v>0.0319148936170213</v>
      </c>
      <c r="AM53" s="255">
        <f>IF(AND(ISNUMBER(AM52),ISNUMBER(AH52)),IFERROR(AM52/AH52-1,""),"")</f>
        <v>0.0103626943005182</v>
      </c>
      <c r="AN53" s="255">
        <f>IF(AND(ISNUMBER(AN52),ISNUMBER(AI52)),IFERROR(AN52/AI52-1,""),"")</f>
        <v>0.032</v>
      </c>
      <c r="AO53" s="255">
        <f>IF(AND(ISNUMBER(AO52),ISNUMBER(AJ52)),IFERROR(AO52/AJ52-1,""),"")</f>
        <v>0.031413612565445</v>
      </c>
      <c r="AP53" s="255">
        <f>IF(AND(ISNUMBER(AP52),ISNUMBER(AK52)),IFERROR(AP52/AK52-1,""),"")</f>
        <v>0.0307692307692307</v>
      </c>
      <c r="AQ53" s="255">
        <f>IF(AND(ISNUMBER(AQ52),ISNUMBER(AL52)),IFERROR(AQ52/AL52-1,""),"")</f>
        <v>0.0567010309278351</v>
      </c>
      <c r="AR53" s="255">
        <f>IF(AND(ISNUMBER(AR52),ISNUMBER(AM52)),IFERROR(AR52/AM52-1,""),"")</f>
        <v>0.0615384615384615</v>
      </c>
      <c r="AS53" s="255">
        <f>IF(AND(ISNUMBER(AS52),ISNUMBER(AN52)),IFERROR(AS52/AN52-1,""),"")</f>
        <v>0.045219638242894</v>
      </c>
      <c r="AT53" s="255">
        <f>IF(AND(ISNUMBER(AT52),ISNUMBER(AO52)),IFERROR(AT52/AO52-1,""),"")</f>
        <v>0.0558375634517767</v>
      </c>
      <c r="AU53" s="255">
        <f>IF(AND(ISNUMBER(AU52),ISNUMBER(AP52)),IFERROR(AU52/AP52-1,""),"")</f>
        <v>0.0796019900497513</v>
      </c>
      <c r="AV53" s="255">
        <f>IF(AND(ISNUMBER(AV52),ISNUMBER(AQ52)),IFERROR(AV52/AQ52-1,""),"")</f>
        <v>0.0731707317073171</v>
      </c>
      <c r="AW53" s="255">
        <f>IF(AND(ISNUMBER(AW52),ISNUMBER(AR52)),IFERROR(AW52/AR52-1,""),"")</f>
        <v>0.0917874396135265</v>
      </c>
      <c r="AX53" s="255">
        <f>IF(AND(ISNUMBER(AX52),ISNUMBER(AS52)),IFERROR(AX52/AS52-1,""),"")</f>
        <v>0.0766378244746602</v>
      </c>
      <c r="AY53" s="255">
        <f>IF(AND(ISNUMBER(AY52),ISNUMBER(AT52)),IFERROR(AY52/AT52-1,""),"")</f>
      </c>
      <c r="AZ53" s="255">
        <f>IF(AND(ISNUMBER(AZ52),ISNUMBER(AU52)),IFERROR(AZ52/AU52-1,""),"")</f>
        <v>0.778801843317972</v>
      </c>
      <c r="BA53" s="255">
        <f>IF(AND(ISNUMBER(BA52),ISNUMBER(AV52)),IFERROR(BA52/AV52-1,""),"")</f>
        <v>0.790909090909091</v>
      </c>
      <c r="BB53" s="255">
        <f>IF(AND(ISNUMBER(BB52),ISNUMBER(AW52)),IFERROR(BB52/AW52-1,""),"")</f>
        <v>0.787610619469026</v>
      </c>
      <c r="BC53" s="255">
        <f>IF(AND(ISNUMBER(BC52),ISNUMBER(AX52)),IFERROR(BC52/AX52-1,""),"")</f>
      </c>
      <c r="BD53" s="255">
        <f>IF(AND(ISNUMBER(BD52),ISNUMBER(AY52)),IFERROR(BD52/AY52-1,""),"")</f>
      </c>
      <c r="BE53" s="255">
        <f>IF(AND(ISNUMBER(BE52),ISNUMBER(AZ52)),IFERROR(BE52/AZ52-1,""),"")</f>
        <v>0.0880829015544042</v>
      </c>
      <c r="BF53" s="255">
        <f>IF(AND(ISNUMBER(BF52),ISNUMBER(BA52)),IFERROR(BF52/BA52-1,""),"")</f>
        <v>0.0964467005076142</v>
      </c>
      <c r="BG53" s="255">
        <f>IF(AND(ISNUMBER(BG52),ISNUMBER(BB52)),IFERROR(BG52/BB52-1,""),"")</f>
        <v>0.103960396039604</v>
      </c>
      <c r="BH53" s="255">
        <f>IF(AND(ISNUMBER(BH52),ISNUMBER(BC52)),IFERROR(BH52/BC52-1,""),"")</f>
      </c>
      <c r="BI53" s="255">
        <f>IF(AND(ISNUMBER(BI52),ISNUMBER(BD52)),IFERROR(BI52/BD52-1,""),"")</f>
        <v>0.100244498777506</v>
      </c>
      <c r="BJ53" s="255">
        <f>IF(AND(ISNUMBER(BJ52),ISNUMBER(BE52)),IFERROR(BJ52/BE52-1,""),"")</f>
        <v>0.0928571428571428</v>
      </c>
      <c r="BK53" s="255">
        <f>IF(AND(ISNUMBER(BK52),ISNUMBER(BF52)),IFERROR(BK52/BF52-1,""),"")</f>
        <v>0.106481481481481</v>
      </c>
      <c r="BL53" s="255">
        <f>IF(AND(ISNUMBER(BL52),ISNUMBER(BG52)),IFERROR(BL52/BG52-1,""),"")</f>
        <v>0.0896860986547086</v>
      </c>
      <c r="BM53" s="255">
        <f>IF(AND(ISNUMBER(BM52),ISNUMBER(BH52)),IFERROR(BM52/BH52-1,""),"")</f>
        <v>0.0972466315172818</v>
      </c>
      <c r="BN53" s="255">
        <f>IF(AND(ISNUMBER(BN52),ISNUMBER(BI52)),IFERROR(BN52/BI52-1,""),"")</f>
        <v>0.184444444444444</v>
      </c>
      <c r="BO53" s="255">
        <f>IF(AND(ISNUMBER(BO52),ISNUMBER(BJ52)),IFERROR(BO52/BJ52-1,""),"")</f>
        <v>0.193899782135076</v>
      </c>
      <c r="BP53" s="255">
        <f>IF(AND(ISNUMBER(BP52),ISNUMBER(BK52)),IFERROR(BP52/BK52-1,""),"")</f>
        <v>0.163179916317992</v>
      </c>
      <c r="BQ53" s="255">
        <f>IF(AND(ISNUMBER(BQ52),ISNUMBER(BL52)),IFERROR(BQ52/BL52-1,""),"")</f>
        <v>0.176954732510288</v>
      </c>
      <c r="BR53" s="255">
        <f>IF(AND(ISNUMBER(BR52),ISNUMBER(BM52)),IFERROR(BR52/BM52-1,""),"")</f>
        <v>0.179391350774159</v>
      </c>
      <c r="BS53" s="255">
        <f>IF(AND(ISNUMBER(BS52),ISNUMBER(BN52)),IFERROR(BS52/BN52-1,""),"")</f>
        <v>0.0431519699812384</v>
      </c>
      <c r="BT53" s="255">
        <f>IF(AND(ISNUMBER(BT52),ISNUMBER(BO52)),IFERROR(BT52/BO52-1,""),"")</f>
        <v>0.0383211678832116</v>
      </c>
      <c r="BU53" s="256">
        <f>$BW$54+$BW$149</f>
        <v>-0.0354246751597998</v>
      </c>
      <c r="BV53" s="256">
        <f>$BW$54+$BW$149</f>
        <v>-0.0354246751597998</v>
      </c>
      <c r="BW53" s="256">
        <f>IF(AND(ISNUMBER(BW52),ISNUMBER(BR52)),IFERROR(BW52/BR52-1,""),"")</f>
        <v>0.00182931933895247</v>
      </c>
      <c r="BX53" s="256">
        <f>CHOOSE(MATCH($CC$2,{"Bull","Base","Bear"},0),$CL$65,$CM$65,$CN$65)</f>
        <v>0.06</v>
      </c>
      <c r="BY53" s="256">
        <f>CHOOSE(MATCH($CC$2,{"Bull","Base","Bear"},0),$CL$66,$CM$66,$CN$66)</f>
        <v>0.06</v>
      </c>
      <c r="BZ53" s="256">
        <f>CHOOSE(MATCH($CC$2,{"Bull","Base","Bear"},0),$CL$67,$CM$67,$CN$67)</f>
        <v>0.06</v>
      </c>
      <c r="CA53" s="256">
        <f>CHOOSE(MATCH($CC$2,{"Bull","Base","Bear"},0),$CL$68,$CM$68,$CN$68)</f>
        <v>0.06</v>
      </c>
      <c r="CB53" s="256">
        <f>CHOOSE(MATCH($CC$2,{"Bull","Base","Bear"},0),$CL$69,$CM$69,$CN$69)</f>
        <v>0.06</v>
      </c>
      <c r="CC53" s="153" t="n"/>
      <c r="CK53" s="25" t="inlineStr">
        <is>
          <t xml:space="preserve">  2027E</t>
        </is>
      </c>
      <c r="CL53" s="33">
        <f>CM53+$CL$52</f>
        <v>0.09</v>
      </c>
      <c r="CM53" s="42" t="n">
        <v>0.05</v>
      </c>
      <c r="CN53" s="33">
        <f>CM53+$CN$52</f>
        <v>-0.03</v>
      </c>
    </row>
    <row r="54" collapsed="1" ht="15" customHeight="1" s="251">
      <c r="B54" s="25" t="inlineStr">
        <is>
          <t xml:space="preserve">    Q3–Q4/26E growth before revenue calibration (1H-26 y/y)</t>
        </is>
      </c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  <c r="AP54" s="36" t="n"/>
      <c r="AQ54" s="36" t="n"/>
      <c r="AR54" s="36" t="n"/>
      <c r="AS54" s="36" t="n"/>
      <c r="AT54" s="36" t="n"/>
      <c r="AU54" s="36" t="n"/>
      <c r="AV54" s="36" t="n"/>
      <c r="AW54" s="36" t="n"/>
      <c r="AX54" s="36" t="n"/>
      <c r="AY54" s="36" t="n"/>
      <c r="AZ54" s="36" t="n"/>
      <c r="BA54" s="36" t="n"/>
      <c r="BB54" s="36" t="n"/>
      <c r="BC54" s="36" t="n"/>
      <c r="BD54" s="36" t="n"/>
      <c r="BE54" s="36" t="n"/>
      <c r="BF54" s="36" t="n"/>
      <c r="BG54" s="36" t="n"/>
      <c r="BH54" s="36" t="n"/>
      <c r="BI54" s="36" t="n"/>
      <c r="BJ54" s="36" t="n"/>
      <c r="BK54" s="36" t="n"/>
      <c r="BL54" s="36" t="n"/>
      <c r="BM54" s="36" t="n"/>
      <c r="BN54" s="36" t="n"/>
      <c r="BO54" s="36" t="n"/>
      <c r="BP54" s="36" t="n"/>
      <c r="BQ54" s="36" t="n"/>
      <c r="BR54" s="36" t="n"/>
      <c r="BS54" s="36" t="n"/>
      <c r="BT54" s="36" t="n"/>
      <c r="BU54" s="24" t="n"/>
      <c r="BV54" s="24" t="n"/>
      <c r="BW54" s="256">
        <f>IFERROR(SUM(BS52:BT52)/SUM(BN52:BO52)-1,0)</f>
        <v>0.0407030527289547</v>
      </c>
      <c r="BX54" s="46" t="n"/>
      <c r="BY54" s="46" t="n"/>
      <c r="BZ54" s="46" t="n"/>
      <c r="CA54" s="46" t="n"/>
      <c r="CB54" s="46" t="n"/>
      <c r="CC54" s="19" t="n"/>
      <c r="CK54" s="25" t="inlineStr">
        <is>
          <t xml:space="preserve">  2028E</t>
        </is>
      </c>
      <c r="CL54" s="33">
        <f>CM54+$CL$52</f>
        <v>0.09</v>
      </c>
      <c r="CM54" s="42" t="n">
        <v>0.05</v>
      </c>
      <c r="CN54" s="33">
        <f>CM54+$CN$52</f>
        <v>-0.03</v>
      </c>
    </row>
    <row r="55" ht="15" customHeight="1" s="251">
      <c r="B55" s="25" t="inlineStr">
        <is>
          <t xml:space="preserve">  Non-subscription / transaction (incl. CERAWeek conference)</t>
        </is>
      </c>
      <c r="C55" s="34" t="n"/>
      <c r="D55" s="253" t="n">
        <v>334</v>
      </c>
      <c r="E55" s="253" t="n">
        <v>351</v>
      </c>
      <c r="F55" s="253" t="n">
        <v>73</v>
      </c>
      <c r="G55" s="253" t="n">
        <v>98</v>
      </c>
      <c r="H55" s="253" t="n">
        <v>91</v>
      </c>
      <c r="I55" s="253" t="n">
        <v>96</v>
      </c>
      <c r="J55" s="253" t="n">
        <v>358</v>
      </c>
      <c r="K55" s="253" t="n">
        <v>78</v>
      </c>
      <c r="L55" s="253" t="n">
        <v>90</v>
      </c>
      <c r="M55" s="253" t="n">
        <v>82</v>
      </c>
      <c r="N55" s="253" t="n">
        <v>88</v>
      </c>
      <c r="O55" s="253" t="n">
        <v>317</v>
      </c>
      <c r="P55" s="253" t="n">
        <v>76</v>
      </c>
      <c r="Q55" s="253" t="n">
        <v>80</v>
      </c>
      <c r="R55" s="253" t="n">
        <v>83</v>
      </c>
      <c r="S55" s="253" t="n">
        <v>92</v>
      </c>
      <c r="T55" s="253" t="n">
        <v>330</v>
      </c>
      <c r="U55" s="253" t="n">
        <v>82</v>
      </c>
      <c r="V55" s="253" t="n">
        <v>80</v>
      </c>
      <c r="W55" s="253" t="n">
        <v>57</v>
      </c>
      <c r="X55" s="34" t="n"/>
      <c r="Y55" s="34" t="n"/>
      <c r="Z55" s="34" t="n"/>
      <c r="AA55" s="34" t="n"/>
      <c r="AB55" s="34" t="n"/>
      <c r="AC55" s="34" t="n"/>
      <c r="AD55" s="34" t="n"/>
      <c r="AE55" s="253" t="n">
        <v>2</v>
      </c>
      <c r="AF55" s="253" t="n">
        <v>4</v>
      </c>
      <c r="AG55" s="253" t="n">
        <v>2</v>
      </c>
      <c r="AH55" s="253" t="n">
        <v>3</v>
      </c>
      <c r="AI55" s="253" t="n">
        <v>11</v>
      </c>
      <c r="AJ55" s="253" t="n">
        <v>2</v>
      </c>
      <c r="AK55" s="253" t="n">
        <v>3</v>
      </c>
      <c r="AL55" s="253" t="n">
        <v>2</v>
      </c>
      <c r="AM55" s="253" t="n">
        <v>3</v>
      </c>
      <c r="AN55" s="253" t="n">
        <v>10</v>
      </c>
      <c r="AO55" s="253" t="n">
        <v>1</v>
      </c>
      <c r="AP55" s="253" t="n">
        <v>1</v>
      </c>
      <c r="AQ55" s="253" t="n">
        <v>2</v>
      </c>
      <c r="AR55" s="253" t="n">
        <v>2</v>
      </c>
      <c r="AS55" s="253" t="n">
        <v>7</v>
      </c>
      <c r="AT55" s="253" t="n">
        <v>1</v>
      </c>
      <c r="AU55" s="253" t="n">
        <v>3</v>
      </c>
      <c r="AV55" s="253" t="n">
        <v>2</v>
      </c>
      <c r="AW55" s="253" t="n">
        <v>7</v>
      </c>
      <c r="AX55" s="253" t="n">
        <v>13</v>
      </c>
      <c r="AY55" s="34" t="n"/>
      <c r="AZ55" s="253" t="n">
        <v>26</v>
      </c>
      <c r="BA55" s="253" t="n">
        <v>21</v>
      </c>
      <c r="BB55" s="253" t="n">
        <v>31</v>
      </c>
      <c r="BC55" s="34" t="n"/>
      <c r="BD55" s="253" t="n">
        <v>80</v>
      </c>
      <c r="BE55" s="253" t="n">
        <v>24</v>
      </c>
      <c r="BF55" s="253" t="n">
        <v>26</v>
      </c>
      <c r="BG55" s="253" t="n">
        <v>28</v>
      </c>
      <c r="BH55" s="253" t="n">
        <v>158</v>
      </c>
      <c r="BI55" s="253" t="n">
        <v>83</v>
      </c>
      <c r="BJ55" s="253" t="n">
        <v>31</v>
      </c>
      <c r="BK55" s="253" t="n">
        <v>18</v>
      </c>
      <c r="BL55" s="253" t="n">
        <v>33</v>
      </c>
      <c r="BM55" s="253" t="n">
        <v>166</v>
      </c>
      <c r="BN55" s="253" t="n">
        <v>118</v>
      </c>
      <c r="BO55" s="253" t="n">
        <v>29</v>
      </c>
      <c r="BP55" s="253" t="n">
        <v>22</v>
      </c>
      <c r="BQ55" s="253" t="n">
        <v>27</v>
      </c>
      <c r="BR55" s="253" t="n">
        <v>196</v>
      </c>
      <c r="BS55" s="253" t="n">
        <v>131</v>
      </c>
      <c r="BT55" s="253" t="n">
        <v>27</v>
      </c>
      <c r="BU55" s="254">
        <f>BP55*(1+BU56)</f>
        <v>21.9714484898488</v>
      </c>
      <c r="BV55" s="254">
        <f>BQ55*(1+BV56)</f>
        <v>26.9649595102689</v>
      </c>
      <c r="BW55" s="254">
        <f>SUM(BS55:BV55)</f>
        <v>206.936408000118</v>
      </c>
      <c r="BX55" s="254">
        <f>BW55*(1+BX56)</f>
        <v>219.352592480125</v>
      </c>
      <c r="BY55" s="254">
        <f>BX55*(1+BY56)</f>
        <v>232.513748028932</v>
      </c>
      <c r="BZ55" s="254">
        <f>BY55*(1+BZ56)</f>
        <v>246.464572910668</v>
      </c>
      <c r="CA55" s="254">
        <f>BZ55*(1+CA56)</f>
        <v>261.252447285308</v>
      </c>
      <c r="CB55" s="254">
        <f>CA55*(1+CB56)</f>
        <v>276.927594122427</v>
      </c>
      <c r="CC55" s="19" t="n"/>
      <c r="CK55" s="25" t="inlineStr">
        <is>
          <t xml:space="preserve">  2029E</t>
        </is>
      </c>
      <c r="CL55" s="33">
        <f>CM55+$CL$52</f>
        <v>0.09</v>
      </c>
      <c r="CM55" s="42" t="n">
        <v>0.05</v>
      </c>
      <c r="CN55" s="33">
        <f>CM55+$CN$52</f>
        <v>-0.03</v>
      </c>
    </row>
    <row r="56" ht="15" customHeight="1" s="251">
      <c r="B56" s="22" t="inlineStr">
        <is>
          <t xml:space="preserve">    y/y %</t>
        </is>
      </c>
      <c r="C56" s="23" t="n"/>
      <c r="D56" s="255">
        <f>IF(AND(ISNUMBER(D55),ISNUMBER(C55)),IFERROR(D55/C55-1,""),"")</f>
      </c>
      <c r="E56" s="255">
        <f>IF(AND(ISNUMBER(E55),ISNUMBER(D55)),IFERROR(E55/D55-1,""),"")</f>
        <v>0.0508982035928143</v>
      </c>
      <c r="F56" s="23" t="n"/>
      <c r="G56" s="23" t="n"/>
      <c r="H56" s="23" t="n"/>
      <c r="I56" s="23" t="n"/>
      <c r="J56" s="255">
        <f>IF(AND(ISNUMBER(J55),ISNUMBER(E55)),IFERROR(J55/E55-1,""),"")</f>
        <v>0.0199430199430199</v>
      </c>
      <c r="K56" s="255">
        <f>IF(AND(ISNUMBER(K55),ISNUMBER(F55)),IFERROR(K55/F55-1,""),"")</f>
        <v>0.0684931506849316</v>
      </c>
      <c r="L56" s="255">
        <f>IF(AND(ISNUMBER(L55),ISNUMBER(G55)),IFERROR(L55/G55-1,""),"")</f>
        <v>-0.0816326530612245</v>
      </c>
      <c r="M56" s="255">
        <f>IF(AND(ISNUMBER(M55),ISNUMBER(H55)),IFERROR(M55/H55-1,""),"")</f>
        <v>-0.0989010989010989</v>
      </c>
      <c r="N56" s="255">
        <f>IF(AND(ISNUMBER(N55),ISNUMBER(I55)),IFERROR(N55/I55-1,""),"")</f>
        <v>-0.0833333333333334</v>
      </c>
      <c r="O56" s="255">
        <f>IF(AND(ISNUMBER(O55),ISNUMBER(J55)),IFERROR(O55/J55-1,""),"")</f>
        <v>-0.114525139664804</v>
      </c>
      <c r="P56" s="255">
        <f>IF(AND(ISNUMBER(P55),ISNUMBER(K55)),IFERROR(P55/K55-1,""),"")</f>
        <v>-0.0256410256410257</v>
      </c>
      <c r="Q56" s="255">
        <f>IF(AND(ISNUMBER(Q55),ISNUMBER(L55)),IFERROR(Q55/L55-1,""),"")</f>
        <v>-0.111111111111111</v>
      </c>
      <c r="R56" s="255">
        <f>IF(AND(ISNUMBER(R55),ISNUMBER(M55)),IFERROR(R55/M55-1,""),"")</f>
        <v>0.0121951219512195</v>
      </c>
      <c r="S56" s="255">
        <f>IF(AND(ISNUMBER(S55),ISNUMBER(N55)),IFERROR(S55/N55-1,""),"")</f>
        <v>0.0454545454545454</v>
      </c>
      <c r="T56" s="255">
        <f>IF(AND(ISNUMBER(T55),ISNUMBER(O55)),IFERROR(T55/O55-1,""),"")</f>
        <v>0.0410094637223974</v>
      </c>
      <c r="U56" s="255">
        <f>IF(AND(ISNUMBER(U55),ISNUMBER(P55)),IFERROR(U55/P55-1,""),"")</f>
        <v>0.0789473684210527</v>
      </c>
      <c r="V56" s="255">
        <f>IF(AND(ISNUMBER(V55),ISNUMBER(Q55)),IFERROR(V55/Q55-1,""),"")</f>
        <v>0</v>
      </c>
      <c r="W56" s="255">
        <f>IF(AND(ISNUMBER(W55),ISNUMBER(R55)),IFERROR(W55/R55-1,""),"")</f>
        <v>-0.313253012048193</v>
      </c>
      <c r="X56" s="255">
        <f>IF(AND(ISNUMBER(X55),ISNUMBER(S55)),IFERROR(X55/S55-1,""),"")</f>
      </c>
      <c r="Y56" s="255">
        <f>IF(AND(ISNUMBER(Y55),ISNUMBER(T55)),IFERROR(Y55/T55-1,""),"")</f>
      </c>
      <c r="Z56" s="255">
        <f>IF(AND(ISNUMBER(Z55),ISNUMBER(U55)),IFERROR(Z55/U55-1,""),"")</f>
      </c>
      <c r="AA56" s="255">
        <f>IF(AND(ISNUMBER(AA55),ISNUMBER(V55)),IFERROR(AA55/V55-1,""),"")</f>
      </c>
      <c r="AB56" s="255">
        <f>IF(AND(ISNUMBER(AB55),ISNUMBER(W55)),IFERROR(AB55/W55-1,""),"")</f>
      </c>
      <c r="AC56" s="255">
        <f>IF(AND(ISNUMBER(AC55),ISNUMBER(X55)),IFERROR(AC55/X55-1,""),"")</f>
      </c>
      <c r="AD56" s="255">
        <f>IF(AND(ISNUMBER(AD55),ISNUMBER(Y55)),IFERROR(AD55/Y55-1,""),"")</f>
      </c>
      <c r="AE56" s="255">
        <f>IF(AND(ISNUMBER(AE55),ISNUMBER(Z55)),IFERROR(AE55/Z55-1,""),"")</f>
      </c>
      <c r="AF56" s="255">
        <f>IF(AND(ISNUMBER(AF55),ISNUMBER(AA55)),IFERROR(AF55/AA55-1,""),"")</f>
      </c>
      <c r="AG56" s="255">
        <f>IF(AND(ISNUMBER(AG55),ISNUMBER(AB55)),IFERROR(AG55/AB55-1,""),"")</f>
      </c>
      <c r="AH56" s="255">
        <f>IF(AND(ISNUMBER(AH55),ISNUMBER(AC55)),IFERROR(AH55/AC55-1,""),"")</f>
      </c>
      <c r="AI56" s="255">
        <f>IF(AND(ISNUMBER(AI55),ISNUMBER(AD55)),IFERROR(AI55/AD55-1,""),"")</f>
      </c>
      <c r="AJ56" s="255">
        <f>IF(AND(ISNUMBER(AJ55),ISNUMBER(AE55)),IFERROR(AJ55/AE55-1,""),"")</f>
        <v>0</v>
      </c>
      <c r="AK56" s="255">
        <f>IF(AND(ISNUMBER(AK55),ISNUMBER(AF55)),IFERROR(AK55/AF55-1,""),"")</f>
        <v>-0.25</v>
      </c>
      <c r="AL56" s="255">
        <f>IF(AND(ISNUMBER(AL55),ISNUMBER(AG55)),IFERROR(AL55/AG55-1,""),"")</f>
        <v>0</v>
      </c>
      <c r="AM56" s="255">
        <f>IF(AND(ISNUMBER(AM55),ISNUMBER(AH55)),IFERROR(AM55/AH55-1,""),"")</f>
        <v>0</v>
      </c>
      <c r="AN56" s="255">
        <f>IF(AND(ISNUMBER(AN55),ISNUMBER(AI55)),IFERROR(AN55/AI55-1,""),"")</f>
        <v>-0.0909090909090909</v>
      </c>
      <c r="AO56" s="255">
        <f>IF(AND(ISNUMBER(AO55),ISNUMBER(AJ55)),IFERROR(AO55/AJ55-1,""),"")</f>
        <v>-0.5</v>
      </c>
      <c r="AP56" s="255">
        <f>IF(AND(ISNUMBER(AP55),ISNUMBER(AK55)),IFERROR(AP55/AK55-1,""),"")</f>
        <v>-0.666666666666667</v>
      </c>
      <c r="AQ56" s="255">
        <f>IF(AND(ISNUMBER(AQ55),ISNUMBER(AL55)),IFERROR(AQ55/AL55-1,""),"")</f>
        <v>0</v>
      </c>
      <c r="AR56" s="255">
        <f>IF(AND(ISNUMBER(AR55),ISNUMBER(AM55)),IFERROR(AR55/AM55-1,""),"")</f>
        <v>-0.333333333333333</v>
      </c>
      <c r="AS56" s="255">
        <f>IF(AND(ISNUMBER(AS55),ISNUMBER(AN55)),IFERROR(AS55/AN55-1,""),"")</f>
        <v>-0.3</v>
      </c>
      <c r="AT56" s="255">
        <f>IF(AND(ISNUMBER(AT55),ISNUMBER(AO55)),IFERROR(AT55/AO55-1,""),"")</f>
        <v>0</v>
      </c>
      <c r="AU56" s="255">
        <f>IF(AND(ISNUMBER(AU55),ISNUMBER(AP55)),IFERROR(AU55/AP55-1,""),"")</f>
        <v>2</v>
      </c>
      <c r="AV56" s="255">
        <f>IF(AND(ISNUMBER(AV55),ISNUMBER(AQ55)),IFERROR(AV55/AQ55-1,""),"")</f>
        <v>0</v>
      </c>
      <c r="AW56" s="255">
        <f>IF(AND(ISNUMBER(AW55),ISNUMBER(AR55)),IFERROR(AW55/AR55-1,""),"")</f>
        <v>2.5</v>
      </c>
      <c r="AX56" s="255">
        <f>IF(AND(ISNUMBER(AX55),ISNUMBER(AS55)),IFERROR(AX55/AS55-1,""),"")</f>
        <v>0.857142857142857</v>
      </c>
      <c r="AY56" s="255">
        <f>IF(AND(ISNUMBER(AY55),ISNUMBER(AT55)),IFERROR(AY55/AT55-1,""),"")</f>
      </c>
      <c r="AZ56" s="255">
        <f>IF(AND(ISNUMBER(AZ55),ISNUMBER(AU55)),IFERROR(AZ55/AU55-1,""),"")</f>
        <v>7.66666666666667</v>
      </c>
      <c r="BA56" s="255">
        <f>IF(AND(ISNUMBER(BA55),ISNUMBER(AV55)),IFERROR(BA55/AV55-1,""),"")</f>
        <v>9.5</v>
      </c>
      <c r="BB56" s="255">
        <f>IF(AND(ISNUMBER(BB55),ISNUMBER(AW55)),IFERROR(BB55/AW55-1,""),"")</f>
        <v>3.42857142857143</v>
      </c>
      <c r="BC56" s="255">
        <f>IF(AND(ISNUMBER(BC55),ISNUMBER(AX55)),IFERROR(BC55/AX55-1,""),"")</f>
      </c>
      <c r="BD56" s="255">
        <f>IF(AND(ISNUMBER(BD55),ISNUMBER(AY55)),IFERROR(BD55/AY55-1,""),"")</f>
      </c>
      <c r="BE56" s="255">
        <f>IF(AND(ISNUMBER(BE55),ISNUMBER(AZ55)),IFERROR(BE55/AZ55-1,""),"")</f>
        <v>-0.0769230769230769</v>
      </c>
      <c r="BF56" s="255">
        <f>IF(AND(ISNUMBER(BF55),ISNUMBER(BA55)),IFERROR(BF55/BA55-1,""),"")</f>
        <v>0.238095238095238</v>
      </c>
      <c r="BG56" s="255">
        <f>IF(AND(ISNUMBER(BG55),ISNUMBER(BB55)),IFERROR(BG55/BB55-1,""),"")</f>
        <v>-0.0967741935483871</v>
      </c>
      <c r="BH56" s="255">
        <f>IF(AND(ISNUMBER(BH55),ISNUMBER(BC55)),IFERROR(BH55/BC55-1,""),"")</f>
      </c>
      <c r="BI56" s="255">
        <f>IF(AND(ISNUMBER(BI55),ISNUMBER(BD55)),IFERROR(BI55/BD55-1,""),"")</f>
        <v>0.0375000000000001</v>
      </c>
      <c r="BJ56" s="255">
        <f>IF(AND(ISNUMBER(BJ55),ISNUMBER(BE55)),IFERROR(BJ55/BE55-1,""),"")</f>
        <v>0.291666666666667</v>
      </c>
      <c r="BK56" s="255">
        <f>IF(AND(ISNUMBER(BK55),ISNUMBER(BF55)),IFERROR(BK55/BF55-1,""),"")</f>
        <v>-0.307692307692308</v>
      </c>
      <c r="BL56" s="255">
        <f>IF(AND(ISNUMBER(BL55),ISNUMBER(BG55)),IFERROR(BL55/BG55-1,""),"")</f>
        <v>0.178571428571429</v>
      </c>
      <c r="BM56" s="255">
        <f>IF(AND(ISNUMBER(BM55),ISNUMBER(BH55)),IFERROR(BM55/BH55-1,""),"")</f>
        <v>0.0506329113924051</v>
      </c>
      <c r="BN56" s="255">
        <f>IF(AND(ISNUMBER(BN55),ISNUMBER(BI55)),IFERROR(BN55/BI55-1,""),"")</f>
        <v>0.421686746987952</v>
      </c>
      <c r="BO56" s="255">
        <f>IF(AND(ISNUMBER(BO55),ISNUMBER(BJ55)),IFERROR(BO55/BJ55-1,""),"")</f>
        <v>-0.0645161290322581</v>
      </c>
      <c r="BP56" s="255">
        <f>IF(AND(ISNUMBER(BP55),ISNUMBER(BK55)),IFERROR(BP55/BK55-1,""),"")</f>
        <v>0.222222222222222</v>
      </c>
      <c r="BQ56" s="255">
        <f>IF(AND(ISNUMBER(BQ55),ISNUMBER(BL55)),IFERROR(BQ55/BL55-1,""),"")</f>
        <v>-0.181818181818182</v>
      </c>
      <c r="BR56" s="255">
        <f>IF(AND(ISNUMBER(BR55),ISNUMBER(BM55)),IFERROR(BR55/BM55-1,""),"")</f>
        <v>0.180722891566265</v>
      </c>
      <c r="BS56" s="255">
        <f>IF(AND(ISNUMBER(BS55),ISNUMBER(BN55)),IFERROR(BS55/BN55-1,""),"")</f>
        <v>0.110169491525424</v>
      </c>
      <c r="BT56" s="255">
        <f>IF(AND(ISNUMBER(BT55),ISNUMBER(BO55)),IFERROR(BT55/BO55-1,""),"")</f>
        <v>-0.0689655172413793</v>
      </c>
      <c r="BU56" s="256">
        <f>$BW$57+$BW$149</f>
        <v>-0.00129779591596531</v>
      </c>
      <c r="BV56" s="256">
        <f>$BW$57+$BW$149</f>
        <v>-0.00129779591596531</v>
      </c>
      <c r="BW56" s="256">
        <f>IF(AND(ISNUMBER(BW55),ISNUMBER(BR55)),IFERROR(BW55/BR55-1,""),"")</f>
        <v>0.0557980000006004</v>
      </c>
      <c r="BX56" s="256">
        <f>CHOOSE(MATCH($CC$2,{"Bull","Base","Bear"},0),$CL$65,$CM$65,$CN$65)</f>
        <v>0.06</v>
      </c>
      <c r="BY56" s="256">
        <f>CHOOSE(MATCH($CC$2,{"Bull","Base","Bear"},0),$CL$66,$CM$66,$CN$66)</f>
        <v>0.06</v>
      </c>
      <c r="BZ56" s="256">
        <f>CHOOSE(MATCH($CC$2,{"Bull","Base","Bear"},0),$CL$67,$CM$67,$CN$67)</f>
        <v>0.06</v>
      </c>
      <c r="CA56" s="256">
        <f>CHOOSE(MATCH($CC$2,{"Bull","Base","Bear"},0),$CL$68,$CM$68,$CN$68)</f>
        <v>0.06</v>
      </c>
      <c r="CB56" s="256">
        <f>CHOOSE(MATCH($CC$2,{"Bull","Base","Bear"},0),$CL$69,$CM$69,$CN$69)</f>
        <v>0.06</v>
      </c>
      <c r="CC56" s="153" t="n"/>
      <c r="CK56" s="25" t="inlineStr">
        <is>
          <t xml:space="preserve">  2030E</t>
        </is>
      </c>
      <c r="CL56" s="33">
        <f>CM56+$CL$52</f>
        <v>0.09</v>
      </c>
      <c r="CM56" s="42" t="n">
        <v>0.05</v>
      </c>
      <c r="CN56" s="33">
        <f>CM56+$CN$52</f>
        <v>-0.03</v>
      </c>
    </row>
    <row r="57" ht="15" customHeight="1" s="251">
      <c r="B57" s="25" t="inlineStr">
        <is>
          <t xml:space="preserve">    Q3–Q4/26E growth before revenue calibration (1H-26 y/y)</t>
        </is>
      </c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  <c r="AP57" s="36" t="n"/>
      <c r="AQ57" s="36" t="n"/>
      <c r="AR57" s="36" t="n"/>
      <c r="AS57" s="36" t="n"/>
      <c r="AT57" s="36" t="n"/>
      <c r="AU57" s="36" t="n"/>
      <c r="AV57" s="36" t="n"/>
      <c r="AW57" s="36" t="n"/>
      <c r="AX57" s="36" t="n"/>
      <c r="AY57" s="36" t="n"/>
      <c r="AZ57" s="36" t="n"/>
      <c r="BA57" s="36" t="n"/>
      <c r="BB57" s="36" t="n"/>
      <c r="BC57" s="36" t="n"/>
      <c r="BD57" s="36" t="n"/>
      <c r="BE57" s="36" t="n"/>
      <c r="BF57" s="36" t="n"/>
      <c r="BG57" s="36" t="n"/>
      <c r="BH57" s="36" t="n"/>
      <c r="BI57" s="36" t="n"/>
      <c r="BJ57" s="36" t="n"/>
      <c r="BK57" s="36" t="n"/>
      <c r="BL57" s="36" t="n"/>
      <c r="BM57" s="36" t="n"/>
      <c r="BN57" s="36" t="n"/>
      <c r="BO57" s="36" t="n"/>
      <c r="BP57" s="36" t="n"/>
      <c r="BQ57" s="36" t="n"/>
      <c r="BR57" s="36" t="n"/>
      <c r="BS57" s="36" t="n"/>
      <c r="BT57" s="36" t="n"/>
      <c r="BU57" s="24" t="n"/>
      <c r="BV57" s="24" t="n"/>
      <c r="BW57" s="256">
        <f>IFERROR(SUM(BS55:BT55)/SUM(BN55:BO55)-1,0)</f>
        <v>0.0748299319727892</v>
      </c>
      <c r="BX57" s="46" t="n"/>
      <c r="BY57" s="46" t="n"/>
      <c r="BZ57" s="46" t="n"/>
      <c r="CA57" s="46" t="n"/>
      <c r="CB57" s="46" t="n"/>
      <c r="CC57" s="19" t="n"/>
      <c r="CK57" s="25" t="inlineStr">
        <is>
          <t xml:space="preserve">  2031E</t>
        </is>
      </c>
      <c r="CL57" s="33">
        <f>CM57+$CL$52</f>
        <v>0.09</v>
      </c>
      <c r="CM57" s="42" t="n">
        <v>0.05</v>
      </c>
      <c r="CN57" s="33">
        <f>CM57+$CN$52</f>
        <v>-0.03</v>
      </c>
    </row>
    <row r="58" ht="15" customHeight="1" s="251">
      <c r="B58" s="25" t="inlineStr">
        <is>
          <t xml:space="preserve">  Sales usage-based royalties</t>
        </is>
      </c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  <c r="AA58" s="34" t="n"/>
      <c r="AB58" s="34" t="n"/>
      <c r="AC58" s="34" t="n"/>
      <c r="AD58" s="34" t="n"/>
      <c r="AE58" s="253" t="n">
        <v>13</v>
      </c>
      <c r="AF58" s="253" t="n">
        <v>13</v>
      </c>
      <c r="AG58" s="253" t="n">
        <v>14</v>
      </c>
      <c r="AH58" s="253" t="n">
        <v>14</v>
      </c>
      <c r="AI58" s="253" t="n">
        <v>54</v>
      </c>
      <c r="AJ58" s="253" t="n">
        <v>14</v>
      </c>
      <c r="AK58" s="253" t="n">
        <v>15</v>
      </c>
      <c r="AL58" s="253" t="n">
        <v>16</v>
      </c>
      <c r="AM58" s="253" t="n">
        <v>15</v>
      </c>
      <c r="AN58" s="253" t="n">
        <v>60</v>
      </c>
      <c r="AO58" s="253" t="n">
        <v>17</v>
      </c>
      <c r="AP58" s="253" t="n">
        <v>15</v>
      </c>
      <c r="AQ58" s="253" t="n">
        <v>15</v>
      </c>
      <c r="AR58" s="253" t="n">
        <v>14</v>
      </c>
      <c r="AS58" s="253" t="n">
        <v>62</v>
      </c>
      <c r="AT58" s="253" t="n">
        <v>16</v>
      </c>
      <c r="AU58" s="253" t="n">
        <v>16</v>
      </c>
      <c r="AV58" s="253" t="n">
        <v>17</v>
      </c>
      <c r="AW58" s="253" t="n">
        <v>16</v>
      </c>
      <c r="AX58" s="253" t="n">
        <v>66</v>
      </c>
      <c r="AY58" s="34" t="n"/>
      <c r="AZ58" s="253" t="n">
        <v>15</v>
      </c>
      <c r="BA58" s="253" t="n">
        <v>17</v>
      </c>
      <c r="BB58" s="253" t="n">
        <v>16</v>
      </c>
      <c r="BC58" s="34" t="n"/>
      <c r="BD58" s="253" t="n">
        <v>19</v>
      </c>
      <c r="BE58" s="253" t="n">
        <v>18</v>
      </c>
      <c r="BF58" s="253" t="n">
        <v>21</v>
      </c>
      <c r="BG58" s="253" t="n">
        <v>23</v>
      </c>
      <c r="BH58" s="253" t="n">
        <v>81</v>
      </c>
      <c r="BI58" s="253" t="n">
        <v>26</v>
      </c>
      <c r="BJ58" s="253" t="n">
        <v>26</v>
      </c>
      <c r="BK58" s="253" t="n">
        <v>26</v>
      </c>
      <c r="BL58" s="253" t="n">
        <v>26</v>
      </c>
      <c r="BM58" s="253" t="n">
        <v>103</v>
      </c>
      <c r="BN58" s="253" t="n">
        <v>29</v>
      </c>
      <c r="BO58" s="253" t="n">
        <v>30</v>
      </c>
      <c r="BP58" s="253" t="n">
        <v>31</v>
      </c>
      <c r="BQ58" s="253" t="n">
        <v>30</v>
      </c>
      <c r="BR58" s="253" t="n">
        <v>120</v>
      </c>
      <c r="BS58" s="253" t="n">
        <v>37</v>
      </c>
      <c r="BT58" s="253" t="n">
        <v>27</v>
      </c>
      <c r="BU58" s="254">
        <f>BP58*(1+BU59)</f>
        <v>31.2671590795164</v>
      </c>
      <c r="BV58" s="254">
        <f>BQ58*(1+BV59)</f>
        <v>30.2585410446933</v>
      </c>
      <c r="BW58" s="254">
        <f>SUM(BS58:BV58)</f>
        <v>125.52570012421</v>
      </c>
      <c r="BX58" s="254">
        <f>BW58*(1+BX59)</f>
        <v>133.057242131662</v>
      </c>
      <c r="BY58" s="254">
        <f>BX58*(1+BY59)</f>
        <v>141.040676659562</v>
      </c>
      <c r="BZ58" s="254">
        <f>BY58*(1+BZ59)</f>
        <v>149.503117259136</v>
      </c>
      <c r="CA58" s="254">
        <f>BZ58*(1+CA59)</f>
        <v>158.473304294684</v>
      </c>
      <c r="CB58" s="254">
        <f>CA58*(1+CB59)</f>
        <v>167.981702552365</v>
      </c>
      <c r="CC58" s="19" t="n"/>
      <c r="CK58" s="15" t="inlineStr">
        <is>
          <t>IDX_SUB (Indices data &amp; custom subscriptions y/y)</t>
        </is>
      </c>
      <c r="CL58" s="41" t="n">
        <v>0.02</v>
      </c>
      <c r="CM58" s="21" t="inlineStr">
        <is>
          <t>Δ →</t>
        </is>
      </c>
      <c r="CN58" s="41" t="n">
        <v>-0.03</v>
      </c>
      <c r="CO58" s="13" t="inlineStr">
        <is>
          <t>1H-26 +10%; FY2023–25 +7–10%.</t>
        </is>
      </c>
    </row>
    <row r="59" ht="15" customHeight="1" s="251">
      <c r="B59" s="22" t="inlineStr">
        <is>
          <t xml:space="preserve">    y/y %</t>
        </is>
      </c>
      <c r="C59" s="23" t="n"/>
      <c r="D59" s="255">
        <f>IF(AND(ISNUMBER(D58),ISNUMBER(C58)),IFERROR(D58/C58-1,""),"")</f>
      </c>
      <c r="E59" s="255">
        <f>IF(AND(ISNUMBER(E58),ISNUMBER(D58)),IFERROR(E58/D58-1,""),"")</f>
      </c>
      <c r="F59" s="23" t="n"/>
      <c r="G59" s="23" t="n"/>
      <c r="H59" s="23" t="n"/>
      <c r="I59" s="23" t="n"/>
      <c r="J59" s="255">
        <f>IF(AND(ISNUMBER(J58),ISNUMBER(E58)),IFERROR(J58/E58-1,""),"")</f>
      </c>
      <c r="K59" s="255">
        <f>IF(AND(ISNUMBER(K58),ISNUMBER(F58)),IFERROR(K58/F58-1,""),"")</f>
      </c>
      <c r="L59" s="255">
        <f>IF(AND(ISNUMBER(L58),ISNUMBER(G58)),IFERROR(L58/G58-1,""),"")</f>
      </c>
      <c r="M59" s="255">
        <f>IF(AND(ISNUMBER(M58),ISNUMBER(H58)),IFERROR(M58/H58-1,""),"")</f>
      </c>
      <c r="N59" s="255">
        <f>IF(AND(ISNUMBER(N58),ISNUMBER(I58)),IFERROR(N58/I58-1,""),"")</f>
      </c>
      <c r="O59" s="255">
        <f>IF(AND(ISNUMBER(O58),ISNUMBER(J58)),IFERROR(O58/J58-1,""),"")</f>
      </c>
      <c r="P59" s="255">
        <f>IF(AND(ISNUMBER(P58),ISNUMBER(K58)),IFERROR(P58/K58-1,""),"")</f>
      </c>
      <c r="Q59" s="255">
        <f>IF(AND(ISNUMBER(Q58),ISNUMBER(L58)),IFERROR(Q58/L58-1,""),"")</f>
      </c>
      <c r="R59" s="255">
        <f>IF(AND(ISNUMBER(R58),ISNUMBER(M58)),IFERROR(R58/M58-1,""),"")</f>
      </c>
      <c r="S59" s="255">
        <f>IF(AND(ISNUMBER(S58),ISNUMBER(N58)),IFERROR(S58/N58-1,""),"")</f>
      </c>
      <c r="T59" s="255">
        <f>IF(AND(ISNUMBER(T58),ISNUMBER(O58)),IFERROR(T58/O58-1,""),"")</f>
      </c>
      <c r="U59" s="255">
        <f>IF(AND(ISNUMBER(U58),ISNUMBER(P58)),IFERROR(U58/P58-1,""),"")</f>
      </c>
      <c r="V59" s="255">
        <f>IF(AND(ISNUMBER(V58),ISNUMBER(Q58)),IFERROR(V58/Q58-1,""),"")</f>
      </c>
      <c r="W59" s="255">
        <f>IF(AND(ISNUMBER(W58),ISNUMBER(R58)),IFERROR(W58/R58-1,""),"")</f>
      </c>
      <c r="X59" s="255">
        <f>IF(AND(ISNUMBER(X58),ISNUMBER(S58)),IFERROR(X58/S58-1,""),"")</f>
      </c>
      <c r="Y59" s="255">
        <f>IF(AND(ISNUMBER(Y58),ISNUMBER(T58)),IFERROR(Y58/T58-1,""),"")</f>
      </c>
      <c r="Z59" s="255">
        <f>IF(AND(ISNUMBER(Z58),ISNUMBER(U58)),IFERROR(Z58/U58-1,""),"")</f>
      </c>
      <c r="AA59" s="255">
        <f>IF(AND(ISNUMBER(AA58),ISNUMBER(V58)),IFERROR(AA58/V58-1,""),"")</f>
      </c>
      <c r="AB59" s="255">
        <f>IF(AND(ISNUMBER(AB58),ISNUMBER(W58)),IFERROR(AB58/W58-1,""),"")</f>
      </c>
      <c r="AC59" s="255">
        <f>IF(AND(ISNUMBER(AC58),ISNUMBER(X58)),IFERROR(AC58/X58-1,""),"")</f>
      </c>
      <c r="AD59" s="255">
        <f>IF(AND(ISNUMBER(AD58),ISNUMBER(Y58)),IFERROR(AD58/Y58-1,""),"")</f>
      </c>
      <c r="AE59" s="255">
        <f>IF(AND(ISNUMBER(AE58),ISNUMBER(Z58)),IFERROR(AE58/Z58-1,""),"")</f>
      </c>
      <c r="AF59" s="255">
        <f>IF(AND(ISNUMBER(AF58),ISNUMBER(AA58)),IFERROR(AF58/AA58-1,""),"")</f>
      </c>
      <c r="AG59" s="255">
        <f>IF(AND(ISNUMBER(AG58),ISNUMBER(AB58)),IFERROR(AG58/AB58-1,""),"")</f>
      </c>
      <c r="AH59" s="255">
        <f>IF(AND(ISNUMBER(AH58),ISNUMBER(AC58)),IFERROR(AH58/AC58-1,""),"")</f>
      </c>
      <c r="AI59" s="255">
        <f>IF(AND(ISNUMBER(AI58),ISNUMBER(AD58)),IFERROR(AI58/AD58-1,""),"")</f>
      </c>
      <c r="AJ59" s="255">
        <f>IF(AND(ISNUMBER(AJ58),ISNUMBER(AE58)),IFERROR(AJ58/AE58-1,""),"")</f>
        <v>0.0769230769230769</v>
      </c>
      <c r="AK59" s="255">
        <f>IF(AND(ISNUMBER(AK58),ISNUMBER(AF58)),IFERROR(AK58/AF58-1,""),"")</f>
        <v>0.153846153846154</v>
      </c>
      <c r="AL59" s="255">
        <f>IF(AND(ISNUMBER(AL58),ISNUMBER(AG58)),IFERROR(AL58/AG58-1,""),"")</f>
        <v>0.142857142857143</v>
      </c>
      <c r="AM59" s="255">
        <f>IF(AND(ISNUMBER(AM58),ISNUMBER(AH58)),IFERROR(AM58/AH58-1,""),"")</f>
        <v>0.0714285714285714</v>
      </c>
      <c r="AN59" s="255">
        <f>IF(AND(ISNUMBER(AN58),ISNUMBER(AI58)),IFERROR(AN58/AI58-1,""),"")</f>
        <v>0.111111111111111</v>
      </c>
      <c r="AO59" s="255">
        <f>IF(AND(ISNUMBER(AO58),ISNUMBER(AJ58)),IFERROR(AO58/AJ58-1,""),"")</f>
        <v>0.214285714285714</v>
      </c>
      <c r="AP59" s="255">
        <f>IF(AND(ISNUMBER(AP58),ISNUMBER(AK58)),IFERROR(AP58/AK58-1,""),"")</f>
        <v>0</v>
      </c>
      <c r="AQ59" s="255">
        <f>IF(AND(ISNUMBER(AQ58),ISNUMBER(AL58)),IFERROR(AQ58/AL58-1,""),"")</f>
        <v>-0.0625</v>
      </c>
      <c r="AR59" s="255">
        <f>IF(AND(ISNUMBER(AR58),ISNUMBER(AM58)),IFERROR(AR58/AM58-1,""),"")</f>
        <v>-0.0666666666666667</v>
      </c>
      <c r="AS59" s="255">
        <f>IF(AND(ISNUMBER(AS58),ISNUMBER(AN58)),IFERROR(AS58/AN58-1,""),"")</f>
        <v>0.0333333333333334</v>
      </c>
      <c r="AT59" s="255">
        <f>IF(AND(ISNUMBER(AT58),ISNUMBER(AO58)),IFERROR(AT58/AO58-1,""),"")</f>
        <v>-0.0588235294117647</v>
      </c>
      <c r="AU59" s="255">
        <f>IF(AND(ISNUMBER(AU58),ISNUMBER(AP58)),IFERROR(AU58/AP58-1,""),"")</f>
        <v>0.0666666666666667</v>
      </c>
      <c r="AV59" s="255">
        <f>IF(AND(ISNUMBER(AV58),ISNUMBER(AQ58)),IFERROR(AV58/AQ58-1,""),"")</f>
        <v>0.133333333333333</v>
      </c>
      <c r="AW59" s="255">
        <f>IF(AND(ISNUMBER(AW58),ISNUMBER(AR58)),IFERROR(AW58/AR58-1,""),"")</f>
        <v>0.142857142857143</v>
      </c>
      <c r="AX59" s="255">
        <f>IF(AND(ISNUMBER(AX58),ISNUMBER(AS58)),IFERROR(AX58/AS58-1,""),"")</f>
        <v>0.064516129032258</v>
      </c>
      <c r="AY59" s="255">
        <f>IF(AND(ISNUMBER(AY58),ISNUMBER(AT58)),IFERROR(AY58/AT58-1,""),"")</f>
      </c>
      <c r="AZ59" s="255">
        <f>IF(AND(ISNUMBER(AZ58),ISNUMBER(AU58)),IFERROR(AZ58/AU58-1,""),"")</f>
        <v>-0.0625</v>
      </c>
      <c r="BA59" s="255">
        <f>IF(AND(ISNUMBER(BA58),ISNUMBER(AV58)),IFERROR(BA58/AV58-1,""),"")</f>
        <v>0</v>
      </c>
      <c r="BB59" s="255">
        <f>IF(AND(ISNUMBER(BB58),ISNUMBER(AW58)),IFERROR(BB58/AW58-1,""),"")</f>
        <v>0</v>
      </c>
      <c r="BC59" s="255">
        <f>IF(AND(ISNUMBER(BC58),ISNUMBER(AX58)),IFERROR(BC58/AX58-1,""),"")</f>
      </c>
      <c r="BD59" s="255">
        <f>IF(AND(ISNUMBER(BD58),ISNUMBER(AY58)),IFERROR(BD58/AY58-1,""),"")</f>
      </c>
      <c r="BE59" s="255">
        <f>IF(AND(ISNUMBER(BE58),ISNUMBER(AZ58)),IFERROR(BE58/AZ58-1,""),"")</f>
        <v>0.2</v>
      </c>
      <c r="BF59" s="255">
        <f>IF(AND(ISNUMBER(BF58),ISNUMBER(BA58)),IFERROR(BF58/BA58-1,""),"")</f>
        <v>0.235294117647059</v>
      </c>
      <c r="BG59" s="255">
        <f>IF(AND(ISNUMBER(BG58),ISNUMBER(BB58)),IFERROR(BG58/BB58-1,""),"")</f>
        <v>0.4375</v>
      </c>
      <c r="BH59" s="255">
        <f>IF(AND(ISNUMBER(BH58),ISNUMBER(BC58)),IFERROR(BH58/BC58-1,""),"")</f>
      </c>
      <c r="BI59" s="255">
        <f>IF(AND(ISNUMBER(BI58),ISNUMBER(BD58)),IFERROR(BI58/BD58-1,""),"")</f>
        <v>0.368421052631579</v>
      </c>
      <c r="BJ59" s="255">
        <f>IF(AND(ISNUMBER(BJ58),ISNUMBER(BE58)),IFERROR(BJ58/BE58-1,""),"")</f>
        <v>0.444444444444444</v>
      </c>
      <c r="BK59" s="255">
        <f>IF(AND(ISNUMBER(BK58),ISNUMBER(BF58)),IFERROR(BK58/BF58-1,""),"")</f>
        <v>0.238095238095238</v>
      </c>
      <c r="BL59" s="255">
        <f>IF(AND(ISNUMBER(BL58),ISNUMBER(BG58)),IFERROR(BL58/BG58-1,""),"")</f>
        <v>0.130434782608696</v>
      </c>
      <c r="BM59" s="255">
        <f>IF(AND(ISNUMBER(BM58),ISNUMBER(BH58)),IFERROR(BM58/BH58-1,""),"")</f>
        <v>0.271604938271605</v>
      </c>
      <c r="BN59" s="255">
        <f>IF(AND(ISNUMBER(BN58),ISNUMBER(BI58)),IFERROR(BN58/BI58-1,""),"")</f>
        <v>0.115384615384615</v>
      </c>
      <c r="BO59" s="255">
        <f>IF(AND(ISNUMBER(BO58),ISNUMBER(BJ58)),IFERROR(BO58/BJ58-1,""),"")</f>
        <v>0.153846153846154</v>
      </c>
      <c r="BP59" s="255">
        <f>IF(AND(ISNUMBER(BP58),ISNUMBER(BK58)),IFERROR(BP58/BK58-1,""),"")</f>
        <v>0.192307692307692</v>
      </c>
      <c r="BQ59" s="255">
        <f>IF(AND(ISNUMBER(BQ58),ISNUMBER(BL58)),IFERROR(BQ58/BL58-1,""),"")</f>
        <v>0.153846153846154</v>
      </c>
      <c r="BR59" s="255">
        <f>IF(AND(ISNUMBER(BR58),ISNUMBER(BM58)),IFERROR(BR58/BM58-1,""),"")</f>
        <v>0.16504854368932</v>
      </c>
      <c r="BS59" s="255">
        <f>IF(AND(ISNUMBER(BS58),ISNUMBER(BN58)),IFERROR(BS58/BN58-1,""),"")</f>
        <v>0.275862068965517</v>
      </c>
      <c r="BT59" s="255">
        <f>IF(AND(ISNUMBER(BT58),ISNUMBER(BO58)),IFERROR(BT58/BO58-1,""),"")</f>
        <v>-0.1</v>
      </c>
      <c r="BU59" s="256">
        <f>$BW$60+$BW$149</f>
        <v>0.0086180348231099</v>
      </c>
      <c r="BV59" s="256">
        <f>$BW$60+$BW$149</f>
        <v>0.0086180348231099</v>
      </c>
      <c r="BW59" s="256">
        <f>IF(AND(ISNUMBER(BW58),ISNUMBER(BR58)),IFERROR(BW58/BR58-1,""),"")</f>
        <v>0.0460475010350809</v>
      </c>
      <c r="BX59" s="256">
        <f>CHOOSE(MATCH($CC$2,{"Bull","Base","Bear"},0),$CL$65,$CM$65,$CN$65)</f>
        <v>0.06</v>
      </c>
      <c r="BY59" s="256">
        <f>CHOOSE(MATCH($CC$2,{"Bull","Base","Bear"},0),$CL$66,$CM$66,$CN$66)</f>
        <v>0.06</v>
      </c>
      <c r="BZ59" s="256">
        <f>CHOOSE(MATCH($CC$2,{"Bull","Base","Bear"},0),$CL$67,$CM$67,$CN$67)</f>
        <v>0.06</v>
      </c>
      <c r="CA59" s="256">
        <f>CHOOSE(MATCH($CC$2,{"Bull","Base","Bear"},0),$CL$68,$CM$68,$CN$68)</f>
        <v>0.06</v>
      </c>
      <c r="CB59" s="256">
        <f>CHOOSE(MATCH($CC$2,{"Bull","Base","Bear"},0),$CL$69,$CM$69,$CN$69)</f>
        <v>0.06</v>
      </c>
      <c r="CC59" s="153" t="n"/>
      <c r="CK59" s="25" t="inlineStr">
        <is>
          <t xml:space="preserve">  2027E</t>
        </is>
      </c>
      <c r="CL59" s="33">
        <f>CM59+$CL$58</f>
        <v>0.1</v>
      </c>
      <c r="CM59" s="42" t="n">
        <v>0.08</v>
      </c>
      <c r="CN59" s="33">
        <f>CM59+$CN$58</f>
        <v>0.05</v>
      </c>
    </row>
    <row r="60" ht="15" customHeight="1" s="251">
      <c r="B60" s="25" t="inlineStr">
        <is>
          <t xml:space="preserve">    Q3–Q4/26E growth before revenue calibration (1H-26 y/y)</t>
        </is>
      </c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  <c r="AP60" s="36" t="n"/>
      <c r="AQ60" s="36" t="n"/>
      <c r="AR60" s="36" t="n"/>
      <c r="AS60" s="36" t="n"/>
      <c r="AT60" s="36" t="n"/>
      <c r="AU60" s="36" t="n"/>
      <c r="AV60" s="36" t="n"/>
      <c r="AW60" s="36" t="n"/>
      <c r="AX60" s="36" t="n"/>
      <c r="AY60" s="36" t="n"/>
      <c r="AZ60" s="36" t="n"/>
      <c r="BA60" s="36" t="n"/>
      <c r="BB60" s="36" t="n"/>
      <c r="BC60" s="36" t="n"/>
      <c r="BD60" s="36" t="n"/>
      <c r="BE60" s="36" t="n"/>
      <c r="BF60" s="36" t="n"/>
      <c r="BG60" s="36" t="n"/>
      <c r="BH60" s="36" t="n"/>
      <c r="BI60" s="36" t="n"/>
      <c r="BJ60" s="36" t="n"/>
      <c r="BK60" s="36" t="n"/>
      <c r="BL60" s="36" t="n"/>
      <c r="BM60" s="36" t="n"/>
      <c r="BN60" s="36" t="n"/>
      <c r="BO60" s="36" t="n"/>
      <c r="BP60" s="36" t="n"/>
      <c r="BQ60" s="36" t="n"/>
      <c r="BR60" s="36" t="n"/>
      <c r="BS60" s="36" t="n"/>
      <c r="BT60" s="36" t="n"/>
      <c r="BU60" s="24" t="n"/>
      <c r="BV60" s="24" t="n"/>
      <c r="BW60" s="256">
        <f>IFERROR(SUM(BS58:BT58)/SUM(BN58:BO58)-1,0)</f>
        <v>0.0847457627118644</v>
      </c>
      <c r="BX60" s="46" t="n"/>
      <c r="BY60" s="46" t="n"/>
      <c r="BZ60" s="46" t="n"/>
      <c r="CA60" s="46" t="n"/>
      <c r="CB60" s="46" t="n"/>
      <c r="CC60" s="19" t="n"/>
      <c r="CK60" s="25" t="inlineStr">
        <is>
          <t xml:space="preserve">  2028E</t>
        </is>
      </c>
      <c r="CL60" s="33">
        <f>CM60+$CL$58</f>
        <v>0.1</v>
      </c>
      <c r="CM60" s="42" t="n">
        <v>0.08</v>
      </c>
      <c r="CN60" s="33">
        <f>CM60+$CN$58</f>
        <v>0.05</v>
      </c>
    </row>
    <row r="61" ht="15" customHeight="1" s="251">
      <c r="B61" s="25" t="inlineStr">
        <is>
          <t xml:space="preserve">  Not split by type (history only: periods without a revenue-by-type table on this basis)</t>
        </is>
      </c>
      <c r="C61" s="211">
        <f>IF(ISNUMBER(C65),C65-(N(C52)+N(C55)+N(C58)),"")</f>
        <v>811</v>
      </c>
      <c r="D61" s="211">
        <f>IF(ISNUMBER(D65),D65-(N(D52)+N(D55)+N(D58)),"")</f>
        <v>0</v>
      </c>
      <c r="E61" s="211">
        <f>IF(ISNUMBER(E65),E65-(N(E52)+N(E55)+N(E58)),"")</f>
        <v>0</v>
      </c>
      <c r="F61" s="211">
        <f>IF(ISNUMBER(F65),F65-(N(F52)+N(F55)+N(F58)),"")</f>
        <v>0</v>
      </c>
      <c r="G61" s="211">
        <f>IF(ISNUMBER(G65),G65-(N(G52)+N(G55)+N(G58)),"")</f>
        <v>0</v>
      </c>
      <c r="H61" s="211">
        <f>IF(ISNUMBER(H65),H65-(N(H52)+N(H55)+N(H58)),"")</f>
        <v>0</v>
      </c>
      <c r="I61" s="211">
        <f>IF(ISNUMBER(I65),I65-(N(I52)+N(I55)+N(I58)),"")</f>
        <v>0</v>
      </c>
      <c r="J61" s="211">
        <f>IF(ISNUMBER(J65),J65-(N(J52)+N(J55)+N(J58)),"")</f>
        <v>0</v>
      </c>
      <c r="K61" s="211">
        <f>IF(ISNUMBER(K65),K65-(N(K52)+N(K55)+N(K58)),"")</f>
        <v>0</v>
      </c>
      <c r="L61" s="211">
        <f>IF(ISNUMBER(L65),L65-(N(L52)+N(L55)+N(L58)),"")</f>
        <v>0</v>
      </c>
      <c r="M61" s="211">
        <f>IF(ISNUMBER(M65),M65-(N(M52)+N(M55)+N(M58)),"")</f>
        <v>0</v>
      </c>
      <c r="N61" s="211">
        <f>IF(ISNUMBER(N65),N65-(N(N52)+N(N55)+N(N58)),"")</f>
        <v>0</v>
      </c>
      <c r="O61" s="211">
        <f>IF(ISNUMBER(O65),O65-(N(O52)+N(O55)+N(O58)),"")</f>
        <v>0</v>
      </c>
      <c r="P61" s="211">
        <f>IF(ISNUMBER(P65),P65-(N(P52)+N(P55)+N(P58)),"")</f>
        <v>0</v>
      </c>
      <c r="Q61" s="211">
        <f>IF(ISNUMBER(Q65),Q65-(N(Q52)+N(Q55)+N(Q58)),"")</f>
        <v>0</v>
      </c>
      <c r="R61" s="211">
        <f>IF(ISNUMBER(R65),R65-(N(R52)+N(R55)+N(R58)),"")</f>
        <v>0</v>
      </c>
      <c r="S61" s="211">
        <f>IF(ISNUMBER(S65),S65-(N(S52)+N(S55)+N(S58)),"")</f>
        <v>0</v>
      </c>
      <c r="T61" s="211">
        <f>IF(ISNUMBER(T65),T65-(N(T52)+N(T55)+N(T58)),"")</f>
        <v>0</v>
      </c>
      <c r="U61" s="211">
        <f>IF(ISNUMBER(U65),U65-(N(U52)+N(U55)+N(U58)),"")</f>
        <v>0</v>
      </c>
      <c r="V61" s="211">
        <f>IF(ISNUMBER(V65),V65-(N(V52)+N(V55)+N(V58)),"")</f>
        <v>0</v>
      </c>
      <c r="W61" s="211">
        <f>IF(ISNUMBER(W65),W65-(N(W52)+N(W55)+N(W58)),"")</f>
        <v>0</v>
      </c>
      <c r="X61" s="211">
        <f>IF(ISNUMBER(X65),X65-(N(X52)+N(X55)+N(X58)),"")</f>
        <v>188</v>
      </c>
      <c r="Y61" s="211">
        <f>IF(ISNUMBER(Y65),Y65-(N(Y52)+N(Y55)+N(Y58)),"")</f>
        <v>712</v>
      </c>
      <c r="Z61" s="211">
        <f>IF(ISNUMBER(Z65),Z65-(N(Z52)+N(Z55)+N(Z58)),"")</f>
        <v>191</v>
      </c>
      <c r="AA61" s="211">
        <f>IF(ISNUMBER(AA65),AA65-(N(AA52)+N(AA55)+N(AA58)),"")</f>
        <v>192</v>
      </c>
      <c r="AB61" s="211">
        <f>IF(ISNUMBER(AB65),AB65-(N(AB52)+N(AB55)+N(AB58)),"")</f>
        <v>193</v>
      </c>
      <c r="AC61" s="211">
        <f>IF(ISNUMBER(AC65),AC65-(N(AC52)+N(AC55)+N(AC58)),"")</f>
        <v>197</v>
      </c>
      <c r="AD61" s="211">
        <f>IF(ISNUMBER(AD65),AD65-(N(AD52)+N(AD55)+N(AD58)),"")</f>
        <v>774</v>
      </c>
      <c r="AE61" s="211">
        <f>IF(ISNUMBER(AE65),AE65-(N(AE52)+N(AE55)+N(AE58)),"")</f>
        <v>0</v>
      </c>
      <c r="AF61" s="211">
        <f>IF(ISNUMBER(AF65),AF65-(N(AF52)+N(AF55)+N(AF58)),"")</f>
        <v>0</v>
      </c>
      <c r="AG61" s="211">
        <f>IF(ISNUMBER(AG65),AG65-(N(AG52)+N(AG55)+N(AG58)),"")</f>
        <v>0</v>
      </c>
      <c r="AH61" s="211">
        <f>IF(ISNUMBER(AH65),AH65-(N(AH52)+N(AH55)+N(AH58)),"")</f>
        <v>0</v>
      </c>
      <c r="AI61" s="211">
        <f>IF(ISNUMBER(AI65),AI65-(N(AI52)+N(AI55)+N(AI58)),"")</f>
        <v>0</v>
      </c>
      <c r="AJ61" s="211">
        <f>IF(ISNUMBER(AJ65),AJ65-(N(AJ52)+N(AJ55)+N(AJ58)),"")</f>
        <v>0</v>
      </c>
      <c r="AK61" s="211">
        <f>IF(ISNUMBER(AK65),AK65-(N(AK52)+N(AK55)+N(AK58)),"")</f>
        <v>0</v>
      </c>
      <c r="AL61" s="211">
        <f>IF(ISNUMBER(AL65),AL65-(N(AL52)+N(AL55)+N(AL58)),"")</f>
        <v>0</v>
      </c>
      <c r="AM61" s="211">
        <f>IF(ISNUMBER(AM65),AM65-(N(AM52)+N(AM55)+N(AM58)),"")</f>
        <v>0</v>
      </c>
      <c r="AN61" s="211">
        <f>IF(ISNUMBER(AN65),AN65-(N(AN52)+N(AN55)+N(AN58)),"")</f>
        <v>0</v>
      </c>
      <c r="AO61" s="211">
        <f>IF(ISNUMBER(AO65),AO65-(N(AO52)+N(AO55)+N(AO58)),"")</f>
        <v>0</v>
      </c>
      <c r="AP61" s="211">
        <f>IF(ISNUMBER(AP65),AP65-(N(AP52)+N(AP55)+N(AP58)),"")</f>
        <v>0</v>
      </c>
      <c r="AQ61" s="211">
        <f>IF(ISNUMBER(AQ65),AQ65-(N(AQ52)+N(AQ55)+N(AQ58)),"")</f>
        <v>0</v>
      </c>
      <c r="AR61" s="211">
        <f>IF(ISNUMBER(AR65),AR65-(N(AR52)+N(AR55)+N(AR58)),"")</f>
        <v>0</v>
      </c>
      <c r="AS61" s="211">
        <f>IF(ISNUMBER(AS65),AS65-(N(AS52)+N(AS55)+N(AS58)),"")</f>
        <v>0</v>
      </c>
      <c r="AT61" s="211">
        <f>IF(ISNUMBER(AT65),AT65-(N(AT52)+N(AT55)+N(AT58)),"")</f>
        <v>0</v>
      </c>
      <c r="AU61" s="211">
        <f>IF(ISNUMBER(AU65),AU65-(N(AU52)+N(AU55)+N(AU58)),"")</f>
        <v>0</v>
      </c>
      <c r="AV61" s="211">
        <f>IF(ISNUMBER(AV65),AV65-(N(AV52)+N(AV55)+N(AV58)),"")</f>
        <v>0</v>
      </c>
      <c r="AW61" s="211">
        <f>IF(ISNUMBER(AW65),AW65-(N(AW52)+N(AW55)+N(AW58)),"")</f>
        <v>0</v>
      </c>
      <c r="AX61" s="211">
        <f>IF(ISNUMBER(AX65),AX65-(N(AX52)+N(AX55)+N(AX58)),"")</f>
        <v>0</v>
      </c>
      <c r="AY61" s="211">
        <f>IF(ISNUMBER(AY65),AY65-(N(AY52)+N(AY55)+N(AY58)),"")</f>
        <v>363</v>
      </c>
      <c r="AZ61" s="211">
        <f>IF(ISNUMBER(AZ65),AZ65-(N(AZ52)+N(AZ55)+N(AZ58)),"")</f>
        <v>11</v>
      </c>
      <c r="BA61" s="211">
        <f>IF(ISNUMBER(BA65),BA65-(N(BA52)+N(BA55)+N(BA58)),"")</f>
        <v>0</v>
      </c>
      <c r="BB61" s="211">
        <f>IF(ISNUMBER(BB65),BB65-(N(BB52)+N(BB55)+N(BB58)),"")</f>
        <v>0</v>
      </c>
      <c r="BC61" s="211">
        <f>IF(ISNUMBER(BC65),BC65-(N(BC52)+N(BC55)+N(BC58)),"")</f>
        <v>1685</v>
      </c>
      <c r="BD61" s="211">
        <f>IF(ISNUMBER(BD65),BD65-(N(BD52)+N(BD55)+N(BD58)),"")</f>
        <v>0</v>
      </c>
      <c r="BE61" s="211">
        <f>IF(ISNUMBER(BE65),BE65-(N(BE52)+N(BE55)+N(BE58)),"")</f>
        <v>0</v>
      </c>
      <c r="BF61" s="211">
        <f>IF(ISNUMBER(BF65),BF65-(N(BF52)+N(BF55)+N(BF58)),"")</f>
        <v>0</v>
      </c>
      <c r="BG61" s="211">
        <f>IF(ISNUMBER(BG65),BG65-(N(BG52)+N(BG55)+N(BG58)),"")</f>
        <v>0</v>
      </c>
      <c r="BH61" s="211">
        <f>IF(ISNUMBER(BH65),BH65-(N(BH52)+N(BH55)+N(BH58)),"")</f>
        <v>0</v>
      </c>
      <c r="BI61" s="211">
        <f>IF(ISNUMBER(BI65),BI65-(N(BI52)+N(BI55)+N(BI58)),"")</f>
        <v>0</v>
      </c>
      <c r="BJ61" s="211">
        <f>IF(ISNUMBER(BJ65),BJ65-(N(BJ52)+N(BJ55)+N(BJ58)),"")</f>
        <v>0</v>
      </c>
      <c r="BK61" s="211">
        <f>IF(ISNUMBER(BK65),BK65-(N(BK52)+N(BK55)+N(BK58)),"")</f>
        <v>0</v>
      </c>
      <c r="BL61" s="211">
        <f>IF(ISNUMBER(BL65),BL65-(N(BL52)+N(BL55)+N(BL58)),"")</f>
        <v>0</v>
      </c>
      <c r="BM61" s="211">
        <f>IF(ISNUMBER(BM65),BM65-(N(BM52)+N(BM55)+N(BM58)),"")</f>
        <v>0</v>
      </c>
      <c r="BN61" s="211">
        <f>IF(ISNUMBER(BN65),BN65-(N(BN52)+N(BN55)+N(BN58)),"")</f>
        <v>0</v>
      </c>
      <c r="BO61" s="211">
        <f>IF(ISNUMBER(BO65),BO65-(N(BO52)+N(BO55)+N(BO58)),"")</f>
        <v>0</v>
      </c>
      <c r="BP61" s="211">
        <f>IF(ISNUMBER(BP65),BP65-(N(BP52)+N(BP55)+N(BP58)),"")</f>
        <v>0</v>
      </c>
      <c r="BQ61" s="211">
        <f>IF(ISNUMBER(BQ65),BQ65-(N(BQ52)+N(BQ55)+N(BQ58)),"")</f>
        <v>0</v>
      </c>
      <c r="BR61" s="211">
        <f>IF(ISNUMBER(BR65),BR65-(N(BR52)+N(BR55)+N(BR58)),"")</f>
        <v>0</v>
      </c>
      <c r="BS61" s="211">
        <f>IF(ISNUMBER(BS65),BS65-(N(BS52)+N(BS55)+N(BS58)),"")</f>
        <v>0</v>
      </c>
      <c r="BT61" s="211">
        <f>IF(ISNUMBER(BT65),BT65-(N(BT52)+N(BT55)+N(BT58)),"")</f>
        <v>0</v>
      </c>
      <c r="BU61" s="35" t="n"/>
      <c r="BV61" s="35" t="n"/>
      <c r="BW61" s="35" t="n"/>
      <c r="BX61" s="35" t="n"/>
      <c r="BY61" s="35" t="n"/>
      <c r="BZ61" s="35" t="n"/>
      <c r="CA61" s="35" t="n"/>
      <c r="CB61" s="35" t="n"/>
      <c r="CC61" s="19" t="n"/>
      <c r="CK61" s="25" t="inlineStr">
        <is>
          <t xml:space="preserve">  2029E</t>
        </is>
      </c>
      <c r="CL61" s="33">
        <f>CM61+$CL$58</f>
        <v>0.09</v>
      </c>
      <c r="CM61" s="42" t="n">
        <v>0.07000000000000001</v>
      </c>
      <c r="CN61" s="33">
        <f>CM61+$CN$58</f>
        <v>0.04</v>
      </c>
    </row>
    <row r="62" ht="15" customHeight="1" s="251">
      <c r="B62" s="16" t="inlineStr">
        <is>
          <t xml:space="preserve">  Energy (Commodity Insights / Platts) — division revenue</t>
        </is>
      </c>
      <c r="C62" s="260">
        <f>IF(ISNUMBER(C65),N(C52)+N(C55)+N(C58)+N(C61),"")</f>
        <v>811</v>
      </c>
      <c r="D62" s="260">
        <f>IF(ISNUMBER(D65),N(D52)+N(D55)+N(D58)+N(D61),"")</f>
        <v>896</v>
      </c>
      <c r="E62" s="260">
        <f>IF(ISNUMBER(E65),N(E52)+N(E55)+N(E58)+N(E61),"")</f>
        <v>973</v>
      </c>
      <c r="F62" s="260">
        <f>IF(ISNUMBER(F65),N(F52)+N(F55)+N(F58)+N(F61),"")</f>
        <v>236</v>
      </c>
      <c r="G62" s="260">
        <f>IF(ISNUMBER(G65),N(G52)+N(G55)+N(G58)+N(G61),"")</f>
        <v>259</v>
      </c>
      <c r="H62" s="260">
        <f>IF(ISNUMBER(H65),N(H52)+N(H55)+N(H58)+N(H61),"")</f>
        <v>255</v>
      </c>
      <c r="I62" s="260">
        <f>IF(ISNUMBER(I65),N(I52)+N(I55)+N(I58)+N(I61),"")</f>
        <v>264</v>
      </c>
      <c r="J62" s="260">
        <f>IF(ISNUMBER(J65),N(J52)+N(J55)+N(J58)+N(J61),"")</f>
        <v>1014</v>
      </c>
      <c r="K62" s="260">
        <f>IF(ISNUMBER(K65),N(K52)+N(K55)+N(K58)+N(K61),"")</f>
        <v>251</v>
      </c>
      <c r="L62" s="260">
        <f>IF(ISNUMBER(L65),N(L52)+N(L55)+N(L58)+N(L61),"")</f>
        <v>263</v>
      </c>
      <c r="M62" s="260">
        <f>IF(ISNUMBER(M65),N(M52)+N(M55)+N(M58)+N(M61),"")</f>
        <v>227</v>
      </c>
      <c r="N62" s="260">
        <f>IF(ISNUMBER(N65),N(N52)+N(N55)+N(N58)+N(N61),"")</f>
        <v>236</v>
      </c>
      <c r="O62" s="260">
        <f>IF(ISNUMBER(O65),N(O52)+N(O55)+N(O58)+N(O61),"")</f>
        <v>893</v>
      </c>
      <c r="P62" s="260">
        <f>IF(ISNUMBER(P65),N(P52)+N(P55)+N(P58)+N(P61),"")</f>
        <v>225</v>
      </c>
      <c r="Q62" s="260">
        <f>IF(ISNUMBER(Q65),N(Q52)+N(Q55)+N(Q58)+N(Q61),"")</f>
        <v>234</v>
      </c>
      <c r="R62" s="260">
        <f>IF(ISNUMBER(R65),N(R52)+N(R55)+N(R58)+N(R61),"")</f>
        <v>248</v>
      </c>
      <c r="S62" s="260">
        <f>IF(ISNUMBER(S65),N(S52)+N(S55)+N(S58)+N(S61),"")</f>
        <v>264</v>
      </c>
      <c r="T62" s="260">
        <f>IF(ISNUMBER(T65),N(T52)+N(T55)+N(T58)+N(T61),"")</f>
        <v>971</v>
      </c>
      <c r="U62" s="260">
        <f>IF(ISNUMBER(U65),N(U52)+N(U55)+N(U58)+N(U61),"")</f>
        <v>254</v>
      </c>
      <c r="V62" s="260">
        <f>IF(ISNUMBER(V65),N(V52)+N(V55)+N(V58)+N(V61),"")</f>
        <v>255</v>
      </c>
      <c r="W62" s="260">
        <f>IF(ISNUMBER(W65),N(W52)+N(W55)+N(W58)+N(W61),"")</f>
        <v>229</v>
      </c>
      <c r="X62" s="260">
        <f>IF(ISNUMBER(X65),N(X52)+N(X55)+N(X58)+N(X61),"")</f>
        <v>188</v>
      </c>
      <c r="Y62" s="260">
        <f>IF(ISNUMBER(Y65),N(Y52)+N(Y55)+N(Y58)+N(Y61),"")</f>
        <v>712</v>
      </c>
      <c r="Z62" s="260">
        <f>IF(ISNUMBER(Z65),N(Z52)+N(Z55)+N(Z58)+N(Z61),"")</f>
        <v>191</v>
      </c>
      <c r="AA62" s="260">
        <f>IF(ISNUMBER(AA65),N(AA52)+N(AA55)+N(AA58)+N(AA61),"")</f>
        <v>192</v>
      </c>
      <c r="AB62" s="260">
        <f>IF(ISNUMBER(AB65),N(AB52)+N(AB55)+N(AB58)+N(AB61),"")</f>
        <v>193</v>
      </c>
      <c r="AC62" s="260">
        <f>IF(ISNUMBER(AC65),N(AC52)+N(AC55)+N(AC58)+N(AC61),"")</f>
        <v>197</v>
      </c>
      <c r="AD62" s="260">
        <f>IF(ISNUMBER(AD65),N(AD52)+N(AD55)+N(AD58)+N(AD61),"")</f>
        <v>774</v>
      </c>
      <c r="AE62" s="260">
        <f>IF(ISNUMBER(AE65),N(AE52)+N(AE55)+N(AE58)+N(AE61),"")</f>
        <v>196</v>
      </c>
      <c r="AF62" s="260">
        <f>IF(ISNUMBER(AF65),N(AF52)+N(AF55)+N(AF58)+N(AF61),"")</f>
        <v>205</v>
      </c>
      <c r="AG62" s="260">
        <f>IF(ISNUMBER(AG65),N(AG52)+N(AG55)+N(AG58)+N(AG61),"")</f>
        <v>204</v>
      </c>
      <c r="AH62" s="260">
        <f>IF(ISNUMBER(AH65),N(AH52)+N(AH55)+N(AH58)+N(AH61),"")</f>
        <v>210</v>
      </c>
      <c r="AI62" s="260">
        <f>IF(ISNUMBER(AI65),N(AI52)+N(AI55)+N(AI58)+N(AI61),"")</f>
        <v>815</v>
      </c>
      <c r="AJ62" s="260">
        <f>IF(ISNUMBER(AJ65),N(AJ52)+N(AJ55)+N(AJ58)+N(AJ61),"")</f>
        <v>207</v>
      </c>
      <c r="AK62" s="260">
        <f>IF(ISNUMBER(AK65),N(AK52)+N(AK55)+N(AK58)+N(AK61),"")</f>
        <v>213</v>
      </c>
      <c r="AL62" s="260">
        <f>IF(ISNUMBER(AL65),N(AL52)+N(AL55)+N(AL58)+N(AL61),"")</f>
        <v>212</v>
      </c>
      <c r="AM62" s="260">
        <f>IF(ISNUMBER(AM65),N(AM52)+N(AM55)+N(AM58)+N(AM61),"")</f>
        <v>213</v>
      </c>
      <c r="AN62" s="260">
        <f>IF(ISNUMBER(AN65),N(AN52)+N(AN55)+N(AN58)+N(AN61),"")</f>
        <v>844</v>
      </c>
      <c r="AO62" s="260">
        <f>IF(ISNUMBER(AO65),N(AO52)+N(AO55)+N(AO58)+N(AO61),"")</f>
        <v>215</v>
      </c>
      <c r="AP62" s="260">
        <f>IF(ISNUMBER(AP65),N(AP52)+N(AP55)+N(AP58)+N(AP61),"")</f>
        <v>217</v>
      </c>
      <c r="AQ62" s="260">
        <f>IF(ISNUMBER(AQ65),N(AQ52)+N(AQ55)+N(AQ58)+N(AQ61),"")</f>
        <v>222</v>
      </c>
      <c r="AR62" s="260">
        <f>IF(ISNUMBER(AR65),N(AR52)+N(AR55)+N(AR58)+N(AR61),"")</f>
        <v>223</v>
      </c>
      <c r="AS62" s="260">
        <f>IF(ISNUMBER(AS65),N(AS52)+N(AS55)+N(AS58)+N(AS61),"")</f>
        <v>878</v>
      </c>
      <c r="AT62" s="260">
        <f>IF(ISNUMBER(AT65),N(AT52)+N(AT55)+N(AT58)+N(AT61),"")</f>
        <v>225</v>
      </c>
      <c r="AU62" s="260">
        <f>IF(ISNUMBER(AU65),N(AU52)+N(AU55)+N(AU58)+N(AU61),"")</f>
        <v>236</v>
      </c>
      <c r="AV62" s="260">
        <f>IF(ISNUMBER(AV65),N(AV52)+N(AV55)+N(AV58)+N(AV61),"")</f>
        <v>239</v>
      </c>
      <c r="AW62" s="260">
        <f>IF(ISNUMBER(AW65),N(AW52)+N(AW55)+N(AW58)+N(AW61),"")</f>
        <v>249</v>
      </c>
      <c r="AX62" s="260">
        <f>IF(ISNUMBER(AX65),N(AX52)+N(AX55)+N(AX58)+N(AX61),"")</f>
        <v>950</v>
      </c>
      <c r="AY62" s="260">
        <f>IF(ISNUMBER(AY65),N(AY52)+N(AY55)+N(AY58)+N(AY61),"")</f>
        <v>363</v>
      </c>
      <c r="AZ62" s="260">
        <f>IF(ISNUMBER(AZ65),N(AZ52)+N(AZ55)+N(AZ58)+N(AZ61),"")</f>
        <v>438</v>
      </c>
      <c r="BA62" s="260">
        <f>IF(ISNUMBER(BA65),N(BA52)+N(BA55)+N(BA58)+N(BA61),"")</f>
        <v>432</v>
      </c>
      <c r="BB62" s="260">
        <f>IF(ISNUMBER(BB65),N(BB52)+N(BB55)+N(BB58)+N(BB61),"")</f>
        <v>451</v>
      </c>
      <c r="BC62" s="260">
        <f>IF(ISNUMBER(BC65),N(BC52)+N(BC55)+N(BC58)+N(BC61),"")</f>
        <v>1685</v>
      </c>
      <c r="BD62" s="260">
        <f>IF(ISNUMBER(BD65),N(BD52)+N(BD55)+N(BD58)+N(BD61),"")</f>
        <v>508</v>
      </c>
      <c r="BE62" s="260">
        <f>IF(ISNUMBER(BE65),N(BE52)+N(BE55)+N(BE58)+N(BE61),"")</f>
        <v>462</v>
      </c>
      <c r="BF62" s="260">
        <f>IF(ISNUMBER(BF65),N(BF52)+N(BF55)+N(BF58)+N(BF61),"")</f>
        <v>479</v>
      </c>
      <c r="BG62" s="260">
        <f>IF(ISNUMBER(BG65),N(BG52)+N(BG55)+N(BG58)+N(BG61),"")</f>
        <v>497</v>
      </c>
      <c r="BH62" s="260">
        <f>IF(ISNUMBER(BH65),N(BH52)+N(BH55)+N(BH58)+N(BH61),"")</f>
        <v>1946</v>
      </c>
      <c r="BI62" s="260">
        <f>IF(ISNUMBER(BI65),N(BI52)+N(BI55)+N(BI58)+N(BI61),"")</f>
        <v>559</v>
      </c>
      <c r="BJ62" s="260">
        <f>IF(ISNUMBER(BJ65),N(BJ52)+N(BJ55)+N(BJ58)+N(BJ61),"")</f>
        <v>516</v>
      </c>
      <c r="BK62" s="260">
        <f>IF(ISNUMBER(BK65),N(BK52)+N(BK55)+N(BK58)+N(BK61),"")</f>
        <v>522</v>
      </c>
      <c r="BL62" s="260">
        <f>IF(ISNUMBER(BL65),N(BL52)+N(BL55)+N(BL58)+N(BL61),"")</f>
        <v>545</v>
      </c>
      <c r="BM62" s="260">
        <f>IF(ISNUMBER(BM65),N(BM52)+N(BM55)+N(BM58)+N(BM61),"")</f>
        <v>2142</v>
      </c>
      <c r="BN62" s="260">
        <f>IF(ISNUMBER(BN65),N(BN52)+N(BN55)+N(BN58)+N(BN61),"")</f>
        <v>680</v>
      </c>
      <c r="BO62" s="260">
        <f>IF(ISNUMBER(BO65),N(BO52)+N(BO55)+N(BO58)+N(BO61),"")</f>
        <v>607</v>
      </c>
      <c r="BP62" s="260">
        <f>IF(ISNUMBER(BP65),N(BP52)+N(BP55)+N(BP58)+N(BP61),"")</f>
        <v>609</v>
      </c>
      <c r="BQ62" s="260">
        <f>IF(ISNUMBER(BQ65),N(BQ52)+N(BQ55)+N(BQ58)+N(BQ61),"")</f>
        <v>629</v>
      </c>
      <c r="BR62" s="260">
        <f>IF(ISNUMBER(BR65),N(BR52)+N(BR55)+N(BR58)+N(BR61),"")</f>
        <v>2525</v>
      </c>
      <c r="BS62" s="260">
        <f>IF(ISNUMBER(BS65),N(BS52)+N(BS55)+N(BS58)+N(BS61),"")</f>
        <v>724</v>
      </c>
      <c r="BT62" s="260">
        <f>IF(ISNUMBER(BT65),N(BT52)+N(BT55)+N(BT58)+N(BT61),"")</f>
        <v>623</v>
      </c>
      <c r="BU62" s="261">
        <f>BU52+BU55+BU58</f>
        <v>589.542488180516</v>
      </c>
      <c r="BV62" s="261">
        <f>BV52+BV55+BV58</f>
        <v>608.960586363557</v>
      </c>
      <c r="BW62" s="261">
        <f>BW52+BW55+BW58</f>
        <v>2545.50307454407</v>
      </c>
      <c r="BX62" s="261">
        <f>BX52+BX55+BX58</f>
        <v>2698.23325901672</v>
      </c>
      <c r="BY62" s="261">
        <f>BY52+BY55+BY58</f>
        <v>2860.12725455772</v>
      </c>
      <c r="BZ62" s="261">
        <f>BZ52+BZ55+BZ58</f>
        <v>3031.73488983119</v>
      </c>
      <c r="CA62" s="261">
        <f>CA52+CA55+CA58</f>
        <v>3213.63898322106</v>
      </c>
      <c r="CB62" s="261">
        <f>CB52+CB55+CB58</f>
        <v>3406.45732221432</v>
      </c>
      <c r="CC62" s="153" t="n"/>
      <c r="CE62" s="20">
        <f>IFERROR((CB62/BW62)^(1/5)-1,"n/m")</f>
        <v>0.0600000000000001</v>
      </c>
      <c r="CF62" s="20">
        <f>IFERROR((BR62/AS62)^(1/5)-1,"n/m")</f>
        <v>0.235245764175846</v>
      </c>
      <c r="CG62" s="20">
        <f>IFERROR((BR62/T62)^(1/10)-1,"n/m")</f>
        <v>0.100282524566904</v>
      </c>
      <c r="CH62" s="20">
        <f>IFERROR((BR62/C62)^(1/15)-1,"n/m")</f>
        <v>0.0786553500508886</v>
      </c>
      <c r="CK62" s="25" t="inlineStr">
        <is>
          <t xml:space="preserve">  2030E</t>
        </is>
      </c>
      <c r="CL62" s="33">
        <f>CM62+$CL$58</f>
        <v>0.09</v>
      </c>
      <c r="CM62" s="42" t="n">
        <v>0.07000000000000001</v>
      </c>
      <c r="CN62" s="33">
        <f>CM62+$CN$58</f>
        <v>0.04</v>
      </c>
    </row>
    <row r="63" ht="15" customHeight="1" s="251">
      <c r="B63" s="22" t="inlineStr">
        <is>
          <t xml:space="preserve">  Division revenue y/y %</t>
        </is>
      </c>
      <c r="C63" s="23" t="n"/>
      <c r="D63" s="255">
        <f>IF(AND(ISNUMBER(D62),ISNUMBER(C62)),IFERROR(D62/C62-1,""),"")</f>
        <v>0.104808877928483</v>
      </c>
      <c r="E63" s="255">
        <f>IF(AND(ISNUMBER(E62),ISNUMBER(D62)),IFERROR(E62/D62-1,""),"")</f>
        <v>0.0859375</v>
      </c>
      <c r="F63" s="23" t="n"/>
      <c r="G63" s="23" t="n"/>
      <c r="H63" s="23" t="n"/>
      <c r="I63" s="23" t="n"/>
      <c r="J63" s="255">
        <f>IF(AND(ISNUMBER(J62),ISNUMBER(E62)),IFERROR(J62/E62-1,""),"")</f>
        <v>0.0421377183967111</v>
      </c>
      <c r="K63" s="255">
        <f>IF(AND(ISNUMBER(K62),ISNUMBER(F62)),IFERROR(K62/F62-1,""),"")</f>
        <v>0.0635593220338984</v>
      </c>
      <c r="L63" s="255">
        <f>IF(AND(ISNUMBER(L62),ISNUMBER(G62)),IFERROR(L62/G62-1,""),"")</f>
        <v>0.0154440154440154</v>
      </c>
      <c r="M63" s="255">
        <f>IF(AND(ISNUMBER(M62),ISNUMBER(H62)),IFERROR(M62/H62-1,""),"")</f>
        <v>-0.109803921568628</v>
      </c>
      <c r="N63" s="255">
        <f>IF(AND(ISNUMBER(N62),ISNUMBER(I62)),IFERROR(N62/I62-1,""),"")</f>
        <v>-0.106060606060606</v>
      </c>
      <c r="O63" s="255">
        <f>IF(AND(ISNUMBER(O62),ISNUMBER(J62)),IFERROR(O62/J62-1,""),"")</f>
        <v>-0.119329388560158</v>
      </c>
      <c r="P63" s="255">
        <f>IF(AND(ISNUMBER(P62),ISNUMBER(K62)),IFERROR(P62/K62-1,""),"")</f>
        <v>-0.103585657370518</v>
      </c>
      <c r="Q63" s="255">
        <f>IF(AND(ISNUMBER(Q62),ISNUMBER(L62)),IFERROR(Q62/L62-1,""),"")</f>
        <v>-0.110266159695818</v>
      </c>
      <c r="R63" s="255">
        <f>IF(AND(ISNUMBER(R62),ISNUMBER(M62)),IFERROR(R62/M62-1,""),"")</f>
        <v>0.0925110132158591</v>
      </c>
      <c r="S63" s="255">
        <f>IF(AND(ISNUMBER(S62),ISNUMBER(N62)),IFERROR(S62/N62-1,""),"")</f>
        <v>0.11864406779661</v>
      </c>
      <c r="T63" s="255">
        <f>IF(AND(ISNUMBER(T62),ISNUMBER(O62)),IFERROR(T62/O62-1,""),"")</f>
        <v>0.0873460246360582</v>
      </c>
      <c r="U63" s="255">
        <f>IF(AND(ISNUMBER(U62),ISNUMBER(P62)),IFERROR(U62/P62-1,""),"")</f>
        <v>0.128888888888889</v>
      </c>
      <c r="V63" s="255">
        <f>IF(AND(ISNUMBER(V62),ISNUMBER(Q62)),IFERROR(V62/Q62-1,""),"")</f>
        <v>0.0897435897435897</v>
      </c>
      <c r="W63" s="255">
        <f>IF(AND(ISNUMBER(W62),ISNUMBER(R62)),IFERROR(W62/R62-1,""),"")</f>
        <v>-0.0766129032258065</v>
      </c>
      <c r="X63" s="255">
        <f>IF(AND(ISNUMBER(X62),ISNUMBER(S62)),IFERROR(X62/S62-1,""),"")</f>
        <v>-0.287878787878788</v>
      </c>
      <c r="Y63" s="255">
        <f>IF(AND(ISNUMBER(Y62),ISNUMBER(T62)),IFERROR(Y62/T62-1,""),"")</f>
        <v>-0.266735324407827</v>
      </c>
      <c r="Z63" s="255">
        <f>IF(AND(ISNUMBER(Z62),ISNUMBER(U62)),IFERROR(Z62/U62-1,""),"")</f>
        <v>-0.248031496062992</v>
      </c>
      <c r="AA63" s="255">
        <f>IF(AND(ISNUMBER(AA62),ISNUMBER(V62)),IFERROR(AA62/V62-1,""),"")</f>
        <v>-0.247058823529412</v>
      </c>
      <c r="AB63" s="255">
        <f>IF(AND(ISNUMBER(AB62),ISNUMBER(W62)),IFERROR(AB62/W62-1,""),"")</f>
        <v>-0.157205240174673</v>
      </c>
      <c r="AC63" s="255">
        <f>IF(AND(ISNUMBER(AC62),ISNUMBER(X62)),IFERROR(AC62/X62-1,""),"")</f>
        <v>0.0478723404255319</v>
      </c>
      <c r="AD63" s="255">
        <f>IF(AND(ISNUMBER(AD62),ISNUMBER(Y62)),IFERROR(AD62/Y62-1,""),"")</f>
        <v>0.0870786516853932</v>
      </c>
      <c r="AE63" s="255">
        <f>IF(AND(ISNUMBER(AE62),ISNUMBER(Z62)),IFERROR(AE62/Z62-1,""),"")</f>
        <v>0.0261780104712042</v>
      </c>
      <c r="AF63" s="255">
        <f>IF(AND(ISNUMBER(AF62),ISNUMBER(AA62)),IFERROR(AF62/AA62-1,""),"")</f>
        <v>0.0677083333333333</v>
      </c>
      <c r="AG63" s="255">
        <f>IF(AND(ISNUMBER(AG62),ISNUMBER(AB62)),IFERROR(AG62/AB62-1,""),"")</f>
        <v>0.0569948186528497</v>
      </c>
      <c r="AH63" s="255">
        <f>IF(AND(ISNUMBER(AH62),ISNUMBER(AC62)),IFERROR(AH62/AC62-1,""),"")</f>
        <v>0.0659898477157361</v>
      </c>
      <c r="AI63" s="255">
        <f>IF(AND(ISNUMBER(AI62),ISNUMBER(AD62)),IFERROR(AI62/AD62-1,""),"")</f>
        <v>0.0529715762273901</v>
      </c>
      <c r="AJ63" s="255">
        <f>IF(AND(ISNUMBER(AJ62),ISNUMBER(AE62)),IFERROR(AJ62/AE62-1,""),"")</f>
        <v>0.0561224489795917</v>
      </c>
      <c r="AK63" s="255">
        <f>IF(AND(ISNUMBER(AK62),ISNUMBER(AF62)),IFERROR(AK62/AF62-1,""),"")</f>
        <v>0.0390243902439025</v>
      </c>
      <c r="AL63" s="255">
        <f>IF(AND(ISNUMBER(AL62),ISNUMBER(AG62)),IFERROR(AL62/AG62-1,""),"")</f>
        <v>0.0392156862745099</v>
      </c>
      <c r="AM63" s="255">
        <f>IF(AND(ISNUMBER(AM62),ISNUMBER(AH62)),IFERROR(AM62/AH62-1,""),"")</f>
        <v>0.0142857142857142</v>
      </c>
      <c r="AN63" s="255">
        <f>IF(AND(ISNUMBER(AN62),ISNUMBER(AI62)),IFERROR(AN62/AI62-1,""),"")</f>
        <v>0.0355828220858896</v>
      </c>
      <c r="AO63" s="255">
        <f>IF(AND(ISNUMBER(AO62),ISNUMBER(AJ62)),IFERROR(AO62/AJ62-1,""),"")</f>
        <v>0.038647342995169</v>
      </c>
      <c r="AP63" s="255">
        <f>IF(AND(ISNUMBER(AP62),ISNUMBER(AK62)),IFERROR(AP62/AK62-1,""),"")</f>
        <v>0.0187793427230047</v>
      </c>
      <c r="AQ63" s="255">
        <f>IF(AND(ISNUMBER(AQ62),ISNUMBER(AL62)),IFERROR(AQ62/AL62-1,""),"")</f>
        <v>0.0471698113207548</v>
      </c>
      <c r="AR63" s="255">
        <f>IF(AND(ISNUMBER(AR62),ISNUMBER(AM62)),IFERROR(AR62/AM62-1,""),"")</f>
        <v>0.0469483568075118</v>
      </c>
      <c r="AS63" s="255">
        <f>IF(AND(ISNUMBER(AS62),ISNUMBER(AN62)),IFERROR(AS62/AN62-1,""),"")</f>
        <v>0.0402843601895735</v>
      </c>
      <c r="AT63" s="255">
        <f>IF(AND(ISNUMBER(AT62),ISNUMBER(AO62)),IFERROR(AT62/AO62-1,""),"")</f>
        <v>0.0465116279069768</v>
      </c>
      <c r="AU63" s="255">
        <f>IF(AND(ISNUMBER(AU62),ISNUMBER(AP62)),IFERROR(AU62/AP62-1,""),"")</f>
        <v>0.0875576036866359</v>
      </c>
      <c r="AV63" s="255">
        <f>IF(AND(ISNUMBER(AV62),ISNUMBER(AQ62)),IFERROR(AV62/AQ62-1,""),"")</f>
        <v>0.0765765765765767</v>
      </c>
      <c r="AW63" s="255">
        <f>IF(AND(ISNUMBER(AW62),ISNUMBER(AR62)),IFERROR(AW62/AR62-1,""),"")</f>
        <v>0.116591928251121</v>
      </c>
      <c r="AX63" s="255">
        <f>IF(AND(ISNUMBER(AX62),ISNUMBER(AS62)),IFERROR(AX62/AS62-1,""),"")</f>
        <v>0.082004555808656</v>
      </c>
      <c r="AY63" s="255">
        <f>IF(AND(ISNUMBER(AY62),ISNUMBER(AT62)),IFERROR(AY62/AT62-1,""),"")</f>
        <v>0.613333333333333</v>
      </c>
      <c r="AZ63" s="255">
        <f>IF(AND(ISNUMBER(AZ62),ISNUMBER(AU62)),IFERROR(AZ62/AU62-1,""),"")</f>
        <v>0.85593220338983</v>
      </c>
      <c r="BA63" s="255">
        <f>IF(AND(ISNUMBER(BA62),ISNUMBER(AV62)),IFERROR(BA62/AV62-1,""),"")</f>
        <v>0.807531380753138</v>
      </c>
      <c r="BB63" s="255">
        <f>IF(AND(ISNUMBER(BB62),ISNUMBER(AW62)),IFERROR(BB62/AW62-1,""),"")</f>
        <v>0.811244979919679</v>
      </c>
      <c r="BC63" s="255">
        <f>IF(AND(ISNUMBER(BC62),ISNUMBER(AX62)),IFERROR(BC62/AX62-1,""),"")</f>
        <v>0.773684210526316</v>
      </c>
      <c r="BD63" s="255">
        <f>IF(AND(ISNUMBER(BD62),ISNUMBER(AY62)),IFERROR(BD62/AY62-1,""),"")</f>
        <v>0.399449035812672</v>
      </c>
      <c r="BE63" s="255">
        <f>IF(AND(ISNUMBER(BE62),ISNUMBER(AZ62)),IFERROR(BE62/AZ62-1,""),"")</f>
        <v>0.0547945205479452</v>
      </c>
      <c r="BF63" s="255">
        <f>IF(AND(ISNUMBER(BF62),ISNUMBER(BA62)),IFERROR(BF62/BA62-1,""),"")</f>
        <v>0.108796296296296</v>
      </c>
      <c r="BG63" s="255">
        <f>IF(AND(ISNUMBER(BG62),ISNUMBER(BB62)),IFERROR(BG62/BB62-1,""),"")</f>
        <v>0.1019955654102</v>
      </c>
      <c r="BH63" s="255">
        <f>IF(AND(ISNUMBER(BH62),ISNUMBER(BC62)),IFERROR(BH62/BC62-1,""),"")</f>
        <v>0.154896142433234</v>
      </c>
      <c r="BI63" s="255">
        <f>IF(AND(ISNUMBER(BI62),ISNUMBER(BD62)),IFERROR(BI62/BD62-1,""),"")</f>
        <v>0.100393700787402</v>
      </c>
      <c r="BJ63" s="255">
        <f>IF(AND(ISNUMBER(BJ62),ISNUMBER(BE62)),IFERROR(BJ62/BE62-1,""),"")</f>
        <v>0.116883116883117</v>
      </c>
      <c r="BK63" s="255">
        <f>IF(AND(ISNUMBER(BK62),ISNUMBER(BF62)),IFERROR(BK62/BF62-1,""),"")</f>
        <v>0.0897703549060542</v>
      </c>
      <c r="BL63" s="255">
        <f>IF(AND(ISNUMBER(BL62),ISNUMBER(BG62)),IFERROR(BL62/BG62-1,""),"")</f>
        <v>0.096579476861167</v>
      </c>
      <c r="BM63" s="255">
        <f>IF(AND(ISNUMBER(BM62),ISNUMBER(BH62)),IFERROR(BM62/BH62-1,""),"")</f>
        <v>0.100719424460432</v>
      </c>
      <c r="BN63" s="255">
        <f>IF(AND(ISNUMBER(BN62),ISNUMBER(BI62)),IFERROR(BN62/BI62-1,""),"")</f>
        <v>0.216457960644007</v>
      </c>
      <c r="BO63" s="255">
        <f>IF(AND(ISNUMBER(BO62),ISNUMBER(BJ62)),IFERROR(BO62/BJ62-1,""),"")</f>
        <v>0.176356589147287</v>
      </c>
      <c r="BP63" s="255">
        <f>IF(AND(ISNUMBER(BP62),ISNUMBER(BK62)),IFERROR(BP62/BK62-1,""),"")</f>
        <v>0.166666666666667</v>
      </c>
      <c r="BQ63" s="255">
        <f>IF(AND(ISNUMBER(BQ62),ISNUMBER(BL62)),IFERROR(BQ62/BL62-1,""),"")</f>
        <v>0.154128440366972</v>
      </c>
      <c r="BR63" s="255">
        <f>IF(AND(ISNUMBER(BR62),ISNUMBER(BM62)),IFERROR(BR62/BM62-1,""),"")</f>
        <v>0.178804855275444</v>
      </c>
      <c r="BS63" s="255">
        <f>IF(AND(ISNUMBER(BS62),ISNUMBER(BN62)),IFERROR(BS62/BN62-1,""),"")</f>
        <v>0.0647058823529412</v>
      </c>
      <c r="BT63" s="255">
        <f>IF(AND(ISNUMBER(BT62),ISNUMBER(BO62)),IFERROR(BT62/BO62-1,""),"")</f>
        <v>0.0263591433278418</v>
      </c>
      <c r="BU63" s="256">
        <f>IF(AND(ISNUMBER(BU62),ISNUMBER(BP62)),IFERROR(BU62/BP62-1,""),"")</f>
        <v>-0.0319499373062128</v>
      </c>
      <c r="BV63" s="256">
        <f>IF(AND(ISNUMBER(BV62),ISNUMBER(BQ62)),IFERROR(BV62/BQ62-1,""),"")</f>
        <v>-0.0318591631739957</v>
      </c>
      <c r="BW63" s="256">
        <f>IF(AND(ISNUMBER(BW62),ISNUMBER(BR62)),IFERROR(BW62/BR62-1,""),"")</f>
        <v>0.00812002952240531</v>
      </c>
      <c r="BX63" s="256">
        <f>IF(AND(ISNUMBER(BX62),ISNUMBER(BW62)),IFERROR(BX62/BW62-1,""),"")</f>
        <v>0.0600000000000001</v>
      </c>
      <c r="BY63" s="256">
        <f>IF(AND(ISNUMBER(BY62),ISNUMBER(BX62)),IFERROR(BY62/BX62-1,""),"")</f>
        <v>0.0600000000000001</v>
      </c>
      <c r="BZ63" s="256">
        <f>IF(AND(ISNUMBER(BZ62),ISNUMBER(BY62)),IFERROR(BZ62/BY62-1,""),"")</f>
        <v>0.0600000000000001</v>
      </c>
      <c r="CA63" s="256">
        <f>IF(AND(ISNUMBER(CA62),ISNUMBER(BZ62)),IFERROR(CA62/BZ62-1,""),"")</f>
        <v>0.0600000000000001</v>
      </c>
      <c r="CB63" s="256">
        <f>IF(AND(ISNUMBER(CB62),ISNUMBER(CA62)),IFERROR(CB62/CA62-1,""),"")</f>
        <v>0.0600000000000001</v>
      </c>
      <c r="CC63" s="153" t="n"/>
      <c r="CK63" s="25" t="inlineStr">
        <is>
          <t xml:space="preserve">  2031E</t>
        </is>
      </c>
      <c r="CL63" s="33">
        <f>CM63+$CL$58</f>
        <v>0.09</v>
      </c>
      <c r="CM63" s="42" t="n">
        <v>0.07000000000000001</v>
      </c>
      <c r="CN63" s="33">
        <f>CM63+$CN$58</f>
        <v>0.04</v>
      </c>
    </row>
    <row r="64" ht="15" customHeight="1" s="251">
      <c r="B64" s="25" t="inlineStr">
        <is>
          <t xml:space="preserve">  % of total revenue</t>
        </is>
      </c>
      <c r="C64" s="215">
        <f>IF(AND(ISNUMBER(C62),ISNUMBER(C138)),IFERROR(C62/C138,""),"")</f>
        <v>0.222863424017587</v>
      </c>
      <c r="D64" s="215">
        <f>IF(AND(ISNUMBER(D62),ISNUMBER(D138)),IFERROR(D62/D138,""),"")</f>
        <v>0.226605968639353</v>
      </c>
      <c r="E64" s="215">
        <f>IF(AND(ISNUMBER(E62),ISNUMBER(E138)),IFERROR(E62/E138,""),"")</f>
        <v>0.218651685393258</v>
      </c>
      <c r="F64" s="215">
        <f>IF(AND(ISNUMBER(F62),ISNUMBER(F138)),IFERROR(F62/F138,""),"")</f>
        <v>0.199830651989839</v>
      </c>
      <c r="G64" s="215">
        <f>IF(AND(ISNUMBER(G62),ISNUMBER(G138)),IFERROR(G62/G138,""),"")</f>
        <v>0.2072</v>
      </c>
      <c r="H64" s="215">
        <f>IF(AND(ISNUMBER(H62),ISNUMBER(H138)),IFERROR(H62/H138,""),"")</f>
        <v>0.21356783919598</v>
      </c>
      <c r="I64" s="215">
        <f>IF(AND(ISNUMBER(I62),ISNUMBER(I138)),IFERROR(I62/I138,""),"")</f>
        <v>0.2112</v>
      </c>
      <c r="J64" s="215">
        <f>IF(AND(ISNUMBER(J62),ISNUMBER(J138)),IFERROR(J62/J138,""),"")</f>
        <v>0.208</v>
      </c>
      <c r="K64" s="215">
        <f>IF(AND(ISNUMBER(K62),ISNUMBER(K138)),IFERROR(K62/K138,""),"")</f>
        <v>0.203074433656958</v>
      </c>
      <c r="L64" s="215">
        <f>IF(AND(ISNUMBER(L62),ISNUMBER(L138)),IFERROR(L62/L138,""),"")</f>
        <v>0.195393759286776</v>
      </c>
      <c r="M64" s="215">
        <f>IF(AND(ISNUMBER(M62),ISNUMBER(M138)),IFERROR(M62/M138,""),"")</f>
        <v>0.179730799683294</v>
      </c>
      <c r="N64" s="215">
        <f>IF(AND(ISNUMBER(N62),ISNUMBER(N138)),IFERROR(N62/N138,""),"")</f>
        <v>0.182945736434109</v>
      </c>
      <c r="O64" s="215">
        <f>IF(AND(ISNUMBER(O62),ISNUMBER(O138)),IFERROR(O62/O138,""),"")</f>
        <v>0.176796673925955</v>
      </c>
      <c r="P64" s="215">
        <f>IF(AND(ISNUMBER(P62),ISNUMBER(P138)),IFERROR(P62/P138,""),"")</f>
        <v>0.176747839748625</v>
      </c>
      <c r="Q64" s="215">
        <f>IF(AND(ISNUMBER(Q62),ISNUMBER(Q138)),IFERROR(Q62/Q138,""),"")</f>
        <v>0.174366616989568</v>
      </c>
      <c r="R64" s="215">
        <f>IF(AND(ISNUMBER(R62),ISNUMBER(R138)),IFERROR(R62/R138,""),"")</f>
        <v>0.187311178247734</v>
      </c>
      <c r="S64" s="215">
        <f>IF(AND(ISNUMBER(S62),ISNUMBER(S138)),IFERROR(S62/S138,""),"")</f>
        <v>0.192139737991266</v>
      </c>
      <c r="T64" s="215">
        <f>IF(AND(ISNUMBER(T62),ISNUMBER(T138)),IFERROR(T62/T138,""),"")</f>
        <v>0.182759269715791</v>
      </c>
      <c r="U64" s="215">
        <f>IF(AND(ISNUMBER(U62),ISNUMBER(U138)),IFERROR(U62/U138,""),"")</f>
        <v>0.189410887397465</v>
      </c>
      <c r="V64" s="215">
        <f>IF(AND(ISNUMBER(V62),ISNUMBER(V138)),IFERROR(V62/V138,""),"")</f>
        <v>0.172064777327935</v>
      </c>
      <c r="W64" s="215">
        <f>IF(AND(ISNUMBER(W62),ISNUMBER(W138)),IFERROR(W62/W138,""),"")</f>
        <v>0.1591382904795</v>
      </c>
      <c r="X64" s="215">
        <f>IF(AND(ISNUMBER(X62),ISNUMBER(X138)),IFERROR(X62/X138,""),"")</f>
        <v>0.134381701215154</v>
      </c>
      <c r="Y64" s="215">
        <f>IF(AND(ISNUMBER(Y62),ISNUMBER(Y138)),IFERROR(Y62/Y138,""),"")</f>
        <v>0.125772831655185</v>
      </c>
      <c r="Z64" s="215">
        <f>IF(AND(ISNUMBER(Z62),ISNUMBER(Z138)),IFERROR(Z62/Z138,""),"")</f>
        <v>0.131452167928424</v>
      </c>
      <c r="AA64" s="215">
        <f>IF(AND(ISNUMBER(AA62),ISNUMBER(AA138)),IFERROR(AA62/AA138,""),"")</f>
        <v>0.127236580516899</v>
      </c>
      <c r="AB64" s="215">
        <f>IF(AND(ISNUMBER(AB62),ISNUMBER(AB138)),IFERROR(AB62/AB138,""),"")</f>
        <v>0.127561136814276</v>
      </c>
      <c r="AC64" s="215">
        <f>IF(AND(ISNUMBER(AC62),ISNUMBER(AC138)),IFERROR(AC62/AC138,""),"")</f>
        <v>0.123977344241661</v>
      </c>
      <c r="AD64" s="215">
        <f>IF(AND(ISNUMBER(AD62),ISNUMBER(AD138)),IFERROR(AD62/AD138,""),"")</f>
        <v>0.127659574468085</v>
      </c>
      <c r="AE64" s="215">
        <f>IF(AND(ISNUMBER(AE62),ISNUMBER(AE138)),IFERROR(AE62/AE138,""),"")</f>
        <v>0.125079770261646</v>
      </c>
      <c r="AF64" s="215">
        <f>IF(AND(ISNUMBER(AF62),ISNUMBER(AF138)),IFERROR(AF62/AF138,""),"")</f>
        <v>0.127408328154133</v>
      </c>
      <c r="AG64" s="215">
        <f>IF(AND(ISNUMBER(AG62),ISNUMBER(AG138)),IFERROR(AG62/AG138,""),"")</f>
        <v>0.131953428201811</v>
      </c>
      <c r="AH64" s="215">
        <f>IF(AND(ISNUMBER(AH62),ISNUMBER(AH138)),IFERROR(AH62/AH138,""),"")</f>
        <v>0.13671875</v>
      </c>
      <c r="AI64" s="215">
        <f>IF(AND(ISNUMBER(AI62),ISNUMBER(AI138)),IFERROR(AI62/AI138,""),"")</f>
        <v>0.130233301374241</v>
      </c>
      <c r="AJ64" s="215">
        <f>IF(AND(ISNUMBER(AJ62),ISNUMBER(AJ138)),IFERROR(AJ62/AJ138,""),"")</f>
        <v>0.131763208147677</v>
      </c>
      <c r="AK64" s="215">
        <f>IF(AND(ISNUMBER(AK62),ISNUMBER(AK138)),IFERROR(AK62/AK138,""),"")</f>
        <v>0.125</v>
      </c>
      <c r="AL64" s="215">
        <f>IF(AND(ISNUMBER(AL62),ISNUMBER(AL138)),IFERROR(AL62/AL138,""),"")</f>
        <v>0.125518058022499</v>
      </c>
      <c r="AM64" s="215">
        <f>IF(AND(ISNUMBER(AM62),ISNUMBER(AM138)),IFERROR(AM62/AM138,""),"")</f>
        <v>0.122766570605187</v>
      </c>
      <c r="AN64" s="215">
        <f>IF(AND(ISNUMBER(AN62),ISNUMBER(AN138)),IFERROR(AN62/AN138,""),"")</f>
        <v>0.12598895357516</v>
      </c>
      <c r="AO64" s="215">
        <f>IF(AND(ISNUMBER(AO62),ISNUMBER(AO138)),IFERROR(AO62/AO138,""),"")</f>
        <v>0.120380739081747</v>
      </c>
      <c r="AP64" s="215">
        <f>IF(AND(ISNUMBER(AP62),ISNUMBER(AP138)),IFERROR(AP62/AP138,""),"")</f>
        <v>0.111682964487905</v>
      </c>
      <c r="AQ64" s="215">
        <f>IF(AND(ISNUMBER(AQ62),ISNUMBER(AQ138)),IFERROR(AQ62/AQ138,""),"")</f>
        <v>0.120260021668472</v>
      </c>
      <c r="AR64" s="215">
        <f>IF(AND(ISNUMBER(AR62),ISNUMBER(AR138)),IFERROR(AR62/AR138,""),"")</f>
        <v>0.11944295661489</v>
      </c>
      <c r="AS64" s="215">
        <f>IF(AND(ISNUMBER(AS62),ISNUMBER(AS138)),IFERROR(AS62/AS138,""),"")</f>
        <v>0.11797903789304</v>
      </c>
      <c r="AT64" s="215">
        <f>IF(AND(ISNUMBER(AT62),ISNUMBER(AT138)),IFERROR(AT62/AT138,""),"")</f>
        <v>0.111607142857143</v>
      </c>
      <c r="AU64" s="215">
        <f>IF(AND(ISNUMBER(AU62),ISNUMBER(AU138)),IFERROR(AU62/AU138,""),"")</f>
        <v>0.112060778727445</v>
      </c>
      <c r="AV64" s="215">
        <f>IF(AND(ISNUMBER(AV62),ISNUMBER(AV138)),IFERROR(AV62/AV138,""),"")</f>
        <v>0.114518447532343</v>
      </c>
      <c r="AW64" s="215">
        <f>IF(AND(ISNUMBER(AW62),ISNUMBER(AW138)),IFERROR(AW62/AW138,""),"")</f>
        <v>0.119252873563218</v>
      </c>
      <c r="AX64" s="215">
        <f>IF(AND(ISNUMBER(AX62),ISNUMBER(AX138)),IFERROR(AX62/AX138,""),"")</f>
        <v>0.114499216584308</v>
      </c>
      <c r="AY64" s="215">
        <f>IF(AND(ISNUMBER(AY62),ISNUMBER(AY138)),IFERROR(AY62/AY138,""),"")</f>
        <v>0.151946421096693</v>
      </c>
      <c r="AZ64" s="215">
        <f>IF(AND(ISNUMBER(AZ62),ISNUMBER(AZ138)),IFERROR(AZ62/AZ138,""),"")</f>
        <v>0.146341463414634</v>
      </c>
      <c r="BA64" s="215">
        <f>IF(AND(ISNUMBER(BA62),ISNUMBER(BA138)),IFERROR(BA62/BA138,""),"")</f>
        <v>0.150996155190493</v>
      </c>
      <c r="BB64" s="215">
        <f>IF(AND(ISNUMBER(BB62),ISNUMBER(BB138)),IFERROR(BB62/BB138,""),"")</f>
        <v>0.153558052434457</v>
      </c>
      <c r="BC64" s="215">
        <f>IF(AND(ISNUMBER(BC62),ISNUMBER(BC138)),IFERROR(BC62/BC138,""),"")</f>
        <v>0.150702083892317</v>
      </c>
      <c r="BD64" s="215">
        <f>IF(AND(ISNUMBER(BD62),ISNUMBER(BD138)),IFERROR(BD62/BD138,""),"")</f>
        <v>0.160759493670886</v>
      </c>
      <c r="BE64" s="215">
        <f>IF(AND(ISNUMBER(BE62),ISNUMBER(BE138)),IFERROR(BE62/BE138,""),"")</f>
        <v>0.148984198645598</v>
      </c>
      <c r="BF64" s="215">
        <f>IF(AND(ISNUMBER(BF62),ISNUMBER(BF138)),IFERROR(BF62/BF138,""),"")</f>
        <v>0.155317769130999</v>
      </c>
      <c r="BG64" s="215">
        <f>IF(AND(ISNUMBER(BG62),ISNUMBER(BG138)),IFERROR(BG62/BG138,""),"")</f>
        <v>0.157677664974619</v>
      </c>
      <c r="BH64" s="215">
        <f>IF(AND(ISNUMBER(BH62),ISNUMBER(BH138)),IFERROR(BH62/BH138,""),"")</f>
        <v>0.155717372169321</v>
      </c>
      <c r="BI64" s="215">
        <f>IF(AND(ISNUMBER(BI62),ISNUMBER(BI138)),IFERROR(BI62/BI138,""),"")</f>
        <v>0.160126038384417</v>
      </c>
      <c r="BJ64" s="215">
        <f>IF(AND(ISNUMBER(BJ62),ISNUMBER(BJ138)),IFERROR(BJ62/BJ138,""),"")</f>
        <v>0.145393068469992</v>
      </c>
      <c r="BK64" s="215">
        <f>IF(AND(ISNUMBER(BK62),ISNUMBER(BK138)),IFERROR(BK62/BK138,""),"")</f>
        <v>0.146013986013986</v>
      </c>
      <c r="BL64" s="215">
        <f>IF(AND(ISNUMBER(BL62),ISNUMBER(BL138)),IFERROR(BL62/BL138,""),"")</f>
        <v>0.151726057906459</v>
      </c>
      <c r="BM64" s="215">
        <f>IF(AND(ISNUMBER(BM62),ISNUMBER(BM138)),IFERROR(BM62/BM138,""),"")</f>
        <v>0.150760135135135</v>
      </c>
      <c r="BN64" s="215">
        <f>IF(AND(ISNUMBER(BN62),ISNUMBER(BN138)),IFERROR(BN62/BN138,""),"")</f>
        <v>0.2025618111409</v>
      </c>
      <c r="BO64" s="215">
        <f>IF(AND(ISNUMBER(BO62),ISNUMBER(BO138)),IFERROR(BO62/BO138,""),"")</f>
        <v>0.182996683750377</v>
      </c>
      <c r="BP64" s="215">
        <f>IF(AND(ISNUMBER(BP62),ISNUMBER(BP138)),IFERROR(BP62/BP138,""),"")</f>
        <v>0.176880627359861</v>
      </c>
      <c r="BQ64" s="215">
        <f>IF(AND(ISNUMBER(BQ62),ISNUMBER(BQ138)),IFERROR(BQ62/BQ138,""),"")</f>
        <v>0.181163594470046</v>
      </c>
      <c r="BR64" s="215">
        <f>IF(AND(ISNUMBER(BR62),ISNUMBER(BR138)),IFERROR(BR62/BR138,""),"")</f>
        <v>0.185812053867098</v>
      </c>
      <c r="BS64" s="215">
        <f>IF(AND(ISNUMBER(BS62),ISNUMBER(BS138)),IFERROR(BS62/BS138,""),"")</f>
        <v>0.194780737153619</v>
      </c>
      <c r="BT64" s="215">
        <f>IF(AND(ISNUMBER(BT62),ISNUMBER(BT138)),IFERROR(BT62/BT138,""),"")</f>
        <v>0.169385535617183</v>
      </c>
      <c r="BU64" s="256">
        <f>IF(AND(ISNUMBER(BU62),ISNUMBER(BU138)),IFERROR(BU62/BU138,""),"")</f>
        <v>0.165861068025257</v>
      </c>
      <c r="BV64" s="256">
        <f>IF(AND(ISNUMBER(BV62),ISNUMBER(BV138)),IFERROR(BV62/BV138,""),"")</f>
        <v>0.170233610233582</v>
      </c>
      <c r="BW64" s="256">
        <f>IF(AND(ISNUMBER(BW62),ISNUMBER(BW138)),IFERROR(BW62/BW138,""),"")</f>
        <v>0.175229984312552</v>
      </c>
      <c r="BX64" s="256">
        <f>IF(AND(ISNUMBER(BX62),ISNUMBER(BX138)),IFERROR(BX62/BX138,""),"")</f>
        <v>0.174912339023773</v>
      </c>
      <c r="BY64" s="256">
        <f>IF(AND(ISNUMBER(BY62),ISNUMBER(BY138)),IFERROR(BY62/BY138,""),"")</f>
        <v>0.173164908668592</v>
      </c>
      <c r="BZ64" s="256">
        <f>IF(AND(ISNUMBER(BZ62),ISNUMBER(BZ138)),IFERROR(BZ62/BZ138,""),"")</f>
        <v>0.171761479038362</v>
      </c>
      <c r="CA64" s="256">
        <f>IF(AND(ISNUMBER(CA62),ISNUMBER(CA138)),IFERROR(CA62/CA138,""),"")</f>
        <v>0.170853645215971</v>
      </c>
      <c r="CB64" s="256">
        <f>IF(AND(ISNUMBER(CB62),ISNUMBER(CB138)),IFERROR(CB62/CB138,""),"")</f>
        <v>0.169965916817234</v>
      </c>
      <c r="CC64" s="153" t="n"/>
      <c r="CE64" s="37">
        <f>IFERROR(AVERAGE(BX64,BY64,BZ64,CA64,CB64),"n/m")</f>
        <v>0.172131657752786</v>
      </c>
      <c r="CF64" s="37">
        <f>IFERROR(AVERAGE(AX64,BC64,BH64,BM64,BR64),"n/m")</f>
        <v>0.151498172329636</v>
      </c>
      <c r="CG64" s="37">
        <f>IFERROR(AVERAGE(Y64,AD64,AI64,AN64,AS64,AX64,BC64,BH64,BM64,BR64),"n/m")</f>
        <v>0.138512456061389</v>
      </c>
      <c r="CH64" s="37">
        <f>IFERROR(AVERAGE(C64,D64,E64,J64,O64,T64,Y64,AD64,AI64,AN64,AS64,AX64,BC64,BH64,BM64,BR64),"n/m")</f>
        <v>0.163800098894115</v>
      </c>
      <c r="CK64" s="15" t="inlineStr">
        <is>
          <t>EN (Energy revenue y/y, all types)</t>
        </is>
      </c>
      <c r="CL64" s="41" t="n">
        <v>0.02</v>
      </c>
      <c r="CM64" s="21" t="inlineStr">
        <is>
          <t>Δ →</t>
        </is>
      </c>
      <c r="CN64" s="41" t="n">
        <v>-0.04</v>
      </c>
      <c r="CO64" s="13" t="inlineStr">
        <is>
          <t>1H-26 +5% recast (2026 includes the geoscience sale in 2H); Platts / CERA, CERAWeek; subscription growth ~4–7%.</t>
        </is>
      </c>
    </row>
    <row r="65" ht="15" customHeight="1" s="251">
      <c r="B65" s="156" t="inlineStr">
        <is>
          <t xml:space="preserve">  Memo: Energy (Commodity Insights / Platts) revenue as reported (segment exhibit; 2025+ adjusted as recast)</t>
        </is>
      </c>
      <c r="C65" s="253" t="n">
        <v>811</v>
      </c>
      <c r="D65" s="253" t="n">
        <v>896</v>
      </c>
      <c r="E65" s="253" t="n">
        <v>973</v>
      </c>
      <c r="F65" s="253" t="n">
        <v>236</v>
      </c>
      <c r="G65" s="253" t="n">
        <v>259</v>
      </c>
      <c r="H65" s="253" t="n">
        <v>255</v>
      </c>
      <c r="I65" s="253" t="n">
        <v>264</v>
      </c>
      <c r="J65" s="253" t="n">
        <v>1014</v>
      </c>
      <c r="K65" s="253" t="n">
        <v>251</v>
      </c>
      <c r="L65" s="253" t="n">
        <v>263</v>
      </c>
      <c r="M65" s="253" t="n">
        <v>227</v>
      </c>
      <c r="N65" s="253" t="n">
        <v>236</v>
      </c>
      <c r="O65" s="253" t="n">
        <v>893</v>
      </c>
      <c r="P65" s="253" t="n">
        <v>225</v>
      </c>
      <c r="Q65" s="253" t="n">
        <v>234</v>
      </c>
      <c r="R65" s="253" t="n">
        <v>248</v>
      </c>
      <c r="S65" s="253" t="n">
        <v>264</v>
      </c>
      <c r="T65" s="253" t="n">
        <v>971</v>
      </c>
      <c r="U65" s="253" t="n">
        <v>254</v>
      </c>
      <c r="V65" s="253" t="n">
        <v>255</v>
      </c>
      <c r="W65" s="253" t="n">
        <v>229</v>
      </c>
      <c r="X65" s="253" t="n">
        <v>188</v>
      </c>
      <c r="Y65" s="253" t="n">
        <v>712</v>
      </c>
      <c r="Z65" s="253" t="n">
        <v>191</v>
      </c>
      <c r="AA65" s="253" t="n">
        <v>192</v>
      </c>
      <c r="AB65" s="253" t="n">
        <v>193</v>
      </c>
      <c r="AC65" s="253" t="n">
        <v>197</v>
      </c>
      <c r="AD65" s="253" t="n">
        <v>774</v>
      </c>
      <c r="AE65" s="253" t="n">
        <v>196</v>
      </c>
      <c r="AF65" s="253" t="n">
        <v>205</v>
      </c>
      <c r="AG65" s="253" t="n">
        <v>204</v>
      </c>
      <c r="AH65" s="253" t="n">
        <v>210</v>
      </c>
      <c r="AI65" s="253" t="n">
        <v>815</v>
      </c>
      <c r="AJ65" s="253" t="n">
        <v>207</v>
      </c>
      <c r="AK65" s="253" t="n">
        <v>213</v>
      </c>
      <c r="AL65" s="253" t="n">
        <v>212</v>
      </c>
      <c r="AM65" s="253" t="n">
        <v>213</v>
      </c>
      <c r="AN65" s="253" t="n">
        <v>844</v>
      </c>
      <c r="AO65" s="253" t="n">
        <v>215</v>
      </c>
      <c r="AP65" s="253" t="n">
        <v>217</v>
      </c>
      <c r="AQ65" s="253" t="n">
        <v>222</v>
      </c>
      <c r="AR65" s="253" t="n">
        <v>223</v>
      </c>
      <c r="AS65" s="253" t="n">
        <v>878</v>
      </c>
      <c r="AT65" s="253" t="n">
        <v>225</v>
      </c>
      <c r="AU65" s="253" t="n">
        <v>236</v>
      </c>
      <c r="AV65" s="253" t="n">
        <v>239</v>
      </c>
      <c r="AW65" s="253" t="n">
        <v>249</v>
      </c>
      <c r="AX65" s="253" t="n">
        <v>950</v>
      </c>
      <c r="AY65" s="253" t="n">
        <v>363</v>
      </c>
      <c r="AZ65" s="253" t="n">
        <v>438</v>
      </c>
      <c r="BA65" s="253" t="n">
        <v>432</v>
      </c>
      <c r="BB65" s="253" t="n">
        <v>451</v>
      </c>
      <c r="BC65" s="253" t="n">
        <v>1685</v>
      </c>
      <c r="BD65" s="253" t="n">
        <v>508</v>
      </c>
      <c r="BE65" s="253" t="n">
        <v>462</v>
      </c>
      <c r="BF65" s="253" t="n">
        <v>479</v>
      </c>
      <c r="BG65" s="253" t="n">
        <v>497</v>
      </c>
      <c r="BH65" s="253" t="n">
        <v>1946</v>
      </c>
      <c r="BI65" s="253" t="n">
        <v>559</v>
      </c>
      <c r="BJ65" s="253" t="n">
        <v>516</v>
      </c>
      <c r="BK65" s="253" t="n">
        <v>522</v>
      </c>
      <c r="BL65" s="253" t="n">
        <v>545</v>
      </c>
      <c r="BM65" s="253" t="n">
        <v>2142</v>
      </c>
      <c r="BN65" s="253" t="n">
        <v>680</v>
      </c>
      <c r="BO65" s="253" t="n">
        <v>607</v>
      </c>
      <c r="BP65" s="253" t="n">
        <v>609</v>
      </c>
      <c r="BQ65" s="253" t="n">
        <v>629</v>
      </c>
      <c r="BR65" s="253" t="n">
        <v>2525</v>
      </c>
      <c r="BS65" s="253" t="n">
        <v>724</v>
      </c>
      <c r="BT65" s="253" t="n">
        <v>623</v>
      </c>
      <c r="BU65" s="153" t="n"/>
      <c r="BV65" s="153" t="n"/>
      <c r="BW65" s="153" t="n"/>
      <c r="BX65" s="153" t="n"/>
      <c r="BY65" s="153" t="n"/>
      <c r="BZ65" s="153" t="n"/>
      <c r="CA65" s="153" t="n"/>
      <c r="CB65" s="153" t="n"/>
      <c r="CC65" s="153" t="n"/>
      <c r="CK65" s="25" t="inlineStr">
        <is>
          <t xml:space="preserve">  2027E</t>
        </is>
      </c>
      <c r="CL65" s="33">
        <f>CM65+$CL$64</f>
        <v>0.08</v>
      </c>
      <c r="CM65" s="42" t="n">
        <v>0.06</v>
      </c>
      <c r="CN65" s="33">
        <f>CM65+$CN$64</f>
        <v>0.02</v>
      </c>
    </row>
    <row r="66" ht="15" customHeight="1" s="251">
      <c r="B66" s="57" t="inlineStr">
        <is>
          <t xml:space="preserve">  Check: revenue types vs division revenue (should be 0; ±1 rounding)</t>
        </is>
      </c>
      <c r="C66" s="211">
        <f>IF(AND(ISNUMBER(C52),ISNUMBER(C65)),IF(ABS(C62-C65)&lt;=1.01,0,ROUND(C62-C65,0)),"")</f>
      </c>
      <c r="D66" s="211">
        <f>IF(AND(ISNUMBER(D52),ISNUMBER(D65)),IF(ABS(D62-D65)&lt;=1.01,0,ROUND(D62-D65,0)),"")</f>
        <v>0</v>
      </c>
      <c r="E66" s="211">
        <f>IF(AND(ISNUMBER(E52),ISNUMBER(E65)),IF(ABS(E62-E65)&lt;=1.01,0,ROUND(E62-E65,0)),"")</f>
        <v>0</v>
      </c>
      <c r="F66" s="211">
        <f>IF(AND(ISNUMBER(F52),ISNUMBER(F65)),IF(ABS(F62-F65)&lt;=1.01,0,ROUND(F62-F65,0)),"")</f>
        <v>0</v>
      </c>
      <c r="G66" s="211">
        <f>IF(AND(ISNUMBER(G52),ISNUMBER(G65)),IF(ABS(G62-G65)&lt;=1.01,0,ROUND(G62-G65,0)),"")</f>
        <v>0</v>
      </c>
      <c r="H66" s="211">
        <f>IF(AND(ISNUMBER(H52),ISNUMBER(H65)),IF(ABS(H62-H65)&lt;=1.01,0,ROUND(H62-H65,0)),"")</f>
        <v>0</v>
      </c>
      <c r="I66" s="211">
        <f>IF(AND(ISNUMBER(I52),ISNUMBER(I65)),IF(ABS(I62-I65)&lt;=1.01,0,ROUND(I62-I65,0)),"")</f>
        <v>0</v>
      </c>
      <c r="J66" s="211">
        <f>IF(AND(ISNUMBER(J52),ISNUMBER(J65)),IF(ABS(J62-J65)&lt;=1.01,0,ROUND(J62-J65,0)),"")</f>
        <v>0</v>
      </c>
      <c r="K66" s="211">
        <f>IF(AND(ISNUMBER(K52),ISNUMBER(K65)),IF(ABS(K62-K65)&lt;=1.01,0,ROUND(K62-K65,0)),"")</f>
        <v>0</v>
      </c>
      <c r="L66" s="211">
        <f>IF(AND(ISNUMBER(L52),ISNUMBER(L65)),IF(ABS(L62-L65)&lt;=1.01,0,ROUND(L62-L65,0)),"")</f>
        <v>0</v>
      </c>
      <c r="M66" s="211">
        <f>IF(AND(ISNUMBER(M52),ISNUMBER(M65)),IF(ABS(M62-M65)&lt;=1.01,0,ROUND(M62-M65,0)),"")</f>
        <v>0</v>
      </c>
      <c r="N66" s="211">
        <f>IF(AND(ISNUMBER(N52),ISNUMBER(N65)),IF(ABS(N62-N65)&lt;=1.01,0,ROUND(N62-N65,0)),"")</f>
        <v>0</v>
      </c>
      <c r="O66" s="211">
        <f>IF(AND(ISNUMBER(O52),ISNUMBER(O65)),IF(ABS(O62-O65)&lt;=1.01,0,ROUND(O62-O65,0)),"")</f>
        <v>0</v>
      </c>
      <c r="P66" s="211">
        <f>IF(AND(ISNUMBER(P52),ISNUMBER(P65)),IF(ABS(P62-P65)&lt;=1.01,0,ROUND(P62-P65,0)),"")</f>
        <v>0</v>
      </c>
      <c r="Q66" s="211">
        <f>IF(AND(ISNUMBER(Q52),ISNUMBER(Q65)),IF(ABS(Q62-Q65)&lt;=1.01,0,ROUND(Q62-Q65,0)),"")</f>
        <v>0</v>
      </c>
      <c r="R66" s="211">
        <f>IF(AND(ISNUMBER(R52),ISNUMBER(R65)),IF(ABS(R62-R65)&lt;=1.01,0,ROUND(R62-R65,0)),"")</f>
        <v>0</v>
      </c>
      <c r="S66" s="211">
        <f>IF(AND(ISNUMBER(S52),ISNUMBER(S65)),IF(ABS(S62-S65)&lt;=1.01,0,ROUND(S62-S65,0)),"")</f>
        <v>0</v>
      </c>
      <c r="T66" s="211">
        <f>IF(AND(ISNUMBER(T52),ISNUMBER(T65)),IF(ABS(T62-T65)&lt;=1.01,0,ROUND(T62-T65,0)),"")</f>
        <v>0</v>
      </c>
      <c r="U66" s="211">
        <f>IF(AND(ISNUMBER(U52),ISNUMBER(U65)),IF(ABS(U62-U65)&lt;=1.01,0,ROUND(U62-U65,0)),"")</f>
        <v>0</v>
      </c>
      <c r="V66" s="211">
        <f>IF(AND(ISNUMBER(V52),ISNUMBER(V65)),IF(ABS(V62-V65)&lt;=1.01,0,ROUND(V62-V65,0)),"")</f>
        <v>0</v>
      </c>
      <c r="W66" s="211">
        <f>IF(AND(ISNUMBER(W52),ISNUMBER(W65)),IF(ABS(W62-W65)&lt;=1.01,0,ROUND(W62-W65,0)),"")</f>
        <v>0</v>
      </c>
      <c r="X66" s="211">
        <f>IF(AND(ISNUMBER(X52),ISNUMBER(X65)),IF(ABS(X62-X65)&lt;=1.01,0,ROUND(X62-X65,0)),"")</f>
      </c>
      <c r="Y66" s="211">
        <f>IF(AND(ISNUMBER(Y52),ISNUMBER(Y65)),IF(ABS(Y62-Y65)&lt;=1.01,0,ROUND(Y62-Y65,0)),"")</f>
      </c>
      <c r="Z66" s="211">
        <f>IF(AND(ISNUMBER(Z52),ISNUMBER(Z65)),IF(ABS(Z62-Z65)&lt;=1.01,0,ROUND(Z62-Z65,0)),"")</f>
      </c>
      <c r="AA66" s="211">
        <f>IF(AND(ISNUMBER(AA52),ISNUMBER(AA65)),IF(ABS(AA62-AA65)&lt;=1.01,0,ROUND(AA62-AA65,0)),"")</f>
      </c>
      <c r="AB66" s="211">
        <f>IF(AND(ISNUMBER(AB52),ISNUMBER(AB65)),IF(ABS(AB62-AB65)&lt;=1.01,0,ROUND(AB62-AB65,0)),"")</f>
      </c>
      <c r="AC66" s="211">
        <f>IF(AND(ISNUMBER(AC52),ISNUMBER(AC65)),IF(ABS(AC62-AC65)&lt;=1.01,0,ROUND(AC62-AC65,0)),"")</f>
      </c>
      <c r="AD66" s="211">
        <f>IF(AND(ISNUMBER(AD52),ISNUMBER(AD65)),IF(ABS(AD62-AD65)&lt;=1.01,0,ROUND(AD62-AD65,0)),"")</f>
      </c>
      <c r="AE66" s="211">
        <f>IF(AND(ISNUMBER(AE52),ISNUMBER(AE65)),IF(ABS(AE62-AE65)&lt;=1.01,0,ROUND(AE62-AE65,0)),"")</f>
        <v>0</v>
      </c>
      <c r="AF66" s="211">
        <f>IF(AND(ISNUMBER(AF52),ISNUMBER(AF65)),IF(ABS(AF62-AF65)&lt;=1.01,0,ROUND(AF62-AF65,0)),"")</f>
        <v>0</v>
      </c>
      <c r="AG66" s="211">
        <f>IF(AND(ISNUMBER(AG52),ISNUMBER(AG65)),IF(ABS(AG62-AG65)&lt;=1.01,0,ROUND(AG62-AG65,0)),"")</f>
        <v>0</v>
      </c>
      <c r="AH66" s="211">
        <f>IF(AND(ISNUMBER(AH52),ISNUMBER(AH65)),IF(ABS(AH62-AH65)&lt;=1.01,0,ROUND(AH62-AH65,0)),"")</f>
        <v>0</v>
      </c>
      <c r="AI66" s="211">
        <f>IF(AND(ISNUMBER(AI52),ISNUMBER(AI65)),IF(ABS(AI62-AI65)&lt;=1.01,0,ROUND(AI62-AI65,0)),"")</f>
        <v>0</v>
      </c>
      <c r="AJ66" s="211">
        <f>IF(AND(ISNUMBER(AJ52),ISNUMBER(AJ65)),IF(ABS(AJ62-AJ65)&lt;=1.01,0,ROUND(AJ62-AJ65,0)),"")</f>
        <v>0</v>
      </c>
      <c r="AK66" s="211">
        <f>IF(AND(ISNUMBER(AK52),ISNUMBER(AK65)),IF(ABS(AK62-AK65)&lt;=1.01,0,ROUND(AK62-AK65,0)),"")</f>
        <v>0</v>
      </c>
      <c r="AL66" s="211">
        <f>IF(AND(ISNUMBER(AL52),ISNUMBER(AL65)),IF(ABS(AL62-AL65)&lt;=1.01,0,ROUND(AL62-AL65,0)),"")</f>
        <v>0</v>
      </c>
      <c r="AM66" s="211">
        <f>IF(AND(ISNUMBER(AM52),ISNUMBER(AM65)),IF(ABS(AM62-AM65)&lt;=1.01,0,ROUND(AM62-AM65,0)),"")</f>
        <v>0</v>
      </c>
      <c r="AN66" s="211">
        <f>IF(AND(ISNUMBER(AN52),ISNUMBER(AN65)),IF(ABS(AN62-AN65)&lt;=1.01,0,ROUND(AN62-AN65,0)),"")</f>
        <v>0</v>
      </c>
      <c r="AO66" s="211">
        <f>IF(AND(ISNUMBER(AO52),ISNUMBER(AO65)),IF(ABS(AO62-AO65)&lt;=1.01,0,ROUND(AO62-AO65,0)),"")</f>
        <v>0</v>
      </c>
      <c r="AP66" s="211">
        <f>IF(AND(ISNUMBER(AP52),ISNUMBER(AP65)),IF(ABS(AP62-AP65)&lt;=1.01,0,ROUND(AP62-AP65,0)),"")</f>
        <v>0</v>
      </c>
      <c r="AQ66" s="211">
        <f>IF(AND(ISNUMBER(AQ52),ISNUMBER(AQ65)),IF(ABS(AQ62-AQ65)&lt;=1.01,0,ROUND(AQ62-AQ65,0)),"")</f>
        <v>0</v>
      </c>
      <c r="AR66" s="211">
        <f>IF(AND(ISNUMBER(AR52),ISNUMBER(AR65)),IF(ABS(AR62-AR65)&lt;=1.01,0,ROUND(AR62-AR65,0)),"")</f>
        <v>0</v>
      </c>
      <c r="AS66" s="211">
        <f>IF(AND(ISNUMBER(AS52),ISNUMBER(AS65)),IF(ABS(AS62-AS65)&lt;=1.01,0,ROUND(AS62-AS65,0)),"")</f>
        <v>0</v>
      </c>
      <c r="AT66" s="211">
        <f>IF(AND(ISNUMBER(AT52),ISNUMBER(AT65)),IF(ABS(AT62-AT65)&lt;=1.01,0,ROUND(AT62-AT65,0)),"")</f>
        <v>0</v>
      </c>
      <c r="AU66" s="211">
        <f>IF(AND(ISNUMBER(AU52),ISNUMBER(AU65)),IF(ABS(AU62-AU65)&lt;=1.01,0,ROUND(AU62-AU65,0)),"")</f>
        <v>0</v>
      </c>
      <c r="AV66" s="211">
        <f>IF(AND(ISNUMBER(AV52),ISNUMBER(AV65)),IF(ABS(AV62-AV65)&lt;=1.01,0,ROUND(AV62-AV65,0)),"")</f>
        <v>0</v>
      </c>
      <c r="AW66" s="211">
        <f>IF(AND(ISNUMBER(AW52),ISNUMBER(AW65)),IF(ABS(AW62-AW65)&lt;=1.01,0,ROUND(AW62-AW65,0)),"")</f>
        <v>0</v>
      </c>
      <c r="AX66" s="211">
        <f>IF(AND(ISNUMBER(AX52),ISNUMBER(AX65)),IF(ABS(AX62-AX65)&lt;=1.01,0,ROUND(AX62-AX65,0)),"")</f>
        <v>0</v>
      </c>
      <c r="AY66" s="211">
        <f>IF(AND(ISNUMBER(AY52),ISNUMBER(AY65)),IF(ABS(AY62-AY65)&lt;=1.01,0,ROUND(AY62-AY65,0)),"")</f>
      </c>
      <c r="AZ66" s="211">
        <f>IF(AND(ISNUMBER(AZ52),ISNUMBER(AZ65)),IF(ABS(AZ62-AZ65)&lt;=1.01,0,ROUND(AZ62-AZ65,0)),"")</f>
        <v>0</v>
      </c>
      <c r="BA66" s="211">
        <f>IF(AND(ISNUMBER(BA52),ISNUMBER(BA65)),IF(ABS(BA62-BA65)&lt;=1.01,0,ROUND(BA62-BA65,0)),"")</f>
        <v>0</v>
      </c>
      <c r="BB66" s="211">
        <f>IF(AND(ISNUMBER(BB52),ISNUMBER(BB65)),IF(ABS(BB62-BB65)&lt;=1.01,0,ROUND(BB62-BB65,0)),"")</f>
        <v>0</v>
      </c>
      <c r="BC66" s="211">
        <f>IF(AND(ISNUMBER(BC52),ISNUMBER(BC65)),IF(ABS(BC62-BC65)&lt;=1.01,0,ROUND(BC62-BC65,0)),"")</f>
      </c>
      <c r="BD66" s="211">
        <f>IF(AND(ISNUMBER(BD52),ISNUMBER(BD65)),IF(ABS(BD62-BD65)&lt;=1.01,0,ROUND(BD62-BD65,0)),"")</f>
        <v>0</v>
      </c>
      <c r="BE66" s="211">
        <f>IF(AND(ISNUMBER(BE52),ISNUMBER(BE65)),IF(ABS(BE62-BE65)&lt;=1.01,0,ROUND(BE62-BE65,0)),"")</f>
        <v>0</v>
      </c>
      <c r="BF66" s="211">
        <f>IF(AND(ISNUMBER(BF52),ISNUMBER(BF65)),IF(ABS(BF62-BF65)&lt;=1.01,0,ROUND(BF62-BF65,0)),"")</f>
        <v>0</v>
      </c>
      <c r="BG66" s="211">
        <f>IF(AND(ISNUMBER(BG52),ISNUMBER(BG65)),IF(ABS(BG62-BG65)&lt;=1.01,0,ROUND(BG62-BG65,0)),"")</f>
        <v>0</v>
      </c>
      <c r="BH66" s="211">
        <f>IF(AND(ISNUMBER(BH52),ISNUMBER(BH65)),IF(ABS(BH62-BH65)&lt;=1.01,0,ROUND(BH62-BH65,0)),"")</f>
        <v>0</v>
      </c>
      <c r="BI66" s="211">
        <f>IF(AND(ISNUMBER(BI52),ISNUMBER(BI65)),IF(ABS(BI62-BI65)&lt;=1.01,0,ROUND(BI62-BI65,0)),"")</f>
        <v>0</v>
      </c>
      <c r="BJ66" s="211">
        <f>IF(AND(ISNUMBER(BJ52),ISNUMBER(BJ65)),IF(ABS(BJ62-BJ65)&lt;=1.01,0,ROUND(BJ62-BJ65,0)),"")</f>
        <v>0</v>
      </c>
      <c r="BK66" s="211">
        <f>IF(AND(ISNUMBER(BK52),ISNUMBER(BK65)),IF(ABS(BK62-BK65)&lt;=1.01,0,ROUND(BK62-BK65,0)),"")</f>
        <v>0</v>
      </c>
      <c r="BL66" s="211">
        <f>IF(AND(ISNUMBER(BL52),ISNUMBER(BL65)),IF(ABS(BL62-BL65)&lt;=1.01,0,ROUND(BL62-BL65,0)),"")</f>
        <v>0</v>
      </c>
      <c r="BM66" s="211">
        <f>IF(AND(ISNUMBER(BM52),ISNUMBER(BM65)),IF(ABS(BM62-BM65)&lt;=1.01,0,ROUND(BM62-BM65,0)),"")</f>
        <v>0</v>
      </c>
      <c r="BN66" s="211">
        <f>IF(AND(ISNUMBER(BN52),ISNUMBER(BN65)),IF(ABS(BN62-BN65)&lt;=1.01,0,ROUND(BN62-BN65,0)),"")</f>
        <v>0</v>
      </c>
      <c r="BO66" s="211">
        <f>IF(AND(ISNUMBER(BO52),ISNUMBER(BO65)),IF(ABS(BO62-BO65)&lt;=1.01,0,ROUND(BO62-BO65,0)),"")</f>
        <v>0</v>
      </c>
      <c r="BP66" s="211">
        <f>IF(AND(ISNUMBER(BP52),ISNUMBER(BP65)),IF(ABS(BP62-BP65)&lt;=1.01,0,ROUND(BP62-BP65,0)),"")</f>
        <v>0</v>
      </c>
      <c r="BQ66" s="211">
        <f>IF(AND(ISNUMBER(BQ52),ISNUMBER(BQ65)),IF(ABS(BQ62-BQ65)&lt;=1.01,0,ROUND(BQ62-BQ65,0)),"")</f>
        <v>0</v>
      </c>
      <c r="BR66" s="211">
        <f>IF(AND(ISNUMBER(BR52),ISNUMBER(BR65)),IF(ABS(BR62-BR65)&lt;=1.01,0,ROUND(BR62-BR65,0)),"")</f>
        <v>0</v>
      </c>
      <c r="BS66" s="211">
        <f>IF(AND(ISNUMBER(BS52),ISNUMBER(BS65)),IF(ABS(BS62-BS65)&lt;=1.01,0,ROUND(BS62-BS65,0)),"")</f>
        <v>0</v>
      </c>
      <c r="BT66" s="211">
        <f>IF(AND(ISNUMBER(BT52),ISNUMBER(BT65)),IF(ABS(BT62-BT65)&lt;=1.01,0,ROUND(BT62-BT65,0)),"")</f>
        <v>0</v>
      </c>
      <c r="BU66" s="153" t="n"/>
      <c r="BV66" s="153" t="n"/>
      <c r="BW66" s="153" t="n"/>
      <c r="BX66" s="153" t="n"/>
      <c r="BY66" s="153" t="n"/>
      <c r="BZ66" s="153" t="n"/>
      <c r="CA66" s="153" t="n"/>
      <c r="CB66" s="153" t="n"/>
      <c r="CC66" s="153" t="n"/>
      <c r="CK66" s="25" t="inlineStr">
        <is>
          <t xml:space="preserve">  2028E</t>
        </is>
      </c>
      <c r="CL66" s="33">
        <f>CM66+$CL$64</f>
        <v>0.08</v>
      </c>
      <c r="CM66" s="42" t="n">
        <v>0.06</v>
      </c>
      <c r="CN66" s="33">
        <f>CM66+$CN$64</f>
        <v>0.02</v>
      </c>
    </row>
    <row r="67" ht="15" customHeight="1" s="251">
      <c r="B67" s="25" t="inlineStr">
        <is>
          <t xml:space="preserve">  Energy (Commodity Insights / Platts) — adjusted operating profit</t>
        </is>
      </c>
      <c r="C67" s="34" t="n"/>
      <c r="D67" s="253" t="n">
        <v>186</v>
      </c>
      <c r="E67" s="253" t="n">
        <v>260</v>
      </c>
      <c r="F67" s="253" t="n">
        <v>62</v>
      </c>
      <c r="G67" s="253" t="n">
        <v>83</v>
      </c>
      <c r="H67" s="253" t="n">
        <v>82</v>
      </c>
      <c r="I67" s="253" t="n">
        <v>84</v>
      </c>
      <c r="J67" s="253" t="n">
        <v>310</v>
      </c>
      <c r="K67" s="253" t="n">
        <v>76</v>
      </c>
      <c r="L67" s="253" t="n">
        <v>83</v>
      </c>
      <c r="M67" s="253" t="n">
        <v>83</v>
      </c>
      <c r="N67" s="253" t="n">
        <v>76</v>
      </c>
      <c r="O67" s="253" t="n">
        <v>306</v>
      </c>
      <c r="P67" s="253" t="n">
        <v>85</v>
      </c>
      <c r="Q67" s="253" t="n">
        <v>88</v>
      </c>
      <c r="R67" s="253" t="n">
        <v>93</v>
      </c>
      <c r="S67" s="253" t="n">
        <v>92</v>
      </c>
      <c r="T67" s="253" t="n">
        <v>358</v>
      </c>
      <c r="U67" s="253" t="n">
        <v>107</v>
      </c>
      <c r="V67" s="253" t="n">
        <v>98</v>
      </c>
      <c r="W67" s="253" t="n">
        <v>94</v>
      </c>
      <c r="X67" s="34" t="n"/>
      <c r="Y67" s="34" t="n"/>
      <c r="Z67" s="34" t="n"/>
      <c r="AA67" s="34" t="n"/>
      <c r="AB67" s="34" t="n"/>
      <c r="AC67" s="34" t="n"/>
      <c r="AD67" s="34" t="n"/>
      <c r="AE67" s="253" t="n">
        <v>95</v>
      </c>
      <c r="AF67" s="253" t="n">
        <v>102</v>
      </c>
      <c r="AG67" s="253" t="n">
        <v>102</v>
      </c>
      <c r="AH67" s="253" t="n">
        <v>101</v>
      </c>
      <c r="AI67" s="253" t="n">
        <v>401</v>
      </c>
      <c r="AJ67" s="253" t="n">
        <v>98</v>
      </c>
      <c r="AK67" s="253" t="n">
        <v>111</v>
      </c>
      <c r="AL67" s="253" t="n">
        <v>107</v>
      </c>
      <c r="AM67" s="253" t="n">
        <v>107</v>
      </c>
      <c r="AN67" s="253" t="n">
        <v>424</v>
      </c>
      <c r="AO67" s="253" t="n">
        <v>114</v>
      </c>
      <c r="AP67" s="253" t="n">
        <v>127</v>
      </c>
      <c r="AQ67" s="253" t="n">
        <v>124</v>
      </c>
      <c r="AR67" s="253" t="n">
        <v>115</v>
      </c>
      <c r="AS67" s="253" t="n">
        <v>480</v>
      </c>
      <c r="AT67" s="253" t="n">
        <v>131</v>
      </c>
      <c r="AU67" s="253" t="n">
        <v>136</v>
      </c>
      <c r="AV67" s="253" t="n">
        <v>130</v>
      </c>
      <c r="AW67" s="253" t="n">
        <v>125</v>
      </c>
      <c r="AX67" s="253" t="n">
        <v>523</v>
      </c>
      <c r="AY67" s="253" t="n">
        <v>180</v>
      </c>
      <c r="AZ67" s="253" t="n">
        <v>188</v>
      </c>
      <c r="BA67" s="253" t="n">
        <v>198</v>
      </c>
      <c r="BB67" s="253" t="n">
        <v>201</v>
      </c>
      <c r="BC67" s="253" t="n">
        <v>767</v>
      </c>
      <c r="BD67" s="253" t="n">
        <v>234</v>
      </c>
      <c r="BE67" s="253" t="n">
        <v>211</v>
      </c>
      <c r="BF67" s="253" t="n">
        <v>232</v>
      </c>
      <c r="BG67" s="253" t="n">
        <v>220</v>
      </c>
      <c r="BH67" s="253" t="n">
        <v>897</v>
      </c>
      <c r="BI67" s="253" t="n">
        <v>264</v>
      </c>
      <c r="BJ67" s="253" t="n">
        <v>244</v>
      </c>
      <c r="BK67" s="253" t="n">
        <v>250</v>
      </c>
      <c r="BL67" s="253" t="n">
        <v>245</v>
      </c>
      <c r="BM67" s="253" t="n">
        <v>1003</v>
      </c>
      <c r="BN67" s="253" t="n">
        <v>322</v>
      </c>
      <c r="BO67" s="253" t="n">
        <v>284</v>
      </c>
      <c r="BP67" s="253" t="n">
        <v>281</v>
      </c>
      <c r="BQ67" s="253" t="n">
        <v>272</v>
      </c>
      <c r="BR67" s="253" t="n">
        <v>1159</v>
      </c>
      <c r="BS67" s="253" t="n">
        <v>348</v>
      </c>
      <c r="BT67" s="253" t="n">
        <v>296</v>
      </c>
      <c r="BU67" s="254">
        <f>BU62*BU68</f>
        <v>261.313391140089</v>
      </c>
      <c r="BV67" s="254">
        <f>BV62*BV68</f>
        <v>252.272913336754</v>
      </c>
      <c r="BW67" s="254">
        <f>SUM(BS67:BV67)</f>
        <v>1157.58630447684</v>
      </c>
      <c r="BX67" s="254">
        <f>BX62*BX68</f>
        <v>1281.66079803294</v>
      </c>
      <c r="BY67" s="254">
        <f>BY62*BY68</f>
        <v>1372.86108218771</v>
      </c>
      <c r="BZ67" s="254">
        <f>BZ62*BZ68</f>
        <v>1470.39142156812</v>
      </c>
      <c r="CA67" s="254">
        <f>CA62*CA68</f>
        <v>1574.68310177832</v>
      </c>
      <c r="CB67" s="254">
        <f>CB62*CB68</f>
        <v>1669.16408788502</v>
      </c>
      <c r="CC67" s="19" t="n"/>
      <c r="CE67" s="20">
        <f>IFERROR((CB67/BW67)^(1/5)-1,"n/m")</f>
        <v>0.0759426681451272</v>
      </c>
      <c r="CF67" s="20">
        <f>IFERROR((BR67/AS67)^(1/5)-1,"n/m")</f>
        <v>0.192802222688458</v>
      </c>
      <c r="CG67" s="20">
        <f>IFERROR((BR67/T67)^(1/10)-1,"n/m")</f>
        <v>0.124656871130597</v>
      </c>
      <c r="CH67" s="20" t="str">
        <f>IFERROR((BR67/C67)^(1/15)-1,"n/m")</f>
        <v>n/m</v>
      </c>
      <c r="CK67" s="25" t="inlineStr">
        <is>
          <t xml:space="preserve">  2029E</t>
        </is>
      </c>
      <c r="CL67" s="33">
        <f>CM67+$CL$64</f>
        <v>0.08</v>
      </c>
      <c r="CM67" s="42" t="n">
        <v>0.06</v>
      </c>
      <c r="CN67" s="33">
        <f>CM67+$CN$64</f>
        <v>0.02</v>
      </c>
    </row>
    <row r="68" ht="15" customHeight="1" s="251">
      <c r="B68" s="25" t="inlineStr">
        <is>
          <t xml:space="preserve">  Adjusted operating margin %</t>
        </is>
      </c>
      <c r="C68" s="215">
        <f>IF(AND(ISNUMBER(C67),ISNUMBER(C62)),IFERROR(C67/C62,""),"")</f>
      </c>
      <c r="D68" s="215">
        <f>IF(AND(ISNUMBER(D67),ISNUMBER(D62)),IFERROR(D67/D62,""),"")</f>
        <v>0.207589285714286</v>
      </c>
      <c r="E68" s="215">
        <f>IF(AND(ISNUMBER(E67),ISNUMBER(E62)),IFERROR(E67/E62,""),"")</f>
        <v>0.2672147995889</v>
      </c>
      <c r="F68" s="215">
        <f>IF(AND(ISNUMBER(F67),ISNUMBER(F62)),IFERROR(F67/F62,""),"")</f>
        <v>0.26271186440678</v>
      </c>
      <c r="G68" s="215">
        <f>IF(AND(ISNUMBER(G67),ISNUMBER(G62)),IFERROR(G67/G62,""),"")</f>
        <v>0.320463320463321</v>
      </c>
      <c r="H68" s="215">
        <f>IF(AND(ISNUMBER(H67),ISNUMBER(H62)),IFERROR(H67/H62,""),"")</f>
        <v>0.32156862745098</v>
      </c>
      <c r="I68" s="215">
        <f>IF(AND(ISNUMBER(I67),ISNUMBER(I62)),IFERROR(I67/I62,""),"")</f>
        <v>0.318181818181818</v>
      </c>
      <c r="J68" s="215">
        <f>IF(AND(ISNUMBER(J67),ISNUMBER(J62)),IFERROR(J67/J62,""),"")</f>
        <v>0.305719921104537</v>
      </c>
      <c r="K68" s="215">
        <f>IF(AND(ISNUMBER(K67),ISNUMBER(K62)),IFERROR(K67/K62,""),"")</f>
        <v>0.302788844621514</v>
      </c>
      <c r="L68" s="215">
        <f>IF(AND(ISNUMBER(L67),ISNUMBER(L62)),IFERROR(L67/L62,""),"")</f>
        <v>0.315589353612167</v>
      </c>
      <c r="M68" s="215">
        <f>IF(AND(ISNUMBER(M67),ISNUMBER(M62)),IFERROR(M67/M62,""),"")</f>
        <v>0.365638766519824</v>
      </c>
      <c r="N68" s="215">
        <f>IF(AND(ISNUMBER(N67),ISNUMBER(N62)),IFERROR(N67/N62,""),"")</f>
        <v>0.322033898305085</v>
      </c>
      <c r="O68" s="215">
        <f>IF(AND(ISNUMBER(O67),ISNUMBER(O62)),IFERROR(O67/O62,""),"")</f>
        <v>0.342665173572228</v>
      </c>
      <c r="P68" s="215">
        <f>IF(AND(ISNUMBER(P67),ISNUMBER(P62)),IFERROR(P67/P62,""),"")</f>
        <v>0.377777777777778</v>
      </c>
      <c r="Q68" s="215">
        <f>IF(AND(ISNUMBER(Q67),ISNUMBER(Q62)),IFERROR(Q67/Q62,""),"")</f>
        <v>0.376068376068376</v>
      </c>
      <c r="R68" s="215">
        <f>IF(AND(ISNUMBER(R67),ISNUMBER(R62)),IFERROR(R67/R62,""),"")</f>
        <v>0.375</v>
      </c>
      <c r="S68" s="215">
        <f>IF(AND(ISNUMBER(S67),ISNUMBER(S62)),IFERROR(S67/S62,""),"")</f>
        <v>0.348484848484849</v>
      </c>
      <c r="T68" s="215">
        <f>IF(AND(ISNUMBER(T67),ISNUMBER(T62)),IFERROR(T67/T62,""),"")</f>
        <v>0.368692070030896</v>
      </c>
      <c r="U68" s="215">
        <f>IF(AND(ISNUMBER(U67),ISNUMBER(U62)),IFERROR(U67/U62,""),"")</f>
        <v>0.421259842519685</v>
      </c>
      <c r="V68" s="215">
        <f>IF(AND(ISNUMBER(V67),ISNUMBER(V62)),IFERROR(V67/V62,""),"")</f>
        <v>0.384313725490196</v>
      </c>
      <c r="W68" s="215">
        <f>IF(AND(ISNUMBER(W67),ISNUMBER(W62)),IFERROR(W67/W62,""),"")</f>
        <v>0.410480349344978</v>
      </c>
      <c r="X68" s="215">
        <f>IF(AND(ISNUMBER(X67),ISNUMBER(X62)),IFERROR(X67/X62,""),"")</f>
      </c>
      <c r="Y68" s="215">
        <f>IF(AND(ISNUMBER(Y67),ISNUMBER(Y62)),IFERROR(Y67/Y62,""),"")</f>
      </c>
      <c r="Z68" s="215">
        <f>IF(AND(ISNUMBER(Z67),ISNUMBER(Z62)),IFERROR(Z67/Z62,""),"")</f>
      </c>
      <c r="AA68" s="215">
        <f>IF(AND(ISNUMBER(AA67),ISNUMBER(AA62)),IFERROR(AA67/AA62,""),"")</f>
      </c>
      <c r="AB68" s="215">
        <f>IF(AND(ISNUMBER(AB67),ISNUMBER(AB62)),IFERROR(AB67/AB62,""),"")</f>
      </c>
      <c r="AC68" s="215">
        <f>IF(AND(ISNUMBER(AC67),ISNUMBER(AC62)),IFERROR(AC67/AC62,""),"")</f>
      </c>
      <c r="AD68" s="215">
        <f>IF(AND(ISNUMBER(AD67),ISNUMBER(AD62)),IFERROR(AD67/AD62,""),"")</f>
      </c>
      <c r="AE68" s="215">
        <f>IF(AND(ISNUMBER(AE67),ISNUMBER(AE62)),IFERROR(AE67/AE62,""),"")</f>
        <v>0.48469387755102</v>
      </c>
      <c r="AF68" s="215">
        <f>IF(AND(ISNUMBER(AF67),ISNUMBER(AF62)),IFERROR(AF67/AF62,""),"")</f>
        <v>0.497560975609756</v>
      </c>
      <c r="AG68" s="215">
        <f>IF(AND(ISNUMBER(AG67),ISNUMBER(AG62)),IFERROR(AG67/AG62,""),"")</f>
        <v>0.5</v>
      </c>
      <c r="AH68" s="215">
        <f>IF(AND(ISNUMBER(AH67),ISNUMBER(AH62)),IFERROR(AH67/AH62,""),"")</f>
        <v>0.480952380952381</v>
      </c>
      <c r="AI68" s="215">
        <f>IF(AND(ISNUMBER(AI67),ISNUMBER(AI62)),IFERROR(AI67/AI62,""),"")</f>
        <v>0.492024539877301</v>
      </c>
      <c r="AJ68" s="215">
        <f>IF(AND(ISNUMBER(AJ67),ISNUMBER(AJ62)),IFERROR(AJ67/AJ62,""),"")</f>
        <v>0.473429951690821</v>
      </c>
      <c r="AK68" s="215">
        <f>IF(AND(ISNUMBER(AK67),ISNUMBER(AK62)),IFERROR(AK67/AK62,""),"")</f>
        <v>0.52112676056338</v>
      </c>
      <c r="AL68" s="215">
        <f>IF(AND(ISNUMBER(AL67),ISNUMBER(AL62)),IFERROR(AL67/AL62,""),"")</f>
        <v>0.504716981132076</v>
      </c>
      <c r="AM68" s="215">
        <f>IF(AND(ISNUMBER(AM67),ISNUMBER(AM62)),IFERROR(AM67/AM62,""),"")</f>
        <v>0.502347417840376</v>
      </c>
      <c r="AN68" s="215">
        <f>IF(AND(ISNUMBER(AN67),ISNUMBER(AN62)),IFERROR(AN67/AN62,""),"")</f>
        <v>0.502369668246446</v>
      </c>
      <c r="AO68" s="215">
        <f>IF(AND(ISNUMBER(AO67),ISNUMBER(AO62)),IFERROR(AO67/AO62,""),"")</f>
        <v>0.530232558139535</v>
      </c>
      <c r="AP68" s="215">
        <f>IF(AND(ISNUMBER(AP67),ISNUMBER(AP62)),IFERROR(AP67/AP62,""),"")</f>
        <v>0.585253456221198</v>
      </c>
      <c r="AQ68" s="215">
        <f>IF(AND(ISNUMBER(AQ67),ISNUMBER(AQ62)),IFERROR(AQ67/AQ62,""),"")</f>
        <v>0.558558558558559</v>
      </c>
      <c r="AR68" s="215">
        <f>IF(AND(ISNUMBER(AR67),ISNUMBER(AR62)),IFERROR(AR67/AR62,""),"")</f>
        <v>0.515695067264574</v>
      </c>
      <c r="AS68" s="215">
        <f>IF(AND(ISNUMBER(AS67),ISNUMBER(AS62)),IFERROR(AS67/AS62,""),"")</f>
        <v>0.546697038724374</v>
      </c>
      <c r="AT68" s="215">
        <f>IF(AND(ISNUMBER(AT67),ISNUMBER(AT62)),IFERROR(AT67/AT62,""),"")</f>
        <v>0.582222222222222</v>
      </c>
      <c r="AU68" s="215">
        <f>IF(AND(ISNUMBER(AU67),ISNUMBER(AU62)),IFERROR(AU67/AU62,""),"")</f>
        <v>0.576271186440678</v>
      </c>
      <c r="AV68" s="215">
        <f>IF(AND(ISNUMBER(AV67),ISNUMBER(AV62)),IFERROR(AV67/AV62,""),"")</f>
        <v>0.543933054393305</v>
      </c>
      <c r="AW68" s="215">
        <f>IF(AND(ISNUMBER(AW67),ISNUMBER(AW62)),IFERROR(AW67/AW62,""),"")</f>
        <v>0.502008032128514</v>
      </c>
      <c r="AX68" s="215">
        <f>IF(AND(ISNUMBER(AX67),ISNUMBER(AX62)),IFERROR(AX67/AX62,""),"")</f>
        <v>0.550526315789474</v>
      </c>
      <c r="AY68" s="215">
        <f>IF(AND(ISNUMBER(AY67),ISNUMBER(AY62)),IFERROR(AY67/AY62,""),"")</f>
        <v>0.495867768595041</v>
      </c>
      <c r="AZ68" s="215">
        <f>IF(AND(ISNUMBER(AZ67),ISNUMBER(AZ62)),IFERROR(AZ67/AZ62,""),"")</f>
        <v>0.429223744292237</v>
      </c>
      <c r="BA68" s="215">
        <f>IF(AND(ISNUMBER(BA67),ISNUMBER(BA62)),IFERROR(BA67/BA62,""),"")</f>
        <v>0.458333333333333</v>
      </c>
      <c r="BB68" s="215">
        <f>IF(AND(ISNUMBER(BB67),ISNUMBER(BB62)),IFERROR(BB67/BB62,""),"")</f>
        <v>0.445676274944568</v>
      </c>
      <c r="BC68" s="215">
        <f>IF(AND(ISNUMBER(BC67),ISNUMBER(BC62)),IFERROR(BC67/BC62,""),"")</f>
        <v>0.455192878338279</v>
      </c>
      <c r="BD68" s="215">
        <f>IF(AND(ISNUMBER(BD67),ISNUMBER(BD62)),IFERROR(BD67/BD62,""),"")</f>
        <v>0.460629921259843</v>
      </c>
      <c r="BE68" s="215">
        <f>IF(AND(ISNUMBER(BE67),ISNUMBER(BE62)),IFERROR(BE67/BE62,""),"")</f>
        <v>0.456709956709957</v>
      </c>
      <c r="BF68" s="215">
        <f>IF(AND(ISNUMBER(BF67),ISNUMBER(BF62)),IFERROR(BF67/BF62,""),"")</f>
        <v>0.484342379958246</v>
      </c>
      <c r="BG68" s="215">
        <f>IF(AND(ISNUMBER(BG67),ISNUMBER(BG62)),IFERROR(BG67/BG62,""),"")</f>
        <v>0.442655935613682</v>
      </c>
      <c r="BH68" s="215">
        <f>IF(AND(ISNUMBER(BH67),ISNUMBER(BH62)),IFERROR(BH67/BH62,""),"")</f>
        <v>0.460945529290853</v>
      </c>
      <c r="BI68" s="215">
        <f>IF(AND(ISNUMBER(BI67),ISNUMBER(BI62)),IFERROR(BI67/BI62,""),"")</f>
        <v>0.472271914132379</v>
      </c>
      <c r="BJ68" s="215">
        <f>IF(AND(ISNUMBER(BJ67),ISNUMBER(BJ62)),IFERROR(BJ67/BJ62,""),"")</f>
        <v>0.472868217054264</v>
      </c>
      <c r="BK68" s="215">
        <f>IF(AND(ISNUMBER(BK67),ISNUMBER(BK62)),IFERROR(BK67/BK62,""),"")</f>
        <v>0.478927203065134</v>
      </c>
      <c r="BL68" s="215">
        <f>IF(AND(ISNUMBER(BL67),ISNUMBER(BL62)),IFERROR(BL67/BL62,""),"")</f>
        <v>0.44954128440367</v>
      </c>
      <c r="BM68" s="215">
        <f>IF(AND(ISNUMBER(BM67),ISNUMBER(BM62)),IFERROR(BM67/BM62,""),"")</f>
        <v>0.468253968253968</v>
      </c>
      <c r="BN68" s="215">
        <f>IF(AND(ISNUMBER(BN67),ISNUMBER(BN62)),IFERROR(BN67/BN62,""),"")</f>
        <v>0.473529411764706</v>
      </c>
      <c r="BO68" s="215">
        <f>IF(AND(ISNUMBER(BO67),ISNUMBER(BO62)),IFERROR(BO67/BO62,""),"")</f>
        <v>0.467874794069193</v>
      </c>
      <c r="BP68" s="215">
        <f>IF(AND(ISNUMBER(BP67),ISNUMBER(BP62)),IFERROR(BP67/BP62,""),"")</f>
        <v>0.461412151067324</v>
      </c>
      <c r="BQ68" s="215">
        <f>IF(AND(ISNUMBER(BQ67),ISNUMBER(BQ62)),IFERROR(BQ67/BQ62,""),"")</f>
        <v>0.432432432432432</v>
      </c>
      <c r="BR68" s="215">
        <f>IF(AND(ISNUMBER(BR67),ISNUMBER(BR62)),IFERROR(BR67/BR62,""),"")</f>
        <v>0.459009900990099</v>
      </c>
      <c r="BS68" s="215">
        <f>IF(AND(ISNUMBER(BS67),ISNUMBER(BS62)),IFERROR(BS67/BS62,""),"")</f>
        <v>0.480662983425414</v>
      </c>
      <c r="BT68" s="215">
        <f>IF(AND(ISNUMBER(BT67),ISNUMBER(BT62)),IFERROR(BT67/BT62,""),"")</f>
        <v>0.475120385232745</v>
      </c>
      <c r="BU68" s="256">
        <f>BU69+$BW$159</f>
        <v>0.443247766495289</v>
      </c>
      <c r="BV68" s="256">
        <f>BV69+$BW$159</f>
        <v>0.414268047860398</v>
      </c>
      <c r="BW68" s="256">
        <f>IF(AND(ISNUMBER(BW67),ISNUMBER(BW62)),IFERROR(BW67/BW62,""),"")</f>
        <v>0.454757378238162</v>
      </c>
      <c r="BX68" s="256">
        <f>CHOOSE(MATCH($CC$2,{"Bull","Base","Bear"},0),$CL$89,$CM$89,$CN$89)</f>
        <v>0.475</v>
      </c>
      <c r="BY68" s="256">
        <f>CHOOSE(MATCH($CC$2,{"Bull","Base","Bear"},0),$CL$90,$CM$90,$CN$90)</f>
        <v>0.48</v>
      </c>
      <c r="BZ68" s="256">
        <f>CHOOSE(MATCH($CC$2,{"Bull","Base","Bear"},0),$CL$91,$CM$91,$CN$91)</f>
        <v>0.485</v>
      </c>
      <c r="CA68" s="256">
        <f>CHOOSE(MATCH($CC$2,{"Bull","Base","Bear"},0),$CL$92,$CM$92,$CN$92)</f>
        <v>0.49</v>
      </c>
      <c r="CB68" s="256">
        <f>CHOOSE(MATCH($CC$2,{"Bull","Base","Bear"},0),$CL$93,$CM$93,$CN$93)</f>
        <v>0.49</v>
      </c>
      <c r="CC68" s="153" t="n"/>
      <c r="CE68" s="37">
        <f>IFERROR(AVERAGE(BX68,BY68,BZ68,CA68,CB68),"n/m")</f>
        <v>0.484</v>
      </c>
      <c r="CF68" s="37">
        <f>IFERROR(AVERAGE(AX68,BC68,BH68,BM68,BR68),"n/m")</f>
        <v>0.478785718532535</v>
      </c>
      <c r="CG68" s="37">
        <f>IFERROR(AVERAGE(Y68,AD68,AI68,AN68,AS68,AX68,BC68,BH68,BM68,BR68),"n/m")</f>
        <v>0.491877479938849</v>
      </c>
      <c r="CH68" s="37">
        <f>IFERROR(AVERAGE(C68,D68,E68,J68,O68,T68,Y68,AD68,AI68,AN68,AS68,AX68,BC68,BH68,BM68,BR68),"n/m")</f>
        <v>0.417453929963203</v>
      </c>
      <c r="CK68" s="25" t="inlineStr">
        <is>
          <t xml:space="preserve">  2030E</t>
        </is>
      </c>
      <c r="CL68" s="33">
        <f>CM68+$CL$64</f>
        <v>0.08</v>
      </c>
      <c r="CM68" s="42" t="n">
        <v>0.06</v>
      </c>
      <c r="CN68" s="33">
        <f>CM68+$CN$64</f>
        <v>0.02</v>
      </c>
    </row>
    <row r="69" ht="15" customHeight="1" s="251">
      <c r="B69" s="25" t="inlineStr">
        <is>
          <t xml:space="preserve">  Q3–Q4/26E margin before EPS calibration (prior-year quarter + 1H-26 y/y drift)</t>
        </is>
      </c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  <c r="AP69" s="36" t="n"/>
      <c r="AQ69" s="36" t="n"/>
      <c r="AR69" s="36" t="n"/>
      <c r="AS69" s="36" t="n"/>
      <c r="AT69" s="36" t="n"/>
      <c r="AU69" s="36" t="n"/>
      <c r="AV69" s="36" t="n"/>
      <c r="AW69" s="36" t="n"/>
      <c r="AX69" s="36" t="n"/>
      <c r="AY69" s="36" t="n"/>
      <c r="AZ69" s="36" t="n"/>
      <c r="BA69" s="36" t="n"/>
      <c r="BB69" s="36" t="n"/>
      <c r="BC69" s="36" t="n"/>
      <c r="BD69" s="36" t="n"/>
      <c r="BE69" s="36" t="n"/>
      <c r="BF69" s="36" t="n"/>
      <c r="BG69" s="36" t="n"/>
      <c r="BH69" s="36" t="n"/>
      <c r="BI69" s="36" t="n"/>
      <c r="BJ69" s="36" t="n"/>
      <c r="BK69" s="36" t="n"/>
      <c r="BL69" s="36" t="n"/>
      <c r="BM69" s="36" t="n"/>
      <c r="BN69" s="36" t="n"/>
      <c r="BO69" s="36" t="n"/>
      <c r="BP69" s="36" t="n"/>
      <c r="BQ69" s="36" t="n"/>
      <c r="BR69" s="36" t="n"/>
      <c r="BS69" s="36" t="n"/>
      <c r="BT69" s="36" t="n"/>
      <c r="BU69" s="256">
        <f>BP68+IFERROR(SUM(BS67:BT67)/SUM(BS62:BT62)-SUM(BN67:BO67)/SUM(BN62:BO62),0)</f>
        <v>0.468649160531504</v>
      </c>
      <c r="BV69" s="256">
        <f>BQ68+IFERROR(SUM(BS67:BT67)/SUM(BS62:BT62)-SUM(BN67:BO67)/SUM(BN62:BO62),0)</f>
        <v>0.439669441896613</v>
      </c>
      <c r="BW69" s="24" t="n"/>
      <c r="BX69" s="46" t="n"/>
      <c r="BY69" s="46" t="n"/>
      <c r="BZ69" s="46" t="n"/>
      <c r="CA69" s="46" t="n"/>
      <c r="CB69" s="46" t="n"/>
      <c r="CC69" s="19" t="n"/>
      <c r="CK69" s="25" t="inlineStr">
        <is>
          <t xml:space="preserve">  2031E</t>
        </is>
      </c>
      <c r="CL69" s="33">
        <f>CM69+$CL$64</f>
        <v>0.08</v>
      </c>
      <c r="CM69" s="42" t="n">
        <v>0.06</v>
      </c>
      <c r="CN69" s="33">
        <f>CM69+$CN$64</f>
        <v>0.02</v>
      </c>
    </row>
    <row r="70" ht="15" customHeight="1" s="251">
      <c r="B70" s="25" t="inlineStr">
        <is>
          <t xml:space="preserve">  Incremental adjusted margin (Δ adjusted OP / Δ revenue)</t>
        </is>
      </c>
      <c r="C70" s="36" t="n"/>
      <c r="D70" s="215">
        <f>IFERROR((D67-C67)/(D62-C62),"")</f>
        <v>2.18823529411765</v>
      </c>
      <c r="E70" s="215">
        <f>IFERROR((E67-D67)/(E62-D62),"")</f>
        <v>0.961038961038961</v>
      </c>
      <c r="F70" s="36" t="n"/>
      <c r="G70" s="36" t="n"/>
      <c r="H70" s="36" t="n"/>
      <c r="I70" s="36" t="n"/>
      <c r="J70" s="215">
        <f>IFERROR((J67-E67)/(J62-E62),"")</f>
        <v>1.21951219512195</v>
      </c>
      <c r="K70" s="215">
        <f>IFERROR((K67-F67)/(K62-F62),"")</f>
        <v>0.933333333333333</v>
      </c>
      <c r="L70" s="215">
        <f>IFERROR((L67-G67)/(L62-G62),"")</f>
        <v>0</v>
      </c>
      <c r="M70" s="215">
        <f>IFERROR((M67-H67)/(M62-H62),"")</f>
        <v>-0.0357142857142857</v>
      </c>
      <c r="N70" s="215">
        <f>IFERROR((N67-I67)/(N62-I62),"")</f>
        <v>0.285714285714286</v>
      </c>
      <c r="O70" s="215">
        <f>IFERROR((O67-J67)/(O62-J62),"")</f>
        <v>0.0330578512396694</v>
      </c>
      <c r="P70" s="215">
        <f>IFERROR((P67-K67)/(P62-K62),"")</f>
        <v>-0.346153846153846</v>
      </c>
      <c r="Q70" s="215">
        <f>IFERROR((Q67-L67)/(Q62-L62),"")</f>
        <v>-0.172413793103448</v>
      </c>
      <c r="R70" s="215">
        <f>IFERROR((R67-M67)/(R62-M62),"")</f>
        <v>0.476190476190476</v>
      </c>
      <c r="S70" s="215">
        <f>IFERROR((S67-N67)/(S62-N62),"")</f>
        <v>0.571428571428571</v>
      </c>
      <c r="T70" s="215">
        <f>IFERROR((T67-O67)/(T62-O62),"")</f>
        <v>0.666666666666667</v>
      </c>
      <c r="U70" s="215">
        <f>IFERROR((U67-P67)/(U62-P62),"")</f>
        <v>0.758620689655172</v>
      </c>
      <c r="V70" s="215">
        <f>IFERROR((V67-Q67)/(V62-Q62),"")</f>
        <v>0.476190476190476</v>
      </c>
      <c r="W70" s="215">
        <f>IFERROR((W67-R67)/(W62-R62),"")</f>
        <v>-0.0526315789473684</v>
      </c>
      <c r="X70" s="215">
        <f>IFERROR((X67-S67)/(X62-S62),"")</f>
        <v>1.21052631578947</v>
      </c>
      <c r="Y70" s="215">
        <f>IFERROR((Y67-T67)/(Y62-T62),"")</f>
        <v>1.38223938223938</v>
      </c>
      <c r="Z70" s="215">
        <f>IFERROR((Z67-U67)/(Z62-U62),"")</f>
        <v>1.6984126984127</v>
      </c>
      <c r="AA70" s="215">
        <f>IFERROR((AA67-V67)/(AA62-V62),"")</f>
        <v>1.55555555555556</v>
      </c>
      <c r="AB70" s="215">
        <f>IFERROR((AB67-W67)/(AB62-W62),"")</f>
        <v>2.61111111111111</v>
      </c>
      <c r="AC70" s="215">
        <f>IFERROR((AC67-X67)/(AC62-X62),"")</f>
        <v>0</v>
      </c>
      <c r="AD70" s="215">
        <f>IFERROR((AD67-Y67)/(AD62-Y62),"")</f>
        <v>0</v>
      </c>
      <c r="AE70" s="215">
        <f>IFERROR((AE67-Z67)/(AE62-Z62),"")</f>
        <v>19</v>
      </c>
      <c r="AF70" s="215">
        <f>IFERROR((AF67-AA67)/(AF62-AA62),"")</f>
        <v>7.84615384615385</v>
      </c>
      <c r="AG70" s="215">
        <f>IFERROR((AG67-AB67)/(AG62-AB62),"")</f>
        <v>9.27272727272727</v>
      </c>
      <c r="AH70" s="215">
        <f>IFERROR((AH67-AC67)/(AH62-AC62),"")</f>
        <v>7.76923076923077</v>
      </c>
      <c r="AI70" s="215">
        <f>IFERROR((AI67-AD67)/(AI62-AD62),"")</f>
        <v>9.78048780487805</v>
      </c>
      <c r="AJ70" s="215">
        <f>IFERROR((AJ67-AE67)/(AJ62-AE62),"")</f>
        <v>0.272727272727273</v>
      </c>
      <c r="AK70" s="215">
        <f>IFERROR((AK67-AF67)/(AK62-AF62),"")</f>
        <v>1.125</v>
      </c>
      <c r="AL70" s="215">
        <f>IFERROR((AL67-AG67)/(AL62-AG62),"")</f>
        <v>0.625</v>
      </c>
      <c r="AM70" s="215">
        <f>IFERROR((AM67-AH67)/(AM62-AH62),"")</f>
        <v>2</v>
      </c>
      <c r="AN70" s="215">
        <f>IFERROR((AN67-AI67)/(AN62-AI62),"")</f>
        <v>0.793103448275862</v>
      </c>
      <c r="AO70" s="215">
        <f>IFERROR((AO67-AJ67)/(AO62-AJ62),"")</f>
        <v>2</v>
      </c>
      <c r="AP70" s="215">
        <f>IFERROR((AP67-AK67)/(AP62-AK62),"")</f>
        <v>4</v>
      </c>
      <c r="AQ70" s="215">
        <f>IFERROR((AQ67-AL67)/(AQ62-AL62),"")</f>
        <v>1.7</v>
      </c>
      <c r="AR70" s="215">
        <f>IFERROR((AR67-AM67)/(AR62-AM62),"")</f>
        <v>0.8</v>
      </c>
      <c r="AS70" s="215">
        <f>IFERROR((AS67-AN67)/(AS62-AN62),"")</f>
        <v>1.64705882352941</v>
      </c>
      <c r="AT70" s="215">
        <f>IFERROR((AT67-AO67)/(AT62-AO62),"")</f>
        <v>1.7</v>
      </c>
      <c r="AU70" s="215">
        <f>IFERROR((AU67-AP67)/(AU62-AP62),"")</f>
        <v>0.473684210526316</v>
      </c>
      <c r="AV70" s="215">
        <f>IFERROR((AV67-AQ67)/(AV62-AQ62),"")</f>
        <v>0.352941176470588</v>
      </c>
      <c r="AW70" s="215">
        <f>IFERROR((AW67-AR67)/(AW62-AR62),"")</f>
        <v>0.384615384615385</v>
      </c>
      <c r="AX70" s="215">
        <f>IFERROR((AX67-AS67)/(AX62-AS62),"")</f>
        <v>0.597222222222222</v>
      </c>
      <c r="AY70" s="215">
        <f>IFERROR((AY67-AT67)/(AY62-AT62),"")</f>
        <v>0.355072463768116</v>
      </c>
      <c r="AZ70" s="215">
        <f>IFERROR((AZ67-AU67)/(AZ62-AU62),"")</f>
        <v>0.257425742574257</v>
      </c>
      <c r="BA70" s="215">
        <f>IFERROR((BA67-AV67)/(BA62-AV62),"")</f>
        <v>0.352331606217617</v>
      </c>
      <c r="BB70" s="215">
        <f>IFERROR((BB67-AW67)/(BB62-AW62),"")</f>
        <v>0.376237623762376</v>
      </c>
      <c r="BC70" s="215">
        <f>IFERROR((BC67-AX67)/(BC62-AX62),"")</f>
        <v>0.331972789115646</v>
      </c>
      <c r="BD70" s="215">
        <f>IFERROR((BD67-AY67)/(BD62-AY62),"")</f>
        <v>0.372413793103448</v>
      </c>
      <c r="BE70" s="215">
        <f>IFERROR((BE67-AZ67)/(BE62-AZ62),"")</f>
        <v>0.958333333333333</v>
      </c>
      <c r="BF70" s="215">
        <f>IFERROR((BF67-BA67)/(BF62-BA62),"")</f>
        <v>0.723404255319149</v>
      </c>
      <c r="BG70" s="215">
        <f>IFERROR((BG67-BB67)/(BG62-BB62),"")</f>
        <v>0.41304347826087</v>
      </c>
      <c r="BH70" s="215">
        <f>IFERROR((BH67-BC67)/(BH62-BC62),"")</f>
        <v>0.498084291187739</v>
      </c>
      <c r="BI70" s="215">
        <f>IFERROR((BI67-BD67)/(BI62-BD62),"")</f>
        <v>0.588235294117647</v>
      </c>
      <c r="BJ70" s="215">
        <f>IFERROR((BJ67-BE67)/(BJ62-BE62),"")</f>
        <v>0.611111111111111</v>
      </c>
      <c r="BK70" s="215">
        <f>IFERROR((BK67-BF67)/(BK62-BF62),"")</f>
        <v>0.418604651162791</v>
      </c>
      <c r="BL70" s="215">
        <f>IFERROR((BL67-BG67)/(BL62-BG62),"")</f>
        <v>0.520833333333333</v>
      </c>
      <c r="BM70" s="215">
        <f>IFERROR((BM67-BH67)/(BM62-BH62),"")</f>
        <v>0.540816326530612</v>
      </c>
      <c r="BN70" s="215">
        <f>IFERROR((BN67-BI67)/(BN62-BI62),"")</f>
        <v>0.479338842975207</v>
      </c>
      <c r="BO70" s="215">
        <f>IFERROR((BO67-BJ67)/(BO62-BJ62),"")</f>
        <v>0.43956043956044</v>
      </c>
      <c r="BP70" s="215">
        <f>IFERROR((BP67-BK67)/(BP62-BK62),"")</f>
        <v>0.35632183908046</v>
      </c>
      <c r="BQ70" s="215">
        <f>IFERROR((BQ67-BL67)/(BQ62-BL62),"")</f>
        <v>0.321428571428571</v>
      </c>
      <c r="BR70" s="215">
        <f>IFERROR((BR67-BM67)/(BR62-BM62),"")</f>
        <v>0.407310704960836</v>
      </c>
      <c r="BS70" s="215">
        <f>IFERROR((BS67-BN67)/(BS62-BN62),"")</f>
        <v>0.590909090909091</v>
      </c>
      <c r="BT70" s="215">
        <f>IFERROR((BT67-BO67)/(BT62-BO62),"")</f>
        <v>0.75</v>
      </c>
      <c r="BU70" s="256">
        <f>IFERROR((BU67-BP67)/(BU62-BP62),"")</f>
        <v>1.01177422080238</v>
      </c>
      <c r="BV70" s="256">
        <f>IFERROR((BV67-BQ67)/(BV62-BQ62),"")</f>
        <v>0.984414365666421</v>
      </c>
      <c r="BW70" s="256">
        <f>IFERROR((BW67-BR67)/(BW62-BR62),"")</f>
        <v>-0.0689504161982422</v>
      </c>
      <c r="BX70" s="256">
        <f>IFERROR((BX67-BW67)/(BX62-BW62),"")</f>
        <v>0.812377029363972</v>
      </c>
      <c r="BY70" s="256">
        <f>IFERROR((BY67-BX67)/(BY62-BX62),"")</f>
        <v>0.563333333333334</v>
      </c>
      <c r="BZ70" s="256">
        <f>IFERROR((BZ67-BY67)/(BZ62-BY62),"")</f>
        <v>0.568333333333333</v>
      </c>
      <c r="CA70" s="256">
        <f>IFERROR((CA67-BZ67)/(CA62-BZ62),"")</f>
        <v>0.573333333333333</v>
      </c>
      <c r="CB70" s="256">
        <f>IFERROR((CB67-CA67)/(CB62-CA62),"")</f>
        <v>0.49</v>
      </c>
      <c r="CC70" s="153" t="n"/>
      <c r="CK70" s="15" t="inlineStr">
        <is>
          <t>MI (Market Intelligence revenue y/y, all types)</t>
        </is>
      </c>
      <c r="CL70" s="41" t="n">
        <v>0.02</v>
      </c>
      <c r="CM70" s="21" t="inlineStr">
        <is>
          <t>Δ →</t>
        </is>
      </c>
      <c r="CN70" s="41" t="n">
        <v>-0.04</v>
      </c>
      <c r="CO70" s="13" t="inlineStr">
        <is>
          <t>1H-26 +7% recast (+6% organic cc); With Intelligence (Nov-2025) in the base; EDM / thinkFolio sold Q1-26.</t>
        </is>
      </c>
    </row>
    <row r="71" ht="15" customHeight="1" s="251">
      <c r="B71" s="156" t="inlineStr">
        <is>
          <t xml:space="preserve">  Memo: Energy (Commodity Insights / Platts) — operating profit (GAAP, as reported)</t>
        </is>
      </c>
      <c r="C71" s="253" t="n">
        <v>153</v>
      </c>
      <c r="D71" s="253" t="n">
        <v>180</v>
      </c>
      <c r="E71" s="253" t="n">
        <v>248</v>
      </c>
      <c r="F71" s="253" t="n">
        <v>62</v>
      </c>
      <c r="G71" s="253" t="n">
        <v>83</v>
      </c>
      <c r="H71" s="253" t="n">
        <v>91</v>
      </c>
      <c r="I71" s="253" t="n">
        <v>76</v>
      </c>
      <c r="J71" s="253" t="n">
        <v>311</v>
      </c>
      <c r="K71" s="253" t="n">
        <v>76</v>
      </c>
      <c r="L71" s="253" t="n">
        <v>83</v>
      </c>
      <c r="M71" s="253" t="n">
        <v>71</v>
      </c>
      <c r="N71" s="253" t="n">
        <v>72</v>
      </c>
      <c r="O71" s="253" t="n">
        <v>290</v>
      </c>
      <c r="P71" s="253" t="n">
        <v>85</v>
      </c>
      <c r="Q71" s="253" t="n">
        <v>87</v>
      </c>
      <c r="R71" s="253" t="n">
        <v>93</v>
      </c>
      <c r="S71" s="253" t="n">
        <v>92</v>
      </c>
      <c r="T71" s="253" t="n">
        <v>357</v>
      </c>
      <c r="U71" s="253" t="n">
        <v>102</v>
      </c>
      <c r="V71" s="253" t="n">
        <v>93</v>
      </c>
      <c r="W71" s="253" t="n">
        <v>812</v>
      </c>
      <c r="X71" s="34" t="n"/>
      <c r="Y71" s="34" t="n"/>
      <c r="Z71" s="34" t="n"/>
      <c r="AA71" s="34" t="n"/>
      <c r="AB71" s="34" t="n"/>
      <c r="AC71" s="34" t="n"/>
      <c r="AD71" s="34" t="n"/>
      <c r="AE71" s="253" t="n">
        <v>90</v>
      </c>
      <c r="AF71" s="253" t="n">
        <v>98</v>
      </c>
      <c r="AG71" s="253" t="n">
        <v>98</v>
      </c>
      <c r="AH71" s="253" t="n">
        <v>97</v>
      </c>
      <c r="AI71" s="253" t="n">
        <v>383</v>
      </c>
      <c r="AJ71" s="253" t="n">
        <v>94</v>
      </c>
      <c r="AK71" s="253" t="n">
        <v>107</v>
      </c>
      <c r="AL71" s="253" t="n">
        <v>132</v>
      </c>
      <c r="AM71" s="253" t="n">
        <v>105</v>
      </c>
      <c r="AN71" s="253" t="n">
        <v>438</v>
      </c>
      <c r="AO71" s="253" t="n">
        <v>112</v>
      </c>
      <c r="AP71" s="253" t="n">
        <v>124</v>
      </c>
      <c r="AQ71" s="253" t="n">
        <v>121</v>
      </c>
      <c r="AR71" s="253" t="n">
        <v>100</v>
      </c>
      <c r="AS71" s="253" t="n">
        <v>458</v>
      </c>
      <c r="AT71" s="253" t="n">
        <v>129</v>
      </c>
      <c r="AU71" s="253" t="n">
        <v>135</v>
      </c>
      <c r="AV71" s="253" t="n">
        <v>128</v>
      </c>
      <c r="AW71" s="253" t="n">
        <v>125</v>
      </c>
      <c r="AX71" s="253" t="n">
        <v>517</v>
      </c>
      <c r="AY71" s="253" t="n">
        <v>158</v>
      </c>
      <c r="AZ71" s="253" t="n">
        <v>141</v>
      </c>
      <c r="BA71" s="253" t="n">
        <v>141</v>
      </c>
      <c r="BB71" s="253" t="n">
        <v>150</v>
      </c>
      <c r="BC71" s="253" t="n">
        <v>591</v>
      </c>
      <c r="BD71" s="253" t="n">
        <v>187</v>
      </c>
      <c r="BE71" s="253" t="n">
        <v>156</v>
      </c>
      <c r="BF71" s="253" t="n">
        <v>184</v>
      </c>
      <c r="BG71" s="253" t="n">
        <v>177</v>
      </c>
      <c r="BH71" s="253" t="n">
        <v>704</v>
      </c>
      <c r="BI71" s="253" t="n">
        <v>226</v>
      </c>
      <c r="BJ71" s="253" t="n">
        <v>206</v>
      </c>
      <c r="BK71" s="253" t="n">
        <v>211</v>
      </c>
      <c r="BL71" s="253" t="n">
        <v>202</v>
      </c>
      <c r="BM71" s="253" t="n">
        <v>845</v>
      </c>
      <c r="BN71" s="34" t="n"/>
      <c r="BO71" s="34" t="n"/>
      <c r="BP71" s="34" t="n"/>
      <c r="BQ71" s="34" t="n"/>
      <c r="BR71" s="34" t="n"/>
      <c r="BS71" s="34" t="n"/>
      <c r="BT71" s="34" t="n"/>
      <c r="BU71" s="153" t="n"/>
      <c r="BV71" s="153" t="n"/>
      <c r="BW71" s="153" t="n"/>
      <c r="BX71" s="153" t="n"/>
      <c r="BY71" s="153" t="n"/>
      <c r="BZ71" s="153" t="n"/>
      <c r="CA71" s="153" t="n"/>
      <c r="CB71" s="153" t="n"/>
      <c r="CC71" s="153" t="n"/>
      <c r="CK71" s="25" t="inlineStr">
        <is>
          <t xml:space="preserve">  2027E</t>
        </is>
      </c>
      <c r="CL71" s="33">
        <f>CM71+$CL$70</f>
        <v>0.08</v>
      </c>
      <c r="CM71" s="42" t="n">
        <v>0.06</v>
      </c>
      <c r="CN71" s="33">
        <f>CM71+$CN$70</f>
        <v>0.02</v>
      </c>
    </row>
    <row r="72" collapsed="1" ht="15" customHeight="1" s="251">
      <c r="CK72" s="25" t="inlineStr">
        <is>
          <t xml:space="preserve">  2028E</t>
        </is>
      </c>
      <c r="CL72" s="33">
        <f>CM72+$CL$70</f>
        <v>0.085</v>
      </c>
      <c r="CM72" s="42" t="n">
        <v>0.065</v>
      </c>
      <c r="CN72" s="33">
        <f>CM72+$CN$70</f>
        <v>0.025</v>
      </c>
    </row>
    <row r="73" ht="15" customHeight="1" s="251">
      <c r="B73" s="14" t="inlineStr">
        <is>
          <t>S&amp;P Global Market Intelligence — S&amp;P Capital IQ 2010–15; Market Intelligence (SNL from Sep-2015) 2018+; incl. IHS Markit financial services from Mar-2022; recast 2025+ (451 Research / Maritime &amp; Trade to Energy)</t>
        </is>
      </c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  <c r="AO73" s="14" t="n"/>
      <c r="AP73" s="14" t="n"/>
      <c r="AQ73" s="14" t="n"/>
      <c r="AR73" s="14" t="n"/>
      <c r="AS73" s="14" t="n"/>
      <c r="AT73" s="14" t="n"/>
      <c r="AU73" s="14" t="n"/>
      <c r="AV73" s="14" t="n"/>
      <c r="AW73" s="14" t="n"/>
      <c r="AX73" s="14" t="n"/>
      <c r="AY73" s="14" t="n"/>
      <c r="AZ73" s="14" t="n"/>
      <c r="BA73" s="14" t="n"/>
      <c r="BB73" s="14" t="n"/>
      <c r="BC73" s="14" t="n"/>
      <c r="BD73" s="14" t="n"/>
      <c r="BE73" s="14" t="n"/>
      <c r="BF73" s="14" t="n"/>
      <c r="BG73" s="14" t="n"/>
      <c r="BH73" s="14" t="n"/>
      <c r="BI73" s="14" t="n"/>
      <c r="BJ73" s="14" t="n"/>
      <c r="BK73" s="14" t="n"/>
      <c r="BL73" s="14" t="n"/>
      <c r="BM73" s="14" t="n"/>
      <c r="BN73" s="14" t="n"/>
      <c r="BO73" s="14" t="n"/>
      <c r="BP73" s="14" t="n"/>
      <c r="BQ73" s="14" t="n"/>
      <c r="BR73" s="14" t="n"/>
      <c r="BS73" s="14" t="n"/>
      <c r="BT73" s="14" t="n"/>
      <c r="BU73" s="14" t="n"/>
      <c r="BV73" s="14" t="n"/>
      <c r="BW73" s="14" t="n"/>
      <c r="BX73" s="14" t="n"/>
      <c r="BY73" s="14" t="n"/>
      <c r="BZ73" s="14" t="n"/>
      <c r="CA73" s="14" t="n"/>
      <c r="CB73" s="14" t="n"/>
      <c r="CC73" s="15" t="inlineStr">
        <is>
          <t>MARKET INTELLIGENCE — modelling logic</t>
        </is>
      </c>
      <c r="CK73" s="25" t="inlineStr">
        <is>
          <t xml:space="preserve">  2029E</t>
        </is>
      </c>
      <c r="CL73" s="33">
        <f>CM73+$CL$70</f>
        <v>0.085</v>
      </c>
      <c r="CM73" s="42" t="n">
        <v>0.065</v>
      </c>
      <c r="CN73" s="33">
        <f>CM73+$CN$70</f>
        <v>0.025</v>
      </c>
    </row>
    <row r="74" ht="15" customHeight="1" s="251">
      <c r="B74" s="25" t="inlineStr">
        <is>
          <t xml:space="preserve">  Subscription</t>
        </is>
      </c>
      <c r="C74" s="34" t="n"/>
      <c r="D74" s="253" t="n">
        <v>922</v>
      </c>
      <c r="E74" s="253" t="n">
        <v>1014</v>
      </c>
      <c r="F74" s="253" t="n">
        <v>260</v>
      </c>
      <c r="G74" s="253" t="n">
        <v>260</v>
      </c>
      <c r="H74" s="253" t="n">
        <v>265</v>
      </c>
      <c r="I74" s="253" t="n">
        <v>270</v>
      </c>
      <c r="J74" s="253" t="n">
        <v>1056</v>
      </c>
      <c r="K74" s="253" t="n">
        <v>274</v>
      </c>
      <c r="L74" s="253" t="n">
        <v>278</v>
      </c>
      <c r="M74" s="253" t="n">
        <v>283</v>
      </c>
      <c r="N74" s="253" t="n">
        <v>286</v>
      </c>
      <c r="O74" s="253" t="n">
        <v>1118</v>
      </c>
      <c r="P74" s="253" t="n">
        <v>287</v>
      </c>
      <c r="Q74" s="253" t="n">
        <v>292</v>
      </c>
      <c r="R74" s="253" t="n">
        <v>322</v>
      </c>
      <c r="S74" s="253" t="n">
        <v>370</v>
      </c>
      <c r="T74" s="253" t="n">
        <v>1270</v>
      </c>
      <c r="U74" s="253" t="n">
        <v>375</v>
      </c>
      <c r="V74" s="253" t="n">
        <v>382</v>
      </c>
      <c r="W74" s="253" t="n">
        <v>394</v>
      </c>
      <c r="X74" s="34" t="n"/>
      <c r="Y74" s="34" t="n"/>
      <c r="Z74" s="34" t="n"/>
      <c r="AA74" s="34" t="n"/>
      <c r="AB74" s="34" t="n"/>
      <c r="AC74" s="34" t="n"/>
      <c r="AD74" s="34" t="n"/>
      <c r="AE74" s="253" t="n">
        <v>424</v>
      </c>
      <c r="AF74" s="253" t="n">
        <v>431</v>
      </c>
      <c r="AG74" s="253" t="n">
        <v>451</v>
      </c>
      <c r="AH74" s="253" t="n">
        <v>464</v>
      </c>
      <c r="AI74" s="253" t="n">
        <v>1773</v>
      </c>
      <c r="AJ74" s="253" t="n">
        <v>467</v>
      </c>
      <c r="AK74" s="253" t="n">
        <v>471</v>
      </c>
      <c r="AL74" s="253" t="n">
        <v>477</v>
      </c>
      <c r="AM74" s="253" t="n">
        <v>488</v>
      </c>
      <c r="AN74" s="253" t="n">
        <v>1904</v>
      </c>
      <c r="AO74" s="253" t="n">
        <v>505</v>
      </c>
      <c r="AP74" s="253" t="n">
        <v>503</v>
      </c>
      <c r="AQ74" s="253" t="n">
        <v>517</v>
      </c>
      <c r="AR74" s="253" t="n">
        <v>526</v>
      </c>
      <c r="AS74" s="253" t="n">
        <v>2050</v>
      </c>
      <c r="AT74" s="253" t="n">
        <v>527</v>
      </c>
      <c r="AU74" s="253" t="n">
        <v>540</v>
      </c>
      <c r="AV74" s="253" t="n">
        <v>557</v>
      </c>
      <c r="AW74" s="253" t="n">
        <v>568</v>
      </c>
      <c r="AX74" s="253" t="n">
        <v>2191</v>
      </c>
      <c r="AY74" s="34" t="n"/>
      <c r="AZ74" s="253" t="n">
        <v>856</v>
      </c>
      <c r="BA74" s="253" t="n">
        <v>862</v>
      </c>
      <c r="BB74" s="253" t="n">
        <v>876</v>
      </c>
      <c r="BC74" s="34" t="n"/>
      <c r="BD74" s="253" t="n">
        <v>890</v>
      </c>
      <c r="BE74" s="253" t="n">
        <v>910</v>
      </c>
      <c r="BF74" s="253" t="n">
        <v>932</v>
      </c>
      <c r="BG74" s="253" t="n">
        <v>953</v>
      </c>
      <c r="BH74" s="253" t="n">
        <v>3685</v>
      </c>
      <c r="BI74" s="253" t="n">
        <v>947</v>
      </c>
      <c r="BJ74" s="253" t="n">
        <v>965</v>
      </c>
      <c r="BK74" s="253" t="n">
        <v>981</v>
      </c>
      <c r="BL74" s="253" t="n">
        <v>989</v>
      </c>
      <c r="BM74" s="253" t="n">
        <v>3882</v>
      </c>
      <c r="BN74" s="253" t="n">
        <v>945</v>
      </c>
      <c r="BO74" s="253" t="n">
        <v>969</v>
      </c>
      <c r="BP74" s="253" t="n">
        <v>986</v>
      </c>
      <c r="BQ74" s="253" t="n">
        <v>1013</v>
      </c>
      <c r="BR74" s="253" t="n">
        <v>3913</v>
      </c>
      <c r="BS74" s="253" t="n">
        <v>1001</v>
      </c>
      <c r="BT74" s="253" t="n">
        <v>1025</v>
      </c>
      <c r="BU74" s="254">
        <f>BP74*(1+BU75)</f>
        <v>968.635029998658</v>
      </c>
      <c r="BV74" s="254">
        <f>BQ74*(1+BV75)</f>
        <v>995.159518649737</v>
      </c>
      <c r="BW74" s="254">
        <f>SUM(BS74:BV74)</f>
        <v>3989.79454864839</v>
      </c>
      <c r="BX74" s="254">
        <f>BW74*(1+BX75)</f>
        <v>4229.1822215673</v>
      </c>
      <c r="BY74" s="254">
        <f>BX74*(1+BY75)</f>
        <v>4504.07906596917</v>
      </c>
      <c r="BZ74" s="254">
        <f>BY74*(1+BZ75)</f>
        <v>4796.84420525717</v>
      </c>
      <c r="CA74" s="254">
        <f>BZ74*(1+CA75)</f>
        <v>5108.63907859888</v>
      </c>
      <c r="CB74" s="254">
        <f>CA74*(1+CB75)</f>
        <v>5440.70061870781</v>
      </c>
      <c r="CC74" s="19" t="n"/>
      <c r="CK74" s="25" t="inlineStr">
        <is>
          <t xml:space="preserve">  2030E</t>
        </is>
      </c>
      <c r="CL74" s="33">
        <f>CM74+$CL$70</f>
        <v>0.085</v>
      </c>
      <c r="CM74" s="42" t="n">
        <v>0.065</v>
      </c>
      <c r="CN74" s="33">
        <f>CM74+$CN$70</f>
        <v>0.025</v>
      </c>
    </row>
    <row r="75" ht="15" customHeight="1" s="251">
      <c r="B75" s="22" t="inlineStr">
        <is>
          <t xml:space="preserve">    y/y %</t>
        </is>
      </c>
      <c r="C75" s="23" t="n"/>
      <c r="D75" s="255">
        <f>IF(AND(ISNUMBER(D74),ISNUMBER(C74)),IFERROR(D74/C74-1,""),"")</f>
      </c>
      <c r="E75" s="255">
        <f>IF(AND(ISNUMBER(E74),ISNUMBER(D74)),IFERROR(E74/D74-1,""),"")</f>
        <v>0.0997830802603037</v>
      </c>
      <c r="F75" s="23" t="n"/>
      <c r="G75" s="23" t="n"/>
      <c r="H75" s="23" t="n"/>
      <c r="I75" s="23" t="n"/>
      <c r="J75" s="255">
        <f>IF(AND(ISNUMBER(J74),ISNUMBER(E74)),IFERROR(J74/E74-1,""),"")</f>
        <v>0.0414201183431953</v>
      </c>
      <c r="K75" s="255">
        <f>IF(AND(ISNUMBER(K74),ISNUMBER(F74)),IFERROR(K74/F74-1,""),"")</f>
        <v>0.0538461538461539</v>
      </c>
      <c r="L75" s="255">
        <f>IF(AND(ISNUMBER(L74),ISNUMBER(G74)),IFERROR(L74/G74-1,""),"")</f>
        <v>0.0692307692307692</v>
      </c>
      <c r="M75" s="255">
        <f>IF(AND(ISNUMBER(M74),ISNUMBER(H74)),IFERROR(M74/H74-1,""),"")</f>
        <v>0.0679245283018868</v>
      </c>
      <c r="N75" s="255">
        <f>IF(AND(ISNUMBER(N74),ISNUMBER(I74)),IFERROR(N74/I74-1,""),"")</f>
        <v>0.0592592592592593</v>
      </c>
      <c r="O75" s="255">
        <f>IF(AND(ISNUMBER(O74),ISNUMBER(J74)),IFERROR(O74/J74-1,""),"")</f>
        <v>0.0587121212121211</v>
      </c>
      <c r="P75" s="255">
        <f>IF(AND(ISNUMBER(P74),ISNUMBER(K74)),IFERROR(P74/K74-1,""),"")</f>
        <v>0.0474452554744527</v>
      </c>
      <c r="Q75" s="255">
        <f>IF(AND(ISNUMBER(Q74),ISNUMBER(L74)),IFERROR(Q74/L74-1,""),"")</f>
        <v>0.0503597122302157</v>
      </c>
      <c r="R75" s="255">
        <f>IF(AND(ISNUMBER(R74),ISNUMBER(M74)),IFERROR(R74/M74-1,""),"")</f>
        <v>0.137809187279152</v>
      </c>
      <c r="S75" s="255">
        <f>IF(AND(ISNUMBER(S74),ISNUMBER(N74)),IFERROR(S74/N74-1,""),"")</f>
        <v>0.293706293706294</v>
      </c>
      <c r="T75" s="255">
        <f>IF(AND(ISNUMBER(T74),ISNUMBER(O74)),IFERROR(T74/O74-1,""),"")</f>
        <v>0.135957066189624</v>
      </c>
      <c r="U75" s="255">
        <f>IF(AND(ISNUMBER(U74),ISNUMBER(P74)),IFERROR(U74/P74-1,""),"")</f>
        <v>0.306620209059233</v>
      </c>
      <c r="V75" s="255">
        <f>IF(AND(ISNUMBER(V74),ISNUMBER(Q74)),IFERROR(V74/Q74-1,""),"")</f>
        <v>0.308219178082192</v>
      </c>
      <c r="W75" s="255">
        <f>IF(AND(ISNUMBER(W74),ISNUMBER(R74)),IFERROR(W74/R74-1,""),"")</f>
        <v>0.22360248447205</v>
      </c>
      <c r="X75" s="255">
        <f>IF(AND(ISNUMBER(X74),ISNUMBER(S74)),IFERROR(X74/S74-1,""),"")</f>
      </c>
      <c r="Y75" s="255">
        <f>IF(AND(ISNUMBER(Y74),ISNUMBER(T74)),IFERROR(Y74/T74-1,""),"")</f>
      </c>
      <c r="Z75" s="255">
        <f>IF(AND(ISNUMBER(Z74),ISNUMBER(U74)),IFERROR(Z74/U74-1,""),"")</f>
      </c>
      <c r="AA75" s="255">
        <f>IF(AND(ISNUMBER(AA74),ISNUMBER(V74)),IFERROR(AA74/V74-1,""),"")</f>
      </c>
      <c r="AB75" s="255">
        <f>IF(AND(ISNUMBER(AB74),ISNUMBER(W74)),IFERROR(AB74/W74-1,""),"")</f>
      </c>
      <c r="AC75" s="255">
        <f>IF(AND(ISNUMBER(AC74),ISNUMBER(X74)),IFERROR(AC74/X74-1,""),"")</f>
      </c>
      <c r="AD75" s="255">
        <f>IF(AND(ISNUMBER(AD74),ISNUMBER(Y74)),IFERROR(AD74/Y74-1,""),"")</f>
      </c>
      <c r="AE75" s="255">
        <f>IF(AND(ISNUMBER(AE74),ISNUMBER(Z74)),IFERROR(AE74/Z74-1,""),"")</f>
      </c>
      <c r="AF75" s="255">
        <f>IF(AND(ISNUMBER(AF74),ISNUMBER(AA74)),IFERROR(AF74/AA74-1,""),"")</f>
      </c>
      <c r="AG75" s="255">
        <f>IF(AND(ISNUMBER(AG74),ISNUMBER(AB74)),IFERROR(AG74/AB74-1,""),"")</f>
      </c>
      <c r="AH75" s="255">
        <f>IF(AND(ISNUMBER(AH74),ISNUMBER(AC74)),IFERROR(AH74/AC74-1,""),"")</f>
      </c>
      <c r="AI75" s="255">
        <f>IF(AND(ISNUMBER(AI74),ISNUMBER(AD74)),IFERROR(AI74/AD74-1,""),"")</f>
      </c>
      <c r="AJ75" s="255">
        <f>IF(AND(ISNUMBER(AJ74),ISNUMBER(AE74)),IFERROR(AJ74/AE74-1,""),"")</f>
        <v>0.101415094339623</v>
      </c>
      <c r="AK75" s="255">
        <f>IF(AND(ISNUMBER(AK74),ISNUMBER(AF74)),IFERROR(AK74/AF74-1,""),"")</f>
        <v>0.0928074245939676</v>
      </c>
      <c r="AL75" s="255">
        <f>IF(AND(ISNUMBER(AL74),ISNUMBER(AG74)),IFERROR(AL74/AG74-1,""),"")</f>
        <v>0.0576496674057649</v>
      </c>
      <c r="AM75" s="255">
        <f>IF(AND(ISNUMBER(AM74),ISNUMBER(AH74)),IFERROR(AM74/AH74-1,""),"")</f>
        <v>0.0517241379310345</v>
      </c>
      <c r="AN75" s="255">
        <f>IF(AND(ISNUMBER(AN74),ISNUMBER(AI74)),IFERROR(AN74/AI74-1,""),"")</f>
        <v>0.0738860688099268</v>
      </c>
      <c r="AO75" s="255">
        <f>IF(AND(ISNUMBER(AO74),ISNUMBER(AJ74)),IFERROR(AO74/AJ74-1,""),"")</f>
        <v>0.0813704496788008</v>
      </c>
      <c r="AP75" s="255">
        <f>IF(AND(ISNUMBER(AP74),ISNUMBER(AK74)),IFERROR(AP74/AK74-1,""),"")</f>
        <v>0.0679405520169851</v>
      </c>
      <c r="AQ75" s="255">
        <f>IF(AND(ISNUMBER(AQ74),ISNUMBER(AL74)),IFERROR(AQ74/AL74-1,""),"")</f>
        <v>0.0838574423480083</v>
      </c>
      <c r="AR75" s="255">
        <f>IF(AND(ISNUMBER(AR74),ISNUMBER(AM74)),IFERROR(AR74/AM74-1,""),"")</f>
        <v>0.0778688524590163</v>
      </c>
      <c r="AS75" s="255">
        <f>IF(AND(ISNUMBER(AS74),ISNUMBER(AN74)),IFERROR(AS74/AN74-1,""),"")</f>
        <v>0.0766806722689075</v>
      </c>
      <c r="AT75" s="255">
        <f>IF(AND(ISNUMBER(AT74),ISNUMBER(AO74)),IFERROR(AT74/AO74-1,""),"")</f>
        <v>0.0435643564356436</v>
      </c>
      <c r="AU75" s="255">
        <f>IF(AND(ISNUMBER(AU74),ISNUMBER(AP74)),IFERROR(AU74/AP74-1,""),"")</f>
        <v>0.073558648111332</v>
      </c>
      <c r="AV75" s="255">
        <f>IF(AND(ISNUMBER(AV74),ISNUMBER(AQ74)),IFERROR(AV74/AQ74-1,""),"")</f>
        <v>0.0773694390715667</v>
      </c>
      <c r="AW75" s="255">
        <f>IF(AND(ISNUMBER(AW74),ISNUMBER(AR74)),IFERROR(AW74/AR74-1,""),"")</f>
        <v>0.0798479087452471</v>
      </c>
      <c r="AX75" s="255">
        <f>IF(AND(ISNUMBER(AX74),ISNUMBER(AS74)),IFERROR(AX74/AS74-1,""),"")</f>
        <v>0.0687804878048781</v>
      </c>
      <c r="AY75" s="255">
        <f>IF(AND(ISNUMBER(AY74),ISNUMBER(AT74)),IFERROR(AY74/AT74-1,""),"")</f>
      </c>
      <c r="AZ75" s="255">
        <f>IF(AND(ISNUMBER(AZ74),ISNUMBER(AU74)),IFERROR(AZ74/AU74-1,""),"")</f>
        <v>0.585185185185185</v>
      </c>
      <c r="BA75" s="255">
        <f>IF(AND(ISNUMBER(BA74),ISNUMBER(AV74)),IFERROR(BA74/AV74-1,""),"")</f>
        <v>0.547576301615799</v>
      </c>
      <c r="BB75" s="255">
        <f>IF(AND(ISNUMBER(BB74),ISNUMBER(AW74)),IFERROR(BB74/AW74-1,""),"")</f>
        <v>0.542253521126761</v>
      </c>
      <c r="BC75" s="255">
        <f>IF(AND(ISNUMBER(BC74),ISNUMBER(AX74)),IFERROR(BC74/AX74-1,""),"")</f>
      </c>
      <c r="BD75" s="255">
        <f>IF(AND(ISNUMBER(BD74),ISNUMBER(AY74)),IFERROR(BD74/AY74-1,""),"")</f>
      </c>
      <c r="BE75" s="255">
        <f>IF(AND(ISNUMBER(BE74),ISNUMBER(AZ74)),IFERROR(BE74/AZ74-1,""),"")</f>
        <v>0.0630841121495327</v>
      </c>
      <c r="BF75" s="255">
        <f>IF(AND(ISNUMBER(BF74),ISNUMBER(BA74)),IFERROR(BF74/BA74-1,""),"")</f>
        <v>0.0812064965197217</v>
      </c>
      <c r="BG75" s="255">
        <f>IF(AND(ISNUMBER(BG74),ISNUMBER(BB74)),IFERROR(BG74/BB74-1,""),"")</f>
        <v>0.0878995433789955</v>
      </c>
      <c r="BH75" s="255">
        <f>IF(AND(ISNUMBER(BH74),ISNUMBER(BC74)),IFERROR(BH74/BC74-1,""),"")</f>
      </c>
      <c r="BI75" s="255">
        <f>IF(AND(ISNUMBER(BI74),ISNUMBER(BD74)),IFERROR(BI74/BD74-1,""),"")</f>
        <v>0.0640449438202246</v>
      </c>
      <c r="BJ75" s="255">
        <f>IF(AND(ISNUMBER(BJ74),ISNUMBER(BE74)),IFERROR(BJ74/BE74-1,""),"")</f>
        <v>0.0604395604395605</v>
      </c>
      <c r="BK75" s="255">
        <f>IF(AND(ISNUMBER(BK74),ISNUMBER(BF74)),IFERROR(BK74/BF74-1,""),"")</f>
        <v>0.0525751072961374</v>
      </c>
      <c r="BL75" s="255">
        <f>IF(AND(ISNUMBER(BL74),ISNUMBER(BG74)),IFERROR(BL74/BG74-1,""),"")</f>
        <v>0.0377754459601258</v>
      </c>
      <c r="BM75" s="255">
        <f>IF(AND(ISNUMBER(BM74),ISNUMBER(BH74)),IFERROR(BM74/BH74-1,""),"")</f>
        <v>0.0534599728629579</v>
      </c>
      <c r="BN75" s="255">
        <f>IF(AND(ISNUMBER(BN74),ISNUMBER(BI74)),IFERROR(BN74/BI74-1,""),"")</f>
        <v>-0.00211193241816265</v>
      </c>
      <c r="BO75" s="255">
        <f>IF(AND(ISNUMBER(BO74),ISNUMBER(BJ74)),IFERROR(BO74/BJ74-1,""),"")</f>
        <v>0.00414507772020722</v>
      </c>
      <c r="BP75" s="255">
        <f>IF(AND(ISNUMBER(BP74),ISNUMBER(BK74)),IFERROR(BP74/BK74-1,""),"")</f>
        <v>0.00509683995922527</v>
      </c>
      <c r="BQ75" s="255">
        <f>IF(AND(ISNUMBER(BQ74),ISNUMBER(BL74)),IFERROR(BQ74/BL74-1,""),"")</f>
        <v>0.0242669362992922</v>
      </c>
      <c r="BR75" s="255">
        <f>IF(AND(ISNUMBER(BR74),ISNUMBER(BM74)),IFERROR(BR74/BM74-1,""),"")</f>
        <v>0.00798557444616188</v>
      </c>
      <c r="BS75" s="255">
        <f>IF(AND(ISNUMBER(BS74),ISNUMBER(BN74)),IFERROR(BS74/BN74-1,""),"")</f>
        <v>0.0592592592592593</v>
      </c>
      <c r="BT75" s="255">
        <f>IF(AND(ISNUMBER(BT74),ISNUMBER(BO74)),IFERROR(BT74/BO74-1,""),"")</f>
        <v>0.0577915376676987</v>
      </c>
      <c r="BU75" s="256">
        <f>$BW$76+$BW$149</f>
        <v>-0.0176115314415236</v>
      </c>
      <c r="BV75" s="256">
        <f>$BW$76+$BW$149</f>
        <v>-0.0176115314415236</v>
      </c>
      <c r="BW75" s="256">
        <f>IF(AND(ISNUMBER(BW74),ISNUMBER(BR74)),IFERROR(BW74/BR74-1,""),"")</f>
        <v>0.0196254916044964</v>
      </c>
      <c r="BX75" s="256">
        <f>CHOOSE(MATCH($CC$2,{"Bull","Base","Bear"},0),$CL$71,$CM$71,$CN$71)</f>
        <v>0.06</v>
      </c>
      <c r="BY75" s="256">
        <f>CHOOSE(MATCH($CC$2,{"Bull","Base","Bear"},0),$CL$72,$CM$72,$CN$72)</f>
        <v>0.065</v>
      </c>
      <c r="BZ75" s="256">
        <f>CHOOSE(MATCH($CC$2,{"Bull","Base","Bear"},0),$CL$73,$CM$73,$CN$73)</f>
        <v>0.065</v>
      </c>
      <c r="CA75" s="256">
        <f>CHOOSE(MATCH($CC$2,{"Bull","Base","Bear"},0),$CL$74,$CM$74,$CN$74)</f>
        <v>0.065</v>
      </c>
      <c r="CB75" s="256">
        <f>CHOOSE(MATCH($CC$2,{"Bull","Base","Bear"},0),$CL$75,$CM$75,$CN$75)</f>
        <v>0.065</v>
      </c>
      <c r="CC75" s="153" t="n"/>
      <c r="CK75" s="25" t="inlineStr">
        <is>
          <t xml:space="preserve">  2031E</t>
        </is>
      </c>
      <c r="CL75" s="33">
        <f>CM75+$CL$70</f>
        <v>0.085</v>
      </c>
      <c r="CM75" s="42" t="n">
        <v>0.065</v>
      </c>
      <c r="CN75" s="33">
        <f>CM75+$CN$70</f>
        <v>0.025</v>
      </c>
    </row>
    <row r="76" ht="15" customHeight="1" s="251">
      <c r="B76" s="25" t="inlineStr">
        <is>
          <t xml:space="preserve">    Q3–Q4/26E growth before revenue calibration (1H-26 y/y)</t>
        </is>
      </c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  <c r="AP76" s="36" t="n"/>
      <c r="AQ76" s="36" t="n"/>
      <c r="AR76" s="36" t="n"/>
      <c r="AS76" s="36" t="n"/>
      <c r="AT76" s="36" t="n"/>
      <c r="AU76" s="36" t="n"/>
      <c r="AV76" s="36" t="n"/>
      <c r="AW76" s="36" t="n"/>
      <c r="AX76" s="36" t="n"/>
      <c r="AY76" s="36" t="n"/>
      <c r="AZ76" s="36" t="n"/>
      <c r="BA76" s="36" t="n"/>
      <c r="BB76" s="36" t="n"/>
      <c r="BC76" s="36" t="n"/>
      <c r="BD76" s="36" t="n"/>
      <c r="BE76" s="36" t="n"/>
      <c r="BF76" s="36" t="n"/>
      <c r="BG76" s="36" t="n"/>
      <c r="BH76" s="36" t="n"/>
      <c r="BI76" s="36" t="n"/>
      <c r="BJ76" s="36" t="n"/>
      <c r="BK76" s="36" t="n"/>
      <c r="BL76" s="36" t="n"/>
      <c r="BM76" s="36" t="n"/>
      <c r="BN76" s="36" t="n"/>
      <c r="BO76" s="36" t="n"/>
      <c r="BP76" s="36" t="n"/>
      <c r="BQ76" s="36" t="n"/>
      <c r="BR76" s="36" t="n"/>
      <c r="BS76" s="36" t="n"/>
      <c r="BT76" s="36" t="n"/>
      <c r="BU76" s="24" t="n"/>
      <c r="BV76" s="24" t="n"/>
      <c r="BW76" s="256">
        <f>IFERROR(SUM(BS74:BT74)/SUM(BN74:BO74)-1,0)</f>
        <v>0.0585161964472309</v>
      </c>
      <c r="BX76" s="46" t="n"/>
      <c r="BY76" s="46" t="n"/>
      <c r="BZ76" s="46" t="n"/>
      <c r="CA76" s="46" t="n"/>
      <c r="CB76" s="46" t="n"/>
      <c r="CC76" s="19" t="n"/>
      <c r="CK76" s="15" t="inlineStr">
        <is>
          <t>RAT_M (Ratings adjusted margin)</t>
        </is>
      </c>
      <c r="CL76" s="41" t="n">
        <v>0.01</v>
      </c>
      <c r="CM76" s="21" t="inlineStr">
        <is>
          <t>Δ →</t>
        </is>
      </c>
      <c r="CN76" s="41" t="n">
        <v>-0.03</v>
      </c>
      <c r="CO76" s="13" t="inlineStr">
        <is>
          <t>FY2025 65.1%, 1H-26 68.0%; operating leverage on issuance.</t>
        </is>
      </c>
    </row>
    <row r="77" ht="15" customHeight="1" s="251">
      <c r="B77" s="25" t="inlineStr">
        <is>
          <t xml:space="preserve">  Non-subscription / transaction</t>
        </is>
      </c>
      <c r="C77" s="34" t="n"/>
      <c r="D77" s="253" t="n">
        <v>109</v>
      </c>
      <c r="E77" s="253" t="n">
        <v>110</v>
      </c>
      <c r="F77" s="253" t="n">
        <v>28</v>
      </c>
      <c r="G77" s="253" t="n">
        <v>27</v>
      </c>
      <c r="H77" s="253" t="n">
        <v>28</v>
      </c>
      <c r="I77" s="253" t="n">
        <v>31</v>
      </c>
      <c r="J77" s="253" t="n">
        <v>114</v>
      </c>
      <c r="K77" s="253" t="n">
        <v>27</v>
      </c>
      <c r="L77" s="253" t="n">
        <v>29</v>
      </c>
      <c r="M77" s="253" t="n">
        <v>28</v>
      </c>
      <c r="N77" s="253" t="n">
        <v>32</v>
      </c>
      <c r="O77" s="253" t="n">
        <v>119</v>
      </c>
      <c r="P77" s="253" t="n">
        <v>33</v>
      </c>
      <c r="Q77" s="253" t="n">
        <v>32</v>
      </c>
      <c r="R77" s="253" t="n">
        <v>34</v>
      </c>
      <c r="S77" s="253" t="n">
        <v>35</v>
      </c>
      <c r="T77" s="253" t="n">
        <v>135</v>
      </c>
      <c r="U77" s="253" t="n">
        <v>32</v>
      </c>
      <c r="V77" s="253" t="n">
        <v>34</v>
      </c>
      <c r="W77" s="253" t="n">
        <v>35</v>
      </c>
      <c r="X77" s="34" t="n"/>
      <c r="Y77" s="34" t="n"/>
      <c r="Z77" s="34" t="n"/>
      <c r="AA77" s="34" t="n"/>
      <c r="AB77" s="34" t="n"/>
      <c r="AC77" s="34" t="n"/>
      <c r="AD77" s="34" t="n"/>
      <c r="AE77" s="253" t="n">
        <v>8</v>
      </c>
      <c r="AF77" s="253" t="n">
        <v>11</v>
      </c>
      <c r="AG77" s="253" t="n">
        <v>8</v>
      </c>
      <c r="AH77" s="253" t="n">
        <v>9</v>
      </c>
      <c r="AI77" s="253" t="n">
        <v>40</v>
      </c>
      <c r="AJ77" s="253" t="n">
        <v>10</v>
      </c>
      <c r="AK77" s="253" t="n">
        <v>12</v>
      </c>
      <c r="AL77" s="253" t="n">
        <v>10</v>
      </c>
      <c r="AM77" s="253" t="n">
        <v>14</v>
      </c>
      <c r="AN77" s="253" t="n">
        <v>45</v>
      </c>
      <c r="AO77" s="253" t="n">
        <v>13</v>
      </c>
      <c r="AP77" s="253" t="n">
        <v>13</v>
      </c>
      <c r="AQ77" s="253" t="n">
        <v>13</v>
      </c>
      <c r="AR77" s="253" t="n">
        <v>16</v>
      </c>
      <c r="AS77" s="253" t="n">
        <v>55</v>
      </c>
      <c r="AT77" s="253" t="n">
        <v>12</v>
      </c>
      <c r="AU77" s="253" t="n">
        <v>15</v>
      </c>
      <c r="AV77" s="253" t="n">
        <v>13</v>
      </c>
      <c r="AW77" s="253" t="n">
        <v>16</v>
      </c>
      <c r="AX77" s="253" t="n">
        <v>56</v>
      </c>
      <c r="AY77" s="34" t="n"/>
      <c r="AZ77" s="253" t="n">
        <v>42</v>
      </c>
      <c r="BA77" s="253" t="n">
        <v>40</v>
      </c>
      <c r="BB77" s="253" t="n">
        <v>52</v>
      </c>
      <c r="BC77" s="34" t="n"/>
      <c r="BD77" s="253" t="n">
        <v>56</v>
      </c>
      <c r="BE77" s="253" t="n">
        <v>39</v>
      </c>
      <c r="BF77" s="253" t="n">
        <v>42</v>
      </c>
      <c r="BG77" s="253" t="n">
        <v>50</v>
      </c>
      <c r="BH77" s="253" t="n">
        <v>187</v>
      </c>
      <c r="BI77" s="253" t="n">
        <v>54</v>
      </c>
      <c r="BJ77" s="253" t="n">
        <v>43</v>
      </c>
      <c r="BK77" s="253" t="n">
        <v>39</v>
      </c>
      <c r="BL77" s="253" t="n">
        <v>48</v>
      </c>
      <c r="BM77" s="253" t="n">
        <v>184</v>
      </c>
      <c r="BN77" s="253" t="n">
        <v>36</v>
      </c>
      <c r="BO77" s="253" t="n">
        <v>38</v>
      </c>
      <c r="BP77" s="253" t="n">
        <v>39</v>
      </c>
      <c r="BQ77" s="253" t="n">
        <v>41</v>
      </c>
      <c r="BR77" s="253" t="n">
        <v>154</v>
      </c>
      <c r="BS77" s="253" t="n">
        <v>54</v>
      </c>
      <c r="BT77" s="253" t="n">
        <v>37</v>
      </c>
      <c r="BU77" s="254">
        <f>BP77*(1+BU78)</f>
        <v>44.990478071798</v>
      </c>
      <c r="BV77" s="254">
        <f>BQ77*(1+BV78)</f>
        <v>47.29768207548</v>
      </c>
      <c r="BW77" s="254">
        <f>SUM(BS77:BV77)</f>
        <v>183.288160147278</v>
      </c>
      <c r="BX77" s="254">
        <f>BW77*(1+BX78)</f>
        <v>194.285449756115</v>
      </c>
      <c r="BY77" s="254">
        <f>BX77*(1+BY78)</f>
        <v>206.914003990262</v>
      </c>
      <c r="BZ77" s="254">
        <f>BY77*(1+BZ78)</f>
        <v>220.363414249629</v>
      </c>
      <c r="CA77" s="254">
        <f>BZ77*(1+CA78)</f>
        <v>234.687036175855</v>
      </c>
      <c r="CB77" s="254">
        <f>CA77*(1+CB78)</f>
        <v>249.941693527286</v>
      </c>
      <c r="CC77" s="19" t="n"/>
      <c r="CK77" s="25" t="inlineStr">
        <is>
          <t xml:space="preserve">  2027E</t>
        </is>
      </c>
      <c r="CL77" s="33">
        <f>CM77+$CL$76</f>
        <v>0.675</v>
      </c>
      <c r="CM77" s="42" t="n">
        <v>0.665</v>
      </c>
      <c r="CN77" s="33">
        <f>CM77+$CN$76</f>
        <v>0.635</v>
      </c>
    </row>
    <row r="78" ht="15" customHeight="1" s="251">
      <c r="B78" s="22" t="inlineStr">
        <is>
          <t xml:space="preserve">    y/y %</t>
        </is>
      </c>
      <c r="C78" s="23" t="n"/>
      <c r="D78" s="255">
        <f>IF(AND(ISNUMBER(D77),ISNUMBER(C77)),IFERROR(D77/C77-1,""),"")</f>
      </c>
      <c r="E78" s="255">
        <f>IF(AND(ISNUMBER(E77),ISNUMBER(D77)),IFERROR(E77/D77-1,""),"")</f>
        <v>0.00917431192660545</v>
      </c>
      <c r="F78" s="23" t="n"/>
      <c r="G78" s="23" t="n"/>
      <c r="H78" s="23" t="n"/>
      <c r="I78" s="23" t="n"/>
      <c r="J78" s="255">
        <f>IF(AND(ISNUMBER(J77),ISNUMBER(E77)),IFERROR(J77/E77-1,""),"")</f>
        <v>0.0363636363636364</v>
      </c>
      <c r="K78" s="255">
        <f>IF(AND(ISNUMBER(K77),ISNUMBER(F77)),IFERROR(K77/F77-1,""),"")</f>
        <v>-0.0357142857142857</v>
      </c>
      <c r="L78" s="255">
        <f>IF(AND(ISNUMBER(L77),ISNUMBER(G77)),IFERROR(L77/G77-1,""),"")</f>
        <v>0.0740740740740742</v>
      </c>
      <c r="M78" s="255">
        <f>IF(AND(ISNUMBER(M77),ISNUMBER(H77)),IFERROR(M77/H77-1,""),"")</f>
        <v>0</v>
      </c>
      <c r="N78" s="255">
        <f>IF(AND(ISNUMBER(N77),ISNUMBER(I77)),IFERROR(N77/I77-1,""),"")</f>
        <v>0.032258064516129</v>
      </c>
      <c r="O78" s="255">
        <f>IF(AND(ISNUMBER(O77),ISNUMBER(J77)),IFERROR(O77/J77-1,""),"")</f>
        <v>0.0438596491228069</v>
      </c>
      <c r="P78" s="255">
        <f>IF(AND(ISNUMBER(P77),ISNUMBER(K77)),IFERROR(P77/K77-1,""),"")</f>
        <v>0.222222222222222</v>
      </c>
      <c r="Q78" s="255">
        <f>IF(AND(ISNUMBER(Q77),ISNUMBER(L77)),IFERROR(Q77/L77-1,""),"")</f>
        <v>0.103448275862069</v>
      </c>
      <c r="R78" s="255">
        <f>IF(AND(ISNUMBER(R77),ISNUMBER(M77)),IFERROR(R77/M77-1,""),"")</f>
        <v>0.214285714285714</v>
      </c>
      <c r="S78" s="255">
        <f>IF(AND(ISNUMBER(S77),ISNUMBER(N77)),IFERROR(S77/N77-1,""),"")</f>
        <v>0.09375</v>
      </c>
      <c r="T78" s="255">
        <f>IF(AND(ISNUMBER(T77),ISNUMBER(O77)),IFERROR(T77/O77-1,""),"")</f>
        <v>0.134453781512605</v>
      </c>
      <c r="U78" s="255">
        <f>IF(AND(ISNUMBER(U77),ISNUMBER(P77)),IFERROR(U77/P77-1,""),"")</f>
        <v>-0.0303030303030303</v>
      </c>
      <c r="V78" s="255">
        <f>IF(AND(ISNUMBER(V77),ISNUMBER(Q77)),IFERROR(V77/Q77-1,""),"")</f>
        <v>0.0625</v>
      </c>
      <c r="W78" s="255">
        <f>IF(AND(ISNUMBER(W77),ISNUMBER(R77)),IFERROR(W77/R77-1,""),"")</f>
        <v>0.0294117647058823</v>
      </c>
      <c r="X78" s="255">
        <f>IF(AND(ISNUMBER(X77),ISNUMBER(S77)),IFERROR(X77/S77-1,""),"")</f>
      </c>
      <c r="Y78" s="255">
        <f>IF(AND(ISNUMBER(Y77),ISNUMBER(T77)),IFERROR(Y77/T77-1,""),"")</f>
      </c>
      <c r="Z78" s="255">
        <f>IF(AND(ISNUMBER(Z77),ISNUMBER(U77)),IFERROR(Z77/U77-1,""),"")</f>
      </c>
      <c r="AA78" s="255">
        <f>IF(AND(ISNUMBER(AA77),ISNUMBER(V77)),IFERROR(AA77/V77-1,""),"")</f>
      </c>
      <c r="AB78" s="255">
        <f>IF(AND(ISNUMBER(AB77),ISNUMBER(W77)),IFERROR(AB77/W77-1,""),"")</f>
      </c>
      <c r="AC78" s="255">
        <f>IF(AND(ISNUMBER(AC77),ISNUMBER(X77)),IFERROR(AC77/X77-1,""),"")</f>
      </c>
      <c r="AD78" s="255">
        <f>IF(AND(ISNUMBER(AD77),ISNUMBER(Y77)),IFERROR(AD77/Y77-1,""),"")</f>
      </c>
      <c r="AE78" s="255">
        <f>IF(AND(ISNUMBER(AE77),ISNUMBER(Z77)),IFERROR(AE77/Z77-1,""),"")</f>
      </c>
      <c r="AF78" s="255">
        <f>IF(AND(ISNUMBER(AF77),ISNUMBER(AA77)),IFERROR(AF77/AA77-1,""),"")</f>
      </c>
      <c r="AG78" s="255">
        <f>IF(AND(ISNUMBER(AG77),ISNUMBER(AB77)),IFERROR(AG77/AB77-1,""),"")</f>
      </c>
      <c r="AH78" s="255">
        <f>IF(AND(ISNUMBER(AH77),ISNUMBER(AC77)),IFERROR(AH77/AC77-1,""),"")</f>
      </c>
      <c r="AI78" s="255">
        <f>IF(AND(ISNUMBER(AI77),ISNUMBER(AD77)),IFERROR(AI77/AD77-1,""),"")</f>
      </c>
      <c r="AJ78" s="255">
        <f>IF(AND(ISNUMBER(AJ77),ISNUMBER(AE77)),IFERROR(AJ77/AE77-1,""),"")</f>
        <v>0.25</v>
      </c>
      <c r="AK78" s="255">
        <f>IF(AND(ISNUMBER(AK77),ISNUMBER(AF77)),IFERROR(AK77/AF77-1,""),"")</f>
        <v>0.0909090909090908</v>
      </c>
      <c r="AL78" s="255">
        <f>IF(AND(ISNUMBER(AL77),ISNUMBER(AG77)),IFERROR(AL77/AG77-1,""),"")</f>
        <v>0.25</v>
      </c>
      <c r="AM78" s="255">
        <f>IF(AND(ISNUMBER(AM77),ISNUMBER(AH77)),IFERROR(AM77/AH77-1,""),"")</f>
        <v>0.555555555555556</v>
      </c>
      <c r="AN78" s="255">
        <f>IF(AND(ISNUMBER(AN77),ISNUMBER(AI77)),IFERROR(AN77/AI77-1,""),"")</f>
        <v>0.125</v>
      </c>
      <c r="AO78" s="255">
        <f>IF(AND(ISNUMBER(AO77),ISNUMBER(AJ77)),IFERROR(AO77/AJ77-1,""),"")</f>
        <v>0.3</v>
      </c>
      <c r="AP78" s="255">
        <f>IF(AND(ISNUMBER(AP77),ISNUMBER(AK77)),IFERROR(AP77/AK77-1,""),"")</f>
        <v>0.0833333333333333</v>
      </c>
      <c r="AQ78" s="255">
        <f>IF(AND(ISNUMBER(AQ77),ISNUMBER(AL77)),IFERROR(AQ77/AL77-1,""),"")</f>
        <v>0.3</v>
      </c>
      <c r="AR78" s="255">
        <f>IF(AND(ISNUMBER(AR77),ISNUMBER(AM77)),IFERROR(AR77/AM77-1,""),"")</f>
        <v>0.142857142857143</v>
      </c>
      <c r="AS78" s="255">
        <f>IF(AND(ISNUMBER(AS77),ISNUMBER(AN77)),IFERROR(AS77/AN77-1,""),"")</f>
        <v>0.222222222222222</v>
      </c>
      <c r="AT78" s="255">
        <f>IF(AND(ISNUMBER(AT77),ISNUMBER(AO77)),IFERROR(AT77/AO77-1,""),"")</f>
        <v>-0.0769230769230769</v>
      </c>
      <c r="AU78" s="255">
        <f>IF(AND(ISNUMBER(AU77),ISNUMBER(AP77)),IFERROR(AU77/AP77-1,""),"")</f>
        <v>0.153846153846154</v>
      </c>
      <c r="AV78" s="255">
        <f>IF(AND(ISNUMBER(AV77),ISNUMBER(AQ77)),IFERROR(AV77/AQ77-1,""),"")</f>
        <v>0</v>
      </c>
      <c r="AW78" s="255">
        <f>IF(AND(ISNUMBER(AW77),ISNUMBER(AR77)),IFERROR(AW77/AR77-1,""),"")</f>
        <v>0</v>
      </c>
      <c r="AX78" s="255">
        <f>IF(AND(ISNUMBER(AX77),ISNUMBER(AS77)),IFERROR(AX77/AS77-1,""),"")</f>
        <v>0.0181818181818181</v>
      </c>
      <c r="AY78" s="255">
        <f>IF(AND(ISNUMBER(AY77),ISNUMBER(AT77)),IFERROR(AY77/AT77-1,""),"")</f>
      </c>
      <c r="AZ78" s="255">
        <f>IF(AND(ISNUMBER(AZ77),ISNUMBER(AU77)),IFERROR(AZ77/AU77-1,""),"")</f>
        <v>1.8</v>
      </c>
      <c r="BA78" s="255">
        <f>IF(AND(ISNUMBER(BA77),ISNUMBER(AV77)),IFERROR(BA77/AV77-1,""),"")</f>
        <v>2.07692307692308</v>
      </c>
      <c r="BB78" s="255">
        <f>IF(AND(ISNUMBER(BB77),ISNUMBER(AW77)),IFERROR(BB77/AW77-1,""),"")</f>
        <v>2.25</v>
      </c>
      <c r="BC78" s="255">
        <f>IF(AND(ISNUMBER(BC77),ISNUMBER(AX77)),IFERROR(BC77/AX77-1,""),"")</f>
      </c>
      <c r="BD78" s="255">
        <f>IF(AND(ISNUMBER(BD77),ISNUMBER(AY77)),IFERROR(BD77/AY77-1,""),"")</f>
      </c>
      <c r="BE78" s="255">
        <f>IF(AND(ISNUMBER(BE77),ISNUMBER(AZ77)),IFERROR(BE77/AZ77-1,""),"")</f>
        <v>-0.0714285714285714</v>
      </c>
      <c r="BF78" s="255">
        <f>IF(AND(ISNUMBER(BF77),ISNUMBER(BA77)),IFERROR(BF77/BA77-1,""),"")</f>
        <v>0.05</v>
      </c>
      <c r="BG78" s="255">
        <f>IF(AND(ISNUMBER(BG77),ISNUMBER(BB77)),IFERROR(BG77/BB77-1,""),"")</f>
        <v>-0.0384615384615384</v>
      </c>
      <c r="BH78" s="255">
        <f>IF(AND(ISNUMBER(BH77),ISNUMBER(BC77)),IFERROR(BH77/BC77-1,""),"")</f>
      </c>
      <c r="BI78" s="255">
        <f>IF(AND(ISNUMBER(BI77),ISNUMBER(BD77)),IFERROR(BI77/BD77-1,""),"")</f>
        <v>-0.0357142857142857</v>
      </c>
      <c r="BJ78" s="255">
        <f>IF(AND(ISNUMBER(BJ77),ISNUMBER(BE77)),IFERROR(BJ77/BE77-1,""),"")</f>
        <v>0.102564102564103</v>
      </c>
      <c r="BK78" s="255">
        <f>IF(AND(ISNUMBER(BK77),ISNUMBER(BF77)),IFERROR(BK77/BF77-1,""),"")</f>
        <v>-0.0714285714285714</v>
      </c>
      <c r="BL78" s="255">
        <f>IF(AND(ISNUMBER(BL77),ISNUMBER(BG77)),IFERROR(BL77/BG77-1,""),"")</f>
        <v>-0.04</v>
      </c>
      <c r="BM78" s="255">
        <f>IF(AND(ISNUMBER(BM77),ISNUMBER(BH77)),IFERROR(BM77/BH77-1,""),"")</f>
        <v>-0.0160427807486631</v>
      </c>
      <c r="BN78" s="255">
        <f>IF(AND(ISNUMBER(BN77),ISNUMBER(BI77)),IFERROR(BN77/BI77-1,""),"")</f>
        <v>-0.333333333333333</v>
      </c>
      <c r="BO78" s="255">
        <f>IF(AND(ISNUMBER(BO77),ISNUMBER(BJ77)),IFERROR(BO77/BJ77-1,""),"")</f>
        <v>-0.116279069767442</v>
      </c>
      <c r="BP78" s="255">
        <f>IF(AND(ISNUMBER(BP77),ISNUMBER(BK77)),IFERROR(BP77/BK77-1,""),"")</f>
        <v>0</v>
      </c>
      <c r="BQ78" s="255">
        <f>IF(AND(ISNUMBER(BQ77),ISNUMBER(BL77)),IFERROR(BQ77/BL77-1,""),"")</f>
        <v>-0.145833333333333</v>
      </c>
      <c r="BR78" s="255">
        <f>IF(AND(ISNUMBER(BR77),ISNUMBER(BM77)),IFERROR(BR77/BM77-1,""),"")</f>
        <v>-0.16304347826087</v>
      </c>
      <c r="BS78" s="255">
        <f>IF(AND(ISNUMBER(BS77),ISNUMBER(BN77)),IFERROR(BS77/BN77-1,""),"")</f>
        <v>0.5</v>
      </c>
      <c r="BT78" s="255">
        <f>IF(AND(ISNUMBER(BT77),ISNUMBER(BO77)),IFERROR(BT77/BO77-1,""),"")</f>
        <v>-0.0263157894736842</v>
      </c>
      <c r="BU78" s="256">
        <f>$BW$79+$BW$149</f>
        <v>0.153602001840975</v>
      </c>
      <c r="BV78" s="256">
        <f>$BW$79+$BW$149</f>
        <v>0.153602001840975</v>
      </c>
      <c r="BW78" s="256">
        <f>IF(AND(ISNUMBER(BW77),ISNUMBER(BR77)),IFERROR(BW77/BR77-1,""),"")</f>
        <v>0.190182858099208</v>
      </c>
      <c r="BX78" s="256">
        <f>CHOOSE(MATCH($CC$2,{"Bull","Base","Bear"},0),$CL$71,$CM$71,$CN$71)</f>
        <v>0.06</v>
      </c>
      <c r="BY78" s="256">
        <f>CHOOSE(MATCH($CC$2,{"Bull","Base","Bear"},0),$CL$72,$CM$72,$CN$72)</f>
        <v>0.065</v>
      </c>
      <c r="BZ78" s="256">
        <f>CHOOSE(MATCH($CC$2,{"Bull","Base","Bear"},0),$CL$73,$CM$73,$CN$73)</f>
        <v>0.065</v>
      </c>
      <c r="CA78" s="256">
        <f>CHOOSE(MATCH($CC$2,{"Bull","Base","Bear"},0),$CL$74,$CM$74,$CN$74)</f>
        <v>0.065</v>
      </c>
      <c r="CB78" s="256">
        <f>CHOOSE(MATCH($CC$2,{"Bull","Base","Bear"},0),$CL$75,$CM$75,$CN$75)</f>
        <v>0.065</v>
      </c>
      <c r="CC78" s="153" t="n"/>
      <c r="CK78" s="25" t="inlineStr">
        <is>
          <t xml:space="preserve">  2028E</t>
        </is>
      </c>
      <c r="CL78" s="33">
        <f>CM78+$CL$76</f>
        <v>0.68</v>
      </c>
      <c r="CM78" s="42" t="n">
        <v>0.67</v>
      </c>
      <c r="CN78" s="33">
        <f>CM78+$CN$76</f>
        <v>0.64</v>
      </c>
    </row>
    <row r="79" ht="15" customHeight="1" s="251">
      <c r="B79" s="25" t="inlineStr">
        <is>
          <t xml:space="preserve">    Q3–Q4/26E growth before revenue calibration (1H-26 y/y)</t>
        </is>
      </c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  <c r="AP79" s="36" t="n"/>
      <c r="AQ79" s="36" t="n"/>
      <c r="AR79" s="36" t="n"/>
      <c r="AS79" s="36" t="n"/>
      <c r="AT79" s="36" t="n"/>
      <c r="AU79" s="36" t="n"/>
      <c r="AV79" s="36" t="n"/>
      <c r="AW79" s="36" t="n"/>
      <c r="AX79" s="36" t="n"/>
      <c r="AY79" s="36" t="n"/>
      <c r="AZ79" s="36" t="n"/>
      <c r="BA79" s="36" t="n"/>
      <c r="BB79" s="36" t="n"/>
      <c r="BC79" s="36" t="n"/>
      <c r="BD79" s="36" t="n"/>
      <c r="BE79" s="36" t="n"/>
      <c r="BF79" s="36" t="n"/>
      <c r="BG79" s="36" t="n"/>
      <c r="BH79" s="36" t="n"/>
      <c r="BI79" s="36" t="n"/>
      <c r="BJ79" s="36" t="n"/>
      <c r="BK79" s="36" t="n"/>
      <c r="BL79" s="36" t="n"/>
      <c r="BM79" s="36" t="n"/>
      <c r="BN79" s="36" t="n"/>
      <c r="BO79" s="36" t="n"/>
      <c r="BP79" s="36" t="n"/>
      <c r="BQ79" s="36" t="n"/>
      <c r="BR79" s="36" t="n"/>
      <c r="BS79" s="36" t="n"/>
      <c r="BT79" s="36" t="n"/>
      <c r="BU79" s="24" t="n"/>
      <c r="BV79" s="24" t="n"/>
      <c r="BW79" s="256">
        <f>IFERROR(SUM(BS77:BT77)/SUM(BN77:BO77)-1,0)</f>
        <v>0.22972972972973</v>
      </c>
      <c r="BX79" s="46" t="n"/>
      <c r="BY79" s="46" t="n"/>
      <c r="BZ79" s="46" t="n"/>
      <c r="CA79" s="46" t="n"/>
      <c r="CB79" s="46" t="n"/>
      <c r="CC79" s="19" t="n"/>
      <c r="CK79" s="25" t="inlineStr">
        <is>
          <t xml:space="preserve">  2029E</t>
        </is>
      </c>
      <c r="CL79" s="33">
        <f>CM79+$CL$76</f>
        <v>0.68</v>
      </c>
      <c r="CM79" s="42" t="n">
        <v>0.67</v>
      </c>
      <c r="CN79" s="33">
        <f>CM79+$CN$76</f>
        <v>0.64</v>
      </c>
    </row>
    <row r="80" collapsed="1" ht="15" customHeight="1" s="251">
      <c r="B80" s="25" t="inlineStr">
        <is>
          <t xml:space="preserve">  Recurring variable</t>
        </is>
      </c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34" t="n"/>
      <c r="Z80" s="34" t="n"/>
      <c r="AA80" s="34" t="n"/>
      <c r="AB80" s="34" t="n"/>
      <c r="AC80" s="34" t="n"/>
      <c r="AD80" s="34" t="n"/>
      <c r="AE80" s="34" t="n"/>
      <c r="AF80" s="34" t="n"/>
      <c r="AG80" s="34" t="n"/>
      <c r="AH80" s="34" t="n"/>
      <c r="AI80" s="34" t="n"/>
      <c r="AJ80" s="34" t="n"/>
      <c r="AK80" s="34" t="n"/>
      <c r="AL80" s="34" t="n"/>
      <c r="AM80" s="34" t="n"/>
      <c r="AN80" s="34" t="n"/>
      <c r="AO80" s="34" t="n"/>
      <c r="AP80" s="34" t="n"/>
      <c r="AQ80" s="34" t="n"/>
      <c r="AR80" s="34" t="n"/>
      <c r="AS80" s="34" t="n"/>
      <c r="AT80" s="34" t="n"/>
      <c r="AU80" s="34" t="n"/>
      <c r="AV80" s="34" t="n"/>
      <c r="AW80" s="34" t="n"/>
      <c r="AX80" s="34" t="n"/>
      <c r="AY80" s="34" t="n"/>
      <c r="AZ80" s="253" t="n">
        <v>121</v>
      </c>
      <c r="BA80" s="253" t="n">
        <v>115</v>
      </c>
      <c r="BB80" s="253" t="n">
        <v>109</v>
      </c>
      <c r="BC80" s="34" t="n"/>
      <c r="BD80" s="253" t="n">
        <v>125</v>
      </c>
      <c r="BE80" s="253" t="n">
        <v>130</v>
      </c>
      <c r="BF80" s="253" t="n">
        <v>125</v>
      </c>
      <c r="BG80" s="253" t="n">
        <v>124</v>
      </c>
      <c r="BH80" s="253" t="n">
        <v>504</v>
      </c>
      <c r="BI80" s="253" t="n">
        <v>141</v>
      </c>
      <c r="BJ80" s="253" t="n">
        <v>147</v>
      </c>
      <c r="BK80" s="253" t="n">
        <v>142</v>
      </c>
      <c r="BL80" s="253" t="n">
        <v>149</v>
      </c>
      <c r="BM80" s="253" t="n">
        <v>579</v>
      </c>
      <c r="BN80" s="253" t="n">
        <v>150</v>
      </c>
      <c r="BO80" s="253" t="n">
        <v>158</v>
      </c>
      <c r="BP80" s="253" t="n">
        <v>158</v>
      </c>
      <c r="BQ80" s="253" t="n">
        <v>157</v>
      </c>
      <c r="BR80" s="253" t="n">
        <v>623</v>
      </c>
      <c r="BS80" s="253" t="n">
        <v>169</v>
      </c>
      <c r="BT80" s="253" t="n">
        <v>173</v>
      </c>
      <c r="BU80" s="254">
        <f>BP80*(1+BU81)</f>
        <v>163.413377435135</v>
      </c>
      <c r="BV80" s="254">
        <f>BQ80*(1+BV81)</f>
        <v>162.379115552634</v>
      </c>
      <c r="BW80" s="254">
        <f>SUM(BS80:BV80)</f>
        <v>667.79249298777</v>
      </c>
      <c r="BX80" s="254">
        <f>BW80*(1+BX81)</f>
        <v>707.860042567036</v>
      </c>
      <c r="BY80" s="254">
        <f>BX80*(1+BY81)</f>
        <v>753.870945333893</v>
      </c>
      <c r="BZ80" s="254">
        <f>BY80*(1+BZ81)</f>
        <v>802.872556780596</v>
      </c>
      <c r="CA80" s="254">
        <f>BZ80*(1+CA81)</f>
        <v>855.059272971335</v>
      </c>
      <c r="CB80" s="254">
        <f>CA80*(1+CB81)</f>
        <v>910.638125714472</v>
      </c>
      <c r="CC80" s="19" t="n"/>
      <c r="CK80" s="25" t="inlineStr">
        <is>
          <t xml:space="preserve">  2030E</t>
        </is>
      </c>
      <c r="CL80" s="33">
        <f>CM80+$CL$76</f>
        <v>0.68</v>
      </c>
      <c r="CM80" s="42" t="n">
        <v>0.67</v>
      </c>
      <c r="CN80" s="33">
        <f>CM80+$CN$76</f>
        <v>0.64</v>
      </c>
    </row>
    <row r="81" ht="15" customHeight="1" s="251">
      <c r="B81" s="22" t="inlineStr">
        <is>
          <t xml:space="preserve">    y/y %</t>
        </is>
      </c>
      <c r="C81" s="23" t="n"/>
      <c r="D81" s="255">
        <f>IF(AND(ISNUMBER(D80),ISNUMBER(C80)),IFERROR(D80/C80-1,""),"")</f>
      </c>
      <c r="E81" s="255">
        <f>IF(AND(ISNUMBER(E80),ISNUMBER(D80)),IFERROR(E80/D80-1,""),"")</f>
      </c>
      <c r="F81" s="23" t="n"/>
      <c r="G81" s="23" t="n"/>
      <c r="H81" s="23" t="n"/>
      <c r="I81" s="23" t="n"/>
      <c r="J81" s="255">
        <f>IF(AND(ISNUMBER(J80),ISNUMBER(E80)),IFERROR(J80/E80-1,""),"")</f>
      </c>
      <c r="K81" s="255">
        <f>IF(AND(ISNUMBER(K80),ISNUMBER(F80)),IFERROR(K80/F80-1,""),"")</f>
      </c>
      <c r="L81" s="255">
        <f>IF(AND(ISNUMBER(L80),ISNUMBER(G80)),IFERROR(L80/G80-1,""),"")</f>
      </c>
      <c r="M81" s="255">
        <f>IF(AND(ISNUMBER(M80),ISNUMBER(H80)),IFERROR(M80/H80-1,""),"")</f>
      </c>
      <c r="N81" s="255">
        <f>IF(AND(ISNUMBER(N80),ISNUMBER(I80)),IFERROR(N80/I80-1,""),"")</f>
      </c>
      <c r="O81" s="255">
        <f>IF(AND(ISNUMBER(O80),ISNUMBER(J80)),IFERROR(O80/J80-1,""),"")</f>
      </c>
      <c r="P81" s="255">
        <f>IF(AND(ISNUMBER(P80),ISNUMBER(K80)),IFERROR(P80/K80-1,""),"")</f>
      </c>
      <c r="Q81" s="255">
        <f>IF(AND(ISNUMBER(Q80),ISNUMBER(L80)),IFERROR(Q80/L80-1,""),"")</f>
      </c>
      <c r="R81" s="255">
        <f>IF(AND(ISNUMBER(R80),ISNUMBER(M80)),IFERROR(R80/M80-1,""),"")</f>
      </c>
      <c r="S81" s="255">
        <f>IF(AND(ISNUMBER(S80),ISNUMBER(N80)),IFERROR(S80/N80-1,""),"")</f>
      </c>
      <c r="T81" s="255">
        <f>IF(AND(ISNUMBER(T80),ISNUMBER(O80)),IFERROR(T80/O80-1,""),"")</f>
      </c>
      <c r="U81" s="255">
        <f>IF(AND(ISNUMBER(U80),ISNUMBER(P80)),IFERROR(U80/P80-1,""),"")</f>
      </c>
      <c r="V81" s="255">
        <f>IF(AND(ISNUMBER(V80),ISNUMBER(Q80)),IFERROR(V80/Q80-1,""),"")</f>
      </c>
      <c r="W81" s="255">
        <f>IF(AND(ISNUMBER(W80),ISNUMBER(R80)),IFERROR(W80/R80-1,""),"")</f>
      </c>
      <c r="X81" s="255">
        <f>IF(AND(ISNUMBER(X80),ISNUMBER(S80)),IFERROR(X80/S80-1,""),"")</f>
      </c>
      <c r="Y81" s="255">
        <f>IF(AND(ISNUMBER(Y80),ISNUMBER(T80)),IFERROR(Y80/T80-1,""),"")</f>
      </c>
      <c r="Z81" s="255">
        <f>IF(AND(ISNUMBER(Z80),ISNUMBER(U80)),IFERROR(Z80/U80-1,""),"")</f>
      </c>
      <c r="AA81" s="255">
        <f>IF(AND(ISNUMBER(AA80),ISNUMBER(V80)),IFERROR(AA80/V80-1,""),"")</f>
      </c>
      <c r="AB81" s="255">
        <f>IF(AND(ISNUMBER(AB80),ISNUMBER(W80)),IFERROR(AB80/W80-1,""),"")</f>
      </c>
      <c r="AC81" s="255">
        <f>IF(AND(ISNUMBER(AC80),ISNUMBER(X80)),IFERROR(AC80/X80-1,""),"")</f>
      </c>
      <c r="AD81" s="255">
        <f>IF(AND(ISNUMBER(AD80),ISNUMBER(Y80)),IFERROR(AD80/Y80-1,""),"")</f>
      </c>
      <c r="AE81" s="255">
        <f>IF(AND(ISNUMBER(AE80),ISNUMBER(Z80)),IFERROR(AE80/Z80-1,""),"")</f>
      </c>
      <c r="AF81" s="255">
        <f>IF(AND(ISNUMBER(AF80),ISNUMBER(AA80)),IFERROR(AF80/AA80-1,""),"")</f>
      </c>
      <c r="AG81" s="255">
        <f>IF(AND(ISNUMBER(AG80),ISNUMBER(AB80)),IFERROR(AG80/AB80-1,""),"")</f>
      </c>
      <c r="AH81" s="255">
        <f>IF(AND(ISNUMBER(AH80),ISNUMBER(AC80)),IFERROR(AH80/AC80-1,""),"")</f>
      </c>
      <c r="AI81" s="255">
        <f>IF(AND(ISNUMBER(AI80),ISNUMBER(AD80)),IFERROR(AI80/AD80-1,""),"")</f>
      </c>
      <c r="AJ81" s="255">
        <f>IF(AND(ISNUMBER(AJ80),ISNUMBER(AE80)),IFERROR(AJ80/AE80-1,""),"")</f>
      </c>
      <c r="AK81" s="255">
        <f>IF(AND(ISNUMBER(AK80),ISNUMBER(AF80)),IFERROR(AK80/AF80-1,""),"")</f>
      </c>
      <c r="AL81" s="255">
        <f>IF(AND(ISNUMBER(AL80),ISNUMBER(AG80)),IFERROR(AL80/AG80-1,""),"")</f>
      </c>
      <c r="AM81" s="255">
        <f>IF(AND(ISNUMBER(AM80),ISNUMBER(AH80)),IFERROR(AM80/AH80-1,""),"")</f>
      </c>
      <c r="AN81" s="255">
        <f>IF(AND(ISNUMBER(AN80),ISNUMBER(AI80)),IFERROR(AN80/AI80-1,""),"")</f>
      </c>
      <c r="AO81" s="255">
        <f>IF(AND(ISNUMBER(AO80),ISNUMBER(AJ80)),IFERROR(AO80/AJ80-1,""),"")</f>
      </c>
      <c r="AP81" s="255">
        <f>IF(AND(ISNUMBER(AP80),ISNUMBER(AK80)),IFERROR(AP80/AK80-1,""),"")</f>
      </c>
      <c r="AQ81" s="255">
        <f>IF(AND(ISNUMBER(AQ80),ISNUMBER(AL80)),IFERROR(AQ80/AL80-1,""),"")</f>
      </c>
      <c r="AR81" s="255">
        <f>IF(AND(ISNUMBER(AR80),ISNUMBER(AM80)),IFERROR(AR80/AM80-1,""),"")</f>
      </c>
      <c r="AS81" s="255">
        <f>IF(AND(ISNUMBER(AS80),ISNUMBER(AN80)),IFERROR(AS80/AN80-1,""),"")</f>
      </c>
      <c r="AT81" s="255">
        <f>IF(AND(ISNUMBER(AT80),ISNUMBER(AO80)),IFERROR(AT80/AO80-1,""),"")</f>
      </c>
      <c r="AU81" s="255">
        <f>IF(AND(ISNUMBER(AU80),ISNUMBER(AP80)),IFERROR(AU80/AP80-1,""),"")</f>
      </c>
      <c r="AV81" s="255">
        <f>IF(AND(ISNUMBER(AV80),ISNUMBER(AQ80)),IFERROR(AV80/AQ80-1,""),"")</f>
      </c>
      <c r="AW81" s="255">
        <f>IF(AND(ISNUMBER(AW80),ISNUMBER(AR80)),IFERROR(AW80/AR80-1,""),"")</f>
      </c>
      <c r="AX81" s="255">
        <f>IF(AND(ISNUMBER(AX80),ISNUMBER(AS80)),IFERROR(AX80/AS80-1,""),"")</f>
      </c>
      <c r="AY81" s="255">
        <f>IF(AND(ISNUMBER(AY80),ISNUMBER(AT80)),IFERROR(AY80/AT80-1,""),"")</f>
      </c>
      <c r="AZ81" s="255">
        <f>IF(AND(ISNUMBER(AZ80),ISNUMBER(AU80)),IFERROR(AZ80/AU80-1,""),"")</f>
      </c>
      <c r="BA81" s="255">
        <f>IF(AND(ISNUMBER(BA80),ISNUMBER(AV80)),IFERROR(BA80/AV80-1,""),"")</f>
      </c>
      <c r="BB81" s="255">
        <f>IF(AND(ISNUMBER(BB80),ISNUMBER(AW80)),IFERROR(BB80/AW80-1,""),"")</f>
      </c>
      <c r="BC81" s="255">
        <f>IF(AND(ISNUMBER(BC80),ISNUMBER(AX80)),IFERROR(BC80/AX80-1,""),"")</f>
      </c>
      <c r="BD81" s="255">
        <f>IF(AND(ISNUMBER(BD80),ISNUMBER(AY80)),IFERROR(BD80/AY80-1,""),"")</f>
      </c>
      <c r="BE81" s="255">
        <f>IF(AND(ISNUMBER(BE80),ISNUMBER(AZ80)),IFERROR(BE80/AZ80-1,""),"")</f>
        <v>0.0743801652892562</v>
      </c>
      <c r="BF81" s="255">
        <f>IF(AND(ISNUMBER(BF80),ISNUMBER(BA80)),IFERROR(BF80/BA80-1,""),"")</f>
        <v>0.0869565217391304</v>
      </c>
      <c r="BG81" s="255">
        <f>IF(AND(ISNUMBER(BG80),ISNUMBER(BB80)),IFERROR(BG80/BB80-1,""),"")</f>
        <v>0.137614678899083</v>
      </c>
      <c r="BH81" s="255">
        <f>IF(AND(ISNUMBER(BH80),ISNUMBER(BC80)),IFERROR(BH80/BC80-1,""),"")</f>
      </c>
      <c r="BI81" s="255">
        <f>IF(AND(ISNUMBER(BI80),ISNUMBER(BD80)),IFERROR(BI80/BD80-1,""),"")</f>
        <v>0.128</v>
      </c>
      <c r="BJ81" s="255">
        <f>IF(AND(ISNUMBER(BJ80),ISNUMBER(BE80)),IFERROR(BJ80/BE80-1,""),"")</f>
        <v>0.130769230769231</v>
      </c>
      <c r="BK81" s="255">
        <f>IF(AND(ISNUMBER(BK80),ISNUMBER(BF80)),IFERROR(BK80/BF80-1,""),"")</f>
        <v>0.136</v>
      </c>
      <c r="BL81" s="255">
        <f>IF(AND(ISNUMBER(BL80),ISNUMBER(BG80)),IFERROR(BL80/BG80-1,""),"")</f>
        <v>0.201612903225807</v>
      </c>
      <c r="BM81" s="255">
        <f>IF(AND(ISNUMBER(BM80),ISNUMBER(BH80)),IFERROR(BM80/BH80-1,""),"")</f>
        <v>0.148809523809524</v>
      </c>
      <c r="BN81" s="255">
        <f>IF(AND(ISNUMBER(BN80),ISNUMBER(BI80)),IFERROR(BN80/BI80-1,""),"")</f>
        <v>0.0638297872340425</v>
      </c>
      <c r="BO81" s="255">
        <f>IF(AND(ISNUMBER(BO80),ISNUMBER(BJ80)),IFERROR(BO80/BJ80-1,""),"")</f>
        <v>0.0748299319727892</v>
      </c>
      <c r="BP81" s="255">
        <f>IF(AND(ISNUMBER(BP80),ISNUMBER(BK80)),IFERROR(BP80/BK80-1,""),"")</f>
        <v>0.112676056338028</v>
      </c>
      <c r="BQ81" s="255">
        <f>IF(AND(ISNUMBER(BQ80),ISNUMBER(BL80)),IFERROR(BQ80/BL80-1,""),"")</f>
        <v>0.0536912751677852</v>
      </c>
      <c r="BR81" s="255">
        <f>IF(AND(ISNUMBER(BR80),ISNUMBER(BM80)),IFERROR(BR80/BM80-1,""),"")</f>
        <v>0.075993091537133</v>
      </c>
      <c r="BS81" s="255">
        <f>IF(AND(ISNUMBER(BS80),ISNUMBER(BN80)),IFERROR(BS80/BN80-1,""),"")</f>
        <v>0.126666666666667</v>
      </c>
      <c r="BT81" s="255">
        <f>IF(AND(ISNUMBER(BT80),ISNUMBER(BO80)),IFERROR(BT80/BO80-1,""),"")</f>
        <v>0.0949367088607596</v>
      </c>
      <c r="BU81" s="256">
        <f>$BW$82+$BW$149</f>
        <v>0.034261882500856</v>
      </c>
      <c r="BV81" s="256">
        <f>$BW$82+$BW$149</f>
        <v>0.034261882500856</v>
      </c>
      <c r="BW81" s="256">
        <f>IF(AND(ISNUMBER(BW80),ISNUMBER(BR80)),IFERROR(BW80/BR80-1,""),"")</f>
        <v>0.0718980625806898</v>
      </c>
      <c r="BX81" s="256">
        <f>CHOOSE(MATCH($CC$2,{"Bull","Base","Bear"},0),$CL$71,$CM$71,$CN$71)</f>
        <v>0.06</v>
      </c>
      <c r="BY81" s="256">
        <f>CHOOSE(MATCH($CC$2,{"Bull","Base","Bear"},0),$CL$72,$CM$72,$CN$72)</f>
        <v>0.065</v>
      </c>
      <c r="BZ81" s="256">
        <f>CHOOSE(MATCH($CC$2,{"Bull","Base","Bear"},0),$CL$73,$CM$73,$CN$73)</f>
        <v>0.065</v>
      </c>
      <c r="CA81" s="256">
        <f>CHOOSE(MATCH($CC$2,{"Bull","Base","Bear"},0),$CL$74,$CM$74,$CN$74)</f>
        <v>0.065</v>
      </c>
      <c r="CB81" s="256">
        <f>CHOOSE(MATCH($CC$2,{"Bull","Base","Bear"},0),$CL$75,$CM$75,$CN$75)</f>
        <v>0.065</v>
      </c>
      <c r="CC81" s="153" t="n"/>
      <c r="CK81" s="25" t="inlineStr">
        <is>
          <t xml:space="preserve">  2031E</t>
        </is>
      </c>
      <c r="CL81" s="33">
        <f>CM81+$CL$76</f>
        <v>0.68</v>
      </c>
      <c r="CM81" s="42" t="n">
        <v>0.67</v>
      </c>
      <c r="CN81" s="33">
        <f>CM81+$CN$76</f>
        <v>0.64</v>
      </c>
    </row>
    <row r="82" ht="15" customHeight="1" s="251">
      <c r="B82" s="25" t="inlineStr">
        <is>
          <t xml:space="preserve">    Q3–Q4/26E growth before revenue calibration (1H-26 y/y)</t>
        </is>
      </c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  <c r="AP82" s="36" t="n"/>
      <c r="AQ82" s="36" t="n"/>
      <c r="AR82" s="36" t="n"/>
      <c r="AS82" s="36" t="n"/>
      <c r="AT82" s="36" t="n"/>
      <c r="AU82" s="36" t="n"/>
      <c r="AV82" s="36" t="n"/>
      <c r="AW82" s="36" t="n"/>
      <c r="AX82" s="36" t="n"/>
      <c r="AY82" s="36" t="n"/>
      <c r="AZ82" s="36" t="n"/>
      <c r="BA82" s="36" t="n"/>
      <c r="BB82" s="36" t="n"/>
      <c r="BC82" s="36" t="n"/>
      <c r="BD82" s="36" t="n"/>
      <c r="BE82" s="36" t="n"/>
      <c r="BF82" s="36" t="n"/>
      <c r="BG82" s="36" t="n"/>
      <c r="BH82" s="36" t="n"/>
      <c r="BI82" s="36" t="n"/>
      <c r="BJ82" s="36" t="n"/>
      <c r="BK82" s="36" t="n"/>
      <c r="BL82" s="36" t="n"/>
      <c r="BM82" s="36" t="n"/>
      <c r="BN82" s="36" t="n"/>
      <c r="BO82" s="36" t="n"/>
      <c r="BP82" s="36" t="n"/>
      <c r="BQ82" s="36" t="n"/>
      <c r="BR82" s="36" t="n"/>
      <c r="BS82" s="36" t="n"/>
      <c r="BT82" s="36" t="n"/>
      <c r="BU82" s="24" t="n"/>
      <c r="BV82" s="24" t="n"/>
      <c r="BW82" s="256">
        <f>IFERROR(SUM(BS80:BT80)/SUM(BN80:BO80)-1,0)</f>
        <v>0.11038961038961</v>
      </c>
      <c r="BX82" s="46" t="n"/>
      <c r="BY82" s="46" t="n"/>
      <c r="BZ82" s="46" t="n"/>
      <c r="CA82" s="46" t="n"/>
      <c r="CB82" s="46" t="n"/>
      <c r="CC82" s="19" t="n"/>
      <c r="CK82" s="15" t="inlineStr">
        <is>
          <t>IDX_M (Indices adjusted margin)</t>
        </is>
      </c>
      <c r="CL82" s="41" t="n">
        <v>0.005</v>
      </c>
      <c r="CM82" s="21" t="inlineStr">
        <is>
          <t>Δ →</t>
        </is>
      </c>
      <c r="CN82" s="41" t="n">
        <v>-0.02</v>
      </c>
      <c r="CO82" s="13" t="inlineStr">
        <is>
          <t>FY2025 70.3%, 1H-26 72.2%.</t>
        </is>
      </c>
    </row>
    <row r="83" ht="15" customHeight="1" s="251">
      <c r="B83" s="25" t="inlineStr">
        <is>
          <t xml:space="preserve">  Not split by type (history only: periods without a revenue-by-type table on this basis)</t>
        </is>
      </c>
      <c r="C83" s="211">
        <f>IF(ISNUMBER(C87),C87-(N(C74)+N(C77)+N(C80)),"")</f>
        <v>916</v>
      </c>
      <c r="D83" s="211">
        <f>IF(ISNUMBER(D87),D87-(N(D74)+N(D77)+N(D80)),"")</f>
        <v>0</v>
      </c>
      <c r="E83" s="211">
        <f>IF(ISNUMBER(E87),E87-(N(E74)+N(E77)+N(E80)),"")</f>
        <v>0</v>
      </c>
      <c r="F83" s="211">
        <f>IF(ISNUMBER(F87),F87-(N(F74)+N(F77)+N(F80)),"")</f>
        <v>0</v>
      </c>
      <c r="G83" s="211">
        <f>IF(ISNUMBER(G87),G87-(N(G74)+N(G77)+N(G80)),"")</f>
        <v>0</v>
      </c>
      <c r="H83" s="211">
        <f>IF(ISNUMBER(H87),H87-(N(H74)+N(H77)+N(H80)),"")</f>
        <v>0</v>
      </c>
      <c r="I83" s="211">
        <f>IF(ISNUMBER(I87),I87-(N(I74)+N(I77)+N(I80)),"")</f>
        <v>0</v>
      </c>
      <c r="J83" s="211">
        <f>IF(ISNUMBER(J87),J87-(N(J74)+N(J77)+N(J80)),"")</f>
        <v>0</v>
      </c>
      <c r="K83" s="211">
        <f>IF(ISNUMBER(K87),K87-(N(K74)+N(K77)+N(K80)),"")</f>
        <v>0</v>
      </c>
      <c r="L83" s="211">
        <f>IF(ISNUMBER(L87),L87-(N(L74)+N(L77)+N(L80)),"")</f>
        <v>0</v>
      </c>
      <c r="M83" s="211">
        <f>IF(ISNUMBER(M87),M87-(N(M74)+N(M77)+N(M80)),"")</f>
        <v>0</v>
      </c>
      <c r="N83" s="211">
        <f>IF(ISNUMBER(N87),N87-(N(N74)+N(N77)+N(N80)),"")</f>
        <v>0</v>
      </c>
      <c r="O83" s="211">
        <f>IF(ISNUMBER(O87),O87-(N(O74)+N(O77)+N(O80)),"")</f>
        <v>0</v>
      </c>
      <c r="P83" s="211">
        <f>IF(ISNUMBER(P87),P87-(N(P74)+N(P77)+N(P80)),"")</f>
        <v>0</v>
      </c>
      <c r="Q83" s="211">
        <f>IF(ISNUMBER(Q87),Q87-(N(Q74)+N(Q77)+N(Q80)),"")</f>
        <v>0</v>
      </c>
      <c r="R83" s="211">
        <f>IF(ISNUMBER(R87),R87-(N(R74)+N(R77)+N(R80)),"")</f>
        <v>0</v>
      </c>
      <c r="S83" s="211">
        <f>IF(ISNUMBER(S87),S87-(N(S74)+N(S77)+N(S80)),"")</f>
        <v>0</v>
      </c>
      <c r="T83" s="211">
        <f>IF(ISNUMBER(T87),T87-(N(T74)+N(T77)+N(T80)),"")</f>
        <v>0</v>
      </c>
      <c r="U83" s="211">
        <f>IF(ISNUMBER(U87),U87-(N(U74)+N(U77)+N(U80)),"")</f>
        <v>0</v>
      </c>
      <c r="V83" s="211">
        <f>IF(ISNUMBER(V87),V87-(N(V74)+N(V77)+N(V80)),"")</f>
        <v>0</v>
      </c>
      <c r="W83" s="211">
        <f>IF(ISNUMBER(W87),W87-(N(W74)+N(W77)+N(W80)),"")</f>
        <v>0</v>
      </c>
      <c r="X83" s="211">
        <f>IF(ISNUMBER(X87),X87-(N(X74)+N(X77)+N(X80)),"")</f>
        <v>407</v>
      </c>
      <c r="Y83" s="211">
        <f>IF(ISNUMBER(Y87),Y87-(N(Y74)+N(Y77)+N(Y80)),"")</f>
        <v>1659</v>
      </c>
      <c r="Z83" s="211">
        <f>IF(ISNUMBER(Z87),Z87-(N(Z74)+N(Z77)+N(Z80)),"")</f>
        <v>402</v>
      </c>
      <c r="AA83" s="211">
        <f>IF(ISNUMBER(AA87),AA87-(N(AA74)+N(AA77)+N(AA80)),"")</f>
        <v>414</v>
      </c>
      <c r="AB83" s="211">
        <f>IF(ISNUMBER(AB87),AB87-(N(AB74)+N(AB77)+N(AB80)),"")</f>
        <v>422</v>
      </c>
      <c r="AC83" s="211">
        <f>IF(ISNUMBER(AC87),AC87-(N(AC74)+N(AC77)+N(AC80)),"")</f>
        <v>440</v>
      </c>
      <c r="AD83" s="211">
        <f>IF(ISNUMBER(AD87),AD87-(N(AD74)+N(AD77)+N(AD80)),"")</f>
        <v>1678</v>
      </c>
      <c r="AE83" s="211">
        <f>IF(ISNUMBER(AE87),AE87-(N(AE74)+N(AE77)+N(AE80)),"")</f>
        <v>5</v>
      </c>
      <c r="AF83" s="211">
        <f>IF(ISNUMBER(AF87),AF87-(N(AF74)+N(AF77)+N(AF80)),"")</f>
        <v>5</v>
      </c>
      <c r="AG83" s="211">
        <f>IF(ISNUMBER(AG87),AG87-(N(AG74)+N(AG77)+N(AG80)),"")</f>
        <v>5</v>
      </c>
      <c r="AH83" s="211">
        <f>IF(ISNUMBER(AH87),AH87-(N(AH74)+N(AH77)+N(AH80)),"")</f>
        <v>5</v>
      </c>
      <c r="AI83" s="211">
        <f>IF(ISNUMBER(AI87),AI87-(N(AI74)+N(AI77)+N(AI80)),"")</f>
        <v>20</v>
      </c>
      <c r="AJ83" s="211">
        <f>IF(ISNUMBER(AJ87),AJ87-(N(AJ74)+N(AJ77)+N(AJ80)),"")</f>
        <v>5</v>
      </c>
      <c r="AK83" s="211">
        <f>IF(ISNUMBER(AK87),AK87-(N(AK74)+N(AK77)+N(AK80)),"")</f>
        <v>4</v>
      </c>
      <c r="AL83" s="211">
        <f>IF(ISNUMBER(AL87),AL87-(N(AL74)+N(AL77)+N(AL80)),"")</f>
        <v>1</v>
      </c>
      <c r="AM83" s="211">
        <f>IF(ISNUMBER(AM87),AM87-(N(AM74)+N(AM77)+N(AM80)),"")</f>
        <v>0</v>
      </c>
      <c r="AN83" s="211">
        <f>IF(ISNUMBER(AN87),AN87-(N(AN74)+N(AN77)+N(AN80)),"")</f>
        <v>10</v>
      </c>
      <c r="AO83" s="211">
        <f>IF(ISNUMBER(AO87),AO87-(N(AO74)+N(AO77)+N(AO80)),"")</f>
        <v>1</v>
      </c>
      <c r="AP83" s="211">
        <f>IF(ISNUMBER(AP87),AP87-(N(AP74)+N(AP77)+N(AP80)),"")</f>
        <v>0</v>
      </c>
      <c r="AQ83" s="211">
        <f>IF(ISNUMBER(AQ87),AQ87-(N(AQ74)+N(AQ77)+N(AQ80)),"")</f>
        <v>0</v>
      </c>
      <c r="AR83" s="211">
        <f>IF(ISNUMBER(AR87),AR87-(N(AR74)+N(AR77)+N(AR80)),"")</f>
        <v>0</v>
      </c>
      <c r="AS83" s="211">
        <f>IF(ISNUMBER(AS87),AS87-(N(AS74)+N(AS77)+N(AS80)),"")</f>
        <v>1</v>
      </c>
      <c r="AT83" s="211">
        <f>IF(ISNUMBER(AT87),AT87-(N(AT74)+N(AT77)+N(AT80)),"")</f>
        <v>0</v>
      </c>
      <c r="AU83" s="211">
        <f>IF(ISNUMBER(AU87),AU87-(N(AU74)+N(AU77)+N(AU80)),"")</f>
        <v>0</v>
      </c>
      <c r="AV83" s="211">
        <f>IF(ISNUMBER(AV87),AV87-(N(AV74)+N(AV77)+N(AV80)),"")</f>
        <v>0</v>
      </c>
      <c r="AW83" s="211">
        <f>IF(ISNUMBER(AW87),AW87-(N(AW74)+N(AW77)+N(AW80)),"")</f>
        <v>0</v>
      </c>
      <c r="AX83" s="211">
        <f>IF(ISNUMBER(AX87),AX87-(N(AX74)+N(AX77)+N(AX80)),"")</f>
        <v>0</v>
      </c>
      <c r="AY83" s="211">
        <f>IF(ISNUMBER(AY87),AY87-(N(AY74)+N(AY77)+N(AY80)),"")</f>
        <v>727</v>
      </c>
      <c r="AZ83" s="211">
        <f>IF(ISNUMBER(AZ87),AZ87-(N(AZ74)+N(AZ77)+N(AZ80)),"")</f>
        <v>11</v>
      </c>
      <c r="BA83" s="211">
        <f>IF(ISNUMBER(BA87),BA87-(N(BA74)+N(BA77)+N(BA80)),"")</f>
        <v>-1</v>
      </c>
      <c r="BB83" s="211">
        <f>IF(ISNUMBER(BB87),BB87-(N(BB74)+N(BB77)+N(BB80)),"")</f>
        <v>0</v>
      </c>
      <c r="BC83" s="211">
        <f>IF(ISNUMBER(BC87),BC87-(N(BC74)+N(BC77)+N(BC80)),"")</f>
        <v>3811</v>
      </c>
      <c r="BD83" s="211">
        <f>IF(ISNUMBER(BD87),BD87-(N(BD74)+N(BD77)+N(BD80)),"")</f>
        <v>0</v>
      </c>
      <c r="BE83" s="211">
        <f>IF(ISNUMBER(BE87),BE87-(N(BE74)+N(BE77)+N(BE80)),"")</f>
        <v>0</v>
      </c>
      <c r="BF83" s="211">
        <f>IF(ISNUMBER(BF87),BF87-(N(BF74)+N(BF77)+N(BF80)),"")</f>
        <v>0</v>
      </c>
      <c r="BG83" s="211">
        <f>IF(ISNUMBER(BG87),BG87-(N(BG74)+N(BG77)+N(BG80)),"")</f>
        <v>0</v>
      </c>
      <c r="BH83" s="211">
        <f>IF(ISNUMBER(BH87),BH87-(N(BH74)+N(BH77)+N(BH80)),"")</f>
        <v>0</v>
      </c>
      <c r="BI83" s="211">
        <f>IF(ISNUMBER(BI87),BI87-(N(BI74)+N(BI77)+N(BI80)),"")</f>
        <v>0</v>
      </c>
      <c r="BJ83" s="211">
        <f>IF(ISNUMBER(BJ87),BJ87-(N(BJ74)+N(BJ77)+N(BJ80)),"")</f>
        <v>0</v>
      </c>
      <c r="BK83" s="211">
        <f>IF(ISNUMBER(BK87),BK87-(N(BK74)+N(BK77)+N(BK80)),"")</f>
        <v>0</v>
      </c>
      <c r="BL83" s="211">
        <f>IF(ISNUMBER(BL87),BL87-(N(BL74)+N(BL77)+N(BL80)),"")</f>
        <v>0</v>
      </c>
      <c r="BM83" s="211">
        <f>IF(ISNUMBER(BM87),BM87-(N(BM74)+N(BM77)+N(BM80)),"")</f>
        <v>0</v>
      </c>
      <c r="BN83" s="211">
        <f>IF(ISNUMBER(BN87),BN87-(N(BN74)+N(BN77)+N(BN80)),"")</f>
        <v>0</v>
      </c>
      <c r="BO83" s="211">
        <f>IF(ISNUMBER(BO87),BO87-(N(BO74)+N(BO77)+N(BO80)),"")</f>
        <v>0</v>
      </c>
      <c r="BP83" s="211">
        <f>IF(ISNUMBER(BP87),BP87-(N(BP74)+N(BP77)+N(BP80)),"")</f>
        <v>0</v>
      </c>
      <c r="BQ83" s="211">
        <f>IF(ISNUMBER(BQ87),BQ87-(N(BQ74)+N(BQ77)+N(BQ80)),"")</f>
        <v>0</v>
      </c>
      <c r="BR83" s="211">
        <f>IF(ISNUMBER(BR87),BR87-(N(BR74)+N(BR77)+N(BR80)),"")</f>
        <v>0</v>
      </c>
      <c r="BS83" s="211">
        <f>IF(ISNUMBER(BS87),BS87-(N(BS74)+N(BS77)+N(BS80)),"")</f>
        <v>0</v>
      </c>
      <c r="BT83" s="211">
        <f>IF(ISNUMBER(BT87),BT87-(N(BT74)+N(BT77)+N(BT80)),"")</f>
        <v>0</v>
      </c>
      <c r="BU83" s="35" t="n"/>
      <c r="BV83" s="35" t="n"/>
      <c r="BW83" s="35" t="n"/>
      <c r="BX83" s="35" t="n"/>
      <c r="BY83" s="35" t="n"/>
      <c r="BZ83" s="35" t="n"/>
      <c r="CA83" s="35" t="n"/>
      <c r="CB83" s="35" t="n"/>
      <c r="CC83" s="19" t="n"/>
      <c r="CK83" s="25" t="inlineStr">
        <is>
          <t xml:space="preserve">  2027E</t>
        </is>
      </c>
      <c r="CL83" s="33">
        <f>CM83+$CL$82</f>
        <v>0.72</v>
      </c>
      <c r="CM83" s="42" t="n">
        <v>0.715</v>
      </c>
      <c r="CN83" s="33">
        <f>CM83+$CN$82</f>
        <v>0.695</v>
      </c>
    </row>
    <row r="84" ht="15" customHeight="1" s="251">
      <c r="B84" s="16" t="inlineStr">
        <is>
          <t xml:space="preserve">  Market Intelligence — division revenue</t>
        </is>
      </c>
      <c r="C84" s="260">
        <f>IF(ISNUMBER(C87),N(C74)+N(C77)+N(C80)+N(C83),"")</f>
        <v>916</v>
      </c>
      <c r="D84" s="260">
        <f>IF(ISNUMBER(D87),N(D74)+N(D77)+N(D80)+N(D83),"")</f>
        <v>1031</v>
      </c>
      <c r="E84" s="260">
        <f>IF(ISNUMBER(E87),N(E74)+N(E77)+N(E80)+N(E83),"")</f>
        <v>1124</v>
      </c>
      <c r="F84" s="260">
        <f>IF(ISNUMBER(F87),N(F74)+N(F77)+N(F80)+N(F83),"")</f>
        <v>288</v>
      </c>
      <c r="G84" s="260">
        <f>IF(ISNUMBER(G87),N(G74)+N(G77)+N(G80)+N(G83),"")</f>
        <v>287</v>
      </c>
      <c r="H84" s="260">
        <f>IF(ISNUMBER(H87),N(H74)+N(H77)+N(H80)+N(H83),"")</f>
        <v>293</v>
      </c>
      <c r="I84" s="260">
        <f>IF(ISNUMBER(I87),N(I74)+N(I77)+N(I80)+N(I83),"")</f>
        <v>301</v>
      </c>
      <c r="J84" s="260">
        <f>IF(ISNUMBER(J87),N(J74)+N(J77)+N(J80)+N(J83),"")</f>
        <v>1170</v>
      </c>
      <c r="K84" s="260">
        <f>IF(ISNUMBER(K87),N(K74)+N(K77)+N(K80)+N(K83),"")</f>
        <v>301</v>
      </c>
      <c r="L84" s="260">
        <f>IF(ISNUMBER(L87),N(L74)+N(L77)+N(L80)+N(L83),"")</f>
        <v>307</v>
      </c>
      <c r="M84" s="260">
        <f>IF(ISNUMBER(M87),N(M74)+N(M77)+N(M80)+N(M83),"")</f>
        <v>311</v>
      </c>
      <c r="N84" s="260">
        <f>IF(ISNUMBER(N87),N(N74)+N(N77)+N(N80)+N(N83),"")</f>
        <v>318</v>
      </c>
      <c r="O84" s="260">
        <f>IF(ISNUMBER(O87),N(O74)+N(O77)+N(O80)+N(O83),"")</f>
        <v>1237</v>
      </c>
      <c r="P84" s="260">
        <f>IF(ISNUMBER(P87),N(P74)+N(P77)+N(P80)+N(P83),"")</f>
        <v>320</v>
      </c>
      <c r="Q84" s="260">
        <f>IF(ISNUMBER(Q87),N(Q74)+N(Q77)+N(Q80)+N(Q83),"")</f>
        <v>324</v>
      </c>
      <c r="R84" s="260">
        <f>IF(ISNUMBER(R87),N(R74)+N(R77)+N(R80)+N(R83),"")</f>
        <v>356</v>
      </c>
      <c r="S84" s="260">
        <f>IF(ISNUMBER(S87),N(S74)+N(S77)+N(S80)+N(S83),"")</f>
        <v>405</v>
      </c>
      <c r="T84" s="260">
        <f>IF(ISNUMBER(T87),N(T74)+N(T77)+N(T80)+N(T83),"")</f>
        <v>1405</v>
      </c>
      <c r="U84" s="260">
        <f>IF(ISNUMBER(U87),N(U74)+N(U77)+N(U80)+N(U83),"")</f>
        <v>407</v>
      </c>
      <c r="V84" s="260">
        <f>IF(ISNUMBER(V87),N(V74)+N(V77)+N(V80)+N(V83),"")</f>
        <v>416</v>
      </c>
      <c r="W84" s="260">
        <f>IF(ISNUMBER(W87),N(W74)+N(W77)+N(W80)+N(W83),"")</f>
        <v>429</v>
      </c>
      <c r="X84" s="260">
        <f>IF(ISNUMBER(X87),N(X74)+N(X77)+N(X80)+N(X83),"")</f>
        <v>407</v>
      </c>
      <c r="Y84" s="260">
        <f>IF(ISNUMBER(Y87),N(Y74)+N(Y77)+N(Y80)+N(Y83),"")</f>
        <v>1659</v>
      </c>
      <c r="Z84" s="260">
        <f>IF(ISNUMBER(Z87),N(Z74)+N(Z77)+N(Z80)+N(Z83),"")</f>
        <v>402</v>
      </c>
      <c r="AA84" s="260">
        <f>IF(ISNUMBER(AA87),N(AA74)+N(AA77)+N(AA80)+N(AA83),"")</f>
        <v>414</v>
      </c>
      <c r="AB84" s="260">
        <f>IF(ISNUMBER(AB87),N(AB74)+N(AB77)+N(AB80)+N(AB83),"")</f>
        <v>422</v>
      </c>
      <c r="AC84" s="260">
        <f>IF(ISNUMBER(AC87),N(AC74)+N(AC77)+N(AC80)+N(AC83),"")</f>
        <v>440</v>
      </c>
      <c r="AD84" s="260">
        <f>IF(ISNUMBER(AD87),N(AD74)+N(AD77)+N(AD80)+N(AD83),"")</f>
        <v>1678</v>
      </c>
      <c r="AE84" s="260">
        <f>IF(ISNUMBER(AE87),N(AE74)+N(AE77)+N(AE80)+N(AE83),"")</f>
        <v>437</v>
      </c>
      <c r="AF84" s="260">
        <f>IF(ISNUMBER(AF87),N(AF74)+N(AF77)+N(AF80)+N(AF83),"")</f>
        <v>447</v>
      </c>
      <c r="AG84" s="260">
        <f>IF(ISNUMBER(AG87),N(AG74)+N(AG77)+N(AG80)+N(AG83),"")</f>
        <v>464</v>
      </c>
      <c r="AH84" s="260">
        <f>IF(ISNUMBER(AH87),N(AH74)+N(AH77)+N(AH80)+N(AH83),"")</f>
        <v>478</v>
      </c>
      <c r="AI84" s="260">
        <f>IF(ISNUMBER(AI87),N(AI74)+N(AI77)+N(AI80)+N(AI83),"")</f>
        <v>1833</v>
      </c>
      <c r="AJ84" s="260">
        <f>IF(ISNUMBER(AJ87),N(AJ74)+N(AJ77)+N(AJ80)+N(AJ83),"")</f>
        <v>482</v>
      </c>
      <c r="AK84" s="260">
        <f>IF(ISNUMBER(AK87),N(AK74)+N(AK77)+N(AK80)+N(AK83),"")</f>
        <v>487</v>
      </c>
      <c r="AL84" s="260">
        <f>IF(ISNUMBER(AL87),N(AL74)+N(AL77)+N(AL80)+N(AL83),"")</f>
        <v>488</v>
      </c>
      <c r="AM84" s="260">
        <f>IF(ISNUMBER(AM87),N(AM74)+N(AM77)+N(AM80)+N(AM83),"")</f>
        <v>502</v>
      </c>
      <c r="AN84" s="260">
        <f>IF(ISNUMBER(AN87),N(AN74)+N(AN77)+N(AN80)+N(AN83),"")</f>
        <v>1959</v>
      </c>
      <c r="AO84" s="260">
        <f>IF(ISNUMBER(AO87),N(AO74)+N(AO77)+N(AO80)+N(AO83),"")</f>
        <v>519</v>
      </c>
      <c r="AP84" s="260">
        <f>IF(ISNUMBER(AP87),N(AP74)+N(AP77)+N(AP80)+N(AP83),"")</f>
        <v>516</v>
      </c>
      <c r="AQ84" s="260">
        <f>IF(ISNUMBER(AQ87),N(AQ74)+N(AQ77)+N(AQ80)+N(AQ83),"")</f>
        <v>530</v>
      </c>
      <c r="AR84" s="260">
        <f>IF(ISNUMBER(AR87),N(AR74)+N(AR77)+N(AR80)+N(AR83),"")</f>
        <v>542</v>
      </c>
      <c r="AS84" s="260">
        <f>IF(ISNUMBER(AS87),N(AS74)+N(AS77)+N(AS80)+N(AS83),"")</f>
        <v>2106</v>
      </c>
      <c r="AT84" s="260">
        <f>IF(ISNUMBER(AT87),N(AT74)+N(AT77)+N(AT80)+N(AT83),"")</f>
        <v>539</v>
      </c>
      <c r="AU84" s="260">
        <f>IF(ISNUMBER(AU87),N(AU74)+N(AU77)+N(AU80)+N(AU83),"")</f>
        <v>555</v>
      </c>
      <c r="AV84" s="260">
        <f>IF(ISNUMBER(AV87),N(AV74)+N(AV77)+N(AV80)+N(AV83),"")</f>
        <v>570</v>
      </c>
      <c r="AW84" s="260">
        <f>IF(ISNUMBER(AW87),N(AW74)+N(AW77)+N(AW80)+N(AW83),"")</f>
        <v>584</v>
      </c>
      <c r="AX84" s="260">
        <f>IF(ISNUMBER(AX87),N(AX74)+N(AX77)+N(AX80)+N(AX83),"")</f>
        <v>2247</v>
      </c>
      <c r="AY84" s="260">
        <f>IF(ISNUMBER(AY87),N(AY74)+N(AY77)+N(AY80)+N(AY83),"")</f>
        <v>727</v>
      </c>
      <c r="AZ84" s="260">
        <f>IF(ISNUMBER(AZ87),N(AZ74)+N(AZ77)+N(AZ80)+N(AZ83),"")</f>
        <v>1030</v>
      </c>
      <c r="BA84" s="260">
        <f>IF(ISNUMBER(BA87),N(BA74)+N(BA77)+N(BA80)+N(BA83),"")</f>
        <v>1016</v>
      </c>
      <c r="BB84" s="260">
        <f>IF(ISNUMBER(BB87),N(BB74)+N(BB77)+N(BB80)+N(BB83),"")</f>
        <v>1037</v>
      </c>
      <c r="BC84" s="260">
        <f>IF(ISNUMBER(BC87),N(BC74)+N(BC77)+N(BC80)+N(BC83),"")</f>
        <v>3811</v>
      </c>
      <c r="BD84" s="260">
        <f>IF(ISNUMBER(BD87),N(BD74)+N(BD77)+N(BD80)+N(BD83),"")</f>
        <v>1071</v>
      </c>
      <c r="BE84" s="260">
        <f>IF(ISNUMBER(BE87),N(BE74)+N(BE77)+N(BE80)+N(BE83),"")</f>
        <v>1079</v>
      </c>
      <c r="BF84" s="260">
        <f>IF(ISNUMBER(BF87),N(BF74)+N(BF77)+N(BF80)+N(BF83),"")</f>
        <v>1099</v>
      </c>
      <c r="BG84" s="260">
        <f>IF(ISNUMBER(BG87),N(BG74)+N(BG77)+N(BG80)+N(BG83),"")</f>
        <v>1127</v>
      </c>
      <c r="BH84" s="260">
        <f>IF(ISNUMBER(BH87),N(BH74)+N(BH77)+N(BH80)+N(BH83),"")</f>
        <v>4376</v>
      </c>
      <c r="BI84" s="260">
        <f>IF(ISNUMBER(BI87),N(BI74)+N(BI77)+N(BI80)+N(BI83),"")</f>
        <v>1142</v>
      </c>
      <c r="BJ84" s="260">
        <f>IF(ISNUMBER(BJ87),N(BJ74)+N(BJ77)+N(BJ80)+N(BJ83),"")</f>
        <v>1155</v>
      </c>
      <c r="BK84" s="260">
        <f>IF(ISNUMBER(BK87),N(BK74)+N(BK77)+N(BK80)+N(BK83),"")</f>
        <v>1162</v>
      </c>
      <c r="BL84" s="260">
        <f>IF(ISNUMBER(BL87),N(BL74)+N(BL77)+N(BL80)+N(BL83),"")</f>
        <v>1186</v>
      </c>
      <c r="BM84" s="260">
        <f>IF(ISNUMBER(BM87),N(BM74)+N(BM77)+N(BM80)+N(BM83),"")</f>
        <v>4645</v>
      </c>
      <c r="BN84" s="260">
        <f>IF(ISNUMBER(BN87),N(BN74)+N(BN77)+N(BN80)+N(BN83),"")</f>
        <v>1131</v>
      </c>
      <c r="BO84" s="260">
        <f>IF(ISNUMBER(BO87),N(BO74)+N(BO77)+N(BO80)+N(BO83),"")</f>
        <v>1165</v>
      </c>
      <c r="BP84" s="260">
        <f>IF(ISNUMBER(BP87),N(BP74)+N(BP77)+N(BP80)+N(BP83),"")</f>
        <v>1183</v>
      </c>
      <c r="BQ84" s="260">
        <f>IF(ISNUMBER(BQ87),N(BQ74)+N(BQ77)+N(BQ80)+N(BQ83),"")</f>
        <v>1211</v>
      </c>
      <c r="BR84" s="260">
        <f>IF(ISNUMBER(BR87),N(BR74)+N(BR77)+N(BR80)+N(BR83),"")</f>
        <v>4690</v>
      </c>
      <c r="BS84" s="260">
        <f>IF(ISNUMBER(BS87),N(BS74)+N(BS77)+N(BS80)+N(BS83),"")</f>
        <v>1224</v>
      </c>
      <c r="BT84" s="260">
        <f>IF(ISNUMBER(BT87),N(BT74)+N(BT77)+N(BT80)+N(BT83),"")</f>
        <v>1235</v>
      </c>
      <c r="BU84" s="261">
        <f>BU74+BU77+BU80</f>
        <v>1177.03888550559</v>
      </c>
      <c r="BV84" s="261">
        <f>BV74+BV77+BV80</f>
        <v>1204.83631627785</v>
      </c>
      <c r="BW84" s="261">
        <f>BW74+BW77+BW80</f>
        <v>4840.87520178344</v>
      </c>
      <c r="BX84" s="261">
        <f>BX74+BX77+BX80</f>
        <v>5131.32771389045</v>
      </c>
      <c r="BY84" s="261">
        <f>BY74+BY77+BY80</f>
        <v>5464.86401529333</v>
      </c>
      <c r="BZ84" s="261">
        <f>BZ74+BZ77+BZ80</f>
        <v>5820.08017628739</v>
      </c>
      <c r="CA84" s="261">
        <f>CA74+CA77+CA80</f>
        <v>6198.38538774607</v>
      </c>
      <c r="CB84" s="261">
        <f>CB74+CB77+CB80</f>
        <v>6601.28043794957</v>
      </c>
      <c r="CC84" s="153" t="n"/>
      <c r="CE84" s="20">
        <f>IFERROR((CB84/BW84)^(1/5)-1,"n/m")</f>
        <v>0.0639981167583248</v>
      </c>
      <c r="CF84" s="20">
        <f>IFERROR((BR84/AS84)^(1/5)-1,"n/m")</f>
        <v>0.173661599071873</v>
      </c>
      <c r="CG84" s="20">
        <f>IFERROR((BR84/T84)^(1/10)-1,"n/m")</f>
        <v>0.128105331795073</v>
      </c>
      <c r="CH84" s="20">
        <f>IFERROR((BR84/C84)^(1/15)-1,"n/m")</f>
        <v>0.115026420095658</v>
      </c>
      <c r="CK84" s="25" t="inlineStr">
        <is>
          <t xml:space="preserve">  2028E</t>
        </is>
      </c>
      <c r="CL84" s="33">
        <f>CM84+$CL$82</f>
        <v>0.725</v>
      </c>
      <c r="CM84" s="42" t="n">
        <v>0.72</v>
      </c>
      <c r="CN84" s="33">
        <f>CM84+$CN$82</f>
        <v>0.7</v>
      </c>
    </row>
    <row r="85" ht="15" customHeight="1" s="251">
      <c r="B85" s="22" t="inlineStr">
        <is>
          <t xml:space="preserve">  Division revenue y/y %</t>
        </is>
      </c>
      <c r="C85" s="23" t="n"/>
      <c r="D85" s="255">
        <f>IF(AND(ISNUMBER(D84),ISNUMBER(C84)),IFERROR(D84/C84-1,""),"")</f>
        <v>0.125545851528384</v>
      </c>
      <c r="E85" s="255">
        <f>IF(AND(ISNUMBER(E84),ISNUMBER(D84)),IFERROR(E84/D84-1,""),"")</f>
        <v>0.0902036857419981</v>
      </c>
      <c r="F85" s="23" t="n"/>
      <c r="G85" s="23" t="n"/>
      <c r="H85" s="23" t="n"/>
      <c r="I85" s="23" t="n"/>
      <c r="J85" s="255">
        <f>IF(AND(ISNUMBER(J84),ISNUMBER(E84)),IFERROR(J84/E84-1,""),"")</f>
        <v>0.0409252669039146</v>
      </c>
      <c r="K85" s="255">
        <f>IF(AND(ISNUMBER(K84),ISNUMBER(F84)),IFERROR(K84/F84-1,""),"")</f>
        <v>0.0451388888888888</v>
      </c>
      <c r="L85" s="255">
        <f>IF(AND(ISNUMBER(L84),ISNUMBER(G84)),IFERROR(L84/G84-1,""),"")</f>
        <v>0.0696864111498259</v>
      </c>
      <c r="M85" s="255">
        <f>IF(AND(ISNUMBER(M84),ISNUMBER(H84)),IFERROR(M84/H84-1,""),"")</f>
        <v>0.0614334470989761</v>
      </c>
      <c r="N85" s="255">
        <f>IF(AND(ISNUMBER(N84),ISNUMBER(I84)),IFERROR(N84/I84-1,""),"")</f>
        <v>0.0564784053156147</v>
      </c>
      <c r="O85" s="255">
        <f>IF(AND(ISNUMBER(O84),ISNUMBER(J84)),IFERROR(O84/J84-1,""),"")</f>
        <v>0.0572649572649573</v>
      </c>
      <c r="P85" s="255">
        <f>IF(AND(ISNUMBER(P84),ISNUMBER(K84)),IFERROR(P84/K84-1,""),"")</f>
        <v>0.06312292358804</v>
      </c>
      <c r="Q85" s="255">
        <f>IF(AND(ISNUMBER(Q84),ISNUMBER(L84)),IFERROR(Q84/L84-1,""),"")</f>
        <v>0.0553745928338762</v>
      </c>
      <c r="R85" s="255">
        <f>IF(AND(ISNUMBER(R84),ISNUMBER(M84)),IFERROR(R84/M84-1,""),"")</f>
        <v>0.144694533762058</v>
      </c>
      <c r="S85" s="255">
        <f>IF(AND(ISNUMBER(S84),ISNUMBER(N84)),IFERROR(S84/N84-1,""),"")</f>
        <v>0.273584905660377</v>
      </c>
      <c r="T85" s="255">
        <f>IF(AND(ISNUMBER(T84),ISNUMBER(O84)),IFERROR(T84/O84-1,""),"")</f>
        <v>0.135812449474535</v>
      </c>
      <c r="U85" s="255">
        <f>IF(AND(ISNUMBER(U84),ISNUMBER(P84)),IFERROR(U84/P84-1,""),"")</f>
        <v>0.271875</v>
      </c>
      <c r="V85" s="255">
        <f>IF(AND(ISNUMBER(V84),ISNUMBER(Q84)),IFERROR(V84/Q84-1,""),"")</f>
        <v>0.283950617283951</v>
      </c>
      <c r="W85" s="255">
        <f>IF(AND(ISNUMBER(W84),ISNUMBER(R84)),IFERROR(W84/R84-1,""),"")</f>
        <v>0.205056179775281</v>
      </c>
      <c r="X85" s="255">
        <f>IF(AND(ISNUMBER(X84),ISNUMBER(S84)),IFERROR(X84/S84-1,""),"")</f>
        <v>0.00493827160493821</v>
      </c>
      <c r="Y85" s="255">
        <f>IF(AND(ISNUMBER(Y84),ISNUMBER(T84)),IFERROR(Y84/T84-1,""),"")</f>
        <v>0.180782918149466</v>
      </c>
      <c r="Z85" s="255">
        <f>IF(AND(ISNUMBER(Z84),ISNUMBER(U84)),IFERROR(Z84/U84-1,""),"")</f>
        <v>-0.0122850122850123</v>
      </c>
      <c r="AA85" s="255">
        <f>IF(AND(ISNUMBER(AA84),ISNUMBER(V84)),IFERROR(AA84/V84-1,""),"")</f>
        <v>-0.00480769230769229</v>
      </c>
      <c r="AB85" s="255">
        <f>IF(AND(ISNUMBER(AB84),ISNUMBER(W84)),IFERROR(AB84/W84-1,""),"")</f>
        <v>-0.0163170163170163</v>
      </c>
      <c r="AC85" s="255">
        <f>IF(AND(ISNUMBER(AC84),ISNUMBER(X84)),IFERROR(AC84/X84-1,""),"")</f>
        <v>0.0810810810810811</v>
      </c>
      <c r="AD85" s="255">
        <f>IF(AND(ISNUMBER(AD84),ISNUMBER(Y84)),IFERROR(AD84/Y84-1,""),"")</f>
        <v>0.0114526823387582</v>
      </c>
      <c r="AE85" s="255">
        <f>IF(AND(ISNUMBER(AE84),ISNUMBER(Z84)),IFERROR(AE84/Z84-1,""),"")</f>
        <v>0.0870646766169154</v>
      </c>
      <c r="AF85" s="255">
        <f>IF(AND(ISNUMBER(AF84),ISNUMBER(AA84)),IFERROR(AF84/AA84-1,""),"")</f>
        <v>0.0797101449275361</v>
      </c>
      <c r="AG85" s="255">
        <f>IF(AND(ISNUMBER(AG84),ISNUMBER(AB84)),IFERROR(AG84/AB84-1,""),"")</f>
        <v>0.0995260663507109</v>
      </c>
      <c r="AH85" s="255">
        <f>IF(AND(ISNUMBER(AH84),ISNUMBER(AC84)),IFERROR(AH84/AC84-1,""),"")</f>
        <v>0.0863636363636364</v>
      </c>
      <c r="AI85" s="255">
        <f>IF(AND(ISNUMBER(AI84),ISNUMBER(AD84)),IFERROR(AI84/AD84-1,""),"")</f>
        <v>0.0923718712753279</v>
      </c>
      <c r="AJ85" s="255">
        <f>IF(AND(ISNUMBER(AJ84),ISNUMBER(AE84)),IFERROR(AJ84/AE84-1,""),"")</f>
        <v>0.102974828375286</v>
      </c>
      <c r="AK85" s="255">
        <f>IF(AND(ISNUMBER(AK84),ISNUMBER(AF84)),IFERROR(AK84/AF84-1,""),"")</f>
        <v>0.0894854586129754</v>
      </c>
      <c r="AL85" s="255">
        <f>IF(AND(ISNUMBER(AL84),ISNUMBER(AG84)),IFERROR(AL84/AG84-1,""),"")</f>
        <v>0.0517241379310345</v>
      </c>
      <c r="AM85" s="255">
        <f>IF(AND(ISNUMBER(AM84),ISNUMBER(AH84)),IFERROR(AM84/AH84-1,""),"")</f>
        <v>0.0502092050209204</v>
      </c>
      <c r="AN85" s="255">
        <f>IF(AND(ISNUMBER(AN84),ISNUMBER(AI84)),IFERROR(AN84/AI84-1,""),"")</f>
        <v>0.0687397708674304</v>
      </c>
      <c r="AO85" s="255">
        <f>IF(AND(ISNUMBER(AO84),ISNUMBER(AJ84)),IFERROR(AO84/AJ84-1,""),"")</f>
        <v>0.0767634854771784</v>
      </c>
      <c r="AP85" s="255">
        <f>IF(AND(ISNUMBER(AP84),ISNUMBER(AK84)),IFERROR(AP84/AK84-1,""),"")</f>
        <v>0.0595482546201231</v>
      </c>
      <c r="AQ85" s="255">
        <f>IF(AND(ISNUMBER(AQ84),ISNUMBER(AL84)),IFERROR(AQ84/AL84-1,""),"")</f>
        <v>0.0860655737704918</v>
      </c>
      <c r="AR85" s="255">
        <f>IF(AND(ISNUMBER(AR84),ISNUMBER(AM84)),IFERROR(AR84/AM84-1,""),"")</f>
        <v>0.0796812749003983</v>
      </c>
      <c r="AS85" s="255">
        <f>IF(AND(ISNUMBER(AS84),ISNUMBER(AN84)),IFERROR(AS84/AN84-1,""),"")</f>
        <v>0.0750382848392037</v>
      </c>
      <c r="AT85" s="255">
        <f>IF(AND(ISNUMBER(AT84),ISNUMBER(AO84)),IFERROR(AT84/AO84-1,""),"")</f>
        <v>0.0385356454720616</v>
      </c>
      <c r="AU85" s="255">
        <f>IF(AND(ISNUMBER(AU84),ISNUMBER(AP84)),IFERROR(AU84/AP84-1,""),"")</f>
        <v>0.0755813953488371</v>
      </c>
      <c r="AV85" s="255">
        <f>IF(AND(ISNUMBER(AV84),ISNUMBER(AQ84)),IFERROR(AV84/AQ84-1,""),"")</f>
        <v>0.0754716981132075</v>
      </c>
      <c r="AW85" s="255">
        <f>IF(AND(ISNUMBER(AW84),ISNUMBER(AR84)),IFERROR(AW84/AR84-1,""),"")</f>
        <v>0.0774907749077491</v>
      </c>
      <c r="AX85" s="255">
        <f>IF(AND(ISNUMBER(AX84),ISNUMBER(AS84)),IFERROR(AX84/AS84-1,""),"")</f>
        <v>0.066951566951567</v>
      </c>
      <c r="AY85" s="255">
        <f>IF(AND(ISNUMBER(AY84),ISNUMBER(AT84)),IFERROR(AY84/AT84-1,""),"")</f>
        <v>0.348794063079777</v>
      </c>
      <c r="AZ85" s="255">
        <f>IF(AND(ISNUMBER(AZ84),ISNUMBER(AU84)),IFERROR(AZ84/AU84-1,""),"")</f>
        <v>0.855855855855856</v>
      </c>
      <c r="BA85" s="255">
        <f>IF(AND(ISNUMBER(BA84),ISNUMBER(AV84)),IFERROR(BA84/AV84-1,""),"")</f>
        <v>0.782456140350877</v>
      </c>
      <c r="BB85" s="255">
        <f>IF(AND(ISNUMBER(BB84),ISNUMBER(AW84)),IFERROR(BB84/AW84-1,""),"")</f>
        <v>0.775684931506849</v>
      </c>
      <c r="BC85" s="255">
        <f>IF(AND(ISNUMBER(BC84),ISNUMBER(AX84)),IFERROR(BC84/AX84-1,""),"")</f>
        <v>0.696039163328883</v>
      </c>
      <c r="BD85" s="255">
        <f>IF(AND(ISNUMBER(BD84),ISNUMBER(AY84)),IFERROR(BD84/AY84-1,""),"")</f>
        <v>0.473177441540578</v>
      </c>
      <c r="BE85" s="255">
        <f>IF(AND(ISNUMBER(BE84),ISNUMBER(AZ84)),IFERROR(BE84/AZ84-1,""),"")</f>
        <v>0.0475728155339805</v>
      </c>
      <c r="BF85" s="255">
        <f>IF(AND(ISNUMBER(BF84),ISNUMBER(BA84)),IFERROR(BF84/BA84-1,""),"")</f>
        <v>0.0816929133858269</v>
      </c>
      <c r="BG85" s="255">
        <f>IF(AND(ISNUMBER(BG84),ISNUMBER(BB84)),IFERROR(BG84/BB84-1,""),"")</f>
        <v>0.0867888138862103</v>
      </c>
      <c r="BH85" s="255">
        <f>IF(AND(ISNUMBER(BH84),ISNUMBER(BC84)),IFERROR(BH84/BC84-1,""),"")</f>
        <v>0.148255051167673</v>
      </c>
      <c r="BI85" s="255">
        <f>IF(AND(ISNUMBER(BI84),ISNUMBER(BD84)),IFERROR(BI84/BD84-1,""),"")</f>
        <v>0.0662931839402428</v>
      </c>
      <c r="BJ85" s="255">
        <f>IF(AND(ISNUMBER(BJ84),ISNUMBER(BE84)),IFERROR(BJ84/BE84-1,""),"")</f>
        <v>0.0704355885078776</v>
      </c>
      <c r="BK85" s="255">
        <f>IF(AND(ISNUMBER(BK84),ISNUMBER(BF84)),IFERROR(BK84/BF84-1,""),"")</f>
        <v>0.0573248407643312</v>
      </c>
      <c r="BL85" s="255">
        <f>IF(AND(ISNUMBER(BL84),ISNUMBER(BG84)),IFERROR(BL84/BG84-1,""),"")</f>
        <v>0.0523513753327418</v>
      </c>
      <c r="BM85" s="255">
        <f>IF(AND(ISNUMBER(BM84),ISNUMBER(BH84)),IFERROR(BM84/BH84-1,""),"")</f>
        <v>0.0614716636197441</v>
      </c>
      <c r="BN85" s="255">
        <f>IF(AND(ISNUMBER(BN84),ISNUMBER(BI84)),IFERROR(BN84/BI84-1,""),"")</f>
        <v>-0.00963222416812615</v>
      </c>
      <c r="BO85" s="255">
        <f>IF(AND(ISNUMBER(BO84),ISNUMBER(BJ84)),IFERROR(BO84/BJ84-1,""),"")</f>
        <v>0.00865800865800859</v>
      </c>
      <c r="BP85" s="255">
        <f>IF(AND(ISNUMBER(BP84),ISNUMBER(BK84)),IFERROR(BP84/BK84-1,""),"")</f>
        <v>0.0180722891566265</v>
      </c>
      <c r="BQ85" s="255">
        <f>IF(AND(ISNUMBER(BQ84),ISNUMBER(BL84)),IFERROR(BQ84/BL84-1,""),"")</f>
        <v>0.021079258010118</v>
      </c>
      <c r="BR85" s="255">
        <f>IF(AND(ISNUMBER(BR84),ISNUMBER(BM84)),IFERROR(BR84/BM84-1,""),"")</f>
        <v>0.0096878363832078</v>
      </c>
      <c r="BS85" s="255">
        <f>IF(AND(ISNUMBER(BS84),ISNUMBER(BN84)),IFERROR(BS84/BN84-1,""),"")</f>
        <v>0.0822281167108754</v>
      </c>
      <c r="BT85" s="255">
        <f>IF(AND(ISNUMBER(BT84),ISNUMBER(BO84)),IFERROR(BT84/BO84-1,""),"")</f>
        <v>0.0600858369098714</v>
      </c>
      <c r="BU85" s="256">
        <f>IF(AND(ISNUMBER(BU84),ISNUMBER(BP84)),IFERROR(BU84/BP84-1,""),"")</f>
        <v>-0.00503898097583178</v>
      </c>
      <c r="BV85" s="256">
        <f>IF(AND(ISNUMBER(BV84),ISNUMBER(BQ84)),IFERROR(BV84/BQ84-1,""),"")</f>
        <v>-0.0050897470868283</v>
      </c>
      <c r="BW85" s="256">
        <f>IF(AND(ISNUMBER(BW84),ISNUMBER(BR84)),IFERROR(BW84/BR84-1,""),"")</f>
        <v>0.0321695526190708</v>
      </c>
      <c r="BX85" s="256">
        <f>IF(AND(ISNUMBER(BX84),ISNUMBER(BW84)),IFERROR(BX84/BW84-1,""),"")</f>
        <v>0.0600000000000001</v>
      </c>
      <c r="BY85" s="256">
        <f>IF(AND(ISNUMBER(BY84),ISNUMBER(BX84)),IFERROR(BY84/BX84-1,""),"")</f>
        <v>0.065</v>
      </c>
      <c r="BZ85" s="256">
        <f>IF(AND(ISNUMBER(BZ84),ISNUMBER(BY84)),IFERROR(BZ84/BY84-1,""),"")</f>
        <v>0.065</v>
      </c>
      <c r="CA85" s="256">
        <f>IF(AND(ISNUMBER(CA84),ISNUMBER(BZ84)),IFERROR(CA84/BZ84-1,""),"")</f>
        <v>0.065</v>
      </c>
      <c r="CB85" s="256">
        <f>IF(AND(ISNUMBER(CB84),ISNUMBER(CA84)),IFERROR(CB84/CA84-1,""),"")</f>
        <v>0.065</v>
      </c>
      <c r="CC85" s="153" t="n"/>
      <c r="CK85" s="25" t="inlineStr">
        <is>
          <t xml:space="preserve">  2029E</t>
        </is>
      </c>
      <c r="CL85" s="33">
        <f>CM85+$CL$82</f>
        <v>0.725</v>
      </c>
      <c r="CM85" s="42" t="n">
        <v>0.72</v>
      </c>
      <c r="CN85" s="33">
        <f>CM85+$CN$82</f>
        <v>0.7</v>
      </c>
    </row>
    <row r="86" ht="15" customHeight="1" s="251">
      <c r="B86" s="25" t="inlineStr">
        <is>
          <t xml:space="preserve">  % of total revenue</t>
        </is>
      </c>
      <c r="C86" s="215">
        <f>IF(AND(ISNUMBER(C84),ISNUMBER(C138)),IFERROR(C84/C138,""),"")</f>
        <v>0.251717504809013</v>
      </c>
      <c r="D86" s="215">
        <f>IF(AND(ISNUMBER(D84),ISNUMBER(D138)),IFERROR(D84/D138,""),"")</f>
        <v>0.260748609003541</v>
      </c>
      <c r="E86" s="215">
        <f>IF(AND(ISNUMBER(E84),ISNUMBER(E138)),IFERROR(E84/E138,""),"")</f>
        <v>0.252584269662921</v>
      </c>
      <c r="F86" s="215">
        <f>IF(AND(ISNUMBER(F84),ISNUMBER(F138)),IFERROR(F84/F138,""),"")</f>
        <v>0.243861134631668</v>
      </c>
      <c r="G86" s="215">
        <f>IF(AND(ISNUMBER(G84),ISNUMBER(G138)),IFERROR(G84/G138,""),"")</f>
        <v>0.2296</v>
      </c>
      <c r="H86" s="215">
        <f>IF(AND(ISNUMBER(H84),ISNUMBER(H138)),IFERROR(H84/H138,""),"")</f>
        <v>0.245393634840871</v>
      </c>
      <c r="I86" s="215">
        <f>IF(AND(ISNUMBER(I84),ISNUMBER(I138)),IFERROR(I84/I138,""),"")</f>
        <v>0.2408</v>
      </c>
      <c r="J86" s="215">
        <f>IF(AND(ISNUMBER(J84),ISNUMBER(J138)),IFERROR(J84/J138,""),"")</f>
        <v>0.24</v>
      </c>
      <c r="K86" s="215">
        <f>IF(AND(ISNUMBER(K84),ISNUMBER(K138)),IFERROR(K84/K138,""),"")</f>
        <v>0.243527508090615</v>
      </c>
      <c r="L86" s="215">
        <f>IF(AND(ISNUMBER(L84),ISNUMBER(L138)),IFERROR(L84/L138,""),"")</f>
        <v>0.228083209509658</v>
      </c>
      <c r="M86" s="215">
        <f>IF(AND(ISNUMBER(M84),ISNUMBER(M138)),IFERROR(M84/M138,""),"")</f>
        <v>0.246239113222486</v>
      </c>
      <c r="N86" s="215">
        <f>IF(AND(ISNUMBER(N84),ISNUMBER(N138)),IFERROR(N84/N138,""),"")</f>
        <v>0.246511627906977</v>
      </c>
      <c r="O86" s="215">
        <f>IF(AND(ISNUMBER(O84),ISNUMBER(O138)),IFERROR(O84/O138,""),"")</f>
        <v>0.244901999604039</v>
      </c>
      <c r="P86" s="215">
        <f>IF(AND(ISNUMBER(P84),ISNUMBER(P138)),IFERROR(P84/P138,""),"")</f>
        <v>0.251374705420267</v>
      </c>
      <c r="Q86" s="215">
        <f>IF(AND(ISNUMBER(Q84),ISNUMBER(Q138)),IFERROR(Q84/Q138,""),"")</f>
        <v>0.241430700447094</v>
      </c>
      <c r="R86" s="215">
        <f>IF(AND(ISNUMBER(R84),ISNUMBER(R138)),IFERROR(R84/R138,""),"")</f>
        <v>0.268882175226586</v>
      </c>
      <c r="S86" s="215">
        <f>IF(AND(ISNUMBER(S84),ISNUMBER(S138)),IFERROR(S84/S138,""),"")</f>
        <v>0.294759825327511</v>
      </c>
      <c r="T86" s="215">
        <f>IF(AND(ISNUMBER(T84),ISNUMBER(T138)),IFERROR(T84/T138,""),"")</f>
        <v>0.264445699228308</v>
      </c>
      <c r="U86" s="215">
        <f>IF(AND(ISNUMBER(U84),ISNUMBER(U138)),IFERROR(U84/U138,""),"")</f>
        <v>0.303504847129008</v>
      </c>
      <c r="V86" s="215">
        <f>IF(AND(ISNUMBER(V84),ISNUMBER(V138)),IFERROR(V84/V138,""),"")</f>
        <v>0.280701754385965</v>
      </c>
      <c r="W86" s="215">
        <f>IF(AND(ISNUMBER(W84),ISNUMBER(W138)),IFERROR(W84/W138,""),"")</f>
        <v>0.298123697011814</v>
      </c>
      <c r="X86" s="215">
        <f>IF(AND(ISNUMBER(X84),ISNUMBER(X138)),IFERROR(X84/X138,""),"")</f>
        <v>0.290922087205147</v>
      </c>
      <c r="Y86" s="215">
        <f>IF(AND(ISNUMBER(Y84),ISNUMBER(Y138)),IFERROR(Y84/Y138,""),"")</f>
        <v>0.293057763645999</v>
      </c>
      <c r="Z86" s="215">
        <f>IF(AND(ISNUMBER(Z84),ISNUMBER(Z138)),IFERROR(Z84/Z138,""),"")</f>
        <v>0.276668960770819</v>
      </c>
      <c r="AA86" s="215">
        <f>IF(AND(ISNUMBER(AA84),ISNUMBER(AA138)),IFERROR(AA84/AA138,""),"")</f>
        <v>0.274353876739563</v>
      </c>
      <c r="AB86" s="215">
        <f>IF(AND(ISNUMBER(AB84),ISNUMBER(AB138)),IFERROR(AB84/AB138,""),"")</f>
        <v>0.278916060806345</v>
      </c>
      <c r="AC86" s="215">
        <f>IF(AND(ISNUMBER(AC84),ISNUMBER(AC138)),IFERROR(AC84/AC138,""),"")</f>
        <v>0.276903713027061</v>
      </c>
      <c r="AD86" s="215">
        <f>IF(AND(ISNUMBER(AD84),ISNUMBER(AD138)),IFERROR(AD84/AD138,""),"")</f>
        <v>0.276760679531585</v>
      </c>
      <c r="AE86" s="215">
        <f>IF(AND(ISNUMBER(AE84),ISNUMBER(AE138)),IFERROR(AE84/AE138,""),"")</f>
        <v>0.278876834716018</v>
      </c>
      <c r="AF86" s="215">
        <f>IF(AND(ISNUMBER(AF84),ISNUMBER(AF138)),IFERROR(AF84/AF138,""),"")</f>
        <v>0.277812305779988</v>
      </c>
      <c r="AG86" s="215">
        <f>IF(AND(ISNUMBER(AG84),ISNUMBER(AG138)),IFERROR(AG84/AG138,""),"")</f>
        <v>0.30012936610608</v>
      </c>
      <c r="AH86" s="215">
        <f>IF(AND(ISNUMBER(AH84),ISNUMBER(AH138)),IFERROR(AH84/AH138,""),"")</f>
        <v>0.311197916666667</v>
      </c>
      <c r="AI86" s="215">
        <f>IF(AND(ISNUMBER(AI84),ISNUMBER(AI138)),IFERROR(AI84/AI138,""),"")</f>
        <v>0.292905081495686</v>
      </c>
      <c r="AJ86" s="215">
        <f>IF(AND(ISNUMBER(AJ84),ISNUMBER(AJ138)),IFERROR(AJ84/AJ138,""),"")</f>
        <v>0.306810948440484</v>
      </c>
      <c r="AK86" s="215">
        <f>IF(AND(ISNUMBER(AK84),ISNUMBER(AK138)),IFERROR(AK84/AK138,""),"")</f>
        <v>0.285798122065728</v>
      </c>
      <c r="AL86" s="215">
        <f>IF(AND(ISNUMBER(AL84),ISNUMBER(AL138)),IFERROR(AL84/AL138,""),"")</f>
        <v>0.288928359976317</v>
      </c>
      <c r="AM86" s="215">
        <f>IF(AND(ISNUMBER(AM84),ISNUMBER(AM138)),IFERROR(AM84/AM138,""),"")</f>
        <v>0.289337175792507</v>
      </c>
      <c r="AN86" s="215">
        <f>IF(AND(ISNUMBER(AN84),ISNUMBER(AN138)),IFERROR(AN84/AN138,""),"")</f>
        <v>0.29243170622481</v>
      </c>
      <c r="AO86" s="215">
        <f>IF(AND(ISNUMBER(AO84),ISNUMBER(AO138)),IFERROR(AO84/AO138,""),"")</f>
        <v>0.290593505039194</v>
      </c>
      <c r="AP86" s="215">
        <f>IF(AND(ISNUMBER(AP84),ISNUMBER(AP138)),IFERROR(AP84/AP138,""),"")</f>
        <v>0.265568708183222</v>
      </c>
      <c r="AQ86" s="215">
        <f>IF(AND(ISNUMBER(AQ84),ISNUMBER(AQ138)),IFERROR(AQ84/AQ138,""),"")</f>
        <v>0.287107258938245</v>
      </c>
      <c r="AR86" s="215">
        <f>IF(AND(ISNUMBER(AR84),ISNUMBER(AR138)),IFERROR(AR84/AR138,""),"")</f>
        <v>0.290305302624531</v>
      </c>
      <c r="AS86" s="215">
        <f>IF(AND(ISNUMBER(AS84),ISNUMBER(AS138)),IFERROR(AS84/AS138,""),"")</f>
        <v>0.282988443966676</v>
      </c>
      <c r="AT86" s="215">
        <f>IF(AND(ISNUMBER(AT84),ISNUMBER(AT138)),IFERROR(AT84/AT138,""),"")</f>
        <v>0.267361111111111</v>
      </c>
      <c r="AU86" s="215">
        <f>IF(AND(ISNUMBER(AU84),ISNUMBER(AU138)),IFERROR(AU84/AU138,""),"")</f>
        <v>0.263532763532764</v>
      </c>
      <c r="AV86" s="215">
        <f>IF(AND(ISNUMBER(AV84),ISNUMBER(AV138)),IFERROR(AV84/AV138,""),"")</f>
        <v>0.273119310014375</v>
      </c>
      <c r="AW86" s="215">
        <f>IF(AND(ISNUMBER(AW84),ISNUMBER(AW138)),IFERROR(AW84/AW138,""),"")</f>
        <v>0.279693486590038</v>
      </c>
      <c r="AX86" s="215">
        <f>IF(AND(ISNUMBER(AX84),ISNUMBER(AX138)),IFERROR(AX84/AX138,""),"")</f>
        <v>0.270820778594673</v>
      </c>
      <c r="AY86" s="215">
        <f>IF(AND(ISNUMBER(AY84),ISNUMBER(AY138)),IFERROR(AY84/AY138,""),"")</f>
        <v>0.304311427375471</v>
      </c>
      <c r="AZ86" s="215">
        <f>IF(AND(ISNUMBER(AZ84),ISNUMBER(AZ138)),IFERROR(AZ84/AZ138,""),"")</f>
        <v>0.34413631807551</v>
      </c>
      <c r="BA86" s="215">
        <f>IF(AND(ISNUMBER(BA84),ISNUMBER(BA138)),IFERROR(BA84/BA138,""),"")</f>
        <v>0.35512058720727</v>
      </c>
      <c r="BB86" s="215">
        <f>IF(AND(ISNUMBER(BB84),ISNUMBER(BB138)),IFERROR(BB84/BB138,""),"")</f>
        <v>0.353081375553286</v>
      </c>
      <c r="BC86" s="215">
        <f>IF(AND(ISNUMBER(BC84),ISNUMBER(BC138)),IFERROR(BC84/BC138,""),"")</f>
        <v>0.340846078168321</v>
      </c>
      <c r="BD86" s="215">
        <f>IF(AND(ISNUMBER(BD84),ISNUMBER(BD138)),IFERROR(BD84/BD138,""),"")</f>
        <v>0.338924050632911</v>
      </c>
      <c r="BE86" s="215">
        <f>IF(AND(ISNUMBER(BE84),ISNUMBER(BE138)),IFERROR(BE84/BE138,""),"")</f>
        <v>0.347952273460174</v>
      </c>
      <c r="BF86" s="215">
        <f>IF(AND(ISNUMBER(BF84),ISNUMBER(BF138)),IFERROR(BF84/BF138,""),"")</f>
        <v>0.356355382619974</v>
      </c>
      <c r="BG86" s="215">
        <f>IF(AND(ISNUMBER(BG84),ISNUMBER(BG138)),IFERROR(BG84/BG138,""),"")</f>
        <v>0.35755076142132</v>
      </c>
      <c r="BH86" s="215">
        <f>IF(AND(ISNUMBER(BH84),ISNUMBER(BH138)),IFERROR(BH84/BH138,""),"")</f>
        <v>0.350164039369449</v>
      </c>
      <c r="BI86" s="215">
        <f>IF(AND(ISNUMBER(BI84),ISNUMBER(BI138)),IFERROR(BI84/BI138,""),"")</f>
        <v>0.327126897737038</v>
      </c>
      <c r="BJ86" s="215">
        <f>IF(AND(ISNUMBER(BJ84),ISNUMBER(BJ138)),IFERROR(BJ84/BJ138,""),"")</f>
        <v>0.325443786982249</v>
      </c>
      <c r="BK86" s="215">
        <f>IF(AND(ISNUMBER(BK84),ISNUMBER(BK138)),IFERROR(BK84/BK138,""),"")</f>
        <v>0.325034965034965</v>
      </c>
      <c r="BL86" s="215">
        <f>IF(AND(ISNUMBER(BL84),ISNUMBER(BL138)),IFERROR(BL84/BL138,""),"")</f>
        <v>0.330178173719376</v>
      </c>
      <c r="BM86" s="215">
        <f>IF(AND(ISNUMBER(BM84),ISNUMBER(BM138)),IFERROR(BM84/BM138,""),"")</f>
        <v>0.326928490990991</v>
      </c>
      <c r="BN86" s="215">
        <f>IF(AND(ISNUMBER(BN84),ISNUMBER(BN138)),IFERROR(BN84/BN138,""),"")</f>
        <v>0.336907953529937</v>
      </c>
      <c r="BO86" s="215">
        <f>IF(AND(ISNUMBER(BO84),ISNUMBER(BO138)),IFERROR(BO84/BO138,""),"")</f>
        <v>0.351220982815797</v>
      </c>
      <c r="BP86" s="215">
        <f>IF(AND(ISNUMBER(BP84),ISNUMBER(BP138)),IFERROR(BP84/BP138,""),"")</f>
        <v>0.343595701423177</v>
      </c>
      <c r="BQ86" s="215">
        <f>IF(AND(ISNUMBER(BQ84),ISNUMBER(BQ138)),IFERROR(BQ84/BQ138,""),"")</f>
        <v>0.348790322580645</v>
      </c>
      <c r="BR86" s="215">
        <f>IF(AND(ISNUMBER(BR84),ISNUMBER(BR138)),IFERROR(BR84/BR138,""),"")</f>
        <v>0.345132092133343</v>
      </c>
      <c r="BS86" s="215">
        <f>IF(AND(ISNUMBER(BS84),ISNUMBER(BS138)),IFERROR(BS84/BS138,""),"")</f>
        <v>0.329297820823245</v>
      </c>
      <c r="BT86" s="215">
        <f>IF(AND(ISNUMBER(BT84),ISNUMBER(BT138)),IFERROR(BT84/BT138,""),"")</f>
        <v>0.335780315388798</v>
      </c>
      <c r="BU86" s="256">
        <f>IF(AND(ISNUMBER(BU84),ISNUMBER(BU138)),IFERROR(BU84/BU138,""),"")</f>
        <v>0.331146491679897</v>
      </c>
      <c r="BV86" s="256">
        <f>IF(AND(ISNUMBER(BV84),ISNUMBER(BV138)),IFERROR(BV84/BV138,""),"")</f>
        <v>0.336809377246066</v>
      </c>
      <c r="BW86" s="256">
        <f>IF(AND(ISNUMBER(BW84),ISNUMBER(BW138)),IFERROR(BW84/BW138,""),"")</f>
        <v>0.333241194697621</v>
      </c>
      <c r="BX86" s="256">
        <f>IF(AND(ISNUMBER(BX84),ISNUMBER(BX138)),IFERROR(BX84/BX138,""),"")</f>
        <v>0.332637117170946</v>
      </c>
      <c r="BY86" s="256">
        <f>IF(AND(ISNUMBER(BY84),ISNUMBER(BY138)),IFERROR(BY84/BY138,""),"")</f>
        <v>0.330867333467958</v>
      </c>
      <c r="BZ86" s="256">
        <f>IF(AND(ISNUMBER(BZ84),ISNUMBER(BZ138)),IFERROR(BZ84/BZ138,""),"")</f>
        <v>0.329733837399166</v>
      </c>
      <c r="CA86" s="256">
        <f>IF(AND(ISNUMBER(CA84),ISNUMBER(CA138)),IFERROR(CA84/CA138,""),"")</f>
        <v>0.329538178830643</v>
      </c>
      <c r="CB86" s="256">
        <f>IF(AND(ISNUMBER(CB84),ISNUMBER(CB138)),IFERROR(CB84/CB138,""),"")</f>
        <v>0.329372299628411</v>
      </c>
      <c r="CC86" s="153" t="n"/>
      <c r="CE86" s="37">
        <f>IFERROR(AVERAGE(BX86,BY86,BZ86,CA86,CB86),"n/m")</f>
        <v>0.330429753299425</v>
      </c>
      <c r="CF86" s="37">
        <f>IFERROR(AVERAGE(AX86,BC86,BH86,BM86,BR86),"n/m")</f>
        <v>0.326778295851355</v>
      </c>
      <c r="CG86" s="37">
        <f>IFERROR(AVERAGE(Y86,AD86,AI86,AN86,AS86,AX86,BC86,BH86,BM86,BR86),"n/m")</f>
        <v>0.307203515412153</v>
      </c>
      <c r="CH86" s="37">
        <f>IFERROR(AVERAGE(C86,D86,E86,J86,O86,T86,Y86,AD86,AI86,AN86,AS86,AX86,BC86,BH86,BM86,BR86),"n/m")</f>
        <v>0.286652077276835</v>
      </c>
      <c r="CK86" s="25" t="inlineStr">
        <is>
          <t xml:space="preserve">  2030E</t>
        </is>
      </c>
      <c r="CL86" s="33">
        <f>CM86+$CL$82</f>
        <v>0.73</v>
      </c>
      <c r="CM86" s="42" t="n">
        <v>0.725</v>
      </c>
      <c r="CN86" s="33">
        <f>CM86+$CN$82</f>
        <v>0.705</v>
      </c>
    </row>
    <row r="87" ht="15" customHeight="1" s="251">
      <c r="B87" s="156" t="inlineStr">
        <is>
          <t xml:space="preserve">  Memo: Market Intelligence revenue as reported (segment exhibit; 2025+ adjusted as recast)</t>
        </is>
      </c>
      <c r="C87" s="253" t="n">
        <v>916</v>
      </c>
      <c r="D87" s="253" t="n">
        <v>1031</v>
      </c>
      <c r="E87" s="253" t="n">
        <v>1124</v>
      </c>
      <c r="F87" s="253" t="n">
        <v>288</v>
      </c>
      <c r="G87" s="253" t="n">
        <v>287</v>
      </c>
      <c r="H87" s="253" t="n">
        <v>293</v>
      </c>
      <c r="I87" s="253" t="n">
        <v>301</v>
      </c>
      <c r="J87" s="253" t="n">
        <v>1170</v>
      </c>
      <c r="K87" s="253" t="n">
        <v>301</v>
      </c>
      <c r="L87" s="253" t="n">
        <v>307</v>
      </c>
      <c r="M87" s="253" t="n">
        <v>311</v>
      </c>
      <c r="N87" s="253" t="n">
        <v>318</v>
      </c>
      <c r="O87" s="253" t="n">
        <v>1237</v>
      </c>
      <c r="P87" s="253" t="n">
        <v>320</v>
      </c>
      <c r="Q87" s="253" t="n">
        <v>324</v>
      </c>
      <c r="R87" s="253" t="n">
        <v>356</v>
      </c>
      <c r="S87" s="253" t="n">
        <v>405</v>
      </c>
      <c r="T87" s="253" t="n">
        <v>1405</v>
      </c>
      <c r="U87" s="253" t="n">
        <v>407</v>
      </c>
      <c r="V87" s="253" t="n">
        <v>416</v>
      </c>
      <c r="W87" s="253" t="n">
        <v>429</v>
      </c>
      <c r="X87" s="253" t="n">
        <v>407</v>
      </c>
      <c r="Y87" s="253" t="n">
        <v>1659</v>
      </c>
      <c r="Z87" s="253" t="n">
        <v>402</v>
      </c>
      <c r="AA87" s="253" t="n">
        <v>414</v>
      </c>
      <c r="AB87" s="253" t="n">
        <v>422</v>
      </c>
      <c r="AC87" s="253" t="n">
        <v>440</v>
      </c>
      <c r="AD87" s="253" t="n">
        <v>1678</v>
      </c>
      <c r="AE87" s="253" t="n">
        <v>437</v>
      </c>
      <c r="AF87" s="253" t="n">
        <v>447</v>
      </c>
      <c r="AG87" s="253" t="n">
        <v>464</v>
      </c>
      <c r="AH87" s="253" t="n">
        <v>478</v>
      </c>
      <c r="AI87" s="253" t="n">
        <v>1833</v>
      </c>
      <c r="AJ87" s="253" t="n">
        <v>482</v>
      </c>
      <c r="AK87" s="253" t="n">
        <v>487</v>
      </c>
      <c r="AL87" s="253" t="n">
        <v>488</v>
      </c>
      <c r="AM87" s="253" t="n">
        <v>502</v>
      </c>
      <c r="AN87" s="253" t="n">
        <v>1959</v>
      </c>
      <c r="AO87" s="253" t="n">
        <v>519</v>
      </c>
      <c r="AP87" s="253" t="n">
        <v>516</v>
      </c>
      <c r="AQ87" s="253" t="n">
        <v>530</v>
      </c>
      <c r="AR87" s="253" t="n">
        <v>542</v>
      </c>
      <c r="AS87" s="253" t="n">
        <v>2106</v>
      </c>
      <c r="AT87" s="253" t="n">
        <v>539</v>
      </c>
      <c r="AU87" s="253" t="n">
        <v>555</v>
      </c>
      <c r="AV87" s="253" t="n">
        <v>570</v>
      </c>
      <c r="AW87" s="253" t="n">
        <v>584</v>
      </c>
      <c r="AX87" s="253" t="n">
        <v>2247</v>
      </c>
      <c r="AY87" s="253" t="n">
        <v>727</v>
      </c>
      <c r="AZ87" s="253" t="n">
        <v>1030</v>
      </c>
      <c r="BA87" s="253" t="n">
        <v>1016</v>
      </c>
      <c r="BB87" s="253" t="n">
        <v>1037</v>
      </c>
      <c r="BC87" s="253" t="n">
        <v>3811</v>
      </c>
      <c r="BD87" s="253" t="n">
        <v>1071</v>
      </c>
      <c r="BE87" s="253" t="n">
        <v>1079</v>
      </c>
      <c r="BF87" s="253" t="n">
        <v>1099</v>
      </c>
      <c r="BG87" s="253" t="n">
        <v>1127</v>
      </c>
      <c r="BH87" s="253" t="n">
        <v>4376</v>
      </c>
      <c r="BI87" s="253" t="n">
        <v>1142</v>
      </c>
      <c r="BJ87" s="253" t="n">
        <v>1155</v>
      </c>
      <c r="BK87" s="253" t="n">
        <v>1162</v>
      </c>
      <c r="BL87" s="253" t="n">
        <v>1186</v>
      </c>
      <c r="BM87" s="253" t="n">
        <v>4645</v>
      </c>
      <c r="BN87" s="253" t="n">
        <v>1131</v>
      </c>
      <c r="BO87" s="253" t="n">
        <v>1165</v>
      </c>
      <c r="BP87" s="253" t="n">
        <v>1183</v>
      </c>
      <c r="BQ87" s="253" t="n">
        <v>1211</v>
      </c>
      <c r="BR87" s="253" t="n">
        <v>4690</v>
      </c>
      <c r="BS87" s="253" t="n">
        <v>1224</v>
      </c>
      <c r="BT87" s="253" t="n">
        <v>1235</v>
      </c>
      <c r="BU87" s="153" t="n"/>
      <c r="BV87" s="153" t="n"/>
      <c r="BW87" s="153" t="n"/>
      <c r="BX87" s="153" t="n"/>
      <c r="BY87" s="153" t="n"/>
      <c r="BZ87" s="153" t="n"/>
      <c r="CA87" s="153" t="n"/>
      <c r="CB87" s="153" t="n"/>
      <c r="CC87" s="153" t="n"/>
      <c r="CK87" s="25" t="inlineStr">
        <is>
          <t xml:space="preserve">  2031E</t>
        </is>
      </c>
      <c r="CL87" s="33">
        <f>CM87+$CL$82</f>
        <v>0.73</v>
      </c>
      <c r="CM87" s="42" t="n">
        <v>0.725</v>
      </c>
      <c r="CN87" s="33">
        <f>CM87+$CN$82</f>
        <v>0.705</v>
      </c>
    </row>
    <row r="88" collapsed="1" ht="15" customHeight="1" s="251">
      <c r="B88" s="57" t="inlineStr">
        <is>
          <t xml:space="preserve">  Check: revenue types vs division revenue (should be 0; ±1 rounding)</t>
        </is>
      </c>
      <c r="C88" s="211">
        <f>IF(AND(ISNUMBER(C74),ISNUMBER(C87)),IF(ABS(C84-C87)&lt;=1.01,0,ROUND(C84-C87,0)),"")</f>
      </c>
      <c r="D88" s="211">
        <f>IF(AND(ISNUMBER(D74),ISNUMBER(D87)),IF(ABS(D84-D87)&lt;=1.01,0,ROUND(D84-D87,0)),"")</f>
        <v>0</v>
      </c>
      <c r="E88" s="211">
        <f>IF(AND(ISNUMBER(E74),ISNUMBER(E87)),IF(ABS(E84-E87)&lt;=1.01,0,ROUND(E84-E87,0)),"")</f>
        <v>0</v>
      </c>
      <c r="F88" s="211">
        <f>IF(AND(ISNUMBER(F74),ISNUMBER(F87)),IF(ABS(F84-F87)&lt;=1.01,0,ROUND(F84-F87,0)),"")</f>
        <v>0</v>
      </c>
      <c r="G88" s="211">
        <f>IF(AND(ISNUMBER(G74),ISNUMBER(G87)),IF(ABS(G84-G87)&lt;=1.01,0,ROUND(G84-G87,0)),"")</f>
        <v>0</v>
      </c>
      <c r="H88" s="211">
        <f>IF(AND(ISNUMBER(H74),ISNUMBER(H87)),IF(ABS(H84-H87)&lt;=1.01,0,ROUND(H84-H87,0)),"")</f>
        <v>0</v>
      </c>
      <c r="I88" s="211">
        <f>IF(AND(ISNUMBER(I74),ISNUMBER(I87)),IF(ABS(I84-I87)&lt;=1.01,0,ROUND(I84-I87,0)),"")</f>
        <v>0</v>
      </c>
      <c r="J88" s="211">
        <f>IF(AND(ISNUMBER(J74),ISNUMBER(J87)),IF(ABS(J84-J87)&lt;=1.01,0,ROUND(J84-J87,0)),"")</f>
        <v>0</v>
      </c>
      <c r="K88" s="211">
        <f>IF(AND(ISNUMBER(K74),ISNUMBER(K87)),IF(ABS(K84-K87)&lt;=1.01,0,ROUND(K84-K87,0)),"")</f>
        <v>0</v>
      </c>
      <c r="L88" s="211">
        <f>IF(AND(ISNUMBER(L74),ISNUMBER(L87)),IF(ABS(L84-L87)&lt;=1.01,0,ROUND(L84-L87,0)),"")</f>
        <v>0</v>
      </c>
      <c r="M88" s="211">
        <f>IF(AND(ISNUMBER(M74),ISNUMBER(M87)),IF(ABS(M84-M87)&lt;=1.01,0,ROUND(M84-M87,0)),"")</f>
        <v>0</v>
      </c>
      <c r="N88" s="211">
        <f>IF(AND(ISNUMBER(N74),ISNUMBER(N87)),IF(ABS(N84-N87)&lt;=1.01,0,ROUND(N84-N87,0)),"")</f>
        <v>0</v>
      </c>
      <c r="O88" s="211">
        <f>IF(AND(ISNUMBER(O74),ISNUMBER(O87)),IF(ABS(O84-O87)&lt;=1.01,0,ROUND(O84-O87,0)),"")</f>
        <v>0</v>
      </c>
      <c r="P88" s="211">
        <f>IF(AND(ISNUMBER(P74),ISNUMBER(P87)),IF(ABS(P84-P87)&lt;=1.01,0,ROUND(P84-P87,0)),"")</f>
        <v>0</v>
      </c>
      <c r="Q88" s="211">
        <f>IF(AND(ISNUMBER(Q74),ISNUMBER(Q87)),IF(ABS(Q84-Q87)&lt;=1.01,0,ROUND(Q84-Q87,0)),"")</f>
        <v>0</v>
      </c>
      <c r="R88" s="211">
        <f>IF(AND(ISNUMBER(R74),ISNUMBER(R87)),IF(ABS(R84-R87)&lt;=1.01,0,ROUND(R84-R87,0)),"")</f>
        <v>0</v>
      </c>
      <c r="S88" s="211">
        <f>IF(AND(ISNUMBER(S74),ISNUMBER(S87)),IF(ABS(S84-S87)&lt;=1.01,0,ROUND(S84-S87,0)),"")</f>
        <v>0</v>
      </c>
      <c r="T88" s="211">
        <f>IF(AND(ISNUMBER(T74),ISNUMBER(T87)),IF(ABS(T84-T87)&lt;=1.01,0,ROUND(T84-T87,0)),"")</f>
        <v>0</v>
      </c>
      <c r="U88" s="211">
        <f>IF(AND(ISNUMBER(U74),ISNUMBER(U87)),IF(ABS(U84-U87)&lt;=1.01,0,ROUND(U84-U87,0)),"")</f>
        <v>0</v>
      </c>
      <c r="V88" s="211">
        <f>IF(AND(ISNUMBER(V74),ISNUMBER(V87)),IF(ABS(V84-V87)&lt;=1.01,0,ROUND(V84-V87,0)),"")</f>
        <v>0</v>
      </c>
      <c r="W88" s="211">
        <f>IF(AND(ISNUMBER(W74),ISNUMBER(W87)),IF(ABS(W84-W87)&lt;=1.01,0,ROUND(W84-W87,0)),"")</f>
        <v>0</v>
      </c>
      <c r="X88" s="211">
        <f>IF(AND(ISNUMBER(X74),ISNUMBER(X87)),IF(ABS(X84-X87)&lt;=1.01,0,ROUND(X84-X87,0)),"")</f>
      </c>
      <c r="Y88" s="211">
        <f>IF(AND(ISNUMBER(Y74),ISNUMBER(Y87)),IF(ABS(Y84-Y87)&lt;=1.01,0,ROUND(Y84-Y87,0)),"")</f>
      </c>
      <c r="Z88" s="211">
        <f>IF(AND(ISNUMBER(Z74),ISNUMBER(Z87)),IF(ABS(Z84-Z87)&lt;=1.01,0,ROUND(Z84-Z87,0)),"")</f>
      </c>
      <c r="AA88" s="211">
        <f>IF(AND(ISNUMBER(AA74),ISNUMBER(AA87)),IF(ABS(AA84-AA87)&lt;=1.01,0,ROUND(AA84-AA87,0)),"")</f>
      </c>
      <c r="AB88" s="211">
        <f>IF(AND(ISNUMBER(AB74),ISNUMBER(AB87)),IF(ABS(AB84-AB87)&lt;=1.01,0,ROUND(AB84-AB87,0)),"")</f>
      </c>
      <c r="AC88" s="211">
        <f>IF(AND(ISNUMBER(AC74),ISNUMBER(AC87)),IF(ABS(AC84-AC87)&lt;=1.01,0,ROUND(AC84-AC87,0)),"")</f>
      </c>
      <c r="AD88" s="211">
        <f>IF(AND(ISNUMBER(AD74),ISNUMBER(AD87)),IF(ABS(AD84-AD87)&lt;=1.01,0,ROUND(AD84-AD87,0)),"")</f>
      </c>
      <c r="AE88" s="211">
        <f>IF(AND(ISNUMBER(AE74),ISNUMBER(AE87)),IF(ABS(AE84-AE87)&lt;=1.01,0,ROUND(AE84-AE87,0)),"")</f>
        <v>0</v>
      </c>
      <c r="AF88" s="211">
        <f>IF(AND(ISNUMBER(AF74),ISNUMBER(AF87)),IF(ABS(AF84-AF87)&lt;=1.01,0,ROUND(AF84-AF87,0)),"")</f>
        <v>0</v>
      </c>
      <c r="AG88" s="211">
        <f>IF(AND(ISNUMBER(AG74),ISNUMBER(AG87)),IF(ABS(AG84-AG87)&lt;=1.01,0,ROUND(AG84-AG87,0)),"")</f>
        <v>0</v>
      </c>
      <c r="AH88" s="211">
        <f>IF(AND(ISNUMBER(AH74),ISNUMBER(AH87)),IF(ABS(AH84-AH87)&lt;=1.01,0,ROUND(AH84-AH87,0)),"")</f>
        <v>0</v>
      </c>
      <c r="AI88" s="211">
        <f>IF(AND(ISNUMBER(AI74),ISNUMBER(AI87)),IF(ABS(AI84-AI87)&lt;=1.01,0,ROUND(AI84-AI87,0)),"")</f>
        <v>0</v>
      </c>
      <c r="AJ88" s="211">
        <f>IF(AND(ISNUMBER(AJ74),ISNUMBER(AJ87)),IF(ABS(AJ84-AJ87)&lt;=1.01,0,ROUND(AJ84-AJ87,0)),"")</f>
        <v>0</v>
      </c>
      <c r="AK88" s="211">
        <f>IF(AND(ISNUMBER(AK74),ISNUMBER(AK87)),IF(ABS(AK84-AK87)&lt;=1.01,0,ROUND(AK84-AK87,0)),"")</f>
        <v>0</v>
      </c>
      <c r="AL88" s="211">
        <f>IF(AND(ISNUMBER(AL74),ISNUMBER(AL87)),IF(ABS(AL84-AL87)&lt;=1.01,0,ROUND(AL84-AL87,0)),"")</f>
        <v>0</v>
      </c>
      <c r="AM88" s="211">
        <f>IF(AND(ISNUMBER(AM74),ISNUMBER(AM87)),IF(ABS(AM84-AM87)&lt;=1.01,0,ROUND(AM84-AM87,0)),"")</f>
        <v>0</v>
      </c>
      <c r="AN88" s="211">
        <f>IF(AND(ISNUMBER(AN74),ISNUMBER(AN87)),IF(ABS(AN84-AN87)&lt;=1.01,0,ROUND(AN84-AN87,0)),"")</f>
        <v>0</v>
      </c>
      <c r="AO88" s="211">
        <f>IF(AND(ISNUMBER(AO74),ISNUMBER(AO87)),IF(ABS(AO84-AO87)&lt;=1.01,0,ROUND(AO84-AO87,0)),"")</f>
        <v>0</v>
      </c>
      <c r="AP88" s="211">
        <f>IF(AND(ISNUMBER(AP74),ISNUMBER(AP87)),IF(ABS(AP84-AP87)&lt;=1.01,0,ROUND(AP84-AP87,0)),"")</f>
        <v>0</v>
      </c>
      <c r="AQ88" s="211">
        <f>IF(AND(ISNUMBER(AQ74),ISNUMBER(AQ87)),IF(ABS(AQ84-AQ87)&lt;=1.01,0,ROUND(AQ84-AQ87,0)),"")</f>
        <v>0</v>
      </c>
      <c r="AR88" s="211">
        <f>IF(AND(ISNUMBER(AR74),ISNUMBER(AR87)),IF(ABS(AR84-AR87)&lt;=1.01,0,ROUND(AR84-AR87,0)),"")</f>
        <v>0</v>
      </c>
      <c r="AS88" s="211">
        <f>IF(AND(ISNUMBER(AS74),ISNUMBER(AS87)),IF(ABS(AS84-AS87)&lt;=1.01,0,ROUND(AS84-AS87,0)),"")</f>
        <v>0</v>
      </c>
      <c r="AT88" s="211">
        <f>IF(AND(ISNUMBER(AT74),ISNUMBER(AT87)),IF(ABS(AT84-AT87)&lt;=1.01,0,ROUND(AT84-AT87,0)),"")</f>
        <v>0</v>
      </c>
      <c r="AU88" s="211">
        <f>IF(AND(ISNUMBER(AU74),ISNUMBER(AU87)),IF(ABS(AU84-AU87)&lt;=1.01,0,ROUND(AU84-AU87,0)),"")</f>
        <v>0</v>
      </c>
      <c r="AV88" s="211">
        <f>IF(AND(ISNUMBER(AV74),ISNUMBER(AV87)),IF(ABS(AV84-AV87)&lt;=1.01,0,ROUND(AV84-AV87,0)),"")</f>
        <v>0</v>
      </c>
      <c r="AW88" s="211">
        <f>IF(AND(ISNUMBER(AW74),ISNUMBER(AW87)),IF(ABS(AW84-AW87)&lt;=1.01,0,ROUND(AW84-AW87,0)),"")</f>
        <v>0</v>
      </c>
      <c r="AX88" s="211">
        <f>IF(AND(ISNUMBER(AX74),ISNUMBER(AX87)),IF(ABS(AX84-AX87)&lt;=1.01,0,ROUND(AX84-AX87,0)),"")</f>
        <v>0</v>
      </c>
      <c r="AY88" s="211">
        <f>IF(AND(ISNUMBER(AY74),ISNUMBER(AY87)),IF(ABS(AY84-AY87)&lt;=1.01,0,ROUND(AY84-AY87,0)),"")</f>
      </c>
      <c r="AZ88" s="211">
        <f>IF(AND(ISNUMBER(AZ74),ISNUMBER(AZ87)),IF(ABS(AZ84-AZ87)&lt;=1.01,0,ROUND(AZ84-AZ87,0)),"")</f>
        <v>0</v>
      </c>
      <c r="BA88" s="211">
        <f>IF(AND(ISNUMBER(BA74),ISNUMBER(BA87)),IF(ABS(BA84-BA87)&lt;=1.01,0,ROUND(BA84-BA87,0)),"")</f>
        <v>0</v>
      </c>
      <c r="BB88" s="211">
        <f>IF(AND(ISNUMBER(BB74),ISNUMBER(BB87)),IF(ABS(BB84-BB87)&lt;=1.01,0,ROUND(BB84-BB87,0)),"")</f>
        <v>0</v>
      </c>
      <c r="BC88" s="211">
        <f>IF(AND(ISNUMBER(BC74),ISNUMBER(BC87)),IF(ABS(BC84-BC87)&lt;=1.01,0,ROUND(BC84-BC87,0)),"")</f>
      </c>
      <c r="BD88" s="211">
        <f>IF(AND(ISNUMBER(BD74),ISNUMBER(BD87)),IF(ABS(BD84-BD87)&lt;=1.01,0,ROUND(BD84-BD87,0)),"")</f>
        <v>0</v>
      </c>
      <c r="BE88" s="211">
        <f>IF(AND(ISNUMBER(BE74),ISNUMBER(BE87)),IF(ABS(BE84-BE87)&lt;=1.01,0,ROUND(BE84-BE87,0)),"")</f>
        <v>0</v>
      </c>
      <c r="BF88" s="211">
        <f>IF(AND(ISNUMBER(BF74),ISNUMBER(BF87)),IF(ABS(BF84-BF87)&lt;=1.01,0,ROUND(BF84-BF87,0)),"")</f>
        <v>0</v>
      </c>
      <c r="BG88" s="211">
        <f>IF(AND(ISNUMBER(BG74),ISNUMBER(BG87)),IF(ABS(BG84-BG87)&lt;=1.01,0,ROUND(BG84-BG87,0)),"")</f>
        <v>0</v>
      </c>
      <c r="BH88" s="211">
        <f>IF(AND(ISNUMBER(BH74),ISNUMBER(BH87)),IF(ABS(BH84-BH87)&lt;=1.01,0,ROUND(BH84-BH87,0)),"")</f>
        <v>0</v>
      </c>
      <c r="BI88" s="211">
        <f>IF(AND(ISNUMBER(BI74),ISNUMBER(BI87)),IF(ABS(BI84-BI87)&lt;=1.01,0,ROUND(BI84-BI87,0)),"")</f>
        <v>0</v>
      </c>
      <c r="BJ88" s="211">
        <f>IF(AND(ISNUMBER(BJ74),ISNUMBER(BJ87)),IF(ABS(BJ84-BJ87)&lt;=1.01,0,ROUND(BJ84-BJ87,0)),"")</f>
        <v>0</v>
      </c>
      <c r="BK88" s="211">
        <f>IF(AND(ISNUMBER(BK74),ISNUMBER(BK87)),IF(ABS(BK84-BK87)&lt;=1.01,0,ROUND(BK84-BK87,0)),"")</f>
        <v>0</v>
      </c>
      <c r="BL88" s="211">
        <f>IF(AND(ISNUMBER(BL74),ISNUMBER(BL87)),IF(ABS(BL84-BL87)&lt;=1.01,0,ROUND(BL84-BL87,0)),"")</f>
        <v>0</v>
      </c>
      <c r="BM88" s="211">
        <f>IF(AND(ISNUMBER(BM74),ISNUMBER(BM87)),IF(ABS(BM84-BM87)&lt;=1.01,0,ROUND(BM84-BM87,0)),"")</f>
        <v>0</v>
      </c>
      <c r="BN88" s="211">
        <f>IF(AND(ISNUMBER(BN74),ISNUMBER(BN87)),IF(ABS(BN84-BN87)&lt;=1.01,0,ROUND(BN84-BN87,0)),"")</f>
        <v>0</v>
      </c>
      <c r="BO88" s="211">
        <f>IF(AND(ISNUMBER(BO74),ISNUMBER(BO87)),IF(ABS(BO84-BO87)&lt;=1.01,0,ROUND(BO84-BO87,0)),"")</f>
        <v>0</v>
      </c>
      <c r="BP88" s="211">
        <f>IF(AND(ISNUMBER(BP74),ISNUMBER(BP87)),IF(ABS(BP84-BP87)&lt;=1.01,0,ROUND(BP84-BP87,0)),"")</f>
        <v>0</v>
      </c>
      <c r="BQ88" s="211">
        <f>IF(AND(ISNUMBER(BQ74),ISNUMBER(BQ87)),IF(ABS(BQ84-BQ87)&lt;=1.01,0,ROUND(BQ84-BQ87,0)),"")</f>
        <v>0</v>
      </c>
      <c r="BR88" s="211">
        <f>IF(AND(ISNUMBER(BR74),ISNUMBER(BR87)),IF(ABS(BR84-BR87)&lt;=1.01,0,ROUND(BR84-BR87,0)),"")</f>
        <v>0</v>
      </c>
      <c r="BS88" s="211">
        <f>IF(AND(ISNUMBER(BS74),ISNUMBER(BS87)),IF(ABS(BS84-BS87)&lt;=1.01,0,ROUND(BS84-BS87,0)),"")</f>
        <v>0</v>
      </c>
      <c r="BT88" s="211">
        <f>IF(AND(ISNUMBER(BT74),ISNUMBER(BT87)),IF(ABS(BT84-BT87)&lt;=1.01,0,ROUND(BT84-BT87,0)),"")</f>
        <v>0</v>
      </c>
      <c r="BU88" s="153" t="n"/>
      <c r="BV88" s="153" t="n"/>
      <c r="BW88" s="153" t="n"/>
      <c r="BX88" s="153" t="n"/>
      <c r="BY88" s="153" t="n"/>
      <c r="BZ88" s="153" t="n"/>
      <c r="CA88" s="153" t="n"/>
      <c r="CB88" s="153" t="n"/>
      <c r="CC88" s="153" t="n"/>
      <c r="CK88" s="15" t="inlineStr">
        <is>
          <t>CI_M (Energy adjusted margin)</t>
        </is>
      </c>
      <c r="CL88" s="41" t="n">
        <v>0.01</v>
      </c>
      <c r="CM88" s="21" t="inlineStr">
        <is>
          <t>Δ →</t>
        </is>
      </c>
      <c r="CN88" s="41" t="n">
        <v>-0.02</v>
      </c>
      <c r="CO88" s="13" t="inlineStr">
        <is>
          <t>FY2025 recast 45.9%, 1H-26 47.8%.</t>
        </is>
      </c>
    </row>
    <row r="89" ht="15" customHeight="1" s="251">
      <c r="B89" s="25" t="inlineStr">
        <is>
          <t xml:space="preserve">  Market Intelligence — adjusted operating profit</t>
        </is>
      </c>
      <c r="C89" s="34" t="n"/>
      <c r="D89" s="253" t="n">
        <v>214</v>
      </c>
      <c r="E89" s="253" t="n">
        <v>228</v>
      </c>
      <c r="F89" s="253" t="n">
        <v>56</v>
      </c>
      <c r="G89" s="253" t="n">
        <v>55</v>
      </c>
      <c r="H89" s="253" t="n">
        <v>59</v>
      </c>
      <c r="I89" s="253" t="n">
        <v>54</v>
      </c>
      <c r="J89" s="253" t="n">
        <v>224</v>
      </c>
      <c r="K89" s="253" t="n">
        <v>53</v>
      </c>
      <c r="L89" s="253" t="n">
        <v>54</v>
      </c>
      <c r="M89" s="253" t="n">
        <v>68</v>
      </c>
      <c r="N89" s="253" t="n">
        <v>62</v>
      </c>
      <c r="O89" s="253" t="n">
        <v>237</v>
      </c>
      <c r="P89" s="253" t="n">
        <v>63</v>
      </c>
      <c r="Q89" s="253" t="n">
        <v>74</v>
      </c>
      <c r="R89" s="253" t="n">
        <v>85</v>
      </c>
      <c r="S89" s="253" t="n">
        <v>75</v>
      </c>
      <c r="T89" s="253" t="n">
        <v>297</v>
      </c>
      <c r="U89" s="253" t="n">
        <v>123</v>
      </c>
      <c r="V89" s="253" t="n">
        <v>118</v>
      </c>
      <c r="W89" s="253" t="n">
        <v>135</v>
      </c>
      <c r="X89" s="34" t="n"/>
      <c r="Y89" s="34" t="n"/>
      <c r="Z89" s="34" t="n"/>
      <c r="AA89" s="34" t="n"/>
      <c r="AB89" s="34" t="n"/>
      <c r="AC89" s="34" t="n"/>
      <c r="AD89" s="34" t="n"/>
      <c r="AE89" s="253" t="n">
        <v>129</v>
      </c>
      <c r="AF89" s="253" t="n">
        <v>146</v>
      </c>
      <c r="AG89" s="253" t="n">
        <v>168</v>
      </c>
      <c r="AH89" s="253" t="n">
        <v>184</v>
      </c>
      <c r="AI89" s="253" t="n">
        <v>625</v>
      </c>
      <c r="AJ89" s="253" t="n">
        <v>163</v>
      </c>
      <c r="AK89" s="253" t="n">
        <v>167</v>
      </c>
      <c r="AL89" s="253" t="n">
        <v>167</v>
      </c>
      <c r="AM89" s="253" t="n">
        <v>172</v>
      </c>
      <c r="AN89" s="253" t="n">
        <v>670</v>
      </c>
      <c r="AO89" s="253" t="n">
        <v>160</v>
      </c>
      <c r="AP89" s="253" t="n">
        <v>177</v>
      </c>
      <c r="AQ89" s="253" t="n">
        <v>179</v>
      </c>
      <c r="AR89" s="253" t="n">
        <v>166</v>
      </c>
      <c r="AS89" s="253" t="n">
        <v>683</v>
      </c>
      <c r="AT89" s="253" t="n">
        <v>181</v>
      </c>
      <c r="AU89" s="253" t="n">
        <v>196</v>
      </c>
      <c r="AV89" s="253" t="n">
        <v>203</v>
      </c>
      <c r="AW89" s="253" t="n">
        <v>191</v>
      </c>
      <c r="AX89" s="253" t="n">
        <v>771</v>
      </c>
      <c r="AY89" s="253" t="n">
        <v>229</v>
      </c>
      <c r="AZ89" s="253" t="n">
        <v>336</v>
      </c>
      <c r="BA89" s="253" t="n">
        <v>345</v>
      </c>
      <c r="BB89" s="253" t="n">
        <v>326</v>
      </c>
      <c r="BC89" s="253" t="n">
        <v>1236</v>
      </c>
      <c r="BD89" s="253" t="n">
        <v>343</v>
      </c>
      <c r="BE89" s="253" t="n">
        <v>349</v>
      </c>
      <c r="BF89" s="253" t="n">
        <v>366</v>
      </c>
      <c r="BG89" s="253" t="n">
        <v>386</v>
      </c>
      <c r="BH89" s="253" t="n">
        <v>1443</v>
      </c>
      <c r="BI89" s="253" t="n">
        <v>373</v>
      </c>
      <c r="BJ89" s="253" t="n">
        <v>380</v>
      </c>
      <c r="BK89" s="253" t="n">
        <v>371</v>
      </c>
      <c r="BL89" s="253" t="n">
        <v>387</v>
      </c>
      <c r="BM89" s="253" t="n">
        <v>1512</v>
      </c>
      <c r="BN89" s="253" t="n">
        <v>352</v>
      </c>
      <c r="BO89" s="253" t="n">
        <v>405</v>
      </c>
      <c r="BP89" s="253" t="n">
        <v>416</v>
      </c>
      <c r="BQ89" s="253" t="n">
        <v>377</v>
      </c>
      <c r="BR89" s="253" t="n">
        <v>1549</v>
      </c>
      <c r="BS89" s="253" t="n">
        <v>402</v>
      </c>
      <c r="BT89" s="253" t="n">
        <v>445</v>
      </c>
      <c r="BU89" s="254">
        <f>BU84*BU90</f>
        <v>401.36094705226</v>
      </c>
      <c r="BV89" s="254">
        <f>BV84*BV90</f>
        <v>362.242111731318</v>
      </c>
      <c r="BW89" s="254">
        <f>SUM(BS89:BV89)</f>
        <v>1610.60305878358</v>
      </c>
      <c r="BX89" s="254">
        <f>BX84*BX90</f>
        <v>1795.96469986166</v>
      </c>
      <c r="BY89" s="254">
        <f>BY84*BY90</f>
        <v>1940.02672542913</v>
      </c>
      <c r="BZ89" s="254">
        <f>BZ84*BZ90</f>
        <v>2095.22886346346</v>
      </c>
      <c r="CA89" s="254">
        <f>CA84*CA90</f>
        <v>2262.41066652732</v>
      </c>
      <c r="CB89" s="254">
        <f>CB84*CB90</f>
        <v>2442.47376204134</v>
      </c>
      <c r="CC89" s="19" t="n"/>
      <c r="CE89" s="20">
        <f>IFERROR((CB89/BW89)^(1/5)-1,"n/m")</f>
        <v>0.0868466660716012</v>
      </c>
      <c r="CF89" s="20">
        <f>IFERROR((BR89/AS89)^(1/5)-1,"n/m")</f>
        <v>0.177948064232017</v>
      </c>
      <c r="CG89" s="20">
        <f>IFERROR((BR89/T89)^(1/10)-1,"n/m")</f>
        <v>0.179585694136739</v>
      </c>
      <c r="CH89" s="20" t="str">
        <f>IFERROR((BR89/C89)^(1/15)-1,"n/m")</f>
        <v>n/m</v>
      </c>
      <c r="CK89" s="25" t="inlineStr">
        <is>
          <t xml:space="preserve">  2027E</t>
        </is>
      </c>
      <c r="CL89" s="33">
        <f>CM89+$CL$88</f>
        <v>0.485</v>
      </c>
      <c r="CM89" s="42" t="n">
        <v>0.475</v>
      </c>
      <c r="CN89" s="33">
        <f>CM89+$CN$88</f>
        <v>0.455</v>
      </c>
    </row>
    <row r="90" ht="15" customHeight="1" s="251">
      <c r="B90" s="25" t="inlineStr">
        <is>
          <t xml:space="preserve">  Adjusted operating margin %</t>
        </is>
      </c>
      <c r="C90" s="215">
        <f>IF(AND(ISNUMBER(C89),ISNUMBER(C84)),IFERROR(C89/C84,""),"")</f>
      </c>
      <c r="D90" s="215">
        <f>IF(AND(ISNUMBER(D89),ISNUMBER(D84)),IFERROR(D89/D84,""),"")</f>
        <v>0.207565470417071</v>
      </c>
      <c r="E90" s="215">
        <f>IF(AND(ISNUMBER(E89),ISNUMBER(E84)),IFERROR(E89/E84,""),"")</f>
        <v>0.202846975088968</v>
      </c>
      <c r="F90" s="215">
        <f>IF(AND(ISNUMBER(F89),ISNUMBER(F84)),IFERROR(F89/F84,""),"")</f>
        <v>0.194444444444444</v>
      </c>
      <c r="G90" s="215">
        <f>IF(AND(ISNUMBER(G89),ISNUMBER(G84)),IFERROR(G89/G84,""),"")</f>
        <v>0.191637630662021</v>
      </c>
      <c r="H90" s="215">
        <f>IF(AND(ISNUMBER(H89),ISNUMBER(H84)),IFERROR(H89/H84,""),"")</f>
        <v>0.201365187713311</v>
      </c>
      <c r="I90" s="215">
        <f>IF(AND(ISNUMBER(I89),ISNUMBER(I84)),IFERROR(I89/I84,""),"")</f>
        <v>0.179401993355482</v>
      </c>
      <c r="J90" s="215">
        <f>IF(AND(ISNUMBER(J89),ISNUMBER(J84)),IFERROR(J89/J84,""),"")</f>
        <v>0.191452991452991</v>
      </c>
      <c r="K90" s="215">
        <f>IF(AND(ISNUMBER(K89),ISNUMBER(K84)),IFERROR(K89/K84,""),"")</f>
        <v>0.176079734219269</v>
      </c>
      <c r="L90" s="215">
        <f>IF(AND(ISNUMBER(L89),ISNUMBER(L84)),IFERROR(L89/L84,""),"")</f>
        <v>0.175895765472313</v>
      </c>
      <c r="M90" s="215">
        <f>IF(AND(ISNUMBER(M89),ISNUMBER(M84)),IFERROR(M89/M84,""),"")</f>
        <v>0.218649517684887</v>
      </c>
      <c r="N90" s="215">
        <f>IF(AND(ISNUMBER(N89),ISNUMBER(N84)),IFERROR(N89/N84,""),"")</f>
        <v>0.19496855345912</v>
      </c>
      <c r="O90" s="215">
        <f>IF(AND(ISNUMBER(O89),ISNUMBER(O84)),IFERROR(O89/O84,""),"")</f>
        <v>0.191592562651576</v>
      </c>
      <c r="P90" s="215">
        <f>IF(AND(ISNUMBER(P89),ISNUMBER(P84)),IFERROR(P89/P84,""),"")</f>
        <v>0.196875</v>
      </c>
      <c r="Q90" s="215">
        <f>IF(AND(ISNUMBER(Q89),ISNUMBER(Q84)),IFERROR(Q89/Q84,""),"")</f>
        <v>0.228395061728395</v>
      </c>
      <c r="R90" s="215">
        <f>IF(AND(ISNUMBER(R89),ISNUMBER(R84)),IFERROR(R89/R84,""),"")</f>
        <v>0.23876404494382</v>
      </c>
      <c r="S90" s="215">
        <f>IF(AND(ISNUMBER(S89),ISNUMBER(S84)),IFERROR(S89/S84,""),"")</f>
        <v>0.185185185185185</v>
      </c>
      <c r="T90" s="215">
        <f>IF(AND(ISNUMBER(T89),ISNUMBER(T84)),IFERROR(T89/T84,""),"")</f>
        <v>0.211387900355872</v>
      </c>
      <c r="U90" s="215">
        <f>IF(AND(ISNUMBER(U89),ISNUMBER(U84)),IFERROR(U89/U84,""),"")</f>
        <v>0.302211302211302</v>
      </c>
      <c r="V90" s="215">
        <f>IF(AND(ISNUMBER(V89),ISNUMBER(V84)),IFERROR(V89/V84,""),"")</f>
        <v>0.283653846153846</v>
      </c>
      <c r="W90" s="215">
        <f>IF(AND(ISNUMBER(W89),ISNUMBER(W84)),IFERROR(W89/W84,""),"")</f>
        <v>0.314685314685315</v>
      </c>
      <c r="X90" s="215">
        <f>IF(AND(ISNUMBER(X89),ISNUMBER(X84)),IFERROR(X89/X84,""),"")</f>
      </c>
      <c r="Y90" s="215">
        <f>IF(AND(ISNUMBER(Y89),ISNUMBER(Y84)),IFERROR(Y89/Y84,""),"")</f>
      </c>
      <c r="Z90" s="215">
        <f>IF(AND(ISNUMBER(Z89),ISNUMBER(Z84)),IFERROR(Z89/Z84,""),"")</f>
      </c>
      <c r="AA90" s="215">
        <f>IF(AND(ISNUMBER(AA89),ISNUMBER(AA84)),IFERROR(AA89/AA84,""),"")</f>
      </c>
      <c r="AB90" s="215">
        <f>IF(AND(ISNUMBER(AB89),ISNUMBER(AB84)),IFERROR(AB89/AB84,""),"")</f>
      </c>
      <c r="AC90" s="215">
        <f>IF(AND(ISNUMBER(AC89),ISNUMBER(AC84)),IFERROR(AC89/AC84,""),"")</f>
      </c>
      <c r="AD90" s="215">
        <f>IF(AND(ISNUMBER(AD89),ISNUMBER(AD84)),IFERROR(AD89/AD84,""),"")</f>
      </c>
      <c r="AE90" s="215">
        <f>IF(AND(ISNUMBER(AE89),ISNUMBER(AE84)),IFERROR(AE89/AE84,""),"")</f>
        <v>0.295194508009153</v>
      </c>
      <c r="AF90" s="215">
        <f>IF(AND(ISNUMBER(AF89),ISNUMBER(AF84)),IFERROR(AF89/AF84,""),"")</f>
        <v>0.32662192393736</v>
      </c>
      <c r="AG90" s="215">
        <f>IF(AND(ISNUMBER(AG89),ISNUMBER(AG84)),IFERROR(AG89/AG84,""),"")</f>
        <v>0.362068965517241</v>
      </c>
      <c r="AH90" s="215">
        <f>IF(AND(ISNUMBER(AH89),ISNUMBER(AH84)),IFERROR(AH89/AH84,""),"")</f>
        <v>0.384937238493724</v>
      </c>
      <c r="AI90" s="215">
        <f>IF(AND(ISNUMBER(AI89),ISNUMBER(AI84)),IFERROR(AI89/AI84,""),"")</f>
        <v>0.340971085651937</v>
      </c>
      <c r="AJ90" s="215">
        <f>IF(AND(ISNUMBER(AJ89),ISNUMBER(AJ84)),IFERROR(AJ89/AJ84,""),"")</f>
        <v>0.338174273858921</v>
      </c>
      <c r="AK90" s="215">
        <f>IF(AND(ISNUMBER(AK89),ISNUMBER(AK84)),IFERROR(AK89/AK84,""),"")</f>
        <v>0.342915811088296</v>
      </c>
      <c r="AL90" s="215">
        <f>IF(AND(ISNUMBER(AL89),ISNUMBER(AL84)),IFERROR(AL89/AL84,""),"")</f>
        <v>0.342213114754098</v>
      </c>
      <c r="AM90" s="215">
        <f>IF(AND(ISNUMBER(AM89),ISNUMBER(AM84)),IFERROR(AM89/AM84,""),"")</f>
        <v>0.342629482071713</v>
      </c>
      <c r="AN90" s="215">
        <f>IF(AND(ISNUMBER(AN89),ISNUMBER(AN84)),IFERROR(AN89/AN84,""),"")</f>
        <v>0.3420112302195</v>
      </c>
      <c r="AO90" s="215">
        <f>IF(AND(ISNUMBER(AO89),ISNUMBER(AO84)),IFERROR(AO89/AO84,""),"")</f>
        <v>0.308285163776493</v>
      </c>
      <c r="AP90" s="215">
        <f>IF(AND(ISNUMBER(AP89),ISNUMBER(AP84)),IFERROR(AP89/AP84,""),"")</f>
        <v>0.343023255813954</v>
      </c>
      <c r="AQ90" s="215">
        <f>IF(AND(ISNUMBER(AQ89),ISNUMBER(AQ84)),IFERROR(AQ89/AQ84,""),"")</f>
        <v>0.337735849056604</v>
      </c>
      <c r="AR90" s="215">
        <f>IF(AND(ISNUMBER(AR89),ISNUMBER(AR84)),IFERROR(AR89/AR84,""),"")</f>
        <v>0.306273062730627</v>
      </c>
      <c r="AS90" s="215">
        <f>IF(AND(ISNUMBER(AS89),ISNUMBER(AS84)),IFERROR(AS89/AS84,""),"")</f>
        <v>0.324311490978158</v>
      </c>
      <c r="AT90" s="215">
        <f>IF(AND(ISNUMBER(AT89),ISNUMBER(AT84)),IFERROR(AT89/AT84,""),"")</f>
        <v>0.335807050092764</v>
      </c>
      <c r="AU90" s="215">
        <f>IF(AND(ISNUMBER(AU89),ISNUMBER(AU84)),IFERROR(AU89/AU84,""),"")</f>
        <v>0.353153153153153</v>
      </c>
      <c r="AV90" s="215">
        <f>IF(AND(ISNUMBER(AV89),ISNUMBER(AV84)),IFERROR(AV89/AV84,""),"")</f>
        <v>0.356140350877193</v>
      </c>
      <c r="AW90" s="215">
        <f>IF(AND(ISNUMBER(AW89),ISNUMBER(AW84)),IFERROR(AW89/AW84,""),"")</f>
        <v>0.327054794520548</v>
      </c>
      <c r="AX90" s="215">
        <f>IF(AND(ISNUMBER(AX89),ISNUMBER(AX84)),IFERROR(AX89/AX84,""),"")</f>
        <v>0.343124165554072</v>
      </c>
      <c r="AY90" s="215">
        <f>IF(AND(ISNUMBER(AY89),ISNUMBER(AY84)),IFERROR(AY89/AY84,""),"")</f>
        <v>0.314993122420908</v>
      </c>
      <c r="AZ90" s="215">
        <f>IF(AND(ISNUMBER(AZ89),ISNUMBER(AZ84)),IFERROR(AZ89/AZ84,""),"")</f>
        <v>0.32621359223301</v>
      </c>
      <c r="BA90" s="215">
        <f>IF(AND(ISNUMBER(BA89),ISNUMBER(BA84)),IFERROR(BA89/BA84,""),"")</f>
        <v>0.339566929133858</v>
      </c>
      <c r="BB90" s="215">
        <f>IF(AND(ISNUMBER(BB89),ISNUMBER(BB84)),IFERROR(BB89/BB84,""),"")</f>
        <v>0.314368370298939</v>
      </c>
      <c r="BC90" s="215">
        <f>IF(AND(ISNUMBER(BC89),ISNUMBER(BC84)),IFERROR(BC89/BC84,""),"")</f>
        <v>0.324324324324324</v>
      </c>
      <c r="BD90" s="215">
        <f>IF(AND(ISNUMBER(BD89),ISNUMBER(BD84)),IFERROR(BD89/BD84,""),"")</f>
        <v>0.320261437908497</v>
      </c>
      <c r="BE90" s="215">
        <f>IF(AND(ISNUMBER(BE89),ISNUMBER(BE84)),IFERROR(BE89/BE84,""),"")</f>
        <v>0.323447636700649</v>
      </c>
      <c r="BF90" s="215">
        <f>IF(AND(ISNUMBER(BF89),ISNUMBER(BF84)),IFERROR(BF89/BF84,""),"")</f>
        <v>0.333030027297543</v>
      </c>
      <c r="BG90" s="215">
        <f>IF(AND(ISNUMBER(BG89),ISNUMBER(BG84)),IFERROR(BG89/BG84,""),"")</f>
        <v>0.342502218278616</v>
      </c>
      <c r="BH90" s="215">
        <f>IF(AND(ISNUMBER(BH89),ISNUMBER(BH84)),IFERROR(BH89/BH84,""),"")</f>
        <v>0.329753199268739</v>
      </c>
      <c r="BI90" s="215">
        <f>IF(AND(ISNUMBER(BI89),ISNUMBER(BI84)),IFERROR(BI89/BI84,""),"")</f>
        <v>0.32661996497373</v>
      </c>
      <c r="BJ90" s="215">
        <f>IF(AND(ISNUMBER(BJ89),ISNUMBER(BJ84)),IFERROR(BJ89/BJ84,""),"")</f>
        <v>0.329004329004329</v>
      </c>
      <c r="BK90" s="215">
        <f>IF(AND(ISNUMBER(BK89),ISNUMBER(BK84)),IFERROR(BK89/BK84,""),"")</f>
        <v>0.319277108433735</v>
      </c>
      <c r="BL90" s="215">
        <f>IF(AND(ISNUMBER(BL89),ISNUMBER(BL84)),IFERROR(BL89/BL84,""),"")</f>
        <v>0.326306913996627</v>
      </c>
      <c r="BM90" s="215">
        <f>IF(AND(ISNUMBER(BM89),ISNUMBER(BM84)),IFERROR(BM89/BM84,""),"")</f>
        <v>0.32551130247578</v>
      </c>
      <c r="BN90" s="215">
        <f>IF(AND(ISNUMBER(BN89),ISNUMBER(BN84)),IFERROR(BN89/BN84,""),"")</f>
        <v>0.311229000884173</v>
      </c>
      <c r="BO90" s="215">
        <f>IF(AND(ISNUMBER(BO89),ISNUMBER(BO84)),IFERROR(BO89/BO84,""),"")</f>
        <v>0.347639484978541</v>
      </c>
      <c r="BP90" s="215">
        <f>IF(AND(ISNUMBER(BP89),ISNUMBER(BP84)),IFERROR(BP89/BP84,""),"")</f>
        <v>0.351648351648352</v>
      </c>
      <c r="BQ90" s="215">
        <f>IF(AND(ISNUMBER(BQ89),ISNUMBER(BQ84)),IFERROR(BQ89/BQ84,""),"")</f>
        <v>0.311312964492155</v>
      </c>
      <c r="BR90" s="215">
        <f>IF(AND(ISNUMBER(BR89),ISNUMBER(BR84)),IFERROR(BR89/BR84,""),"")</f>
        <v>0.330277185501066</v>
      </c>
      <c r="BS90" s="215">
        <f>IF(AND(ISNUMBER(BS89),ISNUMBER(BS84)),IFERROR(BS89/BS84,""),"")</f>
        <v>0.32843137254902</v>
      </c>
      <c r="BT90" s="215">
        <f>IF(AND(ISNUMBER(BT89),ISNUMBER(BT84)),IFERROR(BT89/BT84,""),"")</f>
        <v>0.360323886639676</v>
      </c>
      <c r="BU90" s="256">
        <f>BU91+$BW$159</f>
        <v>0.340992087852609</v>
      </c>
      <c r="BV90" s="256">
        <f>BV91+$BW$159</f>
        <v>0.300656700696413</v>
      </c>
      <c r="BW90" s="256">
        <f>IF(AND(ISNUMBER(BW89),ISNUMBER(BW84)),IFERROR(BW89/BW84,""),"")</f>
        <v>0.332709064301061</v>
      </c>
      <c r="BX90" s="256">
        <f>CHOOSE(MATCH($CC$2,{"Bull","Base","Bear"},0),$CL$95,$CM$95,$CN$95)</f>
        <v>0.35</v>
      </c>
      <c r="BY90" s="256">
        <f>CHOOSE(MATCH($CC$2,{"Bull","Base","Bear"},0),$CL$96,$CM$96,$CN$96)</f>
        <v>0.355</v>
      </c>
      <c r="BZ90" s="256">
        <f>CHOOSE(MATCH($CC$2,{"Bull","Base","Bear"},0),$CL$97,$CM$97,$CN$97)</f>
        <v>0.36</v>
      </c>
      <c r="CA90" s="256">
        <f>CHOOSE(MATCH($CC$2,{"Bull","Base","Bear"},0),$CL$98,$CM$98,$CN$98)</f>
        <v>0.365</v>
      </c>
      <c r="CB90" s="256">
        <f>CHOOSE(MATCH($CC$2,{"Bull","Base","Bear"},0),$CL$99,$CM$99,$CN$99)</f>
        <v>0.37</v>
      </c>
      <c r="CC90" s="153" t="n"/>
      <c r="CE90" s="37">
        <f>IFERROR(AVERAGE(BX90,BY90,BZ90,CA90,CB90),"n/m")</f>
        <v>0.36</v>
      </c>
      <c r="CF90" s="37">
        <f>IFERROR(AVERAGE(AX90,BC90,BH90,BM90,BR90),"n/m")</f>
        <v>0.330598035424796</v>
      </c>
      <c r="CG90" s="37">
        <f>IFERROR(AVERAGE(Y90,AD90,AI90,AN90,AS90,AX90,BC90,BH90,BM90,BR90),"n/m")</f>
        <v>0.332535497996697</v>
      </c>
      <c r="CH90" s="37">
        <f>IFERROR(AVERAGE(C90,D90,E90,J90,O90,T90,Y90,AD90,AI90,AN90,AS90,AX90,BC90,BH90,BM90,BR90),"n/m")</f>
        <v>0.281933067995389</v>
      </c>
      <c r="CK90" s="25" t="inlineStr">
        <is>
          <t xml:space="preserve">  2028E</t>
        </is>
      </c>
      <c r="CL90" s="33">
        <f>CM90+$CL$88</f>
        <v>0.49</v>
      </c>
      <c r="CM90" s="42" t="n">
        <v>0.48</v>
      </c>
      <c r="CN90" s="33">
        <f>CM90+$CN$88</f>
        <v>0.46</v>
      </c>
    </row>
    <row r="91" ht="15" customHeight="1" s="251">
      <c r="B91" s="25" t="inlineStr">
        <is>
          <t xml:space="preserve">  Q3–Q4/26E margin before EPS calibration (prior-year quarter + 1H-26 y/y drift)</t>
        </is>
      </c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  <c r="AP91" s="36" t="n"/>
      <c r="AQ91" s="36" t="n"/>
      <c r="AR91" s="36" t="n"/>
      <c r="AS91" s="36" t="n"/>
      <c r="AT91" s="36" t="n"/>
      <c r="AU91" s="36" t="n"/>
      <c r="AV91" s="36" t="n"/>
      <c r="AW91" s="36" t="n"/>
      <c r="AX91" s="36" t="n"/>
      <c r="AY91" s="36" t="n"/>
      <c r="AZ91" s="36" t="n"/>
      <c r="BA91" s="36" t="n"/>
      <c r="BB91" s="36" t="n"/>
      <c r="BC91" s="36" t="n"/>
      <c r="BD91" s="36" t="n"/>
      <c r="BE91" s="36" t="n"/>
      <c r="BF91" s="36" t="n"/>
      <c r="BG91" s="36" t="n"/>
      <c r="BH91" s="36" t="n"/>
      <c r="BI91" s="36" t="n"/>
      <c r="BJ91" s="36" t="n"/>
      <c r="BK91" s="36" t="n"/>
      <c r="BL91" s="36" t="n"/>
      <c r="BM91" s="36" t="n"/>
      <c r="BN91" s="36" t="n"/>
      <c r="BO91" s="36" t="n"/>
      <c r="BP91" s="36" t="n"/>
      <c r="BQ91" s="36" t="n"/>
      <c r="BR91" s="36" t="n"/>
      <c r="BS91" s="36" t="n"/>
      <c r="BT91" s="36" t="n"/>
      <c r="BU91" s="256">
        <f>BP90+IFERROR(SUM(BS89:BT89)/SUM(BS84:BT84)-SUM(BN89:BO89)/SUM(BN84:BO84),0)</f>
        <v>0.366393481888825</v>
      </c>
      <c r="BV91" s="256">
        <f>BQ90+IFERROR(SUM(BS89:BT89)/SUM(BS84:BT84)-SUM(BN89:BO89)/SUM(BN84:BO84),0)</f>
        <v>0.326058094732629</v>
      </c>
      <c r="BW91" s="24" t="n"/>
      <c r="BX91" s="46" t="n"/>
      <c r="BY91" s="46" t="n"/>
      <c r="BZ91" s="46" t="n"/>
      <c r="CA91" s="46" t="n"/>
      <c r="CB91" s="46" t="n"/>
      <c r="CC91" s="19" t="n"/>
      <c r="CK91" s="25" t="inlineStr">
        <is>
          <t xml:space="preserve">  2029E</t>
        </is>
      </c>
      <c r="CL91" s="33">
        <f>CM91+$CL$88</f>
        <v>0.495</v>
      </c>
      <c r="CM91" s="42" t="n">
        <v>0.485</v>
      </c>
      <c r="CN91" s="33">
        <f>CM91+$CN$88</f>
        <v>0.465</v>
      </c>
    </row>
    <row r="92" ht="15" customHeight="1" s="251">
      <c r="B92" s="25" t="inlineStr">
        <is>
          <t xml:space="preserve">  Incremental adjusted margin (Δ adjusted OP / Δ revenue)</t>
        </is>
      </c>
      <c r="C92" s="36" t="n"/>
      <c r="D92" s="215">
        <f>IFERROR((D89-C89)/(D84-C84),"")</f>
        <v>1.86086956521739</v>
      </c>
      <c r="E92" s="215">
        <f>IFERROR((E89-D89)/(E84-D84),"")</f>
        <v>0.150537634408602</v>
      </c>
      <c r="F92" s="36" t="n"/>
      <c r="G92" s="36" t="n"/>
      <c r="H92" s="36" t="n"/>
      <c r="I92" s="36" t="n"/>
      <c r="J92" s="215">
        <f>IFERROR((J89-E89)/(J84-E84),"")</f>
        <v>-0.0869565217391304</v>
      </c>
      <c r="K92" s="215">
        <f>IFERROR((K89-F89)/(K84-F84),"")</f>
        <v>-0.230769230769231</v>
      </c>
      <c r="L92" s="215">
        <f>IFERROR((L89-G89)/(L84-G84),"")</f>
        <v>-0.05</v>
      </c>
      <c r="M92" s="215">
        <f>IFERROR((M89-H89)/(M84-H84),"")</f>
        <v>0.5</v>
      </c>
      <c r="N92" s="215">
        <f>IFERROR((N89-I89)/(N84-I84),"")</f>
        <v>0.470588235294118</v>
      </c>
      <c r="O92" s="215">
        <f>IFERROR((O89-J89)/(O84-J84),"")</f>
        <v>0.194029850746269</v>
      </c>
      <c r="P92" s="215">
        <f>IFERROR((P89-K89)/(P84-K84),"")</f>
        <v>0.526315789473684</v>
      </c>
      <c r="Q92" s="215">
        <f>IFERROR((Q89-L89)/(Q84-L84),"")</f>
        <v>1.17647058823529</v>
      </c>
      <c r="R92" s="215">
        <f>IFERROR((R89-M89)/(R84-M84),"")</f>
        <v>0.377777777777778</v>
      </c>
      <c r="S92" s="215">
        <f>IFERROR((S89-N89)/(S84-N84),"")</f>
        <v>0.149425287356322</v>
      </c>
      <c r="T92" s="215">
        <f>IFERROR((T89-O89)/(T84-O84),"")</f>
        <v>0.357142857142857</v>
      </c>
      <c r="U92" s="215">
        <f>IFERROR((U89-P89)/(U84-P84),"")</f>
        <v>0.689655172413793</v>
      </c>
      <c r="V92" s="215">
        <f>IFERROR((V89-Q89)/(V84-Q84),"")</f>
        <v>0.478260869565217</v>
      </c>
      <c r="W92" s="215">
        <f>IFERROR((W89-R89)/(W84-R84),"")</f>
        <v>0.684931506849315</v>
      </c>
      <c r="X92" s="215">
        <f>IFERROR((X89-S89)/(X84-S84),"")</f>
        <v>-37.5</v>
      </c>
      <c r="Y92" s="215">
        <f>IFERROR((Y89-T89)/(Y84-T84),"")</f>
        <v>-1.16929133858268</v>
      </c>
      <c r="Z92" s="215">
        <f>IFERROR((Z89-U89)/(Z84-U84),"")</f>
        <v>24.6</v>
      </c>
      <c r="AA92" s="215">
        <f>IFERROR((AA89-V89)/(AA84-V84),"")</f>
        <v>59</v>
      </c>
      <c r="AB92" s="215">
        <f>IFERROR((AB89-W89)/(AB84-W84),"")</f>
        <v>19.2857142857143</v>
      </c>
      <c r="AC92" s="215">
        <f>IFERROR((AC89-X89)/(AC84-X84),"")</f>
        <v>0</v>
      </c>
      <c r="AD92" s="215">
        <f>IFERROR((AD89-Y89)/(AD84-Y84),"")</f>
        <v>0</v>
      </c>
      <c r="AE92" s="215">
        <f>IFERROR((AE89-Z89)/(AE84-Z84),"")</f>
        <v>3.68571428571429</v>
      </c>
      <c r="AF92" s="215">
        <f>IFERROR((AF89-AA89)/(AF84-AA84),"")</f>
        <v>4.42424242424242</v>
      </c>
      <c r="AG92" s="215">
        <f>IFERROR((AG89-AB89)/(AG84-AB84),"")</f>
        <v>4</v>
      </c>
      <c r="AH92" s="215">
        <f>IFERROR((AH89-AC89)/(AH84-AC84),"")</f>
        <v>4.8421052631579</v>
      </c>
      <c r="AI92" s="215">
        <f>IFERROR((AI89-AD89)/(AI84-AD84),"")</f>
        <v>4.03225806451613</v>
      </c>
      <c r="AJ92" s="215">
        <f>IFERROR((AJ89-AE89)/(AJ84-AE84),"")</f>
        <v>0.755555555555556</v>
      </c>
      <c r="AK92" s="215">
        <f>IFERROR((AK89-AF89)/(AK84-AF84),"")</f>
        <v>0.525</v>
      </c>
      <c r="AL92" s="215">
        <f>IFERROR((AL89-AG89)/(AL84-AG84),"")</f>
        <v>-0.0416666666666667</v>
      </c>
      <c r="AM92" s="215">
        <f>IFERROR((AM89-AH89)/(AM84-AH84),"")</f>
        <v>-0.5</v>
      </c>
      <c r="AN92" s="215">
        <f>IFERROR((AN89-AI89)/(AN84-AI84),"")</f>
        <v>0.357142857142857</v>
      </c>
      <c r="AO92" s="215">
        <f>IFERROR((AO89-AJ89)/(AO84-AJ84),"")</f>
        <v>-0.0810810810810811</v>
      </c>
      <c r="AP92" s="215">
        <f>IFERROR((AP89-AK89)/(AP84-AK84),"")</f>
        <v>0.344827586206897</v>
      </c>
      <c r="AQ92" s="215">
        <f>IFERROR((AQ89-AL89)/(AQ84-AL84),"")</f>
        <v>0.285714285714286</v>
      </c>
      <c r="AR92" s="215">
        <f>IFERROR((AR89-AM89)/(AR84-AM84),"")</f>
        <v>-0.15</v>
      </c>
      <c r="AS92" s="215">
        <f>IFERROR((AS89-AN89)/(AS84-AN84),"")</f>
        <v>0.0884353741496599</v>
      </c>
      <c r="AT92" s="215">
        <f>IFERROR((AT89-AO89)/(AT84-AO84),"")</f>
        <v>1.05</v>
      </c>
      <c r="AU92" s="215">
        <f>IFERROR((AU89-AP89)/(AU84-AP84),"")</f>
        <v>0.487179487179487</v>
      </c>
      <c r="AV92" s="215">
        <f>IFERROR((AV89-AQ89)/(AV84-AQ84),"")</f>
        <v>0.6</v>
      </c>
      <c r="AW92" s="215">
        <f>IFERROR((AW89-AR89)/(AW84-AR84),"")</f>
        <v>0.595238095238095</v>
      </c>
      <c r="AX92" s="215">
        <f>IFERROR((AX89-AS89)/(AX84-AS84),"")</f>
        <v>0.624113475177305</v>
      </c>
      <c r="AY92" s="215">
        <f>IFERROR((AY89-AT89)/(AY84-AT84),"")</f>
        <v>0.25531914893617</v>
      </c>
      <c r="AZ92" s="215">
        <f>IFERROR((AZ89-AU89)/(AZ84-AU84),"")</f>
        <v>0.294736842105263</v>
      </c>
      <c r="BA92" s="215">
        <f>IFERROR((BA89-AV89)/(BA84-AV84),"")</f>
        <v>0.318385650224215</v>
      </c>
      <c r="BB92" s="215">
        <f>IFERROR((BB89-AW89)/(BB84-AW84),"")</f>
        <v>0.298013245033113</v>
      </c>
      <c r="BC92" s="215">
        <f>IFERROR((BC89-AX89)/(BC84-AX84),"")</f>
        <v>0.297314578005115</v>
      </c>
      <c r="BD92" s="215">
        <f>IFERROR((BD89-AY89)/(BD84-AY84),"")</f>
        <v>0.331395348837209</v>
      </c>
      <c r="BE92" s="215">
        <f>IFERROR((BE89-AZ89)/(BE84-AZ84),"")</f>
        <v>0.26530612244898</v>
      </c>
      <c r="BF92" s="215">
        <f>IFERROR((BF89-BA89)/(BF84-BA84),"")</f>
        <v>0.253012048192771</v>
      </c>
      <c r="BG92" s="215">
        <f>IFERROR((BG89-BB89)/(BG84-BB84),"")</f>
        <v>0.666666666666667</v>
      </c>
      <c r="BH92" s="215">
        <f>IFERROR((BH89-BC89)/(BH84-BC84),"")</f>
        <v>0.366371681415929</v>
      </c>
      <c r="BI92" s="215">
        <f>IFERROR((BI89-BD89)/(BI84-BD84),"")</f>
        <v>0.422535211267606</v>
      </c>
      <c r="BJ92" s="215">
        <f>IFERROR((BJ89-BE89)/(BJ84-BE84),"")</f>
        <v>0.407894736842105</v>
      </c>
      <c r="BK92" s="215">
        <f>IFERROR((BK89-BF89)/(BK84-BF84),"")</f>
        <v>0.0793650793650794</v>
      </c>
      <c r="BL92" s="215">
        <f>IFERROR((BL89-BG89)/(BL84-BG84),"")</f>
        <v>0.0169491525423729</v>
      </c>
      <c r="BM92" s="215">
        <f>IFERROR((BM89-BH89)/(BM84-BH84),"")</f>
        <v>0.256505576208178</v>
      </c>
      <c r="BN92" s="215">
        <f>IFERROR((BN89-BI89)/(BN84-BI84),"")</f>
        <v>1.90909090909091</v>
      </c>
      <c r="BO92" s="215">
        <f>IFERROR((BO89-BJ89)/(BO84-BJ84),"")</f>
        <v>2.5</v>
      </c>
      <c r="BP92" s="215">
        <f>IFERROR((BP89-BK89)/(BP84-BK84),"")</f>
        <v>2.14285714285714</v>
      </c>
      <c r="BQ92" s="215">
        <f>IFERROR((BQ89-BL89)/(BQ84-BL84),"")</f>
        <v>-0.4</v>
      </c>
      <c r="BR92" s="215">
        <f>IFERROR((BR89-BM89)/(BR84-BM84),"")</f>
        <v>0.822222222222222</v>
      </c>
      <c r="BS92" s="215">
        <f>IFERROR((BS89-BN89)/(BS84-BN84),"")</f>
        <v>0.537634408602151</v>
      </c>
      <c r="BT92" s="215">
        <f>IFERROR((BT89-BO89)/(BT84-BO84),"")</f>
        <v>0.571428571428571</v>
      </c>
      <c r="BU92" s="256">
        <f>IFERROR((BU89-BP89)/(BU84-BP84),"")</f>
        <v>2.45575772139094</v>
      </c>
      <c r="BV92" s="256">
        <f>IFERROR((BV89-BQ89)/(BV84-BQ84),"")</f>
        <v>2.39432925729944</v>
      </c>
      <c r="BW92" s="256">
        <f>IFERROR((BW89-BR89)/(BW84-BR84),"")</f>
        <v>0.408304731694739</v>
      </c>
      <c r="BX92" s="256">
        <f>IFERROR((BX89-BW89)/(BX84-BW84),"")</f>
        <v>0.638182261648986</v>
      </c>
      <c r="BY92" s="256">
        <f>IFERROR((BY89-BX89)/(BY84-BX84),"")</f>
        <v>0.431923076923077</v>
      </c>
      <c r="BZ92" s="256">
        <f>IFERROR((BZ89-BY89)/(BZ84-BY84),"")</f>
        <v>0.436923076923077</v>
      </c>
      <c r="CA92" s="256">
        <f>IFERROR((CA89-BZ89)/(CA84-BZ84),"")</f>
        <v>0.441923076923077</v>
      </c>
      <c r="CB92" s="256">
        <f>IFERROR((CB89-CA89)/(CB84-CA84),"")</f>
        <v>0.446923076923077</v>
      </c>
      <c r="CC92" s="153" t="n"/>
      <c r="CK92" s="25" t="inlineStr">
        <is>
          <t xml:space="preserve">  2030E</t>
        </is>
      </c>
      <c r="CL92" s="33">
        <f>CM92+$CL$88</f>
        <v>0.5</v>
      </c>
      <c r="CM92" s="42" t="n">
        <v>0.49</v>
      </c>
      <c r="CN92" s="33">
        <f>CM92+$CN$88</f>
        <v>0.47</v>
      </c>
    </row>
    <row r="93" ht="15" customHeight="1" s="251">
      <c r="B93" s="156" t="inlineStr">
        <is>
          <t xml:space="preserve">  Memo: Market Intelligence — operating profit (GAAP, as reported)</t>
        </is>
      </c>
      <c r="C93" s="253" t="n">
        <v>171</v>
      </c>
      <c r="D93" s="253" t="n">
        <v>214</v>
      </c>
      <c r="E93" s="253" t="n">
        <v>208</v>
      </c>
      <c r="F93" s="253" t="n">
        <v>56</v>
      </c>
      <c r="G93" s="253" t="n">
        <v>55</v>
      </c>
      <c r="H93" s="253" t="n">
        <v>54</v>
      </c>
      <c r="I93" s="253" t="n">
        <v>46</v>
      </c>
      <c r="J93" s="253" t="n">
        <v>211</v>
      </c>
      <c r="K93" s="253" t="n">
        <v>53</v>
      </c>
      <c r="L93" s="253" t="n">
        <v>54</v>
      </c>
      <c r="M93" s="253" t="n">
        <v>64</v>
      </c>
      <c r="N93" s="253" t="n">
        <v>56</v>
      </c>
      <c r="O93" s="253" t="n">
        <v>228</v>
      </c>
      <c r="P93" s="253" t="n">
        <v>63</v>
      </c>
      <c r="Q93" s="253" t="n">
        <v>63</v>
      </c>
      <c r="R93" s="253" t="n">
        <v>53</v>
      </c>
      <c r="S93" s="253" t="n">
        <v>50</v>
      </c>
      <c r="T93" s="253" t="n">
        <v>228</v>
      </c>
      <c r="U93" s="253" t="n">
        <v>81</v>
      </c>
      <c r="V93" s="253" t="n">
        <v>93</v>
      </c>
      <c r="W93" s="253" t="n">
        <v>112</v>
      </c>
      <c r="X93" s="34" t="n"/>
      <c r="Y93" s="34" t="n"/>
      <c r="Z93" s="34" t="n"/>
      <c r="AA93" s="34" t="n"/>
      <c r="AB93" s="34" t="n"/>
      <c r="AC93" s="34" t="n"/>
      <c r="AD93" s="34" t="n"/>
      <c r="AE93" s="253" t="n">
        <v>112</v>
      </c>
      <c r="AF93" s="253" t="n">
        <v>128</v>
      </c>
      <c r="AG93" s="253" t="n">
        <v>148</v>
      </c>
      <c r="AH93" s="253" t="n">
        <v>161</v>
      </c>
      <c r="AI93" s="253" t="n">
        <v>545</v>
      </c>
      <c r="AJ93" s="253" t="n">
        <v>145</v>
      </c>
      <c r="AK93" s="253" t="n">
        <v>147</v>
      </c>
      <c r="AL93" s="253" t="n">
        <v>171</v>
      </c>
      <c r="AM93" s="253" t="n">
        <v>145</v>
      </c>
      <c r="AN93" s="253" t="n">
        <v>607</v>
      </c>
      <c r="AO93" s="253" t="n">
        <v>147</v>
      </c>
      <c r="AP93" s="253" t="n">
        <v>159</v>
      </c>
      <c r="AQ93" s="253" t="n">
        <v>164</v>
      </c>
      <c r="AR93" s="253" t="n">
        <v>120</v>
      </c>
      <c r="AS93" s="253" t="n">
        <v>589</v>
      </c>
      <c r="AT93" s="253" t="n">
        <v>166</v>
      </c>
      <c r="AU93" s="253" t="n">
        <v>180</v>
      </c>
      <c r="AV93" s="253" t="n">
        <v>187</v>
      </c>
      <c r="AW93" s="253" t="n">
        <v>169</v>
      </c>
      <c r="AX93" s="253" t="n">
        <v>703</v>
      </c>
      <c r="AY93" s="253" t="n">
        <v>1489</v>
      </c>
      <c r="AZ93" s="253" t="n">
        <v>702</v>
      </c>
      <c r="BA93" s="253" t="n">
        <v>174</v>
      </c>
      <c r="BB93" s="253" t="n">
        <v>122</v>
      </c>
      <c r="BC93" s="253" t="n">
        <v>2488</v>
      </c>
      <c r="BD93" s="253" t="n">
        <v>229</v>
      </c>
      <c r="BE93" s="253" t="n">
        <v>176</v>
      </c>
      <c r="BF93" s="253" t="n">
        <v>195</v>
      </c>
      <c r="BG93" s="253" t="n">
        <v>115</v>
      </c>
      <c r="BH93" s="253" t="n">
        <v>714</v>
      </c>
      <c r="BI93" s="253" t="n">
        <v>189</v>
      </c>
      <c r="BJ93" s="253" t="n">
        <v>230</v>
      </c>
      <c r="BK93" s="253" t="n">
        <v>230</v>
      </c>
      <c r="BL93" s="253" t="n">
        <v>226</v>
      </c>
      <c r="BM93" s="253" t="n">
        <v>875</v>
      </c>
      <c r="BN93" s="34" t="n"/>
      <c r="BO93" s="34" t="n"/>
      <c r="BP93" s="34" t="n"/>
      <c r="BQ93" s="34" t="n"/>
      <c r="BR93" s="34" t="n"/>
      <c r="BS93" s="34" t="n"/>
      <c r="BT93" s="34" t="n"/>
      <c r="BU93" s="153" t="n"/>
      <c r="BV93" s="153" t="n"/>
      <c r="BW93" s="153" t="n"/>
      <c r="BX93" s="153" t="n"/>
      <c r="BY93" s="153" t="n"/>
      <c r="BZ93" s="153" t="n"/>
      <c r="CA93" s="153" t="n"/>
      <c r="CB93" s="153" t="n"/>
      <c r="CC93" s="153" t="n"/>
      <c r="CK93" s="25" t="inlineStr">
        <is>
          <t xml:space="preserve">  2031E</t>
        </is>
      </c>
      <c r="CL93" s="33">
        <f>CM93+$CL$88</f>
        <v>0.5</v>
      </c>
      <c r="CM93" s="42" t="n">
        <v>0.49</v>
      </c>
      <c r="CN93" s="33">
        <f>CM93+$CN$88</f>
        <v>0.47</v>
      </c>
    </row>
    <row r="94" ht="15" customHeight="1" s="251">
      <c r="CK94" s="15" t="inlineStr">
        <is>
          <t>MI_M (Market Intelligence adjusted margin)</t>
        </is>
      </c>
      <c r="CL94" s="41" t="n">
        <v>0.01</v>
      </c>
      <c r="CM94" s="21" t="inlineStr">
        <is>
          <t>Δ →</t>
        </is>
      </c>
      <c r="CN94" s="41" t="n">
        <v>-0.02</v>
      </c>
      <c r="CO94" s="13" t="inlineStr">
        <is>
          <t>FY2025 recast 33.0%, 1H-26 34.4%; new operating model (Jul-2026).</t>
        </is>
      </c>
    </row>
    <row r="95" ht="15" customHeight="1" s="251">
      <c r="B95" s="14" t="inlineStr">
        <is>
          <t>Spun-off, divested &amp; legacy divisions (history only; not in the forecast)</t>
        </is>
      </c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  <c r="AO95" s="14" t="n"/>
      <c r="AP95" s="14" t="n"/>
      <c r="AQ95" s="14" t="n"/>
      <c r="AR95" s="14" t="n"/>
      <c r="AS95" s="14" t="n"/>
      <c r="AT95" s="14" t="n"/>
      <c r="AU95" s="14" t="n"/>
      <c r="AV95" s="14" t="n"/>
      <c r="AW95" s="14" t="n"/>
      <c r="AX95" s="14" t="n"/>
      <c r="AY95" s="14" t="n"/>
      <c r="AZ95" s="14" t="n"/>
      <c r="BA95" s="14" t="n"/>
      <c r="BB95" s="14" t="n"/>
      <c r="BC95" s="14" t="n"/>
      <c r="BD95" s="14" t="n"/>
      <c r="BE95" s="14" t="n"/>
      <c r="BF95" s="14" t="n"/>
      <c r="BG95" s="14" t="n"/>
      <c r="BH95" s="14" t="n"/>
      <c r="BI95" s="14" t="n"/>
      <c r="BJ95" s="14" t="n"/>
      <c r="BK95" s="14" t="n"/>
      <c r="BL95" s="14" t="n"/>
      <c r="BM95" s="14" t="n"/>
      <c r="BN95" s="14" t="n"/>
      <c r="BO95" s="14" t="n"/>
      <c r="BP95" s="14" t="n"/>
      <c r="BQ95" s="14" t="n"/>
      <c r="BR95" s="14" t="n"/>
      <c r="BS95" s="14" t="n"/>
      <c r="BT95" s="14" t="n"/>
      <c r="BU95" s="14" t="n"/>
      <c r="BV95" s="14" t="n"/>
      <c r="BW95" s="14" t="n"/>
      <c r="BX95" s="14" t="n"/>
      <c r="BY95" s="14" t="n"/>
      <c r="BZ95" s="14" t="n"/>
      <c r="CA95" s="14" t="n"/>
      <c r="CB95" s="14" t="n"/>
      <c r="CC95" s="15" t="inlineStr">
        <is>
          <t>LEGACY — Mobility (Mar-2022 to Jun-2026; spun off as Mobility Global, 1-Jul-2026), Engineering Solutions (Mar-2022 to May-2023, sold to KKR), combined MCI 2016–17</t>
        </is>
      </c>
      <c r="CK95" s="25" t="inlineStr">
        <is>
          <t xml:space="preserve">  2027E</t>
        </is>
      </c>
      <c r="CL95" s="33">
        <f>CM95+$CL$94</f>
        <v>0.36</v>
      </c>
      <c r="CM95" s="42" t="n">
        <v>0.35</v>
      </c>
      <c r="CN95" s="33">
        <f>CM95+$CN$94</f>
        <v>0.33</v>
      </c>
    </row>
    <row r="96" ht="15" customHeight="1" s="251">
      <c r="B96" s="25" t="inlineStr">
        <is>
          <t xml:space="preserve">  Mobility (spun off 1-Jul-2026; 2025+ pro forma excludes it) — revenue</t>
        </is>
      </c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34" t="n"/>
      <c r="X96" s="34" t="n"/>
      <c r="Y96" s="34" t="n"/>
      <c r="Z96" s="34" t="n"/>
      <c r="AA96" s="34" t="n"/>
      <c r="AB96" s="34" t="n"/>
      <c r="AC96" s="34" t="n"/>
      <c r="AD96" s="34" t="n"/>
      <c r="AE96" s="34" t="n"/>
      <c r="AF96" s="34" t="n"/>
      <c r="AG96" s="34" t="n"/>
      <c r="AH96" s="34" t="n"/>
      <c r="AI96" s="34" t="n"/>
      <c r="AJ96" s="34" t="n"/>
      <c r="AK96" s="34" t="n"/>
      <c r="AL96" s="34" t="n"/>
      <c r="AM96" s="34" t="n"/>
      <c r="AN96" s="34" t="n"/>
      <c r="AO96" s="34" t="n"/>
      <c r="AP96" s="34" t="n"/>
      <c r="AQ96" s="34" t="n"/>
      <c r="AR96" s="34" t="n"/>
      <c r="AS96" s="34" t="n"/>
      <c r="AT96" s="34" t="n"/>
      <c r="AU96" s="34" t="n"/>
      <c r="AV96" s="34" t="n"/>
      <c r="AW96" s="34" t="n"/>
      <c r="AX96" s="34" t="n"/>
      <c r="AY96" s="253" t="n">
        <v>115</v>
      </c>
      <c r="AZ96" s="253" t="n">
        <v>337</v>
      </c>
      <c r="BA96" s="253" t="n">
        <v>346</v>
      </c>
      <c r="BB96" s="253" t="n">
        <v>345</v>
      </c>
      <c r="BC96" s="253" t="n">
        <v>1142</v>
      </c>
      <c r="BD96" s="253" t="n">
        <v>358</v>
      </c>
      <c r="BE96" s="253" t="n">
        <v>369</v>
      </c>
      <c r="BF96" s="253" t="n">
        <v>379</v>
      </c>
      <c r="BG96" s="253" t="n">
        <v>377</v>
      </c>
      <c r="BH96" s="253" t="n">
        <v>1484</v>
      </c>
      <c r="BI96" s="253" t="n">
        <v>386</v>
      </c>
      <c r="BJ96" s="253" t="n">
        <v>400</v>
      </c>
      <c r="BK96" s="253" t="n">
        <v>412</v>
      </c>
      <c r="BL96" s="253" t="n">
        <v>411</v>
      </c>
      <c r="BM96" s="253" t="n">
        <v>1609</v>
      </c>
      <c r="BN96" s="34" t="n"/>
      <c r="BO96" s="34" t="n"/>
      <c r="BP96" s="34" t="n"/>
      <c r="BQ96" s="34" t="n"/>
      <c r="BR96" s="34" t="n"/>
      <c r="BS96" s="34" t="n"/>
      <c r="BT96" s="34" t="n"/>
      <c r="BU96" s="254">
        <f>0</f>
        <v>0</v>
      </c>
      <c r="BV96" s="254">
        <f>0</f>
        <v>0</v>
      </c>
      <c r="BW96" s="254">
        <f>SUM(BS96:BV96)</f>
        <v>0</v>
      </c>
      <c r="BX96" s="254">
        <f>0</f>
        <v>0</v>
      </c>
      <c r="BY96" s="254">
        <f>0</f>
        <v>0</v>
      </c>
      <c r="BZ96" s="254">
        <f>0</f>
        <v>0</v>
      </c>
      <c r="CA96" s="254">
        <f>0</f>
        <v>0</v>
      </c>
      <c r="CB96" s="254">
        <f>0</f>
        <v>0</v>
      </c>
      <c r="CC96" s="19" t="n"/>
      <c r="CK96" s="25" t="inlineStr">
        <is>
          <t xml:space="preserve">  2028E</t>
        </is>
      </c>
      <c r="CL96" s="33">
        <f>CM96+$CL$94</f>
        <v>0.365</v>
      </c>
      <c r="CM96" s="42" t="n">
        <v>0.355</v>
      </c>
      <c r="CN96" s="33">
        <f>CM96+$CN$94</f>
        <v>0.335</v>
      </c>
    </row>
    <row r="97" ht="15" customHeight="1" s="251">
      <c r="B97" s="25" t="inlineStr">
        <is>
          <t xml:space="preserve">  Mobility (spun off 1-Jul-2026; 2025+ pro forma excludes it) — adjusted OP</t>
        </is>
      </c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  <c r="X97" s="34" t="n"/>
      <c r="Y97" s="34" t="n"/>
      <c r="Z97" s="34" t="n"/>
      <c r="AA97" s="34" t="n"/>
      <c r="AB97" s="34" t="n"/>
      <c r="AC97" s="34" t="n"/>
      <c r="AD97" s="34" t="n"/>
      <c r="AE97" s="34" t="n"/>
      <c r="AF97" s="34" t="n"/>
      <c r="AG97" s="34" t="n"/>
      <c r="AH97" s="34" t="n"/>
      <c r="AI97" s="34" t="n"/>
      <c r="AJ97" s="34" t="n"/>
      <c r="AK97" s="34" t="n"/>
      <c r="AL97" s="34" t="n"/>
      <c r="AM97" s="34" t="n"/>
      <c r="AN97" s="34" t="n"/>
      <c r="AO97" s="34" t="n"/>
      <c r="AP97" s="34" t="n"/>
      <c r="AQ97" s="34" t="n"/>
      <c r="AR97" s="34" t="n"/>
      <c r="AS97" s="34" t="n"/>
      <c r="AT97" s="34" t="n"/>
      <c r="AU97" s="34" t="n"/>
      <c r="AV97" s="34" t="n"/>
      <c r="AW97" s="34" t="n"/>
      <c r="AX97" s="34" t="n"/>
      <c r="AY97" s="253" t="n">
        <v>43</v>
      </c>
      <c r="AZ97" s="253" t="n">
        <v>141</v>
      </c>
      <c r="BA97" s="253" t="n">
        <v>146</v>
      </c>
      <c r="BB97" s="253" t="n">
        <v>117</v>
      </c>
      <c r="BC97" s="253" t="n">
        <v>447</v>
      </c>
      <c r="BD97" s="253" t="n">
        <v>140</v>
      </c>
      <c r="BE97" s="253" t="n">
        <v>149</v>
      </c>
      <c r="BF97" s="253" t="n">
        <v>160</v>
      </c>
      <c r="BG97" s="253" t="n">
        <v>127</v>
      </c>
      <c r="BH97" s="253" t="n">
        <v>576</v>
      </c>
      <c r="BI97" s="253" t="n">
        <v>147</v>
      </c>
      <c r="BJ97" s="253" t="n">
        <v>164</v>
      </c>
      <c r="BK97" s="253" t="n">
        <v>174</v>
      </c>
      <c r="BL97" s="253" t="n">
        <v>143</v>
      </c>
      <c r="BM97" s="253" t="n">
        <v>627</v>
      </c>
      <c r="BN97" s="34" t="n"/>
      <c r="BO97" s="34" t="n"/>
      <c r="BP97" s="34" t="n"/>
      <c r="BQ97" s="34" t="n"/>
      <c r="BR97" s="34" t="n"/>
      <c r="BS97" s="34" t="n"/>
      <c r="BT97" s="34" t="n"/>
      <c r="BU97" s="254">
        <f>0</f>
        <v>0</v>
      </c>
      <c r="BV97" s="254">
        <f>0</f>
        <v>0</v>
      </c>
      <c r="BW97" s="254">
        <f>SUM(BS97:BV97)</f>
        <v>0</v>
      </c>
      <c r="BX97" s="254">
        <f>0</f>
        <v>0</v>
      </c>
      <c r="BY97" s="254">
        <f>0</f>
        <v>0</v>
      </c>
      <c r="BZ97" s="254">
        <f>0</f>
        <v>0</v>
      </c>
      <c r="CA97" s="254">
        <f>0</f>
        <v>0</v>
      </c>
      <c r="CB97" s="254">
        <f>0</f>
        <v>0</v>
      </c>
      <c r="CC97" s="19" t="n"/>
      <c r="CK97" s="25" t="inlineStr">
        <is>
          <t xml:space="preserve">  2029E</t>
        </is>
      </c>
      <c r="CL97" s="33">
        <f>CM97+$CL$94</f>
        <v>0.37</v>
      </c>
      <c r="CM97" s="42" t="n">
        <v>0.36</v>
      </c>
      <c r="CN97" s="33">
        <f>CM97+$CN$94</f>
        <v>0.34</v>
      </c>
    </row>
    <row r="98" ht="15" customHeight="1" s="251">
      <c r="B98" s="156" t="inlineStr">
        <is>
          <t xml:space="preserve">    Memo: operating profit (GAAP)</t>
        </is>
      </c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  <c r="X98" s="34" t="n"/>
      <c r="Y98" s="34" t="n"/>
      <c r="Z98" s="34" t="n"/>
      <c r="AA98" s="34" t="n"/>
      <c r="AB98" s="34" t="n"/>
      <c r="AC98" s="34" t="n"/>
      <c r="AD98" s="34" t="n"/>
      <c r="AE98" s="34" t="n"/>
      <c r="AF98" s="34" t="n"/>
      <c r="AG98" s="34" t="n"/>
      <c r="AH98" s="34" t="n"/>
      <c r="AI98" s="34" t="n"/>
      <c r="AJ98" s="34" t="n"/>
      <c r="AK98" s="34" t="n"/>
      <c r="AL98" s="34" t="n"/>
      <c r="AM98" s="34" t="n"/>
      <c r="AN98" s="34" t="n"/>
      <c r="AO98" s="34" t="n"/>
      <c r="AP98" s="34" t="n"/>
      <c r="AQ98" s="34" t="n"/>
      <c r="AR98" s="34" t="n"/>
      <c r="AS98" s="34" t="n"/>
      <c r="AT98" s="34" t="n"/>
      <c r="AU98" s="34" t="n"/>
      <c r="AV98" s="34" t="n"/>
      <c r="AW98" s="34" t="n"/>
      <c r="AX98" s="34" t="n"/>
      <c r="AY98" s="253" t="n">
        <v>18</v>
      </c>
      <c r="AZ98" s="253" t="n">
        <v>58</v>
      </c>
      <c r="BA98" s="253" t="n">
        <v>90</v>
      </c>
      <c r="BB98" s="253" t="n">
        <v>48</v>
      </c>
      <c r="BC98" s="253" t="n">
        <v>213</v>
      </c>
      <c r="BD98" s="253" t="n">
        <v>64</v>
      </c>
      <c r="BE98" s="253" t="n">
        <v>68</v>
      </c>
      <c r="BF98" s="253" t="n">
        <v>80</v>
      </c>
      <c r="BG98" s="253" t="n">
        <v>46</v>
      </c>
      <c r="BH98" s="253" t="n">
        <v>260</v>
      </c>
      <c r="BI98" s="253" t="n">
        <v>70</v>
      </c>
      <c r="BJ98" s="253" t="n">
        <v>80</v>
      </c>
      <c r="BK98" s="253" t="n">
        <v>97</v>
      </c>
      <c r="BL98" s="253" t="n">
        <v>65</v>
      </c>
      <c r="BM98" s="253" t="n">
        <v>312</v>
      </c>
      <c r="BN98" s="34" t="n"/>
      <c r="BO98" s="34" t="n"/>
      <c r="BP98" s="34" t="n"/>
      <c r="BQ98" s="34" t="n"/>
      <c r="BR98" s="34" t="n"/>
      <c r="BS98" s="34" t="n"/>
      <c r="BT98" s="34" t="n"/>
      <c r="BU98" s="153" t="n"/>
      <c r="BV98" s="153" t="n"/>
      <c r="BW98" s="153" t="n"/>
      <c r="BX98" s="153" t="n"/>
      <c r="BY98" s="153" t="n"/>
      <c r="BZ98" s="153" t="n"/>
      <c r="CA98" s="153" t="n"/>
      <c r="CB98" s="153" t="n"/>
      <c r="CC98" s="153" t="n"/>
      <c r="CK98" s="25" t="inlineStr">
        <is>
          <t xml:space="preserve">  2030E</t>
        </is>
      </c>
      <c r="CL98" s="33">
        <f>CM98+$CL$94</f>
        <v>0.375</v>
      </c>
      <c r="CM98" s="42" t="n">
        <v>0.365</v>
      </c>
      <c r="CN98" s="33">
        <f>CM98+$CN$94</f>
        <v>0.345</v>
      </c>
    </row>
    <row r="99" ht="15" customHeight="1" s="251">
      <c r="B99" s="25" t="inlineStr">
        <is>
          <t xml:space="preserve">  Engineering Solutions (sold 2-May-2023) — revenue</t>
        </is>
      </c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34" t="n"/>
      <c r="Z99" s="34" t="n"/>
      <c r="AA99" s="34" t="n"/>
      <c r="AB99" s="34" t="n"/>
      <c r="AC99" s="34" t="n"/>
      <c r="AD99" s="34" t="n"/>
      <c r="AE99" s="34" t="n"/>
      <c r="AF99" s="34" t="n"/>
      <c r="AG99" s="34" t="n"/>
      <c r="AH99" s="34" t="n"/>
      <c r="AI99" s="34" t="n"/>
      <c r="AJ99" s="34" t="n"/>
      <c r="AK99" s="34" t="n"/>
      <c r="AL99" s="34" t="n"/>
      <c r="AM99" s="34" t="n"/>
      <c r="AN99" s="34" t="n"/>
      <c r="AO99" s="34" t="n"/>
      <c r="AP99" s="34" t="n"/>
      <c r="AQ99" s="34" t="n"/>
      <c r="AR99" s="34" t="n"/>
      <c r="AS99" s="34" t="n"/>
      <c r="AT99" s="34" t="n"/>
      <c r="AU99" s="34" t="n"/>
      <c r="AV99" s="34" t="n"/>
      <c r="AW99" s="34" t="n"/>
      <c r="AX99" s="34" t="n"/>
      <c r="AY99" s="253" t="n">
        <v>33</v>
      </c>
      <c r="AZ99" s="253" t="n">
        <v>96</v>
      </c>
      <c r="BA99" s="253" t="n">
        <v>95</v>
      </c>
      <c r="BB99" s="253" t="n">
        <v>99</v>
      </c>
      <c r="BC99" s="253" t="n">
        <v>323</v>
      </c>
      <c r="BD99" s="253" t="n">
        <v>100</v>
      </c>
      <c r="BE99" s="253" t="n">
        <v>33</v>
      </c>
      <c r="BF99" s="253" t="n">
        <v>0</v>
      </c>
      <c r="BG99" s="253" t="n">
        <v>0</v>
      </c>
      <c r="BH99" s="253" t="n">
        <v>133</v>
      </c>
      <c r="BI99" s="253" t="n">
        <v>0</v>
      </c>
      <c r="BJ99" s="253" t="n">
        <v>0</v>
      </c>
      <c r="BK99" s="253" t="n">
        <v>0</v>
      </c>
      <c r="BL99" s="253" t="n">
        <v>0</v>
      </c>
      <c r="BM99" s="253" t="n">
        <v>0</v>
      </c>
      <c r="BN99" s="34" t="n"/>
      <c r="BO99" s="34" t="n"/>
      <c r="BP99" s="34" t="n"/>
      <c r="BQ99" s="34" t="n"/>
      <c r="BR99" s="34" t="n"/>
      <c r="BS99" s="34" t="n"/>
      <c r="BT99" s="34" t="n"/>
      <c r="BU99" s="254">
        <f>0</f>
        <v>0</v>
      </c>
      <c r="BV99" s="254">
        <f>0</f>
        <v>0</v>
      </c>
      <c r="BW99" s="254">
        <f>SUM(BS99:BV99)</f>
        <v>0</v>
      </c>
      <c r="BX99" s="254">
        <f>0</f>
        <v>0</v>
      </c>
      <c r="BY99" s="254">
        <f>0</f>
        <v>0</v>
      </c>
      <c r="BZ99" s="254">
        <f>0</f>
        <v>0</v>
      </c>
      <c r="CA99" s="254">
        <f>0</f>
        <v>0</v>
      </c>
      <c r="CB99" s="254">
        <f>0</f>
        <v>0</v>
      </c>
      <c r="CC99" s="19" t="n"/>
      <c r="CK99" s="25" t="inlineStr">
        <is>
          <t xml:space="preserve">  2031E</t>
        </is>
      </c>
      <c r="CL99" s="33">
        <f>CM99+$CL$94</f>
        <v>0.38</v>
      </c>
      <c r="CM99" s="42" t="n">
        <v>0.37</v>
      </c>
      <c r="CN99" s="33">
        <f>CM99+$CN$94</f>
        <v>0.35</v>
      </c>
    </row>
    <row r="100" ht="15" customHeight="1" s="251">
      <c r="B100" s="25" t="inlineStr">
        <is>
          <t xml:space="preserve">  Engineering Solutions (sold 2-May-2023) — adjusted OP</t>
        </is>
      </c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34" t="n"/>
      <c r="Y100" s="34" t="n"/>
      <c r="Z100" s="34" t="n"/>
      <c r="AA100" s="34" t="n"/>
      <c r="AB100" s="34" t="n"/>
      <c r="AC100" s="34" t="n"/>
      <c r="AD100" s="34" t="n"/>
      <c r="AE100" s="34" t="n"/>
      <c r="AF100" s="34" t="n"/>
      <c r="AG100" s="34" t="n"/>
      <c r="AH100" s="34" t="n"/>
      <c r="AI100" s="34" t="n"/>
      <c r="AJ100" s="34" t="n"/>
      <c r="AK100" s="34" t="n"/>
      <c r="AL100" s="34" t="n"/>
      <c r="AM100" s="34" t="n"/>
      <c r="AN100" s="34" t="n"/>
      <c r="AO100" s="34" t="n"/>
      <c r="AP100" s="34" t="n"/>
      <c r="AQ100" s="34" t="n"/>
      <c r="AR100" s="34" t="n"/>
      <c r="AS100" s="34" t="n"/>
      <c r="AT100" s="34" t="n"/>
      <c r="AU100" s="34" t="n"/>
      <c r="AV100" s="34" t="n"/>
      <c r="AW100" s="34" t="n"/>
      <c r="AX100" s="34" t="n"/>
      <c r="AY100" s="253" t="n">
        <v>6</v>
      </c>
      <c r="AZ100" s="253" t="n">
        <v>17</v>
      </c>
      <c r="BA100" s="253" t="n">
        <v>17</v>
      </c>
      <c r="BB100" s="253" t="n">
        <v>15</v>
      </c>
      <c r="BC100" s="253" t="n">
        <v>55</v>
      </c>
      <c r="BD100" s="253" t="n">
        <v>16</v>
      </c>
      <c r="BE100" s="253" t="n">
        <v>4</v>
      </c>
      <c r="BF100" s="253" t="n">
        <v>0</v>
      </c>
      <c r="BG100" s="253" t="n">
        <v>0</v>
      </c>
      <c r="BH100" s="253" t="n">
        <v>20</v>
      </c>
      <c r="BI100" s="253" t="n">
        <v>0</v>
      </c>
      <c r="BJ100" s="253" t="n">
        <v>0</v>
      </c>
      <c r="BK100" s="253" t="n">
        <v>0</v>
      </c>
      <c r="BL100" s="253" t="n">
        <v>0</v>
      </c>
      <c r="BM100" s="253" t="n">
        <v>0</v>
      </c>
      <c r="BN100" s="34" t="n"/>
      <c r="BO100" s="34" t="n"/>
      <c r="BP100" s="34" t="n"/>
      <c r="BQ100" s="34" t="n"/>
      <c r="BR100" s="34" t="n"/>
      <c r="BS100" s="34" t="n"/>
      <c r="BT100" s="34" t="n"/>
      <c r="BU100" s="254">
        <f>0</f>
        <v>0</v>
      </c>
      <c r="BV100" s="254">
        <f>0</f>
        <v>0</v>
      </c>
      <c r="BW100" s="254">
        <f>SUM(BS100:BV100)</f>
        <v>0</v>
      </c>
      <c r="BX100" s="254">
        <f>0</f>
        <v>0</v>
      </c>
      <c r="BY100" s="254">
        <f>0</f>
        <v>0</v>
      </c>
      <c r="BZ100" s="254">
        <f>0</f>
        <v>0</v>
      </c>
      <c r="CA100" s="254">
        <f>0</f>
        <v>0</v>
      </c>
      <c r="CB100" s="254">
        <f>0</f>
        <v>0</v>
      </c>
      <c r="CC100" s="19" t="n"/>
      <c r="CK100" s="15" t="inlineStr">
        <is>
          <t>M&amp;A_spend (bolt-on acquisitions, $m)</t>
        </is>
      </c>
      <c r="CL100" s="50" t="n">
        <v>500</v>
      </c>
      <c r="CM100" s="21" t="inlineStr">
        <is>
          <t>Δ →</t>
        </is>
      </c>
      <c r="CN100" s="50" t="n">
        <v>-500</v>
      </c>
      <c r="CO100" s="13" t="inlineStr">
        <is>
          <t>Assumption: bolt-ons (With Intelligence ~$1.8bn in 2025, Visible Alpha 2024, small deals 2026). Base $500m p.a.</t>
        </is>
      </c>
    </row>
    <row r="101" ht="15" customHeight="1" s="251">
      <c r="B101" s="156" t="inlineStr">
        <is>
          <t xml:space="preserve">    Memo: operating profit (GAAP)</t>
        </is>
      </c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34" t="n"/>
      <c r="V101" s="34" t="n"/>
      <c r="W101" s="34" t="n"/>
      <c r="X101" s="34" t="n"/>
      <c r="Y101" s="34" t="n"/>
      <c r="Z101" s="34" t="n"/>
      <c r="AA101" s="34" t="n"/>
      <c r="AB101" s="34" t="n"/>
      <c r="AC101" s="34" t="n"/>
      <c r="AD101" s="34" t="n"/>
      <c r="AE101" s="34" t="n"/>
      <c r="AF101" s="34" t="n"/>
      <c r="AG101" s="34" t="n"/>
      <c r="AH101" s="34" t="n"/>
      <c r="AI101" s="34" t="n"/>
      <c r="AJ101" s="34" t="n"/>
      <c r="AK101" s="34" t="n"/>
      <c r="AL101" s="34" t="n"/>
      <c r="AM101" s="34" t="n"/>
      <c r="AN101" s="34" t="n"/>
      <c r="AO101" s="34" t="n"/>
      <c r="AP101" s="34" t="n"/>
      <c r="AQ101" s="34" t="n"/>
      <c r="AR101" s="34" t="n"/>
      <c r="AS101" s="34" t="n"/>
      <c r="AT101" s="34" t="n"/>
      <c r="AU101" s="34" t="n"/>
      <c r="AV101" s="34" t="n"/>
      <c r="AW101" s="34" t="n"/>
      <c r="AX101" s="34" t="n"/>
      <c r="AY101" s="253" t="n">
        <v>1</v>
      </c>
      <c r="AZ101" s="253" t="n">
        <v>1</v>
      </c>
      <c r="BA101" s="253" t="n">
        <v>1</v>
      </c>
      <c r="BB101" s="253" t="n">
        <v>13</v>
      </c>
      <c r="BC101" s="253" t="n">
        <v>15</v>
      </c>
      <c r="BD101" s="253" t="n">
        <v>14</v>
      </c>
      <c r="BE101" s="253" t="n">
        <v>4</v>
      </c>
      <c r="BF101" s="253" t="n">
        <v>0</v>
      </c>
      <c r="BG101" s="253" t="n">
        <v>0</v>
      </c>
      <c r="BH101" s="253" t="n">
        <v>19</v>
      </c>
      <c r="BI101" s="253" t="n">
        <v>0</v>
      </c>
      <c r="BJ101" s="253" t="n">
        <v>0</v>
      </c>
      <c r="BK101" s="253" t="n">
        <v>0</v>
      </c>
      <c r="BL101" s="253" t="n">
        <v>0</v>
      </c>
      <c r="BM101" s="253" t="n">
        <v>0</v>
      </c>
      <c r="BN101" s="34" t="n"/>
      <c r="BO101" s="34" t="n"/>
      <c r="BP101" s="34" t="n"/>
      <c r="BQ101" s="34" t="n"/>
      <c r="BR101" s="34" t="n"/>
      <c r="BS101" s="34" t="n"/>
      <c r="BT101" s="34" t="n"/>
      <c r="BU101" s="153" t="n"/>
      <c r="BV101" s="153" t="n"/>
      <c r="BW101" s="153" t="n"/>
      <c r="BX101" s="153" t="n"/>
      <c r="BY101" s="153" t="n"/>
      <c r="BZ101" s="153" t="n"/>
      <c r="CA101" s="153" t="n"/>
      <c r="CB101" s="153" t="n"/>
      <c r="CC101" s="153" t="n"/>
      <c r="CK101" s="25" t="inlineStr">
        <is>
          <t xml:space="preserve">  2027E</t>
        </is>
      </c>
      <c r="CL101" s="51">
        <f>MAX(0,CM101+$CL$100)</f>
        <v>1000</v>
      </c>
      <c r="CM101" s="26" t="n">
        <v>500</v>
      </c>
      <c r="CN101" s="51">
        <f>MAX(0,CM101+$CN$100)</f>
        <v>0</v>
      </c>
    </row>
    <row r="102" ht="15" customHeight="1" s="251">
      <c r="B102" s="25" t="inlineStr">
        <is>
          <t xml:space="preserve">  Market &amp; Commodities Intelligence (combined segment 2016–17) and other — revenue</t>
        </is>
      </c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  <c r="V102" s="34" t="n"/>
      <c r="W102" s="34" t="n"/>
      <c r="X102" s="253" t="n">
        <v>0</v>
      </c>
      <c r="Y102" s="253" t="n">
        <v>214</v>
      </c>
      <c r="Z102" s="253" t="n">
        <v>0</v>
      </c>
      <c r="AA102" s="253" t="n">
        <v>0</v>
      </c>
      <c r="AB102" s="253" t="n">
        <v>0</v>
      </c>
      <c r="AC102" s="253" t="n">
        <v>0</v>
      </c>
      <c r="AD102" s="253" t="n">
        <v>0</v>
      </c>
      <c r="AE102" s="34" t="n"/>
      <c r="AF102" s="253" t="n">
        <v>5</v>
      </c>
      <c r="AG102" s="253" t="n">
        <v>5</v>
      </c>
      <c r="AH102" s="253" t="n">
        <v>5</v>
      </c>
      <c r="AI102" s="253" t="n">
        <v>15</v>
      </c>
      <c r="AJ102" s="34" t="n"/>
      <c r="AK102" s="34" t="n"/>
      <c r="AL102" s="34" t="n"/>
      <c r="AM102" s="34" t="n"/>
      <c r="AN102" s="34" t="n"/>
      <c r="AO102" s="34" t="n"/>
      <c r="AP102" s="34" t="n"/>
      <c r="AQ102" s="34" t="n"/>
      <c r="AR102" s="34" t="n"/>
      <c r="AS102" s="34" t="n"/>
      <c r="AT102" s="34" t="n"/>
      <c r="AU102" s="34" t="n"/>
      <c r="AV102" s="34" t="n"/>
      <c r="AW102" s="34" t="n"/>
      <c r="AX102" s="34" t="n"/>
      <c r="AY102" s="34" t="n"/>
      <c r="AZ102" s="34" t="n"/>
      <c r="BA102" s="34" t="n"/>
      <c r="BB102" s="34" t="n"/>
      <c r="BC102" s="34" t="n"/>
      <c r="BD102" s="34" t="n"/>
      <c r="BE102" s="34" t="n"/>
      <c r="BF102" s="34" t="n"/>
      <c r="BG102" s="34" t="n"/>
      <c r="BH102" s="34" t="n"/>
      <c r="BI102" s="34" t="n"/>
      <c r="BJ102" s="34" t="n"/>
      <c r="BK102" s="34" t="n"/>
      <c r="BL102" s="34" t="n"/>
      <c r="BM102" s="34" t="n"/>
      <c r="BN102" s="34" t="n"/>
      <c r="BO102" s="34" t="n"/>
      <c r="BP102" s="34" t="n"/>
      <c r="BQ102" s="34" t="n"/>
      <c r="BR102" s="34" t="n"/>
      <c r="BS102" s="34" t="n"/>
      <c r="BT102" s="34" t="n"/>
      <c r="BU102" s="254">
        <f>0</f>
        <v>0</v>
      </c>
      <c r="BV102" s="254">
        <f>0</f>
        <v>0</v>
      </c>
      <c r="BW102" s="254">
        <f>SUM(BS102:BV102)</f>
        <v>0</v>
      </c>
      <c r="BX102" s="254">
        <f>0</f>
        <v>0</v>
      </c>
      <c r="BY102" s="254">
        <f>0</f>
        <v>0</v>
      </c>
      <c r="BZ102" s="254">
        <f>0</f>
        <v>0</v>
      </c>
      <c r="CA102" s="254">
        <f>0</f>
        <v>0</v>
      </c>
      <c r="CB102" s="254">
        <f>0</f>
        <v>0</v>
      </c>
      <c r="CC102" s="19" t="n"/>
      <c r="CK102" s="25" t="inlineStr">
        <is>
          <t xml:space="preserve">  2028E</t>
        </is>
      </c>
      <c r="CL102" s="51">
        <f>MAX(0,CM102+$CL$100)</f>
        <v>1000</v>
      </c>
      <c r="CM102" s="26" t="n">
        <v>500</v>
      </c>
      <c r="CN102" s="51">
        <f>MAX(0,CM102+$CN$100)</f>
        <v>0</v>
      </c>
    </row>
    <row r="103" ht="15" customHeight="1" s="251">
      <c r="B103" s="25" t="inlineStr">
        <is>
          <t xml:space="preserve">  Market &amp; Commodities Intelligence (combined segment 2016–17) and other — adjusted OP</t>
        </is>
      </c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253" t="n">
        <v>206</v>
      </c>
      <c r="Y103" s="253" t="n">
        <v>881</v>
      </c>
      <c r="Z103" s="253" t="n">
        <v>223</v>
      </c>
      <c r="AA103" s="253" t="n">
        <v>227</v>
      </c>
      <c r="AB103" s="253" t="n">
        <v>230</v>
      </c>
      <c r="AC103" s="253" t="n">
        <v>233</v>
      </c>
      <c r="AD103" s="253" t="n">
        <v>913</v>
      </c>
      <c r="AE103" s="34" t="n"/>
      <c r="AF103" s="34" t="n"/>
      <c r="AG103" s="34" t="n"/>
      <c r="AH103" s="34" t="n"/>
      <c r="AI103" s="34" t="n"/>
      <c r="AJ103" s="34" t="n"/>
      <c r="AK103" s="34" t="n"/>
      <c r="AL103" s="34" t="n"/>
      <c r="AM103" s="34" t="n"/>
      <c r="AN103" s="34" t="n"/>
      <c r="AO103" s="34" t="n"/>
      <c r="AP103" s="34" t="n"/>
      <c r="AQ103" s="34" t="n"/>
      <c r="AR103" s="34" t="n"/>
      <c r="AS103" s="34" t="n"/>
      <c r="AT103" s="34" t="n"/>
      <c r="AU103" s="34" t="n"/>
      <c r="AV103" s="34" t="n"/>
      <c r="AW103" s="34" t="n"/>
      <c r="AX103" s="34" t="n"/>
      <c r="AY103" s="34" t="n"/>
      <c r="AZ103" s="34" t="n"/>
      <c r="BA103" s="34" t="n"/>
      <c r="BB103" s="34" t="n"/>
      <c r="BC103" s="34" t="n"/>
      <c r="BD103" s="34" t="n"/>
      <c r="BE103" s="34" t="n"/>
      <c r="BF103" s="34" t="n"/>
      <c r="BG103" s="34" t="n"/>
      <c r="BH103" s="34" t="n"/>
      <c r="BI103" s="34" t="n"/>
      <c r="BJ103" s="34" t="n"/>
      <c r="BK103" s="34" t="n"/>
      <c r="BL103" s="34" t="n"/>
      <c r="BM103" s="34" t="n"/>
      <c r="BN103" s="34" t="n"/>
      <c r="BO103" s="34" t="n"/>
      <c r="BP103" s="34" t="n"/>
      <c r="BQ103" s="34" t="n"/>
      <c r="BR103" s="34" t="n"/>
      <c r="BS103" s="34" t="n"/>
      <c r="BT103" s="34" t="n"/>
      <c r="BU103" s="254">
        <f>0</f>
        <v>0</v>
      </c>
      <c r="BV103" s="254">
        <f>0</f>
        <v>0</v>
      </c>
      <c r="BW103" s="254">
        <f>SUM(BS103:BV103)</f>
        <v>0</v>
      </c>
      <c r="BX103" s="254">
        <f>0</f>
        <v>0</v>
      </c>
      <c r="BY103" s="254">
        <f>0</f>
        <v>0</v>
      </c>
      <c r="BZ103" s="254">
        <f>0</f>
        <v>0</v>
      </c>
      <c r="CA103" s="254">
        <f>0</f>
        <v>0</v>
      </c>
      <c r="CB103" s="254">
        <f>0</f>
        <v>0</v>
      </c>
      <c r="CC103" s="19" t="n"/>
      <c r="CK103" s="25" t="inlineStr">
        <is>
          <t xml:space="preserve">  2029E</t>
        </is>
      </c>
      <c r="CL103" s="51">
        <f>MAX(0,CM103+$CL$100)</f>
        <v>1000</v>
      </c>
      <c r="CM103" s="26" t="n">
        <v>500</v>
      </c>
      <c r="CN103" s="51">
        <f>MAX(0,CM103+$CN$100)</f>
        <v>0</v>
      </c>
    </row>
    <row r="104" ht="15" customHeight="1" s="251">
      <c r="B104" s="156" t="inlineStr">
        <is>
          <t xml:space="preserve">    Memo: operating profit (GAAP)</t>
        </is>
      </c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4" t="n"/>
      <c r="S104" s="34" t="n"/>
      <c r="T104" s="34" t="n"/>
      <c r="U104" s="34" t="n"/>
      <c r="V104" s="34" t="n"/>
      <c r="W104" s="34" t="n"/>
      <c r="X104" s="253" t="n">
        <v>530</v>
      </c>
      <c r="Y104" s="253" t="n">
        <v>1822</v>
      </c>
      <c r="Z104" s="253" t="n">
        <v>186</v>
      </c>
      <c r="AA104" s="253" t="n">
        <v>191</v>
      </c>
      <c r="AB104" s="253" t="n">
        <v>208</v>
      </c>
      <c r="AC104" s="253" t="n">
        <v>208</v>
      </c>
      <c r="AD104" s="253" t="n">
        <v>793</v>
      </c>
      <c r="AE104" s="34" t="n"/>
      <c r="AF104" s="34" t="n"/>
      <c r="AG104" s="34" t="n"/>
      <c r="AH104" s="34" t="n"/>
      <c r="AI104" s="34" t="n"/>
      <c r="AJ104" s="34" t="n"/>
      <c r="AK104" s="34" t="n"/>
      <c r="AL104" s="34" t="n"/>
      <c r="AM104" s="34" t="n"/>
      <c r="AN104" s="34" t="n"/>
      <c r="AO104" s="34" t="n"/>
      <c r="AP104" s="34" t="n"/>
      <c r="AQ104" s="34" t="n"/>
      <c r="AR104" s="34" t="n"/>
      <c r="AS104" s="34" t="n"/>
      <c r="AT104" s="34" t="n"/>
      <c r="AU104" s="34" t="n"/>
      <c r="AV104" s="34" t="n"/>
      <c r="AW104" s="34" t="n"/>
      <c r="AX104" s="34" t="n"/>
      <c r="AY104" s="34" t="n"/>
      <c r="AZ104" s="34" t="n"/>
      <c r="BA104" s="34" t="n"/>
      <c r="BB104" s="34" t="n"/>
      <c r="BC104" s="34" t="n"/>
      <c r="BD104" s="34" t="n"/>
      <c r="BE104" s="34" t="n"/>
      <c r="BF104" s="34" t="n"/>
      <c r="BG104" s="34" t="n"/>
      <c r="BH104" s="34" t="n"/>
      <c r="BI104" s="34" t="n"/>
      <c r="BJ104" s="34" t="n"/>
      <c r="BK104" s="34" t="n"/>
      <c r="BL104" s="34" t="n"/>
      <c r="BM104" s="34" t="n"/>
      <c r="BN104" s="34" t="n"/>
      <c r="BO104" s="34" t="n"/>
      <c r="BP104" s="34" t="n"/>
      <c r="BQ104" s="34" t="n"/>
      <c r="BR104" s="34" t="n"/>
      <c r="BS104" s="34" t="n"/>
      <c r="BT104" s="34" t="n"/>
      <c r="BU104" s="153" t="n"/>
      <c r="BV104" s="153" t="n"/>
      <c r="BW104" s="153" t="n"/>
      <c r="BX104" s="153" t="n"/>
      <c r="BY104" s="153" t="n"/>
      <c r="BZ104" s="153" t="n"/>
      <c r="CA104" s="153" t="n"/>
      <c r="CB104" s="153" t="n"/>
      <c r="CC104" s="153" t="n"/>
      <c r="CK104" s="25" t="inlineStr">
        <is>
          <t xml:space="preserve">  2030E</t>
        </is>
      </c>
      <c r="CL104" s="51">
        <f>MAX(0,CM104+$CL$100)</f>
        <v>1000</v>
      </c>
      <c r="CM104" s="26" t="n">
        <v>500</v>
      </c>
      <c r="CN104" s="51">
        <f>MAX(0,CM104+$CN$100)</f>
        <v>0</v>
      </c>
    </row>
    <row r="105" ht="15" customHeight="1" s="251">
      <c r="B105" s="25" t="inlineStr">
        <is>
          <t xml:space="preserve">  Intersegment elimination (Ratings content licensed to Market Intelligence)</t>
        </is>
      </c>
      <c r="C105" s="253" t="n">
        <v>-56</v>
      </c>
      <c r="D105" s="253" t="n">
        <v>-63</v>
      </c>
      <c r="E105" s="253" t="n">
        <v>-69</v>
      </c>
      <c r="F105" s="253" t="n">
        <v>-19</v>
      </c>
      <c r="G105" s="253" t="n">
        <v>-18</v>
      </c>
      <c r="H105" s="253" t="n">
        <v>-18</v>
      </c>
      <c r="I105" s="253" t="n">
        <v>-19</v>
      </c>
      <c r="J105" s="253" t="n">
        <v>-76</v>
      </c>
      <c r="K105" s="253" t="n">
        <v>-22</v>
      </c>
      <c r="L105" s="253" t="n">
        <v>-21</v>
      </c>
      <c r="M105" s="253" t="n">
        <v>-22</v>
      </c>
      <c r="N105" s="253" t="n">
        <v>-22</v>
      </c>
      <c r="O105" s="253" t="n">
        <v>-86</v>
      </c>
      <c r="P105" s="253" t="n">
        <v>-21</v>
      </c>
      <c r="Q105" s="253" t="n">
        <v>-22</v>
      </c>
      <c r="R105" s="253" t="n">
        <v>-23</v>
      </c>
      <c r="S105" s="253" t="n">
        <v>-24</v>
      </c>
      <c r="T105" s="253" t="n">
        <v>-88</v>
      </c>
      <c r="U105" s="253" t="n">
        <v>-23</v>
      </c>
      <c r="V105" s="253" t="n">
        <v>-24</v>
      </c>
      <c r="W105" s="253" t="n">
        <v>-25</v>
      </c>
      <c r="X105" s="253" t="n">
        <v>-25</v>
      </c>
      <c r="Y105" s="253" t="n">
        <v>-98</v>
      </c>
      <c r="Z105" s="253" t="n">
        <v>-25</v>
      </c>
      <c r="AA105" s="253" t="n">
        <v>-28</v>
      </c>
      <c r="AB105" s="253" t="n">
        <v>-28</v>
      </c>
      <c r="AC105" s="253" t="n">
        <v>-28</v>
      </c>
      <c r="AD105" s="253" t="n">
        <v>-110</v>
      </c>
      <c r="AE105" s="253" t="n">
        <v>-28</v>
      </c>
      <c r="AF105" s="253" t="n">
        <v>-32</v>
      </c>
      <c r="AG105" s="253" t="n">
        <v>-32</v>
      </c>
      <c r="AH105" s="253" t="n">
        <v>-33</v>
      </c>
      <c r="AI105" s="253" t="n">
        <v>-125</v>
      </c>
      <c r="AJ105" s="253" t="n">
        <v>-31</v>
      </c>
      <c r="AK105" s="253" t="n">
        <v>-32</v>
      </c>
      <c r="AL105" s="253" t="n">
        <v>-32</v>
      </c>
      <c r="AM105" s="253" t="n">
        <v>-33</v>
      </c>
      <c r="AN105" s="253" t="n">
        <v>-128</v>
      </c>
      <c r="AO105" s="253" t="n">
        <v>-32</v>
      </c>
      <c r="AP105" s="253" t="n">
        <v>-36</v>
      </c>
      <c r="AQ105" s="253" t="n">
        <v>-34</v>
      </c>
      <c r="AR105" s="253" t="n">
        <v>-36</v>
      </c>
      <c r="AS105" s="253" t="n">
        <v>-137</v>
      </c>
      <c r="AT105" s="253" t="n">
        <v>-35</v>
      </c>
      <c r="AU105" s="253" t="n">
        <v>-36</v>
      </c>
      <c r="AV105" s="253" t="n">
        <v>-37</v>
      </c>
      <c r="AW105" s="253" t="n">
        <v>-37</v>
      </c>
      <c r="AX105" s="253" t="n">
        <v>-146</v>
      </c>
      <c r="AY105" s="253" t="n">
        <v>-39</v>
      </c>
      <c r="AZ105" s="253" t="n">
        <v>-43</v>
      </c>
      <c r="BA105" s="253" t="n">
        <v>-43</v>
      </c>
      <c r="BB105" s="253" t="n">
        <v>-44</v>
      </c>
      <c r="BC105" s="253" t="n">
        <v>-169</v>
      </c>
      <c r="BD105" s="253" t="n">
        <v>-42</v>
      </c>
      <c r="BE105" s="253" t="n">
        <v>-41</v>
      </c>
      <c r="BF105" s="253" t="n">
        <v>-46</v>
      </c>
      <c r="BG105" s="253" t="n">
        <v>-47</v>
      </c>
      <c r="BH105" s="253" t="n">
        <v>-177</v>
      </c>
      <c r="BI105" s="253" t="n">
        <v>-45</v>
      </c>
      <c r="BJ105" s="253" t="n">
        <v>-46</v>
      </c>
      <c r="BK105" s="253" t="n">
        <v>-47</v>
      </c>
      <c r="BL105" s="253" t="n">
        <v>-48</v>
      </c>
      <c r="BM105" s="253" t="n">
        <v>-186</v>
      </c>
      <c r="BN105" s="253" t="n">
        <v>-48</v>
      </c>
      <c r="BO105" s="253" t="n">
        <v>-49</v>
      </c>
      <c r="BP105" s="253" t="n">
        <v>-51</v>
      </c>
      <c r="BQ105" s="253" t="n">
        <v>-53</v>
      </c>
      <c r="BR105" s="253" t="n">
        <v>-200</v>
      </c>
      <c r="BS105" s="253" t="n">
        <v>-52</v>
      </c>
      <c r="BT105" s="253" t="n">
        <v>-53</v>
      </c>
      <c r="BU105" s="254">
        <f>BP105*(1+$BW$106)</f>
        <v>-55.2061855670103</v>
      </c>
      <c r="BV105" s="254">
        <f>BQ105*(1+$BW$106)</f>
        <v>-57.3711340206186</v>
      </c>
      <c r="BW105" s="254">
        <f>SUM(BS105:BV105)</f>
        <v>-217.577319587629</v>
      </c>
      <c r="BX105" s="254">
        <f>BW105*(1+BX85)</f>
        <v>-230.631958762887</v>
      </c>
      <c r="BY105" s="254">
        <f>BX105*(1+BY85)</f>
        <v>-245.623036082474</v>
      </c>
      <c r="BZ105" s="254">
        <f>BY105*(1+BZ85)</f>
        <v>-261.588533427835</v>
      </c>
      <c r="CA105" s="254">
        <f>BZ105*(1+CA85)</f>
        <v>-278.591788100644</v>
      </c>
      <c r="CB105" s="254">
        <f>CA105*(1+CB85)</f>
        <v>-296.700254327186</v>
      </c>
      <c r="CC105" s="19" t="n"/>
      <c r="CK105" s="25" t="inlineStr">
        <is>
          <t xml:space="preserve">  2031E</t>
        </is>
      </c>
      <c r="CL105" s="51">
        <f>MAX(0,CM105+$CL$100)</f>
        <v>1000</v>
      </c>
      <c r="CM105" s="26" t="n">
        <v>500</v>
      </c>
      <c r="CN105" s="51">
        <f>MAX(0,CM105+$CN$100)</f>
        <v>0</v>
      </c>
    </row>
    <row r="106" ht="15" customHeight="1" s="251">
      <c r="B106" s="25" t="inlineStr">
        <is>
          <t xml:space="preserve">  Elimination y/y % (Q3–Q4/26E: 1H-26 y/y; 2027E+: with Market Intelligence revenue)</t>
        </is>
      </c>
      <c r="C106" s="36" t="n"/>
      <c r="D106" s="215">
        <f>IF(AND(ISNUMBER(D105),ISNUMBER(C105)),IFERROR(D105/C105-1,""),"")</f>
        <v>0.125</v>
      </c>
      <c r="E106" s="215">
        <f>IF(AND(ISNUMBER(E105),ISNUMBER(D105)),IFERROR(E105/D105-1,""),"")</f>
        <v>0.0952380952380953</v>
      </c>
      <c r="F106" s="36" t="n"/>
      <c r="G106" s="36" t="n"/>
      <c r="H106" s="36" t="n"/>
      <c r="I106" s="36" t="n"/>
      <c r="J106" s="215">
        <f>IF(AND(ISNUMBER(J105),ISNUMBER(E105)),IFERROR(J105/E105-1,""),"")</f>
        <v>0.101449275362319</v>
      </c>
      <c r="K106" s="215">
        <f>IF(AND(ISNUMBER(K105),ISNUMBER(F105)),IFERROR(K105/F105-1,""),"")</f>
        <v>0.157894736842105</v>
      </c>
      <c r="L106" s="215">
        <f>IF(AND(ISNUMBER(L105),ISNUMBER(G105)),IFERROR(L105/G105-1,""),"")</f>
        <v>0.166666666666667</v>
      </c>
      <c r="M106" s="215">
        <f>IF(AND(ISNUMBER(M105),ISNUMBER(H105)),IFERROR(M105/H105-1,""),"")</f>
        <v>0.222222222222222</v>
      </c>
      <c r="N106" s="215">
        <f>IF(AND(ISNUMBER(N105),ISNUMBER(I105)),IFERROR(N105/I105-1,""),"")</f>
        <v>0.157894736842105</v>
      </c>
      <c r="O106" s="215">
        <f>IF(AND(ISNUMBER(O105),ISNUMBER(J105)),IFERROR(O105/J105-1,""),"")</f>
        <v>0.131578947368421</v>
      </c>
      <c r="P106" s="215">
        <f>IF(AND(ISNUMBER(P105),ISNUMBER(K105)),IFERROR(P105/K105-1,""),"")</f>
        <v>-0.0454545454545454</v>
      </c>
      <c r="Q106" s="215">
        <f>IF(AND(ISNUMBER(Q105),ISNUMBER(L105)),IFERROR(Q105/L105-1,""),"")</f>
        <v>0.0476190476190477</v>
      </c>
      <c r="R106" s="215">
        <f>IF(AND(ISNUMBER(R105),ISNUMBER(M105)),IFERROR(R105/M105-1,""),"")</f>
        <v>0.0454545454545454</v>
      </c>
      <c r="S106" s="215">
        <f>IF(AND(ISNUMBER(S105),ISNUMBER(N105)),IFERROR(S105/N105-1,""),"")</f>
        <v>0.0909090909090908</v>
      </c>
      <c r="T106" s="215">
        <f>IF(AND(ISNUMBER(T105),ISNUMBER(O105)),IFERROR(T105/O105-1,""),"")</f>
        <v>0.0232558139534884</v>
      </c>
      <c r="U106" s="215">
        <f>IF(AND(ISNUMBER(U105),ISNUMBER(P105)),IFERROR(U105/P105-1,""),"")</f>
        <v>0.0952380952380953</v>
      </c>
      <c r="V106" s="215">
        <f>IF(AND(ISNUMBER(V105),ISNUMBER(Q105)),IFERROR(V105/Q105-1,""),"")</f>
        <v>0.0909090909090908</v>
      </c>
      <c r="W106" s="215">
        <f>IF(AND(ISNUMBER(W105),ISNUMBER(R105)),IFERROR(W105/R105-1,""),"")</f>
        <v>0.0869565217391304</v>
      </c>
      <c r="X106" s="215">
        <f>IF(AND(ISNUMBER(X105),ISNUMBER(S105)),IFERROR(X105/S105-1,""),"")</f>
        <v>0.0416666666666667</v>
      </c>
      <c r="Y106" s="215">
        <f>IF(AND(ISNUMBER(Y105),ISNUMBER(T105)),IFERROR(Y105/T105-1,""),"")</f>
        <v>0.113636363636364</v>
      </c>
      <c r="Z106" s="215">
        <f>IF(AND(ISNUMBER(Z105),ISNUMBER(U105)),IFERROR(Z105/U105-1,""),"")</f>
        <v>0.0869565217391304</v>
      </c>
      <c r="AA106" s="215">
        <f>IF(AND(ISNUMBER(AA105),ISNUMBER(V105)),IFERROR(AA105/V105-1,""),"")</f>
        <v>0.166666666666667</v>
      </c>
      <c r="AB106" s="215">
        <f>IF(AND(ISNUMBER(AB105),ISNUMBER(W105)),IFERROR(AB105/W105-1,""),"")</f>
        <v>0.12</v>
      </c>
      <c r="AC106" s="215">
        <f>IF(AND(ISNUMBER(AC105),ISNUMBER(X105)),IFERROR(AC105/X105-1,""),"")</f>
        <v>0.12</v>
      </c>
      <c r="AD106" s="215">
        <f>IF(AND(ISNUMBER(AD105),ISNUMBER(Y105)),IFERROR(AD105/Y105-1,""),"")</f>
        <v>0.122448979591837</v>
      </c>
      <c r="AE106" s="215">
        <f>IF(AND(ISNUMBER(AE105),ISNUMBER(Z105)),IFERROR(AE105/Z105-1,""),"")</f>
        <v>0.12</v>
      </c>
      <c r="AF106" s="215">
        <f>IF(AND(ISNUMBER(AF105),ISNUMBER(AA105)),IFERROR(AF105/AA105-1,""),"")</f>
        <v>0.142857142857143</v>
      </c>
      <c r="AG106" s="215">
        <f>IF(AND(ISNUMBER(AG105),ISNUMBER(AB105)),IFERROR(AG105/AB105-1,""),"")</f>
        <v>0.142857142857143</v>
      </c>
      <c r="AH106" s="215">
        <f>IF(AND(ISNUMBER(AH105),ISNUMBER(AC105)),IFERROR(AH105/AC105-1,""),"")</f>
        <v>0.178571428571429</v>
      </c>
      <c r="AI106" s="215">
        <f>IF(AND(ISNUMBER(AI105),ISNUMBER(AD105)),IFERROR(AI105/AD105-1,""),"")</f>
        <v>0.136363636363636</v>
      </c>
      <c r="AJ106" s="215">
        <f>IF(AND(ISNUMBER(AJ105),ISNUMBER(AE105)),IFERROR(AJ105/AE105-1,""),"")</f>
        <v>0.107142857142857</v>
      </c>
      <c r="AK106" s="215">
        <f>IF(AND(ISNUMBER(AK105),ISNUMBER(AF105)),IFERROR(AK105/AF105-1,""),"")</f>
        <v>0</v>
      </c>
      <c r="AL106" s="215">
        <f>IF(AND(ISNUMBER(AL105),ISNUMBER(AG105)),IFERROR(AL105/AG105-1,""),"")</f>
        <v>0</v>
      </c>
      <c r="AM106" s="215">
        <f>IF(AND(ISNUMBER(AM105),ISNUMBER(AH105)),IFERROR(AM105/AH105-1,""),"")</f>
        <v>0</v>
      </c>
      <c r="AN106" s="215">
        <f>IF(AND(ISNUMBER(AN105),ISNUMBER(AI105)),IFERROR(AN105/AI105-1,""),"")</f>
        <v>0.024</v>
      </c>
      <c r="AO106" s="215">
        <f>IF(AND(ISNUMBER(AO105),ISNUMBER(AJ105)),IFERROR(AO105/AJ105-1,""),"")</f>
        <v>0.032258064516129</v>
      </c>
      <c r="AP106" s="215">
        <f>IF(AND(ISNUMBER(AP105),ISNUMBER(AK105)),IFERROR(AP105/AK105-1,""),"")</f>
        <v>0.125</v>
      </c>
      <c r="AQ106" s="215">
        <f>IF(AND(ISNUMBER(AQ105),ISNUMBER(AL105)),IFERROR(AQ105/AL105-1,""),"")</f>
        <v>0.0625</v>
      </c>
      <c r="AR106" s="215">
        <f>IF(AND(ISNUMBER(AR105),ISNUMBER(AM105)),IFERROR(AR105/AM105-1,""),"")</f>
        <v>0.0909090909090908</v>
      </c>
      <c r="AS106" s="215">
        <f>IF(AND(ISNUMBER(AS105),ISNUMBER(AN105)),IFERROR(AS105/AN105-1,""),"")</f>
        <v>0.0703125</v>
      </c>
      <c r="AT106" s="215">
        <f>IF(AND(ISNUMBER(AT105),ISNUMBER(AO105)),IFERROR(AT105/AO105-1,""),"")</f>
        <v>0.09375</v>
      </c>
      <c r="AU106" s="215">
        <f>IF(AND(ISNUMBER(AU105),ISNUMBER(AP105)),IFERROR(AU105/AP105-1,""),"")</f>
        <v>0</v>
      </c>
      <c r="AV106" s="215">
        <f>IF(AND(ISNUMBER(AV105),ISNUMBER(AQ105)),IFERROR(AV105/AQ105-1,""),"")</f>
        <v>0.088235294117647</v>
      </c>
      <c r="AW106" s="215">
        <f>IF(AND(ISNUMBER(AW105),ISNUMBER(AR105)),IFERROR(AW105/AR105-1,""),"")</f>
        <v>0.0277777777777777</v>
      </c>
      <c r="AX106" s="215">
        <f>IF(AND(ISNUMBER(AX105),ISNUMBER(AS105)),IFERROR(AX105/AS105-1,""),"")</f>
        <v>0.0656934306569343</v>
      </c>
      <c r="AY106" s="215">
        <f>IF(AND(ISNUMBER(AY105),ISNUMBER(AT105)),IFERROR(AY105/AT105-1,""),"")</f>
        <v>0.114285714285714</v>
      </c>
      <c r="AZ106" s="215">
        <f>IF(AND(ISNUMBER(AZ105),ISNUMBER(AU105)),IFERROR(AZ105/AU105-1,""),"")</f>
        <v>0.194444444444444</v>
      </c>
      <c r="BA106" s="215">
        <f>IF(AND(ISNUMBER(BA105),ISNUMBER(AV105)),IFERROR(BA105/AV105-1,""),"")</f>
        <v>0.162162162162162</v>
      </c>
      <c r="BB106" s="215">
        <f>IF(AND(ISNUMBER(BB105),ISNUMBER(AW105)),IFERROR(BB105/AW105-1,""),"")</f>
        <v>0.189189189189189</v>
      </c>
      <c r="BC106" s="215">
        <f>IF(AND(ISNUMBER(BC105),ISNUMBER(AX105)),IFERROR(BC105/AX105-1,""),"")</f>
        <v>0.157534246575342</v>
      </c>
      <c r="BD106" s="215">
        <f>IF(AND(ISNUMBER(BD105),ISNUMBER(AY105)),IFERROR(BD105/AY105-1,""),"")</f>
        <v>0.0769230769230769</v>
      </c>
      <c r="BE106" s="215">
        <f>IF(AND(ISNUMBER(BE105),ISNUMBER(AZ105)),IFERROR(BE105/AZ105-1,""),"")</f>
        <v>-0.0465116279069767</v>
      </c>
      <c r="BF106" s="215">
        <f>IF(AND(ISNUMBER(BF105),ISNUMBER(BA105)),IFERROR(BF105/BA105-1,""),"")</f>
        <v>0.069767441860465</v>
      </c>
      <c r="BG106" s="215">
        <f>IF(AND(ISNUMBER(BG105),ISNUMBER(BB105)),IFERROR(BG105/BB105-1,""),"")</f>
        <v>0.0681818181818181</v>
      </c>
      <c r="BH106" s="215">
        <f>IF(AND(ISNUMBER(BH105),ISNUMBER(BC105)),IFERROR(BH105/BC105-1,""),"")</f>
        <v>0.0473372781065089</v>
      </c>
      <c r="BI106" s="215">
        <f>IF(AND(ISNUMBER(BI105),ISNUMBER(BD105)),IFERROR(BI105/BD105-1,""),"")</f>
        <v>0.0714285714285714</v>
      </c>
      <c r="BJ106" s="215">
        <f>IF(AND(ISNUMBER(BJ105),ISNUMBER(BE105)),IFERROR(BJ105/BE105-1,""),"")</f>
        <v>0.121951219512195</v>
      </c>
      <c r="BK106" s="215">
        <f>IF(AND(ISNUMBER(BK105),ISNUMBER(BF105)),IFERROR(BK105/BF105-1,""),"")</f>
        <v>0.0217391304347827</v>
      </c>
      <c r="BL106" s="215">
        <f>IF(AND(ISNUMBER(BL105),ISNUMBER(BG105)),IFERROR(BL105/BG105-1,""),"")</f>
        <v>0.0212765957446808</v>
      </c>
      <c r="BM106" s="215">
        <f>IF(AND(ISNUMBER(BM105),ISNUMBER(BH105)),IFERROR(BM105/BH105-1,""),"")</f>
        <v>0.0508474576271187</v>
      </c>
      <c r="BN106" s="215">
        <f>IF(AND(ISNUMBER(BN105),ISNUMBER(BI105)),IFERROR(BN105/BI105-1,""),"")</f>
        <v>0.0666666666666667</v>
      </c>
      <c r="BO106" s="215">
        <f>IF(AND(ISNUMBER(BO105),ISNUMBER(BJ105)),IFERROR(BO105/BJ105-1,""),"")</f>
        <v>0.0652173913043479</v>
      </c>
      <c r="BP106" s="215">
        <f>IF(AND(ISNUMBER(BP105),ISNUMBER(BK105)),IFERROR(BP105/BK105-1,""),"")</f>
        <v>0.0851063829787233</v>
      </c>
      <c r="BQ106" s="215">
        <f>IF(AND(ISNUMBER(BQ105),ISNUMBER(BL105)),IFERROR(BQ105/BL105-1,""),"")</f>
        <v>0.104166666666667</v>
      </c>
      <c r="BR106" s="215">
        <f>IF(AND(ISNUMBER(BR105),ISNUMBER(BM105)),IFERROR(BR105/BM105-1,""),"")</f>
        <v>0.075268817204301</v>
      </c>
      <c r="BS106" s="215">
        <f>IF(AND(ISNUMBER(BS105),ISNUMBER(BN105)),IFERROR(BS105/BN105-1,""),"")</f>
        <v>0.0833333333333333</v>
      </c>
      <c r="BT106" s="215">
        <f>IF(AND(ISNUMBER(BT105),ISNUMBER(BO105)),IFERROR(BT105/BO105-1,""),"")</f>
        <v>0.0816326530612246</v>
      </c>
      <c r="BU106" s="256">
        <f>IF(AND(ISNUMBER(BU105),ISNUMBER(BP105)),IFERROR(BU105/BP105-1,""),"")</f>
        <v>0.0824742268041236</v>
      </c>
      <c r="BV106" s="256">
        <f>IF(AND(ISNUMBER(BV105),ISNUMBER(BQ105)),IFERROR(BV105/BQ105-1,""),"")</f>
        <v>0.0824742268041236</v>
      </c>
      <c r="BW106" s="256">
        <f>IFERROR(SUM(BS105:BT105)/SUM(BN105:BO105)-1,0)</f>
        <v>0.0824742268041236</v>
      </c>
      <c r="BX106" s="263">
        <f>IF(AND(ISNUMBER(BX105),ISNUMBER(BW105)),IFERROR(BX105/BW105-1,""),"")</f>
        <v>0.0600000000000001</v>
      </c>
      <c r="BY106" s="263">
        <f>IF(AND(ISNUMBER(BY105),ISNUMBER(BX105)),IFERROR(BY105/BX105-1,""),"")</f>
        <v>0.065</v>
      </c>
      <c r="BZ106" s="263">
        <f>IF(AND(ISNUMBER(BZ105),ISNUMBER(BY105)),IFERROR(BZ105/BY105-1,""),"")</f>
        <v>0.065</v>
      </c>
      <c r="CA106" s="263">
        <f>IF(AND(ISNUMBER(CA105),ISNUMBER(BZ105)),IFERROR(CA105/BZ105-1,""),"")</f>
        <v>0.065</v>
      </c>
      <c r="CB106" s="263">
        <f>IF(AND(ISNUMBER(CB105),ISNUMBER(CA105)),IFERROR(CB105/CA105-1,""),"")</f>
        <v>0.065</v>
      </c>
      <c r="CC106" s="19" t="n"/>
    </row>
    <row r="107" ht="15" customHeight="1" s="251">
      <c r="CK107" s="11" t="n"/>
      <c r="CL107" s="12" t="n"/>
      <c r="CM107" s="12" t="n"/>
      <c r="CN107" s="12" t="n"/>
      <c r="CO107" s="13" t="n"/>
    </row>
    <row r="108" ht="15" customHeight="1" s="251">
      <c r="B108" s="14" t="inlineStr">
        <is>
          <t>Corporate unallocated expense &amp; equity income (OSTTRA 50% JV with CME to Oct-2025)</t>
        </is>
      </c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  <c r="AO108" s="14" t="n"/>
      <c r="AP108" s="14" t="n"/>
      <c r="AQ108" s="14" t="n"/>
      <c r="AR108" s="14" t="n"/>
      <c r="AS108" s="14" t="n"/>
      <c r="AT108" s="14" t="n"/>
      <c r="AU108" s="14" t="n"/>
      <c r="AV108" s="14" t="n"/>
      <c r="AW108" s="14" t="n"/>
      <c r="AX108" s="14" t="n"/>
      <c r="AY108" s="14" t="n"/>
      <c r="AZ108" s="14" t="n"/>
      <c r="BA108" s="14" t="n"/>
      <c r="BB108" s="14" t="n"/>
      <c r="BC108" s="14" t="n"/>
      <c r="BD108" s="14" t="n"/>
      <c r="BE108" s="14" t="n"/>
      <c r="BF108" s="14" t="n"/>
      <c r="BG108" s="14" t="n"/>
      <c r="BH108" s="14" t="n"/>
      <c r="BI108" s="14" t="n"/>
      <c r="BJ108" s="14" t="n"/>
      <c r="BK108" s="14" t="n"/>
      <c r="BL108" s="14" t="n"/>
      <c r="BM108" s="14" t="n"/>
      <c r="BN108" s="14" t="n"/>
      <c r="BO108" s="14" t="n"/>
      <c r="BP108" s="14" t="n"/>
      <c r="BQ108" s="14" t="n"/>
      <c r="BR108" s="14" t="n"/>
      <c r="BS108" s="14" t="n"/>
      <c r="BT108" s="14" t="n"/>
      <c r="BU108" s="14" t="n"/>
      <c r="BV108" s="14" t="n"/>
      <c r="BW108" s="14" t="n"/>
      <c r="BX108" s="14" t="n"/>
      <c r="BY108" s="14" t="n"/>
      <c r="BZ108" s="14" t="n"/>
      <c r="CA108" s="14" t="n"/>
      <c r="CB108" s="14" t="n"/>
      <c r="CC108" s="15" t="inlineStr">
        <is>
          <t>CORPORATE — unallocated corporate costs; adjusting items are recorded here (merger, disposition, separation costs, gains)</t>
        </is>
      </c>
    </row>
    <row r="109" ht="15" customHeight="1" s="251">
      <c r="B109" s="25" t="inlineStr">
        <is>
          <t xml:space="preserve">  Adjusted corporate unallocated expense (cost +)</t>
        </is>
      </c>
      <c r="C109" s="34" t="n"/>
      <c r="D109" s="253" t="n">
        <v>198</v>
      </c>
      <c r="E109" s="253" t="n">
        <v>202</v>
      </c>
      <c r="F109" s="253" t="n">
        <v>45</v>
      </c>
      <c r="G109" s="253" t="n">
        <v>49</v>
      </c>
      <c r="H109" s="253" t="n">
        <v>52</v>
      </c>
      <c r="I109" s="253" t="n">
        <v>58</v>
      </c>
      <c r="J109" s="253" t="n">
        <v>203</v>
      </c>
      <c r="K109" s="253" t="n">
        <v>30</v>
      </c>
      <c r="L109" s="253" t="n">
        <v>41</v>
      </c>
      <c r="M109" s="253" t="n">
        <v>32</v>
      </c>
      <c r="N109" s="253" t="n">
        <v>41</v>
      </c>
      <c r="O109" s="253" t="n">
        <v>152</v>
      </c>
      <c r="P109" s="253" t="n">
        <v>33</v>
      </c>
      <c r="Q109" s="253" t="n">
        <v>35</v>
      </c>
      <c r="R109" s="253" t="n">
        <v>36</v>
      </c>
      <c r="S109" s="253" t="n">
        <v>35</v>
      </c>
      <c r="T109" s="253" t="n">
        <v>139</v>
      </c>
      <c r="U109" s="253" t="n">
        <v>34</v>
      </c>
      <c r="V109" s="253" t="n">
        <v>34</v>
      </c>
      <c r="W109" s="253" t="n">
        <v>29</v>
      </c>
      <c r="X109" s="253" t="n">
        <v>35</v>
      </c>
      <c r="Y109" s="253" t="n">
        <v>130</v>
      </c>
      <c r="Z109" s="253" t="n">
        <v>29</v>
      </c>
      <c r="AA109" s="253" t="n">
        <v>30</v>
      </c>
      <c r="AB109" s="253" t="n">
        <v>41</v>
      </c>
      <c r="AC109" s="253" t="n">
        <v>41</v>
      </c>
      <c r="AD109" s="253" t="n">
        <v>141</v>
      </c>
      <c r="AE109" s="253" t="n">
        <v>46</v>
      </c>
      <c r="AF109" s="253" t="n">
        <v>39</v>
      </c>
      <c r="AG109" s="253" t="n">
        <v>35</v>
      </c>
      <c r="AH109" s="253" t="n">
        <v>35</v>
      </c>
      <c r="AI109" s="253" t="n">
        <v>156</v>
      </c>
      <c r="AJ109" s="253" t="n">
        <v>32</v>
      </c>
      <c r="AK109" s="253" t="n">
        <v>35</v>
      </c>
      <c r="AL109" s="253" t="n">
        <v>33</v>
      </c>
      <c r="AM109" s="253" t="n">
        <v>45</v>
      </c>
      <c r="AN109" s="253" t="n">
        <v>145</v>
      </c>
      <c r="AO109" s="253" t="n">
        <v>30</v>
      </c>
      <c r="AP109" s="253" t="n">
        <v>30</v>
      </c>
      <c r="AQ109" s="253" t="n">
        <v>32</v>
      </c>
      <c r="AR109" s="253" t="n">
        <v>35</v>
      </c>
      <c r="AS109" s="253" t="n">
        <v>128</v>
      </c>
      <c r="AT109" s="253" t="n">
        <v>28</v>
      </c>
      <c r="AU109" s="253" t="n">
        <v>33</v>
      </c>
      <c r="AV109" s="253" t="n">
        <v>37</v>
      </c>
      <c r="AW109" s="253" t="n">
        <v>49</v>
      </c>
      <c r="AX109" s="253" t="n">
        <v>148</v>
      </c>
      <c r="AY109" s="253" t="n">
        <v>22</v>
      </c>
      <c r="AZ109" s="253" t="n">
        <v>22</v>
      </c>
      <c r="BA109" s="253" t="n">
        <v>24</v>
      </c>
      <c r="BB109" s="253" t="n">
        <v>20</v>
      </c>
      <c r="BC109" s="253" t="n">
        <v>88</v>
      </c>
      <c r="BD109" s="253" t="n">
        <v>26</v>
      </c>
      <c r="BE109" s="253" t="n">
        <v>35</v>
      </c>
      <c r="BF109" s="253" t="n">
        <v>39</v>
      </c>
      <c r="BG109" s="253" t="n">
        <v>47</v>
      </c>
      <c r="BH109" s="253" t="n">
        <v>147</v>
      </c>
      <c r="BI109" s="253" t="n">
        <v>36</v>
      </c>
      <c r="BJ109" s="253" t="n">
        <v>38</v>
      </c>
      <c r="BK109" s="253" t="n">
        <v>53</v>
      </c>
      <c r="BL109" s="253" t="n">
        <v>54</v>
      </c>
      <c r="BM109" s="253" t="n">
        <v>181</v>
      </c>
      <c r="BN109" s="253" t="n">
        <v>36</v>
      </c>
      <c r="BO109" s="253" t="n">
        <v>43</v>
      </c>
      <c r="BP109" s="253" t="n">
        <v>55</v>
      </c>
      <c r="BQ109" s="253" t="n">
        <v>48</v>
      </c>
      <c r="BR109" s="253" t="n">
        <v>180</v>
      </c>
      <c r="BS109" s="253" t="n">
        <v>40</v>
      </c>
      <c r="BT109" s="253" t="n">
        <v>42</v>
      </c>
      <c r="BU109" s="254">
        <f>$CM$20</f>
        <v>54</v>
      </c>
      <c r="BV109" s="254">
        <f>$CM$20</f>
        <v>54</v>
      </c>
      <c r="BW109" s="254">
        <f>SUM(BS109:BV109)</f>
        <v>190</v>
      </c>
      <c r="BX109" s="254">
        <f>BX187*BX110</f>
        <v>200.540639745547</v>
      </c>
      <c r="BY109" s="254">
        <f>BY187*BY110</f>
        <v>214.718181617326</v>
      </c>
      <c r="BZ109" s="254">
        <f>BZ187*BZ110</f>
        <v>229.460958233847</v>
      </c>
      <c r="CA109" s="254">
        <f>CA187*CA110</f>
        <v>244.521015217816</v>
      </c>
      <c r="CB109" s="254">
        <f>CB187*CB110</f>
        <v>260.546031922418</v>
      </c>
      <c r="CC109" s="19" t="inlineStr">
        <is>
          <t>Company adjusted corporate unallocated expense (2025+: pro forma recast, after the Mobility TSA income). Q3–Q4/26E: FY26 guidance $185–195m less 1H actual, split evenly. 2027E+: % of revenue.</t>
        </is>
      </c>
    </row>
    <row r="110" ht="15" customHeight="1" s="251">
      <c r="B110" s="25" t="inlineStr">
        <is>
          <t xml:space="preserve">  Adjusted corporate unallocated % of revenue</t>
        </is>
      </c>
      <c r="C110" s="215">
        <f>IF(AND(ISNUMBER(C109),ISNUMBER(C187)),IFERROR(C109/C187,""),"")</f>
      </c>
      <c r="D110" s="215">
        <f>IF(AND(ISNUMBER(D109),ISNUMBER(D187)),IFERROR(D109/D187,""),"")</f>
        <v>0.0500758725341426</v>
      </c>
      <c r="E110" s="215">
        <f>IF(AND(ISNUMBER(E109),ISNUMBER(E187)),IFERROR(E109/E187,""),"")</f>
        <v>0.0453932584269663</v>
      </c>
      <c r="F110" s="215">
        <f>IF(AND(ISNUMBER(F109),ISNUMBER(F187)),IFERROR(F109/F187,""),"")</f>
        <v>0.0381033022861981</v>
      </c>
      <c r="G110" s="215">
        <f>IF(AND(ISNUMBER(G109),ISNUMBER(G187)),IFERROR(G109/G187,""),"")</f>
        <v>0.0392</v>
      </c>
      <c r="H110" s="215">
        <f>IF(AND(ISNUMBER(H109),ISNUMBER(H187)),IFERROR(H109/H187,""),"")</f>
        <v>0.0435510887772194</v>
      </c>
      <c r="I110" s="215">
        <f>IF(AND(ISNUMBER(I109),ISNUMBER(I187)),IFERROR(I109/I187,""),"")</f>
        <v>0.0464</v>
      </c>
      <c r="J110" s="215">
        <f>IF(AND(ISNUMBER(J109),ISNUMBER(J187)),IFERROR(J109/J187,""),"")</f>
        <v>0.0416410256410256</v>
      </c>
      <c r="K110" s="215">
        <f>IF(AND(ISNUMBER(K109),ISNUMBER(K187)),IFERROR(K109/K187,""),"")</f>
        <v>0.0242718446601942</v>
      </c>
      <c r="L110" s="215">
        <f>IF(AND(ISNUMBER(L109),ISNUMBER(L187)),IFERROR(L109/L187,""),"")</f>
        <v>0.0304606240713224</v>
      </c>
      <c r="M110" s="215">
        <f>IF(AND(ISNUMBER(M109),ISNUMBER(M187)),IFERROR(M109/M187,""),"")</f>
        <v>0.0253365003958828</v>
      </c>
      <c r="N110" s="215">
        <f>IF(AND(ISNUMBER(N109),ISNUMBER(N187)),IFERROR(N109/N187,""),"")</f>
        <v>0.0317829457364341</v>
      </c>
      <c r="O110" s="215">
        <f>IF(AND(ISNUMBER(O109),ISNUMBER(O187)),IFERROR(O109/O187,""),"")</f>
        <v>0.0300930508810137</v>
      </c>
      <c r="P110" s="215">
        <f>IF(AND(ISNUMBER(P109),ISNUMBER(P187)),IFERROR(P109/P187,""),"")</f>
        <v>0.025923016496465</v>
      </c>
      <c r="Q110" s="215">
        <f>IF(AND(ISNUMBER(Q109),ISNUMBER(Q187)),IFERROR(Q109/Q187,""),"")</f>
        <v>0.026080476900149</v>
      </c>
      <c r="R110" s="215">
        <f>IF(AND(ISNUMBER(R109),ISNUMBER(R187)),IFERROR(R109/R187,""),"")</f>
        <v>0.027190332326284</v>
      </c>
      <c r="S110" s="215">
        <f>IF(AND(ISNUMBER(S109),ISNUMBER(S187)),IFERROR(S109/S187,""),"")</f>
        <v>0.0254730713245997</v>
      </c>
      <c r="T110" s="215">
        <f>IF(AND(ISNUMBER(T109),ISNUMBER(T187)),IFERROR(T109/T187,""),"")</f>
        <v>0.0261622435535479</v>
      </c>
      <c r="U110" s="215">
        <f>IF(AND(ISNUMBER(U109),ISNUMBER(U187)),IFERROR(U109/U187,""),"")</f>
        <v>0.0253542132736764</v>
      </c>
      <c r="V110" s="215">
        <f>IF(AND(ISNUMBER(V109),ISNUMBER(V187)),IFERROR(V109/V187,""),"")</f>
        <v>0.0229419703103914</v>
      </c>
      <c r="W110" s="215">
        <f>IF(AND(ISNUMBER(W109),ISNUMBER(W187)),IFERROR(W109/W187,""),"")</f>
        <v>0.0201528839471855</v>
      </c>
      <c r="X110" s="215">
        <f>IF(AND(ISNUMBER(X109),ISNUMBER(X187)),IFERROR(X109/X187,""),"")</f>
        <v>0.0250178699070765</v>
      </c>
      <c r="Y110" s="215">
        <f>IF(AND(ISNUMBER(Y109),ISNUMBER(Y187)),IFERROR(Y109/Y187,""),"")</f>
        <v>0.0229641406111994</v>
      </c>
      <c r="Z110" s="215">
        <f>IF(AND(ISNUMBER(Z109),ISNUMBER(Z187)),IFERROR(Z109/Z187,""),"")</f>
        <v>0.0199587061252581</v>
      </c>
      <c r="AA110" s="215">
        <f>IF(AND(ISNUMBER(AA109),ISNUMBER(AA187)),IFERROR(AA109/AA187,""),"")</f>
        <v>0.0198807157057654</v>
      </c>
      <c r="AB110" s="215">
        <f>IF(AND(ISNUMBER(AB109),ISNUMBER(AB187)),IFERROR(AB109/AB187,""),"")</f>
        <v>0.0270984798413748</v>
      </c>
      <c r="AC110" s="215">
        <f>IF(AND(ISNUMBER(AC109),ISNUMBER(AC187)),IFERROR(AC109/AC187,""),"")</f>
        <v>0.025802391441158</v>
      </c>
      <c r="AD110" s="215">
        <f>IF(AND(ISNUMBER(AD109),ISNUMBER(AD187)),IFERROR(AD109/AD187,""),"")</f>
        <v>0.0232558139534884</v>
      </c>
      <c r="AE110" s="215">
        <f>IF(AND(ISNUMBER(AE109),ISNUMBER(AE187)),IFERROR(AE109/AE187,""),"")</f>
        <v>0.0293554562858966</v>
      </c>
      <c r="AF110" s="215">
        <f>IF(AND(ISNUMBER(AF109),ISNUMBER(AF187)),IFERROR(AF109/AF187,""),"")</f>
        <v>0.0242386575512741</v>
      </c>
      <c r="AG110" s="215">
        <f>IF(AND(ISNUMBER(AG109),ISNUMBER(AG187)),IFERROR(AG109/AG187,""),"")</f>
        <v>0.0226390685640362</v>
      </c>
      <c r="AH110" s="215">
        <f>IF(AND(ISNUMBER(AH109),ISNUMBER(AH187)),IFERROR(AH109/AH187,""),"")</f>
        <v>0.0227864583333333</v>
      </c>
      <c r="AI110" s="215">
        <f>IF(AND(ISNUMBER(AI109),ISNUMBER(AI187)),IFERROR(AI109/AI187,""),"")</f>
        <v>0.024928092042186</v>
      </c>
      <c r="AJ110" s="215">
        <f>IF(AND(ISNUMBER(AJ109),ISNUMBER(AJ187)),IFERROR(AJ109/AJ187,""),"")</f>
        <v>0.0203691915977085</v>
      </c>
      <c r="AK110" s="215">
        <f>IF(AND(ISNUMBER(AK109),ISNUMBER(AK187)),IFERROR(AK109/AK187,""),"")</f>
        <v>0.0205399061032864</v>
      </c>
      <c r="AL110" s="215">
        <f>IF(AND(ISNUMBER(AL109),ISNUMBER(AL187)),IFERROR(AL109/AL187,""),"")</f>
        <v>0.019538188277087</v>
      </c>
      <c r="AM110" s="215">
        <f>IF(AND(ISNUMBER(AM109),ISNUMBER(AM187)),IFERROR(AM109/AM187,""),"")</f>
        <v>0.0259365994236311</v>
      </c>
      <c r="AN110" s="215">
        <f>IF(AND(ISNUMBER(AN109),ISNUMBER(AN187)),IFERROR(AN109/AN187,""),"")</f>
        <v>0.0216450216450216</v>
      </c>
      <c r="AO110" s="215">
        <f>IF(AND(ISNUMBER(AO109),ISNUMBER(AO187)),IFERROR(AO109/AO187,""),"")</f>
        <v>0.0167973124300112</v>
      </c>
      <c r="AP110" s="215">
        <f>IF(AND(ISNUMBER(AP109),ISNUMBER(AP187)),IFERROR(AP109/AP187,""),"")</f>
        <v>0.0154400411734431</v>
      </c>
      <c r="AQ110" s="215">
        <f>IF(AND(ISNUMBER(AQ109),ISNUMBER(AQ187)),IFERROR(AQ109/AQ187,""),"")</f>
        <v>0.0173347778981582</v>
      </c>
      <c r="AR110" s="215">
        <f>IF(AND(ISNUMBER(AR109),ISNUMBER(AR187)),IFERROR(AR109/AR187,""),"")</f>
        <v>0.0187466523835029</v>
      </c>
      <c r="AS110" s="215">
        <f>IF(AND(ISNUMBER(AS109),ISNUMBER(AS187)),IFERROR(AS109/AS187,""),"")</f>
        <v>0.0171996775060468</v>
      </c>
      <c r="AT110" s="215">
        <f>IF(AND(ISNUMBER(AT109),ISNUMBER(AT187)),IFERROR(AT109/AT187,""),"")</f>
        <v>0.0138888888888889</v>
      </c>
      <c r="AU110" s="215">
        <f>IF(AND(ISNUMBER(AU109),ISNUMBER(AU187)),IFERROR(AU109/AU187,""),"")</f>
        <v>0.0156695156695157</v>
      </c>
      <c r="AV110" s="215">
        <f>IF(AND(ISNUMBER(AV109),ISNUMBER(AV187)),IFERROR(AV109/AV187,""),"")</f>
        <v>0.0177287973167226</v>
      </c>
      <c r="AW110" s="215">
        <f>IF(AND(ISNUMBER(AW109),ISNUMBER(AW187)),IFERROR(AW109/AW187,""),"")</f>
        <v>0.0234674329501916</v>
      </c>
      <c r="AX110" s="215">
        <f>IF(AND(ISNUMBER(AX109),ISNUMBER(AX187)),IFERROR(AX109/AX187,""),"")</f>
        <v>0.0178377726889237</v>
      </c>
      <c r="AY110" s="215">
        <f>IF(AND(ISNUMBER(AY109),ISNUMBER(AY187)),IFERROR(AY109/AY187,""),"")</f>
        <v>0.00920887400586019</v>
      </c>
      <c r="AZ110" s="215">
        <f>IF(AND(ISNUMBER(AZ109),ISNUMBER(AZ187)),IFERROR(AZ109/AZ187,""),"")</f>
        <v>0.00735048446374875</v>
      </c>
      <c r="BA110" s="215">
        <f>IF(AND(ISNUMBER(BA109),ISNUMBER(BA187)),IFERROR(BA109/BA187,""),"")</f>
        <v>0.00838867528836071</v>
      </c>
      <c r="BB110" s="215">
        <f>IF(AND(ISNUMBER(BB109),ISNUMBER(BB187)),IFERROR(BB109/BB187,""),"")</f>
        <v>0.00680966973101805</v>
      </c>
      <c r="BC110" s="215">
        <f>IF(AND(ISNUMBER(BC109),ISNUMBER(BC187)),IFERROR(BC109/BC187,""),"")</f>
        <v>0.00787049458903497</v>
      </c>
      <c r="BD110" s="215">
        <f>IF(AND(ISNUMBER(BD109),ISNUMBER(BD187)),IFERROR(BD109/BD187,""),"")</f>
        <v>0.00822784810126582</v>
      </c>
      <c r="BE110" s="215">
        <f>IF(AND(ISNUMBER(BE109),ISNUMBER(BE187)),IFERROR(BE109/BE187,""),"")</f>
        <v>0.0112866817155756</v>
      </c>
      <c r="BF110" s="215">
        <f>IF(AND(ISNUMBER(BF109),ISNUMBER(BF187)),IFERROR(BF109/BF187,""),"")</f>
        <v>0.0126459143968872</v>
      </c>
      <c r="BG110" s="215">
        <f>IF(AND(ISNUMBER(BG109),ISNUMBER(BG187)),IFERROR(BG109/BG187,""),"")</f>
        <v>0.0149111675126904</v>
      </c>
      <c r="BH110" s="215">
        <f>IF(AND(ISNUMBER(BH109),ISNUMBER(BH187)),IFERROR(BH109/BH187,""),"")</f>
        <v>0.0117628230775386</v>
      </c>
      <c r="BI110" s="215">
        <f>IF(AND(ISNUMBER(BI109),ISNUMBER(BI187)),IFERROR(BI109/BI187,""),"")</f>
        <v>0.0103122314523059</v>
      </c>
      <c r="BJ110" s="215">
        <f>IF(AND(ISNUMBER(BJ109),ISNUMBER(BJ187)),IFERROR(BJ109/BJ187,""),"")</f>
        <v>0.0107072414764722</v>
      </c>
      <c r="BK110" s="215">
        <f>IF(AND(ISNUMBER(BK109),ISNUMBER(BK187)),IFERROR(BK109/BK187,""),"")</f>
        <v>0.0148251748251748</v>
      </c>
      <c r="BL110" s="215">
        <f>IF(AND(ISNUMBER(BL109),ISNUMBER(BL187)),IFERROR(BL109/BL187,""),"")</f>
        <v>0.0150334075723831</v>
      </c>
      <c r="BM110" s="215">
        <f>IF(AND(ISNUMBER(BM109),ISNUMBER(BM187)),IFERROR(BM109/BM187,""),"")</f>
        <v>0.0127393018018018</v>
      </c>
      <c r="BN110" s="215">
        <f>IF(AND(ISNUMBER(BN109),ISNUMBER(BN187)),IFERROR(BN109/BN187,""),"")</f>
        <v>0.0107238605898123</v>
      </c>
      <c r="BO110" s="215">
        <f>IF(AND(ISNUMBER(BO109),ISNUMBER(BO187)),IFERROR(BO109/BO187,""),"")</f>
        <v>0.0129635212541453</v>
      </c>
      <c r="BP110" s="215">
        <f>IF(AND(ISNUMBER(BP109),ISNUMBER(BP187)),IFERROR(BP109/BP187,""),"")</f>
        <v>0.0159744408945687</v>
      </c>
      <c r="BQ110" s="215">
        <f>IF(AND(ISNUMBER(BQ109),ISNUMBER(BQ187)),IFERROR(BQ109/BQ187,""),"")</f>
        <v>0.0138248847926267</v>
      </c>
      <c r="BR110" s="215">
        <f>IF(AND(ISNUMBER(BR109),ISNUMBER(BR187)),IFERROR(BR109/BR187,""),"")</f>
        <v>0.0132460078004268</v>
      </c>
      <c r="BS110" s="215">
        <f>IF(AND(ISNUMBER(BS109),ISNUMBER(BS187)),IFERROR(BS109/BS187,""),"")</f>
        <v>0.0107613666935701</v>
      </c>
      <c r="BT110" s="215">
        <f>IF(AND(ISNUMBER(BT109),ISNUMBER(BT187)),IFERROR(BT109/BT187,""),"")</f>
        <v>0.0114192495921697</v>
      </c>
      <c r="BU110" s="256">
        <f>IF(AND(ISNUMBER(BU109),ISNUMBER(BU187)),IFERROR(BU109/BU187,""),"")</f>
        <v>0.0151922852939844</v>
      </c>
      <c r="BV110" s="256">
        <f>IF(AND(ISNUMBER(BV109),ISNUMBER(BV187)),IFERROR(BV109/BV187,""),"")</f>
        <v>0.0150955827987287</v>
      </c>
      <c r="BW110" s="256">
        <f>IF(AND(ISNUMBER(BW109),ISNUMBER(BW187)),IFERROR(BW109/BW187,""),"")</f>
        <v>0.0130794173271027</v>
      </c>
      <c r="BX110" s="264" t="n">
        <v>0.013</v>
      </c>
      <c r="BY110" s="264" t="n">
        <v>0.013</v>
      </c>
      <c r="BZ110" s="264" t="n">
        <v>0.013</v>
      </c>
      <c r="CA110" s="264" t="n">
        <v>0.013</v>
      </c>
      <c r="CB110" s="264" t="n">
        <v>0.013</v>
      </c>
      <c r="CC110" s="153" t="n"/>
      <c r="CE110" s="37">
        <f>IFERROR(AVERAGE(BX110,BY110,BZ110,CA110,CB110),"n/m")</f>
        <v>0.013</v>
      </c>
      <c r="CF110" s="37">
        <f>IFERROR(AVERAGE(AX110,BC110,BH110,BM110,BR110),"n/m")</f>
        <v>0.0126912799915452</v>
      </c>
      <c r="CG110" s="37">
        <f>IFERROR(AVERAGE(Y110,AD110,AI110,AN110,AS110,AX110,BC110,BH110,BM110,BR110),"n/m")</f>
        <v>0.0173449145715668</v>
      </c>
      <c r="CH110" s="37">
        <f>IFERROR(AVERAGE(C110,D110,E110,J110,O110,T110,Y110,AD110,AI110,AN110,AS110,AX110,BC110,BH110,BM110,BR110),"n/m")</f>
        <v>0.0244543064501576</v>
      </c>
    </row>
    <row r="111" ht="15" customHeight="1" s="251">
      <c r="B111" s="156" t="inlineStr">
        <is>
          <t xml:space="preserve">  Memo: corporate unallocated expense (GAAP, as reported)</t>
        </is>
      </c>
      <c r="C111" s="253" t="n">
        <v>204</v>
      </c>
      <c r="D111" s="253" t="n">
        <v>226</v>
      </c>
      <c r="E111" s="253" t="n">
        <v>306</v>
      </c>
      <c r="F111" s="253" t="n">
        <v>166</v>
      </c>
      <c r="G111" s="253" t="n">
        <v>59</v>
      </c>
      <c r="H111" s="253" t="n">
        <v>61</v>
      </c>
      <c r="I111" s="253" t="n">
        <v>109</v>
      </c>
      <c r="J111" s="253" t="n">
        <v>395</v>
      </c>
      <c r="K111" s="253" t="n">
        <v>30</v>
      </c>
      <c r="L111" s="253" t="n">
        <v>41</v>
      </c>
      <c r="M111" s="253" t="n">
        <v>38</v>
      </c>
      <c r="N111" s="253" t="n">
        <v>50</v>
      </c>
      <c r="O111" s="253" t="n">
        <v>169</v>
      </c>
      <c r="P111" s="253" t="n">
        <v>33</v>
      </c>
      <c r="Q111" s="253" t="n">
        <v>25</v>
      </c>
      <c r="R111" s="253" t="n">
        <v>36</v>
      </c>
      <c r="S111" s="253" t="n">
        <v>44</v>
      </c>
      <c r="T111" s="253" t="n">
        <v>138</v>
      </c>
      <c r="U111" s="253" t="n">
        <v>34</v>
      </c>
      <c r="V111" s="253" t="n">
        <v>31</v>
      </c>
      <c r="W111" s="253" t="n">
        <v>29</v>
      </c>
      <c r="X111" s="253" t="n">
        <v>35</v>
      </c>
      <c r="Y111" s="253" t="n">
        <v>127</v>
      </c>
      <c r="Z111" s="253" t="n">
        <v>29</v>
      </c>
      <c r="AA111" s="253" t="n">
        <v>30</v>
      </c>
      <c r="AB111" s="253" t="n">
        <v>45</v>
      </c>
      <c r="AC111" s="253" t="n">
        <v>73</v>
      </c>
      <c r="AD111" s="253" t="n">
        <v>178</v>
      </c>
      <c r="AE111" s="253" t="n">
        <v>46</v>
      </c>
      <c r="AF111" s="253" t="n">
        <v>59</v>
      </c>
      <c r="AG111" s="253" t="n">
        <v>71</v>
      </c>
      <c r="AH111" s="253" t="n">
        <v>54</v>
      </c>
      <c r="AI111" s="253" t="n">
        <v>231</v>
      </c>
      <c r="AJ111" s="253" t="n">
        <v>46</v>
      </c>
      <c r="AK111" s="253" t="n">
        <v>58</v>
      </c>
      <c r="AL111" s="253" t="n">
        <v>45</v>
      </c>
      <c r="AM111" s="253" t="n">
        <v>62</v>
      </c>
      <c r="AN111" s="253" t="n">
        <v>212</v>
      </c>
      <c r="AO111" s="253" t="n">
        <v>49</v>
      </c>
      <c r="AP111" s="253" t="n">
        <v>42</v>
      </c>
      <c r="AQ111" s="253" t="n">
        <v>36</v>
      </c>
      <c r="AR111" s="253" t="n">
        <v>192</v>
      </c>
      <c r="AS111" s="253" t="n">
        <v>319</v>
      </c>
      <c r="AT111" s="253" t="n">
        <v>86</v>
      </c>
      <c r="AU111" s="253" t="n">
        <v>86</v>
      </c>
      <c r="AV111" s="253" t="n">
        <v>89</v>
      </c>
      <c r="AW111" s="253" t="n">
        <v>164</v>
      </c>
      <c r="AX111" s="253" t="n">
        <v>426</v>
      </c>
      <c r="AY111" s="253" t="n">
        <v>512</v>
      </c>
      <c r="AZ111" s="253" t="n">
        <v>165</v>
      </c>
      <c r="BA111" s="253" t="n">
        <v>175</v>
      </c>
      <c r="BB111" s="253" t="n">
        <v>137</v>
      </c>
      <c r="BC111" s="253" t="n">
        <v>989</v>
      </c>
      <c r="BD111" s="253" t="n">
        <v>79</v>
      </c>
      <c r="BE111" s="253" t="n">
        <v>216</v>
      </c>
      <c r="BF111" s="253" t="n">
        <v>87</v>
      </c>
      <c r="BG111" s="253" t="n">
        <v>120</v>
      </c>
      <c r="BH111" s="253" t="n">
        <v>502</v>
      </c>
      <c r="BI111" s="253" t="n">
        <v>57</v>
      </c>
      <c r="BJ111" s="253" t="n">
        <v>65</v>
      </c>
      <c r="BK111" s="253" t="n">
        <v>73</v>
      </c>
      <c r="BL111" s="253" t="n">
        <v>110</v>
      </c>
      <c r="BM111" s="253" t="n">
        <v>305</v>
      </c>
      <c r="BN111" s="253" t="n">
        <v>66</v>
      </c>
      <c r="BO111" s="253" t="n">
        <v>80</v>
      </c>
      <c r="BP111" s="253" t="n">
        <v>97</v>
      </c>
      <c r="BQ111" s="253" t="n">
        <v>-96</v>
      </c>
      <c r="BR111" s="253" t="n">
        <v>146</v>
      </c>
      <c r="BS111" s="253" t="n">
        <v>71</v>
      </c>
      <c r="BT111" s="253" t="n">
        <v>104</v>
      </c>
      <c r="BU111" s="153" t="n"/>
      <c r="BV111" s="153" t="n"/>
      <c r="BW111" s="153" t="n"/>
      <c r="BX111" s="153" t="n"/>
      <c r="BY111" s="153" t="n"/>
      <c r="BZ111" s="153" t="n"/>
      <c r="CA111" s="153" t="n"/>
      <c r="CB111" s="153" t="n"/>
      <c r="CC111" s="153" t="n"/>
    </row>
    <row r="112" ht="15" customHeight="1" s="251">
      <c r="B112" s="25" t="inlineStr">
        <is>
          <t xml:space="preserve">  Adjusted equity income on unconsolidated subsidiaries (OSTTRA; sold Q4-2025)</t>
        </is>
      </c>
      <c r="C112" s="253" t="n">
        <v>0</v>
      </c>
      <c r="D112" s="253" t="n">
        <v>0</v>
      </c>
      <c r="E112" s="253" t="n">
        <v>0</v>
      </c>
      <c r="F112" s="253" t="n">
        <v>0</v>
      </c>
      <c r="G112" s="253" t="n">
        <v>0</v>
      </c>
      <c r="H112" s="253" t="n">
        <v>0</v>
      </c>
      <c r="I112" s="253" t="n">
        <v>0</v>
      </c>
      <c r="J112" s="253" t="n">
        <v>0</v>
      </c>
      <c r="K112" s="253" t="n">
        <v>0</v>
      </c>
      <c r="L112" s="253" t="n">
        <v>0</v>
      </c>
      <c r="M112" s="253" t="n">
        <v>0</v>
      </c>
      <c r="N112" s="253" t="n">
        <v>0</v>
      </c>
      <c r="O112" s="253" t="n">
        <v>0</v>
      </c>
      <c r="P112" s="253" t="n">
        <v>0</v>
      </c>
      <c r="Q112" s="253" t="n">
        <v>0</v>
      </c>
      <c r="R112" s="253" t="n">
        <v>0</v>
      </c>
      <c r="S112" s="253" t="n">
        <v>0</v>
      </c>
      <c r="T112" s="253" t="n">
        <v>0</v>
      </c>
      <c r="U112" s="253" t="n">
        <v>0</v>
      </c>
      <c r="V112" s="253" t="n">
        <v>0</v>
      </c>
      <c r="W112" s="253" t="n">
        <v>0</v>
      </c>
      <c r="X112" s="253" t="n">
        <v>0</v>
      </c>
      <c r="Y112" s="253" t="n">
        <v>0</v>
      </c>
      <c r="Z112" s="253" t="n">
        <v>0</v>
      </c>
      <c r="AA112" s="253" t="n">
        <v>0</v>
      </c>
      <c r="AB112" s="253" t="n">
        <v>0</v>
      </c>
      <c r="AC112" s="253" t="n">
        <v>0</v>
      </c>
      <c r="AD112" s="253" t="n">
        <v>0</v>
      </c>
      <c r="AE112" s="253" t="n">
        <v>0</v>
      </c>
      <c r="AF112" s="253" t="n">
        <v>0</v>
      </c>
      <c r="AG112" s="253" t="n">
        <v>0</v>
      </c>
      <c r="AH112" s="253" t="n">
        <v>0</v>
      </c>
      <c r="AI112" s="253" t="n">
        <v>0</v>
      </c>
      <c r="AJ112" s="253" t="n">
        <v>0</v>
      </c>
      <c r="AK112" s="253" t="n">
        <v>0</v>
      </c>
      <c r="AL112" s="253" t="n">
        <v>0</v>
      </c>
      <c r="AM112" s="253" t="n">
        <v>0</v>
      </c>
      <c r="AN112" s="253" t="n">
        <v>0</v>
      </c>
      <c r="AO112" s="253" t="n">
        <v>0</v>
      </c>
      <c r="AP112" s="253" t="n">
        <v>0</v>
      </c>
      <c r="AQ112" s="253" t="n">
        <v>0</v>
      </c>
      <c r="AR112" s="253" t="n">
        <v>0</v>
      </c>
      <c r="AS112" s="253" t="n">
        <v>0</v>
      </c>
      <c r="AT112" s="253" t="n">
        <v>0</v>
      </c>
      <c r="AU112" s="253" t="n">
        <v>0</v>
      </c>
      <c r="AV112" s="253" t="n">
        <v>0</v>
      </c>
      <c r="AW112" s="253" t="n">
        <v>0</v>
      </c>
      <c r="AX112" s="253" t="n">
        <v>0</v>
      </c>
      <c r="AY112" s="253" t="n">
        <v>17</v>
      </c>
      <c r="AZ112" s="253" t="n">
        <v>25</v>
      </c>
      <c r="BA112" s="253" t="n">
        <v>19</v>
      </c>
      <c r="BB112" s="253" t="n">
        <v>19</v>
      </c>
      <c r="BC112" s="253" t="n">
        <v>80</v>
      </c>
      <c r="BD112" s="253" t="n">
        <v>28</v>
      </c>
      <c r="BE112" s="253" t="n">
        <v>25</v>
      </c>
      <c r="BF112" s="253" t="n">
        <v>22</v>
      </c>
      <c r="BG112" s="253" t="n">
        <v>18</v>
      </c>
      <c r="BH112" s="253" t="n">
        <v>93</v>
      </c>
      <c r="BI112" s="253" t="n">
        <v>20</v>
      </c>
      <c r="BJ112" s="253" t="n">
        <v>27</v>
      </c>
      <c r="BK112" s="253" t="n">
        <v>25</v>
      </c>
      <c r="BL112" s="253" t="n">
        <v>26</v>
      </c>
      <c r="BM112" s="253" t="n">
        <v>99</v>
      </c>
      <c r="BN112" s="253" t="n">
        <v>24</v>
      </c>
      <c r="BO112" s="253" t="n">
        <v>23</v>
      </c>
      <c r="BP112" s="253" t="n">
        <v>21</v>
      </c>
      <c r="BQ112" s="253" t="n">
        <v>0</v>
      </c>
      <c r="BR112" s="253" t="n">
        <v>69</v>
      </c>
      <c r="BS112" s="253" t="n">
        <v>0</v>
      </c>
      <c r="BT112" s="253" t="n">
        <v>0</v>
      </c>
      <c r="BU112" s="254">
        <f>0</f>
        <v>0</v>
      </c>
      <c r="BV112" s="254">
        <f>0</f>
        <v>0</v>
      </c>
      <c r="BW112" s="254">
        <f>SUM(BS112:BV112)</f>
        <v>0</v>
      </c>
      <c r="BX112" s="254">
        <f>0</f>
        <v>0</v>
      </c>
      <c r="BY112" s="254">
        <f>0</f>
        <v>0</v>
      </c>
      <c r="BZ112" s="254">
        <f>0</f>
        <v>0</v>
      </c>
      <c r="CA112" s="254">
        <f>0</f>
        <v>0</v>
      </c>
      <c r="CB112" s="254">
        <f>0</f>
        <v>0</v>
      </c>
      <c r="CC112" s="19" t="n"/>
    </row>
    <row r="113" ht="15" customHeight="1" s="251">
      <c r="CK113" s="11" t="n"/>
      <c r="CL113" s="12" t="n"/>
      <c r="CM113" s="12" t="n"/>
      <c r="CN113" s="12" t="n"/>
      <c r="CO113" s="13" t="n"/>
    </row>
    <row r="114" ht="15" customHeight="1" s="251">
      <c r="B114" s="14" t="inlineStr">
        <is>
          <t>Mix &amp; contribution (outputs)</t>
        </is>
      </c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  <c r="AO114" s="14" t="n"/>
      <c r="AP114" s="14" t="n"/>
      <c r="AQ114" s="14" t="n"/>
      <c r="AR114" s="14" t="n"/>
      <c r="AS114" s="14" t="n"/>
      <c r="AT114" s="14" t="n"/>
      <c r="AU114" s="14" t="n"/>
      <c r="AV114" s="14" t="n"/>
      <c r="AW114" s="14" t="n"/>
      <c r="AX114" s="14" t="n"/>
      <c r="AY114" s="14" t="n"/>
      <c r="AZ114" s="14" t="n"/>
      <c r="BA114" s="14" t="n"/>
      <c r="BB114" s="14" t="n"/>
      <c r="BC114" s="14" t="n"/>
      <c r="BD114" s="14" t="n"/>
      <c r="BE114" s="14" t="n"/>
      <c r="BF114" s="14" t="n"/>
      <c r="BG114" s="14" t="n"/>
      <c r="BH114" s="14" t="n"/>
      <c r="BI114" s="14" t="n"/>
      <c r="BJ114" s="14" t="n"/>
      <c r="BK114" s="14" t="n"/>
      <c r="BL114" s="14" t="n"/>
      <c r="BM114" s="14" t="n"/>
      <c r="BN114" s="14" t="n"/>
      <c r="BO114" s="14" t="n"/>
      <c r="BP114" s="14" t="n"/>
      <c r="BQ114" s="14" t="n"/>
      <c r="BR114" s="14" t="n"/>
      <c r="BS114" s="14" t="n"/>
      <c r="BT114" s="14" t="n"/>
      <c r="BU114" s="14" t="n"/>
      <c r="BV114" s="14" t="n"/>
      <c r="BW114" s="14" t="n"/>
      <c r="BX114" s="14" t="n"/>
      <c r="BY114" s="14" t="n"/>
      <c r="BZ114" s="14" t="n"/>
      <c r="CA114" s="14" t="n"/>
      <c r="CB114" s="14" t="n"/>
      <c r="CC114" s="15" t="inlineStr">
        <is>
          <t>MIX — outputs</t>
        </is>
      </c>
    </row>
    <row r="115" ht="15" customHeight="1" s="251">
      <c r="B115" s="25" t="inlineStr">
        <is>
          <t xml:space="preserve">  Ratings transaction revenue % of Ratings</t>
        </is>
      </c>
      <c r="C115" s="215">
        <f>IF(ISNUMBER(C11),IFERROR(C11/C18,""),"")</f>
      </c>
      <c r="D115" s="215">
        <f>IF(ISNUMBER(D11),IFERROR(D11/D18,""),"")</f>
        <v>0.368421052631579</v>
      </c>
      <c r="E115" s="215">
        <f>IF(ISNUMBER(E11),IFERROR(E11/E18,""),"")</f>
        <v>0.443952802359882</v>
      </c>
      <c r="F115" s="215">
        <f>IF(ISNUMBER(F11),IFERROR(F11/F18,""),"")</f>
        <v>0.470588235294118</v>
      </c>
      <c r="G115" s="215">
        <f>IF(ISNUMBER(G11),IFERROR(G11/G18,""),"")</f>
        <v>0.479131886477462</v>
      </c>
      <c r="H115" s="215">
        <f>IF(ISNUMBER(H11),IFERROR(H11/H18,""),"")</f>
        <v>0.42037037037037</v>
      </c>
      <c r="I115" s="215">
        <f>IF(ISNUMBER(I11),IFERROR(I11/I18,""),"")</f>
        <v>0.447735191637631</v>
      </c>
      <c r="J115" s="215">
        <f>IF(ISNUMBER(J11),IFERROR(J11/J18,""),"")</f>
        <v>0.455145118733509</v>
      </c>
      <c r="K115" s="215">
        <f>IF(ISNUMBER(K11),IFERROR(K11/K18,""),"")</f>
        <v>0.430579964850615</v>
      </c>
      <c r="L115" s="215">
        <f>IF(ISNUMBER(L11),IFERROR(L11/L18,""),"")</f>
        <v>0.492469879518072</v>
      </c>
      <c r="M115" s="215">
        <f>IF(ISNUMBER(M11),IFERROR(M11/M18,""),"")</f>
        <v>0.445364238410596</v>
      </c>
      <c r="N115" s="215">
        <f>IF(ISNUMBER(N11),IFERROR(N11/N18,""),"")</f>
        <v>0.466019417475728</v>
      </c>
      <c r="O115" s="215">
        <f>IF(ISNUMBER(O11),IFERROR(O11/O18,""),"")</f>
        <v>0.459877800407332</v>
      </c>
      <c r="P115" s="215">
        <f>IF(ISNUMBER(P11),IFERROR(P11/P18,""),"")</f>
        <v>0.476897689768977</v>
      </c>
      <c r="Q115" s="215">
        <f>IF(ISNUMBER(Q11),IFERROR(Q11/Q18,""),"")</f>
        <v>0.5</v>
      </c>
      <c r="R115" s="215">
        <f>IF(ISNUMBER(R11),IFERROR(R11/R18,""),"")</f>
        <v>0.415672913117547</v>
      </c>
      <c r="S115" s="215">
        <f>IF(ISNUMBER(S11),IFERROR(S11/S18,""),"")</f>
        <v>0.427335640138408</v>
      </c>
      <c r="T115" s="215">
        <f>IF(ISNUMBER(T11),IFERROR(T11/T18,""),"")</f>
        <v>0.45675453047776</v>
      </c>
      <c r="U115" s="215">
        <f>IF(ISNUMBER(U11),IFERROR(U11/U18,""),"")</f>
        <v>0.407608695652174</v>
      </c>
      <c r="V115" s="215">
        <f>IF(ISNUMBER(V11),IFERROR(V11/V18,""),"")</f>
        <v>0.502932551319648</v>
      </c>
      <c r="W115" s="215">
        <f>IF(ISNUMBER(W11),IFERROR(W11/W18,""),"")</f>
        <v>0.465732087227414</v>
      </c>
      <c r="X115" s="215">
        <f>IF(ISNUMBER(X11),IFERROR(X11/X18,""),"")</f>
        <v>0.472644376899696</v>
      </c>
      <c r="Y115" s="215">
        <f>IF(ISNUMBER(Y11),IFERROR(Y11/Y18,""),"")</f>
        <v>0.464694280078895</v>
      </c>
      <c r="Z115" s="215">
        <f>IF(ISNUMBER(Z11),IFERROR(Z11/Z18,""),"")</f>
        <v>0.522408963585434</v>
      </c>
      <c r="AA115" s="215">
        <f>IF(ISNUMBER(AA11),IFERROR(AA11/AA18,""),"")</f>
        <v>0.527443105756359</v>
      </c>
      <c r="AB115" s="215">
        <f>IF(ISNUMBER(AB11),IFERROR(AB11/AB18,""),"")</f>
        <v>0.503382949932341</v>
      </c>
      <c r="AC115" s="215">
        <f>IF(ISNUMBER(AC11),IFERROR(AC11/AC18,""),"")</f>
        <v>0.508238276299113</v>
      </c>
      <c r="AD115" s="215">
        <f>IF(ISNUMBER(AD11),IFERROR(AD11/AD18,""),"")</f>
        <v>0.515394912985274</v>
      </c>
      <c r="AE115" s="215">
        <f>IF(ISNUMBER(AE11),IFERROR(AE11/AE18,""),"")</f>
        <v>0.491978609625669</v>
      </c>
      <c r="AF115" s="215">
        <f>IF(ISNUMBER(AF11),IFERROR(AF11/AF18,""),"")</f>
        <v>0.512258064516129</v>
      </c>
      <c r="AG115" s="215">
        <f>IF(ISNUMBER(AG11),IFERROR(AG11/AG18,""),"")</f>
        <v>0.468571428571429</v>
      </c>
      <c r="AH115" s="215">
        <f>IF(ISNUMBER(AH11),IFERROR(AH11/AH18,""),"")</f>
        <v>0.428139183055976</v>
      </c>
      <c r="AI115" s="215">
        <f>IF(ISNUMBER(AI11),IFERROR(AI11/AI18,""),"")</f>
        <v>0.477627471383975</v>
      </c>
      <c r="AJ115" s="215">
        <f>IF(ISNUMBER(AJ11),IFERROR(AJ11/AJ18,""),"")</f>
        <v>0.475574712643678</v>
      </c>
      <c r="AK115" s="215">
        <f>IF(ISNUMBER(AK11),IFERROR(AK11/AK18,""),"")</f>
        <v>0.535580524344569</v>
      </c>
      <c r="AL115" s="215">
        <f>IF(ISNUMBER(AL11),IFERROR(AL11/AL18,""),"")</f>
        <v>0.509505703422053</v>
      </c>
      <c r="AM115" s="215">
        <f>IF(ISNUMBER(AM11),IFERROR(AM11/AM18,""),"")</f>
        <v>0.523170731707317</v>
      </c>
      <c r="AN115" s="215">
        <f>IF(ISNUMBER(AN11),IFERROR(AN11/AN18,""),"")</f>
        <v>0.507726980038635</v>
      </c>
      <c r="AO115" s="215">
        <f>IF(ISNUMBER(AO11),IFERROR(AO11/AO18,""),"")</f>
        <v>0.523636363636364</v>
      </c>
      <c r="AP115" s="215">
        <f>IF(ISNUMBER(AP11),IFERROR(AP11/AP18,""),"")</f>
        <v>0.620278330019881</v>
      </c>
      <c r="AQ115" s="215">
        <f>IF(ISNUMBER(AQ11),IFERROR(AQ11/AQ18,""),"")</f>
        <v>0.548098434004474</v>
      </c>
      <c r="AR115" s="215">
        <f>IF(ISNUMBER(AR11),IFERROR(AR11/AR18,""),"")</f>
        <v>0.488081725312145</v>
      </c>
      <c r="AS115" s="215">
        <f>IF(ISNUMBER(AS11),IFERROR(AS11/AS18,""),"")</f>
        <v>0.548252911813644</v>
      </c>
      <c r="AT115" s="215">
        <f>IF(ISNUMBER(AT11),IFERROR(AT11/AT18,""),"")</f>
        <v>0.572271386430678</v>
      </c>
      <c r="AU115" s="215">
        <f>IF(ISNUMBER(AU11),IFERROR(AU11/AU18,""),"")</f>
        <v>0.573159366262815</v>
      </c>
      <c r="AV115" s="215">
        <f>IF(ISNUMBER(AV11),IFERROR(AV11/AV18,""),"")</f>
        <v>0.541789577187807</v>
      </c>
      <c r="AW115" s="215">
        <f>IF(ISNUMBER(AW11),IFERROR(AW11/AW18,""),"")</f>
        <v>0.509605662285137</v>
      </c>
      <c r="AX115" s="215">
        <f>IF(ISNUMBER(AX11),IFERROR(AX11/AX18,""),"")</f>
        <v>0.549914571637784</v>
      </c>
      <c r="AY115" s="215">
        <f>IF(ISNUMBER(AY11),IFERROR(AY11/AY18,""),"")</f>
      </c>
      <c r="AZ115" s="215">
        <f>IF(ISNUMBER(AZ11),IFERROR(AZ11/AZ18,""),"")</f>
        <v>0.432160804020101</v>
      </c>
      <c r="BA115" s="215">
        <f>IF(ISNUMBER(BA11),IFERROR(BA11/BA18,""),"")</f>
        <v>0.358296622613803</v>
      </c>
      <c r="BB115" s="215">
        <f>IF(ISNUMBER(BB11),IFERROR(BB11/BB18,""),"")</f>
        <v>0.353191489361702</v>
      </c>
      <c r="BC115" s="215">
        <f>IF(ISNUMBER(BC11),IFERROR(BC11/BC18,""),"")</f>
      </c>
      <c r="BD115" s="215">
        <f>IF(ISNUMBER(BD11),IFERROR(BD11/BD18,""),"")</f>
        <v>0.45995145631068</v>
      </c>
      <c r="BE115" s="215">
        <f>IF(ISNUMBER(BE11),IFERROR(BE11/BE18,""),"")</f>
        <v>0.450058754406581</v>
      </c>
      <c r="BF115" s="215">
        <f>IF(ISNUMBER(BF11),IFERROR(BF11/BF18,""),"")</f>
        <v>0.398046398046398</v>
      </c>
      <c r="BG115" s="215">
        <f>IF(ISNUMBER(BG11),IFERROR(BG11/BG18,""),"")</f>
        <v>0.403341288782816</v>
      </c>
      <c r="BH115" s="215">
        <f>IF(ISNUMBER(BH11),IFERROR(BH11/BH18,""),"")</f>
        <v>0.427671068427371</v>
      </c>
      <c r="BI115" s="215">
        <f>IF(ISNUMBER(BI11),IFERROR(BI11/BI18,""),"")</f>
        <v>0.548022598870056</v>
      </c>
      <c r="BJ115" s="215">
        <f>IF(ISNUMBER(BJ11),IFERROR(BJ11/BJ18,""),"")</f>
        <v>0.551541850220264</v>
      </c>
      <c r="BK115" s="215">
        <f>IF(ISNUMBER(BK11),IFERROR(BK11/BK18,""),"")</f>
        <v>0.537837837837838</v>
      </c>
      <c r="BL115" s="215">
        <f>IF(ISNUMBER(BL11),IFERROR(BL11/BL18,""),"")</f>
        <v>0.490583804143126</v>
      </c>
      <c r="BM115" s="215">
        <f>IF(ISNUMBER(BM11),IFERROR(BM11/BM18,""),"")</f>
        <v>0.532265446224256</v>
      </c>
      <c r="BN115" s="215">
        <f>IF(ISNUMBER(BN11),IFERROR(BN11/BN18,""),"")</f>
        <v>0.539599651871192</v>
      </c>
      <c r="BO115" s="215">
        <f>IF(ISNUMBER(BO11),IFERROR(BO11/BO18,""),"")</f>
        <v>0.520034843205575</v>
      </c>
      <c r="BP115" s="215">
        <f>IF(ISNUMBER(BP11),IFERROR(BP11/BP18,""),"")</f>
        <v>0.538709677419355</v>
      </c>
      <c r="BQ115" s="215">
        <f>IF(ISNUMBER(BQ11),IFERROR(BQ11/BQ18,""),"")</f>
        <v>0.492839090143218</v>
      </c>
      <c r="BR115" s="215">
        <f>IF(ISNUMBER(BR11),IFERROR(BR11/BR18,""),"")</f>
        <v>0.522861981371719</v>
      </c>
      <c r="BS115" s="215">
        <f>IF(ISNUMBER(BS11),IFERROR(BS11/BS18,""),"")</f>
        <v>0.546850998463902</v>
      </c>
      <c r="BT115" s="215">
        <f>IF(ISNUMBER(BT11),IFERROR(BT11/BT18,""),"")</f>
        <v>0.557132188200149</v>
      </c>
      <c r="BU115" s="256">
        <f>IF(ISNUMBER(BU11),IFERROR(BU11/BU18,""),"")</f>
        <v>0.56245047871864</v>
      </c>
      <c r="BV115" s="256">
        <f>IF(ISNUMBER(BV11),IFERROR(BV11/BV18,""),"")</f>
        <v>0.51682325253163</v>
      </c>
      <c r="BW115" s="256">
        <f>IF(ISNUMBER(BW11),IFERROR(BW11/BW18,""),"")</f>
        <v>0.546168172890299</v>
      </c>
      <c r="BX115" s="256">
        <f>IF(ISNUMBER(BX11),IFERROR(BX11/BX18,""),"")</f>
        <v>0.536708926569097</v>
      </c>
      <c r="BY115" s="256">
        <f>IF(ISNUMBER(BY11),IFERROR(BY11/BY18,""),"")</f>
        <v>0.534373356700806</v>
      </c>
      <c r="BZ115" s="256">
        <f>IF(ISNUMBER(BZ11),IFERROR(BZ11/BZ18,""),"")</f>
        <v>0.534373356700806</v>
      </c>
      <c r="CA115" s="256">
        <f>IF(ISNUMBER(CA11),IFERROR(CA11/CA18,""),"")</f>
        <v>0.5320141190964</v>
      </c>
      <c r="CB115" s="256">
        <f>IF(ISNUMBER(CB11),IFERROR(CB11/CB18,""),"")</f>
        <v>0.529653449229626</v>
      </c>
      <c r="CC115" s="153" t="n"/>
      <c r="CE115" s="37">
        <f>IFERROR(AVERAGE(BX115,BY115,BZ115,CA115,CB115),"n/m")</f>
        <v>0.533424641659347</v>
      </c>
      <c r="CF115" s="37">
        <f>IFERROR(AVERAGE(AX115,BC115,BH115,BM115,BR115),"n/m")</f>
        <v>0.508178266915283</v>
      </c>
      <c r="CG115" s="37">
        <f>IFERROR(AVERAGE(Y115,AD115,AI115,AN115,AS115,AX115,BC115,BH115,BM115,BR115),"n/m")</f>
        <v>0.505156624884617</v>
      </c>
      <c r="CH115" s="37">
        <f>IFERROR(AVERAGE(C115,D115,E115,J115,O115,T115,Y115,AD115,AI115,AN115,AS115,AX115,BC115,BH115,BM115,BR115),"n/m")</f>
        <v>0.48075435204083</v>
      </c>
    </row>
    <row r="116" ht="15" customHeight="1" s="251">
      <c r="B116" s="25" t="inlineStr">
        <is>
          <t xml:space="preserve">  Indices asset-linked fees % of Indices</t>
        </is>
      </c>
      <c r="C116" s="215">
        <f>IF(ISNUMBER(C30),IFERROR(C30/C40,""),"")</f>
      </c>
      <c r="D116" s="215">
        <f>IF(ISNUMBER(D30),IFERROR(D30/D40,""),"")</f>
      </c>
      <c r="E116" s="215">
        <f>IF(ISNUMBER(E30),IFERROR(E30/E40,""),"")</f>
      </c>
      <c r="F116" s="215">
        <f>IF(ISNUMBER(F30),IFERROR(F30/F40,""),"")</f>
      </c>
      <c r="G116" s="215">
        <f>IF(ISNUMBER(G30),IFERROR(G30/G40,""),"")</f>
      </c>
      <c r="H116" s="215">
        <f>IF(ISNUMBER(H30),IFERROR(H30/H40,""),"")</f>
      </c>
      <c r="I116" s="215">
        <f>IF(ISNUMBER(I30),IFERROR(I30/I40,""),"")</f>
      </c>
      <c r="J116" s="215">
        <f>IF(ISNUMBER(J30),IFERROR(J30/J40,""),"")</f>
      </c>
      <c r="K116" s="215">
        <f>IF(ISNUMBER(K30),IFERROR(K30/K40,""),"")</f>
      </c>
      <c r="L116" s="215">
        <f>IF(ISNUMBER(L30),IFERROR(L30/L40,""),"")</f>
      </c>
      <c r="M116" s="215">
        <f>IF(ISNUMBER(M30),IFERROR(M30/M40,""),"")</f>
      </c>
      <c r="N116" s="215">
        <f>IF(ISNUMBER(N30),IFERROR(N30/N40,""),"")</f>
      </c>
      <c r="O116" s="215">
        <f>IF(ISNUMBER(O30),IFERROR(O30/O40,""),"")</f>
      </c>
      <c r="P116" s="215">
        <f>IF(ISNUMBER(P30),IFERROR(P30/P40,""),"")</f>
      </c>
      <c r="Q116" s="215">
        <f>IF(ISNUMBER(Q30),IFERROR(Q30/Q40,""),"")</f>
      </c>
      <c r="R116" s="215">
        <f>IF(ISNUMBER(R30),IFERROR(R30/R40,""),"")</f>
      </c>
      <c r="S116" s="215">
        <f>IF(ISNUMBER(S30),IFERROR(S30/S40,""),"")</f>
      </c>
      <c r="T116" s="215">
        <f>IF(ISNUMBER(T30),IFERROR(T30/T40,""),"")</f>
      </c>
      <c r="U116" s="215">
        <f>IF(ISNUMBER(U30),IFERROR(U30/U40,""),"")</f>
        <v>0.56953642384106</v>
      </c>
      <c r="V116" s="215">
        <f>IF(ISNUMBER(V30),IFERROR(V30/V40,""),"")</f>
        <v>0.601307189542484</v>
      </c>
      <c r="W116" s="215">
        <f>IF(ISNUMBER(W30),IFERROR(W30/W40,""),"")</f>
        <v>0.609756097560976</v>
      </c>
      <c r="X116" s="215">
        <f>IF(ISNUMBER(X30),IFERROR(X30/X40,""),"")</f>
        <v>0.608187134502924</v>
      </c>
      <c r="Y116" s="215">
        <f>IF(ISNUMBER(Y30),IFERROR(Y30/Y40,""),"")</f>
        <v>0.596244131455399</v>
      </c>
      <c r="Z116" s="215">
        <f>IF(ISNUMBER(Z30),IFERROR(Z30/Z40,""),"")</f>
        <v>0.631578947368421</v>
      </c>
      <c r="AA116" s="215">
        <f>IF(ISNUMBER(AA30),IFERROR(AA30/AA40,""),"")</f>
        <v>0.619565217391304</v>
      </c>
      <c r="AB116" s="215">
        <f>IF(ISNUMBER(AB30),IFERROR(AB30/AB40,""),"")</f>
        <v>0.631016042780749</v>
      </c>
      <c r="AC116" s="215">
        <f>IF(ISNUMBER(AC30),IFERROR(AC30/AC40,""),"")</f>
        <v>0.633507853403141</v>
      </c>
      <c r="AD116" s="215">
        <f>IF(ISNUMBER(AD30),IFERROR(AD30/AD40,""),"")</f>
        <v>0.628922237380628</v>
      </c>
      <c r="AE116" s="215">
        <f>IF(ISNUMBER(AE30),IFERROR(AE30/AE40,""),"")</f>
        <v>0.61214953271028</v>
      </c>
      <c r="AF116" s="215">
        <f>IF(ISNUMBER(AF30),IFERROR(AF30/AF40,""),"")</f>
        <v>0.645933014354067</v>
      </c>
      <c r="AG116" s="215">
        <f>IF(ISNUMBER(AG30),IFERROR(AG30/AG40,""),"")</f>
        <v>0.639024390243903</v>
      </c>
      <c r="AH116" s="215">
        <f>IF(ISNUMBER(AH30),IFERROR(AH30/AH40,""),"")</f>
        <v>0.586046511627907</v>
      </c>
      <c r="AI116" s="215">
        <f>IF(ISNUMBER(AI30),IFERROR(AI30/AI40,""),"")</f>
        <v>0.623655913978495</v>
      </c>
      <c r="AJ116" s="215">
        <f>IF(ISNUMBER(AJ30),IFERROR(AJ30/AJ40,""),"")</f>
        <v>0.658986175115207</v>
      </c>
      <c r="AK116" s="215">
        <f>IF(ISNUMBER(AK30),IFERROR(AK30/AK40,""),"")</f>
        <v>0.676595744680851</v>
      </c>
      <c r="AL116" s="215">
        <f>IF(ISNUMBER(AL30),IFERROR(AL30/AL40,""),"")</f>
        <v>0.655172413793103</v>
      </c>
      <c r="AM116" s="215">
        <f>IF(ISNUMBER(AM30),IFERROR(AM30/AM40,""),"")</f>
        <v>0.682403433476395</v>
      </c>
      <c r="AN116" s="215">
        <f>IF(ISNUMBER(AN30),IFERROR(AN30/AN40,""),"")</f>
        <v>0.667755991285403</v>
      </c>
      <c r="AO116" s="215">
        <f>IF(ISNUMBER(AO30),IFERROR(AO30/AO40,""),"")</f>
        <v>0.613899613899614</v>
      </c>
      <c r="AP116" s="215">
        <f>IF(ISNUMBER(AP30),IFERROR(AP30/AP40,""),"")</f>
        <v>0.6375</v>
      </c>
      <c r="AQ116" s="215">
        <f>IF(ISNUMBER(AQ30),IFERROR(AQ30/AQ40,""),"")</f>
        <v>0.666666666666667</v>
      </c>
      <c r="AR116" s="215">
        <f>IF(ISNUMBER(AR30),IFERROR(AR30/AR40,""),"")</f>
        <v>0.696498054474708</v>
      </c>
      <c r="AS116" s="215">
        <f>IF(ISNUMBER(AS30),IFERROR(AS30/AS40,""),"")</f>
        <v>0.654196157735086</v>
      </c>
      <c r="AT116" s="215">
        <f>IF(ISNUMBER(AT30),IFERROR(AT30/AT40,""),"")</f>
        <v>0.677777777777778</v>
      </c>
      <c r="AU116" s="215">
        <f>IF(ISNUMBER(AU30),IFERROR(AU30/AU40,""),"")</f>
        <v>0.701438848920863</v>
      </c>
      <c r="AV116" s="215">
        <f>IF(ISNUMBER(AV30),IFERROR(AV30/AV40,""),"")</f>
        <v>0.708053691275168</v>
      </c>
      <c r="AW116" s="215">
        <f>IF(ISNUMBER(AW30),IFERROR(AW30/AW40,""),"")</f>
        <v>0.693069306930693</v>
      </c>
      <c r="AX116" s="215">
        <f>IF(ISNUMBER(AX30),IFERROR(AX30/AX40,""),"")</f>
        <v>0.696257615317668</v>
      </c>
      <c r="AY116" s="215">
        <f>IF(ISNUMBER(AY30),IFERROR(AY30/AY40,""),"")</f>
      </c>
      <c r="AZ116" s="215">
        <f>IF(ISNUMBER(AZ30),IFERROR(AZ30/AZ40,""),"")</f>
        <v>0.631268436578171</v>
      </c>
      <c r="BA116" s="215">
        <f>IF(ISNUMBER(BA30),IFERROR(BA30/BA40,""),"")</f>
        <v>0.62874251497006</v>
      </c>
      <c r="BB116" s="215">
        <f>IF(ISNUMBER(BB30),IFERROR(BB30/BB40,""),"")</f>
        <v>0.63953488372093</v>
      </c>
      <c r="BC116" s="215">
        <f>IF(ISNUMBER(BC30),IFERROR(BC30/BC40,""),"")</f>
      </c>
      <c r="BD116" s="215">
        <f>IF(ISNUMBER(BD30),IFERROR(BD30/BD40,""),"")</f>
        <v>0.6158357771261</v>
      </c>
      <c r="BE116" s="215">
        <f>IF(ISNUMBER(BE30),IFERROR(BE30/BE40,""),"")</f>
        <v>0.60632183908046</v>
      </c>
      <c r="BF116" s="215">
        <f>IF(ISNUMBER(BF30),IFERROR(BF30/BF40,""),"")</f>
        <v>0.615819209039548</v>
      </c>
      <c r="BG116" s="215">
        <f>IF(ISNUMBER(BG30),IFERROR(BG30/BG40,""),"")</f>
        <v>0.613888888888889</v>
      </c>
      <c r="BH116" s="215">
        <f>IF(ISNUMBER(BH30),IFERROR(BH30/BH40,""),"")</f>
        <v>0.612259444048468</v>
      </c>
      <c r="BI116" s="215">
        <f>IF(ISNUMBER(BI30),IFERROR(BI30/BI40,""),"")</f>
        <v>0.630490956072351</v>
      </c>
      <c r="BJ116" s="215">
        <f>IF(ISNUMBER(BJ30),IFERROR(BJ30/BJ40,""),"")</f>
        <v>0.629820051413882</v>
      </c>
      <c r="BK116" s="215">
        <f>IF(ISNUMBER(BK30),IFERROR(BK30/BK40,""),"")</f>
        <v>0.639423076923077</v>
      </c>
      <c r="BL116" s="215">
        <f>IF(ISNUMBER(BL30),IFERROR(BL30/BL40,""),"")</f>
        <v>0.667431192660551</v>
      </c>
      <c r="BM116" s="215">
        <f>IF(ISNUMBER(BM30),IFERROR(BM30/BM40,""),"")</f>
        <v>0.642506142506143</v>
      </c>
      <c r="BN116" s="215">
        <f>IF(ISNUMBER(BN30),IFERROR(BN30/BN40,""),"")</f>
        <v>0.647191011235955</v>
      </c>
      <c r="BO116" s="215">
        <f>IF(ISNUMBER(BO30),IFERROR(BO30/BO40,""),"")</f>
        <v>0.641255605381166</v>
      </c>
      <c r="BP116" s="215">
        <f>IF(ISNUMBER(BP30),IFERROR(BP30/BP40,""),"")</f>
        <v>0.655844155844156</v>
      </c>
      <c r="BQ116" s="215">
        <f>IF(ISNUMBER(BQ30),IFERROR(BQ30/BQ40,""),"")</f>
        <v>0.660642570281125</v>
      </c>
      <c r="BR116" s="215">
        <f>IF(ISNUMBER(BR30),IFERROR(BR30/BR40,""),"")</f>
        <v>0.651891891891892</v>
      </c>
      <c r="BS116" s="215">
        <f>IF(ISNUMBER(BS30),IFERROR(BS30/BS40,""),"")</f>
        <v>0.653179190751445</v>
      </c>
      <c r="BT116" s="215">
        <f>IF(ISNUMBER(BT30),IFERROR(BT30/BT40,""),"")</f>
        <v>0.651685393258427</v>
      </c>
      <c r="BU116" s="256">
        <f>IF(ISNUMBER(BU30),IFERROR(BU30/BU40,""),"")</f>
        <v>0.665035181316176</v>
      </c>
      <c r="BV116" s="256">
        <f>IF(ISNUMBER(BV30),IFERROR(BV30/BV40,""),"")</f>
        <v>0.669328434309351</v>
      </c>
      <c r="BW116" s="256">
        <f>IF(ISNUMBER(BW30),IFERROR(BW30/BW40,""),"")</f>
        <v>0.659872296725593</v>
      </c>
      <c r="BX116" s="256">
        <f>IF(ISNUMBER(BX30),IFERROR(BX30/BX40,""),"")</f>
        <v>0.667259445315168</v>
      </c>
      <c r="BY116" s="256">
        <f>IF(ISNUMBER(BY30),IFERROR(BY30/BY40,""),"")</f>
        <v>0.67251364194028</v>
      </c>
      <c r="BZ116" s="256">
        <f>IF(ISNUMBER(BZ30),IFERROR(BZ30/BZ40,""),"")</f>
        <v>0.678682831684774</v>
      </c>
      <c r="CA116" s="256">
        <f>IF(ISNUMBER(CA30),IFERROR(CA30/CA40,""),"")</f>
        <v>0.682778186024584</v>
      </c>
      <c r="CB116" s="256">
        <f>IF(ISNUMBER(CB30),IFERROR(CB30/CB40,""),"")</f>
        <v>0.686826284470237</v>
      </c>
      <c r="CC116" s="153" t="n"/>
      <c r="CE116" s="37">
        <f>IFERROR(AVERAGE(BX116,BY116,BZ116,CA116,CB116),"n/m")</f>
        <v>0.677612077887008</v>
      </c>
      <c r="CF116" s="37">
        <f>IFERROR(AVERAGE(AX116,BC116,BH116,BM116,BR116),"n/m")</f>
        <v>0.650728773441042</v>
      </c>
      <c r="CG116" s="37">
        <f>IFERROR(AVERAGE(Y116,AD116,AI116,AN116,AS116,AX116,BC116,BH116,BM116,BR116),"n/m")</f>
        <v>0.641521058399909</v>
      </c>
      <c r="CH116" s="37">
        <f>IFERROR(AVERAGE(C116,D116,E116,J116,O116,T116,Y116,AD116,AI116,AN116,AS116,AX116,BC116,BH116,BM116,BR116),"n/m")</f>
        <v>0.641521058399909</v>
      </c>
    </row>
    <row r="117" ht="15" customHeight="1" s="251">
      <c r="B117" s="25" t="inlineStr">
        <is>
          <t xml:space="preserve">  Recurring share (subscription + non-transaction + recurring variable + asset-linked) % of revenue</t>
        </is>
      </c>
      <c r="C117" s="215">
        <f>IF(AND(ISNUMBER(C14),ISNUMBER(C52),ISNUMBER(C74)),IFERROR((C14+C30+C36+C52+C74+C80)/C138,""),"")</f>
      </c>
      <c r="D117" s="215">
        <f>IF(AND(ISNUMBER(D14),ISNUMBER(D52),ISNUMBER(D74)),IFERROR((D14+D30+D36+D52+D74+D80)/D138,""),"")</f>
        <v>0.675518462316641</v>
      </c>
      <c r="E117" s="215">
        <f>IF(AND(ISNUMBER(E14),ISNUMBER(E52),ISNUMBER(E74)),IFERROR((E14+E30+E36+E52+E74+E80)/E138,""),"")</f>
        <v>0.641348314606742</v>
      </c>
      <c r="F117" s="215">
        <f>IF(AND(ISNUMBER(F14),ISNUMBER(F52),ISNUMBER(F74)),IFERROR((F14+F30+F36+F52+F74+F80)/F138,""),"")</f>
        <v>0.63082133784928</v>
      </c>
      <c r="G117" s="215">
        <f>IF(AND(ISNUMBER(G14),ISNUMBER(G52),ISNUMBER(G74)),IFERROR((G14+G30+G36+G52+G74+G80)/G138,""),"")</f>
        <v>0.6072</v>
      </c>
      <c r="H117" s="215">
        <f>IF(AND(ISNUMBER(H14),ISNUMBER(H52),ISNUMBER(H74)),IFERROR((H14+H30+H36+H52+H74+H80)/H138,""),"")</f>
        <v>0.642378559463987</v>
      </c>
      <c r="I117" s="215">
        <f>IF(AND(ISNUMBER(I14),ISNUMBER(I52),ISNUMBER(I74)),IFERROR((I14+I30+I36+I52+I74+I80)/I138,""),"")</f>
        <v>0.6256</v>
      </c>
      <c r="J117" s="215">
        <f>IF(AND(ISNUMBER(J14),ISNUMBER(J52),ISNUMBER(J74)),IFERROR((J14+J30+J36+J52+J74+J80)/J138,""),"")</f>
        <v>0.626461538461539</v>
      </c>
      <c r="K117" s="215">
        <f>IF(AND(ISNUMBER(K14),ISNUMBER(K52),ISNUMBER(K74)),IFERROR((K14+K30+K36+K52+K74+K80)/K138,""),"")</f>
        <v>0.644822006472492</v>
      </c>
      <c r="L117" s="215">
        <f>IF(AND(ISNUMBER(L14),ISNUMBER(L52),ISNUMBER(L74)),IFERROR((L14+L30+L36+L52+L74+L80)/L138,""),"")</f>
        <v>0.606240713224369</v>
      </c>
      <c r="M117" s="215">
        <f>IF(AND(ISNUMBER(M14),ISNUMBER(M52),ISNUMBER(M74)),IFERROR((M14+M30+M36+M52+M74+M80)/M138,""),"")</f>
        <v>0.6270783847981</v>
      </c>
      <c r="N117" s="215">
        <f>IF(AND(ISNUMBER(N14),ISNUMBER(N52),ISNUMBER(N74)),IFERROR((N14+N30+N36+N52+N74+N80)/N138,""),"")</f>
        <v>0.614728682170543</v>
      </c>
      <c r="O117" s="215">
        <f>IF(AND(ISNUMBER(O14),ISNUMBER(O52),ISNUMBER(O74)),IFERROR((O14+O30+O36+O52+O74+O80)/O138,""),"")</f>
        <v>0.619877252029301</v>
      </c>
      <c r="P117" s="215">
        <f>IF(AND(ISNUMBER(P14),ISNUMBER(P52),ISNUMBER(P74)),IFERROR((P14+P30+P36+P52+P74+P80)/P138,""),"")</f>
        <v>0.614296936370778</v>
      </c>
      <c r="Q117" s="215">
        <f>IF(AND(ISNUMBER(Q14),ISNUMBER(Q52),ISNUMBER(Q74)),IFERROR((Q14+Q30+Q36+Q52+Q74+Q80)/Q138,""),"")</f>
        <v>0.599850968703428</v>
      </c>
      <c r="R117" s="215">
        <f>IF(AND(ISNUMBER(R14),ISNUMBER(R52),ISNUMBER(R74)),IFERROR((R14+R30+R36+R52+R74+R80)/R138,""),"")</f>
        <v>0.651057401812689</v>
      </c>
      <c r="S117" s="215">
        <f>IF(AND(ISNUMBER(S14),ISNUMBER(S52),ISNUMBER(S74)),IFERROR((S14+S30+S36+S52+S74+S80)/S138,""),"")</f>
        <v>0.658660844250364</v>
      </c>
      <c r="T117" s="215">
        <f>IF(AND(ISNUMBER(T14),ISNUMBER(T52),ISNUMBER(T74)),IFERROR((T14+T30+T36+T52+T74+T80)/T138,""),"")</f>
        <v>0.6309053265575</v>
      </c>
      <c r="U117" s="215">
        <f>IF(AND(ISNUMBER(U14),ISNUMBER(U52),ISNUMBER(U74)),IFERROR((U14+U30+U36+U52+U74+U80)/U138,""),"")</f>
        <v>0.739746457867263</v>
      </c>
      <c r="V117" s="215">
        <f>IF(AND(ISNUMBER(V14),ISNUMBER(V52),ISNUMBER(V74)),IFERROR((V14+V30+V36+V52+V74+V80)/V138,""),"")</f>
        <v>0.688259109311741</v>
      </c>
      <c r="W117" s="215">
        <f>IF(AND(ISNUMBER(W14),ISNUMBER(W52),ISNUMBER(W74)),IFERROR((W14+W30+W36+W52+W74+W80)/W138,""),"")</f>
        <v>0.724113968033357</v>
      </c>
      <c r="X117" s="215">
        <f>IF(AND(ISNUMBER(X14),ISNUMBER(X52),ISNUMBER(X74)),IFERROR((X14+X30+X36+X52+X74+X80)/X138,""),"")</f>
      </c>
      <c r="Y117" s="215">
        <f>IF(AND(ISNUMBER(Y14),ISNUMBER(Y52),ISNUMBER(Y74)),IFERROR((Y14+Y30+Y36+Y52+Y74+Y80)/Y138,""),"")</f>
      </c>
      <c r="Z117" s="215">
        <f>IF(AND(ISNUMBER(Z14),ISNUMBER(Z52),ISNUMBER(Z74)),IFERROR((Z14+Z30+Z36+Z52+Z74+Z80)/Z138,""),"")</f>
      </c>
      <c r="AA117" s="215">
        <f>IF(AND(ISNUMBER(AA14),ISNUMBER(AA52),ISNUMBER(AA74)),IFERROR((AA14+AA30+AA36+AA52+AA74+AA80)/AA138,""),"")</f>
      </c>
      <c r="AB117" s="215">
        <f>IF(AND(ISNUMBER(AB14),ISNUMBER(AB52),ISNUMBER(AB74)),IFERROR((AB14+AB30+AB36+AB52+AB74+AB80)/AB138,""),"")</f>
      </c>
      <c r="AC117" s="215">
        <f>IF(AND(ISNUMBER(AC14),ISNUMBER(AC52),ISNUMBER(AC74)),IFERROR((AC14+AC30+AC36+AC52+AC74+AC80)/AC138,""),"")</f>
      </c>
      <c r="AD117" s="215">
        <f>IF(AND(ISNUMBER(AD14),ISNUMBER(AD52),ISNUMBER(AD74)),IFERROR((AD14+AD30+AD36+AD52+AD74+AD80)/AD138,""),"")</f>
      </c>
      <c r="AE117" s="215">
        <f>IF(AND(ISNUMBER(AE14),ISNUMBER(AE52),ISNUMBER(AE74)),IFERROR((AE14+AE30+AE36+AE52+AE74+AE80)/AE138,""),"")</f>
        <v>0.733248245054244</v>
      </c>
      <c r="AF117" s="215">
        <f>IF(AND(ISNUMBER(AF14),ISNUMBER(AF52),ISNUMBER(AF74)),IFERROR((AF14+AF30+AF36+AF52+AF74+AF80)/AF138,""),"")</f>
        <v>0.72591671845867</v>
      </c>
      <c r="AG117" s="215">
        <f>IF(AND(ISNUMBER(AG14),ISNUMBER(AG52),ISNUMBER(AG74)),IFERROR((AG14+AG30+AG36+AG52+AG74+AG80)/AG138,""),"")</f>
        <v>0.765200517464424</v>
      </c>
      <c r="AH117" s="215">
        <f>IF(AND(ISNUMBER(AH14),ISNUMBER(AH52),ISNUMBER(AH74)),IFERROR((AH14+AH30+AH36+AH52+AH74+AH80)/AH138,""),"")</f>
        <v>0.782552083333333</v>
      </c>
      <c r="AI117" s="215">
        <f>IF(AND(ISNUMBER(AI14),ISNUMBER(AI52),ISNUMBER(AI74)),IFERROR((AI14+AI30+AI36+AI52+AI74+AI80)/AI138,""),"")</f>
        <v>0.750239693192713</v>
      </c>
      <c r="AJ117" s="215">
        <f>IF(AND(ISNUMBER(AJ14),ISNUMBER(AJ52),ISNUMBER(AJ74)),IFERROR((AJ14+AJ30+AJ36+AJ52+AJ74+AJ80)/AJ138,""),"")</f>
        <v>0.767663908338638</v>
      </c>
      <c r="AK117" s="215">
        <f>IF(AND(ISNUMBER(AK14),ISNUMBER(AK52),ISNUMBER(AK74)),IFERROR((AK14+AK30+AK36+AK52+AK74+AK80)/AK138,""),"")</f>
        <v>0.72593896713615</v>
      </c>
      <c r="AL117" s="215">
        <f>IF(AND(ISNUMBER(AL14),ISNUMBER(AL52),ISNUMBER(AL74)),IFERROR((AL14+AL30+AL36+AL52+AL74+AL80)/AL138,""),"")</f>
        <v>0.741267021906454</v>
      </c>
      <c r="AM117" s="215">
        <f>IF(AND(ISNUMBER(AM14),ISNUMBER(AM52),ISNUMBER(AM74)),IFERROR((AM14+AM30+AM36+AM52+AM74+AM80)/AM138,""),"")</f>
        <v>0.735446685878963</v>
      </c>
      <c r="AN117" s="215">
        <f>IF(AND(ISNUMBER(AN14),ISNUMBER(AN52),ISNUMBER(AN74)),IFERROR((AN14+AN30+AN36+AN52+AN74+AN80)/AN138,""),"")</f>
        <v>0.74414091655471</v>
      </c>
      <c r="AO117" s="215">
        <f>IF(AND(ISNUMBER(AO14),ISNUMBER(AO52),ISNUMBER(AO74)),IFERROR((AO14+AO30+AO36+AO52+AO74+AO80)/AO138,""),"")</f>
        <v>0.727883538633819</v>
      </c>
      <c r="AP117" s="215">
        <f>IF(AND(ISNUMBER(AP14),ISNUMBER(AP52),ISNUMBER(AP74)),IFERROR((AP14+AP30+AP36+AP52+AP74+AP80)/AP138,""),"")</f>
        <v>0.659804426145136</v>
      </c>
      <c r="AQ117" s="215">
        <f>IF(AND(ISNUMBER(AQ14),ISNUMBER(AQ52),ISNUMBER(AQ74)),IFERROR((AQ14+AQ30+AQ36+AQ52+AQ74+AQ80)/AQ138,""),"")</f>
        <v>0.717768147345612</v>
      </c>
      <c r="AR117" s="215">
        <f>IF(AND(ISNUMBER(AR14),ISNUMBER(AR52),ISNUMBER(AR74)),IFERROR((AR14+AR30+AR36+AR52+AR74+AR80)/AR138,""),"")</f>
        <v>0.754686663095876</v>
      </c>
      <c r="AS117" s="215">
        <f>IF(AND(ISNUMBER(AS14),ISNUMBER(AS52),ISNUMBER(AS74)),IFERROR((AS14+AS30+AS36+AS52+AS74+AS80)/AS138,""),"")</f>
        <v>0.713786616500941</v>
      </c>
      <c r="AT117" s="215">
        <f>IF(AND(ISNUMBER(AT14),ISNUMBER(AT52),ISNUMBER(AT74)),IFERROR((AT14+AT30+AT36+AT52+AT74+AT80)/AT138,""),"")</f>
        <v>0.693948412698413</v>
      </c>
      <c r="AU117" s="215">
        <f>IF(AND(ISNUMBER(AU14),ISNUMBER(AU52),ISNUMBER(AU74)),IFERROR((AU14+AU30+AU36+AU52+AU74+AU80)/AU138,""),"")</f>
        <v>0.692307692307692</v>
      </c>
      <c r="AV117" s="215">
        <f>IF(AND(ISNUMBER(AV14),ISNUMBER(AV52),ISNUMBER(AV74)),IFERROR((AV14+AV30+AV36+AV52+AV74+AV80)/AV138,""),"")</f>
        <v>0.719214183037853</v>
      </c>
      <c r="AW117" s="215">
        <f>IF(AND(ISNUMBER(AW14),ISNUMBER(AW52),ISNUMBER(AW74)),IFERROR((AW14+AW30+AW36+AW52+AW74+AW80)/AW138,""),"")</f>
        <v>0.737547892720307</v>
      </c>
      <c r="AX117" s="215">
        <f>IF(AND(ISNUMBER(AX14),ISNUMBER(AX52),ISNUMBER(AX74)),IFERROR((AX14+AX30+AX36+AX52+AX74+AX80)/AX138,""),"")</f>
        <v>0.710738821260697</v>
      </c>
      <c r="AY117" s="215">
        <f>IF(AND(ISNUMBER(AY14),ISNUMBER(AY52),ISNUMBER(AY74)),IFERROR((AY14+AY30+AY36+AY52+AY74+AY80)/AY138,""),"")</f>
      </c>
      <c r="AZ117" s="215">
        <f>IF(AND(ISNUMBER(AZ14),ISNUMBER(AZ52),ISNUMBER(AZ74)),IFERROR((AZ14+AZ30+AZ36+AZ52+AZ74+AZ80)/AZ138,""),"")</f>
        <v>0.700300701637153</v>
      </c>
      <c r="BA117" s="215">
        <f>IF(AND(ISNUMBER(BA14),ISNUMBER(BA52),ISNUMBER(BA74)),IFERROR((BA14+BA30+BA36+BA52+BA74+BA80)/BA138,""),"")</f>
        <v>0.729465221950367</v>
      </c>
      <c r="BB117" s="215">
        <f>IF(AND(ISNUMBER(BB14),ISNUMBER(BB52),ISNUMBER(BB74)),IFERROR((BB14+BB30+BB36+BB52+BB74+BB80)/BB138,""),"")</f>
        <v>0.726251276813075</v>
      </c>
      <c r="BC117" s="215">
        <f>IF(AND(ISNUMBER(BC14),ISNUMBER(BC52),ISNUMBER(BC74)),IFERROR((BC14+BC30+BC36+BC52+BC74+BC80)/BC138,""),"")</f>
      </c>
      <c r="BD117" s="215">
        <f>IF(AND(ISNUMBER(BD14),ISNUMBER(BD52),ISNUMBER(BD74)),IFERROR((BD14+BD30+BD36+BD52+BD74+BD80)/BD138,""),"")</f>
        <v>0.67879746835443</v>
      </c>
      <c r="BE117" s="215">
        <f>IF(AND(ISNUMBER(BE14),ISNUMBER(BE52),ISNUMBER(BE74)),IFERROR((BE14+BE30+BE36+BE52+BE74+BE80)/BE138,""),"")</f>
        <v>0.712350854563044</v>
      </c>
      <c r="BF117" s="215">
        <f>IF(AND(ISNUMBER(BF14),ISNUMBER(BF52),ISNUMBER(BF74)),IFERROR((BF14+BF30+BF36+BF52+BF74+BF80)/BF138,""),"")</f>
        <v>0.736057068741894</v>
      </c>
      <c r="BG117" s="215">
        <f>IF(AND(ISNUMBER(BG14),ISNUMBER(BG52),ISNUMBER(BG74)),IFERROR((BG14+BG30+BG36+BG52+BG74+BG80)/BG138,""),"")</f>
        <v>0.734454314720812</v>
      </c>
      <c r="BH117" s="215">
        <f>IF(AND(ISNUMBER(BH14),ISNUMBER(BH52),ISNUMBER(BH74)),IFERROR((BH14+BH30+BH36+BH52+BH74+BH80)/BH138,""),"")</f>
        <v>0.7152916700008</v>
      </c>
      <c r="BI117" s="215">
        <f>IF(AND(ISNUMBER(BI14),ISNUMBER(BI52),ISNUMBER(BI74)),IFERROR((BI14+BI30+BI36+BI52+BI74+BI80)/BI138,""),"")</f>
        <v>0.668003437410484</v>
      </c>
      <c r="BJ117" s="215">
        <f>IF(AND(ISNUMBER(BJ14),ISNUMBER(BJ52),ISNUMBER(BJ74)),IFERROR((BJ14+BJ30+BJ36+BJ52+BJ74+BJ80)/BJ138,""),"")</f>
        <v>0.675965060580445</v>
      </c>
      <c r="BK117" s="215">
        <f>IF(AND(ISNUMBER(BK14),ISNUMBER(BK52),ISNUMBER(BK74)),IFERROR((BK14+BK30+BK36+BK52+BK74+BK80)/BK138,""),"")</f>
        <v>0.686433566433567</v>
      </c>
      <c r="BL117" s="215">
        <f>IF(AND(ISNUMBER(BL14),ISNUMBER(BL52),ISNUMBER(BL74)),IFERROR((BL14+BL30+BL36+BL52+BL74+BL80)/BL138,""),"")</f>
        <v>0.7043429844098</v>
      </c>
      <c r="BM117" s="215">
        <f>IF(AND(ISNUMBER(BM14),ISNUMBER(BM52),ISNUMBER(BM74)),IFERROR((BM14+BM30+BM36+BM52+BM74+BM80)/BM138,""),"")</f>
        <v>0.68384009009009</v>
      </c>
      <c r="BN117" s="215">
        <f>IF(AND(ISNUMBER(BN14),ISNUMBER(BN52),ISNUMBER(BN74)),IFERROR((BN14+BN30+BN36+BN52+BN74+BN80)/BN138,""),"")</f>
        <v>0.750968126303247</v>
      </c>
      <c r="BO117" s="215">
        <f>IF(AND(ISNUMBER(BO14),ISNUMBER(BO52),ISNUMBER(BO74)),IFERROR((BO14+BO30+BO36+BO52+BO74+BO80)/BO138,""),"")</f>
        <v>0.781429002110341</v>
      </c>
      <c r="BP117" s="215">
        <f>IF(AND(ISNUMBER(BP14),ISNUMBER(BP52),ISNUMBER(BP74)),IFERROR((BP14+BP30+BP36+BP52+BP74+BP80)/BP138,""),"")</f>
        <v>0.771710717397618</v>
      </c>
      <c r="BQ117" s="215">
        <f>IF(AND(ISNUMBER(BQ14),ISNUMBER(BQ52),ISNUMBER(BQ74)),IFERROR((BQ14+BQ30+BQ36+BQ52+BQ74+BQ80)/BQ138,""),"")</f>
        <v>0.794066820276498</v>
      </c>
      <c r="BR117" s="215">
        <f>IF(AND(ISNUMBER(BR14),ISNUMBER(BR52),ISNUMBER(BR74)),IFERROR((BR14+BR30+BR36+BR52+BR74+BR80)/BR138,""),"")</f>
        <v>0.774523511663846</v>
      </c>
      <c r="BS117" s="215">
        <f>IF(AND(ISNUMBER(BS14),ISNUMBER(BS52),ISNUMBER(BS74)),IFERROR((BS14+BS30+BS36+BS52+BS74+BS80)/BS138,""),"")</f>
        <v>0.736884584342212</v>
      </c>
      <c r="BT117" s="215">
        <f>IF(AND(ISNUMBER(BT14),ISNUMBER(BT52),ISNUMBER(BT74)),IFERROR((BT14+BT30+BT36+BT52+BT74+BT80)/BT138,""),"")</f>
        <v>0.759923871669386</v>
      </c>
      <c r="BU117" s="256">
        <f>IF(AND(ISNUMBER(BU14),ISNUMBER(BU52),ISNUMBER(BU74)),IFERROR((BU14+BU30+BU36+BU52+BU74+BU80)/BU138,""),"")</f>
        <v>0.75246385961655</v>
      </c>
      <c r="BV117" s="256">
        <f>IF(AND(ISNUMBER(BV14),ISNUMBER(BV52),ISNUMBER(BV74)),IFERROR((BV14+BV30+BV36+BV52+BV74+BV80)/BV138,""),"")</f>
        <v>0.776378194707322</v>
      </c>
      <c r="BW117" s="256">
        <f>IF(AND(ISNUMBER(BW14),ISNUMBER(BW52),ISNUMBER(BW74)),IFERROR((BW14+BW30+BW36+BW52+BW74+BW80)/BW138,""),"")</f>
        <v>0.756255255458061</v>
      </c>
      <c r="BX117" s="256">
        <f>IF(AND(ISNUMBER(BX14),ISNUMBER(BX52),ISNUMBER(BX74)),IFERROR((BX14+BX30+BX36+BX52+BX74+BX80)/BX138,""),"")</f>
        <v>0.760486173034675</v>
      </c>
      <c r="BY117" s="256">
        <f>IF(AND(ISNUMBER(BY14),ISNUMBER(BY52),ISNUMBER(BY74)),IFERROR((BY14+BY30+BY36+BY52+BY74+BY80)/BY138,""),"")</f>
        <v>0.759157624070136</v>
      </c>
      <c r="BZ117" s="256">
        <f>IF(AND(ISNUMBER(BZ14),ISNUMBER(BZ52),ISNUMBER(BZ74)),IFERROR((BZ14+BZ30+BZ36+BZ52+BZ74+BZ80)/BZ138,""),"")</f>
        <v>0.757562733901256</v>
      </c>
      <c r="CA117" s="256">
        <f>IF(AND(ISNUMBER(CA14),ISNUMBER(CA52),ISNUMBER(CA74)),IFERROR((CA14+CA30+CA36+CA52+CA74+CA80)/CA138,""),"")</f>
        <v>0.757212024869348</v>
      </c>
      <c r="CB117" s="256">
        <f>IF(AND(ISNUMBER(CB14),ISNUMBER(CB52),ISNUMBER(CB74)),IFERROR((CB14+CB30+CB36+CB52+CB74+CB80)/CB138,""),"")</f>
        <v>0.756957526071087</v>
      </c>
      <c r="CC117" s="153" t="n"/>
      <c r="CE117" s="37">
        <f>IFERROR(AVERAGE(BX117,BY117,BZ117,CA117,CB117),"n/m")</f>
        <v>0.758275216389301</v>
      </c>
      <c r="CF117" s="37">
        <f>IFERROR(AVERAGE(AX117,BC117,BH117,BM117,BR117),"n/m")</f>
        <v>0.721098523253858</v>
      </c>
      <c r="CG117" s="37">
        <f>IFERROR(AVERAGE(Y117,AD117,AI117,AN117,AS117,AX117,BC117,BH117,BM117,BR117),"n/m")</f>
        <v>0.727508759894828</v>
      </c>
      <c r="CH117" s="37">
        <f>IFERROR(AVERAGE(C117,D117,E117,J117,O117,T117,Y117,AD117,AI117,AN117,AS117,AX117,BC117,BH117,BM117,BR117),"n/m")</f>
        <v>0.690556017769627</v>
      </c>
    </row>
    <row r="118" ht="15" customHeight="1" s="251">
      <c r="B118" s="22" t="inlineStr">
        <is>
          <t xml:space="preserve">  Contribution to total revenue growth — Ratings (pp)</t>
        </is>
      </c>
      <c r="C118" s="23" t="n"/>
      <c r="D118" s="255">
        <f>IF(AND(ISNUMBER(D18),ISNUMBER(C18)),IFERROR((D18-C18)/C138,""),"")</f>
        <v>0.0197856553998351</v>
      </c>
      <c r="E118" s="255">
        <f>IF(AND(ISNUMBER(E18),ISNUMBER(D18)),IFERROR((E18-D18)/D138,""),"")</f>
        <v>0.0675265553869499</v>
      </c>
      <c r="F118" s="23" t="n"/>
      <c r="G118" s="23" t="n"/>
      <c r="H118" s="23" t="n"/>
      <c r="I118" s="23" t="n"/>
      <c r="J118" s="255">
        <f>IF(AND(ISNUMBER(J18),ISNUMBER(E18)),IFERROR((J18-E18)/E138,""),"")</f>
        <v>0.0539325842696629</v>
      </c>
      <c r="K118" s="255">
        <f>IF(AND(ISNUMBER(K18),ISNUMBER(F18)),IFERROR((K18-F18)/F138,""),"")</f>
        <v>0.00677392040643522</v>
      </c>
      <c r="L118" s="255">
        <f>IF(AND(ISNUMBER(L18),ISNUMBER(G18)),IFERROR((L18-G18)/G138,""),"")</f>
        <v>0.052</v>
      </c>
      <c r="M118" s="255">
        <f>IF(AND(ISNUMBER(M18),ISNUMBER(H18)),IFERROR((M18-H18)/H138,""),"")</f>
        <v>0.0536013400335008</v>
      </c>
      <c r="N118" s="255">
        <f>IF(AND(ISNUMBER(N18),ISNUMBER(I18)),IFERROR((N18-I18)/I138,""),"")</f>
        <v>0.0352</v>
      </c>
      <c r="O118" s="255">
        <f>IF(AND(ISNUMBER(O18),ISNUMBER(J18)),IFERROR((O18-J18)/J138,""),"")</f>
        <v>0.0371282051282051</v>
      </c>
      <c r="P118" s="255">
        <f>IF(AND(ISNUMBER(P18),ISNUMBER(K18)),IFERROR((P18-K18)/K138,""),"")</f>
        <v>0.0299352750809061</v>
      </c>
      <c r="Q118" s="255">
        <f>IF(AND(ISNUMBER(Q18),ISNUMBER(L18)),IFERROR((Q18-L18)/L138,""),"")</f>
        <v>-0.00445765230312036</v>
      </c>
      <c r="R118" s="255">
        <f>IF(AND(ISNUMBER(R18),ISNUMBER(M18)),IFERROR((R18-M18)/M138,""),"")</f>
        <v>-0.0134600158353127</v>
      </c>
      <c r="S118" s="255">
        <f>IF(AND(ISNUMBER(S18),ISNUMBER(N18)),IFERROR((S18-N18)/N138,""),"")</f>
        <v>-0.0310077519379845</v>
      </c>
      <c r="T118" s="255">
        <f>IF(AND(ISNUMBER(T18),ISNUMBER(O18)),IFERROR((T18-O18)/O138,""),"")</f>
        <v>-0.00534547614333795</v>
      </c>
      <c r="U118" s="255">
        <f>IF(AND(ISNUMBER(U18),ISNUMBER(P18)),IFERROR((U18-P18)/P138,""),"")</f>
        <v>-0.0424194815396701</v>
      </c>
      <c r="V118" s="255">
        <f>IF(AND(ISNUMBER(V18),ISNUMBER(Q18)),IFERROR((V18-Q18)/Q138,""),"")</f>
        <v>0.0178837555886736</v>
      </c>
      <c r="W118" s="255">
        <f>IF(AND(ISNUMBER(W18),ISNUMBER(R18)),IFERROR((W18-R18)/R138,""),"")</f>
        <v>0.0415407854984894</v>
      </c>
      <c r="X118" s="255">
        <f>IF(AND(ISNUMBER(X18),ISNUMBER(S18)),IFERROR((X18-S18)/S138,""),"")</f>
        <v>0.0582241630276565</v>
      </c>
      <c r="Y118" s="255">
        <f>IF(AND(ISNUMBER(Y18),ISNUMBER(T18)),IFERROR((Y18-T18)/T138,""),"")</f>
        <v>0.0201392810088462</v>
      </c>
      <c r="Z118" s="255">
        <f>IF(AND(ISNUMBER(Z18),ISNUMBER(U18)),IFERROR((Z18-U18)/U138,""),"")</f>
        <v>0.120805369127517</v>
      </c>
      <c r="AA118" s="255">
        <f>IF(AND(ISNUMBER(AA18),ISNUMBER(V18)),IFERROR((AA18-V18)/V138,""),"")</f>
        <v>0.043859649122807</v>
      </c>
      <c r="AB118" s="255">
        <f>IF(AND(ISNUMBER(AB18),ISNUMBER(W18)),IFERROR((AB18-W18)/W138,""),"")</f>
        <v>0.0674079221681724</v>
      </c>
      <c r="AC118" s="255">
        <f>IF(AND(ISNUMBER(AC18),ISNUMBER(X18)),IFERROR((AC18-X18)/X138,""),"")</f>
        <v>0.093638313080772</v>
      </c>
      <c r="AD118" s="255">
        <f>IF(AND(ISNUMBER(AD18),ISNUMBER(Y18)),IFERROR((AD18-Y18)/Y138,""),"")</f>
        <v>0.0800211976682565</v>
      </c>
      <c r="AE118" s="255">
        <f>IF(AND(ISNUMBER(AE18),ISNUMBER(Z18)),IFERROR((AE18-Z18)/Z138,""),"")</f>
        <v>0.0233998623537509</v>
      </c>
      <c r="AF118" s="255">
        <f>IF(AND(ISNUMBER(AF18),ISNUMBER(AA18)),IFERROR((AF18-AA18)/AA138,""),"")</f>
        <v>0.0185553346587144</v>
      </c>
      <c r="AG118" s="255">
        <f>IF(AND(ISNUMBER(AG18),ISNUMBER(AB18)),IFERROR((AG18-AB18)/AB138,""),"")</f>
        <v>-0.0257766027759418</v>
      </c>
      <c r="AH118" s="255">
        <f>IF(AND(ISNUMBER(AH18),ISNUMBER(AC18)),IFERROR((AH18-AC18)/AC138,""),"")</f>
        <v>-0.0805538074260541</v>
      </c>
      <c r="AI118" s="255">
        <f>IF(AND(ISNUMBER(AI18),ISNUMBER(AD18)),IFERROR((AI18-AD18)/AD138,""),"")</f>
        <v>-0.0173181593270658</v>
      </c>
      <c r="AJ118" s="255">
        <f>IF(AND(ISNUMBER(AJ18),ISNUMBER(AE18)),IFERROR((AJ18-AE18)/AE138,""),"")</f>
        <v>-0.0331844288449266</v>
      </c>
      <c r="AK118" s="255">
        <f>IF(AND(ISNUMBER(AK18),ISNUMBER(AF18)),IFERROR((AK18-AF18)/AF138,""),"")</f>
        <v>0.0161591050341827</v>
      </c>
      <c r="AL118" s="255">
        <f>IF(AND(ISNUMBER(AL18),ISNUMBER(AG18)),IFERROR((AL18-AG18)/AG138,""),"")</f>
        <v>0.0575679172056921</v>
      </c>
      <c r="AM118" s="255">
        <f>IF(AND(ISNUMBER(AM18),ISNUMBER(AH18)),IFERROR((AM18-AH18)/AH138,""),"")</f>
        <v>0.103515625</v>
      </c>
      <c r="AN118" s="255">
        <f>IF(AND(ISNUMBER(AN18),ISNUMBER(AI18)),IFERROR((AN18-AI18)/AI138,""),"")</f>
        <v>0.0356343879833813</v>
      </c>
      <c r="AO118" s="255">
        <f>IF(AND(ISNUMBER(AO18),ISNUMBER(AJ18)),IFERROR((AO18-AJ18)/AJ138,""),"")</f>
        <v>0.0821133036282623</v>
      </c>
      <c r="AP118" s="255">
        <f>IF(AND(ISNUMBER(AP18),ISNUMBER(AK18)),IFERROR((AP18-AK18)/AK138,""),"")</f>
        <v>0.120305164319249</v>
      </c>
      <c r="AQ118" s="255">
        <f>IF(AND(ISNUMBER(AQ18),ISNUMBER(AL18)),IFERROR((AQ18-AL18)/AL138,""),"")</f>
        <v>0.0621669626998224</v>
      </c>
      <c r="AR118" s="255">
        <f>IF(AND(ISNUMBER(AR18),ISNUMBER(AM18)),IFERROR((AR18-AM18)/AM138,""),"")</f>
        <v>0.0351585014409222</v>
      </c>
      <c r="AS118" s="255">
        <f>IF(AND(ISNUMBER(AS18),ISNUMBER(AN18)),IFERROR((AS18-AN18)/AN138,""),"")</f>
        <v>0.0746380056724884</v>
      </c>
      <c r="AT118" s="255">
        <f>IF(AND(ISNUMBER(AT18),ISNUMBER(AO18)),IFERROR((AT18-AO18)/AO138,""),"")</f>
        <v>0.107502799552072</v>
      </c>
      <c r="AU118" s="255">
        <f>IF(AND(ISNUMBER(AU18),ISNUMBER(AP18)),IFERROR((AU18-AP18)/AP138,""),"")</f>
        <v>0.0344827586206897</v>
      </c>
      <c r="AV118" s="255">
        <f>IF(AND(ISNUMBER(AV18),ISNUMBER(AQ18)),IFERROR((AV18-AQ18)/AQ138,""),"")</f>
        <v>0.0666305525460455</v>
      </c>
      <c r="AW118" s="255">
        <f>IF(AND(ISNUMBER(AW18),ISNUMBER(AR18)),IFERROR((AW18-AR18)/AR138,""),"")</f>
        <v>0.0578468130690948</v>
      </c>
      <c r="AX118" s="255">
        <f>IF(AND(ISNUMBER(AX18),ISNUMBER(AS18)),IFERROR((AX18-AS18)/AS138,""),"")</f>
        <v>0.0659768879333513</v>
      </c>
      <c r="AY118" s="255">
        <f>IF(AND(ISNUMBER(AY18),ISNUMBER(AT18)),IFERROR((AY18-AT18)/AT138,""),"")</f>
        <v>-0.0739087301587302</v>
      </c>
      <c r="AZ118" s="255">
        <f>IF(AND(ISNUMBER(AZ18),ISNUMBER(AU18)),IFERROR((AZ18-AU18)/AU138,""),"")</f>
        <v>-0.131528964862298</v>
      </c>
      <c r="BA118" s="255">
        <f>IF(AND(ISNUMBER(BA18),ISNUMBER(AV18)),IFERROR((BA18-AV18)/AV138,""),"")</f>
        <v>-0.16099664590321</v>
      </c>
      <c r="BB118" s="255">
        <f>IF(AND(ISNUMBER(BB18),ISNUMBER(AW18)),IFERROR((BB18-AW18)/AW138,""),"")</f>
        <v>-0.136015325670498</v>
      </c>
      <c r="BC118" s="255">
        <f>IF(AND(ISNUMBER(BC18),ISNUMBER(AX18)),IFERROR((BC18-AX18)/AX138,""),"")</f>
        <v>-0.126190189225021</v>
      </c>
      <c r="BD118" s="255">
        <f>IF(AND(ISNUMBER(BD18),ISNUMBER(AY18)),IFERROR((BD18-AY18)/AY138,""),"")</f>
        <v>-0.0184177480117204</v>
      </c>
      <c r="BE118" s="255">
        <f>IF(AND(ISNUMBER(BE18),ISNUMBER(AZ18)),IFERROR((BE18-AZ18)/AZ138,""),"")</f>
        <v>0.0183762111593719</v>
      </c>
      <c r="BF118" s="255">
        <f>IF(AND(ISNUMBER(BF18),ISNUMBER(BA18)),IFERROR((BF18-BA18)/BA138,""),"")</f>
        <v>0.0482348829080741</v>
      </c>
      <c r="BG118" s="255">
        <f>IF(AND(ISNUMBER(BG18),ISNUMBER(BB18)),IFERROR((BG18-BB18)/BB138,""),"")</f>
        <v>0.04528430371127</v>
      </c>
      <c r="BH118" s="255">
        <f>IF(AND(ISNUMBER(BH18),ISNUMBER(BC18)),IFERROR((BH18-BC18)/BC138,""),"")</f>
        <v>0.0252213576603166</v>
      </c>
      <c r="BI118" s="255">
        <f>IF(AND(ISNUMBER(BI18),ISNUMBER(BD18)),IFERROR((BI18-BD18)/BD138,""),"")</f>
        <v>0.0753164556962025</v>
      </c>
      <c r="BJ118" s="255">
        <f>IF(AND(ISNUMBER(BJ18),ISNUMBER(BE18)),IFERROR((BJ18-BE18)/BE138,""),"")</f>
        <v>0.091583360206385</v>
      </c>
      <c r="BK118" s="255">
        <f>IF(AND(ISNUMBER(BK18),ISNUMBER(BF18)),IFERROR((BK18-BF18)/BF138,""),"")</f>
        <v>0.0943579766536965</v>
      </c>
      <c r="BL118" s="255">
        <f>IF(AND(ISNUMBER(BL18),ISNUMBER(BG18)),IFERROR((BL18-BG18)/BG138,""),"")</f>
        <v>0.0710659898477157</v>
      </c>
      <c r="BM118" s="255">
        <f>IF(AND(ISNUMBER(BM18),ISNUMBER(BH18)),IFERROR((BM18-BH18)/BH138,""),"")</f>
        <v>0.0830599343842522</v>
      </c>
      <c r="BN118" s="255">
        <f>IF(AND(ISNUMBER(BN18),ISNUMBER(BI18)),IFERROR((BN18-BI18)/BI138,""),"")</f>
        <v>0.0249212260097393</v>
      </c>
      <c r="BO118" s="255">
        <f>IF(AND(ISNUMBER(BO18),ISNUMBER(BJ18)),IFERROR((BO18-BJ18)/BJ138,""),"")</f>
        <v>0.00366300366300366</v>
      </c>
      <c r="BP118" s="255">
        <f>IF(AND(ISNUMBER(BP18),ISNUMBER(BK18)),IFERROR((BP18-BK18)/BK138,""),"")</f>
        <v>0.0363636363636364</v>
      </c>
      <c r="BQ118" s="255">
        <f>IF(AND(ISNUMBER(BQ18),ISNUMBER(BL18)),IFERROR((BQ18-BL18)/BL138,""),"")</f>
        <v>0.0347995545657016</v>
      </c>
      <c r="BR118" s="255">
        <f>IF(AND(ISNUMBER(BR18),ISNUMBER(BM18)),IFERROR((BR18-BM18)/BM138,""),"")</f>
        <v>0.0249155405405405</v>
      </c>
      <c r="BS118" s="255">
        <f>IF(AND(ISNUMBER(BS18),ISNUMBER(BN18)),IFERROR((BS18-BN18)/BN138,""),"")</f>
        <v>0.0455764075067024</v>
      </c>
      <c r="BT118" s="255">
        <f>IF(AND(ISNUMBER(BT18),ISNUMBER(BO18)),IFERROR((BT18-BO18)/BO138,""),"")</f>
        <v>0.0575821525474827</v>
      </c>
      <c r="BU118" s="256">
        <f>IF(AND(ISNUMBER(BU18),ISNUMBER(BP18)),IFERROR((BU18-BP18)/BP138,""),"")</f>
        <v>0.0268475549097014</v>
      </c>
      <c r="BV118" s="256">
        <f>IF(AND(ISNUMBER(BV18),ISNUMBER(BQ18)),IFERROR((BV18-BQ18)/BQ138,""),"")</f>
        <v>0.023875487738063</v>
      </c>
      <c r="BW118" s="256">
        <f>IF(AND(ISNUMBER(BW18),ISNUMBER(BR18)),IFERROR((BW18-BR18)/BR138,""),"")</f>
        <v>0.0382170744705759</v>
      </c>
      <c r="BX118" s="256">
        <f>IF(AND(ISNUMBER(BX18),ISNUMBER(BW18)),IFERROR((BX18-BW18)/BW138,""),"")</f>
        <v>0.0173807275364179</v>
      </c>
      <c r="BY118" s="256">
        <f>IF(AND(ISNUMBER(BY18),ISNUMBER(BX18)),IFERROR((BY18-BX18)/BX138,""),"")</f>
        <v>0.0230264405154675</v>
      </c>
      <c r="BZ118" s="256">
        <f>IF(AND(ISNUMBER(BZ18),ISNUMBER(BY18)),IFERROR((BZ18-BY18)/BY138,""),"")</f>
        <v>0.0212548383906685</v>
      </c>
      <c r="CA118" s="256">
        <f>IF(AND(ISNUMBER(CA18),ISNUMBER(BZ18)),IFERROR((CA18-BZ18)/BZ138,""),"")</f>
        <v>0.0192049155391541</v>
      </c>
      <c r="CB118" s="256">
        <f>IF(AND(ISNUMBER(CB18),ISNUMBER(CA18)),IFERROR((CB18-CA18)/CA138,""),"")</f>
        <v>0.0190153084408634</v>
      </c>
      <c r="CC118" s="153" t="n"/>
    </row>
    <row r="119" ht="15" customHeight="1" s="251">
      <c r="B119" s="22" t="inlineStr">
        <is>
          <t xml:space="preserve">  Contribution to total revenue growth — Indices (pp)</t>
        </is>
      </c>
      <c r="C119" s="23" t="n"/>
      <c r="D119" s="255">
        <f>IF(AND(ISNUMBER(D40),ISNUMBER(C40)),IFERROR((D40-C40)/C138,""),"")</f>
        <v>0.0137400384721077</v>
      </c>
      <c r="E119" s="255">
        <f>IF(AND(ISNUMBER(E40),ISNUMBER(D40)),IFERROR((E40-D40)/D138,""),"")</f>
        <v>0.0164390490642387</v>
      </c>
      <c r="F119" s="23" t="n"/>
      <c r="G119" s="23" t="n"/>
      <c r="H119" s="23" t="n"/>
      <c r="I119" s="23" t="n"/>
      <c r="J119" s="255">
        <f>IF(AND(ISNUMBER(J40),ISNUMBER(E40)),IFERROR((J40-E40)/E138,""),"")</f>
        <v>0.0235955056179775</v>
      </c>
      <c r="K119" s="255">
        <f>IF(AND(ISNUMBER(K40),ISNUMBER(F40)),IFERROR((K40-F40)/F138,""),"")</f>
        <v>0.0186282811176969</v>
      </c>
      <c r="L119" s="255">
        <f>IF(AND(ISNUMBER(L40),ISNUMBER(G40)),IFERROR((L40-G40)/G138,""),"")</f>
        <v>0.008</v>
      </c>
      <c r="M119" s="255">
        <f>IF(AND(ISNUMBER(M40),ISNUMBER(H40)),IFERROR((M40-H40)/H138,""),"")</f>
        <v>0.0159128978224456</v>
      </c>
      <c r="N119" s="255">
        <f>IF(AND(ISNUMBER(N40),ISNUMBER(I40)),IFERROR((N40-I40)/I138,""),"")</f>
        <v>0.008</v>
      </c>
      <c r="O119" s="255">
        <f>IF(AND(ISNUMBER(O40),ISNUMBER(J40)),IFERROR((O40-J40)/J138,""),"")</f>
        <v>0.0121025641025641</v>
      </c>
      <c r="P119" s="255">
        <f>IF(AND(ISNUMBER(P40),ISNUMBER(K40)),IFERROR((P40-K40)/K138,""),"")</f>
        <v>0.00485436893203883</v>
      </c>
      <c r="Q119" s="255">
        <f>IF(AND(ISNUMBER(Q40),ISNUMBER(L40)),IFERROR((Q40-L40)/L138,""),"")</f>
        <v>0.0111441307578009</v>
      </c>
      <c r="R119" s="255">
        <f>IF(AND(ISNUMBER(R40),ISNUMBER(M40)),IFERROR((R40-M40)/M138,""),"")</f>
        <v>0.0102929532858274</v>
      </c>
      <c r="S119" s="255">
        <f>IF(AND(ISNUMBER(S40),ISNUMBER(N40)),IFERROR((S40-N40)/N138,""),"")</f>
        <v>0.00852713178294574</v>
      </c>
      <c r="T119" s="255">
        <f>IF(AND(ISNUMBER(T40),ISNUMBER(O40)),IFERROR((T40-O40)/O138,""),"")</f>
        <v>0.00890912690556325</v>
      </c>
      <c r="U119" s="255">
        <f>IF(AND(ISNUMBER(U40),ISNUMBER(P40)),IFERROR((U40-P40)/P138,""),"")</f>
        <v>0.00628436763550668</v>
      </c>
      <c r="V119" s="255">
        <f>IF(AND(ISNUMBER(V40),ISNUMBER(Q40)),IFERROR((V40-Q40)/Q138,""),"")</f>
        <v>0.003725782414307</v>
      </c>
      <c r="W119" s="255">
        <f>IF(AND(ISNUMBER(W40),ISNUMBER(R40)),IFERROR((W40-R40)/R138,""),"")</f>
        <v>0.00604229607250755</v>
      </c>
      <c r="X119" s="255">
        <f>IF(AND(ISNUMBER(X40),ISNUMBER(S40)),IFERROR((X40-S40)/S138,""),"")</f>
        <v>0.0145560407569141</v>
      </c>
      <c r="Y119" s="255">
        <f>IF(AND(ISNUMBER(Y40),ISNUMBER(T40)),IFERROR((Y40-T40)/T138,""),"")</f>
        <v>0.00790513833992095</v>
      </c>
      <c r="Z119" s="255">
        <f>IF(AND(ISNUMBER(Z40),ISNUMBER(U40)),IFERROR((Z40-U40)/U138,""),"")</f>
        <v>0.0149142431021626</v>
      </c>
      <c r="AA119" s="255">
        <f>IF(AND(ISNUMBER(AA40),ISNUMBER(V40)),IFERROR((AA40-V40)/V138,""),"")</f>
        <v>0.0209176788124157</v>
      </c>
      <c r="AB119" s="255">
        <f>IF(AND(ISNUMBER(AB40),ISNUMBER(W40)),IFERROR((AB40-W40)/W138,""),"")</f>
        <v>0.0159833217512161</v>
      </c>
      <c r="AC119" s="255">
        <f>IF(AND(ISNUMBER(AC40),ISNUMBER(X40)),IFERROR((AC40-X40)/X138,""),"")</f>
        <v>0.0142959256611866</v>
      </c>
      <c r="AD119" s="255">
        <f>IF(AND(ISNUMBER(AD40),ISNUMBER(Y40)),IFERROR((AD40-Y40)/Y138,""),"")</f>
        <v>0.0166048401342519</v>
      </c>
      <c r="AE119" s="255">
        <f>IF(AND(ISNUMBER(AE40),ISNUMBER(Z40)),IFERROR((AE40-Z40)/Z138,""),"")</f>
        <v>0.0295939435650379</v>
      </c>
      <c r="AF119" s="255">
        <f>IF(AND(ISNUMBER(AF40),ISNUMBER(AA40)),IFERROR((AF40-AA40)/AA138,""),"")</f>
        <v>0.0165672630881378</v>
      </c>
      <c r="AG119" s="255">
        <f>IF(AND(ISNUMBER(AG40),ISNUMBER(AB40)),IFERROR((AG40-AB40)/AB138,""),"")</f>
        <v>0.0118968935888962</v>
      </c>
      <c r="AH119" s="255">
        <f>IF(AND(ISNUMBER(AH40),ISNUMBER(AC40)),IFERROR((AH40-AC40)/AC138,""),"")</f>
        <v>0.0151038388923851</v>
      </c>
      <c r="AI119" s="255">
        <f>IF(AND(ISNUMBER(AI40),ISNUMBER(AD40)),IFERROR((AI40-AD40)/AD138,""),"")</f>
        <v>0.0171532244763319</v>
      </c>
      <c r="AJ119" s="255">
        <f>IF(AND(ISNUMBER(AJ40),ISNUMBER(AE40)),IFERROR((AJ40-AE40)/AE138,""),"")</f>
        <v>0.001914486279515</v>
      </c>
      <c r="AK119" s="255">
        <f>IF(AND(ISNUMBER(AK40),ISNUMBER(AF40)),IFERROR((AK40-AF40)/AF138,""),"")</f>
        <v>0.0161591050341827</v>
      </c>
      <c r="AL119" s="255">
        <f>IF(AND(ISNUMBER(AL40),ISNUMBER(AG40)),IFERROR((AL40-AG40)/AG138,""),"")</f>
        <v>0.0174644243208279</v>
      </c>
      <c r="AM119" s="255">
        <f>IF(AND(ISNUMBER(AM40),ISNUMBER(AH40)),IFERROR((AM40-AH40)/AH138,""),"")</f>
        <v>0.01171875</v>
      </c>
      <c r="AN119" s="255">
        <f>IF(AND(ISNUMBER(AN40),ISNUMBER(AI40)),IFERROR((AN40-AI40)/AI138,""),"")</f>
        <v>0.0129434324065197</v>
      </c>
      <c r="AO119" s="255">
        <f>IF(AND(ISNUMBER(AO40),ISNUMBER(AJ40)),IFERROR((AO40-AJ40)/AJ138,""),"")</f>
        <v>0.0267345639719924</v>
      </c>
      <c r="AP119" s="255">
        <f>IF(AND(ISNUMBER(AP40),ISNUMBER(AK40)),IFERROR((AP40-AK40)/AK138,""),"")</f>
        <v>0.00293427230046948</v>
      </c>
      <c r="AQ119" s="255">
        <f>IF(AND(ISNUMBER(AQ40),ISNUMBER(AL40)),IFERROR((AQ40-AL40)/AL138,""),"")</f>
        <v>0.00118413262285376</v>
      </c>
      <c r="AR119" s="255">
        <f>IF(AND(ISNUMBER(AR40),ISNUMBER(AM40)),IFERROR((AR40-AM40)/AM138,""),"")</f>
        <v>0.0138328530259366</v>
      </c>
      <c r="AS119" s="255">
        <f>IF(AND(ISNUMBER(AS40),ISNUMBER(AN40)),IFERROR((AS40-AN40)/AN138,""),"")</f>
        <v>0.0105985968054934</v>
      </c>
      <c r="AT119" s="255">
        <f>IF(AND(ISNUMBER(AT40),ISNUMBER(AO40)),IFERROR((AT40-AO40)/AO138,""),"")</f>
        <v>0.00615901455767077</v>
      </c>
      <c r="AU119" s="255">
        <f>IF(AND(ISNUMBER(AU40),ISNUMBER(AP40)),IFERROR((AU40-AP40)/AP138,""),"")</f>
        <v>0.0195573854863613</v>
      </c>
      <c r="AV119" s="255">
        <f>IF(AND(ISNUMBER(AV40),ISNUMBER(AQ40)),IFERROR((AV40-AQ40)/AQ138,""),"")</f>
        <v>0.0346695557963164</v>
      </c>
      <c r="AW119" s="255">
        <f>IF(AND(ISNUMBER(AW40),ISNUMBER(AR40)),IFERROR((AW40-AR40)/AR138,""),"")</f>
        <v>0.0246384574183182</v>
      </c>
      <c r="AX119" s="255">
        <f>IF(AND(ISNUMBER(AX40),ISNUMBER(AS40)),IFERROR((AX40-AS40)/AS138,""),"")</f>
        <v>0.0214995968825585</v>
      </c>
      <c r="AY119" s="255">
        <f>IF(AND(ISNUMBER(AY40),ISNUMBER(AT40)),IFERROR((AY40-AT40)/AT138,""),"")</f>
        <v>0.0257936507936508</v>
      </c>
      <c r="AZ119" s="255">
        <f>IF(AND(ISNUMBER(AZ40),ISNUMBER(AU40)),IFERROR((AZ40-AU40)/AU138,""),"")</f>
        <v>0.0289648622981956</v>
      </c>
      <c r="BA119" s="255">
        <f>IF(AND(ISNUMBER(BA40),ISNUMBER(AV40)),IFERROR((BA40-AV40)/AV138,""),"")</f>
        <v>0.0172496406324868</v>
      </c>
      <c r="BB119" s="255">
        <f>IF(AND(ISNUMBER(BB40),ISNUMBER(AW40)),IFERROR((BB40-AW40)/AW138,""),"")</f>
        <v>0.0196360153256705</v>
      </c>
      <c r="BC119" s="255">
        <f>IF(AND(ISNUMBER(BC40),ISNUMBER(AX40)),IFERROR((BC40-AX40)/AX138,""),"")</f>
        <v>0.0228998433168615</v>
      </c>
      <c r="BD119" s="255">
        <f>IF(AND(ISNUMBER(BD40),ISNUMBER(AY40)),IFERROR((BD40-AY40)/AY138,""),"")</f>
        <v>0.00795311845960653</v>
      </c>
      <c r="BE119" s="255">
        <f>IF(AND(ISNUMBER(BE40),ISNUMBER(AZ40)),IFERROR((BE40-AZ40)/AZ138,""),"")</f>
        <v>0.00300701637153358</v>
      </c>
      <c r="BF119" s="255">
        <f>IF(AND(ISNUMBER(BF40),ISNUMBER(BA40)),IFERROR((BF40-BA40)/BA138,""),"")</f>
        <v>0.00699056274030059</v>
      </c>
      <c r="BG119" s="255">
        <f>IF(AND(ISNUMBER(BG40),ISNUMBER(BB40)),IFERROR((BG40-BB40)/BB138,""),"")</f>
        <v>0.00544773578481444</v>
      </c>
      <c r="BH119" s="255">
        <f>IF(AND(ISNUMBER(BH40),ISNUMBER(BC40)),IFERROR((BH40-BC40)/BC138,""),"")</f>
        <v>0.00572399606475271</v>
      </c>
      <c r="BI119" s="255">
        <f>IF(AND(ISNUMBER(BI40),ISNUMBER(BD40)),IFERROR((BI40-BD40)/BD138,""),"")</f>
        <v>0.0145569620253165</v>
      </c>
      <c r="BJ119" s="255">
        <f>IF(AND(ISNUMBER(BJ40),ISNUMBER(BE40)),IFERROR((BJ40-BE40)/BE138,""),"")</f>
        <v>0.0132215414382457</v>
      </c>
      <c r="BK119" s="255">
        <f>IF(AND(ISNUMBER(BK40),ISNUMBER(BF40)),IFERROR((BK40-BF40)/BF138,""),"")</f>
        <v>0.0201037613488975</v>
      </c>
      <c r="BL119" s="255">
        <f>IF(AND(ISNUMBER(BL40),ISNUMBER(BG40)),IFERROR((BL40-BG40)/BG138,""),"")</f>
        <v>0.0241116751269036</v>
      </c>
      <c r="BM119" s="255">
        <f>IF(AND(ISNUMBER(BM40),ISNUMBER(BH40)),IFERROR((BM40-BH40)/BH138,""),"")</f>
        <v>0.0180043210370489</v>
      </c>
      <c r="BN119" s="255">
        <f>IF(AND(ISNUMBER(BN40),ISNUMBER(BI40)),IFERROR((BN40-BI40)/BI138,""),"")</f>
        <v>0.0166141506731596</v>
      </c>
      <c r="BO119" s="255">
        <f>IF(AND(ISNUMBER(BO40),ISNUMBER(BJ40)),IFERROR((BO40-BJ40)/BJ138,""),"")</f>
        <v>0.0160608622147084</v>
      </c>
      <c r="BP119" s="255">
        <f>IF(AND(ISNUMBER(BP40),ISNUMBER(BK40)),IFERROR((BP40-BK40)/BK138,""),"")</f>
        <v>0.0128671328671329</v>
      </c>
      <c r="BQ119" s="255">
        <f>IF(AND(ISNUMBER(BQ40),ISNUMBER(BL40)),IFERROR((BQ40-BL40)/BL138,""),"")</f>
        <v>0.017260579064588</v>
      </c>
      <c r="BR119" s="255">
        <f>IF(AND(ISNUMBER(BR40),ISNUMBER(BM40)),IFERROR((BR40-BM40)/BM138,""),"")</f>
        <v>0.015625</v>
      </c>
      <c r="BS119" s="255">
        <f>IF(AND(ISNUMBER(BS40),ISNUMBER(BN40)),IFERROR((BS40-BN40)/BN138,""),"")</f>
        <v>0.022043491212392</v>
      </c>
      <c r="BT119" s="255">
        <f>IF(AND(ISNUMBER(BT40),ISNUMBER(BO40)),IFERROR((BT40-BO40)/BO138,""),"")</f>
        <v>0.0265299969852276</v>
      </c>
      <c r="BU119" s="256">
        <f>IF(AND(ISNUMBER(BU40),ISNUMBER(BP40)),IFERROR((BU40-BP40)/BP138,""),"")</f>
        <v>0.0141226547921</v>
      </c>
      <c r="BV119" s="256">
        <f>IF(AND(ISNUMBER(BV40),ISNUMBER(BQ40)),IFERROR((BV40-BQ40)/BQ138,""),"")</f>
        <v>0.0152315431538757</v>
      </c>
      <c r="BW119" s="256">
        <f>IF(AND(ISNUMBER(BW40),ISNUMBER(BR40)),IFERROR((BW40-BR40)/BR138,""),"")</f>
        <v>0.0194648773478149</v>
      </c>
      <c r="BX119" s="256">
        <f>IF(AND(ISNUMBER(BX40),ISNUMBER(BW40)),IFERROR((BX40-BW40)/BW138,""),"")</f>
        <v>0.0127834377338156</v>
      </c>
      <c r="BY119" s="256">
        <f>IF(AND(ISNUMBER(BY40),ISNUMBER(BX40)),IFERROR((BY40-BX40)/BX138,""),"")</f>
        <v>0.0121501303063564</v>
      </c>
      <c r="BZ119" s="256">
        <f>IF(AND(ISNUMBER(BZ40),ISNUMBER(BY40)),IFERROR((BZ40-BY40)/BY138,""),"")</f>
        <v>0.0120628745139747</v>
      </c>
      <c r="CA119" s="256">
        <f>IF(AND(ISNUMBER(CA40),ISNUMBER(BZ40)),IFERROR((CA40-BZ40)/BZ138,""),"")</f>
        <v>0.0111918124505208</v>
      </c>
      <c r="CB119" s="256">
        <f>IF(AND(ISNUMBER(CB40),ISNUMBER(CA40)),IFERROR((CB40-CA40)/CA138,""),"")</f>
        <v>0.0112919247406618</v>
      </c>
      <c r="CC119" s="153" t="n"/>
    </row>
    <row r="120" ht="15" customHeight="1" s="251">
      <c r="B120" s="22" t="inlineStr">
        <is>
          <t xml:space="preserve">  Contribution to total revenue growth — Energy (pp)</t>
        </is>
      </c>
      <c r="C120" s="23" t="n"/>
      <c r="D120" s="255">
        <f>IF(AND(ISNUMBER(D62),ISNUMBER(C62)),IFERROR((D62-C62)/C138,""),"")</f>
        <v>0.0233580654025831</v>
      </c>
      <c r="E120" s="255">
        <f>IF(AND(ISNUMBER(E62),ISNUMBER(D62)),IFERROR((E62-D62)/D138,""),"")</f>
        <v>0.0194739504299444</v>
      </c>
      <c r="F120" s="23" t="n"/>
      <c r="G120" s="23" t="n"/>
      <c r="H120" s="23" t="n"/>
      <c r="I120" s="23" t="n"/>
      <c r="J120" s="255">
        <f>IF(AND(ISNUMBER(J62),ISNUMBER(E62)),IFERROR((J62-E62)/E138,""),"")</f>
        <v>0.00921348314606742</v>
      </c>
      <c r="K120" s="255">
        <f>IF(AND(ISNUMBER(K62),ISNUMBER(F62)),IFERROR((K62-F62)/F138,""),"")</f>
        <v>0.012701100762066</v>
      </c>
      <c r="L120" s="255">
        <f>IF(AND(ISNUMBER(L62),ISNUMBER(G62)),IFERROR((L62-G62)/G138,""),"")</f>
        <v>0.0032</v>
      </c>
      <c r="M120" s="255">
        <f>IF(AND(ISNUMBER(M62),ISNUMBER(H62)),IFERROR((M62-H62)/H138,""),"")</f>
        <v>-0.0234505862646566</v>
      </c>
      <c r="N120" s="255">
        <f>IF(AND(ISNUMBER(N62),ISNUMBER(I62)),IFERROR((N62-I62)/I138,""),"")</f>
        <v>-0.0224</v>
      </c>
      <c r="O120" s="255">
        <f>IF(AND(ISNUMBER(O62),ISNUMBER(J62)),IFERROR((O62-J62)/J138,""),"")</f>
        <v>-0.0248205128205128</v>
      </c>
      <c r="P120" s="255">
        <f>IF(AND(ISNUMBER(P62),ISNUMBER(K62)),IFERROR((P62-K62)/K138,""),"")</f>
        <v>-0.0210355987055016</v>
      </c>
      <c r="Q120" s="255">
        <f>IF(AND(ISNUMBER(Q62),ISNUMBER(L62)),IFERROR((Q62-L62)/L138,""),"")</f>
        <v>-0.0215453194650817</v>
      </c>
      <c r="R120" s="255">
        <f>IF(AND(ISNUMBER(R62),ISNUMBER(M62)),IFERROR((R62-M62)/M138,""),"")</f>
        <v>0.0166270783847981</v>
      </c>
      <c r="S120" s="255">
        <f>IF(AND(ISNUMBER(S62),ISNUMBER(N62)),IFERROR((S62-N62)/N138,""),"")</f>
        <v>0.0217054263565891</v>
      </c>
      <c r="T120" s="255">
        <f>IF(AND(ISNUMBER(T62),ISNUMBER(O62)),IFERROR((T62-O62)/O138,""),"")</f>
        <v>0.0154424866363096</v>
      </c>
      <c r="U120" s="255">
        <f>IF(AND(ISNUMBER(U62),ISNUMBER(P62)),IFERROR((U62-P62)/P138,""),"")</f>
        <v>0.0227808326787117</v>
      </c>
      <c r="V120" s="255">
        <f>IF(AND(ISNUMBER(V62),ISNUMBER(Q62)),IFERROR((V62-Q62)/Q138,""),"")</f>
        <v>0.0156482861400894</v>
      </c>
      <c r="W120" s="255">
        <f>IF(AND(ISNUMBER(W62),ISNUMBER(R62)),IFERROR((W62-R62)/R138,""),"")</f>
        <v>-0.0143504531722054</v>
      </c>
      <c r="X120" s="255">
        <f>IF(AND(ISNUMBER(X62),ISNUMBER(S62)),IFERROR((X62-S62)/S138,""),"")</f>
        <v>-0.0553129548762737</v>
      </c>
      <c r="Y120" s="255">
        <f>IF(AND(ISNUMBER(Y62),ISNUMBER(T62)),IFERROR((Y62-T62)/T138,""),"")</f>
        <v>-0.0487483530961792</v>
      </c>
      <c r="Z120" s="255">
        <f>IF(AND(ISNUMBER(Z62),ISNUMBER(U62)),IFERROR((Z62-U62)/U138,""),"")</f>
        <v>-0.0469798657718121</v>
      </c>
      <c r="AA120" s="255">
        <f>IF(AND(ISNUMBER(AA62),ISNUMBER(V62)),IFERROR((AA62-V62)/V138,""),"")</f>
        <v>-0.0425101214574899</v>
      </c>
      <c r="AB120" s="255">
        <f>IF(AND(ISNUMBER(AB62),ISNUMBER(W62)),IFERROR((AB62-W62)/W138,""),"")</f>
        <v>-0.0250173731758165</v>
      </c>
      <c r="AC120" s="255">
        <f>IF(AND(ISNUMBER(AC62),ISNUMBER(X62)),IFERROR((AC62-X62)/X138,""),"")</f>
        <v>0.00643316654753395</v>
      </c>
      <c r="AD120" s="255">
        <f>IF(AND(ISNUMBER(AD62),ISNUMBER(Y62)),IFERROR((AD62-Y62)/Y138,""),"")</f>
        <v>0.0109521285991874</v>
      </c>
      <c r="AE120" s="255">
        <f>IF(AND(ISNUMBER(AE62),ISNUMBER(Z62)),IFERROR((AE62-Z62)/Z138,""),"")</f>
        <v>0.00344115622849277</v>
      </c>
      <c r="AF120" s="255">
        <f>IF(AND(ISNUMBER(AF62),ISNUMBER(AA62)),IFERROR((AF62-AA62)/AA138,""),"")</f>
        <v>0.00861497680583168</v>
      </c>
      <c r="AG120" s="255">
        <f>IF(AND(ISNUMBER(AG62),ISNUMBER(AB62)),IFERROR((AG62-AB62)/AB138,""),"")</f>
        <v>0.00727032385988103</v>
      </c>
      <c r="AH120" s="255">
        <f>IF(AND(ISNUMBER(AH62),ISNUMBER(AC62)),IFERROR((AH62-AC62)/AC138,""),"")</f>
        <v>0.00818124606670862</v>
      </c>
      <c r="AI120" s="255">
        <f>IF(AND(ISNUMBER(AI62),ISNUMBER(AD62)),IFERROR((AI62-AD62)/AD138,""),"")</f>
        <v>0.00676232888009236</v>
      </c>
      <c r="AJ120" s="255">
        <f>IF(AND(ISNUMBER(AJ62),ISNUMBER(AE62)),IFERROR((AJ62-AE62)/AE138,""),"")</f>
        <v>0.00701978302488832</v>
      </c>
      <c r="AK120" s="255">
        <f>IF(AND(ISNUMBER(AK62),ISNUMBER(AF62)),IFERROR((AK62-AF62)/AF138,""),"")</f>
        <v>0.00497203231821007</v>
      </c>
      <c r="AL120" s="255">
        <f>IF(AND(ISNUMBER(AL62),ISNUMBER(AG62)),IFERROR((AL62-AG62)/AG138,""),"")</f>
        <v>0.00517464424320828</v>
      </c>
      <c r="AM120" s="255">
        <f>IF(AND(ISNUMBER(AM62),ISNUMBER(AH62)),IFERROR((AM62-AH62)/AH138,""),"")</f>
        <v>0.001953125</v>
      </c>
      <c r="AN120" s="255">
        <f>IF(AND(ISNUMBER(AN62),ISNUMBER(AI62)),IFERROR((AN62-AI62)/AI138,""),"")</f>
        <v>0.00463406839245765</v>
      </c>
      <c r="AO120" s="255">
        <f>IF(AND(ISNUMBER(AO62),ISNUMBER(AJ62)),IFERROR((AO62-AJ62)/AJ138,""),"")</f>
        <v>0.00509229789942712</v>
      </c>
      <c r="AP120" s="255">
        <f>IF(AND(ISNUMBER(AP62),ISNUMBER(AK62)),IFERROR((AP62-AK62)/AK138,""),"")</f>
        <v>0.00234741784037559</v>
      </c>
      <c r="AQ120" s="255">
        <f>IF(AND(ISNUMBER(AQ62),ISNUMBER(AL62)),IFERROR((AQ62-AL62)/AL138,""),"")</f>
        <v>0.0059206631142688</v>
      </c>
      <c r="AR120" s="255">
        <f>IF(AND(ISNUMBER(AR62),ISNUMBER(AM62)),IFERROR((AR62-AM62)/AM138,""),"")</f>
        <v>0.00576368876080692</v>
      </c>
      <c r="AS120" s="255">
        <f>IF(AND(ISNUMBER(AS62),ISNUMBER(AN62)),IFERROR((AS62-AN62)/AN138,""),"")</f>
        <v>0.00507538438572921</v>
      </c>
      <c r="AT120" s="255">
        <f>IF(AND(ISNUMBER(AT62),ISNUMBER(AO62)),IFERROR((AT62-AO62)/AO138,""),"")</f>
        <v>0.00559910414333707</v>
      </c>
      <c r="AU120" s="255">
        <f>IF(AND(ISNUMBER(AU62),ISNUMBER(AP62)),IFERROR((AU62-AP62)/AP138,""),"")</f>
        <v>0.00977869274318065</v>
      </c>
      <c r="AV120" s="255">
        <f>IF(AND(ISNUMBER(AV62),ISNUMBER(AQ62)),IFERROR((AV62-AQ62)/AQ138,""),"")</f>
        <v>0.00920910075839653</v>
      </c>
      <c r="AW120" s="255">
        <f>IF(AND(ISNUMBER(AW62),ISNUMBER(AR62)),IFERROR((AW62-AR62)/AR138,""),"")</f>
        <v>0.013926084627745</v>
      </c>
      <c r="AX120" s="255">
        <f>IF(AND(ISNUMBER(AX62),ISNUMBER(AS62)),IFERROR((AX62-AS62)/AS138,""),"")</f>
        <v>0.0096748185971513</v>
      </c>
      <c r="AY120" s="255">
        <f>IF(AND(ISNUMBER(AY62),ISNUMBER(AT62)),IFERROR((AY62-AT62)/AT138,""),"")</f>
        <v>0.068452380952381</v>
      </c>
      <c r="AZ120" s="255">
        <f>IF(AND(ISNUMBER(AZ62),ISNUMBER(AU62)),IFERROR((AZ62-AU62)/AU138,""),"")</f>
        <v>0.0959164292497626</v>
      </c>
      <c r="BA120" s="255">
        <f>IF(AND(ISNUMBER(BA62),ISNUMBER(AV62)),IFERROR((BA62-AV62)/AV138,""),"")</f>
        <v>0.0924772400574988</v>
      </c>
      <c r="BB120" s="255">
        <f>IF(AND(ISNUMBER(BB62),ISNUMBER(AW62)),IFERROR((BB62-AW62)/AW138,""),"")</f>
        <v>0.0967432950191571</v>
      </c>
      <c r="BC120" s="255">
        <f>IF(AND(ISNUMBER(BC62),ISNUMBER(AX62)),IFERROR((BC62-AX62)/AX138,""),"")</f>
        <v>0.0885862359889117</v>
      </c>
      <c r="BD120" s="255">
        <f>IF(AND(ISNUMBER(BD62),ISNUMBER(AY62)),IFERROR((BD62-AY62)/AY138,""),"")</f>
        <v>0.0606948514022604</v>
      </c>
      <c r="BE120" s="255">
        <f>IF(AND(ISNUMBER(BE62),ISNUMBER(AZ62)),IFERROR((BE62-AZ62)/AZ138,""),"")</f>
        <v>0.00801871032408954</v>
      </c>
      <c r="BF120" s="255">
        <f>IF(AND(ISNUMBER(BF62),ISNUMBER(BA62)),IFERROR((BF62-BA62)/BA138,""),"")</f>
        <v>0.0164278224397064</v>
      </c>
      <c r="BG120" s="255">
        <f>IF(AND(ISNUMBER(BG62),ISNUMBER(BB62)),IFERROR((BG62-BB62)/BB138,""),"")</f>
        <v>0.0156622403813415</v>
      </c>
      <c r="BH120" s="255">
        <f>IF(AND(ISNUMBER(BH62),ISNUMBER(BC62)),IFERROR((BH62-BC62)/BC138,""),"")</f>
        <v>0.0233431714515696</v>
      </c>
      <c r="BI120" s="255">
        <f>IF(AND(ISNUMBER(BI62),ISNUMBER(BD62)),IFERROR((BI62-BD62)/BD138,""),"")</f>
        <v>0.0161392405063291</v>
      </c>
      <c r="BJ120" s="255">
        <f>IF(AND(ISNUMBER(BJ62),ISNUMBER(BE62)),IFERROR((BJ62-BE62)/BE138,""),"")</f>
        <v>0.017413737504031</v>
      </c>
      <c r="BK120" s="255">
        <f>IF(AND(ISNUMBER(BK62),ISNUMBER(BF62)),IFERROR((BK62-BF62)/BF138,""),"")</f>
        <v>0.0139429312581064</v>
      </c>
      <c r="BL120" s="255">
        <f>IF(AND(ISNUMBER(BL62),ISNUMBER(BG62)),IFERROR((BL62-BG62)/BG138,""),"")</f>
        <v>0.0152284263959391</v>
      </c>
      <c r="BM120" s="255">
        <f>IF(AND(ISNUMBER(BM62),ISNUMBER(BH62)),IFERROR((BM62-BH62)/BH138,""),"")</f>
        <v>0.0156837641033848</v>
      </c>
      <c r="BN120" s="255">
        <f>IF(AND(ISNUMBER(BN62),ISNUMBER(BI62)),IFERROR((BN62-BI62)/BI138,""),"")</f>
        <v>0.0346605557146949</v>
      </c>
      <c r="BO120" s="255">
        <f>IF(AND(ISNUMBER(BO62),ISNUMBER(BJ62)),IFERROR((BO62-BJ62)/BJ138,""),"")</f>
        <v>0.0256410256410256</v>
      </c>
      <c r="BP120" s="255">
        <f>IF(AND(ISNUMBER(BP62),ISNUMBER(BK62)),IFERROR((BP62-BK62)/BK138,""),"")</f>
        <v>0.0243356643356643</v>
      </c>
      <c r="BQ120" s="255">
        <f>IF(AND(ISNUMBER(BQ62),ISNUMBER(BL62)),IFERROR((BQ62-BL62)/BL138,""),"")</f>
        <v>0.0233853006681515</v>
      </c>
      <c r="BR120" s="255">
        <f>IF(AND(ISNUMBER(BR62),ISNUMBER(BM62)),IFERROR((BR62-BM62)/BM138,""),"")</f>
        <v>0.0269566441441441</v>
      </c>
      <c r="BS120" s="255">
        <f>IF(AND(ISNUMBER(BS62),ISNUMBER(BN62)),IFERROR((BS62-BN62)/BN138,""),"")</f>
        <v>0.0131069407208817</v>
      </c>
      <c r="BT120" s="255">
        <f>IF(AND(ISNUMBER(BT62),ISNUMBER(BO62)),IFERROR((BT62-BO62)/BO138,""),"")</f>
        <v>0.00482363581549593</v>
      </c>
      <c r="BU120" s="256">
        <f>IF(AND(ISNUMBER(BU62),ISNUMBER(BP62)),IFERROR((BU62-BP62)/BP138,""),"")</f>
        <v>-0.00565132495483112</v>
      </c>
      <c r="BV120" s="256">
        <f>IF(AND(ISNUMBER(BV62),ISNUMBER(BQ62)),IFERROR((BV62-BQ62)/BQ138,""),"")</f>
        <v>-0.00577172051740879</v>
      </c>
      <c r="BW120" s="256">
        <f>IF(AND(ISNUMBER(BW62),ISNUMBER(BR62)),IFERROR((BW62-BR62)/BR138,""),"")</f>
        <v>0.00150879936301962</v>
      </c>
      <c r="BX120" s="256">
        <f>IF(AND(ISNUMBER(BX62),ISNUMBER(BW62)),IFERROR((BX62-BW62)/BW138,""),"")</f>
        <v>0.0105137990587531</v>
      </c>
      <c r="BY120" s="256">
        <f>IF(AND(ISNUMBER(BY62),ISNUMBER(BX62)),IFERROR((BY62-BX62)/BX138,""),"")</f>
        <v>0.0104947403414264</v>
      </c>
      <c r="BZ120" s="256">
        <f>IF(AND(ISNUMBER(BZ62),ISNUMBER(BY62)),IFERROR((BZ62-BY62)/BY138,""),"")</f>
        <v>0.0103898945201155</v>
      </c>
      <c r="CA120" s="256">
        <f>IF(AND(ISNUMBER(CA62),ISNUMBER(BZ62)),IFERROR((CA62-BZ62)/BZ138,""),"")</f>
        <v>0.0103056887423018</v>
      </c>
      <c r="CB120" s="256">
        <f>IF(AND(ISNUMBER(CB62),ISNUMBER(CA62)),IFERROR((CB62-CA62)/CA138,""),"")</f>
        <v>0.0102512187129582</v>
      </c>
      <c r="CC120" s="153" t="n"/>
    </row>
    <row r="121" ht="15" customHeight="1" s="251">
      <c r="B121" s="22" t="inlineStr">
        <is>
          <t xml:space="preserve">  Contribution to total revenue growth — Market Intelligence (pp)</t>
        </is>
      </c>
      <c r="C121" s="23" t="n"/>
      <c r="D121" s="255">
        <f>IF(AND(ISNUMBER(D84),ISNUMBER(C84)),IFERROR((D84-C84)/C138,""),"")</f>
        <v>0.0316020884858478</v>
      </c>
      <c r="E121" s="255">
        <f>IF(AND(ISNUMBER(E84),ISNUMBER(D84)),IFERROR((E84-D84)/D138,""),"")</f>
        <v>0.0235204855842185</v>
      </c>
      <c r="F121" s="23" t="n"/>
      <c r="G121" s="23" t="n"/>
      <c r="H121" s="23" t="n"/>
      <c r="I121" s="23" t="n"/>
      <c r="J121" s="255">
        <f>IF(AND(ISNUMBER(J84),ISNUMBER(E84)),IFERROR((J84-E84)/E138,""),"")</f>
        <v>0.0103370786516854</v>
      </c>
      <c r="K121" s="255">
        <f>IF(AND(ISNUMBER(K84),ISNUMBER(F84)),IFERROR((K84-F84)/F138,""),"")</f>
        <v>0.0110076206604572</v>
      </c>
      <c r="L121" s="255">
        <f>IF(AND(ISNUMBER(L84),ISNUMBER(G84)),IFERROR((L84-G84)/G138,""),"")</f>
        <v>0.016</v>
      </c>
      <c r="M121" s="255">
        <f>IF(AND(ISNUMBER(M84),ISNUMBER(H84)),IFERROR((M84-H84)/H138,""),"")</f>
        <v>0.0150753768844221</v>
      </c>
      <c r="N121" s="255">
        <f>IF(AND(ISNUMBER(N84),ISNUMBER(I84)),IFERROR((N84-I84)/I138,""),"")</f>
        <v>0.0136</v>
      </c>
      <c r="O121" s="255">
        <f>IF(AND(ISNUMBER(O84),ISNUMBER(J84)),IFERROR((O84-J84)/J138,""),"")</f>
        <v>0.0137435897435897</v>
      </c>
      <c r="P121" s="255">
        <f>IF(AND(ISNUMBER(P84),ISNUMBER(K84)),IFERROR((P84-K84)/K138,""),"")</f>
        <v>0.0153721682847896</v>
      </c>
      <c r="Q121" s="255">
        <f>IF(AND(ISNUMBER(Q84),ISNUMBER(L84)),IFERROR((Q84-L84)/L138,""),"")</f>
        <v>0.012630014858841</v>
      </c>
      <c r="R121" s="255">
        <f>IF(AND(ISNUMBER(R84),ISNUMBER(M84)),IFERROR((R84-M84)/M138,""),"")</f>
        <v>0.0356294536817102</v>
      </c>
      <c r="S121" s="255">
        <f>IF(AND(ISNUMBER(S84),ISNUMBER(N84)),IFERROR((S84-N84)/N138,""),"")</f>
        <v>0.0674418604651163</v>
      </c>
      <c r="T121" s="255">
        <f>IF(AND(ISNUMBER(T84),ISNUMBER(O84)),IFERROR((T84-O84)/O138,""),"")</f>
        <v>0.0332607404474362</v>
      </c>
      <c r="U121" s="255">
        <f>IF(AND(ISNUMBER(U84),ISNUMBER(P84)),IFERROR((U84-P84)/P138,""),"")</f>
        <v>0.0683424980361351</v>
      </c>
      <c r="V121" s="255">
        <f>IF(AND(ISNUMBER(V84),ISNUMBER(Q84)),IFERROR((V84-Q84)/Q138,""),"")</f>
        <v>0.0685543964232489</v>
      </c>
      <c r="W121" s="255">
        <f>IF(AND(ISNUMBER(W84),ISNUMBER(R84)),IFERROR((W84-R84)/R138,""),"")</f>
        <v>0.0551359516616314</v>
      </c>
      <c r="X121" s="255">
        <f>IF(AND(ISNUMBER(X84),ISNUMBER(S84)),IFERROR((X84-S84)/S138,""),"")</f>
        <v>0.00145560407569141</v>
      </c>
      <c r="Y121" s="255">
        <f>IF(AND(ISNUMBER(Y84),ISNUMBER(T84)),IFERROR((Y84-T84)/T138,""),"")</f>
        <v>0.0478072651985695</v>
      </c>
      <c r="Z121" s="255">
        <f>IF(AND(ISNUMBER(Z84),ISNUMBER(U84)),IFERROR((Z84-U84)/U138,""),"")</f>
        <v>-0.00372856077554064</v>
      </c>
      <c r="AA121" s="255">
        <f>IF(AND(ISNUMBER(AA84),ISNUMBER(V84)),IFERROR((AA84-V84)/V138,""),"")</f>
        <v>-0.00134952766531714</v>
      </c>
      <c r="AB121" s="255">
        <f>IF(AND(ISNUMBER(AB84),ISNUMBER(W84)),IFERROR((AB84-W84)/W138,""),"")</f>
        <v>-0.00486448922863099</v>
      </c>
      <c r="AC121" s="255">
        <f>IF(AND(ISNUMBER(AC84),ISNUMBER(X84)),IFERROR((AC84-X84)/X138,""),"")</f>
        <v>0.0235882773409578</v>
      </c>
      <c r="AD121" s="255">
        <f>IF(AND(ISNUMBER(AD84),ISNUMBER(Y84)),IFERROR((AD84-Y84)/Y138,""),"")</f>
        <v>0.00335629747394453</v>
      </c>
      <c r="AE121" s="255">
        <f>IF(AND(ISNUMBER(AE84),ISNUMBER(Z84)),IFERROR((AE84-Z84)/Z138,""),"")</f>
        <v>0.0240880935994494</v>
      </c>
      <c r="AF121" s="255">
        <f>IF(AND(ISNUMBER(AF84),ISNUMBER(AA84)),IFERROR((AF84-AA84)/AA138,""),"")</f>
        <v>0.021868787276342</v>
      </c>
      <c r="AG121" s="255">
        <f>IF(AND(ISNUMBER(AG84),ISNUMBER(AB84)),IFERROR((AG84-AB84)/AB138,""),"")</f>
        <v>0.0277594183740912</v>
      </c>
      <c r="AH121" s="255">
        <f>IF(AND(ISNUMBER(AH84),ISNUMBER(AC84)),IFERROR((AH84-AC84)/AC138,""),"")</f>
        <v>0.0239144115796098</v>
      </c>
      <c r="AI121" s="255">
        <f>IF(AND(ISNUMBER(AI84),ISNUMBER(AD84)),IFERROR((AI84-AD84)/AD138,""),"")</f>
        <v>0.0255649018637638</v>
      </c>
      <c r="AJ121" s="255">
        <f>IF(AND(ISNUMBER(AJ84),ISNUMBER(AE84)),IFERROR((AJ84-AE84)/AE138,""),"")</f>
        <v>0.028717294192725</v>
      </c>
      <c r="AK121" s="255">
        <f>IF(AND(ISNUMBER(AK84),ISNUMBER(AF84)),IFERROR((AK84-AF84)/AF138,""),"")</f>
        <v>0.0248601615910503</v>
      </c>
      <c r="AL121" s="255">
        <f>IF(AND(ISNUMBER(AL84),ISNUMBER(AG84)),IFERROR((AL84-AG84)/AG138,""),"")</f>
        <v>0.0155239327296248</v>
      </c>
      <c r="AM121" s="255">
        <f>IF(AND(ISNUMBER(AM84),ISNUMBER(AH84)),IFERROR((AM84-AH84)/AH138,""),"")</f>
        <v>0.015625</v>
      </c>
      <c r="AN121" s="255">
        <f>IF(AND(ISNUMBER(AN84),ISNUMBER(AI84)),IFERROR((AN84-AI84)/AI138,""),"")</f>
        <v>0.0201342281879195</v>
      </c>
      <c r="AO121" s="255">
        <f>IF(AND(ISNUMBER(AO84),ISNUMBER(AJ84)),IFERROR((AO84-AJ84)/AJ138,""),"")</f>
        <v>0.0235518777848504</v>
      </c>
      <c r="AP121" s="255">
        <f>IF(AND(ISNUMBER(AP84),ISNUMBER(AK84)),IFERROR((AP84-AK84)/AK138,""),"")</f>
        <v>0.017018779342723</v>
      </c>
      <c r="AQ121" s="255">
        <f>IF(AND(ISNUMBER(AQ84),ISNUMBER(AL84)),IFERROR((AQ84-AL84)/AL138,""),"")</f>
        <v>0.024866785079929</v>
      </c>
      <c r="AR121" s="255">
        <f>IF(AND(ISNUMBER(AR84),ISNUMBER(AM84)),IFERROR((AR84-AM84)/AM138,""),"")</f>
        <v>0.0230547550432277</v>
      </c>
      <c r="AS121" s="255">
        <f>IF(AND(ISNUMBER(AS84),ISNUMBER(AN84)),IFERROR((AS84-AN84)/AN138,""),"")</f>
        <v>0.0219435736677116</v>
      </c>
      <c r="AT121" s="255">
        <f>IF(AND(ISNUMBER(AT84),ISNUMBER(AO84)),IFERROR((AT84-AO84)/AO138,""),"")</f>
        <v>0.0111982082866741</v>
      </c>
      <c r="AU121" s="255">
        <f>IF(AND(ISNUMBER(AU84),ISNUMBER(AP84)),IFERROR((AU84-AP84)/AP138,""),"")</f>
        <v>0.0200720535254761</v>
      </c>
      <c r="AV121" s="255">
        <f>IF(AND(ISNUMBER(AV84),ISNUMBER(AQ84)),IFERROR((AV84-AQ84)/AQ138,""),"")</f>
        <v>0.0216684723726977</v>
      </c>
      <c r="AW121" s="255">
        <f>IF(AND(ISNUMBER(AW84),ISNUMBER(AR84)),IFERROR((AW84-AR84)/AR138,""),"")</f>
        <v>0.0224959828602035</v>
      </c>
      <c r="AX121" s="255">
        <f>IF(AND(ISNUMBER(AX84),ISNUMBER(AS84)),IFERROR((AX84-AS84)/AS138,""),"")</f>
        <v>0.0189465197527546</v>
      </c>
      <c r="AY121" s="255">
        <f>IF(AND(ISNUMBER(AY84),ISNUMBER(AT84)),IFERROR((AY84-AT84)/AT138,""),"")</f>
        <v>0.0932539682539683</v>
      </c>
      <c r="AZ121" s="255">
        <f>IF(AND(ISNUMBER(AZ84),ISNUMBER(AU84)),IFERROR((AZ84-AU84)/AU138,""),"")</f>
        <v>0.225546058879392</v>
      </c>
      <c r="BA121" s="255">
        <f>IF(AND(ISNUMBER(BA84),ISNUMBER(AV84)),IFERROR((BA84-AV84)/AV138,""),"")</f>
        <v>0.213703881169142</v>
      </c>
      <c r="BB121" s="255">
        <f>IF(AND(ISNUMBER(BB84),ISNUMBER(AW84)),IFERROR((BB84-AW84)/AW138,""),"")</f>
        <v>0.216954022988506</v>
      </c>
      <c r="BC121" s="255">
        <f>IF(AND(ISNUMBER(BC84),ISNUMBER(AX84)),IFERROR((BC84-AX84)/AX138,""),"")</f>
        <v>0.188501868145113</v>
      </c>
      <c r="BD121" s="255">
        <f>IF(AND(ISNUMBER(BD84),ISNUMBER(AY84)),IFERROR((BD84-AY84)/AY138,""),"")</f>
        <v>0.143993302637087</v>
      </c>
      <c r="BE121" s="255">
        <f>IF(AND(ISNUMBER(BE84),ISNUMBER(AZ84)),IFERROR((BE84-AZ84)/AZ138,""),"")</f>
        <v>0.0163715335783495</v>
      </c>
      <c r="BF121" s="255">
        <f>IF(AND(ISNUMBER(BF84),ISNUMBER(BA84)),IFERROR((BF84-BA84)/BA138,""),"")</f>
        <v>0.0290108353722475</v>
      </c>
      <c r="BG121" s="255">
        <f>IF(AND(ISNUMBER(BG84),ISNUMBER(BB84)),IFERROR((BG84-BB84)/BB138,""),"")</f>
        <v>0.0306435137895812</v>
      </c>
      <c r="BH121" s="255">
        <f>IF(AND(ISNUMBER(BH84),ISNUMBER(BC84)),IFERROR((BH84-BC84)/BC138,""),"")</f>
        <v>0.050532152759145</v>
      </c>
      <c r="BI121" s="255">
        <f>IF(AND(ISNUMBER(BI84),ISNUMBER(BD84)),IFERROR((BI84-BD84)/BD138,""),"")</f>
        <v>0.0224683544303797</v>
      </c>
      <c r="BJ121" s="255">
        <f>IF(AND(ISNUMBER(BJ84),ISNUMBER(BE84)),IFERROR((BJ84-BE84)/BE138,""),"")</f>
        <v>0.0245082231538213</v>
      </c>
      <c r="BK121" s="255">
        <f>IF(AND(ISNUMBER(BK84),ISNUMBER(BF84)),IFERROR((BK84-BF84)/BF138,""),"")</f>
        <v>0.0204280155642023</v>
      </c>
      <c r="BL121" s="255">
        <f>IF(AND(ISNUMBER(BL84),ISNUMBER(BG84)),IFERROR((BL84-BG84)/BG138,""),"")</f>
        <v>0.0187182741116751</v>
      </c>
      <c r="BM121" s="255">
        <f>IF(AND(ISNUMBER(BM84),ISNUMBER(BH84)),IFERROR((BM84-BH84)/BH138,""),"")</f>
        <v>0.0215251660398496</v>
      </c>
      <c r="BN121" s="255">
        <f>IF(AND(ISNUMBER(BN84),ISNUMBER(BI84)),IFERROR((BN84-BI84)/BI138,""),"")</f>
        <v>-0.00315095961042681</v>
      </c>
      <c r="BO121" s="255">
        <f>IF(AND(ISNUMBER(BO84),ISNUMBER(BJ84)),IFERROR((BO84-BJ84)/BJ138,""),"")</f>
        <v>0.00281769512538743</v>
      </c>
      <c r="BP121" s="255">
        <f>IF(AND(ISNUMBER(BP84),ISNUMBER(BK84)),IFERROR((BP84-BK84)/BK138,""),"")</f>
        <v>0.00587412587412587</v>
      </c>
      <c r="BQ121" s="255">
        <f>IF(AND(ISNUMBER(BQ84),ISNUMBER(BL84)),IFERROR((BQ84-BL84)/BL138,""),"")</f>
        <v>0.00695991091314031</v>
      </c>
      <c r="BR121" s="255">
        <f>IF(AND(ISNUMBER(BR84),ISNUMBER(BM84)),IFERROR((BR84-BM84)/BM138,""),"")</f>
        <v>0.00316722972972973</v>
      </c>
      <c r="BS121" s="255">
        <f>IF(AND(ISNUMBER(BS84),ISNUMBER(BN84)),IFERROR((BS84-BN84)/BN138,""),"")</f>
        <v>0.0277033065236819</v>
      </c>
      <c r="BT121" s="255">
        <f>IF(AND(ISNUMBER(BT84),ISNUMBER(BO84)),IFERROR((BT84-BO84)/BO138,""),"")</f>
        <v>0.0211034066927947</v>
      </c>
      <c r="BU121" s="256">
        <f>IF(AND(ISNUMBER(BU84),ISNUMBER(BP84)),IFERROR((BU84-BP84)/BP138,""),"")</f>
        <v>-0.00173137220284897</v>
      </c>
      <c r="BV121" s="256">
        <f>IF(AND(ISNUMBER(BV84),ISNUMBER(BQ84)),IFERROR((BV84-BQ84)/BQ138,""),"")</f>
        <v>-0.00177525452826873</v>
      </c>
      <c r="BW121" s="256">
        <f>IF(AND(ISNUMBER(BW84),ISNUMBER(BR84)),IFERROR((BW84-BR84)/BR138,""),"")</f>
        <v>0.0111027449984136</v>
      </c>
      <c r="BX121" s="256">
        <f>IF(AND(ISNUMBER(BX84),ISNUMBER(BW84)),IFERROR((BX84-BW84)/BW138,""),"")</f>
        <v>0.0199944716818572</v>
      </c>
      <c r="BY121" s="256">
        <f>IF(AND(ISNUMBER(BY84),ISNUMBER(BX84)),IFERROR((BY84-BX84)/BX138,""),"")</f>
        <v>0.0216214126161115</v>
      </c>
      <c r="BZ121" s="256">
        <f>IF(AND(ISNUMBER(BZ84),ISNUMBER(BY84)),IFERROR((BZ84-BY84)/BY138,""),"")</f>
        <v>0.0215063766754172</v>
      </c>
      <c r="CA121" s="256">
        <f>IF(AND(ISNUMBER(CA84),ISNUMBER(BZ84)),IFERROR((CA84-BZ84)/BZ138,""),"")</f>
        <v>0.0214326994309458</v>
      </c>
      <c r="CB121" s="256">
        <f>IF(AND(ISNUMBER(CB84),ISNUMBER(CA84)),IFERROR((CB84-CA84)/CA138,""),"")</f>
        <v>0.0214199816239917</v>
      </c>
      <c r="CC121" s="153" t="n"/>
    </row>
    <row r="122" ht="15" customHeight="1" s="251">
      <c r="CK122" s="11" t="n"/>
      <c r="CL122" s="12" t="n"/>
      <c r="CM122" s="12" t="n"/>
      <c r="CN122" s="12" t="n"/>
      <c r="CO122" s="13" t="n"/>
    </row>
    <row r="123" ht="15" customHeight="1" s="251">
      <c r="B123" s="14" t="inlineStr">
        <is>
          <t>Future acquisitions (M&amp;A lever — bolt-ons across the divisions, unallocated; deals closed from 2027E)</t>
        </is>
      </c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  <c r="AO123" s="14" t="n"/>
      <c r="AP123" s="14" t="n"/>
      <c r="AQ123" s="14" t="n"/>
      <c r="AR123" s="14" t="n"/>
      <c r="AS123" s="14" t="n"/>
      <c r="AT123" s="14" t="n"/>
      <c r="AU123" s="14" t="n"/>
      <c r="AV123" s="14" t="n"/>
      <c r="AW123" s="14" t="n"/>
      <c r="AX123" s="14" t="n"/>
      <c r="AY123" s="14" t="n"/>
      <c r="AZ123" s="14" t="n"/>
      <c r="BA123" s="14" t="n"/>
      <c r="BB123" s="14" t="n"/>
      <c r="BC123" s="14" t="n"/>
      <c r="BD123" s="14" t="n"/>
      <c r="BE123" s="14" t="n"/>
      <c r="BF123" s="14" t="n"/>
      <c r="BG123" s="14" t="n"/>
      <c r="BH123" s="14" t="n"/>
      <c r="BI123" s="14" t="n"/>
      <c r="BJ123" s="14" t="n"/>
      <c r="BK123" s="14" t="n"/>
      <c r="BL123" s="14" t="n"/>
      <c r="BM123" s="14" t="n"/>
      <c r="BN123" s="14" t="n"/>
      <c r="BO123" s="14" t="n"/>
      <c r="BP123" s="14" t="n"/>
      <c r="BQ123" s="14" t="n"/>
      <c r="BR123" s="14" t="n"/>
      <c r="BS123" s="14" t="n"/>
      <c r="BT123" s="14" t="n"/>
      <c r="BU123" s="14" t="n"/>
      <c r="BV123" s="14" t="n"/>
      <c r="BW123" s="14" t="n"/>
      <c r="BX123" s="14" t="n"/>
      <c r="BY123" s="14" t="n"/>
      <c r="BZ123" s="14" t="n"/>
      <c r="CA123" s="14" t="n"/>
      <c r="CB123" s="14" t="n"/>
      <c r="CC123" s="15" t="inlineStr">
        <is>
          <t>M&amp;A LEVER — acquired revenue = spend ÷ EV/sales; mid-year convention; amortization of acquired intangibles is deal-related (adjusted out)</t>
        </is>
      </c>
    </row>
    <row r="124" ht="15" customHeight="1" s="251">
      <c r="B124" s="25" t="inlineStr">
        <is>
          <t xml:space="preserve">  Acquisition spend (USDm, scenario)</t>
        </is>
      </c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  <c r="S124" s="34" t="n"/>
      <c r="T124" s="34" t="n"/>
      <c r="U124" s="34" t="n"/>
      <c r="V124" s="34" t="n"/>
      <c r="W124" s="34" t="n"/>
      <c r="X124" s="34" t="n"/>
      <c r="Y124" s="34" t="n"/>
      <c r="Z124" s="34" t="n"/>
      <c r="AA124" s="34" t="n"/>
      <c r="AB124" s="34" t="n"/>
      <c r="AC124" s="34" t="n"/>
      <c r="AD124" s="34" t="n"/>
      <c r="AE124" s="34" t="n"/>
      <c r="AF124" s="34" t="n"/>
      <c r="AG124" s="34" t="n"/>
      <c r="AH124" s="34" t="n"/>
      <c r="AI124" s="34" t="n"/>
      <c r="AJ124" s="34" t="n"/>
      <c r="AK124" s="34" t="n"/>
      <c r="AL124" s="34" t="n"/>
      <c r="AM124" s="34" t="n"/>
      <c r="AN124" s="34" t="n"/>
      <c r="AO124" s="34" t="n"/>
      <c r="AP124" s="34" t="n"/>
      <c r="AQ124" s="34" t="n"/>
      <c r="AR124" s="34" t="n"/>
      <c r="AS124" s="34" t="n"/>
      <c r="AT124" s="34" t="n"/>
      <c r="AU124" s="34" t="n"/>
      <c r="AV124" s="34" t="n"/>
      <c r="AW124" s="34" t="n"/>
      <c r="AX124" s="34" t="n"/>
      <c r="AY124" s="34" t="n"/>
      <c r="AZ124" s="34" t="n"/>
      <c r="BA124" s="34" t="n"/>
      <c r="BB124" s="34" t="n"/>
      <c r="BC124" s="34" t="n"/>
      <c r="BD124" s="34" t="n"/>
      <c r="BE124" s="34" t="n"/>
      <c r="BF124" s="34" t="n"/>
      <c r="BG124" s="34" t="n"/>
      <c r="BH124" s="34" t="n"/>
      <c r="BI124" s="34" t="n"/>
      <c r="BJ124" s="34" t="n"/>
      <c r="BK124" s="34" t="n"/>
      <c r="BL124" s="34" t="n"/>
      <c r="BM124" s="34" t="n"/>
      <c r="BN124" s="34" t="n"/>
      <c r="BO124" s="34" t="n"/>
      <c r="BP124" s="34" t="n"/>
      <c r="BQ124" s="34" t="n"/>
      <c r="BR124" s="34" t="n"/>
      <c r="BS124" s="34" t="n"/>
      <c r="BT124" s="34" t="n"/>
      <c r="BU124" s="35" t="n"/>
      <c r="BV124" s="35" t="n"/>
      <c r="BW124" s="265" t="n">
        <v>0</v>
      </c>
      <c r="BX124" s="254">
        <f>MAX(0,CHOOSE(MATCH($CC$2,{"Bull","Base","Bear"},0),$CL$101,$CM$101,$CN$101))</f>
        <v>500</v>
      </c>
      <c r="BY124" s="254">
        <f>MAX(0,CHOOSE(MATCH($CC$2,{"Bull","Base","Bear"},0),$CL$102,$CM$102,$CN$102))</f>
        <v>500</v>
      </c>
      <c r="BZ124" s="254">
        <f>MAX(0,CHOOSE(MATCH($CC$2,{"Bull","Base","Bear"},0),$CL$103,$CM$103,$CN$103))</f>
        <v>500</v>
      </c>
      <c r="CA124" s="254">
        <f>MAX(0,CHOOSE(MATCH($CC$2,{"Bull","Base","Bear"},0),$CL$104,$CM$104,$CN$104))</f>
        <v>500</v>
      </c>
      <c r="CB124" s="254">
        <f>MAX(0,CHOOSE(MATCH($CC$2,{"Bull","Base","Bear"},0),$CL$105,$CM$105,$CN$105))</f>
        <v>500</v>
      </c>
      <c r="CC124" s="19" t="inlineStr">
        <is>
          <t>Scenario lever M&amp;A_spend (Base $500m p.a. of bolt-ons). Funded from cash / commercial paper (debt schedule).</t>
        </is>
      </c>
    </row>
    <row r="125" ht="15" customHeight="1" s="251">
      <c r="B125" s="25" t="inlineStr">
        <is>
          <t xml:space="preserve">  Purchase multiple — EV / revenue (x)</t>
        </is>
      </c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  <c r="AU125" s="36" t="n"/>
      <c r="AV125" s="36" t="n"/>
      <c r="AW125" s="36" t="n"/>
      <c r="AX125" s="36" t="n"/>
      <c r="AY125" s="36" t="n"/>
      <c r="AZ125" s="36" t="n"/>
      <c r="BA125" s="36" t="n"/>
      <c r="BB125" s="36" t="n"/>
      <c r="BC125" s="36" t="n"/>
      <c r="BD125" s="36" t="n"/>
      <c r="BE125" s="36" t="n"/>
      <c r="BF125" s="36" t="n"/>
      <c r="BG125" s="36" t="n"/>
      <c r="BH125" s="36" t="n"/>
      <c r="BI125" s="36" t="n"/>
      <c r="BJ125" s="36" t="n"/>
      <c r="BK125" s="36" t="n"/>
      <c r="BL125" s="36" t="n"/>
      <c r="BM125" s="36" t="n"/>
      <c r="BN125" s="36" t="n"/>
      <c r="BO125" s="36" t="n"/>
      <c r="BP125" s="36" t="n"/>
      <c r="BQ125" s="36" t="n"/>
      <c r="BR125" s="36" t="n"/>
      <c r="BS125" s="36" t="n"/>
      <c r="BT125" s="36" t="n"/>
      <c r="BU125" s="24" t="n"/>
      <c r="BV125" s="24" t="n"/>
      <c r="BW125" s="266" t="n">
        <v>0</v>
      </c>
      <c r="BX125" s="266" t="n">
        <v>8</v>
      </c>
      <c r="BY125" s="266" t="n">
        <v>8</v>
      </c>
      <c r="BZ125" s="266" t="n">
        <v>8</v>
      </c>
      <c r="CA125" s="266" t="n">
        <v>8</v>
      </c>
      <c r="CB125" s="266" t="n">
        <v>8</v>
      </c>
      <c r="CC125" s="19" t="inlineStr">
        <is>
          <t>Assumption: data / analytics bolt-ons at ~8x revenue (With Intelligence, Nov-2025, ~$1.8bn; Visible Alpha 2024; ProntoNLP, TeraHelix, Enertel AI small).</t>
        </is>
      </c>
    </row>
    <row r="126" ht="15" customHeight="1" s="251">
      <c r="B126" s="25" t="inlineStr">
        <is>
          <t xml:space="preserve">  Annualised revenue acquired in the year</t>
        </is>
      </c>
      <c r="C126" s="34" t="n"/>
      <c r="D126" s="34" t="n"/>
      <c r="E126" s="34" t="n"/>
      <c r="F126" s="34" t="n"/>
      <c r="G126" s="34" t="n"/>
      <c r="H126" s="34" t="n"/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n"/>
      <c r="R126" s="34" t="n"/>
      <c r="S126" s="34" t="n"/>
      <c r="T126" s="34" t="n"/>
      <c r="U126" s="34" t="n"/>
      <c r="V126" s="34" t="n"/>
      <c r="W126" s="34" t="n"/>
      <c r="X126" s="34" t="n"/>
      <c r="Y126" s="34" t="n"/>
      <c r="Z126" s="34" t="n"/>
      <c r="AA126" s="34" t="n"/>
      <c r="AB126" s="34" t="n"/>
      <c r="AC126" s="34" t="n"/>
      <c r="AD126" s="34" t="n"/>
      <c r="AE126" s="34" t="n"/>
      <c r="AF126" s="34" t="n"/>
      <c r="AG126" s="34" t="n"/>
      <c r="AH126" s="34" t="n"/>
      <c r="AI126" s="34" t="n"/>
      <c r="AJ126" s="34" t="n"/>
      <c r="AK126" s="34" t="n"/>
      <c r="AL126" s="34" t="n"/>
      <c r="AM126" s="34" t="n"/>
      <c r="AN126" s="34" t="n"/>
      <c r="AO126" s="34" t="n"/>
      <c r="AP126" s="34" t="n"/>
      <c r="AQ126" s="34" t="n"/>
      <c r="AR126" s="34" t="n"/>
      <c r="AS126" s="34" t="n"/>
      <c r="AT126" s="34" t="n"/>
      <c r="AU126" s="34" t="n"/>
      <c r="AV126" s="34" t="n"/>
      <c r="AW126" s="34" t="n"/>
      <c r="AX126" s="34" t="n"/>
      <c r="AY126" s="34" t="n"/>
      <c r="AZ126" s="34" t="n"/>
      <c r="BA126" s="34" t="n"/>
      <c r="BB126" s="34" t="n"/>
      <c r="BC126" s="34" t="n"/>
      <c r="BD126" s="34" t="n"/>
      <c r="BE126" s="34" t="n"/>
      <c r="BF126" s="34" t="n"/>
      <c r="BG126" s="34" t="n"/>
      <c r="BH126" s="34" t="n"/>
      <c r="BI126" s="34" t="n"/>
      <c r="BJ126" s="34" t="n"/>
      <c r="BK126" s="34" t="n"/>
      <c r="BL126" s="34" t="n"/>
      <c r="BM126" s="34" t="n"/>
      <c r="BN126" s="34" t="n"/>
      <c r="BO126" s="34" t="n"/>
      <c r="BP126" s="34" t="n"/>
      <c r="BQ126" s="34" t="n"/>
      <c r="BR126" s="34" t="n"/>
      <c r="BS126" s="34" t="n"/>
      <c r="BT126" s="34" t="n"/>
      <c r="BU126" s="35" t="n"/>
      <c r="BV126" s="35" t="n"/>
      <c r="BW126" s="265" t="n">
        <v>0</v>
      </c>
      <c r="BX126" s="254">
        <f>IFERROR(BX124/BX125,0)</f>
        <v>62.5</v>
      </c>
      <c r="BY126" s="254">
        <f>IFERROR(BY124/BY125,0)</f>
        <v>62.5</v>
      </c>
      <c r="BZ126" s="254">
        <f>IFERROR(BZ124/BZ125,0)</f>
        <v>62.5</v>
      </c>
      <c r="CA126" s="254">
        <f>IFERROR(CA124/CA125,0)</f>
        <v>62.5</v>
      </c>
      <c r="CB126" s="254">
        <f>IFERROR(CB124/CB125,0)</f>
        <v>62.5</v>
      </c>
      <c r="CC126" s="19" t="n"/>
    </row>
    <row r="127" ht="15" customHeight="1" s="251">
      <c r="B127" s="25" t="inlineStr">
        <is>
          <t xml:space="preserve">  Growth of acquired businesses after acquisition %</t>
        </is>
      </c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  <c r="AP127" s="36" t="n"/>
      <c r="AQ127" s="36" t="n"/>
      <c r="AR127" s="36" t="n"/>
      <c r="AS127" s="36" t="n"/>
      <c r="AT127" s="36" t="n"/>
      <c r="AU127" s="36" t="n"/>
      <c r="AV127" s="36" t="n"/>
      <c r="AW127" s="36" t="n"/>
      <c r="AX127" s="36" t="n"/>
      <c r="AY127" s="36" t="n"/>
      <c r="AZ127" s="36" t="n"/>
      <c r="BA127" s="36" t="n"/>
      <c r="BB127" s="36" t="n"/>
      <c r="BC127" s="36" t="n"/>
      <c r="BD127" s="36" t="n"/>
      <c r="BE127" s="36" t="n"/>
      <c r="BF127" s="36" t="n"/>
      <c r="BG127" s="36" t="n"/>
      <c r="BH127" s="36" t="n"/>
      <c r="BI127" s="36" t="n"/>
      <c r="BJ127" s="36" t="n"/>
      <c r="BK127" s="36" t="n"/>
      <c r="BL127" s="36" t="n"/>
      <c r="BM127" s="36" t="n"/>
      <c r="BN127" s="36" t="n"/>
      <c r="BO127" s="36" t="n"/>
      <c r="BP127" s="36" t="n"/>
      <c r="BQ127" s="36" t="n"/>
      <c r="BR127" s="36" t="n"/>
      <c r="BS127" s="36" t="n"/>
      <c r="BT127" s="36" t="n"/>
      <c r="BU127" s="24" t="n"/>
      <c r="BV127" s="24" t="n"/>
      <c r="BW127" s="264" t="n">
        <v>0</v>
      </c>
      <c r="BX127" s="264" t="n">
        <v>0.08</v>
      </c>
      <c r="BY127" s="264" t="n">
        <v>0.08</v>
      </c>
      <c r="BZ127" s="264" t="n">
        <v>0.08</v>
      </c>
      <c r="CA127" s="264" t="n">
        <v>0.08</v>
      </c>
      <c r="CB127" s="264" t="n">
        <v>0.08</v>
      </c>
      <c r="CC127" s="19" t="n"/>
    </row>
    <row r="128" ht="15" customHeight="1" s="251">
      <c r="B128" s="25" t="inlineStr">
        <is>
          <t xml:space="preserve">  Run-rate revenue of businesses acquired (year end)</t>
        </is>
      </c>
      <c r="C128" s="34" t="n"/>
      <c r="D128" s="34" t="n"/>
      <c r="E128" s="34" t="n"/>
      <c r="F128" s="34" t="n"/>
      <c r="G128" s="34" t="n"/>
      <c r="H128" s="34" t="n"/>
      <c r="I128" s="34" t="n"/>
      <c r="J128" s="34" t="n"/>
      <c r="K128" s="34" t="n"/>
      <c r="L128" s="34" t="n"/>
      <c r="M128" s="34" t="n"/>
      <c r="N128" s="34" t="n"/>
      <c r="O128" s="34" t="n"/>
      <c r="P128" s="34" t="n"/>
      <c r="Q128" s="34" t="n"/>
      <c r="R128" s="34" t="n"/>
      <c r="S128" s="34" t="n"/>
      <c r="T128" s="34" t="n"/>
      <c r="U128" s="34" t="n"/>
      <c r="V128" s="34" t="n"/>
      <c r="W128" s="34" t="n"/>
      <c r="X128" s="34" t="n"/>
      <c r="Y128" s="34" t="n"/>
      <c r="Z128" s="34" t="n"/>
      <c r="AA128" s="34" t="n"/>
      <c r="AB128" s="34" t="n"/>
      <c r="AC128" s="34" t="n"/>
      <c r="AD128" s="34" t="n"/>
      <c r="AE128" s="34" t="n"/>
      <c r="AF128" s="34" t="n"/>
      <c r="AG128" s="34" t="n"/>
      <c r="AH128" s="34" t="n"/>
      <c r="AI128" s="34" t="n"/>
      <c r="AJ128" s="34" t="n"/>
      <c r="AK128" s="34" t="n"/>
      <c r="AL128" s="34" t="n"/>
      <c r="AM128" s="34" t="n"/>
      <c r="AN128" s="34" t="n"/>
      <c r="AO128" s="34" t="n"/>
      <c r="AP128" s="34" t="n"/>
      <c r="AQ128" s="34" t="n"/>
      <c r="AR128" s="34" t="n"/>
      <c r="AS128" s="34" t="n"/>
      <c r="AT128" s="34" t="n"/>
      <c r="AU128" s="34" t="n"/>
      <c r="AV128" s="34" t="n"/>
      <c r="AW128" s="34" t="n"/>
      <c r="AX128" s="34" t="n"/>
      <c r="AY128" s="34" t="n"/>
      <c r="AZ128" s="34" t="n"/>
      <c r="BA128" s="34" t="n"/>
      <c r="BB128" s="34" t="n"/>
      <c r="BC128" s="34" t="n"/>
      <c r="BD128" s="34" t="n"/>
      <c r="BE128" s="34" t="n"/>
      <c r="BF128" s="34" t="n"/>
      <c r="BG128" s="34" t="n"/>
      <c r="BH128" s="34" t="n"/>
      <c r="BI128" s="34" t="n"/>
      <c r="BJ128" s="34" t="n"/>
      <c r="BK128" s="34" t="n"/>
      <c r="BL128" s="34" t="n"/>
      <c r="BM128" s="34" t="n"/>
      <c r="BN128" s="34" t="n"/>
      <c r="BO128" s="34" t="n"/>
      <c r="BP128" s="34" t="n"/>
      <c r="BQ128" s="34" t="n"/>
      <c r="BR128" s="34" t="n"/>
      <c r="BS128" s="34" t="n"/>
      <c r="BT128" s="34" t="n"/>
      <c r="BU128" s="35" t="n"/>
      <c r="BV128" s="35" t="n"/>
      <c r="BW128" s="265" t="n">
        <v>0</v>
      </c>
      <c r="BX128" s="254">
        <f>BW128*(1+BX127)+BX126</f>
        <v>62.5</v>
      </c>
      <c r="BY128" s="254">
        <f>BX128*(1+BY127)+BY126</f>
        <v>130</v>
      </c>
      <c r="BZ128" s="254">
        <f>BY128*(1+BZ127)+BZ126</f>
        <v>202.9</v>
      </c>
      <c r="CA128" s="254">
        <f>BZ128*(1+CA127)+CA126</f>
        <v>281.632</v>
      </c>
      <c r="CB128" s="254">
        <f>CA128*(1+CB127)+CB126</f>
        <v>366.66256</v>
      </c>
      <c r="CC128" s="19" t="n"/>
    </row>
    <row r="129" ht="15" customHeight="1" s="251">
      <c r="B129" s="16" t="inlineStr">
        <is>
          <t xml:space="preserve">  Revenue from future acquisitions</t>
        </is>
      </c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  <c r="AA129" s="43" t="n"/>
      <c r="AB129" s="43" t="n"/>
      <c r="AC129" s="43" t="n"/>
      <c r="AD129" s="43" t="n"/>
      <c r="AE129" s="43" t="n"/>
      <c r="AF129" s="43" t="n"/>
      <c r="AG129" s="43" t="n"/>
      <c r="AH129" s="43" t="n"/>
      <c r="AI129" s="43" t="n"/>
      <c r="AJ129" s="43" t="n"/>
      <c r="AK129" s="43" t="n"/>
      <c r="AL129" s="43" t="n"/>
      <c r="AM129" s="43" t="n"/>
      <c r="AN129" s="43" t="n"/>
      <c r="AO129" s="43" t="n"/>
      <c r="AP129" s="43" t="n"/>
      <c r="AQ129" s="43" t="n"/>
      <c r="AR129" s="43" t="n"/>
      <c r="AS129" s="43" t="n"/>
      <c r="AT129" s="43" t="n"/>
      <c r="AU129" s="43" t="n"/>
      <c r="AV129" s="43" t="n"/>
      <c r="AW129" s="43" t="n"/>
      <c r="AX129" s="43" t="n"/>
      <c r="AY129" s="43" t="n"/>
      <c r="AZ129" s="43" t="n"/>
      <c r="BA129" s="43" t="n"/>
      <c r="BB129" s="43" t="n"/>
      <c r="BC129" s="43" t="n"/>
      <c r="BD129" s="43" t="n"/>
      <c r="BE129" s="43" t="n"/>
      <c r="BF129" s="43" t="n"/>
      <c r="BG129" s="43" t="n"/>
      <c r="BH129" s="43" t="n"/>
      <c r="BI129" s="43" t="n"/>
      <c r="BJ129" s="43" t="n"/>
      <c r="BK129" s="43" t="n"/>
      <c r="BL129" s="43" t="n"/>
      <c r="BM129" s="43" t="n"/>
      <c r="BN129" s="43" t="n"/>
      <c r="BO129" s="43" t="n"/>
      <c r="BP129" s="43" t="n"/>
      <c r="BQ129" s="43" t="n"/>
      <c r="BR129" s="43" t="n"/>
      <c r="BS129" s="43" t="n"/>
      <c r="BT129" s="43" t="n"/>
      <c r="BU129" s="32" t="n"/>
      <c r="BV129" s="32" t="n"/>
      <c r="BW129" s="267" t="n">
        <v>0</v>
      </c>
      <c r="BX129" s="261">
        <f>BW128*(1+BX127)+0.5*BX126</f>
        <v>31.25</v>
      </c>
      <c r="BY129" s="261">
        <f>BX128*(1+BY127)+0.5*BY126</f>
        <v>98.75</v>
      </c>
      <c r="BZ129" s="261">
        <f>BY128*(1+BZ127)+0.5*BZ126</f>
        <v>171.65</v>
      </c>
      <c r="CA129" s="261">
        <f>BZ128*(1+CA127)+0.5*CA126</f>
        <v>250.382</v>
      </c>
      <c r="CB129" s="261">
        <f>CA128*(1+CB127)+0.5*CB126</f>
        <v>335.41256</v>
      </c>
      <c r="CC129" s="153" t="inlineStr">
        <is>
          <t>Mid-year convention.</t>
        </is>
      </c>
    </row>
    <row r="130" ht="15" customHeight="1" s="251">
      <c r="B130" s="25" t="inlineStr">
        <is>
          <t xml:space="preserve">  Adjusted operating margin of acquired businesses %</t>
        </is>
      </c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  <c r="AU130" s="36" t="n"/>
      <c r="AV130" s="36" t="n"/>
      <c r="AW130" s="36" t="n"/>
      <c r="AX130" s="36" t="n"/>
      <c r="AY130" s="36" t="n"/>
      <c r="AZ130" s="36" t="n"/>
      <c r="BA130" s="36" t="n"/>
      <c r="BB130" s="36" t="n"/>
      <c r="BC130" s="36" t="n"/>
      <c r="BD130" s="36" t="n"/>
      <c r="BE130" s="36" t="n"/>
      <c r="BF130" s="36" t="n"/>
      <c r="BG130" s="36" t="n"/>
      <c r="BH130" s="36" t="n"/>
      <c r="BI130" s="36" t="n"/>
      <c r="BJ130" s="36" t="n"/>
      <c r="BK130" s="36" t="n"/>
      <c r="BL130" s="36" t="n"/>
      <c r="BM130" s="36" t="n"/>
      <c r="BN130" s="36" t="n"/>
      <c r="BO130" s="36" t="n"/>
      <c r="BP130" s="36" t="n"/>
      <c r="BQ130" s="36" t="n"/>
      <c r="BR130" s="36" t="n"/>
      <c r="BS130" s="36" t="n"/>
      <c r="BT130" s="36" t="n"/>
      <c r="BU130" s="24" t="n"/>
      <c r="BV130" s="24" t="n"/>
      <c r="BW130" s="264" t="n">
        <v>0</v>
      </c>
      <c r="BX130" s="264" t="n">
        <v>0.3</v>
      </c>
      <c r="BY130" s="264" t="n">
        <v>0.3</v>
      </c>
      <c r="BZ130" s="264" t="n">
        <v>0.3</v>
      </c>
      <c r="CA130" s="264" t="n">
        <v>0.3</v>
      </c>
      <c r="CB130" s="264" t="n">
        <v>0.3</v>
      </c>
      <c r="CC130" s="19" t="n"/>
    </row>
    <row r="131" ht="15" customHeight="1" s="251">
      <c r="B131" s="25" t="inlineStr">
        <is>
          <t xml:space="preserve">  Adjusted OP from future acquisitions</t>
        </is>
      </c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4" t="n"/>
      <c r="N131" s="34" t="n"/>
      <c r="O131" s="34" t="n"/>
      <c r="P131" s="34" t="n"/>
      <c r="Q131" s="34" t="n"/>
      <c r="R131" s="34" t="n"/>
      <c r="S131" s="34" t="n"/>
      <c r="T131" s="34" t="n"/>
      <c r="U131" s="34" t="n"/>
      <c r="V131" s="34" t="n"/>
      <c r="W131" s="34" t="n"/>
      <c r="X131" s="34" t="n"/>
      <c r="Y131" s="34" t="n"/>
      <c r="Z131" s="34" t="n"/>
      <c r="AA131" s="34" t="n"/>
      <c r="AB131" s="34" t="n"/>
      <c r="AC131" s="34" t="n"/>
      <c r="AD131" s="34" t="n"/>
      <c r="AE131" s="34" t="n"/>
      <c r="AF131" s="34" t="n"/>
      <c r="AG131" s="34" t="n"/>
      <c r="AH131" s="34" t="n"/>
      <c r="AI131" s="34" t="n"/>
      <c r="AJ131" s="34" t="n"/>
      <c r="AK131" s="34" t="n"/>
      <c r="AL131" s="34" t="n"/>
      <c r="AM131" s="34" t="n"/>
      <c r="AN131" s="34" t="n"/>
      <c r="AO131" s="34" t="n"/>
      <c r="AP131" s="34" t="n"/>
      <c r="AQ131" s="34" t="n"/>
      <c r="AR131" s="34" t="n"/>
      <c r="AS131" s="34" t="n"/>
      <c r="AT131" s="34" t="n"/>
      <c r="AU131" s="34" t="n"/>
      <c r="AV131" s="34" t="n"/>
      <c r="AW131" s="34" t="n"/>
      <c r="AX131" s="34" t="n"/>
      <c r="AY131" s="34" t="n"/>
      <c r="AZ131" s="34" t="n"/>
      <c r="BA131" s="34" t="n"/>
      <c r="BB131" s="34" t="n"/>
      <c r="BC131" s="34" t="n"/>
      <c r="BD131" s="34" t="n"/>
      <c r="BE131" s="34" t="n"/>
      <c r="BF131" s="34" t="n"/>
      <c r="BG131" s="34" t="n"/>
      <c r="BH131" s="34" t="n"/>
      <c r="BI131" s="34" t="n"/>
      <c r="BJ131" s="34" t="n"/>
      <c r="BK131" s="34" t="n"/>
      <c r="BL131" s="34" t="n"/>
      <c r="BM131" s="34" t="n"/>
      <c r="BN131" s="34" t="n"/>
      <c r="BO131" s="34" t="n"/>
      <c r="BP131" s="34" t="n"/>
      <c r="BQ131" s="34" t="n"/>
      <c r="BR131" s="34" t="n"/>
      <c r="BS131" s="34" t="n"/>
      <c r="BT131" s="34" t="n"/>
      <c r="BU131" s="35" t="n"/>
      <c r="BV131" s="35" t="n"/>
      <c r="BW131" s="265" t="n">
        <v>0</v>
      </c>
      <c r="BX131" s="254">
        <f>BX129*BX130</f>
        <v>9.375</v>
      </c>
      <c r="BY131" s="254">
        <f>BY129*BY130</f>
        <v>29.625</v>
      </c>
      <c r="BZ131" s="254">
        <f>BZ129*BZ130</f>
        <v>51.495</v>
      </c>
      <c r="CA131" s="254">
        <f>CA129*CA130</f>
        <v>75.1146</v>
      </c>
      <c r="CB131" s="254">
        <f>CB129*CB130</f>
        <v>100.623768</v>
      </c>
      <c r="CC131" s="19" t="n"/>
    </row>
    <row r="132" ht="15" customHeight="1" s="251">
      <c r="B132" s="25" t="inlineStr">
        <is>
          <t xml:space="preserve">  Acquired intangibles % of spend</t>
        </is>
      </c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  <c r="AP132" s="36" t="n"/>
      <c r="AQ132" s="36" t="n"/>
      <c r="AR132" s="36" t="n"/>
      <c r="AS132" s="36" t="n"/>
      <c r="AT132" s="36" t="n"/>
      <c r="AU132" s="36" t="n"/>
      <c r="AV132" s="36" t="n"/>
      <c r="AW132" s="36" t="n"/>
      <c r="AX132" s="36" t="n"/>
      <c r="AY132" s="36" t="n"/>
      <c r="AZ132" s="36" t="n"/>
      <c r="BA132" s="36" t="n"/>
      <c r="BB132" s="36" t="n"/>
      <c r="BC132" s="36" t="n"/>
      <c r="BD132" s="36" t="n"/>
      <c r="BE132" s="36" t="n"/>
      <c r="BF132" s="36" t="n"/>
      <c r="BG132" s="36" t="n"/>
      <c r="BH132" s="36" t="n"/>
      <c r="BI132" s="36" t="n"/>
      <c r="BJ132" s="36" t="n"/>
      <c r="BK132" s="36" t="n"/>
      <c r="BL132" s="36" t="n"/>
      <c r="BM132" s="36" t="n"/>
      <c r="BN132" s="36" t="n"/>
      <c r="BO132" s="36" t="n"/>
      <c r="BP132" s="36" t="n"/>
      <c r="BQ132" s="36" t="n"/>
      <c r="BR132" s="36" t="n"/>
      <c r="BS132" s="36" t="n"/>
      <c r="BT132" s="36" t="n"/>
      <c r="BU132" s="24" t="n"/>
      <c r="BV132" s="24" t="n"/>
      <c r="BW132" s="264" t="n">
        <v>0</v>
      </c>
      <c r="BX132" s="264" t="n">
        <v>0.35</v>
      </c>
      <c r="BY132" s="264" t="n">
        <v>0.35</v>
      </c>
      <c r="BZ132" s="264" t="n">
        <v>0.35</v>
      </c>
      <c r="CA132" s="264" t="n">
        <v>0.35</v>
      </c>
      <c r="CB132" s="264" t="n">
        <v>0.35</v>
      </c>
      <c r="CC132" s="19" t="inlineStr">
        <is>
          <t>IHS Markit PPA: intangibles $18.2bn of ~$44bn consideration (~41%); bolt-on data businesses typically 30–40% (assumption 35%).</t>
        </is>
      </c>
    </row>
    <row r="133" ht="15" customHeight="1" s="251">
      <c r="B133" s="25" t="inlineStr">
        <is>
          <t xml:space="preserve">  Intangible amortization life (years)</t>
        </is>
      </c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  <c r="AP133" s="36" t="n"/>
      <c r="AQ133" s="36" t="n"/>
      <c r="AR133" s="36" t="n"/>
      <c r="AS133" s="36" t="n"/>
      <c r="AT133" s="36" t="n"/>
      <c r="AU133" s="36" t="n"/>
      <c r="AV133" s="36" t="n"/>
      <c r="AW133" s="36" t="n"/>
      <c r="AX133" s="36" t="n"/>
      <c r="AY133" s="36" t="n"/>
      <c r="AZ133" s="36" t="n"/>
      <c r="BA133" s="36" t="n"/>
      <c r="BB133" s="36" t="n"/>
      <c r="BC133" s="36" t="n"/>
      <c r="BD133" s="36" t="n"/>
      <c r="BE133" s="36" t="n"/>
      <c r="BF133" s="36" t="n"/>
      <c r="BG133" s="36" t="n"/>
      <c r="BH133" s="36" t="n"/>
      <c r="BI133" s="36" t="n"/>
      <c r="BJ133" s="36" t="n"/>
      <c r="BK133" s="36" t="n"/>
      <c r="BL133" s="36" t="n"/>
      <c r="BM133" s="36" t="n"/>
      <c r="BN133" s="36" t="n"/>
      <c r="BO133" s="36" t="n"/>
      <c r="BP133" s="36" t="n"/>
      <c r="BQ133" s="36" t="n"/>
      <c r="BR133" s="36" t="n"/>
      <c r="BS133" s="36" t="n"/>
      <c r="BT133" s="36" t="n"/>
      <c r="BU133" s="24" t="n"/>
      <c r="BV133" s="24" t="n"/>
      <c r="BW133" s="268" t="n">
        <v>0</v>
      </c>
      <c r="BX133" s="268" t="n">
        <v>15</v>
      </c>
      <c r="BY133" s="268" t="n">
        <v>15</v>
      </c>
      <c r="BZ133" s="268" t="n">
        <v>15</v>
      </c>
      <c r="CA133" s="268" t="n">
        <v>15</v>
      </c>
      <c r="CB133" s="268" t="n">
        <v>15</v>
      </c>
      <c r="CC133" s="19" t="n"/>
    </row>
    <row r="134" ht="15" customHeight="1" s="251">
      <c r="B134" s="25" t="inlineStr">
        <is>
          <t xml:space="preserve">  Cumulative acquired intangibles (gross)</t>
        </is>
      </c>
      <c r="C134" s="34" t="n"/>
      <c r="D134" s="34" t="n"/>
      <c r="E134" s="34" t="n"/>
      <c r="F134" s="34" t="n"/>
      <c r="G134" s="34" t="n"/>
      <c r="H134" s="34" t="n"/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n"/>
      <c r="R134" s="34" t="n"/>
      <c r="S134" s="34" t="n"/>
      <c r="T134" s="34" t="n"/>
      <c r="U134" s="34" t="n"/>
      <c r="V134" s="34" t="n"/>
      <c r="W134" s="34" t="n"/>
      <c r="X134" s="34" t="n"/>
      <c r="Y134" s="34" t="n"/>
      <c r="Z134" s="34" t="n"/>
      <c r="AA134" s="34" t="n"/>
      <c r="AB134" s="34" t="n"/>
      <c r="AC134" s="34" t="n"/>
      <c r="AD134" s="34" t="n"/>
      <c r="AE134" s="34" t="n"/>
      <c r="AF134" s="34" t="n"/>
      <c r="AG134" s="34" t="n"/>
      <c r="AH134" s="34" t="n"/>
      <c r="AI134" s="34" t="n"/>
      <c r="AJ134" s="34" t="n"/>
      <c r="AK134" s="34" t="n"/>
      <c r="AL134" s="34" t="n"/>
      <c r="AM134" s="34" t="n"/>
      <c r="AN134" s="34" t="n"/>
      <c r="AO134" s="34" t="n"/>
      <c r="AP134" s="34" t="n"/>
      <c r="AQ134" s="34" t="n"/>
      <c r="AR134" s="34" t="n"/>
      <c r="AS134" s="34" t="n"/>
      <c r="AT134" s="34" t="n"/>
      <c r="AU134" s="34" t="n"/>
      <c r="AV134" s="34" t="n"/>
      <c r="AW134" s="34" t="n"/>
      <c r="AX134" s="34" t="n"/>
      <c r="AY134" s="34" t="n"/>
      <c r="AZ134" s="34" t="n"/>
      <c r="BA134" s="34" t="n"/>
      <c r="BB134" s="34" t="n"/>
      <c r="BC134" s="34" t="n"/>
      <c r="BD134" s="34" t="n"/>
      <c r="BE134" s="34" t="n"/>
      <c r="BF134" s="34" t="n"/>
      <c r="BG134" s="34" t="n"/>
      <c r="BH134" s="34" t="n"/>
      <c r="BI134" s="34" t="n"/>
      <c r="BJ134" s="34" t="n"/>
      <c r="BK134" s="34" t="n"/>
      <c r="BL134" s="34" t="n"/>
      <c r="BM134" s="34" t="n"/>
      <c r="BN134" s="34" t="n"/>
      <c r="BO134" s="34" t="n"/>
      <c r="BP134" s="34" t="n"/>
      <c r="BQ134" s="34" t="n"/>
      <c r="BR134" s="34" t="n"/>
      <c r="BS134" s="34" t="n"/>
      <c r="BT134" s="34" t="n"/>
      <c r="BU134" s="35" t="n"/>
      <c r="BV134" s="35" t="n"/>
      <c r="BW134" s="265" t="n">
        <v>0</v>
      </c>
      <c r="BX134" s="254">
        <f>BW134+BX124*BX132</f>
        <v>175</v>
      </c>
      <c r="BY134" s="254">
        <f>BX134+BY124*BY132</f>
        <v>350</v>
      </c>
      <c r="BZ134" s="254">
        <f>BY134+BZ124*BZ132</f>
        <v>525</v>
      </c>
      <c r="CA134" s="254">
        <f>BZ134+CA124*CA132</f>
        <v>700</v>
      </c>
      <c r="CB134" s="254">
        <f>CA134+CB124*CB132</f>
        <v>875</v>
      </c>
      <c r="CC134" s="19" t="n"/>
    </row>
    <row r="135" ht="15" customHeight="1" s="251">
      <c r="B135" s="25" t="inlineStr">
        <is>
          <t xml:space="preserve">  Amortization of future-acquisition intangibles (deal-related; adjusted out)</t>
        </is>
      </c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  <c r="S135" s="34" t="n"/>
      <c r="T135" s="34" t="n"/>
      <c r="U135" s="34" t="n"/>
      <c r="V135" s="34" t="n"/>
      <c r="W135" s="34" t="n"/>
      <c r="X135" s="34" t="n"/>
      <c r="Y135" s="34" t="n"/>
      <c r="Z135" s="34" t="n"/>
      <c r="AA135" s="34" t="n"/>
      <c r="AB135" s="34" t="n"/>
      <c r="AC135" s="34" t="n"/>
      <c r="AD135" s="34" t="n"/>
      <c r="AE135" s="34" t="n"/>
      <c r="AF135" s="34" t="n"/>
      <c r="AG135" s="34" t="n"/>
      <c r="AH135" s="34" t="n"/>
      <c r="AI135" s="34" t="n"/>
      <c r="AJ135" s="34" t="n"/>
      <c r="AK135" s="34" t="n"/>
      <c r="AL135" s="34" t="n"/>
      <c r="AM135" s="34" t="n"/>
      <c r="AN135" s="34" t="n"/>
      <c r="AO135" s="34" t="n"/>
      <c r="AP135" s="34" t="n"/>
      <c r="AQ135" s="34" t="n"/>
      <c r="AR135" s="34" t="n"/>
      <c r="AS135" s="34" t="n"/>
      <c r="AT135" s="34" t="n"/>
      <c r="AU135" s="34" t="n"/>
      <c r="AV135" s="34" t="n"/>
      <c r="AW135" s="34" t="n"/>
      <c r="AX135" s="34" t="n"/>
      <c r="AY135" s="34" t="n"/>
      <c r="AZ135" s="34" t="n"/>
      <c r="BA135" s="34" t="n"/>
      <c r="BB135" s="34" t="n"/>
      <c r="BC135" s="34" t="n"/>
      <c r="BD135" s="34" t="n"/>
      <c r="BE135" s="34" t="n"/>
      <c r="BF135" s="34" t="n"/>
      <c r="BG135" s="34" t="n"/>
      <c r="BH135" s="34" t="n"/>
      <c r="BI135" s="34" t="n"/>
      <c r="BJ135" s="34" t="n"/>
      <c r="BK135" s="34" t="n"/>
      <c r="BL135" s="34" t="n"/>
      <c r="BM135" s="34" t="n"/>
      <c r="BN135" s="34" t="n"/>
      <c r="BO135" s="34" t="n"/>
      <c r="BP135" s="34" t="n"/>
      <c r="BQ135" s="34" t="n"/>
      <c r="BR135" s="34" t="n"/>
      <c r="BS135" s="34" t="n"/>
      <c r="BT135" s="34" t="n"/>
      <c r="BU135" s="35" t="n"/>
      <c r="BV135" s="35" t="n"/>
      <c r="BW135" s="265" t="n">
        <v>0</v>
      </c>
      <c r="BX135" s="254">
        <f>IFERROR((BW134+0.5*BX124*BX132)/BX133,0)</f>
        <v>5.83333333333333</v>
      </c>
      <c r="BY135" s="254">
        <f>IFERROR((BX134+0.5*BY124*BY132)/BY133,0)</f>
        <v>17.5</v>
      </c>
      <c r="BZ135" s="254">
        <f>IFERROR((BY134+0.5*BZ124*BZ132)/BZ133,0)</f>
        <v>29.1666666666667</v>
      </c>
      <c r="CA135" s="254">
        <f>IFERROR((BZ134+0.5*CA124*CA132)/CA133,0)</f>
        <v>40.8333333333333</v>
      </c>
      <c r="CB135" s="254">
        <f>IFERROR((CA134+0.5*CB124*CB132)/CB133,0)</f>
        <v>52.5</v>
      </c>
      <c r="CC135" s="19" t="n"/>
    </row>
    <row r="136" ht="15" customHeight="1" s="251">
      <c r="CK136" s="11" t="n"/>
      <c r="CL136" s="12" t="n"/>
      <c r="CM136" s="12" t="n"/>
      <c r="CN136" s="12" t="n"/>
      <c r="CO136" s="13" t="n"/>
    </row>
    <row r="137" ht="15" customHeight="1" s="251">
      <c r="B137" s="14" t="inlineStr">
        <is>
          <t>Group Total — revenue &amp; adjusted operating profit (division build) → FY26 guidance calibration (continuing operations, excluding Mobility)</t>
        </is>
      </c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  <c r="AO137" s="14" t="n"/>
      <c r="AP137" s="14" t="n"/>
      <c r="AQ137" s="14" t="n"/>
      <c r="AR137" s="14" t="n"/>
      <c r="AS137" s="14" t="n"/>
      <c r="AT137" s="14" t="n"/>
      <c r="AU137" s="14" t="n"/>
      <c r="AV137" s="14" t="n"/>
      <c r="AW137" s="14" t="n"/>
      <c r="AX137" s="14" t="n"/>
      <c r="AY137" s="14" t="n"/>
      <c r="AZ137" s="14" t="n"/>
      <c r="BA137" s="14" t="n"/>
      <c r="BB137" s="14" t="n"/>
      <c r="BC137" s="14" t="n"/>
      <c r="BD137" s="14" t="n"/>
      <c r="BE137" s="14" t="n"/>
      <c r="BF137" s="14" t="n"/>
      <c r="BG137" s="14" t="n"/>
      <c r="BH137" s="14" t="n"/>
      <c r="BI137" s="14" t="n"/>
      <c r="BJ137" s="14" t="n"/>
      <c r="BK137" s="14" t="n"/>
      <c r="BL137" s="14" t="n"/>
      <c r="BM137" s="14" t="n"/>
      <c r="BN137" s="14" t="n"/>
      <c r="BO137" s="14" t="n"/>
      <c r="BP137" s="14" t="n"/>
      <c r="BQ137" s="14" t="n"/>
      <c r="BR137" s="14" t="n"/>
      <c r="BS137" s="14" t="n"/>
      <c r="BT137" s="14" t="n"/>
      <c r="BU137" s="14" t="n"/>
      <c r="BV137" s="14" t="n"/>
      <c r="BW137" s="14" t="n"/>
      <c r="BX137" s="14" t="n"/>
      <c r="BY137" s="14" t="n"/>
      <c r="BZ137" s="14" t="n"/>
      <c r="CA137" s="14" t="n"/>
      <c r="CB137" s="14" t="n"/>
      <c r="CC137" s="15" t="inlineStr">
        <is>
          <t>GROUP TOTAL (CONSOLIDATED) — modelling logic</t>
        </is>
      </c>
    </row>
    <row r="138" ht="15" customHeight="1" s="251">
      <c r="B138" s="55" t="inlineStr">
        <is>
          <t>Revenue (division build)</t>
        </is>
      </c>
      <c r="C138" s="269">
        <f>IF(ISNUMBER(C18),C18+C40+N(C62)+N(C84)+N(C96)+N(C99)+N(C102)+N(C105),C187)</f>
        <v>3639</v>
      </c>
      <c r="D138" s="269">
        <f>IF(ISNUMBER(D18),D18+D40+N(D62)+N(D84)+N(D96)+N(D99)+N(D102)+N(D105),D187)</f>
        <v>3954</v>
      </c>
      <c r="E138" s="269">
        <f>IF(ISNUMBER(E18),E18+E40+N(E62)+N(E84)+N(E96)+N(E99)+N(E102)+N(E105),E187)</f>
        <v>4450</v>
      </c>
      <c r="F138" s="269">
        <f>IF(ISNUMBER(F18),F18+F40+N(F62)+N(F84)+N(F96)+N(F99)+N(F102)+N(F105),F187)</f>
        <v>1181</v>
      </c>
      <c r="G138" s="269">
        <f>IF(ISNUMBER(G18),G18+G40+N(G62)+N(G84)+N(G96)+N(G99)+N(G102)+N(G105),G187)</f>
        <v>1250</v>
      </c>
      <c r="H138" s="269">
        <f>IF(ISNUMBER(H18),H18+H40+N(H62)+N(H84)+N(H96)+N(H99)+N(H102)+N(H105),H187)</f>
        <v>1194</v>
      </c>
      <c r="I138" s="269">
        <f>IF(ISNUMBER(I18),I18+I40+N(I62)+N(I84)+N(I96)+N(I99)+N(I102)+N(I105),I187)</f>
        <v>1250</v>
      </c>
      <c r="J138" s="269">
        <f>IF(ISNUMBER(J18),J18+J40+N(J62)+N(J84)+N(J96)+N(J99)+N(J102)+N(J105),J187)</f>
        <v>4875</v>
      </c>
      <c r="K138" s="269">
        <f>IF(ISNUMBER(K18),K18+K40+N(K62)+N(K84)+N(K96)+N(K99)+N(K102)+N(K105),K187)</f>
        <v>1236</v>
      </c>
      <c r="L138" s="269">
        <f>IF(ISNUMBER(L18),L18+L40+N(L62)+N(L84)+N(L96)+N(L99)+N(L102)+N(L105),L187)</f>
        <v>1346</v>
      </c>
      <c r="M138" s="269">
        <f>IF(ISNUMBER(M18),M18+M40+N(M62)+N(M84)+N(M96)+N(M99)+N(M102)+N(M105),M187)</f>
        <v>1263</v>
      </c>
      <c r="N138" s="269">
        <f>IF(ISNUMBER(N18),N18+N40+N(N62)+N(N84)+N(N96)+N(N99)+N(N102)+N(N105),N187)</f>
        <v>1290</v>
      </c>
      <c r="O138" s="269">
        <f>IF(ISNUMBER(O18),O18+O40+N(O62)+N(O84)+N(O96)+N(O99)+N(O102)+N(O105),O187)</f>
        <v>5051</v>
      </c>
      <c r="P138" s="269">
        <f>IF(ISNUMBER(P18),P18+P40+N(P62)+N(P84)+N(P96)+N(P99)+N(P102)+N(P105),P187)</f>
        <v>1273</v>
      </c>
      <c r="Q138" s="269">
        <f>IF(ISNUMBER(Q18),Q18+Q40+N(Q62)+N(Q84)+N(Q96)+N(Q99)+N(Q102)+N(Q105),Q187)</f>
        <v>1342</v>
      </c>
      <c r="R138" s="269">
        <f>IF(ISNUMBER(R18),R18+R40+N(R62)+N(R84)+N(R96)+N(R99)+N(R102)+N(R105),R187)</f>
        <v>1324</v>
      </c>
      <c r="S138" s="269">
        <f>IF(ISNUMBER(S18),S18+S40+N(S62)+N(S84)+N(S96)+N(S99)+N(S102)+N(S105),S187)</f>
        <v>1374</v>
      </c>
      <c r="T138" s="269">
        <f>IF(ISNUMBER(T18),T18+T40+N(T62)+N(T84)+N(T96)+N(T99)+N(T102)+N(T105),T187)</f>
        <v>5313</v>
      </c>
      <c r="U138" s="269">
        <f>IF(ISNUMBER(U18),U18+U40+N(U62)+N(U84)+N(U96)+N(U99)+N(U102)+N(U105),U187)</f>
        <v>1341</v>
      </c>
      <c r="V138" s="269">
        <f>IF(ISNUMBER(V18),V18+V40+N(V62)+N(V84)+N(V96)+N(V99)+N(V102)+N(V105),V187)</f>
        <v>1482</v>
      </c>
      <c r="W138" s="269">
        <f>IF(ISNUMBER(W18),W18+W40+N(W62)+N(W84)+N(W96)+N(W99)+N(W102)+N(W105),W187)</f>
        <v>1439</v>
      </c>
      <c r="X138" s="269">
        <f>IF(ISNUMBER(X18),X18+X40+N(X62)+N(X84)+N(X96)+N(X99)+N(X102)+N(X105),X187)</f>
        <v>1399</v>
      </c>
      <c r="Y138" s="269">
        <f>IF(ISNUMBER(Y18),Y18+Y40+N(Y62)+N(Y84)+N(Y96)+N(Y99)+N(Y102)+N(Y105),Y187)</f>
        <v>5661</v>
      </c>
      <c r="Z138" s="269">
        <f>IF(ISNUMBER(Z18),Z18+Z40+N(Z62)+N(Z84)+N(Z96)+N(Z99)+N(Z102)+N(Z105),Z187)</f>
        <v>1453</v>
      </c>
      <c r="AA138" s="269">
        <f>IF(ISNUMBER(AA18),AA18+AA40+N(AA62)+N(AA84)+N(AA96)+N(AA99)+N(AA102)+N(AA105),AA187)</f>
        <v>1509</v>
      </c>
      <c r="AB138" s="269">
        <f>IF(ISNUMBER(AB18),AB18+AB40+N(AB62)+N(AB84)+N(AB96)+N(AB99)+N(AB102)+N(AB105),AB187)</f>
        <v>1513</v>
      </c>
      <c r="AC138" s="269">
        <f>IF(ISNUMBER(AC18),AC18+AC40+N(AC62)+N(AC84)+N(AC96)+N(AC99)+N(AC102)+N(AC105),AC187)</f>
        <v>1589</v>
      </c>
      <c r="AD138" s="269">
        <f>IF(ISNUMBER(AD18),AD18+AD40+N(AD62)+N(AD84)+N(AD96)+N(AD99)+N(AD102)+N(AD105),AD187)</f>
        <v>6063</v>
      </c>
      <c r="AE138" s="269">
        <f>IF(ISNUMBER(AE18),AE18+AE40+N(AE62)+N(AE84)+N(AE96)+N(AE99)+N(AE102)+N(AE105),AE187)</f>
        <v>1567</v>
      </c>
      <c r="AF138" s="269">
        <f>IF(ISNUMBER(AF18),AF18+AF40+N(AF62)+N(AF84)+N(AF96)+N(AF99)+N(AF102)+N(AF105),AF187)</f>
        <v>1609</v>
      </c>
      <c r="AG138" s="269">
        <f>IF(ISNUMBER(AG18),AG18+AG40+N(AG62)+N(AG84)+N(AG96)+N(AG99)+N(AG102)+N(AG105),AG187)</f>
        <v>1546</v>
      </c>
      <c r="AH138" s="269">
        <f>IF(ISNUMBER(AH18),AH18+AH40+N(AH62)+N(AH84)+N(AH96)+N(AH99)+N(AH102)+N(AH105),AH187)</f>
        <v>1536</v>
      </c>
      <c r="AI138" s="269">
        <f>IF(ISNUMBER(AI18),AI18+AI40+N(AI62)+N(AI84)+N(AI96)+N(AI99)+N(AI102)+N(AI105),AI187)</f>
        <v>6258</v>
      </c>
      <c r="AJ138" s="269">
        <f>IF(ISNUMBER(AJ18),AJ18+AJ40+N(AJ62)+N(AJ84)+N(AJ96)+N(AJ99)+N(AJ102)+N(AJ105),AJ187)</f>
        <v>1571</v>
      </c>
      <c r="AK138" s="269">
        <f>IF(ISNUMBER(AK18),AK18+AK40+N(AK62)+N(AK84)+N(AK96)+N(AK99)+N(AK102)+N(AK105),AK187)</f>
        <v>1704</v>
      </c>
      <c r="AL138" s="269">
        <f>IF(ISNUMBER(AL18),AL18+AL40+N(AL62)+N(AL84)+N(AL96)+N(AL99)+N(AL102)+N(AL105),AL187)</f>
        <v>1689</v>
      </c>
      <c r="AM138" s="269">
        <f>IF(ISNUMBER(AM18),AM18+AM40+N(AM62)+N(AM84)+N(AM96)+N(AM99)+N(AM102)+N(AM105),AM187)</f>
        <v>1735</v>
      </c>
      <c r="AN138" s="269">
        <f>IF(ISNUMBER(AN18),AN18+AN40+N(AN62)+N(AN84)+N(AN96)+N(AN99)+N(AN102)+N(AN105),AN187)</f>
        <v>6699</v>
      </c>
      <c r="AO138" s="269">
        <f>IF(ISNUMBER(AO18),AO18+AO40+N(AO62)+N(AO84)+N(AO96)+N(AO99)+N(AO102)+N(AO105),AO187)</f>
        <v>1786</v>
      </c>
      <c r="AP138" s="269">
        <f>IF(ISNUMBER(AP18),AP18+AP40+N(AP62)+N(AP84)+N(AP96)+N(AP99)+N(AP102)+N(AP105),AP187)</f>
        <v>1943</v>
      </c>
      <c r="AQ138" s="269">
        <f>IF(ISNUMBER(AQ18),AQ18+AQ40+N(AQ62)+N(AQ84)+N(AQ96)+N(AQ99)+N(AQ102)+N(AQ105),AQ187)</f>
        <v>1846</v>
      </c>
      <c r="AR138" s="269">
        <f>IF(ISNUMBER(AR18),AR18+AR40+N(AR62)+N(AR84)+N(AR96)+N(AR99)+N(AR102)+N(AR105),AR187)</f>
        <v>1867</v>
      </c>
      <c r="AS138" s="269">
        <f>IF(ISNUMBER(AS18),AS18+AS40+N(AS62)+N(AS84)+N(AS96)+N(AS99)+N(AS102)+N(AS105),AS187)</f>
        <v>7442</v>
      </c>
      <c r="AT138" s="269">
        <f>IF(ISNUMBER(AT18),AT18+AT40+N(AT62)+N(AT84)+N(AT96)+N(AT99)+N(AT102)+N(AT105),AT187)</f>
        <v>2016</v>
      </c>
      <c r="AU138" s="269">
        <f>IF(ISNUMBER(AU18),AU18+AU40+N(AU62)+N(AU84)+N(AU96)+N(AU99)+N(AU102)+N(AU105),AU187)</f>
        <v>2106</v>
      </c>
      <c r="AV138" s="269">
        <f>IF(ISNUMBER(AV18),AV18+AV40+N(AV62)+N(AV84)+N(AV96)+N(AV99)+N(AV102)+N(AV105),AV187)</f>
        <v>2087</v>
      </c>
      <c r="AW138" s="269">
        <f>IF(ISNUMBER(AW18),AW18+AW40+N(AW62)+N(AW84)+N(AW96)+N(AW99)+N(AW102)+N(AW105),AW187)</f>
        <v>2088</v>
      </c>
      <c r="AX138" s="269">
        <f>IF(ISNUMBER(AX18),AX18+AX40+N(AX62)+N(AX84)+N(AX96)+N(AX99)+N(AX102)+N(AX105),AX187)</f>
        <v>8297</v>
      </c>
      <c r="AY138" s="269">
        <f>IF(ISNUMBER(AY18),AY18+AY40+N(AY62)+N(AY84)+N(AY96)+N(AY99)+N(AY102)+N(AY105),AY187)</f>
        <v>2389</v>
      </c>
      <c r="AZ138" s="269">
        <f>IF(ISNUMBER(AZ18),AZ18+AZ40+N(AZ62)+N(AZ84)+N(AZ96)+N(AZ99)+N(AZ102)+N(AZ105),AZ187)</f>
        <v>2993</v>
      </c>
      <c r="BA138" s="269">
        <f>IF(ISNUMBER(BA18),BA18+BA40+N(BA62)+N(BA84)+N(BA96)+N(BA99)+N(BA102)+N(BA105),BA187)</f>
        <v>2861</v>
      </c>
      <c r="BB138" s="269">
        <f>IF(ISNUMBER(BB18),BB18+BB40+N(BB62)+N(BB84)+N(BB96)+N(BB99)+N(BB102)+N(BB105),BB187)</f>
        <v>2937</v>
      </c>
      <c r="BC138" s="269">
        <f>IF(ISNUMBER(BC18),BC18+BC40+N(BC62)+N(BC84)+N(BC96)+N(BC99)+N(BC102)+N(BC105),BC187)</f>
        <v>11181</v>
      </c>
      <c r="BD138" s="269">
        <f>IF(ISNUMBER(BD18),BD18+BD40+N(BD62)+N(BD84)+N(BD96)+N(BD99)+N(BD102)+N(BD105),BD187)</f>
        <v>3160</v>
      </c>
      <c r="BE138" s="269">
        <f>IF(ISNUMBER(BE18),BE18+BE40+N(BE62)+N(BE84)+N(BE96)+N(BE99)+N(BE102)+N(BE105),BE187)</f>
        <v>3101</v>
      </c>
      <c r="BF138" s="269">
        <f>IF(ISNUMBER(BF18),BF18+BF40+N(BF62)+N(BF84)+N(BF96)+N(BF99)+N(BF102)+N(BF105),BF187)</f>
        <v>3084</v>
      </c>
      <c r="BG138" s="269">
        <f>IF(ISNUMBER(BG18),BG18+BG40+N(BG62)+N(BG84)+N(BG96)+N(BG99)+N(BG102)+N(BG105),BG187)</f>
        <v>3152</v>
      </c>
      <c r="BH138" s="269">
        <f>IF(ISNUMBER(BH18),BH18+BH40+N(BH62)+N(BH84)+N(BH96)+N(BH99)+N(BH102)+N(BH105),BH187)</f>
        <v>12497</v>
      </c>
      <c r="BI138" s="269">
        <f>IF(ISNUMBER(BI18),BI18+BI40+N(BI62)+N(BI84)+N(BI96)+N(BI99)+N(BI102)+N(BI105),BI187)</f>
        <v>3491</v>
      </c>
      <c r="BJ138" s="269">
        <f>IF(ISNUMBER(BJ18),BJ18+BJ40+N(BJ62)+N(BJ84)+N(BJ96)+N(BJ99)+N(BJ102)+N(BJ105),BJ187)</f>
        <v>3549</v>
      </c>
      <c r="BK138" s="269">
        <f>IF(ISNUMBER(BK18),BK18+BK40+N(BK62)+N(BK84)+N(BK96)+N(BK99)+N(BK102)+N(BK105),BK187)</f>
        <v>3575</v>
      </c>
      <c r="BL138" s="269">
        <f>IF(ISNUMBER(BL18),BL18+BL40+N(BL62)+N(BL84)+N(BL96)+N(BL99)+N(BL102)+N(BL105),BL187)</f>
        <v>3592</v>
      </c>
      <c r="BM138" s="269">
        <f>IF(ISNUMBER(BM18),BM18+BM40+N(BM62)+N(BM84)+N(BM96)+N(BM99)+N(BM102)+N(BM105),BM187)</f>
        <v>14208</v>
      </c>
      <c r="BN138" s="269">
        <f>IF(ISNUMBER(BN18),BN18+BN40+N(BN62)+N(BN84)+N(BN96)+N(BN99)+N(BN102)+N(BN105),BN187)</f>
        <v>3357</v>
      </c>
      <c r="BO138" s="269">
        <f>IF(ISNUMBER(BO18),BO18+BO40+N(BO62)+N(BO84)+N(BO96)+N(BO99)+N(BO102)+N(BO105),BO187)</f>
        <v>3317</v>
      </c>
      <c r="BP138" s="269">
        <f>IF(ISNUMBER(BP18),BP18+BP40+N(BP62)+N(BP84)+N(BP96)+N(BP99)+N(BP102)+N(BP105),BP187)</f>
        <v>3443</v>
      </c>
      <c r="BQ138" s="269">
        <f>IF(ISNUMBER(BQ18),BQ18+BQ40+N(BQ62)+N(BQ84)+N(BQ96)+N(BQ99)+N(BQ102)+N(BQ105),BQ187)</f>
        <v>3472</v>
      </c>
      <c r="BR138" s="269">
        <f>IF(ISNUMBER(BR18),BR18+BR40+N(BR62)+N(BR84)+N(BR96)+N(BR99)+N(BR102)+N(BR105),BR187)</f>
        <v>13589</v>
      </c>
      <c r="BS138" s="269">
        <f>IF(ISNUMBER(BS18),BS18+BS40+N(BS62)+N(BS84)+N(BS96)+N(BS99)+N(BS102)+N(BS105),BS187)</f>
        <v>3717</v>
      </c>
      <c r="BT138" s="269">
        <f>IF(ISNUMBER(BT18),BT18+BT40+N(BT62)+N(BT84)+N(BT96)+N(BT99)+N(BT102)+N(BT105),BT187)</f>
        <v>3678</v>
      </c>
      <c r="BU138" s="269">
        <f>BU18+BU40+BU62+BU84+BU105+N(BU129)</f>
        <v>3554.4356201224</v>
      </c>
      <c r="BV138" s="269">
        <f>BV18+BV40+BV62+BV84+BV105+N(BV129)</f>
        <v>3577.2053798776</v>
      </c>
      <c r="BW138" s="269">
        <f>BW18+BW40+BW62+BW84+BW105+N(BW129)</f>
        <v>14526.641</v>
      </c>
      <c r="BX138" s="269">
        <f>BX18+BX40+BX62+BX84+BX105+N(BX129)</f>
        <v>15426.2030573497</v>
      </c>
      <c r="BY138" s="269">
        <f>BY18+BY40+BY62+BY84+BY105+N(BY129)</f>
        <v>16516.7832013327</v>
      </c>
      <c r="BZ138" s="269">
        <f>BZ18+BZ40+BZ62+BZ84+BZ105+N(BZ129)</f>
        <v>17650.8429410651</v>
      </c>
      <c r="CA138" s="269">
        <f>CA18+CA40+CA62+CA84+CA105+N(CA129)</f>
        <v>18809.3088629089</v>
      </c>
      <c r="CB138" s="269">
        <f>CB18+CB40+CB62+CB84+CB105+N(CB129)</f>
        <v>20042.0024555706</v>
      </c>
      <c r="CC138" s="153" t="inlineStr">
        <is>
          <t>Σ divisions (+ legacy / divested divisions in history) + intersegment elimination (+ future acquisitions from 2027E).</t>
        </is>
      </c>
      <c r="CE138" s="20">
        <f>IFERROR((CB138/BW138)^(1/5)-1,"n/m")</f>
        <v>0.0664860557166576</v>
      </c>
      <c r="CF138" s="20">
        <f>IFERROR((BR138/AS138)^(1/5)-1,"n/m")</f>
        <v>0.127975239912516</v>
      </c>
      <c r="CG138" s="20">
        <f>IFERROR((BR138/T138)^(1/10)-1,"n/m")</f>
        <v>0.0984613187660166</v>
      </c>
      <c r="CH138" s="20">
        <f>IFERROR((BR138/C138)^(1/15)-1,"n/m")</f>
        <v>0.0918099039683815</v>
      </c>
    </row>
    <row r="139" ht="15" customHeight="1" s="251">
      <c r="B139" s="22" t="inlineStr">
        <is>
          <t xml:space="preserve">  Revenue y/y %</t>
        </is>
      </c>
      <c r="C139" s="23" t="n"/>
      <c r="D139" s="255">
        <f>IF(AND(ISNUMBER(D138),ISNUMBER(C138)),IFERROR(D138/C138-1,""),"")</f>
        <v>0.0865622423742787</v>
      </c>
      <c r="E139" s="255">
        <f>IF(AND(ISNUMBER(E138),ISNUMBER(D138)),IFERROR(E138/D138-1,""),"")</f>
        <v>0.125442589782499</v>
      </c>
      <c r="F139" s="23" t="n"/>
      <c r="G139" s="23" t="n"/>
      <c r="H139" s="23" t="n"/>
      <c r="I139" s="23" t="n"/>
      <c r="J139" s="255">
        <f>IF(AND(ISNUMBER(J138),ISNUMBER(E138)),IFERROR(J138/E138-1,""),"")</f>
        <v>0.095505617977528</v>
      </c>
      <c r="K139" s="255">
        <f>IF(AND(ISNUMBER(K138),ISNUMBER(F138)),IFERROR(K138/F138-1,""),"")</f>
        <v>0.0465707027942421</v>
      </c>
      <c r="L139" s="255">
        <f>IF(AND(ISNUMBER(L138),ISNUMBER(G138)),IFERROR(L138/G138-1,""),"")</f>
        <v>0.0768</v>
      </c>
      <c r="M139" s="255">
        <f>IF(AND(ISNUMBER(M138),ISNUMBER(H138)),IFERROR(M138/H138-1,""),"")</f>
        <v>0.0577889447236182</v>
      </c>
      <c r="N139" s="255">
        <f>IF(AND(ISNUMBER(N138),ISNUMBER(I138)),IFERROR(N138/I138-1,""),"")</f>
        <v>0.032</v>
      </c>
      <c r="O139" s="255">
        <f>IF(AND(ISNUMBER(O138),ISNUMBER(J138)),IFERROR(O138/J138-1,""),"")</f>
        <v>0.0361025641025641</v>
      </c>
      <c r="P139" s="255">
        <f>IF(AND(ISNUMBER(P138),ISNUMBER(K138)),IFERROR(P138/K138-1,""),"")</f>
        <v>0.0299352750809061</v>
      </c>
      <c r="Q139" s="255">
        <f>IF(AND(ISNUMBER(Q138),ISNUMBER(L138)),IFERROR(Q138/L138-1,""),"")</f>
        <v>-0.00297176820208023</v>
      </c>
      <c r="R139" s="255">
        <f>IF(AND(ISNUMBER(R138),ISNUMBER(M138)),IFERROR(R138/M138-1,""),"")</f>
        <v>0.0482977038796517</v>
      </c>
      <c r="S139" s="255">
        <f>IF(AND(ISNUMBER(S138),ISNUMBER(N138)),IFERROR(S138/N138-1,""),"")</f>
        <v>0.0651162790697675</v>
      </c>
      <c r="T139" s="255">
        <f>IF(AND(ISNUMBER(T138),ISNUMBER(O138)),IFERROR(T138/O138-1,""),"")</f>
        <v>0.0518709166501683</v>
      </c>
      <c r="U139" s="255">
        <f>IF(AND(ISNUMBER(U138),ISNUMBER(P138)),IFERROR(U138/P138-1,""),"")</f>
        <v>0.0534171249018067</v>
      </c>
      <c r="V139" s="255">
        <f>IF(AND(ISNUMBER(V138),ISNUMBER(Q138)),IFERROR(V138/Q138-1,""),"")</f>
        <v>0.104321907600596</v>
      </c>
      <c r="W139" s="255">
        <f>IF(AND(ISNUMBER(W138),ISNUMBER(R138)),IFERROR(W138/R138-1,""),"")</f>
        <v>0.0868580060422961</v>
      </c>
      <c r="X139" s="255">
        <f>IF(AND(ISNUMBER(X138),ISNUMBER(S138)),IFERROR(X138/S138-1,""),"")</f>
        <v>0.0181950509461426</v>
      </c>
      <c r="Y139" s="255">
        <f>IF(AND(ISNUMBER(Y138),ISNUMBER(T138)),IFERROR(Y138/T138-1,""),"")</f>
        <v>0.0654997176736307</v>
      </c>
      <c r="Z139" s="255">
        <f>IF(AND(ISNUMBER(Z138),ISNUMBER(U138)),IFERROR(Z138/U138-1,""),"")</f>
        <v>0.0835197613721104</v>
      </c>
      <c r="AA139" s="255">
        <f>IF(AND(ISNUMBER(AA138),ISNUMBER(V138)),IFERROR(AA138/V138-1,""),"")</f>
        <v>0.0182186234817814</v>
      </c>
      <c r="AB139" s="255">
        <f>IF(AND(ISNUMBER(AB138),ISNUMBER(W138)),IFERROR(AB138/W138-1,""),"")</f>
        <v>0.0514246004169563</v>
      </c>
      <c r="AC139" s="255">
        <f>IF(AND(ISNUMBER(AC138),ISNUMBER(X138)),IFERROR(AC138/X138-1,""),"")</f>
        <v>0.135811293781272</v>
      </c>
      <c r="AD139" s="255">
        <f>IF(AND(ISNUMBER(AD138),ISNUMBER(Y138)),IFERROR(AD138/Y138-1,""),"")</f>
        <v>0.0710121886592474</v>
      </c>
      <c r="AE139" s="255">
        <f>IF(AND(ISNUMBER(AE138),ISNUMBER(Z138)),IFERROR(AE138/Z138-1,""),"")</f>
        <v>0.0784583620096353</v>
      </c>
      <c r="AF139" s="255">
        <f>IF(AND(ISNUMBER(AF138),ISNUMBER(AA138)),IFERROR(AF138/AA138-1,""),"")</f>
        <v>0.0662690523525513</v>
      </c>
      <c r="AG139" s="255">
        <f>IF(AND(ISNUMBER(AG138),ISNUMBER(AB138)),IFERROR(AG138/AB138-1,""),"")</f>
        <v>0.0218109715796431</v>
      </c>
      <c r="AH139" s="255">
        <f>IF(AND(ISNUMBER(AH138),ISNUMBER(AC138)),IFERROR(AH138/AC138-1,""),"")</f>
        <v>-0.0333543108873505</v>
      </c>
      <c r="AI139" s="255">
        <f>IF(AND(ISNUMBER(AI138),ISNUMBER(AD138)),IFERROR(AI138/AD138-1,""),"")</f>
        <v>0.0321622958931223</v>
      </c>
      <c r="AJ139" s="255">
        <f>IF(AND(ISNUMBER(AJ138),ISNUMBER(AE138)),IFERROR(AJ138/AE138-1,""),"")</f>
        <v>0.00255264837268676</v>
      </c>
      <c r="AK139" s="255">
        <f>IF(AND(ISNUMBER(AK138),ISNUMBER(AF138)),IFERROR(AK138/AF138-1,""),"")</f>
        <v>0.0590428837787447</v>
      </c>
      <c r="AL139" s="255">
        <f>IF(AND(ISNUMBER(AL138),ISNUMBER(AG138)),IFERROR(AL138/AG138-1,""),"")</f>
        <v>0.0924967658473479</v>
      </c>
      <c r="AM139" s="255">
        <f>IF(AND(ISNUMBER(AM138),ISNUMBER(AH138)),IFERROR(AM138/AH138-1,""),"")</f>
        <v>0.129557291666667</v>
      </c>
      <c r="AN139" s="255">
        <f>IF(AND(ISNUMBER(AN138),ISNUMBER(AI138)),IFERROR(AN138/AI138-1,""),"")</f>
        <v>0.0704697986577181</v>
      </c>
      <c r="AO139" s="255">
        <f>IF(AND(ISNUMBER(AO138),ISNUMBER(AJ138)),IFERROR(AO138/AJ138-1,""),"")</f>
        <v>0.136855506047104</v>
      </c>
      <c r="AP139" s="255">
        <f>IF(AND(ISNUMBER(AP138),ISNUMBER(AK138)),IFERROR(AP138/AK138-1,""),"")</f>
        <v>0.140258215962441</v>
      </c>
      <c r="AQ139" s="255">
        <f>IF(AND(ISNUMBER(AQ138),ISNUMBER(AL138)),IFERROR(AQ138/AL138-1,""),"")</f>
        <v>0.0929544108940201</v>
      </c>
      <c r="AR139" s="255">
        <f>IF(AND(ISNUMBER(AR138),ISNUMBER(AM138)),IFERROR(AR138/AM138-1,""),"")</f>
        <v>0.0760806916426513</v>
      </c>
      <c r="AS139" s="255">
        <f>IF(AND(ISNUMBER(AS138),ISNUMBER(AN138)),IFERROR(AS138/AN138-1,""),"")</f>
        <v>0.110912076429318</v>
      </c>
      <c r="AT139" s="255">
        <f>IF(AND(ISNUMBER(AT138),ISNUMBER(AO138)),IFERROR(AT138/AO138-1,""),"")</f>
        <v>0.128779395296752</v>
      </c>
      <c r="AU139" s="255">
        <f>IF(AND(ISNUMBER(AU138),ISNUMBER(AP138)),IFERROR(AU138/AP138-1,""),"")</f>
        <v>0.0838908903757076</v>
      </c>
      <c r="AV139" s="255">
        <f>IF(AND(ISNUMBER(AV138),ISNUMBER(AQ138)),IFERROR(AV138/AQ138-1,""),"")</f>
        <v>0.130552546045504</v>
      </c>
      <c r="AW139" s="255">
        <f>IF(AND(ISNUMBER(AW138),ISNUMBER(AR138)),IFERROR(AW138/AR138-1,""),"")</f>
        <v>0.118371719335833</v>
      </c>
      <c r="AX139" s="255">
        <f>IF(AND(ISNUMBER(AX138),ISNUMBER(AS138)),IFERROR(AX138/AS138-1,""),"")</f>
        <v>0.114888470841172</v>
      </c>
      <c r="AY139" s="255">
        <f>IF(AND(ISNUMBER(AY138),ISNUMBER(AT138)),IFERROR(AY138/AT138-1,""),"")</f>
        <v>0.185019841269841</v>
      </c>
      <c r="AZ139" s="255">
        <f>IF(AND(ISNUMBER(AZ138),ISNUMBER(AU138)),IFERROR(AZ138/AU138-1,""),"")</f>
        <v>0.421177587844255</v>
      </c>
      <c r="BA139" s="255">
        <f>IF(AND(ISNUMBER(BA138),ISNUMBER(AV138)),IFERROR(BA138/AV138-1,""),"")</f>
        <v>0.370867273598467</v>
      </c>
      <c r="BB139" s="255">
        <f>IF(AND(ISNUMBER(BB138),ISNUMBER(AW138)),IFERROR(BB138/AW138-1,""),"")</f>
        <v>0.406609195402299</v>
      </c>
      <c r="BC139" s="255">
        <f>IF(AND(ISNUMBER(BC138),ISNUMBER(AX138)),IFERROR(BC138/AX138-1,""),"")</f>
        <v>0.34759551645173</v>
      </c>
      <c r="BD139" s="255">
        <f>IF(AND(ISNUMBER(BD138),ISNUMBER(AY138)),IFERROR(BD138/AY138-1,""),"")</f>
        <v>0.322729175387191</v>
      </c>
      <c r="BE139" s="255">
        <f>IF(AND(ISNUMBER(BE138),ISNUMBER(AZ138)),IFERROR(BE138/AZ138-1,""),"")</f>
        <v>0.0360841964584029</v>
      </c>
      <c r="BF139" s="255">
        <f>IF(AND(ISNUMBER(BF138),ISNUMBER(BA138)),IFERROR(BF138/BA138-1,""),"")</f>
        <v>0.0779447745543516</v>
      </c>
      <c r="BG139" s="255">
        <f>IF(AND(ISNUMBER(BG138),ISNUMBER(BB138)),IFERROR(BG138/BB138-1,""),"")</f>
        <v>0.073203949608444</v>
      </c>
      <c r="BH139" s="255">
        <f>IF(AND(ISNUMBER(BH138),ISNUMBER(BC138)),IFERROR(BH138/BC138-1,""),"")</f>
        <v>0.117699669081478</v>
      </c>
      <c r="BI139" s="255">
        <f>IF(AND(ISNUMBER(BI138),ISNUMBER(BD138)),IFERROR(BI138/BD138-1,""),"")</f>
        <v>0.104746835443038</v>
      </c>
      <c r="BJ139" s="255">
        <f>IF(AND(ISNUMBER(BJ138),ISNUMBER(BE138)),IFERROR(BJ138/BE138-1,""),"")</f>
        <v>0.144469525959368</v>
      </c>
      <c r="BK139" s="255">
        <f>IF(AND(ISNUMBER(BK138),ISNUMBER(BF138)),IFERROR(BK138/BF138-1,""),"")</f>
        <v>0.159208819714656</v>
      </c>
      <c r="BL139" s="255">
        <f>IF(AND(ISNUMBER(BL138),ISNUMBER(BG138)),IFERROR(BL138/BG138-1,""),"")</f>
        <v>0.139593908629442</v>
      </c>
      <c r="BM139" s="255">
        <f>IF(AND(ISNUMBER(BM138),ISNUMBER(BH138)),IFERROR(BM138/BH138-1,""),"")</f>
        <v>0.136912859086181</v>
      </c>
      <c r="BN139" s="255">
        <f>IF(AND(ISNUMBER(BN138),ISNUMBER(BI138)),IFERROR(BN138/BI138-1,""),"")</f>
        <v>-0.0383844170724721</v>
      </c>
      <c r="BO139" s="255">
        <f>IF(AND(ISNUMBER(BO138),ISNUMBER(BJ138)),IFERROR(BO138/BJ138-1,""),"")</f>
        <v>-0.0653705269089885</v>
      </c>
      <c r="BP139" s="255">
        <f>IF(AND(ISNUMBER(BP138),ISNUMBER(BK138)),IFERROR(BP138/BK138-1,""),"")</f>
        <v>-0.036923076923077</v>
      </c>
      <c r="BQ139" s="255">
        <f>IF(AND(ISNUMBER(BQ138),ISNUMBER(BL138)),IFERROR(BQ138/BL138-1,""),"")</f>
        <v>-0.0334075723830735</v>
      </c>
      <c r="BR139" s="255">
        <f>IF(AND(ISNUMBER(BR138),ISNUMBER(BM138)),IFERROR(BR138/BM138-1,""),"")</f>
        <v>-0.0435670045045045</v>
      </c>
      <c r="BS139" s="255">
        <f>IF(AND(ISNUMBER(BS138),ISNUMBER(BN138)),IFERROR(BS138/BN138-1,""),"")</f>
        <v>0.107238605898123</v>
      </c>
      <c r="BT139" s="255">
        <f>IF(AND(ISNUMBER(BT138),ISNUMBER(BO138)),IFERROR(BT138/BO138-1,""),"")</f>
        <v>0.108833283087127</v>
      </c>
      <c r="BU139" s="256">
        <f>IF(AND(ISNUMBER(BU138),ISNUMBER(BP138)),IFERROR(BU138/BP138-1,""),"")</f>
        <v>0.0323658495853614</v>
      </c>
      <c r="BV139" s="256">
        <f>IF(AND(ISNUMBER(BV138),ISNUMBER(BQ138)),IFERROR(BV138/BQ138-1,""),"")</f>
        <v>0.0303010886744239</v>
      </c>
      <c r="BW139" s="256">
        <f>IF(AND(ISNUMBER(BW138),ISNUMBER(BR138)),IFERROR(BW138/BR138-1,""),"")</f>
        <v>0.069</v>
      </c>
      <c r="BX139" s="256">
        <f>IF(AND(ISNUMBER(BX138),ISNUMBER(BW138)),IFERROR(BX138/BW138-1,""),"")</f>
        <v>0.0619249871563388</v>
      </c>
      <c r="BY139" s="256">
        <f>IF(AND(ISNUMBER(BY138),ISNUMBER(BX138)),IFERROR(BY138/BX138-1,""),"")</f>
        <v>0.0706966023932503</v>
      </c>
      <c r="BZ139" s="256">
        <f>IF(AND(ISNUMBER(BZ138),ISNUMBER(BY138)),IFERROR(BZ138/BY138-1,""),"")</f>
        <v>0.0686610537844257</v>
      </c>
      <c r="CA139" s="256">
        <f>IF(AND(ISNUMBER(CA138),ISNUMBER(BZ138)),IFERROR(CA138/BZ138-1,""),"")</f>
        <v>0.0656323284792579</v>
      </c>
      <c r="CB139" s="256">
        <f>IF(AND(ISNUMBER(CB138),ISNUMBER(CA138)),IFERROR(CB138/CA138-1,""),"")</f>
        <v>0.0655363576432377</v>
      </c>
      <c r="CC139" s="153" t="n"/>
    </row>
    <row r="140" ht="15" customHeight="1" s="251">
      <c r="B140" s="57" t="inlineStr">
        <is>
          <t xml:space="preserve">  Check: division build vs consolidated revenue (should be 0)</t>
        </is>
      </c>
      <c r="C140" s="211">
        <f>IF(ISNUMBER(C138),IF(ABS(C138-C187)&lt;=1.01,0,ROUND(C138-C187,0)),"")</f>
        <v>0</v>
      </c>
      <c r="D140" s="211">
        <f>IF(ISNUMBER(D138),IF(ABS(D138-D187)&lt;=1.01,0,ROUND(D138-D187,0)),"")</f>
        <v>0</v>
      </c>
      <c r="E140" s="211">
        <f>IF(ISNUMBER(E138),IF(ABS(E138-E187)&lt;=1.01,0,ROUND(E138-E187,0)),"")</f>
        <v>0</v>
      </c>
      <c r="F140" s="211">
        <f>IF(ISNUMBER(F138),IF(ABS(F138-F187)&lt;=1.01,0,ROUND(F138-F187,0)),"")</f>
        <v>0</v>
      </c>
      <c r="G140" s="211">
        <f>IF(ISNUMBER(G138),IF(ABS(G138-G187)&lt;=1.01,0,ROUND(G138-G187,0)),"")</f>
        <v>0</v>
      </c>
      <c r="H140" s="211">
        <f>IF(ISNUMBER(H138),IF(ABS(H138-H187)&lt;=1.01,0,ROUND(H138-H187,0)),"")</f>
        <v>0</v>
      </c>
      <c r="I140" s="211">
        <f>IF(ISNUMBER(I138),IF(ABS(I138-I187)&lt;=1.01,0,ROUND(I138-I187,0)),"")</f>
        <v>0</v>
      </c>
      <c r="J140" s="211">
        <f>IF(ISNUMBER(J138),IF(ABS(J138-J187)&lt;=1.01,0,ROUND(J138-J187,0)),"")</f>
        <v>0</v>
      </c>
      <c r="K140" s="211">
        <f>IF(ISNUMBER(K138),IF(ABS(K138-K187)&lt;=1.01,0,ROUND(K138-K187,0)),"")</f>
        <v>0</v>
      </c>
      <c r="L140" s="211">
        <f>IF(ISNUMBER(L138),IF(ABS(L138-L187)&lt;=1.01,0,ROUND(L138-L187,0)),"")</f>
        <v>0</v>
      </c>
      <c r="M140" s="211">
        <f>IF(ISNUMBER(M138),IF(ABS(M138-M187)&lt;=1.01,0,ROUND(M138-M187,0)),"")</f>
        <v>0</v>
      </c>
      <c r="N140" s="211">
        <f>IF(ISNUMBER(N138),IF(ABS(N138-N187)&lt;=1.01,0,ROUND(N138-N187,0)),"")</f>
        <v>0</v>
      </c>
      <c r="O140" s="211">
        <f>IF(ISNUMBER(O138),IF(ABS(O138-O187)&lt;=1.01,0,ROUND(O138-O187,0)),"")</f>
        <v>0</v>
      </c>
      <c r="P140" s="211">
        <f>IF(ISNUMBER(P138),IF(ABS(P138-P187)&lt;=1.01,0,ROUND(P138-P187,0)),"")</f>
        <v>0</v>
      </c>
      <c r="Q140" s="211">
        <f>IF(ISNUMBER(Q138),IF(ABS(Q138-Q187)&lt;=1.01,0,ROUND(Q138-Q187,0)),"")</f>
        <v>0</v>
      </c>
      <c r="R140" s="211">
        <f>IF(ISNUMBER(R138),IF(ABS(R138-R187)&lt;=1.01,0,ROUND(R138-R187,0)),"")</f>
        <v>0</v>
      </c>
      <c r="S140" s="211">
        <f>IF(ISNUMBER(S138),IF(ABS(S138-S187)&lt;=1.01,0,ROUND(S138-S187,0)),"")</f>
        <v>0</v>
      </c>
      <c r="T140" s="211">
        <f>IF(ISNUMBER(T138),IF(ABS(T138-T187)&lt;=1.01,0,ROUND(T138-T187,0)),"")</f>
        <v>0</v>
      </c>
      <c r="U140" s="211">
        <f>IF(ISNUMBER(U138),IF(ABS(U138-U187)&lt;=1.01,0,ROUND(U138-U187,0)),"")</f>
        <v>0</v>
      </c>
      <c r="V140" s="211">
        <f>IF(ISNUMBER(V138),IF(ABS(V138-V187)&lt;=1.01,0,ROUND(V138-V187,0)),"")</f>
        <v>0</v>
      </c>
      <c r="W140" s="211">
        <f>IF(ISNUMBER(W138),IF(ABS(W138-W187)&lt;=1.01,0,ROUND(W138-W187,0)),"")</f>
        <v>0</v>
      </c>
      <c r="X140" s="211">
        <f>IF(ISNUMBER(X138),IF(ABS(X138-X187)&lt;=1.01,0,ROUND(X138-X187,0)),"")</f>
        <v>0</v>
      </c>
      <c r="Y140" s="211">
        <f>IF(ISNUMBER(Y138),IF(ABS(Y138-Y187)&lt;=1.01,0,ROUND(Y138-Y187,0)),"")</f>
        <v>0</v>
      </c>
      <c r="Z140" s="211">
        <f>IF(ISNUMBER(Z138),IF(ABS(Z138-Z187)&lt;=1.01,0,ROUND(Z138-Z187,0)),"")</f>
        <v>0</v>
      </c>
      <c r="AA140" s="211">
        <f>IF(ISNUMBER(AA138),IF(ABS(AA138-AA187)&lt;=1.01,0,ROUND(AA138-AA187,0)),"")</f>
        <v>0</v>
      </c>
      <c r="AB140" s="211">
        <f>IF(ISNUMBER(AB138),IF(ABS(AB138-AB187)&lt;=1.01,0,ROUND(AB138-AB187,0)),"")</f>
        <v>0</v>
      </c>
      <c r="AC140" s="211">
        <f>IF(ISNUMBER(AC138),IF(ABS(AC138-AC187)&lt;=1.01,0,ROUND(AC138-AC187,0)),"")</f>
        <v>0</v>
      </c>
      <c r="AD140" s="211">
        <f>IF(ISNUMBER(AD138),IF(ABS(AD138-AD187)&lt;=1.01,0,ROUND(AD138-AD187,0)),"")</f>
        <v>0</v>
      </c>
      <c r="AE140" s="211">
        <f>IF(ISNUMBER(AE138),IF(ABS(AE138-AE187)&lt;=1.01,0,ROUND(AE138-AE187,0)),"")</f>
        <v>0</v>
      </c>
      <c r="AF140" s="211">
        <f>IF(ISNUMBER(AF138),IF(ABS(AF138-AF187)&lt;=1.01,0,ROUND(AF138-AF187,0)),"")</f>
        <v>0</v>
      </c>
      <c r="AG140" s="211">
        <f>IF(ISNUMBER(AG138),IF(ABS(AG138-AG187)&lt;=1.01,0,ROUND(AG138-AG187,0)),"")</f>
        <v>0</v>
      </c>
      <c r="AH140" s="211">
        <f>IF(ISNUMBER(AH138),IF(ABS(AH138-AH187)&lt;=1.01,0,ROUND(AH138-AH187,0)),"")</f>
        <v>0</v>
      </c>
      <c r="AI140" s="211">
        <f>IF(ISNUMBER(AI138),IF(ABS(AI138-AI187)&lt;=1.01,0,ROUND(AI138-AI187,0)),"")</f>
        <v>0</v>
      </c>
      <c r="AJ140" s="211">
        <f>IF(ISNUMBER(AJ138),IF(ABS(AJ138-AJ187)&lt;=1.01,0,ROUND(AJ138-AJ187,0)),"")</f>
        <v>0</v>
      </c>
      <c r="AK140" s="211">
        <f>IF(ISNUMBER(AK138),IF(ABS(AK138-AK187)&lt;=1.01,0,ROUND(AK138-AK187,0)),"")</f>
        <v>0</v>
      </c>
      <c r="AL140" s="211">
        <f>IF(ISNUMBER(AL138),IF(ABS(AL138-AL187)&lt;=1.01,0,ROUND(AL138-AL187,0)),"")</f>
        <v>0</v>
      </c>
      <c r="AM140" s="211">
        <f>IF(ISNUMBER(AM138),IF(ABS(AM138-AM187)&lt;=1.01,0,ROUND(AM138-AM187,0)),"")</f>
        <v>0</v>
      </c>
      <c r="AN140" s="211">
        <f>IF(ISNUMBER(AN138),IF(ABS(AN138-AN187)&lt;=1.01,0,ROUND(AN138-AN187,0)),"")</f>
        <v>0</v>
      </c>
      <c r="AO140" s="211">
        <f>IF(ISNUMBER(AO138),IF(ABS(AO138-AO187)&lt;=1.01,0,ROUND(AO138-AO187,0)),"")</f>
        <v>0</v>
      </c>
      <c r="AP140" s="211">
        <f>IF(ISNUMBER(AP138),IF(ABS(AP138-AP187)&lt;=1.01,0,ROUND(AP138-AP187,0)),"")</f>
        <v>0</v>
      </c>
      <c r="AQ140" s="211">
        <f>IF(ISNUMBER(AQ138),IF(ABS(AQ138-AQ187)&lt;=1.01,0,ROUND(AQ138-AQ187,0)),"")</f>
        <v>0</v>
      </c>
      <c r="AR140" s="211">
        <f>IF(ISNUMBER(AR138),IF(ABS(AR138-AR187)&lt;=1.01,0,ROUND(AR138-AR187,0)),"")</f>
        <v>0</v>
      </c>
      <c r="AS140" s="211">
        <f>IF(ISNUMBER(AS138),IF(ABS(AS138-AS187)&lt;=1.01,0,ROUND(AS138-AS187,0)),"")</f>
        <v>0</v>
      </c>
      <c r="AT140" s="211">
        <f>IF(ISNUMBER(AT138),IF(ABS(AT138-AT187)&lt;=1.01,0,ROUND(AT138-AT187,0)),"")</f>
        <v>0</v>
      </c>
      <c r="AU140" s="211">
        <f>IF(ISNUMBER(AU138),IF(ABS(AU138-AU187)&lt;=1.01,0,ROUND(AU138-AU187,0)),"")</f>
        <v>0</v>
      </c>
      <c r="AV140" s="211">
        <f>IF(ISNUMBER(AV138),IF(ABS(AV138-AV187)&lt;=1.01,0,ROUND(AV138-AV187,0)),"")</f>
        <v>0</v>
      </c>
      <c r="AW140" s="211">
        <f>IF(ISNUMBER(AW138),IF(ABS(AW138-AW187)&lt;=1.01,0,ROUND(AW138-AW187,0)),"")</f>
        <v>0</v>
      </c>
      <c r="AX140" s="211">
        <f>IF(ISNUMBER(AX138),IF(ABS(AX138-AX187)&lt;=1.01,0,ROUND(AX138-AX187,0)),"")</f>
        <v>0</v>
      </c>
      <c r="AY140" s="211">
        <f>IF(ISNUMBER(AY138),IF(ABS(AY138-AY187)&lt;=1.01,0,ROUND(AY138-AY187,0)),"")</f>
        <v>0</v>
      </c>
      <c r="AZ140" s="211">
        <f>IF(ISNUMBER(AZ138),IF(ABS(AZ138-AZ187)&lt;=1.01,0,ROUND(AZ138-AZ187,0)),"")</f>
        <v>0</v>
      </c>
      <c r="BA140" s="211">
        <f>IF(ISNUMBER(BA138),IF(ABS(BA138-BA187)&lt;=1.01,0,ROUND(BA138-BA187,0)),"")</f>
        <v>0</v>
      </c>
      <c r="BB140" s="211">
        <f>IF(ISNUMBER(BB138),IF(ABS(BB138-BB187)&lt;=1.01,0,ROUND(BB138-BB187,0)),"")</f>
        <v>0</v>
      </c>
      <c r="BC140" s="211">
        <f>IF(ISNUMBER(BC138),IF(ABS(BC138-BC187)&lt;=1.01,0,ROUND(BC138-BC187,0)),"")</f>
        <v>0</v>
      </c>
      <c r="BD140" s="211">
        <f>IF(ISNUMBER(BD138),IF(ABS(BD138-BD187)&lt;=1.01,0,ROUND(BD138-BD187,0)),"")</f>
        <v>0</v>
      </c>
      <c r="BE140" s="211">
        <f>IF(ISNUMBER(BE138),IF(ABS(BE138-BE187)&lt;=1.01,0,ROUND(BE138-BE187,0)),"")</f>
        <v>0</v>
      </c>
      <c r="BF140" s="211">
        <f>IF(ISNUMBER(BF138),IF(ABS(BF138-BF187)&lt;=1.01,0,ROUND(BF138-BF187,0)),"")</f>
        <v>0</v>
      </c>
      <c r="BG140" s="211">
        <f>IF(ISNUMBER(BG138),IF(ABS(BG138-BG187)&lt;=1.01,0,ROUND(BG138-BG187,0)),"")</f>
        <v>0</v>
      </c>
      <c r="BH140" s="211">
        <f>IF(ISNUMBER(BH138),IF(ABS(BH138-BH187)&lt;=1.01,0,ROUND(BH138-BH187,0)),"")</f>
        <v>0</v>
      </c>
      <c r="BI140" s="211">
        <f>IF(ISNUMBER(BI138),IF(ABS(BI138-BI187)&lt;=1.01,0,ROUND(BI138-BI187,0)),"")</f>
        <v>0</v>
      </c>
      <c r="BJ140" s="211">
        <f>IF(ISNUMBER(BJ138),IF(ABS(BJ138-BJ187)&lt;=1.01,0,ROUND(BJ138-BJ187,0)),"")</f>
        <v>0</v>
      </c>
      <c r="BK140" s="211">
        <f>IF(ISNUMBER(BK138),IF(ABS(BK138-BK187)&lt;=1.01,0,ROUND(BK138-BK187,0)),"")</f>
        <v>0</v>
      </c>
      <c r="BL140" s="211">
        <f>IF(ISNUMBER(BL138),IF(ABS(BL138-BL187)&lt;=1.01,0,ROUND(BL138-BL187,0)),"")</f>
        <v>0</v>
      </c>
      <c r="BM140" s="211">
        <f>IF(ISNUMBER(BM138),IF(ABS(BM138-BM187)&lt;=1.01,0,ROUND(BM138-BM187,0)),"")</f>
        <v>0</v>
      </c>
      <c r="BN140" s="211">
        <f>IF(ISNUMBER(BN138),IF(ABS(BN138-BN187)&lt;=1.01,0,ROUND(BN138-BN187,0)),"")</f>
        <v>0</v>
      </c>
      <c r="BO140" s="211">
        <f>IF(ISNUMBER(BO138),IF(ABS(BO138-BO187)&lt;=1.01,0,ROUND(BO138-BO187,0)),"")</f>
        <v>0</v>
      </c>
      <c r="BP140" s="211">
        <f>IF(ISNUMBER(BP138),IF(ABS(BP138-BP187)&lt;=1.01,0,ROUND(BP138-BP187,0)),"")</f>
        <v>0</v>
      </c>
      <c r="BQ140" s="211">
        <f>IF(ISNUMBER(BQ138),IF(ABS(BQ138-BQ187)&lt;=1.01,0,ROUND(BQ138-BQ187,0)),"")</f>
        <v>0</v>
      </c>
      <c r="BR140" s="211">
        <f>IF(ISNUMBER(BR138),IF(ABS(BR138-BR187)&lt;=1.01,0,ROUND(BR138-BR187,0)),"")</f>
        <v>0</v>
      </c>
      <c r="BS140" s="211">
        <f>IF(ISNUMBER(BS138),IF(ABS(BS138-BS187)&lt;=1.01,0,ROUND(BS138-BS187,0)),"")</f>
        <v>0</v>
      </c>
      <c r="BT140" s="211">
        <f>IF(ISNUMBER(BT138),IF(ABS(BT138-BT187)&lt;=1.01,0,ROUND(BT138-BT187,0)),"")</f>
        <v>0</v>
      </c>
      <c r="BU140" s="270">
        <f>IF(ISNUMBER(BU138),IF(ABS(BU138-BU187)&lt;=1.01,0,ROUND(BU138-BU187,0)),"")</f>
        <v>0</v>
      </c>
      <c r="BV140" s="270">
        <f>IF(ISNUMBER(BV138),IF(ABS(BV138-BV187)&lt;=1.01,0,ROUND(BV138-BV187,0)),"")</f>
        <v>0</v>
      </c>
      <c r="BW140" s="270">
        <f>IF(ISNUMBER(BW138),IF(ABS(BW138-BW187)&lt;=1.01,0,ROUND(BW138-BW187,0)),"")</f>
        <v>0</v>
      </c>
      <c r="BX140" s="270">
        <f>IF(ISNUMBER(BX138),IF(ABS(BX138-BX187)&lt;=1.01,0,ROUND(BX138-BX187,0)),"")</f>
        <v>0</v>
      </c>
      <c r="BY140" s="270">
        <f>IF(ISNUMBER(BY138),IF(ABS(BY138-BY187)&lt;=1.01,0,ROUND(BY138-BY187,0)),"")</f>
        <v>0</v>
      </c>
      <c r="BZ140" s="270">
        <f>IF(ISNUMBER(BZ138),IF(ABS(BZ138-BZ187)&lt;=1.01,0,ROUND(BZ138-BZ187,0)),"")</f>
        <v>0</v>
      </c>
      <c r="CA140" s="270">
        <f>IF(ISNUMBER(CA138),IF(ABS(CA138-CA187)&lt;=1.01,0,ROUND(CA138-CA187,0)),"")</f>
        <v>0</v>
      </c>
      <c r="CB140" s="270">
        <f>IF(ISNUMBER(CB138),IF(ABS(CB138-CB187)&lt;=1.01,0,ROUND(CB138-CB187,0)),"")</f>
        <v>0</v>
      </c>
      <c r="CC140" s="153" t="n"/>
    </row>
    <row r="141" ht="15" customHeight="1" s="251">
      <c r="B141" s="55" t="inlineStr">
        <is>
          <t>Adjusted operating profit (division build)</t>
        </is>
      </c>
      <c r="C141" s="269">
        <f>IF(ISNUMBER(C23),C23+C45+N(C67)+N(C89)+N(C97)+N(C100)+N(C103)-N(C109)+N(C112)+N(C131)+N(C142),"")</f>
      </c>
      <c r="D141" s="269">
        <f>IF(ISNUMBER(D23),D23+D45+N(D67)+N(D89)+N(D97)+N(D100)+N(D103)-N(D109)+N(D112)+N(D131)+N(D142),"")</f>
        <v>1119</v>
      </c>
      <c r="E141" s="269">
        <f>IF(ISNUMBER(E23),E23+E45+N(E67)+N(E89)+N(E97)+N(E100)+N(E103)-N(E109)+N(E112)+N(E131)+N(E142),"")</f>
        <v>1385</v>
      </c>
      <c r="F141" s="269">
        <f>IF(ISNUMBER(F23),F23+F45+N(F67)+N(F89)+N(F97)+N(F100)+N(F103)-N(F109)+N(F112)+N(F131)+N(F142),"")</f>
        <v>399</v>
      </c>
      <c r="G141" s="269">
        <f>IF(ISNUMBER(G23),G23+G45+N(G67)+N(G89)+N(G97)+N(G100)+N(G103)-N(G109)+N(G112)+N(G131)+N(G142),"")</f>
        <v>446</v>
      </c>
      <c r="H141" s="269">
        <f>IF(ISNUMBER(H23),H23+H45+N(H67)+N(H89)+N(H97)+N(H100)+N(H103)-N(H109)+N(H112)+N(H131)+N(H142),"")</f>
        <v>396</v>
      </c>
      <c r="I141" s="269">
        <f>IF(ISNUMBER(I23),I23+I45+N(I67)+N(I89)+N(I97)+N(I100)+N(I103)-N(I109)+N(I112)+N(I131)+N(I142),"")</f>
        <v>361</v>
      </c>
      <c r="J141" s="269">
        <f>IF(ISNUMBER(J23),J23+J45+N(J67)+N(J89)+N(J97)+N(J100)+N(J103)-N(J109)+N(J112)+N(J131)+N(J142),"")</f>
        <v>1602</v>
      </c>
      <c r="K141" s="269">
        <f>IF(ISNUMBER(K23),K23+K45+N(K67)+N(K89)+N(K97)+N(K100)+N(K103)-N(K109)+N(K112)+N(K131)+N(K142),"")</f>
        <v>430</v>
      </c>
      <c r="L141" s="269">
        <f>IF(ISNUMBER(L23),L23+L45+N(L67)+N(L89)+N(L97)+N(L100)+N(L103)-N(L109)+N(L112)+N(L131)+N(L142),"")</f>
        <v>486</v>
      </c>
      <c r="M141" s="269">
        <f>IF(ISNUMBER(M23),M23+M45+N(M67)+N(M89)+N(M97)+N(M100)+N(M103)-N(M109)+N(M112)+N(M131)+N(M142),"")</f>
        <v>475</v>
      </c>
      <c r="N141" s="269">
        <f>IF(ISNUMBER(N23),N23+N45+N(N67)+N(N89)+N(N97)+N(N100)+N(N103)-N(N109)+N(N112)+N(N131)+N(N142),"")</f>
        <v>444</v>
      </c>
      <c r="O141" s="269">
        <f>IF(ISNUMBER(O23),O23+O45+N(O67)+N(O89)+N(O97)+N(O100)+N(O103)-N(O109)+N(O112)+N(O131)+N(O142),"")</f>
        <v>1815</v>
      </c>
      <c r="P141" s="269">
        <f>IF(ISNUMBER(P23),P23+P45+N(P67)+N(P89)+N(P97)+N(P100)+N(P103)-N(P109)+N(P112)+N(P131)+N(P142),"")</f>
        <v>495</v>
      </c>
      <c r="Q141" s="269">
        <f>IF(ISNUMBER(Q23),Q23+Q45+N(Q67)+N(Q89)+N(Q97)+N(Q100)+N(Q103)-N(Q109)+N(Q112)+N(Q131)+N(Q142),"")</f>
        <v>552</v>
      </c>
      <c r="R141" s="269">
        <f>IF(ISNUMBER(R23),R23+R45+N(R67)+N(R89)+N(R97)+N(R100)+N(R103)-N(R109)+N(R112)+N(R131)+N(R142),"")</f>
        <v>528</v>
      </c>
      <c r="S141" s="269">
        <f>IF(ISNUMBER(S23),S23+S45+N(S67)+N(S89)+N(S97)+N(S100)+N(S103)-N(S109)+N(S112)+N(S131)+N(S142),"")</f>
        <v>478</v>
      </c>
      <c r="T141" s="269">
        <f>IF(ISNUMBER(T23),T23+T45+N(T67)+N(T89)+N(T97)+N(T100)+N(T103)-N(T109)+N(T112)+N(T131)+N(T142),"")</f>
        <v>2053</v>
      </c>
      <c r="U141" s="269">
        <f>IF(ISNUMBER(U23),U23+U45+N(U67)+N(U89)+N(U97)+N(U100)+N(U103)-N(U109)+N(U112)+N(U131)+N(U142),"")</f>
        <v>550</v>
      </c>
      <c r="V141" s="269">
        <f>IF(ISNUMBER(V23),V23+V45+N(V67)+N(V89)+N(V97)+N(V100)+N(V103)-N(V109)+N(V112)+N(V131)+N(V142),"")</f>
        <v>652</v>
      </c>
      <c r="W141" s="269">
        <f>IF(ISNUMBER(W23),W23+W45+N(W67)+N(W89)+N(W97)+N(W100)+N(W103)-N(W109)+N(W112)+N(W131)+N(W142),"")</f>
        <v>638</v>
      </c>
      <c r="X141" s="269">
        <f>IF(ISNUMBER(X23),X23+X45+N(X67)+N(X89)+N(X97)+N(X100)+N(X103)-N(X109)+N(X112)+N(X131)+N(X142),"")</f>
        <v>589</v>
      </c>
      <c r="Y141" s="269">
        <f>IF(ISNUMBER(Y23),Y23+Y45+N(Y67)+N(Y89)+N(Y97)+N(Y100)+N(Y103)-N(Y109)+N(Y112)+N(Y131)+N(Y142),"")</f>
        <v>2431</v>
      </c>
      <c r="Z141" s="269">
        <f>IF(ISNUMBER(Z23),Z23+Z45+N(Z67)+N(Z89)+N(Z97)+N(Z100)+N(Z103)-N(Z109)+N(Z112)+N(Z131)+N(Z142),"")</f>
        <v>689</v>
      </c>
      <c r="AA141" s="269">
        <f>IF(ISNUMBER(AA23),AA23+AA45+N(AA67)+N(AA89)+N(AA97)+N(AA100)+N(AA103)-N(AA109)+N(AA112)+N(AA131)+N(AA142),"")</f>
        <v>715</v>
      </c>
      <c r="AB141" s="269">
        <f>IF(ISNUMBER(AB23),AB23+AB45+N(AB67)+N(AB89)+N(AB97)+N(AB100)+N(AB103)-N(AB109)+N(AB112)+N(AB131)+N(AB142),"")</f>
        <v>701</v>
      </c>
      <c r="AC141" s="269">
        <f>IF(ISNUMBER(AC23),AC23+AC45+N(AC67)+N(AC89)+N(AC97)+N(AC100)+N(AC103)-N(AC109)+N(AC112)+N(AC131)+N(AC142),"")</f>
        <v>752</v>
      </c>
      <c r="AD141" s="269">
        <f>IF(ISNUMBER(AD23),AD23+AD45+N(AD67)+N(AD89)+N(AD97)+N(AD100)+N(AD103)-N(AD109)+N(AD112)+N(AD131)+N(AD142),"")</f>
        <v>2857</v>
      </c>
      <c r="AE141" s="269">
        <f>IF(ISNUMBER(AE23),AE23+AE45+N(AE67)+N(AE89)+N(AE97)+N(AE100)+N(AE103)-N(AE109)+N(AE112)+N(AE131)+N(AE142),"")</f>
        <v>735</v>
      </c>
      <c r="AF141" s="269">
        <f>IF(ISNUMBER(AF23),AF23+AF45+N(AF67)+N(AF89)+N(AF97)+N(AF100)+N(AF103)-N(AF109)+N(AF112)+N(AF131)+N(AF142),"")</f>
        <v>790</v>
      </c>
      <c r="AG141" s="269">
        <f>IF(ISNUMBER(AG23),AG23+AG45+N(AG67)+N(AG89)+N(AG97)+N(AG100)+N(AG103)-N(AG109)+N(AG112)+N(AG131)+N(AG142),"")</f>
        <v>767</v>
      </c>
      <c r="AH141" s="269">
        <f>IF(ISNUMBER(AH23),AH23+AH45+N(AH67)+N(AH89)+N(AH97)+N(AH100)+N(AH103)-N(AH109)+N(AH112)+N(AH131)+N(AH142),"")</f>
        <v>761</v>
      </c>
      <c r="AI141" s="269">
        <f>IF(ISNUMBER(AI23),AI23+AI45+N(AI67)+N(AI89)+N(AI97)+N(AI100)+N(AI103)-N(AI109)+N(AI112)+N(AI131)+N(AI142),"")</f>
        <v>3052</v>
      </c>
      <c r="AJ141" s="269">
        <f>IF(ISNUMBER(AJ23),AJ23+AJ45+N(AJ67)+N(AJ89)+N(AJ97)+N(AJ100)+N(AJ103)-N(AJ109)+N(AJ112)+N(AJ131)+N(AJ142),"")</f>
        <v>743</v>
      </c>
      <c r="AK141" s="269">
        <f>IF(ISNUMBER(AK23),AK23+AK45+N(AK67)+N(AK89)+N(AK97)+N(AK100)+N(AK103)-N(AK109)+N(AK112)+N(AK131)+N(AK142),"")</f>
        <v>874</v>
      </c>
      <c r="AL141" s="269">
        <f>IF(ISNUMBER(AL23),AL23+AL45+N(AL67)+N(AL89)+N(AL97)+N(AL100)+N(AL103)-N(AL109)+N(AL112)+N(AL131)+N(AL142),"")</f>
        <v>877</v>
      </c>
      <c r="AM141" s="269">
        <f>IF(ISNUMBER(AM23),AM23+AM45+N(AM67)+N(AM89)+N(AM97)+N(AM100)+N(AM103)-N(AM109)+N(AM112)+N(AM131)+N(AM142),"")</f>
        <v>866</v>
      </c>
      <c r="AN141" s="269">
        <f>IF(ISNUMBER(AN23),AN23+AN45+N(AN67)+N(AN89)+N(AN97)+N(AN100)+N(AN103)-N(AN109)+N(AN112)+N(AN131)+N(AN142),"")</f>
        <v>3360</v>
      </c>
      <c r="AO141" s="269">
        <f>IF(ISNUMBER(AO23),AO23+AO45+N(AO67)+N(AO89)+N(AO97)+N(AO100)+N(AO103)-N(AO109)+N(AO112)+N(AO131)+N(AO142),"")</f>
        <v>948</v>
      </c>
      <c r="AP141" s="269">
        <f>IF(ISNUMBER(AP23),AP23+AP45+N(AP67)+N(AP89)+N(AP97)+N(AP100)+N(AP103)-N(AP109)+N(AP112)+N(AP131)+N(AP142),"")</f>
        <v>1141</v>
      </c>
      <c r="AQ141" s="269">
        <f>IF(ISNUMBER(AQ23),AQ23+AQ45+N(AQ67)+N(AQ89)+N(AQ97)+N(AQ100)+N(AQ103)-N(AQ109)+N(AQ112)+N(AQ131)+N(AQ142),"")</f>
        <v>976</v>
      </c>
      <c r="AR141" s="269">
        <f>IF(ISNUMBER(AR23),AR23+AR45+N(AR67)+N(AR89)+N(AR97)+N(AR100)+N(AR103)-N(AR109)+N(AR112)+N(AR131)+N(AR142),"")</f>
        <v>903</v>
      </c>
      <c r="AS141" s="269">
        <f>IF(ISNUMBER(AS23),AS23+AS45+N(AS67)+N(AS89)+N(AS97)+N(AS100)+N(AS103)-N(AS109)+N(AS112)+N(AS131)+N(AS142),"")</f>
        <v>3967</v>
      </c>
      <c r="AT141" s="269">
        <f>IF(ISNUMBER(AT23),AT23+AT45+N(AT67)+N(AT89)+N(AT97)+N(AT100)+N(AT103)-N(AT109)+N(AT112)+N(AT131)+N(AT142),"")</f>
        <v>1162</v>
      </c>
      <c r="AU141" s="269">
        <f>IF(ISNUMBER(AU23),AU23+AU45+N(AU67)+N(AU89)+N(AU97)+N(AU100)+N(AU103)-N(AU109)+N(AU112)+N(AU131)+N(AU142),"")</f>
        <v>1228</v>
      </c>
      <c r="AV141" s="269">
        <f>IF(ISNUMBER(AV23),AV23+AV45+N(AV67)+N(AV89)+N(AV97)+N(AV100)+N(AV103)-N(AV109)+N(AV112)+N(AV131)+N(AV142),"")</f>
        <v>1155</v>
      </c>
      <c r="AW141" s="269">
        <f>IF(ISNUMBER(AW23),AW23+AW45+N(AW67)+N(AW89)+N(AW97)+N(AW100)+N(AW103)-N(AW109)+N(AW112)+N(AW131)+N(AW142),"")</f>
        <v>1036</v>
      </c>
      <c r="AX141" s="269">
        <f>IF(ISNUMBER(AX23),AX23+AX45+N(AX67)+N(AX89)+N(AX97)+N(AX100)+N(AX103)-N(AX109)+N(AX112)+N(AX131)+N(AX142),"")</f>
        <v>4581</v>
      </c>
      <c r="AY141" s="269">
        <f>IF(ISNUMBER(AY23),AY23+AY45+N(AY67)+N(AY89)+N(AY97)+N(AY100)+N(AY103)-N(AY109)+N(AY112)+N(AY131)+N(AY142),"")</f>
        <v>1201</v>
      </c>
      <c r="AZ141" s="269">
        <f>IF(ISNUMBER(AZ23),AZ23+AZ45+N(AZ67)+N(AZ89)+N(AZ97)+N(AZ100)+N(AZ103)-N(AZ109)+N(AZ112)+N(AZ131)+N(AZ142),"")</f>
        <v>1402</v>
      </c>
      <c r="BA141" s="269">
        <f>IF(ISNUMBER(BA23),BA23+BA45+N(BA67)+N(BA89)+N(BA97)+N(BA100)+N(BA103)-N(BA109)+N(BA112)+N(BA131)+N(BA142),"")</f>
        <v>1318</v>
      </c>
      <c r="BB141" s="269">
        <f>IF(ISNUMBER(BB23),BB23+BB45+N(BB67)+N(BB89)+N(BB97)+N(BB100)+N(BB103)-N(BB109)+N(BB112)+N(BB131)+N(BB142),"")</f>
        <v>1211</v>
      </c>
      <c r="BC141" s="269">
        <f>IF(ISNUMBER(BC23),BC23+BC45+N(BC67)+N(BC89)+N(BC97)+N(BC100)+N(BC103)-N(BC109)+N(BC112)+N(BC131)+N(BC142),"")</f>
        <v>5132</v>
      </c>
      <c r="BD141" s="269">
        <f>IF(ISNUMBER(BD23),BD23+BD45+N(BD67)+N(BD89)+N(BD97)+N(BD100)+N(BD103)-N(BD109)+N(BD112)+N(BD131)+N(BD142),"")</f>
        <v>1460</v>
      </c>
      <c r="BE141" s="269">
        <f>IF(ISNUMBER(BE23),BE23+BE45+N(BE67)+N(BE89)+N(BE97)+N(BE100)+N(BE103)-N(BE109)+N(BE112)+N(BE131)+N(BE142),"")</f>
        <v>1432</v>
      </c>
      <c r="BF141" s="269">
        <f>IF(ISNUMBER(BF23),BF23+BF45+N(BF67)+N(BF89)+N(BF97)+N(BF100)+N(BF103)-N(BF109)+N(BF112)+N(BF131)+N(BF142),"")</f>
        <v>1450</v>
      </c>
      <c r="BG141" s="269">
        <f>IF(ISNUMBER(BG23),BG23+BG45+N(BG67)+N(BG89)+N(BG97)+N(BG100)+N(BG103)-N(BG109)+N(BG112)+N(BG131)+N(BG142),"")</f>
        <v>1390</v>
      </c>
      <c r="BH141" s="269">
        <f>IF(ISNUMBER(BH23),BH23+BH45+N(BH67)+N(BH89)+N(BH97)+N(BH100)+N(BH103)-N(BH109)+N(BH112)+N(BH131)+N(BH142),"")</f>
        <v>5732</v>
      </c>
      <c r="BI141" s="269">
        <f>IF(ISNUMBER(BI23),BI23+BI45+N(BI67)+N(BI89)+N(BI97)+N(BI100)+N(BI103)-N(BI109)+N(BI112)+N(BI131)+N(BI142),"")</f>
        <v>1738</v>
      </c>
      <c r="BJ141" s="269">
        <f>IF(ISNUMBER(BJ23),BJ23+BJ45+N(BJ67)+N(BJ89)+N(BJ97)+N(BJ100)+N(BJ103)-N(BJ109)+N(BJ112)+N(BJ131)+N(BJ142),"")</f>
        <v>1800</v>
      </c>
      <c r="BK141" s="269">
        <f>IF(ISNUMBER(BK23),BK23+BK45+N(BK67)+N(BK89)+N(BK97)+N(BK100)+N(BK103)-N(BK109)+N(BK112)+N(BK131)+N(BK142),"")</f>
        <v>1744</v>
      </c>
      <c r="BL141" s="269">
        <f>IF(ISNUMBER(BL23),BL23+BL45+N(BL67)+N(BL89)+N(BL97)+N(BL100)+N(BL103)-N(BL109)+N(BL112)+N(BL131)+N(BL142),"")</f>
        <v>1677</v>
      </c>
      <c r="BM141" s="269">
        <f>IF(ISNUMBER(BM23),BM23+BM45+N(BM67)+N(BM89)+N(BM97)+N(BM100)+N(BM103)-N(BM109)+N(BM112)+N(BM131)+N(BM142),"")</f>
        <v>6958</v>
      </c>
      <c r="BN141" s="269">
        <f>IF(ISNUMBER(BN23),BN23+BN45+N(BN67)+N(BN89)+N(BN97)+N(BN100)+N(BN103)-N(BN109)+N(BN112)+N(BN131)+N(BN142),"")</f>
        <v>1742</v>
      </c>
      <c r="BO141" s="269">
        <f>IF(ISNUMBER(BO23),BO23+BO45+N(BO67)+N(BO89)+N(BO97)+N(BO100)+N(BO103)-N(BO109)+N(BO112)+N(BO131)+N(BO142),"")</f>
        <v>1734</v>
      </c>
      <c r="BP141" s="269">
        <f>IF(ISNUMBER(BP23),BP23+BP45+N(BP67)+N(BP89)+N(BP97)+N(BP100)+N(BP103)-N(BP109)+N(BP112)+N(BP131)+N(BP142),"")</f>
        <v>1819</v>
      </c>
      <c r="BQ141" s="269">
        <f>IF(ISNUMBER(BQ23),BQ23+BQ45+N(BQ67)+N(BQ89)+N(BQ97)+N(BQ100)+N(BQ103)-N(BQ109)+N(BQ112)+N(BQ131)+N(BQ142),"")</f>
        <v>1676</v>
      </c>
      <c r="BR141" s="269">
        <f>IF(ISNUMBER(BR23),BR23+BR45+N(BR67)+N(BR89)+N(BR97)+N(BR100)+N(BR103)-N(BR109)+N(BR112)+N(BR131)+N(BR142),"")</f>
        <v>6974</v>
      </c>
      <c r="BS141" s="269">
        <f>IF(ISNUMBER(BS23),BS23+BS45+N(BS67)+N(BS89)+N(BS97)+N(BS100)+N(BS103)-N(BS109)+N(BS112)+N(BS131)+N(BS142),"")</f>
        <v>1967</v>
      </c>
      <c r="BT141" s="269">
        <f>IF(ISNUMBER(BT23),BT23+BT45+N(BT67)+N(BT89)+N(BT97)+N(BT100)+N(BT103)-N(BT109)+N(BT112)+N(BT131)+N(BT142),"")</f>
        <v>1998</v>
      </c>
      <c r="BU141" s="269">
        <f>IF(ISNUMBER(BU23),BU23+BU45+N(BU67)+N(BU89)+N(BU97)+N(BU100)+N(BU103)-N(BU109)+N(BU112)+N(BU131)+N(BU142),"")</f>
        <v>1848.82808702302</v>
      </c>
      <c r="BV141" s="269">
        <f>IF(ISNUMBER(BV23),BV23+BV45+N(BV67)+N(BV89)+N(BV97)+N(BV100)+N(BV103)-N(BV109)+N(BV112)+N(BV131)+N(BV142),"")</f>
        <v>1710.45428317199</v>
      </c>
      <c r="BW141" s="269">
        <f>IF(ISNUMBER(BW23),BW23+BW45+N(BW67)+N(BW89)+N(BW97)+N(BW100)+N(BW103)-N(BW109)+N(BW112)+N(BW131)+N(BW142),"")</f>
        <v>7524.28237019501</v>
      </c>
      <c r="BX141" s="269">
        <f>IF(ISNUMBER(BX23),BX23+BX45+N(BX67)+N(BX89)+N(BX97)+N(BX100)+N(BX103)-N(BX109)+N(BX112)+N(BX131)+N(BX142),"")</f>
        <v>8185.82627832991</v>
      </c>
      <c r="BY141" s="269">
        <f>IF(ISNUMBER(BY23),BY23+BY45+N(BY67)+N(BY89)+N(BY97)+N(BY100)+N(BY103)-N(BY109)+N(BY112)+N(BY131)+N(BY142),"")</f>
        <v>8839.08210458068</v>
      </c>
      <c r="BZ141" s="269">
        <f>IF(ISNUMBER(BZ23),BZ23+BZ45+N(BZ67)+N(BZ89)+N(BZ97)+N(BZ100)+N(BZ103)-N(BZ109)+N(BZ112)+N(BZ131)+N(BZ142),"")</f>
        <v>9477.60576487838</v>
      </c>
      <c r="CA141" s="269">
        <f>IF(ISNUMBER(CA23),CA23+CA45+N(CA67)+N(CA89)+N(CA97)+N(CA100)+N(CA103)-N(CA109)+N(CA112)+N(CA131)+N(CA142),"")</f>
        <v>10141.4118304415</v>
      </c>
      <c r="CB141" s="269">
        <f>IF(ISNUMBER(CB23),CB23+CB45+N(CB67)+N(CB89)+N(CB97)+N(CB100)+N(CB103)-N(CB109)+N(CB112)+N(CB131)+N(CB142),"")</f>
        <v>10819.0606283566</v>
      </c>
      <c r="CC141" s="153" t="inlineStr">
        <is>
          <t>Σ division adjusted OP − adjusted corporate unallocated + adjusted equity income (+ future acquisitions) (+ company rounding residual). Drives the GAAP P&amp;L below.</t>
        </is>
      </c>
      <c r="CE141" s="20">
        <f>IFERROR((CB141/BW141)^(1/5)-1,"n/m")</f>
        <v>0.0753377543373388</v>
      </c>
      <c r="CF141" s="20">
        <f>IFERROR((BR141/AS141)^(1/5)-1,"n/m")</f>
        <v>0.119448061204825</v>
      </c>
      <c r="CG141" s="20">
        <f>IFERROR((BR141/T141)^(1/10)-1,"n/m")</f>
        <v>0.13008028742819</v>
      </c>
      <c r="CH141" s="20" t="str">
        <f>IFERROR((BR141/C141)^(1/15)-1,"n/m")</f>
        <v>n/m</v>
      </c>
    </row>
    <row r="142" ht="15" customHeight="1" s="251">
      <c r="B142" s="25" t="inlineStr">
        <is>
          <t xml:space="preserve">  Company rounding / definitional residual (published adjusted OP − Σ published components; history only)</t>
        </is>
      </c>
      <c r="C142" s="34" t="n"/>
      <c r="D142" s="253" t="n">
        <v>0</v>
      </c>
      <c r="E142" s="253" t="n">
        <v>0</v>
      </c>
      <c r="F142" s="253" t="n">
        <v>0</v>
      </c>
      <c r="G142" s="253" t="n">
        <v>0</v>
      </c>
      <c r="H142" s="253" t="n">
        <v>0</v>
      </c>
      <c r="I142" s="253" t="n">
        <v>0</v>
      </c>
      <c r="J142" s="253" t="n">
        <v>0</v>
      </c>
      <c r="K142" s="253" t="n">
        <v>0</v>
      </c>
      <c r="L142" s="253" t="n">
        <v>0</v>
      </c>
      <c r="M142" s="253" t="n">
        <v>-1</v>
      </c>
      <c r="N142" s="253" t="n">
        <v>-1</v>
      </c>
      <c r="O142" s="253" t="n">
        <v>-1</v>
      </c>
      <c r="P142" s="253" t="n">
        <v>0</v>
      </c>
      <c r="Q142" s="253" t="n">
        <v>0</v>
      </c>
      <c r="R142" s="253" t="n">
        <v>0</v>
      </c>
      <c r="S142" s="253" t="n">
        <v>0</v>
      </c>
      <c r="T142" s="253" t="n">
        <v>-1</v>
      </c>
      <c r="U142" s="253" t="n">
        <v>0</v>
      </c>
      <c r="V142" s="253" t="n">
        <v>0</v>
      </c>
      <c r="W142" s="253" t="n">
        <v>0</v>
      </c>
      <c r="X142" s="253" t="n">
        <v>0</v>
      </c>
      <c r="Y142" s="253" t="n">
        <v>0</v>
      </c>
      <c r="Z142" s="253" t="n">
        <v>0</v>
      </c>
      <c r="AA142" s="253" t="n">
        <v>0</v>
      </c>
      <c r="AB142" s="253" t="n">
        <v>0</v>
      </c>
      <c r="AC142" s="253" t="n">
        <v>-1</v>
      </c>
      <c r="AD142" s="253" t="n">
        <v>-1</v>
      </c>
      <c r="AE142" s="253" t="n">
        <v>0</v>
      </c>
      <c r="AF142" s="253" t="n">
        <v>0</v>
      </c>
      <c r="AG142" s="253" t="n">
        <v>0</v>
      </c>
      <c r="AH142" s="253" t="n">
        <v>0</v>
      </c>
      <c r="AI142" s="253" t="n">
        <v>0</v>
      </c>
      <c r="AJ142" s="253" t="n">
        <v>-1</v>
      </c>
      <c r="AK142" s="253" t="n">
        <v>0</v>
      </c>
      <c r="AL142" s="253" t="n">
        <v>1</v>
      </c>
      <c r="AM142" s="253" t="n">
        <v>1</v>
      </c>
      <c r="AN142" s="253" t="n">
        <v>0</v>
      </c>
      <c r="AO142" s="253" t="n">
        <v>0</v>
      </c>
      <c r="AP142" s="253" t="n">
        <v>0</v>
      </c>
      <c r="AQ142" s="253" t="n">
        <v>0</v>
      </c>
      <c r="AR142" s="253" t="n">
        <v>0</v>
      </c>
      <c r="AS142" s="253" t="n">
        <v>-1</v>
      </c>
      <c r="AT142" s="253" t="n">
        <v>0</v>
      </c>
      <c r="AU142" s="253" t="n">
        <v>0</v>
      </c>
      <c r="AV142" s="253" t="n">
        <v>0</v>
      </c>
      <c r="AW142" s="253" t="n">
        <v>0</v>
      </c>
      <c r="AX142" s="253" t="n">
        <v>0</v>
      </c>
      <c r="AY142" s="253" t="n">
        <v>0</v>
      </c>
      <c r="AZ142" s="253" t="n">
        <v>1</v>
      </c>
      <c r="BA142" s="253" t="n">
        <v>2</v>
      </c>
      <c r="BB142" s="253" t="n">
        <v>1</v>
      </c>
      <c r="BC142" s="253" t="n">
        <v>4</v>
      </c>
      <c r="BD142" s="253" t="n">
        <v>0</v>
      </c>
      <c r="BE142" s="253" t="n">
        <v>0</v>
      </c>
      <c r="BF142" s="253" t="n">
        <v>-1</v>
      </c>
      <c r="BG142" s="253" t="n">
        <v>1</v>
      </c>
      <c r="BH142" s="253" t="n">
        <v>1</v>
      </c>
      <c r="BI142" s="253" t="n">
        <v>1</v>
      </c>
      <c r="BJ142" s="253" t="n">
        <v>1</v>
      </c>
      <c r="BK142" s="253" t="n">
        <v>1</v>
      </c>
      <c r="BL142" s="253" t="n">
        <v>0</v>
      </c>
      <c r="BM142" s="253" t="n">
        <v>0</v>
      </c>
      <c r="BN142" s="253" t="n">
        <v>0</v>
      </c>
      <c r="BO142" s="253" t="n">
        <v>0</v>
      </c>
      <c r="BP142" s="253" t="n">
        <v>0</v>
      </c>
      <c r="BQ142" s="253" t="n">
        <v>0</v>
      </c>
      <c r="BR142" s="253" t="n">
        <v>0</v>
      </c>
      <c r="BS142" s="253" t="n">
        <v>0</v>
      </c>
      <c r="BT142" s="253" t="n">
        <v>0</v>
      </c>
      <c r="BU142" s="35" t="n"/>
      <c r="BV142" s="35" t="n"/>
      <c r="BW142" s="35" t="n"/>
      <c r="BX142" s="35" t="n"/>
      <c r="BY142" s="35" t="n"/>
      <c r="BZ142" s="35" t="n"/>
      <c r="CA142" s="35" t="n"/>
      <c r="CB142" s="35" t="n"/>
      <c r="CC142" s="19" t="n"/>
    </row>
    <row r="143" ht="15" customHeight="1" s="251">
      <c r="B143" s="25" t="inlineStr">
        <is>
          <t xml:space="preserve">  Adjusted operating margin %</t>
        </is>
      </c>
      <c r="C143" s="215">
        <f>IF(AND(ISNUMBER(C141),ISNUMBER(C187)),IFERROR(C141/C187,""),"")</f>
      </c>
      <c r="D143" s="215">
        <f>IF(AND(ISNUMBER(D141),ISNUMBER(D187)),IFERROR(D141/D187,""),"")</f>
        <v>0.283004552352049</v>
      </c>
      <c r="E143" s="215">
        <f>IF(AND(ISNUMBER(E141),ISNUMBER(E187)),IFERROR(E141/E187,""),"")</f>
        <v>0.31123595505618</v>
      </c>
      <c r="F143" s="215">
        <f>IF(AND(ISNUMBER(F141),ISNUMBER(F187)),IFERROR(F141/F187,""),"")</f>
        <v>0.337849280270957</v>
      </c>
      <c r="G143" s="215">
        <f>IF(AND(ISNUMBER(G141),ISNUMBER(G187)),IFERROR(G141/G187,""),"")</f>
        <v>0.3568</v>
      </c>
      <c r="H143" s="215">
        <f>IF(AND(ISNUMBER(H141),ISNUMBER(H187)),IFERROR(H141/H187,""),"")</f>
        <v>0.331658291457286</v>
      </c>
      <c r="I143" s="215">
        <f>IF(AND(ISNUMBER(I141),ISNUMBER(I187)),IFERROR(I141/I187,""),"")</f>
        <v>0.2888</v>
      </c>
      <c r="J143" s="215">
        <f>IF(AND(ISNUMBER(J141),ISNUMBER(J187)),IFERROR(J141/J187,""),"")</f>
        <v>0.328615384615385</v>
      </c>
      <c r="K143" s="215">
        <f>IF(AND(ISNUMBER(K141),ISNUMBER(K187)),IFERROR(K141/K187,""),"")</f>
        <v>0.34789644012945</v>
      </c>
      <c r="L143" s="215">
        <f>IF(AND(ISNUMBER(L141),ISNUMBER(L187)),IFERROR(L141/L187,""),"")</f>
        <v>0.361069836552749</v>
      </c>
      <c r="M143" s="215">
        <f>IF(AND(ISNUMBER(M141),ISNUMBER(M187)),IFERROR(M141/M187,""),"")</f>
        <v>0.376088677751386</v>
      </c>
      <c r="N143" s="215">
        <f>IF(AND(ISNUMBER(N141),ISNUMBER(N187)),IFERROR(N141/N187,""),"")</f>
        <v>0.344186046511628</v>
      </c>
      <c r="O143" s="215">
        <f>IF(AND(ISNUMBER(O141),ISNUMBER(O187)),IFERROR(O141/O187,""),"")</f>
        <v>0.359334785191051</v>
      </c>
      <c r="P143" s="215">
        <f>IF(AND(ISNUMBER(P141),ISNUMBER(P187)),IFERROR(P141/P187,""),"")</f>
        <v>0.388845247446976</v>
      </c>
      <c r="Q143" s="215">
        <f>IF(AND(ISNUMBER(Q141),ISNUMBER(Q187)),IFERROR(Q141/Q187,""),"")</f>
        <v>0.411326378539493</v>
      </c>
      <c r="R143" s="215">
        <f>IF(AND(ISNUMBER(R141),ISNUMBER(R187)),IFERROR(R141/R187,""),"")</f>
        <v>0.398791540785499</v>
      </c>
      <c r="S143" s="215">
        <f>IF(AND(ISNUMBER(S141),ISNUMBER(S187)),IFERROR(S141/S187,""),"")</f>
        <v>0.347889374090247</v>
      </c>
      <c r="T143" s="215">
        <f>IF(AND(ISNUMBER(T141),ISNUMBER(T187)),IFERROR(T141/T187,""),"")</f>
        <v>0.386410690758517</v>
      </c>
      <c r="U143" s="215">
        <f>IF(AND(ISNUMBER(U141),ISNUMBER(U187)),IFERROR(U141/U187,""),"")</f>
        <v>0.410141685309471</v>
      </c>
      <c r="V143" s="215">
        <f>IF(AND(ISNUMBER(V141),ISNUMBER(V187)),IFERROR(V141/V187,""),"")</f>
        <v>0.439946018893387</v>
      </c>
      <c r="W143" s="215">
        <f>IF(AND(ISNUMBER(W141),ISNUMBER(W187)),IFERROR(W141/W187,""),"")</f>
        <v>0.443363446838082</v>
      </c>
      <c r="X143" s="215">
        <f>IF(AND(ISNUMBER(X141),ISNUMBER(X187)),IFERROR(X141/X187,""),"")</f>
        <v>0.421015010721944</v>
      </c>
      <c r="Y143" s="215">
        <f>IF(AND(ISNUMBER(Y141),ISNUMBER(Y187)),IFERROR(Y141/Y187,""),"")</f>
        <v>0.429429429429429</v>
      </c>
      <c r="Z143" s="215">
        <f>IF(AND(ISNUMBER(Z141),ISNUMBER(Z187)),IFERROR(Z141/Z187,""),"")</f>
        <v>0.474191328286304</v>
      </c>
      <c r="AA143" s="215">
        <f>IF(AND(ISNUMBER(AA141),ISNUMBER(AA187)),IFERROR(AA141/AA187,""),"")</f>
        <v>0.473823724320742</v>
      </c>
      <c r="AB143" s="215">
        <f>IF(AND(ISNUMBER(AB141),ISNUMBER(AB187)),IFERROR(AB141/AB187,""),"")</f>
        <v>0.463317911434237</v>
      </c>
      <c r="AC143" s="215">
        <f>IF(AND(ISNUMBER(AC141),ISNUMBER(AC187)),IFERROR(AC141/AC187,""),"")</f>
        <v>0.473253618628068</v>
      </c>
      <c r="AD143" s="215">
        <f>IF(AND(ISNUMBER(AD141),ISNUMBER(AD187)),IFERROR(AD141/AD187,""),"")</f>
        <v>0.471218868546924</v>
      </c>
      <c r="AE143" s="215">
        <f>IF(AND(ISNUMBER(AE141),ISNUMBER(AE187)),IFERROR(AE141/AE187,""),"")</f>
        <v>0.469049138481174</v>
      </c>
      <c r="AF143" s="215">
        <f>IF(AND(ISNUMBER(AF141),ISNUMBER(AF187)),IFERROR(AF141/AF187,""),"")</f>
        <v>0.490988191423244</v>
      </c>
      <c r="AG143" s="215">
        <f>IF(AND(ISNUMBER(AG141),ISNUMBER(AG187)),IFERROR(AG141/AG187,""),"")</f>
        <v>0.496119016817594</v>
      </c>
      <c r="AH143" s="215">
        <f>IF(AND(ISNUMBER(AH141),ISNUMBER(AH187)),IFERROR(AH141/AH187,""),"")</f>
        <v>0.495442708333333</v>
      </c>
      <c r="AI143" s="215">
        <f>IF(AND(ISNUMBER(AI141),ISNUMBER(AI187)),IFERROR(AI141/AI187,""),"")</f>
        <v>0.487695749440716</v>
      </c>
      <c r="AJ143" s="215">
        <f>IF(AND(ISNUMBER(AJ141),ISNUMBER(AJ187)),IFERROR(AJ141/AJ187,""),"")</f>
        <v>0.472947167409293</v>
      </c>
      <c r="AK143" s="215">
        <f>IF(AND(ISNUMBER(AK141),ISNUMBER(AK187)),IFERROR(AK141/AK187,""),"")</f>
        <v>0.512910798122066</v>
      </c>
      <c r="AL143" s="215">
        <f>IF(AND(ISNUMBER(AL141),ISNUMBER(AL187)),IFERROR(AL141/AL187,""),"")</f>
        <v>0.519242155121374</v>
      </c>
      <c r="AM143" s="215">
        <f>IF(AND(ISNUMBER(AM141),ISNUMBER(AM187)),IFERROR(AM141/AM187,""),"")</f>
        <v>0.499135446685879</v>
      </c>
      <c r="AN143" s="215">
        <f>IF(AND(ISNUMBER(AN141),ISNUMBER(AN187)),IFERROR(AN141/AN187,""),"")</f>
        <v>0.501567398119122</v>
      </c>
      <c r="AO143" s="215">
        <f>IF(AND(ISNUMBER(AO141),ISNUMBER(AO187)),IFERROR(AO141/AO187,""),"")</f>
        <v>0.530795072788354</v>
      </c>
      <c r="AP143" s="215">
        <f>IF(AND(ISNUMBER(AP141),ISNUMBER(AP187)),IFERROR(AP141/AP187,""),"")</f>
        <v>0.587236232629954</v>
      </c>
      <c r="AQ143" s="215">
        <f>IF(AND(ISNUMBER(AQ141),ISNUMBER(AQ187)),IFERROR(AQ141/AQ187,""),"")</f>
        <v>0.528710725893825</v>
      </c>
      <c r="AR143" s="215">
        <f>IF(AND(ISNUMBER(AR141),ISNUMBER(AR187)),IFERROR(AR141/AR187,""),"")</f>
        <v>0.483663631494376</v>
      </c>
      <c r="AS143" s="215">
        <f>IF(AND(ISNUMBER(AS141),ISNUMBER(AS187)),IFERROR(AS141/AS187,""),"")</f>
        <v>0.533055630206934</v>
      </c>
      <c r="AT143" s="215">
        <f>IF(AND(ISNUMBER(AT141),ISNUMBER(AT187)),IFERROR(AT141/AT187,""),"")</f>
        <v>0.576388888888889</v>
      </c>
      <c r="AU143" s="215">
        <f>IF(AND(ISNUMBER(AU141),ISNUMBER(AU187)),IFERROR(AU141/AU187,""),"")</f>
        <v>0.58309591642925</v>
      </c>
      <c r="AV143" s="215">
        <f>IF(AND(ISNUMBER(AV141),ISNUMBER(AV187)),IFERROR(AV141/AV187,""),"")</f>
        <v>0.553425970292286</v>
      </c>
      <c r="AW143" s="215">
        <f>IF(AND(ISNUMBER(AW141),ISNUMBER(AW187)),IFERROR(AW141/AW187,""),"")</f>
        <v>0.496168582375479</v>
      </c>
      <c r="AX143" s="215">
        <f>IF(AND(ISNUMBER(AX141),ISNUMBER(AX187)),IFERROR(AX141/AX187,""),"")</f>
        <v>0.552127274918645</v>
      </c>
      <c r="AY143" s="215">
        <f>IF(AND(ISNUMBER(AY141),ISNUMBER(AY187)),IFERROR(AY141/AY187,""),"")</f>
        <v>0.50272080368355</v>
      </c>
      <c r="AZ143" s="215">
        <f>IF(AND(ISNUMBER(AZ141),ISNUMBER(AZ187)),IFERROR(AZ141/AZ187,""),"")</f>
        <v>0.468426328098897</v>
      </c>
      <c r="BA143" s="215">
        <f>IF(AND(ISNUMBER(BA141),ISNUMBER(BA187)),IFERROR(BA141/BA187,""),"")</f>
        <v>0.460678084585809</v>
      </c>
      <c r="BB143" s="215">
        <f>IF(AND(ISNUMBER(BB141),ISNUMBER(BB187)),IFERROR(BB141/BB187,""),"")</f>
        <v>0.412325502213143</v>
      </c>
      <c r="BC143" s="215">
        <f>IF(AND(ISNUMBER(BC141),ISNUMBER(BC187)),IFERROR(BC141/BC187,""),"")</f>
        <v>0.458992934442358</v>
      </c>
      <c r="BD143" s="215">
        <f>IF(AND(ISNUMBER(BD141),ISNUMBER(BD187)),IFERROR(BD141/BD187,""),"")</f>
        <v>0.462025316455696</v>
      </c>
      <c r="BE143" s="215">
        <f>IF(AND(ISNUMBER(BE141),ISNUMBER(BE187)),IFERROR(BE141/BE187,""),"")</f>
        <v>0.461786520477265</v>
      </c>
      <c r="BF143" s="215">
        <f>IF(AND(ISNUMBER(BF141),ISNUMBER(BF187)),IFERROR(BF141/BF187,""),"")</f>
        <v>0.470168612191959</v>
      </c>
      <c r="BG143" s="215">
        <f>IF(AND(ISNUMBER(BG141),ISNUMBER(BG187)),IFERROR(BG141/BG187,""),"")</f>
        <v>0.440989847715736</v>
      </c>
      <c r="BH143" s="215">
        <f>IF(AND(ISNUMBER(BH141),ISNUMBER(BH187)),IFERROR(BH141/BH187,""),"")</f>
        <v>0.458670080819397</v>
      </c>
      <c r="BI143" s="215">
        <f>IF(AND(ISNUMBER(BI141),ISNUMBER(BI187)),IFERROR(BI141/BI187,""),"")</f>
        <v>0.497851618447436</v>
      </c>
      <c r="BJ143" s="215">
        <f>IF(AND(ISNUMBER(BJ141),ISNUMBER(BJ187)),IFERROR(BJ141/BJ187,""),"")</f>
        <v>0.507185122569738</v>
      </c>
      <c r="BK143" s="215">
        <f>IF(AND(ISNUMBER(BK141),ISNUMBER(BK187)),IFERROR(BK141/BK187,""),"")</f>
        <v>0.487832167832168</v>
      </c>
      <c r="BL143" s="215">
        <f>IF(AND(ISNUMBER(BL141),ISNUMBER(BL187)),IFERROR(BL141/BL187,""),"")</f>
        <v>0.466870824053452</v>
      </c>
      <c r="BM143" s="215">
        <f>IF(AND(ISNUMBER(BM141),ISNUMBER(BM187)),IFERROR(BM141/BM187,""),"")</f>
        <v>0.489724099099099</v>
      </c>
      <c r="BN143" s="215">
        <f>IF(AND(ISNUMBER(BN141),ISNUMBER(BN187)),IFERROR(BN141/BN187,""),"")</f>
        <v>0.518915698540364</v>
      </c>
      <c r="BO143" s="215">
        <f>IF(AND(ISNUMBER(BO141),ISNUMBER(BO187)),IFERROR(BO141/BO187,""),"")</f>
        <v>0.522761531504371</v>
      </c>
      <c r="BP143" s="215">
        <f>IF(AND(ISNUMBER(BP141),ISNUMBER(BP187)),IFERROR(BP141/BP187,""),"")</f>
        <v>0.528318327040372</v>
      </c>
      <c r="BQ143" s="215">
        <f>IF(AND(ISNUMBER(BQ141),ISNUMBER(BQ187)),IFERROR(BQ141/BQ187,""),"")</f>
        <v>0.482718894009217</v>
      </c>
      <c r="BR143" s="215">
        <f>IF(AND(ISNUMBER(BR141),ISNUMBER(BR187)),IFERROR(BR141/BR187,""),"")</f>
        <v>0.513209213334315</v>
      </c>
      <c r="BS143" s="215">
        <f>IF(AND(ISNUMBER(BS141),ISNUMBER(BS187)),IFERROR(BS141/BS187,""),"")</f>
        <v>0.529190207156309</v>
      </c>
      <c r="BT143" s="215">
        <f>IF(AND(ISNUMBER(BT141),ISNUMBER(BT187)),IFERROR(BT141/BT187,""),"")</f>
        <v>0.543230016313214</v>
      </c>
      <c r="BU143" s="256">
        <f>IF(AND(ISNUMBER(BU141),ISNUMBER(BU187)),IFERROR(BU141/BU187,""),"")</f>
        <v>0.520146736251578</v>
      </c>
      <c r="BV143" s="256">
        <f>IF(AND(ISNUMBER(BV141),ISNUMBER(BV187)),IFERROR(BV141/BV187,""),"")</f>
        <v>0.478153782501165</v>
      </c>
      <c r="BW143" s="256">
        <f>IF(AND(ISNUMBER(BW141),ISNUMBER(BW187)),IFERROR(BW141/BW187,""),"")</f>
        <v>0.517964364246009</v>
      </c>
      <c r="BX143" s="256">
        <f>IF(AND(ISNUMBER(BX141),ISNUMBER(BX187)),IFERROR(BX141/BX187,""),"")</f>
        <v>0.530644271172731</v>
      </c>
      <c r="BY143" s="256">
        <f>IF(AND(ISNUMBER(BY141),ISNUMBER(BY187)),IFERROR(BY141/BY187,""),"")</f>
        <v>0.535157602835609</v>
      </c>
      <c r="BZ143" s="256">
        <f>IF(AND(ISNUMBER(BZ141),ISNUMBER(BZ187)),IFERROR(BZ141/BZ187,""),"")</f>
        <v>0.536949186875856</v>
      </c>
      <c r="CA143" s="256">
        <f>IF(AND(ISNUMBER(CA141),ISNUMBER(CA187)),IFERROR(CA141/CA187,""),"")</f>
        <v>0.539169828320479</v>
      </c>
      <c r="CB143" s="256">
        <f>IF(AND(ISNUMBER(CB141),ISNUMBER(CB187)),IFERROR(CB141/CB187,""),"")</f>
        <v>0.53981934451612</v>
      </c>
      <c r="CC143" s="153" t="n"/>
      <c r="CE143" s="37">
        <f>IFERROR(AVERAGE(BX143,BY143,BZ143,CA143,CB143),"n/m")</f>
        <v>0.536348046744159</v>
      </c>
      <c r="CF143" s="37">
        <f>IFERROR(AVERAGE(AX143,BC143,BH143,BM143,BR143),"n/m")</f>
        <v>0.494544720522763</v>
      </c>
      <c r="CG143" s="37">
        <f>IFERROR(AVERAGE(Y143,AD143,AI143,AN143,AS143,AX143,BC143,BH143,BM143,BR143),"n/m")</f>
        <v>0.489569067835694</v>
      </c>
      <c r="CH143" s="37">
        <f>IFERROR(AVERAGE(C143,D143,E143,J143,O143,T143,Y143,AD143,AI143,AN143,AS143,AX143,BC143,BH143,BM143,BR143),"n/m")</f>
        <v>0.437619469755341</v>
      </c>
    </row>
    <row r="144" ht="15" customHeight="1" s="251">
      <c r="B144" s="22" t="inlineStr">
        <is>
          <t xml:space="preserve">  Adjusted operating profit y/y %</t>
        </is>
      </c>
      <c r="C144" s="23" t="n"/>
      <c r="D144" s="255">
        <f>IF(AND(ISNUMBER(D141),ISNUMBER(C141)),IFERROR(D141/C141-1,""),"")</f>
      </c>
      <c r="E144" s="255">
        <f>IF(AND(ISNUMBER(E141),ISNUMBER(D141)),IFERROR(E141/D141-1,""),"")</f>
        <v>0.237712243074173</v>
      </c>
      <c r="F144" s="23" t="n"/>
      <c r="G144" s="23" t="n"/>
      <c r="H144" s="23" t="n"/>
      <c r="I144" s="23" t="n"/>
      <c r="J144" s="255">
        <f>IF(AND(ISNUMBER(J141),ISNUMBER(E141)),IFERROR(J141/E141-1,""),"")</f>
        <v>0.156678700361011</v>
      </c>
      <c r="K144" s="255">
        <f>IF(AND(ISNUMBER(K141),ISNUMBER(F141)),IFERROR(K141/F141-1,""),"")</f>
        <v>0.0776942355889725</v>
      </c>
      <c r="L144" s="255">
        <f>IF(AND(ISNUMBER(L141),ISNUMBER(G141)),IFERROR(L141/G141-1,""),"")</f>
        <v>0.0896860986547086</v>
      </c>
      <c r="M144" s="255">
        <f>IF(AND(ISNUMBER(M141),ISNUMBER(H141)),IFERROR(M141/H141-1,""),"")</f>
        <v>0.199494949494949</v>
      </c>
      <c r="N144" s="255">
        <f>IF(AND(ISNUMBER(N141),ISNUMBER(I141)),IFERROR(N141/I141-1,""),"")</f>
        <v>0.229916897506925</v>
      </c>
      <c r="O144" s="255">
        <f>IF(AND(ISNUMBER(O141),ISNUMBER(J141)),IFERROR(O141/J141-1,""),"")</f>
        <v>0.132958801498127</v>
      </c>
      <c r="P144" s="255">
        <f>IF(AND(ISNUMBER(P141),ISNUMBER(K141)),IFERROR(P141/K141-1,""),"")</f>
        <v>0.151162790697674</v>
      </c>
      <c r="Q144" s="255">
        <f>IF(AND(ISNUMBER(Q141),ISNUMBER(L141)),IFERROR(Q141/L141-1,""),"")</f>
        <v>0.135802469135802</v>
      </c>
      <c r="R144" s="255">
        <f>IF(AND(ISNUMBER(R141),ISNUMBER(M141)),IFERROR(R141/M141-1,""),"")</f>
        <v>0.111578947368421</v>
      </c>
      <c r="S144" s="255">
        <f>IF(AND(ISNUMBER(S141),ISNUMBER(N141)),IFERROR(S141/N141-1,""),"")</f>
        <v>0.0765765765765767</v>
      </c>
      <c r="T144" s="255">
        <f>IF(AND(ISNUMBER(T141),ISNUMBER(O141)),IFERROR(T141/O141-1,""),"")</f>
        <v>0.131129476584022</v>
      </c>
      <c r="U144" s="255">
        <f>IF(AND(ISNUMBER(U141),ISNUMBER(P141)),IFERROR(U141/P141-1,""),"")</f>
        <v>0.111111111111111</v>
      </c>
      <c r="V144" s="255">
        <f>IF(AND(ISNUMBER(V141),ISNUMBER(Q141)),IFERROR(V141/Q141-1,""),"")</f>
        <v>0.181159420289855</v>
      </c>
      <c r="W144" s="255">
        <f>IF(AND(ISNUMBER(W141),ISNUMBER(R141)),IFERROR(W141/R141-1,""),"")</f>
        <v>0.208333333333333</v>
      </c>
      <c r="X144" s="255">
        <f>IF(AND(ISNUMBER(X141),ISNUMBER(S141)),IFERROR(X141/S141-1,""),"")</f>
        <v>0.232217573221757</v>
      </c>
      <c r="Y144" s="255">
        <f>IF(AND(ISNUMBER(Y141),ISNUMBER(T141)),IFERROR(Y141/T141-1,""),"")</f>
        <v>0.184120798830979</v>
      </c>
      <c r="Z144" s="255">
        <f>IF(AND(ISNUMBER(Z141),ISNUMBER(U141)),IFERROR(Z141/U141-1,""),"")</f>
        <v>0.252727272727273</v>
      </c>
      <c r="AA144" s="255">
        <f>IF(AND(ISNUMBER(AA141),ISNUMBER(V141)),IFERROR(AA141/V141-1,""),"")</f>
        <v>0.0966257668711656</v>
      </c>
      <c r="AB144" s="255">
        <f>IF(AND(ISNUMBER(AB141),ISNUMBER(W141)),IFERROR(AB141/W141-1,""),"")</f>
        <v>0.0987460815047021</v>
      </c>
      <c r="AC144" s="255">
        <f>IF(AND(ISNUMBER(AC141),ISNUMBER(X141)),IFERROR(AC141/X141-1,""),"")</f>
        <v>0.276740237691002</v>
      </c>
      <c r="AD144" s="255">
        <f>IF(AND(ISNUMBER(AD141),ISNUMBER(Y141)),IFERROR(AD141/Y141-1,""),"")</f>
        <v>0.175236528177705</v>
      </c>
      <c r="AE144" s="255">
        <f>IF(AND(ISNUMBER(AE141),ISNUMBER(Z141)),IFERROR(AE141/Z141-1,""),"")</f>
        <v>0.0667634252539913</v>
      </c>
      <c r="AF144" s="255">
        <f>IF(AND(ISNUMBER(AF141),ISNUMBER(AA141)),IFERROR(AF141/AA141-1,""),"")</f>
        <v>0.104895104895105</v>
      </c>
      <c r="AG144" s="255">
        <f>IF(AND(ISNUMBER(AG141),ISNUMBER(AB141)),IFERROR(AG141/AB141-1,""),"")</f>
        <v>0.0941512125534949</v>
      </c>
      <c r="AH144" s="255">
        <f>IF(AND(ISNUMBER(AH141),ISNUMBER(AC141)),IFERROR(AH141/AC141-1,""),"")</f>
        <v>0.011968085106383</v>
      </c>
      <c r="AI144" s="255">
        <f>IF(AND(ISNUMBER(AI141),ISNUMBER(AD141)),IFERROR(AI141/AD141-1,""),"")</f>
        <v>0.0682534126706336</v>
      </c>
      <c r="AJ144" s="255">
        <f>IF(AND(ISNUMBER(AJ141),ISNUMBER(AE141)),IFERROR(AJ141/AE141-1,""),"")</f>
        <v>0.0108843537414967</v>
      </c>
      <c r="AK144" s="255">
        <f>IF(AND(ISNUMBER(AK141),ISNUMBER(AF141)),IFERROR(AK141/AF141-1,""),"")</f>
        <v>0.106329113924051</v>
      </c>
      <c r="AL144" s="255">
        <f>IF(AND(ISNUMBER(AL141),ISNUMBER(AG141)),IFERROR(AL141/AG141-1,""),"")</f>
        <v>0.14341590612777</v>
      </c>
      <c r="AM144" s="255">
        <f>IF(AND(ISNUMBER(AM141),ISNUMBER(AH141)),IFERROR(AM141/AH141-1,""),"")</f>
        <v>0.137976346911958</v>
      </c>
      <c r="AN144" s="255">
        <f>IF(AND(ISNUMBER(AN141),ISNUMBER(AI141)),IFERROR(AN141/AI141-1,""),"")</f>
        <v>0.100917431192661</v>
      </c>
      <c r="AO144" s="255">
        <f>IF(AND(ISNUMBER(AO141),ISNUMBER(AJ141)),IFERROR(AO141/AJ141-1,""),"")</f>
        <v>0.275908479138627</v>
      </c>
      <c r="AP144" s="255">
        <f>IF(AND(ISNUMBER(AP141),ISNUMBER(AK141)),IFERROR(AP141/AK141-1,""),"")</f>
        <v>0.305491990846682</v>
      </c>
      <c r="AQ144" s="255">
        <f>IF(AND(ISNUMBER(AQ141),ISNUMBER(AL141)),IFERROR(AQ141/AL141-1,""),"")</f>
        <v>0.112884834663626</v>
      </c>
      <c r="AR144" s="255">
        <f>IF(AND(ISNUMBER(AR141),ISNUMBER(AM141)),IFERROR(AR141/AM141-1,""),"")</f>
        <v>0.0427251732101617</v>
      </c>
      <c r="AS144" s="255">
        <f>IF(AND(ISNUMBER(AS141),ISNUMBER(AN141)),IFERROR(AS141/AN141-1,""),"")</f>
        <v>0.180654761904762</v>
      </c>
      <c r="AT144" s="255">
        <f>IF(AND(ISNUMBER(AT141),ISNUMBER(AO141)),IFERROR(AT141/AO141-1,""),"")</f>
        <v>0.225738396624473</v>
      </c>
      <c r="AU144" s="255">
        <f>IF(AND(ISNUMBER(AU141),ISNUMBER(AP141)),IFERROR(AU141/AP141-1,""),"")</f>
        <v>0.0762489044697634</v>
      </c>
      <c r="AV144" s="255">
        <f>IF(AND(ISNUMBER(AV141),ISNUMBER(AQ141)),IFERROR(AV141/AQ141-1,""),"")</f>
        <v>0.183401639344262</v>
      </c>
      <c r="AW144" s="255">
        <f>IF(AND(ISNUMBER(AW141),ISNUMBER(AR141)),IFERROR(AW141/AR141-1,""),"")</f>
        <v>0.147286821705426</v>
      </c>
      <c r="AX144" s="255">
        <f>IF(AND(ISNUMBER(AX141),ISNUMBER(AS141)),IFERROR(AX141/AS141-1,""),"")</f>
        <v>0.154776909503403</v>
      </c>
      <c r="AY144" s="255">
        <f>IF(AND(ISNUMBER(AY141),ISNUMBER(AT141)),IFERROR(AY141/AT141-1,""),"")</f>
        <v>0.0335628227194493</v>
      </c>
      <c r="AZ144" s="255">
        <f>IF(AND(ISNUMBER(AZ141),ISNUMBER(AU141)),IFERROR(AZ141/AU141-1,""),"")</f>
        <v>0.141693811074919</v>
      </c>
      <c r="BA144" s="255">
        <f>IF(AND(ISNUMBER(BA141),ISNUMBER(AV141)),IFERROR(BA141/AV141-1,""),"")</f>
        <v>0.141125541125541</v>
      </c>
      <c r="BB144" s="255">
        <f>IF(AND(ISNUMBER(BB141),ISNUMBER(AW141)),IFERROR(BB141/AW141-1,""),"")</f>
        <v>0.168918918918919</v>
      </c>
      <c r="BC144" s="255">
        <f>IF(AND(ISNUMBER(BC141),ISNUMBER(AX141)),IFERROR(BC141/AX141-1,""),"")</f>
        <v>0.120279414974896</v>
      </c>
      <c r="BD144" s="255">
        <f>IF(AND(ISNUMBER(BD141),ISNUMBER(AY141)),IFERROR(BD141/AY141-1,""),"")</f>
        <v>0.215653621981682</v>
      </c>
      <c r="BE144" s="255">
        <f>IF(AND(ISNUMBER(BE141),ISNUMBER(AZ141)),IFERROR(BE141/AZ141-1,""),"")</f>
        <v>0.0213980028530671</v>
      </c>
      <c r="BF144" s="255">
        <f>IF(AND(ISNUMBER(BF141),ISNUMBER(BA141)),IFERROR(BF141/BA141-1,""),"")</f>
        <v>0.100151745068285</v>
      </c>
      <c r="BG144" s="255">
        <f>IF(AND(ISNUMBER(BG141),ISNUMBER(BB141)),IFERROR(BG141/BB141-1,""),"")</f>
        <v>0.147811725846408</v>
      </c>
      <c r="BH144" s="255">
        <f>IF(AND(ISNUMBER(BH141),ISNUMBER(BC141)),IFERROR(BH141/BC141-1,""),"")</f>
        <v>0.116913484021824</v>
      </c>
      <c r="BI144" s="255">
        <f>IF(AND(ISNUMBER(BI141),ISNUMBER(BD141)),IFERROR(BI141/BD141-1,""),"")</f>
        <v>0.19041095890411</v>
      </c>
      <c r="BJ144" s="255">
        <f>IF(AND(ISNUMBER(BJ141),ISNUMBER(BE141)),IFERROR(BJ141/BE141-1,""),"")</f>
        <v>0.256983240223464</v>
      </c>
      <c r="BK144" s="255">
        <f>IF(AND(ISNUMBER(BK141),ISNUMBER(BF141)),IFERROR(BK141/BF141-1,""),"")</f>
        <v>0.202758620689655</v>
      </c>
      <c r="BL144" s="255">
        <f>IF(AND(ISNUMBER(BL141),ISNUMBER(BG141)),IFERROR(BL141/BG141-1,""),"")</f>
        <v>0.206474820143885</v>
      </c>
      <c r="BM144" s="255">
        <f>IF(AND(ISNUMBER(BM141),ISNUMBER(BH141)),IFERROR(BM141/BH141-1,""),"")</f>
        <v>0.213886950453594</v>
      </c>
      <c r="BN144" s="255">
        <f>IF(AND(ISNUMBER(BN141),ISNUMBER(BI141)),IFERROR(BN141/BI141-1,""),"")</f>
        <v>0.00230149597238194</v>
      </c>
      <c r="BO144" s="255">
        <f>IF(AND(ISNUMBER(BO141),ISNUMBER(BJ141)),IFERROR(BO141/BJ141-1,""),"")</f>
        <v>-0.0366666666666666</v>
      </c>
      <c r="BP144" s="255">
        <f>IF(AND(ISNUMBER(BP141),ISNUMBER(BK141)),IFERROR(BP141/BK141-1,""),"")</f>
        <v>0.0430045871559632</v>
      </c>
      <c r="BQ144" s="255">
        <f>IF(AND(ISNUMBER(BQ141),ISNUMBER(BL141)),IFERROR(BQ141/BL141-1,""),"")</f>
        <v>-0.000596302921884284</v>
      </c>
      <c r="BR144" s="255">
        <f>IF(AND(ISNUMBER(BR141),ISNUMBER(BM141)),IFERROR(BR141/BM141-1,""),"")</f>
        <v>0.00229951135383732</v>
      </c>
      <c r="BS144" s="255">
        <f>IF(AND(ISNUMBER(BS141),ISNUMBER(BN141)),IFERROR(BS141/BN141-1,""),"")</f>
        <v>0.129161882893226</v>
      </c>
      <c r="BT144" s="255">
        <f>IF(AND(ISNUMBER(BT141),ISNUMBER(BO141)),IFERROR(BT141/BO141-1,""),"")</f>
        <v>0.152249134948097</v>
      </c>
      <c r="BU144" s="256">
        <f>IF(AND(ISNUMBER(BU141),ISNUMBER(BP141)),IFERROR(BU141/BP141-1,""),"")</f>
        <v>0.0163980687317311</v>
      </c>
      <c r="BV144" s="256">
        <f>IF(AND(ISNUMBER(BV141),ISNUMBER(BQ141)),IFERROR(BV141/BQ141-1,""),"")</f>
        <v>0.0205574481933126</v>
      </c>
      <c r="BW144" s="256">
        <f>IF(AND(ISNUMBER(BW141),ISNUMBER(BR141)),IFERROR(BW141/BR141-1,""),"")</f>
        <v>0.078904842299256</v>
      </c>
      <c r="BX144" s="256">
        <f>IF(AND(ISNUMBER(BX141),ISNUMBER(BW141)),IFERROR(BX141/BW141-1,""),"")</f>
        <v>0.0879211964127484</v>
      </c>
      <c r="BY144" s="256">
        <f>IF(AND(ISNUMBER(BY141),ISNUMBER(BX141)),IFERROR(BY141/BX141-1,""),"")</f>
        <v>0.0798032848534935</v>
      </c>
      <c r="BZ144" s="256">
        <f>IF(AND(ISNUMBER(BZ141),ISNUMBER(BY141)),IFERROR(BZ141/BY141-1,""),"")</f>
        <v>0.0722386841464899</v>
      </c>
      <c r="CA144" s="256">
        <f>IF(AND(ISNUMBER(CA141),ISNUMBER(BZ141)),IFERROR(CA141/BZ141-1,""),"")</f>
        <v>0.0700394257822994</v>
      </c>
      <c r="CB144" s="256">
        <f>IF(AND(ISNUMBER(CB141),ISNUMBER(CA141)),IFERROR(CB141/CA141-1,""),"")</f>
        <v>0.0668199664154294</v>
      </c>
      <c r="CC144" s="153" t="n"/>
    </row>
    <row r="145" ht="15" customHeight="1" s="251">
      <c r="B145" s="57" t="inlineStr">
        <is>
          <t xml:space="preserve">  Check: division build vs adjusted OP bridge (should be 0)</t>
        </is>
      </c>
      <c r="C145" s="211">
        <f>IF(AND(ISNUMBER(C141),ISNUMBER(C237)),IF(ABS(C141-C237)&lt;=1.01,0,ROUND(C141-C237,0)),"")</f>
      </c>
      <c r="D145" s="211">
        <f>IF(AND(ISNUMBER(D141),ISNUMBER(D237)),IF(ABS(D141-D237)&lt;=1.01,0,ROUND(D141-D237,0)),"")</f>
        <v>0</v>
      </c>
      <c r="E145" s="211">
        <f>IF(AND(ISNUMBER(E141),ISNUMBER(E237)),IF(ABS(E141-E237)&lt;=1.01,0,ROUND(E141-E237,0)),"")</f>
        <v>0</v>
      </c>
      <c r="F145" s="211">
        <f>IF(AND(ISNUMBER(F141),ISNUMBER(F237)),IF(ABS(F141-F237)&lt;=1.01,0,ROUND(F141-F237,0)),"")</f>
        <v>0</v>
      </c>
      <c r="G145" s="211">
        <f>IF(AND(ISNUMBER(G141),ISNUMBER(G237)),IF(ABS(G141-G237)&lt;=1.01,0,ROUND(G141-G237,0)),"")</f>
        <v>0</v>
      </c>
      <c r="H145" s="211">
        <f>IF(AND(ISNUMBER(H141),ISNUMBER(H237)),IF(ABS(H141-H237)&lt;=1.01,0,ROUND(H141-H237,0)),"")</f>
        <v>0</v>
      </c>
      <c r="I145" s="211">
        <f>IF(AND(ISNUMBER(I141),ISNUMBER(I237)),IF(ABS(I141-I237)&lt;=1.01,0,ROUND(I141-I237,0)),"")</f>
        <v>0</v>
      </c>
      <c r="J145" s="211">
        <f>IF(AND(ISNUMBER(J141),ISNUMBER(J237)),IF(ABS(J141-J237)&lt;=1.01,0,ROUND(J141-J237,0)),"")</f>
        <v>0</v>
      </c>
      <c r="K145" s="211">
        <f>IF(AND(ISNUMBER(K141),ISNUMBER(K237)),IF(ABS(K141-K237)&lt;=1.01,0,ROUND(K141-K237,0)),"")</f>
        <v>0</v>
      </c>
      <c r="L145" s="211">
        <f>IF(AND(ISNUMBER(L141),ISNUMBER(L237)),IF(ABS(L141-L237)&lt;=1.01,0,ROUND(L141-L237,0)),"")</f>
        <v>0</v>
      </c>
      <c r="M145" s="211">
        <f>IF(AND(ISNUMBER(M141),ISNUMBER(M237)),IF(ABS(M141-M237)&lt;=1.01,0,ROUND(M141-M237,0)),"")</f>
        <v>0</v>
      </c>
      <c r="N145" s="211">
        <f>IF(AND(ISNUMBER(N141),ISNUMBER(N237)),IF(ABS(N141-N237)&lt;=1.01,0,ROUND(N141-N237,0)),"")</f>
        <v>0</v>
      </c>
      <c r="O145" s="211">
        <f>IF(AND(ISNUMBER(O141),ISNUMBER(O237)),IF(ABS(O141-O237)&lt;=1.01,0,ROUND(O141-O237,0)),"")</f>
        <v>0</v>
      </c>
      <c r="P145" s="211">
        <f>IF(AND(ISNUMBER(P141),ISNUMBER(P237)),IF(ABS(P141-P237)&lt;=1.01,0,ROUND(P141-P237,0)),"")</f>
        <v>0</v>
      </c>
      <c r="Q145" s="211">
        <f>IF(AND(ISNUMBER(Q141),ISNUMBER(Q237)),IF(ABS(Q141-Q237)&lt;=1.01,0,ROUND(Q141-Q237,0)),"")</f>
        <v>0</v>
      </c>
      <c r="R145" s="211">
        <f>IF(AND(ISNUMBER(R141),ISNUMBER(R237)),IF(ABS(R141-R237)&lt;=1.01,0,ROUND(R141-R237,0)),"")</f>
        <v>0</v>
      </c>
      <c r="S145" s="211">
        <f>IF(AND(ISNUMBER(S141),ISNUMBER(S237)),IF(ABS(S141-S237)&lt;=1.01,0,ROUND(S141-S237,0)),"")</f>
        <v>0</v>
      </c>
      <c r="T145" s="211">
        <f>IF(AND(ISNUMBER(T141),ISNUMBER(T237)),IF(ABS(T141-T237)&lt;=1.01,0,ROUND(T141-T237,0)),"")</f>
        <v>0</v>
      </c>
      <c r="U145" s="211">
        <f>IF(AND(ISNUMBER(U141),ISNUMBER(U237)),IF(ABS(U141-U237)&lt;=1.01,0,ROUND(U141-U237,0)),"")</f>
        <v>0</v>
      </c>
      <c r="V145" s="211">
        <f>IF(AND(ISNUMBER(V141),ISNUMBER(V237)),IF(ABS(V141-V237)&lt;=1.01,0,ROUND(V141-V237,0)),"")</f>
        <v>0</v>
      </c>
      <c r="W145" s="211">
        <f>IF(AND(ISNUMBER(W141),ISNUMBER(W237)),IF(ABS(W141-W237)&lt;=1.01,0,ROUND(W141-W237,0)),"")</f>
        <v>0</v>
      </c>
      <c r="X145" s="211">
        <f>IF(AND(ISNUMBER(X141),ISNUMBER(X237)),IF(ABS(X141-X237)&lt;=1.01,0,ROUND(X141-X237,0)),"")</f>
        <v>0</v>
      </c>
      <c r="Y145" s="211">
        <f>IF(AND(ISNUMBER(Y141),ISNUMBER(Y237)),IF(ABS(Y141-Y237)&lt;=1.01,0,ROUND(Y141-Y237,0)),"")</f>
        <v>0</v>
      </c>
      <c r="Z145" s="211">
        <f>IF(AND(ISNUMBER(Z141),ISNUMBER(Z237)),IF(ABS(Z141-Z237)&lt;=1.01,0,ROUND(Z141-Z237,0)),"")</f>
        <v>0</v>
      </c>
      <c r="AA145" s="211">
        <f>IF(AND(ISNUMBER(AA141),ISNUMBER(AA237)),IF(ABS(AA141-AA237)&lt;=1.01,0,ROUND(AA141-AA237,0)),"")</f>
        <v>0</v>
      </c>
      <c r="AB145" s="211">
        <f>IF(AND(ISNUMBER(AB141),ISNUMBER(AB237)),IF(ABS(AB141-AB237)&lt;=1.01,0,ROUND(AB141-AB237,0)),"")</f>
        <v>0</v>
      </c>
      <c r="AC145" s="211">
        <f>IF(AND(ISNUMBER(AC141),ISNUMBER(AC237)),IF(ABS(AC141-AC237)&lt;=1.01,0,ROUND(AC141-AC237,0)),"")</f>
        <v>0</v>
      </c>
      <c r="AD145" s="211">
        <f>IF(AND(ISNUMBER(AD141),ISNUMBER(AD237)),IF(ABS(AD141-AD237)&lt;=1.01,0,ROUND(AD141-AD237,0)),"")</f>
        <v>0</v>
      </c>
      <c r="AE145" s="211">
        <f>IF(AND(ISNUMBER(AE141),ISNUMBER(AE237)),IF(ABS(AE141-AE237)&lt;=1.01,0,ROUND(AE141-AE237,0)),"")</f>
        <v>0</v>
      </c>
      <c r="AF145" s="211">
        <f>IF(AND(ISNUMBER(AF141),ISNUMBER(AF237)),IF(ABS(AF141-AF237)&lt;=1.01,0,ROUND(AF141-AF237,0)),"")</f>
        <v>0</v>
      </c>
      <c r="AG145" s="211">
        <f>IF(AND(ISNUMBER(AG141),ISNUMBER(AG237)),IF(ABS(AG141-AG237)&lt;=1.01,0,ROUND(AG141-AG237,0)),"")</f>
        <v>0</v>
      </c>
      <c r="AH145" s="211">
        <f>IF(AND(ISNUMBER(AH141),ISNUMBER(AH237)),IF(ABS(AH141-AH237)&lt;=1.01,0,ROUND(AH141-AH237,0)),"")</f>
        <v>0</v>
      </c>
      <c r="AI145" s="211">
        <f>IF(AND(ISNUMBER(AI141),ISNUMBER(AI237)),IF(ABS(AI141-AI237)&lt;=1.01,0,ROUND(AI141-AI237,0)),"")</f>
        <v>0</v>
      </c>
      <c r="AJ145" s="211">
        <f>IF(AND(ISNUMBER(AJ141),ISNUMBER(AJ237)),IF(ABS(AJ141-AJ237)&lt;=1.01,0,ROUND(AJ141-AJ237,0)),"")</f>
        <v>0</v>
      </c>
      <c r="AK145" s="211">
        <f>IF(AND(ISNUMBER(AK141),ISNUMBER(AK237)),IF(ABS(AK141-AK237)&lt;=1.01,0,ROUND(AK141-AK237,0)),"")</f>
        <v>0</v>
      </c>
      <c r="AL145" s="211">
        <f>IF(AND(ISNUMBER(AL141),ISNUMBER(AL237)),IF(ABS(AL141-AL237)&lt;=1.01,0,ROUND(AL141-AL237,0)),"")</f>
        <v>0</v>
      </c>
      <c r="AM145" s="211">
        <f>IF(AND(ISNUMBER(AM141),ISNUMBER(AM237)),IF(ABS(AM141-AM237)&lt;=1.01,0,ROUND(AM141-AM237,0)),"")</f>
        <v>0</v>
      </c>
      <c r="AN145" s="211">
        <f>IF(AND(ISNUMBER(AN141),ISNUMBER(AN237)),IF(ABS(AN141-AN237)&lt;=1.01,0,ROUND(AN141-AN237,0)),"")</f>
        <v>0</v>
      </c>
      <c r="AO145" s="211">
        <f>IF(AND(ISNUMBER(AO141),ISNUMBER(AO237)),IF(ABS(AO141-AO237)&lt;=1.01,0,ROUND(AO141-AO237,0)),"")</f>
        <v>0</v>
      </c>
      <c r="AP145" s="211">
        <f>IF(AND(ISNUMBER(AP141),ISNUMBER(AP237)),IF(ABS(AP141-AP237)&lt;=1.01,0,ROUND(AP141-AP237,0)),"")</f>
        <v>0</v>
      </c>
      <c r="AQ145" s="211">
        <f>IF(AND(ISNUMBER(AQ141),ISNUMBER(AQ237)),IF(ABS(AQ141-AQ237)&lt;=1.01,0,ROUND(AQ141-AQ237,0)),"")</f>
        <v>0</v>
      </c>
      <c r="AR145" s="211">
        <f>IF(AND(ISNUMBER(AR141),ISNUMBER(AR237)),IF(ABS(AR141-AR237)&lt;=1.01,0,ROUND(AR141-AR237,0)),"")</f>
        <v>0</v>
      </c>
      <c r="AS145" s="211">
        <f>IF(AND(ISNUMBER(AS141),ISNUMBER(AS237)),IF(ABS(AS141-AS237)&lt;=1.01,0,ROUND(AS141-AS237,0)),"")</f>
        <v>0</v>
      </c>
      <c r="AT145" s="211">
        <f>IF(AND(ISNUMBER(AT141),ISNUMBER(AT237)),IF(ABS(AT141-AT237)&lt;=1.01,0,ROUND(AT141-AT237,0)),"")</f>
        <v>0</v>
      </c>
      <c r="AU145" s="211">
        <f>IF(AND(ISNUMBER(AU141),ISNUMBER(AU237)),IF(ABS(AU141-AU237)&lt;=1.01,0,ROUND(AU141-AU237,0)),"")</f>
        <v>0</v>
      </c>
      <c r="AV145" s="211">
        <f>IF(AND(ISNUMBER(AV141),ISNUMBER(AV237)),IF(ABS(AV141-AV237)&lt;=1.01,0,ROUND(AV141-AV237,0)),"")</f>
        <v>0</v>
      </c>
      <c r="AW145" s="211">
        <f>IF(AND(ISNUMBER(AW141),ISNUMBER(AW237)),IF(ABS(AW141-AW237)&lt;=1.01,0,ROUND(AW141-AW237,0)),"")</f>
        <v>0</v>
      </c>
      <c r="AX145" s="211">
        <f>IF(AND(ISNUMBER(AX141),ISNUMBER(AX237)),IF(ABS(AX141-AX237)&lt;=1.01,0,ROUND(AX141-AX237,0)),"")</f>
        <v>0</v>
      </c>
      <c r="AY145" s="211">
        <f>IF(AND(ISNUMBER(AY141),ISNUMBER(AY237)),IF(ABS(AY141-AY237)&lt;=1.01,0,ROUND(AY141-AY237,0)),"")</f>
        <v>0</v>
      </c>
      <c r="AZ145" s="211">
        <f>IF(AND(ISNUMBER(AZ141),ISNUMBER(AZ237)),IF(ABS(AZ141-AZ237)&lt;=1.01,0,ROUND(AZ141-AZ237,0)),"")</f>
        <v>0</v>
      </c>
      <c r="BA145" s="211">
        <f>IF(AND(ISNUMBER(BA141),ISNUMBER(BA237)),IF(ABS(BA141-BA237)&lt;=1.01,0,ROUND(BA141-BA237,0)),"")</f>
        <v>0</v>
      </c>
      <c r="BB145" s="211">
        <f>IF(AND(ISNUMBER(BB141),ISNUMBER(BB237)),IF(ABS(BB141-BB237)&lt;=1.01,0,ROUND(BB141-BB237,0)),"")</f>
        <v>0</v>
      </c>
      <c r="BC145" s="211">
        <f>IF(AND(ISNUMBER(BC141),ISNUMBER(BC237)),IF(ABS(BC141-BC237)&lt;=1.01,0,ROUND(BC141-BC237,0)),"")</f>
        <v>0</v>
      </c>
      <c r="BD145" s="211">
        <f>IF(AND(ISNUMBER(BD141),ISNUMBER(BD237)),IF(ABS(BD141-BD237)&lt;=1.01,0,ROUND(BD141-BD237,0)),"")</f>
        <v>0</v>
      </c>
      <c r="BE145" s="211">
        <f>IF(AND(ISNUMBER(BE141),ISNUMBER(BE237)),IF(ABS(BE141-BE237)&lt;=1.01,0,ROUND(BE141-BE237,0)),"")</f>
        <v>0</v>
      </c>
      <c r="BF145" s="211">
        <f>IF(AND(ISNUMBER(BF141),ISNUMBER(BF237)),IF(ABS(BF141-BF237)&lt;=1.01,0,ROUND(BF141-BF237,0)),"")</f>
        <v>0</v>
      </c>
      <c r="BG145" s="211">
        <f>IF(AND(ISNUMBER(BG141),ISNUMBER(BG237)),IF(ABS(BG141-BG237)&lt;=1.01,0,ROUND(BG141-BG237,0)),"")</f>
        <v>0</v>
      </c>
      <c r="BH145" s="211">
        <f>IF(AND(ISNUMBER(BH141),ISNUMBER(BH237)),IF(ABS(BH141-BH237)&lt;=1.01,0,ROUND(BH141-BH237,0)),"")</f>
        <v>0</v>
      </c>
      <c r="BI145" s="211">
        <f>IF(AND(ISNUMBER(BI141),ISNUMBER(BI237)),IF(ABS(BI141-BI237)&lt;=1.01,0,ROUND(BI141-BI237,0)),"")</f>
        <v>0</v>
      </c>
      <c r="BJ145" s="211">
        <f>IF(AND(ISNUMBER(BJ141),ISNUMBER(BJ237)),IF(ABS(BJ141-BJ237)&lt;=1.01,0,ROUND(BJ141-BJ237,0)),"")</f>
        <v>0</v>
      </c>
      <c r="BK145" s="211">
        <f>IF(AND(ISNUMBER(BK141),ISNUMBER(BK237)),IF(ABS(BK141-BK237)&lt;=1.01,0,ROUND(BK141-BK237,0)),"")</f>
        <v>0</v>
      </c>
      <c r="BL145" s="211">
        <f>IF(AND(ISNUMBER(BL141),ISNUMBER(BL237)),IF(ABS(BL141-BL237)&lt;=1.01,0,ROUND(BL141-BL237,0)),"")</f>
        <v>0</v>
      </c>
      <c r="BM145" s="211">
        <f>IF(AND(ISNUMBER(BM141),ISNUMBER(BM237)),IF(ABS(BM141-BM237)&lt;=1.01,0,ROUND(BM141-BM237,0)),"")</f>
        <v>0</v>
      </c>
      <c r="BN145" s="211">
        <f>IF(AND(ISNUMBER(BN141),ISNUMBER(BN237)),IF(ABS(BN141-BN237)&lt;=1.01,0,ROUND(BN141-BN237,0)),"")</f>
        <v>0</v>
      </c>
      <c r="BO145" s="211">
        <f>IF(AND(ISNUMBER(BO141),ISNUMBER(BO237)),IF(ABS(BO141-BO237)&lt;=1.01,0,ROUND(BO141-BO237,0)),"")</f>
        <v>0</v>
      </c>
      <c r="BP145" s="211">
        <f>IF(AND(ISNUMBER(BP141),ISNUMBER(BP237)),IF(ABS(BP141-BP237)&lt;=1.01,0,ROUND(BP141-BP237,0)),"")</f>
        <v>0</v>
      </c>
      <c r="BQ145" s="211">
        <f>IF(AND(ISNUMBER(BQ141),ISNUMBER(BQ237)),IF(ABS(BQ141-BQ237)&lt;=1.01,0,ROUND(BQ141-BQ237,0)),"")</f>
        <v>0</v>
      </c>
      <c r="BR145" s="211">
        <f>IF(AND(ISNUMBER(BR141),ISNUMBER(BR237)),IF(ABS(BR141-BR237)&lt;=1.01,0,ROUND(BR141-BR237,0)),"")</f>
        <v>0</v>
      </c>
      <c r="BS145" s="211">
        <f>IF(AND(ISNUMBER(BS141),ISNUMBER(BS237)),IF(ABS(BS141-BS237)&lt;=1.01,0,ROUND(BS141-BS237,0)),"")</f>
        <v>0</v>
      </c>
      <c r="BT145" s="211">
        <f>IF(AND(ISNUMBER(BT141),ISNUMBER(BT237)),IF(ABS(BT141-BT237)&lt;=1.01,0,ROUND(BT141-BT237,0)),"")</f>
        <v>0</v>
      </c>
      <c r="BU145" s="270">
        <f>IF(AND(ISNUMBER(BU141),ISNUMBER(BU237)),IF(ABS(BU141-BU237)&lt;=1.01,0,ROUND(BU141-BU237,0)),"")</f>
        <v>0</v>
      </c>
      <c r="BV145" s="270">
        <f>IF(AND(ISNUMBER(BV141),ISNUMBER(BV237)),IF(ABS(BV141-BV237)&lt;=1.01,0,ROUND(BV141-BV237,0)),"")</f>
        <v>0</v>
      </c>
      <c r="BW145" s="270">
        <f>IF(AND(ISNUMBER(BW141),ISNUMBER(BW237)),IF(ABS(BW141-BW237)&lt;=1.01,0,ROUND(BW141-BW237,0)),"")</f>
        <v>0</v>
      </c>
      <c r="BX145" s="270">
        <f>IF(AND(ISNUMBER(BX141),ISNUMBER(BX237)),IF(ABS(BX141-BX237)&lt;=1.01,0,ROUND(BX141-BX237,0)),"")</f>
        <v>0</v>
      </c>
      <c r="BY145" s="270">
        <f>IF(AND(ISNUMBER(BY141),ISNUMBER(BY237)),IF(ABS(BY141-BY237)&lt;=1.01,0,ROUND(BY141-BY237,0)),"")</f>
        <v>0</v>
      </c>
      <c r="BZ145" s="270">
        <f>IF(AND(ISNUMBER(BZ141),ISNUMBER(BZ237)),IF(ABS(BZ141-BZ237)&lt;=1.01,0,ROUND(BZ141-BZ237,0)),"")</f>
        <v>0</v>
      </c>
      <c r="CA145" s="270">
        <f>IF(AND(ISNUMBER(CA141),ISNUMBER(CA237)),IF(ABS(CA141-CA237)&lt;=1.01,0,ROUND(CA141-CA237,0)),"")</f>
        <v>0</v>
      </c>
      <c r="CB145" s="270">
        <f>IF(AND(ISNUMBER(CB141),ISNUMBER(CB237)),IF(ABS(CB141-CB237)&lt;=1.01,0,ROUND(CB141-CB237,0)),"")</f>
        <v>0</v>
      </c>
      <c r="CC145" s="153" t="n"/>
    </row>
    <row r="146" ht="15" customHeight="1" s="251">
      <c r="B146" s="156" t="inlineStr">
        <is>
          <t xml:space="preserve">  Memo: FY26 revenue guidance (scenario end-point = FY2025 pro forma revenue × (1 + guided growth))</t>
        </is>
      </c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  <c r="W146" s="34" t="n"/>
      <c r="X146" s="34" t="n"/>
      <c r="Y146" s="34" t="n"/>
      <c r="Z146" s="34" t="n"/>
      <c r="AA146" s="34" t="n"/>
      <c r="AB146" s="34" t="n"/>
      <c r="AC146" s="34" t="n"/>
      <c r="AD146" s="34" t="n"/>
      <c r="AE146" s="34" t="n"/>
      <c r="AF146" s="34" t="n"/>
      <c r="AG146" s="34" t="n"/>
      <c r="AH146" s="34" t="n"/>
      <c r="AI146" s="34" t="n"/>
      <c r="AJ146" s="34" t="n"/>
      <c r="AK146" s="34" t="n"/>
      <c r="AL146" s="34" t="n"/>
      <c r="AM146" s="34" t="n"/>
      <c r="AN146" s="34" t="n"/>
      <c r="AO146" s="34" t="n"/>
      <c r="AP146" s="34" t="n"/>
      <c r="AQ146" s="34" t="n"/>
      <c r="AR146" s="34" t="n"/>
      <c r="AS146" s="34" t="n"/>
      <c r="AT146" s="34" t="n"/>
      <c r="AU146" s="34" t="n"/>
      <c r="AV146" s="34" t="n"/>
      <c r="AW146" s="34" t="n"/>
      <c r="AX146" s="34" t="n"/>
      <c r="AY146" s="34" t="n"/>
      <c r="AZ146" s="34" t="n"/>
      <c r="BA146" s="34" t="n"/>
      <c r="BB146" s="34" t="n"/>
      <c r="BC146" s="34" t="n"/>
      <c r="BD146" s="34" t="n"/>
      <c r="BE146" s="34" t="n"/>
      <c r="BF146" s="34" t="n"/>
      <c r="BG146" s="34" t="n"/>
      <c r="BH146" s="34" t="n"/>
      <c r="BI146" s="34" t="n"/>
      <c r="BJ146" s="34" t="n"/>
      <c r="BK146" s="34" t="n"/>
      <c r="BL146" s="34" t="n"/>
      <c r="BM146" s="34" t="n"/>
      <c r="BN146" s="34" t="n"/>
      <c r="BO146" s="34" t="n"/>
      <c r="BP146" s="34" t="n"/>
      <c r="BQ146" s="34" t="n"/>
      <c r="BR146" s="34" t="n"/>
      <c r="BS146" s="34" t="n"/>
      <c r="BT146" s="34" t="n"/>
      <c r="BU146" s="153" t="n"/>
      <c r="BV146" s="153" t="n"/>
      <c r="BW146" s="270">
        <f>BR187*(1+CHOOSE(MATCH($CC$2,{"Bull","Base","Bear"},0),$CL$12,$CM$12,$CN$12))</f>
        <v>14526.641</v>
      </c>
      <c r="BX146" s="153" t="n"/>
      <c r="BY146" s="153" t="n"/>
      <c r="BZ146" s="153" t="n"/>
      <c r="CA146" s="153" t="n"/>
      <c r="CB146" s="153" t="n"/>
      <c r="CC146" s="153" t="inlineStr">
        <is>
          <t>Company FY26 revenue growth guidance +5.9–7.9% excluding Mobility (Q2-26 release, 28-Jul-2026). Drives the revenue calibration.</t>
        </is>
      </c>
    </row>
    <row r="147" ht="15" customHeight="1" s="251">
      <c r="B147" s="25" t="inlineStr">
        <is>
          <t xml:space="preserve">  2H-26 revenue before calibration (FY2026E helper; excl. elimination)</t>
        </is>
      </c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34" t="n"/>
      <c r="Z147" s="34" t="n"/>
      <c r="AA147" s="34" t="n"/>
      <c r="AB147" s="34" t="n"/>
      <c r="AC147" s="34" t="n"/>
      <c r="AD147" s="34" t="n"/>
      <c r="AE147" s="34" t="n"/>
      <c r="AF147" s="34" t="n"/>
      <c r="AG147" s="34" t="n"/>
      <c r="AH147" s="34" t="n"/>
      <c r="AI147" s="34" t="n"/>
      <c r="AJ147" s="34" t="n"/>
      <c r="AK147" s="34" t="n"/>
      <c r="AL147" s="34" t="n"/>
      <c r="AM147" s="34" t="n"/>
      <c r="AN147" s="34" t="n"/>
      <c r="AO147" s="34" t="n"/>
      <c r="AP147" s="34" t="n"/>
      <c r="AQ147" s="34" t="n"/>
      <c r="AR147" s="34" t="n"/>
      <c r="AS147" s="34" t="n"/>
      <c r="AT147" s="34" t="n"/>
      <c r="AU147" s="34" t="n"/>
      <c r="AV147" s="34" t="n"/>
      <c r="AW147" s="34" t="n"/>
      <c r="AX147" s="34" t="n"/>
      <c r="AY147" s="34" t="n"/>
      <c r="AZ147" s="34" t="n"/>
      <c r="BA147" s="34" t="n"/>
      <c r="BB147" s="34" t="n"/>
      <c r="BC147" s="34" t="n"/>
      <c r="BD147" s="34" t="n"/>
      <c r="BE147" s="34" t="n"/>
      <c r="BF147" s="34" t="n"/>
      <c r="BG147" s="34" t="n"/>
      <c r="BH147" s="34" t="n"/>
      <c r="BI147" s="34" t="n"/>
      <c r="BJ147" s="34" t="n"/>
      <c r="BK147" s="34" t="n"/>
      <c r="BL147" s="34" t="n"/>
      <c r="BM147" s="34" t="n"/>
      <c r="BN147" s="34" t="n"/>
      <c r="BO147" s="34" t="n"/>
      <c r="BP147" s="34" t="n"/>
      <c r="BQ147" s="34" t="n"/>
      <c r="BR147" s="34" t="n"/>
      <c r="BS147" s="34" t="n"/>
      <c r="BT147" s="34" t="n"/>
      <c r="BU147" s="35" t="n"/>
      <c r="BV147" s="35" t="n"/>
      <c r="BW147" s="254">
        <f>(BP11+BQ11)*(1+BW13)+(BP14+BQ14)*(1+BW16)+(BP30+BQ30)*(1+BW32)+(BP33+BQ33)*(1+BW35)+(BP36+BQ36)*(1+BW38)+(BP52+BQ52)*(1+BW54)+(BP55+BQ55)*(1+BW57)+(BP58+BQ58)*(1+BW60)+(BP74+BQ74)*(1+BW76)+(BP77+BQ77)*(1+BW79)+(BP80+BQ80)*(1+BW82)</f>
        <v>7778.5588416388</v>
      </c>
      <c r="BX147" s="35" t="n"/>
      <c r="BY147" s="35" t="n"/>
      <c r="BZ147" s="35" t="n"/>
      <c r="CA147" s="35" t="n"/>
      <c r="CB147" s="35" t="n"/>
      <c r="CC147" s="19" t="n"/>
    </row>
    <row r="148" ht="15" customHeight="1" s="251">
      <c r="B148" s="25" t="inlineStr">
        <is>
          <t xml:space="preserve">  2H-26 revenue sensitivity to +1.00 of growth (FY2026E helper)</t>
        </is>
      </c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  <c r="W148" s="34" t="n"/>
      <c r="X148" s="34" t="n"/>
      <c r="Y148" s="34" t="n"/>
      <c r="Z148" s="34" t="n"/>
      <c r="AA148" s="34" t="n"/>
      <c r="AB148" s="34" t="n"/>
      <c r="AC148" s="34" t="n"/>
      <c r="AD148" s="34" t="n"/>
      <c r="AE148" s="34" t="n"/>
      <c r="AF148" s="34" t="n"/>
      <c r="AG148" s="34" t="n"/>
      <c r="AH148" s="34" t="n"/>
      <c r="AI148" s="34" t="n"/>
      <c r="AJ148" s="34" t="n"/>
      <c r="AK148" s="34" t="n"/>
      <c r="AL148" s="34" t="n"/>
      <c r="AM148" s="34" t="n"/>
      <c r="AN148" s="34" t="n"/>
      <c r="AO148" s="34" t="n"/>
      <c r="AP148" s="34" t="n"/>
      <c r="AQ148" s="34" t="n"/>
      <c r="AR148" s="34" t="n"/>
      <c r="AS148" s="34" t="n"/>
      <c r="AT148" s="34" t="n"/>
      <c r="AU148" s="34" t="n"/>
      <c r="AV148" s="34" t="n"/>
      <c r="AW148" s="34" t="n"/>
      <c r="AX148" s="34" t="n"/>
      <c r="AY148" s="34" t="n"/>
      <c r="AZ148" s="34" t="n"/>
      <c r="BA148" s="34" t="n"/>
      <c r="BB148" s="34" t="n"/>
      <c r="BC148" s="34" t="n"/>
      <c r="BD148" s="34" t="n"/>
      <c r="BE148" s="34" t="n"/>
      <c r="BF148" s="34" t="n"/>
      <c r="BG148" s="34" t="n"/>
      <c r="BH148" s="34" t="n"/>
      <c r="BI148" s="34" t="n"/>
      <c r="BJ148" s="34" t="n"/>
      <c r="BK148" s="34" t="n"/>
      <c r="BL148" s="34" t="n"/>
      <c r="BM148" s="34" t="n"/>
      <c r="BN148" s="34" t="n"/>
      <c r="BO148" s="34" t="n"/>
      <c r="BP148" s="34" t="n"/>
      <c r="BQ148" s="34" t="n"/>
      <c r="BR148" s="34" t="n"/>
      <c r="BS148" s="34" t="n"/>
      <c r="BT148" s="34" t="n"/>
      <c r="BU148" s="35" t="n"/>
      <c r="BV148" s="35" t="n"/>
      <c r="BW148" s="254">
        <f>SUM(BP11:BQ11)+SUM(BP14:BQ14)+SUM(BP30:BQ30)+SUM(BP33:BQ33)+SUM(BP36:BQ36)+SUM(BP52:BQ52)+SUM(BP55:BQ55)+SUM(BP58:BQ58)+SUM(BP74:BQ74)+SUM(BP77:BQ77)+SUM(BP80:BQ80)</f>
        <v>7019</v>
      </c>
      <c r="BX148" s="35" t="n"/>
      <c r="BY148" s="35" t="n"/>
      <c r="BZ148" s="35" t="n"/>
      <c r="CA148" s="35" t="n"/>
      <c r="CB148" s="35" t="n"/>
      <c r="CC148" s="19" t="n"/>
    </row>
    <row r="149" collapsed="1" ht="15" customHeight="1" s="251">
      <c r="B149" s="25" t="inlineStr">
        <is>
          <t xml:space="preserve">  Guidance calibration: Δ y/y growth applied to all revenue lines (Q3–Q4/26E)</t>
        </is>
      </c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  <c r="AU149" s="36" t="n"/>
      <c r="AV149" s="36" t="n"/>
      <c r="AW149" s="36" t="n"/>
      <c r="AX149" s="36" t="n"/>
      <c r="AY149" s="36" t="n"/>
      <c r="AZ149" s="36" t="n"/>
      <c r="BA149" s="36" t="n"/>
      <c r="BB149" s="36" t="n"/>
      <c r="BC149" s="36" t="n"/>
      <c r="BD149" s="36" t="n"/>
      <c r="BE149" s="36" t="n"/>
      <c r="BF149" s="36" t="n"/>
      <c r="BG149" s="36" t="n"/>
      <c r="BH149" s="36" t="n"/>
      <c r="BI149" s="36" t="n"/>
      <c r="BJ149" s="36" t="n"/>
      <c r="BK149" s="36" t="n"/>
      <c r="BL149" s="36" t="n"/>
      <c r="BM149" s="36" t="n"/>
      <c r="BN149" s="36" t="n"/>
      <c r="BO149" s="36" t="n"/>
      <c r="BP149" s="36" t="n"/>
      <c r="BQ149" s="36" t="n"/>
      <c r="BR149" s="36" t="n"/>
      <c r="BS149" s="36" t="n"/>
      <c r="BT149" s="36" t="n"/>
      <c r="BU149" s="24" t="n"/>
      <c r="BV149" s="24" t="n"/>
      <c r="BW149" s="256">
        <f>(BW146-SUM(BS138:BT138)-BW147-SUM(BU105:BV105))/BW148</f>
        <v>-0.0761277278887545</v>
      </c>
      <c r="BX149" s="46" t="n"/>
      <c r="BY149" s="46" t="n"/>
      <c r="BZ149" s="46" t="n"/>
      <c r="CA149" s="46" t="n"/>
      <c r="CB149" s="46" t="n"/>
      <c r="CC149" s="19" t="inlineStr">
        <is>
          <t>Solves the uniform growth shift (vs 1H-26 y/y rates) so that FY26 revenue = the guidance end-point for the active scenario.</t>
        </is>
      </c>
    </row>
    <row r="150" ht="15" customHeight="1" s="251">
      <c r="B150" s="57" t="inlineStr">
        <is>
          <t xml:space="preserve">  Check: FY26 revenue vs guidance end-point (should be 0)</t>
        </is>
      </c>
      <c r="C150" s="44" t="n"/>
      <c r="D150" s="44" t="n"/>
      <c r="E150" s="44" t="n"/>
      <c r="F150" s="44" t="n"/>
      <c r="G150" s="44" t="n"/>
      <c r="H150" s="44" t="n"/>
      <c r="I150" s="44" t="n"/>
      <c r="J150" s="44" t="n"/>
      <c r="K150" s="44" t="n"/>
      <c r="L150" s="44" t="n"/>
      <c r="M150" s="44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  <c r="AE150" s="44" t="n"/>
      <c r="AF150" s="44" t="n"/>
      <c r="AG150" s="44" t="n"/>
      <c r="AH150" s="44" t="n"/>
      <c r="AI150" s="44" t="n"/>
      <c r="AJ150" s="44" t="n"/>
      <c r="AK150" s="44" t="n"/>
      <c r="AL150" s="44" t="n"/>
      <c r="AM150" s="44" t="n"/>
      <c r="AN150" s="44" t="n"/>
      <c r="AO150" s="44" t="n"/>
      <c r="AP150" s="44" t="n"/>
      <c r="AQ150" s="44" t="n"/>
      <c r="AR150" s="44" t="n"/>
      <c r="AS150" s="44" t="n"/>
      <c r="AT150" s="44" t="n"/>
      <c r="AU150" s="44" t="n"/>
      <c r="AV150" s="44" t="n"/>
      <c r="AW150" s="44" t="n"/>
      <c r="AX150" s="44" t="n"/>
      <c r="AY150" s="44" t="n"/>
      <c r="AZ150" s="44" t="n"/>
      <c r="BA150" s="44" t="n"/>
      <c r="BB150" s="44" t="n"/>
      <c r="BC150" s="44" t="n"/>
      <c r="BD150" s="44" t="n"/>
      <c r="BE150" s="44" t="n"/>
      <c r="BF150" s="44" t="n"/>
      <c r="BG150" s="44" t="n"/>
      <c r="BH150" s="44" t="n"/>
      <c r="BI150" s="44" t="n"/>
      <c r="BJ150" s="44" t="n"/>
      <c r="BK150" s="44" t="n"/>
      <c r="BL150" s="44" t="n"/>
      <c r="BM150" s="44" t="n"/>
      <c r="BN150" s="44" t="n"/>
      <c r="BO150" s="44" t="n"/>
      <c r="BP150" s="44" t="n"/>
      <c r="BQ150" s="44" t="n"/>
      <c r="BR150" s="44" t="n"/>
      <c r="BS150" s="44" t="n"/>
      <c r="BT150" s="44" t="n"/>
      <c r="BU150" s="153" t="n"/>
      <c r="BV150" s="153" t="n"/>
      <c r="BW150" s="270">
        <f>ROUND(BW138-BW146,1)</f>
        <v>0</v>
      </c>
      <c r="BX150" s="153" t="n"/>
      <c r="BY150" s="153" t="n"/>
      <c r="BZ150" s="153" t="n"/>
      <c r="CA150" s="153" t="n"/>
      <c r="CB150" s="153" t="n"/>
      <c r="CC150" s="153" t="n"/>
    </row>
    <row r="151" ht="15" customHeight="1" s="251">
      <c r="B151" s="156" t="inlineStr">
        <is>
          <t xml:space="preserve">  Memo: FY26 adjusted EPS guidance (scenario end-point, $)</t>
        </is>
      </c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7" t="n"/>
      <c r="AK151" s="27" t="n"/>
      <c r="AL151" s="27" t="n"/>
      <c r="AM151" s="27" t="n"/>
      <c r="AN151" s="27" t="n"/>
      <c r="AO151" s="27" t="n"/>
      <c r="AP151" s="27" t="n"/>
      <c r="AQ151" s="27" t="n"/>
      <c r="AR151" s="27" t="n"/>
      <c r="AS151" s="27" t="n"/>
      <c r="AT151" s="27" t="n"/>
      <c r="AU151" s="27" t="n"/>
      <c r="AV151" s="27" t="n"/>
      <c r="AW151" s="27" t="n"/>
      <c r="AX151" s="27" t="n"/>
      <c r="AY151" s="27" t="n"/>
      <c r="AZ151" s="27" t="n"/>
      <c r="BA151" s="27" t="n"/>
      <c r="BB151" s="27" t="n"/>
      <c r="BC151" s="27" t="n"/>
      <c r="BD151" s="27" t="n"/>
      <c r="BE151" s="27" t="n"/>
      <c r="BF151" s="27" t="n"/>
      <c r="BG151" s="27" t="n"/>
      <c r="BH151" s="27" t="n"/>
      <c r="BI151" s="27" t="n"/>
      <c r="BJ151" s="27" t="n"/>
      <c r="BK151" s="27" t="n"/>
      <c r="BL151" s="27" t="n"/>
      <c r="BM151" s="27" t="n"/>
      <c r="BN151" s="27" t="n"/>
      <c r="BO151" s="27" t="n"/>
      <c r="BP151" s="27" t="n"/>
      <c r="BQ151" s="27" t="n"/>
      <c r="BR151" s="27" t="n"/>
      <c r="BS151" s="27" t="n"/>
      <c r="BT151" s="27" t="n"/>
      <c r="BU151" s="153" t="n"/>
      <c r="BV151" s="153" t="n"/>
      <c r="BW151" s="271">
        <f>CHOOSE(MATCH($CC$2,{"Bull","Base","Bear"},0),$CL$13,$CM$13,$CN$13)</f>
        <v>17.625</v>
      </c>
      <c r="BX151" s="153" t="n"/>
      <c r="BY151" s="153" t="n"/>
      <c r="BZ151" s="153" t="n"/>
      <c r="CA151" s="153" t="n"/>
      <c r="CB151" s="153" t="n"/>
      <c r="CC151" s="153" t="inlineStr">
        <is>
          <t>Company FY26 adjusted diluted EPS guidance $17.50–17.75 excluding Mobility (Q2-26 release). Drives the margin calibration.</t>
        </is>
      </c>
    </row>
    <row r="152" ht="15" customHeight="1" s="251">
      <c r="B152" s="156" t="inlineStr">
        <is>
          <t xml:space="preserve">  2H-26 adjusted net income required (FY diluted shares × EPS guidance − 1H actual)</t>
        </is>
      </c>
      <c r="C152" s="44" t="n"/>
      <c r="D152" s="44" t="n"/>
      <c r="E152" s="44" t="n"/>
      <c r="F152" s="44" t="n"/>
      <c r="G152" s="44" t="n"/>
      <c r="H152" s="44" t="n"/>
      <c r="I152" s="44" t="n"/>
      <c r="J152" s="44" t="n"/>
      <c r="K152" s="44" t="n"/>
      <c r="L152" s="44" t="n"/>
      <c r="M152" s="44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  <c r="AE152" s="44" t="n"/>
      <c r="AF152" s="44" t="n"/>
      <c r="AG152" s="44" t="n"/>
      <c r="AH152" s="44" t="n"/>
      <c r="AI152" s="44" t="n"/>
      <c r="AJ152" s="44" t="n"/>
      <c r="AK152" s="44" t="n"/>
      <c r="AL152" s="44" t="n"/>
      <c r="AM152" s="44" t="n"/>
      <c r="AN152" s="44" t="n"/>
      <c r="AO152" s="44" t="n"/>
      <c r="AP152" s="44" t="n"/>
      <c r="AQ152" s="44" t="n"/>
      <c r="AR152" s="44" t="n"/>
      <c r="AS152" s="44" t="n"/>
      <c r="AT152" s="44" t="n"/>
      <c r="AU152" s="44" t="n"/>
      <c r="AV152" s="44" t="n"/>
      <c r="AW152" s="44" t="n"/>
      <c r="AX152" s="44" t="n"/>
      <c r="AY152" s="44" t="n"/>
      <c r="AZ152" s="44" t="n"/>
      <c r="BA152" s="44" t="n"/>
      <c r="BB152" s="44" t="n"/>
      <c r="BC152" s="44" t="n"/>
      <c r="BD152" s="44" t="n"/>
      <c r="BE152" s="44" t="n"/>
      <c r="BF152" s="44" t="n"/>
      <c r="BG152" s="44" t="n"/>
      <c r="BH152" s="44" t="n"/>
      <c r="BI152" s="44" t="n"/>
      <c r="BJ152" s="44" t="n"/>
      <c r="BK152" s="44" t="n"/>
      <c r="BL152" s="44" t="n"/>
      <c r="BM152" s="44" t="n"/>
      <c r="BN152" s="44" t="n"/>
      <c r="BO152" s="44" t="n"/>
      <c r="BP152" s="44" t="n"/>
      <c r="BQ152" s="44" t="n"/>
      <c r="BR152" s="44" t="n"/>
      <c r="BS152" s="44" t="n"/>
      <c r="BT152" s="44" t="n"/>
      <c r="BU152" s="35" t="n"/>
      <c r="BV152" s="35" t="n"/>
      <c r="BW152" s="254">
        <f>BW151*BW273-SUM(BS270:BT270)</f>
        <v>2399.10267319277</v>
      </c>
      <c r="BX152" s="35" t="n"/>
      <c r="BY152" s="35" t="n"/>
      <c r="BZ152" s="35" t="n"/>
      <c r="CA152" s="35" t="n"/>
      <c r="CB152" s="35" t="n"/>
      <c r="CC152" s="153" t="n"/>
    </row>
    <row r="153" ht="15" customHeight="1" s="251">
      <c r="B153" s="156" t="inlineStr">
        <is>
          <t xml:space="preserve">  2H-26 adjusted tax rate (point estimate)</t>
        </is>
      </c>
      <c r="C153" s="44" t="n"/>
      <c r="D153" s="44" t="n"/>
      <c r="E153" s="44" t="n"/>
      <c r="F153" s="44" t="n"/>
      <c r="G153" s="44" t="n"/>
      <c r="H153" s="44" t="n"/>
      <c r="I153" s="44" t="n"/>
      <c r="J153" s="44" t="n"/>
      <c r="K153" s="44" t="n"/>
      <c r="L153" s="44" t="n"/>
      <c r="M153" s="44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  <c r="AE153" s="44" t="n"/>
      <c r="AF153" s="44" t="n"/>
      <c r="AG153" s="44" t="n"/>
      <c r="AH153" s="44" t="n"/>
      <c r="AI153" s="44" t="n"/>
      <c r="AJ153" s="44" t="n"/>
      <c r="AK153" s="44" t="n"/>
      <c r="AL153" s="44" t="n"/>
      <c r="AM153" s="44" t="n"/>
      <c r="AN153" s="44" t="n"/>
      <c r="AO153" s="44" t="n"/>
      <c r="AP153" s="44" t="n"/>
      <c r="AQ153" s="44" t="n"/>
      <c r="AR153" s="44" t="n"/>
      <c r="AS153" s="44" t="n"/>
      <c r="AT153" s="44" t="n"/>
      <c r="AU153" s="44" t="n"/>
      <c r="AV153" s="44" t="n"/>
      <c r="AW153" s="44" t="n"/>
      <c r="AX153" s="44" t="n"/>
      <c r="AY153" s="44" t="n"/>
      <c r="AZ153" s="44" t="n"/>
      <c r="BA153" s="44" t="n"/>
      <c r="BB153" s="44" t="n"/>
      <c r="BC153" s="44" t="n"/>
      <c r="BD153" s="44" t="n"/>
      <c r="BE153" s="44" t="n"/>
      <c r="BF153" s="44" t="n"/>
      <c r="BG153" s="44" t="n"/>
      <c r="BH153" s="44" t="n"/>
      <c r="BI153" s="44" t="n"/>
      <c r="BJ153" s="44" t="n"/>
      <c r="BK153" s="44" t="n"/>
      <c r="BL153" s="44" t="n"/>
      <c r="BM153" s="44" t="n"/>
      <c r="BN153" s="44" t="n"/>
      <c r="BO153" s="44" t="n"/>
      <c r="BP153" s="44" t="n"/>
      <c r="BQ153" s="44" t="n"/>
      <c r="BR153" s="44" t="n"/>
      <c r="BS153" s="44" t="n"/>
      <c r="BT153" s="44" t="n"/>
      <c r="BU153" s="35" t="n"/>
      <c r="BV153" s="35" t="n"/>
      <c r="BW153" s="256">
        <f>$CM$29</f>
        <v>0.225</v>
      </c>
      <c r="BX153" s="35" t="n"/>
      <c r="BY153" s="35" t="n"/>
      <c r="BZ153" s="35" t="n"/>
      <c r="CA153" s="35" t="n"/>
      <c r="CB153" s="35" t="n"/>
      <c r="CC153" s="153" t="n"/>
    </row>
    <row r="154" ht="15" customHeight="1" s="251">
      <c r="B154" s="156" t="inlineStr">
        <is>
          <t xml:space="preserve">  NCI ratio to Indices adjusted OP (Q3–Q4/26E input)</t>
        </is>
      </c>
      <c r="C154" s="44" t="n"/>
      <c r="D154" s="44" t="n"/>
      <c r="E154" s="44" t="n"/>
      <c r="F154" s="44" t="n"/>
      <c r="G154" s="44" t="n"/>
      <c r="H154" s="44" t="n"/>
      <c r="I154" s="44" t="n"/>
      <c r="J154" s="44" t="n"/>
      <c r="K154" s="44" t="n"/>
      <c r="L154" s="44" t="n"/>
      <c r="M154" s="44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  <c r="AE154" s="44" t="n"/>
      <c r="AF154" s="44" t="n"/>
      <c r="AG154" s="44" t="n"/>
      <c r="AH154" s="44" t="n"/>
      <c r="AI154" s="44" t="n"/>
      <c r="AJ154" s="44" t="n"/>
      <c r="AK154" s="44" t="n"/>
      <c r="AL154" s="44" t="n"/>
      <c r="AM154" s="44" t="n"/>
      <c r="AN154" s="44" t="n"/>
      <c r="AO154" s="44" t="n"/>
      <c r="AP154" s="44" t="n"/>
      <c r="AQ154" s="44" t="n"/>
      <c r="AR154" s="44" t="n"/>
      <c r="AS154" s="44" t="n"/>
      <c r="AT154" s="44" t="n"/>
      <c r="AU154" s="44" t="n"/>
      <c r="AV154" s="44" t="n"/>
      <c r="AW154" s="44" t="n"/>
      <c r="AX154" s="44" t="n"/>
      <c r="AY154" s="44" t="n"/>
      <c r="AZ154" s="44" t="n"/>
      <c r="BA154" s="44" t="n"/>
      <c r="BB154" s="44" t="n"/>
      <c r="BC154" s="44" t="n"/>
      <c r="BD154" s="44" t="n"/>
      <c r="BE154" s="44" t="n"/>
      <c r="BF154" s="44" t="n"/>
      <c r="BG154" s="44" t="n"/>
      <c r="BH154" s="44" t="n"/>
      <c r="BI154" s="44" t="n"/>
      <c r="BJ154" s="44" t="n"/>
      <c r="BK154" s="44" t="n"/>
      <c r="BL154" s="44" t="n"/>
      <c r="BM154" s="44" t="n"/>
      <c r="BN154" s="44" t="n"/>
      <c r="BO154" s="44" t="n"/>
      <c r="BP154" s="44" t="n"/>
      <c r="BQ154" s="44" t="n"/>
      <c r="BR154" s="44" t="n"/>
      <c r="BS154" s="44" t="n"/>
      <c r="BT154" s="44" t="n"/>
      <c r="BU154" s="35" t="n"/>
      <c r="BV154" s="35" t="n"/>
      <c r="BW154" s="256">
        <f>BU207</f>
        <v>0.282522996057819</v>
      </c>
      <c r="BX154" s="35" t="n"/>
      <c r="BY154" s="35" t="n"/>
      <c r="BZ154" s="35" t="n"/>
      <c r="CA154" s="35" t="n"/>
      <c r="CB154" s="35" t="n"/>
      <c r="CC154" s="153" t="n"/>
    </row>
    <row r="155" ht="15" customHeight="1" s="251">
      <c r="B155" s="25" t="inlineStr">
        <is>
          <t xml:space="preserve">  2H-26 adjusted OP before margin calibration (FY2026E helper)</t>
        </is>
      </c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  <c r="W155" s="34" t="n"/>
      <c r="X155" s="34" t="n"/>
      <c r="Y155" s="34" t="n"/>
      <c r="Z155" s="34" t="n"/>
      <c r="AA155" s="34" t="n"/>
      <c r="AB155" s="34" t="n"/>
      <c r="AC155" s="34" t="n"/>
      <c r="AD155" s="34" t="n"/>
      <c r="AE155" s="34" t="n"/>
      <c r="AF155" s="34" t="n"/>
      <c r="AG155" s="34" t="n"/>
      <c r="AH155" s="34" t="n"/>
      <c r="AI155" s="34" t="n"/>
      <c r="AJ155" s="34" t="n"/>
      <c r="AK155" s="34" t="n"/>
      <c r="AL155" s="34" t="n"/>
      <c r="AM155" s="34" t="n"/>
      <c r="AN155" s="34" t="n"/>
      <c r="AO155" s="34" t="n"/>
      <c r="AP155" s="34" t="n"/>
      <c r="AQ155" s="34" t="n"/>
      <c r="AR155" s="34" t="n"/>
      <c r="AS155" s="34" t="n"/>
      <c r="AT155" s="34" t="n"/>
      <c r="AU155" s="34" t="n"/>
      <c r="AV155" s="34" t="n"/>
      <c r="AW155" s="34" t="n"/>
      <c r="AX155" s="34" t="n"/>
      <c r="AY155" s="34" t="n"/>
      <c r="AZ155" s="34" t="n"/>
      <c r="BA155" s="34" t="n"/>
      <c r="BB155" s="34" t="n"/>
      <c r="BC155" s="34" t="n"/>
      <c r="BD155" s="34" t="n"/>
      <c r="BE155" s="34" t="n"/>
      <c r="BF155" s="34" t="n"/>
      <c r="BG155" s="34" t="n"/>
      <c r="BH155" s="34" t="n"/>
      <c r="BI155" s="34" t="n"/>
      <c r="BJ155" s="34" t="n"/>
      <c r="BK155" s="34" t="n"/>
      <c r="BL155" s="34" t="n"/>
      <c r="BM155" s="34" t="n"/>
      <c r="BN155" s="34" t="n"/>
      <c r="BO155" s="34" t="n"/>
      <c r="BP155" s="34" t="n"/>
      <c r="BQ155" s="34" t="n"/>
      <c r="BR155" s="34" t="n"/>
      <c r="BS155" s="34" t="n"/>
      <c r="BT155" s="34" t="n"/>
      <c r="BU155" s="35" t="n"/>
      <c r="BV155" s="35" t="n"/>
      <c r="BW155" s="254">
        <f>BU18*BU25+BV18*BV25+BU40*BU47+BV40*BV47+BU62*BU69+BV62*BV69+BU84*BU91+BV84*BV91-SUM(BU109:BV109)</f>
        <v>3743.29561421523</v>
      </c>
      <c r="BX155" s="35" t="n"/>
      <c r="BY155" s="35" t="n"/>
      <c r="BZ155" s="35" t="n"/>
      <c r="CA155" s="35" t="n"/>
      <c r="CB155" s="35" t="n"/>
      <c r="CC155" s="19" t="n"/>
    </row>
    <row r="156" collapsed="1" ht="15" customHeight="1" s="251">
      <c r="B156" s="25" t="inlineStr">
        <is>
          <t xml:space="preserve">  2H-26 Indices adjusted OP before calibration (FY2026E helper)</t>
        </is>
      </c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  <c r="W156" s="34" t="n"/>
      <c r="X156" s="34" t="n"/>
      <c r="Y156" s="34" t="n"/>
      <c r="Z156" s="34" t="n"/>
      <c r="AA156" s="34" t="n"/>
      <c r="AB156" s="34" t="n"/>
      <c r="AC156" s="34" t="n"/>
      <c r="AD156" s="34" t="n"/>
      <c r="AE156" s="34" t="n"/>
      <c r="AF156" s="34" t="n"/>
      <c r="AG156" s="34" t="n"/>
      <c r="AH156" s="34" t="n"/>
      <c r="AI156" s="34" t="n"/>
      <c r="AJ156" s="34" t="n"/>
      <c r="AK156" s="34" t="n"/>
      <c r="AL156" s="34" t="n"/>
      <c r="AM156" s="34" t="n"/>
      <c r="AN156" s="34" t="n"/>
      <c r="AO156" s="34" t="n"/>
      <c r="AP156" s="34" t="n"/>
      <c r="AQ156" s="34" t="n"/>
      <c r="AR156" s="34" t="n"/>
      <c r="AS156" s="34" t="n"/>
      <c r="AT156" s="34" t="n"/>
      <c r="AU156" s="34" t="n"/>
      <c r="AV156" s="34" t="n"/>
      <c r="AW156" s="34" t="n"/>
      <c r="AX156" s="34" t="n"/>
      <c r="AY156" s="34" t="n"/>
      <c r="AZ156" s="34" t="n"/>
      <c r="BA156" s="34" t="n"/>
      <c r="BB156" s="34" t="n"/>
      <c r="BC156" s="34" t="n"/>
      <c r="BD156" s="34" t="n"/>
      <c r="BE156" s="34" t="n"/>
      <c r="BF156" s="34" t="n"/>
      <c r="BG156" s="34" t="n"/>
      <c r="BH156" s="34" t="n"/>
      <c r="BI156" s="34" t="n"/>
      <c r="BJ156" s="34" t="n"/>
      <c r="BK156" s="34" t="n"/>
      <c r="BL156" s="34" t="n"/>
      <c r="BM156" s="34" t="n"/>
      <c r="BN156" s="34" t="n"/>
      <c r="BO156" s="34" t="n"/>
      <c r="BP156" s="34" t="n"/>
      <c r="BQ156" s="34" t="n"/>
      <c r="BR156" s="34" t="n"/>
      <c r="BS156" s="34" t="n"/>
      <c r="BT156" s="34" t="n"/>
      <c r="BU156" s="35" t="n"/>
      <c r="BV156" s="35" t="n"/>
      <c r="BW156" s="254">
        <f>BU40*BU47+BV40*BV47</f>
        <v>744.75018658131</v>
      </c>
      <c r="BX156" s="35" t="n"/>
      <c r="BY156" s="35" t="n"/>
      <c r="BZ156" s="35" t="n"/>
      <c r="CA156" s="35" t="n"/>
      <c r="CB156" s="35" t="n"/>
      <c r="CC156" s="19" t="n"/>
    </row>
    <row r="157" ht="15" customHeight="1" s="251">
      <c r="B157" s="25" t="inlineStr">
        <is>
          <t xml:space="preserve">  2H-26 division revenue (FY2026E helper)</t>
        </is>
      </c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  <c r="W157" s="34" t="n"/>
      <c r="X157" s="34" t="n"/>
      <c r="Y157" s="34" t="n"/>
      <c r="Z157" s="34" t="n"/>
      <c r="AA157" s="34" t="n"/>
      <c r="AB157" s="34" t="n"/>
      <c r="AC157" s="34" t="n"/>
      <c r="AD157" s="34" t="n"/>
      <c r="AE157" s="34" t="n"/>
      <c r="AF157" s="34" t="n"/>
      <c r="AG157" s="34" t="n"/>
      <c r="AH157" s="34" t="n"/>
      <c r="AI157" s="34" t="n"/>
      <c r="AJ157" s="34" t="n"/>
      <c r="AK157" s="34" t="n"/>
      <c r="AL157" s="34" t="n"/>
      <c r="AM157" s="34" t="n"/>
      <c r="AN157" s="34" t="n"/>
      <c r="AO157" s="34" t="n"/>
      <c r="AP157" s="34" t="n"/>
      <c r="AQ157" s="34" t="n"/>
      <c r="AR157" s="34" t="n"/>
      <c r="AS157" s="34" t="n"/>
      <c r="AT157" s="34" t="n"/>
      <c r="AU157" s="34" t="n"/>
      <c r="AV157" s="34" t="n"/>
      <c r="AW157" s="34" t="n"/>
      <c r="AX157" s="34" t="n"/>
      <c r="AY157" s="34" t="n"/>
      <c r="AZ157" s="34" t="n"/>
      <c r="BA157" s="34" t="n"/>
      <c r="BB157" s="34" t="n"/>
      <c r="BC157" s="34" t="n"/>
      <c r="BD157" s="34" t="n"/>
      <c r="BE157" s="34" t="n"/>
      <c r="BF157" s="34" t="n"/>
      <c r="BG157" s="34" t="n"/>
      <c r="BH157" s="34" t="n"/>
      <c r="BI157" s="34" t="n"/>
      <c r="BJ157" s="34" t="n"/>
      <c r="BK157" s="34" t="n"/>
      <c r="BL157" s="34" t="n"/>
      <c r="BM157" s="34" t="n"/>
      <c r="BN157" s="34" t="n"/>
      <c r="BO157" s="34" t="n"/>
      <c r="BP157" s="34" t="n"/>
      <c r="BQ157" s="34" t="n"/>
      <c r="BR157" s="34" t="n"/>
      <c r="BS157" s="34" t="n"/>
      <c r="BT157" s="34" t="n"/>
      <c r="BU157" s="35" t="n"/>
      <c r="BV157" s="35" t="n"/>
      <c r="BW157" s="254">
        <f>SUM(BU18:BV18)+SUM(BU40:BV40)+SUM(BU62:BV62)+SUM(BU84:BV84)</f>
        <v>7244.21831958763</v>
      </c>
      <c r="BX157" s="35" t="n"/>
      <c r="BY157" s="35" t="n"/>
      <c r="BZ157" s="35" t="n"/>
      <c r="CA157" s="35" t="n"/>
      <c r="CB157" s="35" t="n"/>
      <c r="CC157" s="19" t="n"/>
    </row>
    <row r="158" ht="15" customHeight="1" s="251">
      <c r="B158" s="25" t="inlineStr">
        <is>
          <t xml:space="preserve">  2H-26 adjusted other income − adjusted interest (FY2026E helper)</t>
        </is>
      </c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  <c r="W158" s="34" t="n"/>
      <c r="X158" s="34" t="n"/>
      <c r="Y158" s="34" t="n"/>
      <c r="Z158" s="34" t="n"/>
      <c r="AA158" s="34" t="n"/>
      <c r="AB158" s="34" t="n"/>
      <c r="AC158" s="34" t="n"/>
      <c r="AD158" s="34" t="n"/>
      <c r="AE158" s="34" t="n"/>
      <c r="AF158" s="34" t="n"/>
      <c r="AG158" s="34" t="n"/>
      <c r="AH158" s="34" t="n"/>
      <c r="AI158" s="34" t="n"/>
      <c r="AJ158" s="34" t="n"/>
      <c r="AK158" s="34" t="n"/>
      <c r="AL158" s="34" t="n"/>
      <c r="AM158" s="34" t="n"/>
      <c r="AN158" s="34" t="n"/>
      <c r="AO158" s="34" t="n"/>
      <c r="AP158" s="34" t="n"/>
      <c r="AQ158" s="34" t="n"/>
      <c r="AR158" s="34" t="n"/>
      <c r="AS158" s="34" t="n"/>
      <c r="AT158" s="34" t="n"/>
      <c r="AU158" s="34" t="n"/>
      <c r="AV158" s="34" t="n"/>
      <c r="AW158" s="34" t="n"/>
      <c r="AX158" s="34" t="n"/>
      <c r="AY158" s="34" t="n"/>
      <c r="AZ158" s="34" t="n"/>
      <c r="BA158" s="34" t="n"/>
      <c r="BB158" s="34" t="n"/>
      <c r="BC158" s="34" t="n"/>
      <c r="BD158" s="34" t="n"/>
      <c r="BE158" s="34" t="n"/>
      <c r="BF158" s="34" t="n"/>
      <c r="BG158" s="34" t="n"/>
      <c r="BH158" s="34" t="n"/>
      <c r="BI158" s="34" t="n"/>
      <c r="BJ158" s="34" t="n"/>
      <c r="BK158" s="34" t="n"/>
      <c r="BL158" s="34" t="n"/>
      <c r="BM158" s="34" t="n"/>
      <c r="BN158" s="34" t="n"/>
      <c r="BO158" s="34" t="n"/>
      <c r="BP158" s="34" t="n"/>
      <c r="BQ158" s="34" t="n"/>
      <c r="BR158" s="34" t="n"/>
      <c r="BS158" s="34" t="n"/>
      <c r="BT158" s="34" t="n"/>
      <c r="BU158" s="35" t="n"/>
      <c r="BV158" s="35" t="n"/>
      <c r="BW158" s="254">
        <f>SUM(BU199:BV199)-SUM(BU279:BV279)</f>
        <v>-202</v>
      </c>
      <c r="BX158" s="35" t="n"/>
      <c r="BY158" s="35" t="n"/>
      <c r="BZ158" s="35" t="n"/>
      <c r="CA158" s="35" t="n"/>
      <c r="CB158" s="35" t="n"/>
      <c r="CC158" s="19" t="n"/>
    </row>
    <row r="159" ht="15" customHeight="1" s="251">
      <c r="B159" s="25" t="inlineStr">
        <is>
          <t xml:space="preserve">  Guidance calibration: Δ division adjusted margin (Q3–Q4/26E)</t>
        </is>
      </c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  <c r="AP159" s="36" t="n"/>
      <c r="AQ159" s="36" t="n"/>
      <c r="AR159" s="36" t="n"/>
      <c r="AS159" s="36" t="n"/>
      <c r="AT159" s="36" t="n"/>
      <c r="AU159" s="36" t="n"/>
      <c r="AV159" s="36" t="n"/>
      <c r="AW159" s="36" t="n"/>
      <c r="AX159" s="36" t="n"/>
      <c r="AY159" s="36" t="n"/>
      <c r="AZ159" s="36" t="n"/>
      <c r="BA159" s="36" t="n"/>
      <c r="BB159" s="36" t="n"/>
      <c r="BC159" s="36" t="n"/>
      <c r="BD159" s="36" t="n"/>
      <c r="BE159" s="36" t="n"/>
      <c r="BF159" s="36" t="n"/>
      <c r="BG159" s="36" t="n"/>
      <c r="BH159" s="36" t="n"/>
      <c r="BI159" s="36" t="n"/>
      <c r="BJ159" s="36" t="n"/>
      <c r="BK159" s="36" t="n"/>
      <c r="BL159" s="36" t="n"/>
      <c r="BM159" s="36" t="n"/>
      <c r="BN159" s="36" t="n"/>
      <c r="BO159" s="36" t="n"/>
      <c r="BP159" s="36" t="n"/>
      <c r="BQ159" s="36" t="n"/>
      <c r="BR159" s="36" t="n"/>
      <c r="BS159" s="36" t="n"/>
      <c r="BT159" s="36" t="n"/>
      <c r="BU159" s="24" t="n"/>
      <c r="BV159" s="24" t="n"/>
      <c r="BW159" s="256">
        <f>(BW152+BW154*BW156-(BW155+BW158)*(1-BW153))/(BW157*(1-BW153)-BW154*SUM(BU40:BV40))</f>
        <v>-0.025401394036216</v>
      </c>
      <c r="BX159" s="46" t="n"/>
      <c r="BY159" s="46" t="n"/>
      <c r="BZ159" s="46" t="n"/>
      <c r="CA159" s="46" t="n"/>
      <c r="CB159" s="46" t="n"/>
      <c r="CC159" s="19" t="inlineStr">
        <is>
          <t>Closed-form solve: 2H adjusted NI = (adjusted OP + other income − adjusted interest) × (1 − t) − NCI, with NCI = ratio × Indices adjusted OP and adjusted OP = pre-calibration OP + Δ × division revenue. Solves the uniform margin shift so that FY26 adjusted EPS = the guidance end-point for the active scenario.</t>
        </is>
      </c>
    </row>
    <row r="160" ht="15" customHeight="1" s="251">
      <c r="B160" s="57" t="inlineStr">
        <is>
          <t xml:space="preserve">  Check: FY26 adjusted EPS vs guidance end-point (should be 0.00)</t>
        </is>
      </c>
      <c r="C160" s="44" t="n"/>
      <c r="D160" s="44" t="n"/>
      <c r="E160" s="44" t="n"/>
      <c r="F160" s="44" t="n"/>
      <c r="G160" s="44" t="n"/>
      <c r="H160" s="44" t="n"/>
      <c r="I160" s="44" t="n"/>
      <c r="J160" s="44" t="n"/>
      <c r="K160" s="44" t="n"/>
      <c r="L160" s="44" t="n"/>
      <c r="M160" s="44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  <c r="AE160" s="44" t="n"/>
      <c r="AF160" s="44" t="n"/>
      <c r="AG160" s="44" t="n"/>
      <c r="AH160" s="44" t="n"/>
      <c r="AI160" s="44" t="n"/>
      <c r="AJ160" s="44" t="n"/>
      <c r="AK160" s="44" t="n"/>
      <c r="AL160" s="44" t="n"/>
      <c r="AM160" s="44" t="n"/>
      <c r="AN160" s="44" t="n"/>
      <c r="AO160" s="44" t="n"/>
      <c r="AP160" s="44" t="n"/>
      <c r="AQ160" s="44" t="n"/>
      <c r="AR160" s="44" t="n"/>
      <c r="AS160" s="44" t="n"/>
      <c r="AT160" s="44" t="n"/>
      <c r="AU160" s="44" t="n"/>
      <c r="AV160" s="44" t="n"/>
      <c r="AW160" s="44" t="n"/>
      <c r="AX160" s="44" t="n"/>
      <c r="AY160" s="44" t="n"/>
      <c r="AZ160" s="44" t="n"/>
      <c r="BA160" s="44" t="n"/>
      <c r="BB160" s="44" t="n"/>
      <c r="BC160" s="44" t="n"/>
      <c r="BD160" s="44" t="n"/>
      <c r="BE160" s="44" t="n"/>
      <c r="BF160" s="44" t="n"/>
      <c r="BG160" s="44" t="n"/>
      <c r="BH160" s="44" t="n"/>
      <c r="BI160" s="44" t="n"/>
      <c r="BJ160" s="44" t="n"/>
      <c r="BK160" s="44" t="n"/>
      <c r="BL160" s="44" t="n"/>
      <c r="BM160" s="44" t="n"/>
      <c r="BN160" s="44" t="n"/>
      <c r="BO160" s="44" t="n"/>
      <c r="BP160" s="44" t="n"/>
      <c r="BQ160" s="44" t="n"/>
      <c r="BR160" s="44" t="n"/>
      <c r="BS160" s="44" t="n"/>
      <c r="BT160" s="44" t="n"/>
      <c r="BU160" s="153" t="n"/>
      <c r="BV160" s="153" t="n"/>
      <c r="BW160" s="271">
        <f>ROUND(BW274-BW151,2)</f>
        <v>0</v>
      </c>
      <c r="BX160" s="153" t="n"/>
      <c r="BY160" s="153" t="n"/>
      <c r="BZ160" s="153" t="n"/>
      <c r="CA160" s="153" t="n"/>
      <c r="CB160" s="153" t="n"/>
      <c r="CC160" s="153" t="n"/>
    </row>
    <row r="161" ht="15" customHeight="1" s="251">
      <c r="B161" s="156" t="inlineStr">
        <is>
          <t xml:space="preserve">  Memo: FY26 GAAP diluted EPS guidance, continuing operations (scenario end-point) — information, not forced</t>
        </is>
      </c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7" t="n"/>
      <c r="AK161" s="27" t="n"/>
      <c r="AL161" s="27" t="n"/>
      <c r="AM161" s="27" t="n"/>
      <c r="AN161" s="27" t="n"/>
      <c r="AO161" s="27" t="n"/>
      <c r="AP161" s="27" t="n"/>
      <c r="AQ161" s="27" t="n"/>
      <c r="AR161" s="27" t="n"/>
      <c r="AS161" s="27" t="n"/>
      <c r="AT161" s="27" t="n"/>
      <c r="AU161" s="27" t="n"/>
      <c r="AV161" s="27" t="n"/>
      <c r="AW161" s="27" t="n"/>
      <c r="AX161" s="27" t="n"/>
      <c r="AY161" s="27" t="n"/>
      <c r="AZ161" s="27" t="n"/>
      <c r="BA161" s="27" t="n"/>
      <c r="BB161" s="27" t="n"/>
      <c r="BC161" s="27" t="n"/>
      <c r="BD161" s="27" t="n"/>
      <c r="BE161" s="27" t="n"/>
      <c r="BF161" s="27" t="n"/>
      <c r="BG161" s="27" t="n"/>
      <c r="BH161" s="27" t="n"/>
      <c r="BI161" s="27" t="n"/>
      <c r="BJ161" s="27" t="n"/>
      <c r="BK161" s="27" t="n"/>
      <c r="BL161" s="27" t="n"/>
      <c r="BM161" s="27" t="n"/>
      <c r="BN161" s="27" t="n"/>
      <c r="BO161" s="27" t="n"/>
      <c r="BP161" s="27" t="n"/>
      <c r="BQ161" s="27" t="n"/>
      <c r="BR161" s="27" t="n"/>
      <c r="BS161" s="27" t="n"/>
      <c r="BT161" s="27" t="n"/>
      <c r="BU161" s="153" t="n"/>
      <c r="BV161" s="153" t="n"/>
      <c r="BW161" s="271">
        <f>CHOOSE(MATCH($CC$2,{"Bull","Base","Bear"},0),$CL$14,$CM$14,$CN$14)</f>
        <v>16.475</v>
      </c>
      <c r="BX161" s="153" t="n"/>
      <c r="BY161" s="153" t="n"/>
      <c r="BZ161" s="153" t="n"/>
      <c r="CA161" s="153" t="n"/>
      <c r="CB161" s="153" t="n"/>
      <c r="CC161" s="153" t="n"/>
    </row>
    <row r="162" ht="15" customHeight="1" s="251">
      <c r="B162" s="156" t="inlineStr">
        <is>
          <t xml:space="preserve">    Model GAAP EPS (continuing operations) − guidance ($)</t>
        </is>
      </c>
      <c r="C162" s="44" t="n"/>
      <c r="D162" s="44" t="n"/>
      <c r="E162" s="44" t="n"/>
      <c r="F162" s="44" t="n"/>
      <c r="G162" s="44" t="n"/>
      <c r="H162" s="44" t="n"/>
      <c r="I162" s="44" t="n"/>
      <c r="J162" s="44" t="n"/>
      <c r="K162" s="44" t="n"/>
      <c r="L162" s="44" t="n"/>
      <c r="M162" s="44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  <c r="AE162" s="44" t="n"/>
      <c r="AF162" s="44" t="n"/>
      <c r="AG162" s="44" t="n"/>
      <c r="AH162" s="44" t="n"/>
      <c r="AI162" s="44" t="n"/>
      <c r="AJ162" s="44" t="n"/>
      <c r="AK162" s="44" t="n"/>
      <c r="AL162" s="44" t="n"/>
      <c r="AM162" s="44" t="n"/>
      <c r="AN162" s="44" t="n"/>
      <c r="AO162" s="44" t="n"/>
      <c r="AP162" s="44" t="n"/>
      <c r="AQ162" s="44" t="n"/>
      <c r="AR162" s="44" t="n"/>
      <c r="AS162" s="44" t="n"/>
      <c r="AT162" s="44" t="n"/>
      <c r="AU162" s="44" t="n"/>
      <c r="AV162" s="44" t="n"/>
      <c r="AW162" s="44" t="n"/>
      <c r="AX162" s="44" t="n"/>
      <c r="AY162" s="44" t="n"/>
      <c r="AZ162" s="44" t="n"/>
      <c r="BA162" s="44" t="n"/>
      <c r="BB162" s="44" t="n"/>
      <c r="BC162" s="44" t="n"/>
      <c r="BD162" s="44" t="n"/>
      <c r="BE162" s="44" t="n"/>
      <c r="BF162" s="44" t="n"/>
      <c r="BG162" s="44" t="n"/>
      <c r="BH162" s="44" t="n"/>
      <c r="BI162" s="44" t="n"/>
      <c r="BJ162" s="44" t="n"/>
      <c r="BK162" s="44" t="n"/>
      <c r="BL162" s="44" t="n"/>
      <c r="BM162" s="44" t="n"/>
      <c r="BN162" s="44" t="n"/>
      <c r="BO162" s="44" t="n"/>
      <c r="BP162" s="44" t="n"/>
      <c r="BQ162" s="44" t="n"/>
      <c r="BR162" s="44" t="n"/>
      <c r="BS162" s="44" t="n"/>
      <c r="BT162" s="44" t="n"/>
      <c r="BU162" s="35" t="n"/>
      <c r="BV162" s="35" t="n"/>
      <c r="BW162" s="272">
        <f>BW218-BW161</f>
        <v>-0.0402026884274811</v>
      </c>
      <c r="BX162" s="35" t="n"/>
      <c r="BY162" s="35" t="n"/>
      <c r="BZ162" s="35" t="n"/>
      <c r="CA162" s="35" t="n"/>
      <c r="CB162" s="35" t="n"/>
      <c r="CC162" s="153" t="n"/>
    </row>
    <row r="163" ht="15" customHeight="1" s="251">
      <c r="B163" s="156" t="inlineStr">
        <is>
          <t xml:space="preserve">  Memo: FY26 adjusted margin expansion guidance (bp, scenario end-point) — information</t>
        </is>
      </c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4" t="n"/>
      <c r="L163" s="34" t="n"/>
      <c r="M163" s="34" t="n"/>
      <c r="N163" s="34" t="n"/>
      <c r="O163" s="34" t="n"/>
      <c r="P163" s="34" t="n"/>
      <c r="Q163" s="34" t="n"/>
      <c r="R163" s="34" t="n"/>
      <c r="S163" s="34" t="n"/>
      <c r="T163" s="34" t="n"/>
      <c r="U163" s="34" t="n"/>
      <c r="V163" s="34" t="n"/>
      <c r="W163" s="34" t="n"/>
      <c r="X163" s="34" t="n"/>
      <c r="Y163" s="34" t="n"/>
      <c r="Z163" s="34" t="n"/>
      <c r="AA163" s="34" t="n"/>
      <c r="AB163" s="34" t="n"/>
      <c r="AC163" s="34" t="n"/>
      <c r="AD163" s="34" t="n"/>
      <c r="AE163" s="34" t="n"/>
      <c r="AF163" s="34" t="n"/>
      <c r="AG163" s="34" t="n"/>
      <c r="AH163" s="34" t="n"/>
      <c r="AI163" s="34" t="n"/>
      <c r="AJ163" s="34" t="n"/>
      <c r="AK163" s="34" t="n"/>
      <c r="AL163" s="34" t="n"/>
      <c r="AM163" s="34" t="n"/>
      <c r="AN163" s="34" t="n"/>
      <c r="AO163" s="34" t="n"/>
      <c r="AP163" s="34" t="n"/>
      <c r="AQ163" s="34" t="n"/>
      <c r="AR163" s="34" t="n"/>
      <c r="AS163" s="34" t="n"/>
      <c r="AT163" s="34" t="n"/>
      <c r="AU163" s="34" t="n"/>
      <c r="AV163" s="34" t="n"/>
      <c r="AW163" s="34" t="n"/>
      <c r="AX163" s="34" t="n"/>
      <c r="AY163" s="34" t="n"/>
      <c r="AZ163" s="34" t="n"/>
      <c r="BA163" s="34" t="n"/>
      <c r="BB163" s="34" t="n"/>
      <c r="BC163" s="34" t="n"/>
      <c r="BD163" s="34" t="n"/>
      <c r="BE163" s="34" t="n"/>
      <c r="BF163" s="34" t="n"/>
      <c r="BG163" s="34" t="n"/>
      <c r="BH163" s="34" t="n"/>
      <c r="BI163" s="34" t="n"/>
      <c r="BJ163" s="34" t="n"/>
      <c r="BK163" s="34" t="n"/>
      <c r="BL163" s="34" t="n"/>
      <c r="BM163" s="34" t="n"/>
      <c r="BN163" s="34" t="n"/>
      <c r="BO163" s="34" t="n"/>
      <c r="BP163" s="34" t="n"/>
      <c r="BQ163" s="34" t="n"/>
      <c r="BR163" s="34" t="n"/>
      <c r="BS163" s="34" t="n"/>
      <c r="BT163" s="34" t="n"/>
      <c r="BU163" s="153" t="n"/>
      <c r="BV163" s="153" t="n"/>
      <c r="BW163" s="273">
        <f>CHOOSE(MATCH($CC$2,{"Bull","Base","Bear"},0),$CL$15,$CM$15,$CN$15)</f>
        <v>47.5</v>
      </c>
      <c r="BX163" s="153" t="n"/>
      <c r="BY163" s="153" t="n"/>
      <c r="BZ163" s="153" t="n"/>
      <c r="CA163" s="153" t="n"/>
      <c r="CB163" s="153" t="n"/>
      <c r="CC163" s="153" t="n"/>
    </row>
    <row r="164" ht="15" customHeight="1" s="251">
      <c r="B164" s="156" t="inlineStr">
        <is>
          <t xml:space="preserve">    Model adjusted margin expansion vs FY2025 pro forma (bp)</t>
        </is>
      </c>
      <c r="C164" s="44" t="n"/>
      <c r="D164" s="44" t="n"/>
      <c r="E164" s="44" t="n"/>
      <c r="F164" s="44" t="n"/>
      <c r="G164" s="44" t="n"/>
      <c r="H164" s="44" t="n"/>
      <c r="I164" s="44" t="n"/>
      <c r="J164" s="44" t="n"/>
      <c r="K164" s="44" t="n"/>
      <c r="L164" s="44" t="n"/>
      <c r="M164" s="44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  <c r="AE164" s="44" t="n"/>
      <c r="AF164" s="44" t="n"/>
      <c r="AG164" s="44" t="n"/>
      <c r="AH164" s="44" t="n"/>
      <c r="AI164" s="44" t="n"/>
      <c r="AJ164" s="44" t="n"/>
      <c r="AK164" s="44" t="n"/>
      <c r="AL164" s="44" t="n"/>
      <c r="AM164" s="44" t="n"/>
      <c r="AN164" s="44" t="n"/>
      <c r="AO164" s="44" t="n"/>
      <c r="AP164" s="44" t="n"/>
      <c r="AQ164" s="44" t="n"/>
      <c r="AR164" s="44" t="n"/>
      <c r="AS164" s="44" t="n"/>
      <c r="AT164" s="44" t="n"/>
      <c r="AU164" s="44" t="n"/>
      <c r="AV164" s="44" t="n"/>
      <c r="AW164" s="44" t="n"/>
      <c r="AX164" s="44" t="n"/>
      <c r="AY164" s="44" t="n"/>
      <c r="AZ164" s="44" t="n"/>
      <c r="BA164" s="44" t="n"/>
      <c r="BB164" s="44" t="n"/>
      <c r="BC164" s="44" t="n"/>
      <c r="BD164" s="44" t="n"/>
      <c r="BE164" s="44" t="n"/>
      <c r="BF164" s="44" t="n"/>
      <c r="BG164" s="44" t="n"/>
      <c r="BH164" s="44" t="n"/>
      <c r="BI164" s="44" t="n"/>
      <c r="BJ164" s="44" t="n"/>
      <c r="BK164" s="44" t="n"/>
      <c r="BL164" s="44" t="n"/>
      <c r="BM164" s="44" t="n"/>
      <c r="BN164" s="44" t="n"/>
      <c r="BO164" s="44" t="n"/>
      <c r="BP164" s="44" t="n"/>
      <c r="BQ164" s="44" t="n"/>
      <c r="BR164" s="44" t="n"/>
      <c r="BS164" s="44" t="n"/>
      <c r="BT164" s="44" t="n"/>
      <c r="BU164" s="35" t="n"/>
      <c r="BV164" s="35" t="n"/>
      <c r="BW164" s="274">
        <f>ROUND((BW238-BR238)*10000,0)</f>
        <v>48</v>
      </c>
      <c r="BX164" s="35" t="n"/>
      <c r="BY164" s="35" t="n"/>
      <c r="BZ164" s="35" t="n"/>
      <c r="CA164" s="35" t="n"/>
      <c r="CB164" s="35" t="n"/>
      <c r="CC164" s="153" t="n"/>
    </row>
    <row r="165" ht="15" customHeight="1" s="251">
      <c r="B165" s="156" t="inlineStr">
        <is>
          <t xml:space="preserve">  Memo: FY26 organic constant-currency growth guidance 6–8% (information; model total growth incl. M&amp;A / divestitures / FX)</t>
        </is>
      </c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34" t="n"/>
      <c r="U165" s="34" t="n"/>
      <c r="V165" s="34" t="n"/>
      <c r="W165" s="34" t="n"/>
      <c r="X165" s="34" t="n"/>
      <c r="Y165" s="34" t="n"/>
      <c r="Z165" s="34" t="n"/>
      <c r="AA165" s="34" t="n"/>
      <c r="AB165" s="34" t="n"/>
      <c r="AC165" s="34" t="n"/>
      <c r="AD165" s="34" t="n"/>
      <c r="AE165" s="34" t="n"/>
      <c r="AF165" s="34" t="n"/>
      <c r="AG165" s="34" t="n"/>
      <c r="AH165" s="34" t="n"/>
      <c r="AI165" s="34" t="n"/>
      <c r="AJ165" s="34" t="n"/>
      <c r="AK165" s="34" t="n"/>
      <c r="AL165" s="34" t="n"/>
      <c r="AM165" s="34" t="n"/>
      <c r="AN165" s="34" t="n"/>
      <c r="AO165" s="34" t="n"/>
      <c r="AP165" s="34" t="n"/>
      <c r="AQ165" s="34" t="n"/>
      <c r="AR165" s="34" t="n"/>
      <c r="AS165" s="34" t="n"/>
      <c r="AT165" s="34" t="n"/>
      <c r="AU165" s="34" t="n"/>
      <c r="AV165" s="34" t="n"/>
      <c r="AW165" s="34" t="n"/>
      <c r="AX165" s="34" t="n"/>
      <c r="AY165" s="34" t="n"/>
      <c r="AZ165" s="34" t="n"/>
      <c r="BA165" s="34" t="n"/>
      <c r="BB165" s="34" t="n"/>
      <c r="BC165" s="34" t="n"/>
      <c r="BD165" s="34" t="n"/>
      <c r="BE165" s="34" t="n"/>
      <c r="BF165" s="34" t="n"/>
      <c r="BG165" s="34" t="n"/>
      <c r="BH165" s="34" t="n"/>
      <c r="BI165" s="34" t="n"/>
      <c r="BJ165" s="34" t="n"/>
      <c r="BK165" s="34" t="n"/>
      <c r="BL165" s="34" t="n"/>
      <c r="BM165" s="34" t="n"/>
      <c r="BN165" s="34" t="n"/>
      <c r="BO165" s="34" t="n"/>
      <c r="BP165" s="34" t="n"/>
      <c r="BQ165" s="34" t="n"/>
      <c r="BR165" s="34" t="n"/>
      <c r="BS165" s="34" t="n"/>
      <c r="BT165" s="34" t="n"/>
      <c r="BU165" s="153" t="n"/>
      <c r="BV165" s="153" t="n"/>
      <c r="BW165" s="275">
        <f>CHOOSE(MATCH($CC$2,{"Bull","Base","Bear"},0),$CL$16,$CM$16,$CN$16)</f>
        <v>0.07</v>
      </c>
      <c r="BX165" s="153" t="n"/>
      <c r="BY165" s="153" t="n"/>
      <c r="BZ165" s="153" t="n"/>
      <c r="CA165" s="153" t="n"/>
      <c r="CB165" s="153" t="n"/>
      <c r="CC165" s="153" t="n"/>
    </row>
    <row r="166" ht="15" customHeight="1" s="251">
      <c r="CK166" s="11" t="n"/>
      <c r="CL166" s="12" t="n"/>
      <c r="CM166" s="12" t="n"/>
      <c r="CN166" s="12" t="n"/>
      <c r="CO166" s="13" t="n"/>
    </row>
    <row r="167" ht="15" customHeight="1" s="251">
      <c r="B167" s="14" t="inlineStr">
        <is>
          <t>Cost drivers, D&amp;A &amp; adjusting items</t>
        </is>
      </c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  <c r="AO167" s="14" t="n"/>
      <c r="AP167" s="14" t="n"/>
      <c r="AQ167" s="14" t="n"/>
      <c r="AR167" s="14" t="n"/>
      <c r="AS167" s="14" t="n"/>
      <c r="AT167" s="14" t="n"/>
      <c r="AU167" s="14" t="n"/>
      <c r="AV167" s="14" t="n"/>
      <c r="AW167" s="14" t="n"/>
      <c r="AX167" s="14" t="n"/>
      <c r="AY167" s="14" t="n"/>
      <c r="AZ167" s="14" t="n"/>
      <c r="BA167" s="14" t="n"/>
      <c r="BB167" s="14" t="n"/>
      <c r="BC167" s="14" t="n"/>
      <c r="BD167" s="14" t="n"/>
      <c r="BE167" s="14" t="n"/>
      <c r="BF167" s="14" t="n"/>
      <c r="BG167" s="14" t="n"/>
      <c r="BH167" s="14" t="n"/>
      <c r="BI167" s="14" t="n"/>
      <c r="BJ167" s="14" t="n"/>
      <c r="BK167" s="14" t="n"/>
      <c r="BL167" s="14" t="n"/>
      <c r="BM167" s="14" t="n"/>
      <c r="BN167" s="14" t="n"/>
      <c r="BO167" s="14" t="n"/>
      <c r="BP167" s="14" t="n"/>
      <c r="BQ167" s="14" t="n"/>
      <c r="BR167" s="14" t="n"/>
      <c r="BS167" s="14" t="n"/>
      <c r="BT167" s="14" t="n"/>
      <c r="BU167" s="14" t="n"/>
      <c r="BV167" s="14" t="n"/>
      <c r="BW167" s="14" t="n"/>
      <c r="BX167" s="14" t="n"/>
      <c r="BY167" s="14" t="n"/>
      <c r="BZ167" s="14" t="n"/>
      <c r="CA167" s="14" t="n"/>
      <c r="CB167" s="14" t="n"/>
      <c r="CC167" s="15" t="inlineStr">
        <is>
          <t>COST DRIVERS — inputs that drive forecast cost lines (Q3–Q4/26E: point estimates from guidance; 2027E+: % of revenue or schedules)</t>
        </is>
      </c>
    </row>
    <row r="168" ht="15" customHeight="1" s="251">
      <c r="B168" s="25" t="inlineStr">
        <is>
          <t xml:space="preserve">  Depreciation</t>
        </is>
      </c>
      <c r="C168" s="253" t="n">
        <v>75</v>
      </c>
      <c r="D168" s="253" t="n">
        <v>78</v>
      </c>
      <c r="E168" s="253" t="n">
        <v>74</v>
      </c>
      <c r="F168" s="253" t="n">
        <v>23</v>
      </c>
      <c r="G168" s="253" t="n">
        <v>22</v>
      </c>
      <c r="H168" s="253" t="n">
        <v>20</v>
      </c>
      <c r="I168" s="253" t="n">
        <v>21</v>
      </c>
      <c r="J168" s="253" t="n">
        <v>86</v>
      </c>
      <c r="K168" s="253" t="n">
        <v>21</v>
      </c>
      <c r="L168" s="253" t="n">
        <v>22</v>
      </c>
      <c r="M168" s="253" t="n">
        <v>21</v>
      </c>
      <c r="N168" s="253" t="n">
        <v>22</v>
      </c>
      <c r="O168" s="253" t="n">
        <v>86</v>
      </c>
      <c r="P168" s="253" t="n">
        <v>22</v>
      </c>
      <c r="Q168" s="253" t="n">
        <v>22</v>
      </c>
      <c r="R168" s="253" t="n">
        <v>20</v>
      </c>
      <c r="S168" s="253" t="n">
        <v>26</v>
      </c>
      <c r="T168" s="253" t="n">
        <v>90</v>
      </c>
      <c r="U168" s="253" t="n">
        <v>18</v>
      </c>
      <c r="V168" s="253" t="n">
        <v>22</v>
      </c>
      <c r="W168" s="253" t="n">
        <v>22</v>
      </c>
      <c r="X168" s="253" t="n">
        <v>22</v>
      </c>
      <c r="Y168" s="253" t="n">
        <v>85</v>
      </c>
      <c r="Z168" s="253" t="n">
        <v>19</v>
      </c>
      <c r="AA168" s="253" t="n">
        <v>20</v>
      </c>
      <c r="AB168" s="253" t="n">
        <v>22</v>
      </c>
      <c r="AC168" s="253" t="n">
        <v>21</v>
      </c>
      <c r="AD168" s="253" t="n">
        <v>82</v>
      </c>
      <c r="AE168" s="253" t="n">
        <v>21</v>
      </c>
      <c r="AF168" s="253" t="n">
        <v>19</v>
      </c>
      <c r="AG168" s="253" t="n">
        <v>20</v>
      </c>
      <c r="AH168" s="253" t="n">
        <v>24</v>
      </c>
      <c r="AI168" s="253" t="n">
        <v>84</v>
      </c>
      <c r="AJ168" s="253" t="n">
        <v>20</v>
      </c>
      <c r="AK168" s="253" t="n">
        <v>21</v>
      </c>
      <c r="AL168" s="253" t="n">
        <v>20</v>
      </c>
      <c r="AM168" s="253" t="n">
        <v>21</v>
      </c>
      <c r="AN168" s="253" t="n">
        <v>82</v>
      </c>
      <c r="AO168" s="253" t="n">
        <v>20</v>
      </c>
      <c r="AP168" s="253" t="n">
        <v>19</v>
      </c>
      <c r="AQ168" s="253" t="n">
        <v>20</v>
      </c>
      <c r="AR168" s="253" t="n">
        <v>23</v>
      </c>
      <c r="AS168" s="253" t="n">
        <v>83</v>
      </c>
      <c r="AT168" s="253" t="n">
        <v>19</v>
      </c>
      <c r="AU168" s="253" t="n">
        <v>23</v>
      </c>
      <c r="AV168" s="253" t="n">
        <v>20</v>
      </c>
      <c r="AW168" s="253" t="n">
        <v>19</v>
      </c>
      <c r="AX168" s="253" t="n">
        <v>82</v>
      </c>
      <c r="AY168" s="253" t="n">
        <v>26</v>
      </c>
      <c r="AZ168" s="253" t="n">
        <v>36</v>
      </c>
      <c r="BA168" s="253" t="n">
        <v>31</v>
      </c>
      <c r="BB168" s="253" t="n">
        <v>15</v>
      </c>
      <c r="BC168" s="253" t="n">
        <v>108</v>
      </c>
      <c r="BD168" s="253" t="n">
        <v>25</v>
      </c>
      <c r="BE168" s="253" t="n">
        <v>24</v>
      </c>
      <c r="BF168" s="253" t="n">
        <v>22</v>
      </c>
      <c r="BG168" s="253" t="n">
        <v>30</v>
      </c>
      <c r="BH168" s="253" t="n">
        <v>101</v>
      </c>
      <c r="BI168" s="253" t="n">
        <v>23</v>
      </c>
      <c r="BJ168" s="253" t="n">
        <v>25</v>
      </c>
      <c r="BK168" s="253" t="n">
        <v>22</v>
      </c>
      <c r="BL168" s="253" t="n">
        <v>26</v>
      </c>
      <c r="BM168" s="253" t="n">
        <v>96</v>
      </c>
      <c r="BN168" s="253" t="n">
        <v>21</v>
      </c>
      <c r="BO168" s="253" t="n">
        <v>22</v>
      </c>
      <c r="BP168" s="253" t="n">
        <v>25</v>
      </c>
      <c r="BQ168" s="253" t="n">
        <v>28</v>
      </c>
      <c r="BR168" s="253" t="n">
        <v>96</v>
      </c>
      <c r="BS168" s="253" t="n">
        <v>27</v>
      </c>
      <c r="BT168" s="253" t="n">
        <v>29</v>
      </c>
      <c r="BU168" s="254">
        <f>$CM$25</f>
        <v>29</v>
      </c>
      <c r="BV168" s="254">
        <f>$CM$25</f>
        <v>29</v>
      </c>
      <c r="BW168" s="254">
        <f>SUM(BS168:BV168)</f>
        <v>114</v>
      </c>
      <c r="BX168" s="254">
        <f>BX187*BX169</f>
        <v>123.409624458798</v>
      </c>
      <c r="BY168" s="254">
        <f>BY187*BY169</f>
        <v>132.134265610662</v>
      </c>
      <c r="BZ168" s="254">
        <f>BZ187*BZ169</f>
        <v>141.206743528521</v>
      </c>
      <c r="CA168" s="254">
        <f>CA187*CA169</f>
        <v>150.474470903271</v>
      </c>
      <c r="CB168" s="254">
        <f>CB187*CB169</f>
        <v>160.336019644565</v>
      </c>
      <c r="CC168" s="19" t="n"/>
      <c r="CE168" s="20">
        <f>IFERROR((CB168/BW168)^(1/5)-1,"n/m")</f>
        <v>0.0705950950695382</v>
      </c>
      <c r="CF168" s="20">
        <f>IFERROR((BR168/AS168)^(1/5)-1,"n/m")</f>
        <v>0.029529103602739</v>
      </c>
      <c r="CG168" s="20">
        <f>IFERROR((BR168/T168)^(1/10)-1,"n/m")</f>
        <v>0.00647472309255548</v>
      </c>
      <c r="CH168" s="20">
        <f>IFERROR((BR168/C168)^(1/15)-1,"n/m")</f>
        <v>0.0165935064863105</v>
      </c>
    </row>
    <row r="169" ht="15" customHeight="1" s="251">
      <c r="B169" s="25" t="inlineStr">
        <is>
          <t xml:space="preserve">  Depreciation % of revenue</t>
        </is>
      </c>
      <c r="C169" s="215">
        <f>IF(AND(ISNUMBER(C168),ISNUMBER(C187)),IFERROR(C168/C187,""),"")</f>
        <v>0.0206100577081616</v>
      </c>
      <c r="D169" s="215">
        <f>IF(AND(ISNUMBER(D168),ISNUMBER(D187)),IFERROR(D168/D187,""),"")</f>
        <v>0.0197268588770865</v>
      </c>
      <c r="E169" s="215">
        <f>IF(AND(ISNUMBER(E168),ISNUMBER(E187)),IFERROR(E168/E187,""),"")</f>
        <v>0.0166292134831461</v>
      </c>
      <c r="F169" s="215">
        <f>IF(AND(ISNUMBER(F168),ISNUMBER(F187)),IFERROR(F168/F187,""),"")</f>
        <v>0.0194750211685013</v>
      </c>
      <c r="G169" s="215">
        <f>IF(AND(ISNUMBER(G168),ISNUMBER(G187)),IFERROR(G168/G187,""),"")</f>
        <v>0.0176</v>
      </c>
      <c r="H169" s="215">
        <f>IF(AND(ISNUMBER(H168),ISNUMBER(H187)),IFERROR(H168/H187,""),"")</f>
        <v>0.016750418760469</v>
      </c>
      <c r="I169" s="215">
        <f>IF(AND(ISNUMBER(I168),ISNUMBER(I187)),IFERROR(I168/I187,""),"")</f>
        <v>0.0168</v>
      </c>
      <c r="J169" s="215">
        <f>IF(AND(ISNUMBER(J168),ISNUMBER(J187)),IFERROR(J168/J187,""),"")</f>
        <v>0.0176410256410256</v>
      </c>
      <c r="K169" s="215">
        <f>IF(AND(ISNUMBER(K168),ISNUMBER(K187)),IFERROR(K168/K187,""),"")</f>
        <v>0.0169902912621359</v>
      </c>
      <c r="L169" s="215">
        <f>IF(AND(ISNUMBER(L168),ISNUMBER(L187)),IFERROR(L168/L187,""),"")</f>
        <v>0.0163447251114413</v>
      </c>
      <c r="M169" s="215">
        <f>IF(AND(ISNUMBER(M168),ISNUMBER(M187)),IFERROR(M168/M187,""),"")</f>
        <v>0.0166270783847981</v>
      </c>
      <c r="N169" s="215">
        <f>IF(AND(ISNUMBER(N168),ISNUMBER(N187)),IFERROR(N168/N187,""),"")</f>
        <v>0.0170542635658915</v>
      </c>
      <c r="O169" s="215">
        <f>IF(AND(ISNUMBER(O168),ISNUMBER(O187)),IFERROR(O168/O187,""),"")</f>
        <v>0.0170263314195209</v>
      </c>
      <c r="P169" s="215">
        <f>IF(AND(ISNUMBER(P168),ISNUMBER(P187)),IFERROR(P168/P187,""),"")</f>
        <v>0.0172820109976434</v>
      </c>
      <c r="Q169" s="215">
        <f>IF(AND(ISNUMBER(Q168),ISNUMBER(Q187)),IFERROR(Q168/Q187,""),"")</f>
        <v>0.0163934426229508</v>
      </c>
      <c r="R169" s="215">
        <f>IF(AND(ISNUMBER(R168),ISNUMBER(R187)),IFERROR(R168/R187,""),"")</f>
        <v>0.0151057401812689</v>
      </c>
      <c r="S169" s="215">
        <f>IF(AND(ISNUMBER(S168),ISNUMBER(S187)),IFERROR(S168/S187,""),"")</f>
        <v>0.0189228529839884</v>
      </c>
      <c r="T169" s="215">
        <f>IF(AND(ISNUMBER(T168),ISNUMBER(T187)),IFERROR(T168/T187,""),"")</f>
        <v>0.0169395821569735</v>
      </c>
      <c r="U169" s="215">
        <f>IF(AND(ISNUMBER(U168),ISNUMBER(U187)),IFERROR(U168/U187,""),"")</f>
        <v>0.0134228187919463</v>
      </c>
      <c r="V169" s="215">
        <f>IF(AND(ISNUMBER(V168),ISNUMBER(V187)),IFERROR(V168/V187,""),"")</f>
        <v>0.0148448043184885</v>
      </c>
      <c r="W169" s="215">
        <f>IF(AND(ISNUMBER(W168),ISNUMBER(W187)),IFERROR(W168/W187,""),"")</f>
        <v>0.0152883947185546</v>
      </c>
      <c r="X169" s="215">
        <f>IF(AND(ISNUMBER(X168),ISNUMBER(X187)),IFERROR(X168/X187,""),"")</f>
        <v>0.0157255182273052</v>
      </c>
      <c r="Y169" s="215">
        <f>IF(AND(ISNUMBER(Y168),ISNUMBER(Y187)),IFERROR(Y168/Y187,""),"")</f>
        <v>0.015015015015015</v>
      </c>
      <c r="Z169" s="215">
        <f>IF(AND(ISNUMBER(Z168),ISNUMBER(Z187)),IFERROR(Z168/Z187,""),"")</f>
        <v>0.0130763936682725</v>
      </c>
      <c r="AA169" s="215">
        <f>IF(AND(ISNUMBER(AA168),ISNUMBER(AA187)),IFERROR(AA168/AA187,""),"")</f>
        <v>0.0132538104705103</v>
      </c>
      <c r="AB169" s="215">
        <f>IF(AND(ISNUMBER(AB168),ISNUMBER(AB187)),IFERROR(AB168/AB187,""),"")</f>
        <v>0.0145406477197621</v>
      </c>
      <c r="AC169" s="215">
        <f>IF(AND(ISNUMBER(AC168),ISNUMBER(AC187)),IFERROR(AC168/AC187,""),"")</f>
        <v>0.013215859030837</v>
      </c>
      <c r="AD169" s="215">
        <f>IF(AND(ISNUMBER(AD168),ISNUMBER(AD187)),IFERROR(AD168/AD187,""),"")</f>
        <v>0.0135246577601847</v>
      </c>
      <c r="AE169" s="215">
        <f>IF(AND(ISNUMBER(AE168),ISNUMBER(AE187)),IFERROR(AE168/AE187,""),"")</f>
        <v>0.013401403956605</v>
      </c>
      <c r="AF169" s="215">
        <f>IF(AND(ISNUMBER(AF168),ISNUMBER(AF187)),IFERROR(AF168/AF187,""),"")</f>
        <v>0.0118085767557489</v>
      </c>
      <c r="AG169" s="215">
        <f>IF(AND(ISNUMBER(AG168),ISNUMBER(AG187)),IFERROR(AG168/AG187,""),"")</f>
        <v>0.0129366106080207</v>
      </c>
      <c r="AH169" s="215">
        <f>IF(AND(ISNUMBER(AH168),ISNUMBER(AH187)),IFERROR(AH168/AH187,""),"")</f>
        <v>0.015625</v>
      </c>
      <c r="AI169" s="215">
        <f>IF(AND(ISNUMBER(AI168),ISNUMBER(AI187)),IFERROR(AI168/AI187,""),"")</f>
        <v>0.0134228187919463</v>
      </c>
      <c r="AJ169" s="215">
        <f>IF(AND(ISNUMBER(AJ168),ISNUMBER(AJ187)),IFERROR(AJ168/AJ187,""),"")</f>
        <v>0.0127307447485678</v>
      </c>
      <c r="AK169" s="215">
        <f>IF(AND(ISNUMBER(AK168),ISNUMBER(AK187)),IFERROR(AK168/AK187,""),"")</f>
        <v>0.0123239436619718</v>
      </c>
      <c r="AL169" s="215">
        <f>IF(AND(ISNUMBER(AL168),ISNUMBER(AL187)),IFERROR(AL168/AL187,""),"")</f>
        <v>0.0118413262285376</v>
      </c>
      <c r="AM169" s="215">
        <f>IF(AND(ISNUMBER(AM168),ISNUMBER(AM187)),IFERROR(AM168/AM187,""),"")</f>
        <v>0.0121037463976945</v>
      </c>
      <c r="AN169" s="215">
        <f>IF(AND(ISNUMBER(AN168),ISNUMBER(AN187)),IFERROR(AN168/AN187,""),"")</f>
        <v>0.0122406329302881</v>
      </c>
      <c r="AO169" s="215">
        <f>IF(AND(ISNUMBER(AO168),ISNUMBER(AO187)),IFERROR(AO168/AO187,""),"")</f>
        <v>0.0111982082866741</v>
      </c>
      <c r="AP169" s="215">
        <f>IF(AND(ISNUMBER(AP168),ISNUMBER(AP187)),IFERROR(AP168/AP187,""),"")</f>
        <v>0.00977869274318065</v>
      </c>
      <c r="AQ169" s="215">
        <f>IF(AND(ISNUMBER(AQ168),ISNUMBER(AQ187)),IFERROR(AQ168/AQ187,""),"")</f>
        <v>0.0108342361863489</v>
      </c>
      <c r="AR169" s="215">
        <f>IF(AND(ISNUMBER(AR168),ISNUMBER(AR187)),IFERROR(AR168/AR187,""),"")</f>
        <v>0.0123192287091591</v>
      </c>
      <c r="AS169" s="215">
        <f>IF(AND(ISNUMBER(AS168),ISNUMBER(AS187)),IFERROR(AS168/AS187,""),"")</f>
        <v>0.0111529158828272</v>
      </c>
      <c r="AT169" s="215">
        <f>IF(AND(ISNUMBER(AT168),ISNUMBER(AT187)),IFERROR(AT168/AT187,""),"")</f>
        <v>0.00942460317460317</v>
      </c>
      <c r="AU169" s="215">
        <f>IF(AND(ISNUMBER(AU168),ISNUMBER(AU187)),IFERROR(AU168/AU187,""),"")</f>
        <v>0.0109211775878443</v>
      </c>
      <c r="AV169" s="215">
        <f>IF(AND(ISNUMBER(AV168),ISNUMBER(AV187)),IFERROR(AV168/AV187,""),"")</f>
        <v>0.0095831336847149</v>
      </c>
      <c r="AW169" s="215">
        <f>IF(AND(ISNUMBER(AW168),ISNUMBER(AW187)),IFERROR(AW168/AW187,""),"")</f>
        <v>0.00909961685823755</v>
      </c>
      <c r="AX169" s="215">
        <f>IF(AND(ISNUMBER(AX168),ISNUMBER(AX187)),IFERROR(AX168/AX187,""),"")</f>
        <v>0.00988309027359286</v>
      </c>
      <c r="AY169" s="215">
        <f>IF(AND(ISNUMBER(AY168),ISNUMBER(AY187)),IFERROR(AY168/AY187,""),"")</f>
        <v>0.0108832147341984</v>
      </c>
      <c r="AZ169" s="215">
        <f>IF(AND(ISNUMBER(AZ168),ISNUMBER(AZ187)),IFERROR(AZ168/AZ187,""),"")</f>
        <v>0.0120280654861343</v>
      </c>
      <c r="BA169" s="215">
        <f>IF(AND(ISNUMBER(BA168),ISNUMBER(BA187)),IFERROR(BA168/BA187,""),"")</f>
        <v>0.0108353722474659</v>
      </c>
      <c r="BB169" s="215">
        <f>IF(AND(ISNUMBER(BB168),ISNUMBER(BB187)),IFERROR(BB168/BB187,""),"")</f>
        <v>0.00510725229826353</v>
      </c>
      <c r="BC169" s="215">
        <f>IF(AND(ISNUMBER(BC168),ISNUMBER(BC187)),IFERROR(BC168/BC187,""),"")</f>
        <v>0.00965924335927019</v>
      </c>
      <c r="BD169" s="215">
        <f>IF(AND(ISNUMBER(BD168),ISNUMBER(BD187)),IFERROR(BD168/BD187,""),"")</f>
        <v>0.00791139240506329</v>
      </c>
      <c r="BE169" s="215">
        <f>IF(AND(ISNUMBER(BE168),ISNUMBER(BE187)),IFERROR(BE168/BE187,""),"")</f>
        <v>0.00773943889068043</v>
      </c>
      <c r="BF169" s="215">
        <f>IF(AND(ISNUMBER(BF168),ISNUMBER(BF187)),IFERROR(BF168/BF187,""),"")</f>
        <v>0.00713359273670558</v>
      </c>
      <c r="BG169" s="215">
        <f>IF(AND(ISNUMBER(BG168),ISNUMBER(BG187)),IFERROR(BG168/BG187,""),"")</f>
        <v>0.00951776649746193</v>
      </c>
      <c r="BH169" s="215">
        <f>IF(AND(ISNUMBER(BH168),ISNUMBER(BH187)),IFERROR(BH168/BH187,""),"")</f>
        <v>0.00808193966551972</v>
      </c>
      <c r="BI169" s="215">
        <f>IF(AND(ISNUMBER(BI168),ISNUMBER(BI187)),IFERROR(BI168/BI187,""),"")</f>
        <v>0.00658837009452879</v>
      </c>
      <c r="BJ169" s="215">
        <f>IF(AND(ISNUMBER(BJ168),ISNUMBER(BJ187)),IFERROR(BJ168/BJ187,""),"")</f>
        <v>0.00704423781346858</v>
      </c>
      <c r="BK169" s="215">
        <f>IF(AND(ISNUMBER(BK168),ISNUMBER(BK187)),IFERROR(BK168/BK187,""),"")</f>
        <v>0.00615384615384615</v>
      </c>
      <c r="BL169" s="215">
        <f>IF(AND(ISNUMBER(BL168),ISNUMBER(BL187)),IFERROR(BL168/BL187,""),"")</f>
        <v>0.00723830734966592</v>
      </c>
      <c r="BM169" s="215">
        <f>IF(AND(ISNUMBER(BM168),ISNUMBER(BM187)),IFERROR(BM168/BM187,""),"")</f>
        <v>0.00675675675675676</v>
      </c>
      <c r="BN169" s="215">
        <f>IF(AND(ISNUMBER(BN168),ISNUMBER(BN187)),IFERROR(BN168/BN187,""),"")</f>
        <v>0.00625558534405719</v>
      </c>
      <c r="BO169" s="215">
        <f>IF(AND(ISNUMBER(BO168),ISNUMBER(BO187)),IFERROR(BO168/BO187,""),"")</f>
        <v>0.0066324992463069</v>
      </c>
      <c r="BP169" s="215">
        <f>IF(AND(ISNUMBER(BP168),ISNUMBER(BP187)),IFERROR(BP168/BP187,""),"")</f>
        <v>0.00726110949753122</v>
      </c>
      <c r="BQ169" s="215">
        <f>IF(AND(ISNUMBER(BQ168),ISNUMBER(BQ187)),IFERROR(BQ168/BQ187,""),"")</f>
        <v>0.00806451612903226</v>
      </c>
      <c r="BR169" s="215">
        <f>IF(AND(ISNUMBER(BR168),ISNUMBER(BR187)),IFERROR(BR168/BR187,""),"")</f>
        <v>0.00706453749356097</v>
      </c>
      <c r="BS169" s="215">
        <f>IF(AND(ISNUMBER(BS168),ISNUMBER(BS187)),IFERROR(BS168/BS187,""),"")</f>
        <v>0.00726392251815981</v>
      </c>
      <c r="BT169" s="215">
        <f>IF(AND(ISNUMBER(BT168),ISNUMBER(BT187)),IFERROR(BT168/BT187,""),"")</f>
        <v>0.0078847199564981</v>
      </c>
      <c r="BU169" s="256">
        <f>IF(AND(ISNUMBER(BU168),ISNUMBER(BU187)),IFERROR(BU168/BU187,""),"")</f>
        <v>0.00815881988010276</v>
      </c>
      <c r="BV169" s="256">
        <f>IF(AND(ISNUMBER(BV168),ISNUMBER(BV187)),IFERROR(BV168/BV187,""),"")</f>
        <v>0.00810688705857651</v>
      </c>
      <c r="BW169" s="256">
        <f>IF(AND(ISNUMBER(BW168),ISNUMBER(BW187)),IFERROR(BW168/BW187,""),"")</f>
        <v>0.0078476503962616</v>
      </c>
      <c r="BX169" s="264" t="n">
        <v>0.008</v>
      </c>
      <c r="BY169" s="264" t="n">
        <v>0.008</v>
      </c>
      <c r="BZ169" s="264" t="n">
        <v>0.008</v>
      </c>
      <c r="CA169" s="264" t="n">
        <v>0.008</v>
      </c>
      <c r="CB169" s="264" t="n">
        <v>0.008</v>
      </c>
      <c r="CC169" s="153" t="n"/>
      <c r="CE169" s="37">
        <f>IFERROR(AVERAGE(BX169,BY169,BZ169,CA169,CB169),"n/m")</f>
        <v>0.008</v>
      </c>
      <c r="CF169" s="37">
        <f>IFERROR(AVERAGE(AX169,BC169,BH169,BM169,BR169),"n/m")</f>
        <v>0.0082891135097401</v>
      </c>
      <c r="CG169" s="37">
        <f>IFERROR(AVERAGE(Y169,AD169,AI169,AN169,AS169,AX169,BC169,BH169,BM169,BR169),"n/m")</f>
        <v>0.0106801607928962</v>
      </c>
      <c r="CH169" s="37">
        <f>IFERROR(AVERAGE(C169,D169,E169,J169,O169,T169,Y169,AD169,AI169,AN169,AS169,AX169,BC169,BH169,BM169,BR169),"n/m")</f>
        <v>0.0134609173259298</v>
      </c>
    </row>
    <row r="170" ht="15" customHeight="1" s="251">
      <c r="B170" s="25" t="inlineStr">
        <is>
          <t xml:space="preserve">  Deal-related amortization (amortization of acquired intangibles in OP; adjusted out)</t>
        </is>
      </c>
      <c r="C170" s="34" t="n"/>
      <c r="D170" s="253" t="n">
        <v>0</v>
      </c>
      <c r="E170" s="253" t="n">
        <v>0</v>
      </c>
      <c r="F170" s="253" t="n">
        <v>0</v>
      </c>
      <c r="G170" s="253" t="n">
        <v>0</v>
      </c>
      <c r="H170" s="253" t="n">
        <v>0</v>
      </c>
      <c r="I170" s="253" t="n">
        <v>0</v>
      </c>
      <c r="J170" s="253" t="n">
        <v>0</v>
      </c>
      <c r="K170" s="253" t="n">
        <v>0</v>
      </c>
      <c r="L170" s="253" t="n">
        <v>0</v>
      </c>
      <c r="M170" s="253" t="n">
        <v>0</v>
      </c>
      <c r="N170" s="253" t="n">
        <v>0</v>
      </c>
      <c r="O170" s="253" t="n">
        <v>0</v>
      </c>
      <c r="P170" s="253" t="n">
        <v>0</v>
      </c>
      <c r="Q170" s="253" t="n">
        <v>0</v>
      </c>
      <c r="R170" s="253" t="n">
        <v>0</v>
      </c>
      <c r="S170" s="253" t="n">
        <v>0</v>
      </c>
      <c r="T170" s="253" t="n">
        <v>0</v>
      </c>
      <c r="U170" s="253" t="n">
        <v>24</v>
      </c>
      <c r="V170" s="253" t="n">
        <v>23</v>
      </c>
      <c r="W170" s="253" t="n">
        <v>23</v>
      </c>
      <c r="X170" s="253" t="n">
        <v>25</v>
      </c>
      <c r="Y170" s="253" t="n">
        <v>96</v>
      </c>
      <c r="Z170" s="253" t="n">
        <v>24</v>
      </c>
      <c r="AA170" s="253" t="n">
        <v>25</v>
      </c>
      <c r="AB170" s="253" t="n">
        <v>24</v>
      </c>
      <c r="AC170" s="253" t="n">
        <v>25</v>
      </c>
      <c r="AD170" s="253" t="n">
        <v>98</v>
      </c>
      <c r="AE170" s="253" t="n">
        <v>24</v>
      </c>
      <c r="AF170" s="253" t="n">
        <v>33</v>
      </c>
      <c r="AG170" s="253" t="n">
        <v>33</v>
      </c>
      <c r="AH170" s="253" t="n">
        <v>31</v>
      </c>
      <c r="AI170" s="253" t="n">
        <v>122</v>
      </c>
      <c r="AJ170" s="253" t="n">
        <v>32</v>
      </c>
      <c r="AK170" s="253" t="n">
        <v>31</v>
      </c>
      <c r="AL170" s="253" t="n">
        <v>29</v>
      </c>
      <c r="AM170" s="253" t="n">
        <v>30</v>
      </c>
      <c r="AN170" s="253" t="n">
        <v>122</v>
      </c>
      <c r="AO170" s="253" t="n">
        <v>29</v>
      </c>
      <c r="AP170" s="253" t="n">
        <v>32</v>
      </c>
      <c r="AQ170" s="253" t="n">
        <v>32</v>
      </c>
      <c r="AR170" s="253" t="n">
        <v>29</v>
      </c>
      <c r="AS170" s="253" t="n">
        <v>123</v>
      </c>
      <c r="AT170" s="253" t="n">
        <v>31</v>
      </c>
      <c r="AU170" s="253" t="n">
        <v>22</v>
      </c>
      <c r="AV170" s="253" t="n">
        <v>21</v>
      </c>
      <c r="AW170" s="253" t="n">
        <v>21</v>
      </c>
      <c r="AX170" s="253" t="n">
        <v>96</v>
      </c>
      <c r="AY170" s="253" t="n">
        <v>125</v>
      </c>
      <c r="AZ170" s="253" t="n">
        <v>282</v>
      </c>
      <c r="BA170" s="253" t="n">
        <v>280</v>
      </c>
      <c r="BB170" s="253" t="n">
        <v>272</v>
      </c>
      <c r="BC170" s="253" t="n">
        <v>959</v>
      </c>
      <c r="BD170" s="253" t="n">
        <v>275</v>
      </c>
      <c r="BE170" s="253" t="n">
        <v>275</v>
      </c>
      <c r="BF170" s="253" t="n">
        <v>274</v>
      </c>
      <c r="BG170" s="253" t="n">
        <v>273</v>
      </c>
      <c r="BH170" s="253" t="n">
        <v>1097</v>
      </c>
      <c r="BI170" s="253" t="n">
        <v>278</v>
      </c>
      <c r="BJ170" s="253" t="n">
        <v>281</v>
      </c>
      <c r="BK170" s="253" t="n">
        <v>285</v>
      </c>
      <c r="BL170" s="253" t="n">
        <v>288</v>
      </c>
      <c r="BM170" s="253" t="n">
        <v>1133</v>
      </c>
      <c r="BN170" s="253" t="n">
        <v>205</v>
      </c>
      <c r="BO170" s="253" t="n">
        <v>208</v>
      </c>
      <c r="BP170" s="253" t="n">
        <v>203</v>
      </c>
      <c r="BQ170" s="253" t="n">
        <v>191</v>
      </c>
      <c r="BR170" s="253" t="n">
        <v>806</v>
      </c>
      <c r="BS170" s="253" t="n">
        <v>200</v>
      </c>
      <c r="BT170" s="253" t="n">
        <v>199</v>
      </c>
      <c r="BU170" s="254">
        <f>$CM$21</f>
        <v>193</v>
      </c>
      <c r="BV170" s="254">
        <f>$CM$21</f>
        <v>193</v>
      </c>
      <c r="BW170" s="254">
        <f>SUM(BS170:BV170)</f>
        <v>785</v>
      </c>
      <c r="BX170" s="254">
        <f>BX171+N(BX135)</f>
        <v>796.833333333333</v>
      </c>
      <c r="BY170" s="254">
        <f>BY171+N(BY135)</f>
        <v>790.5</v>
      </c>
      <c r="BZ170" s="254">
        <f>BZ171+N(BZ135)</f>
        <v>776.166666666667</v>
      </c>
      <c r="CA170" s="254">
        <f>CA171+N(CA135)</f>
        <v>761.833333333333</v>
      </c>
      <c r="CB170" s="254">
        <f>CB171+N(CB135)</f>
        <v>748.5</v>
      </c>
      <c r="CC170" s="19" t="inlineStr">
        <is>
          <t>Company "deal-related amortization" (incl. OSTTRA equity-method amortization to 2025). Q3–Q4/26E: FY26 guidance ~$785m less 1H, split evenly. 2027E+: 10-K schedule ex-Mobility + future M&amp;A.</t>
        </is>
      </c>
      <c r="CE170" s="20">
        <f>IFERROR((CB170/BW170)^(1/5)-1,"n/m")</f>
        <v>-0.00947730732662977</v>
      </c>
      <c r="CF170" s="20">
        <f>IFERROR((BR170/AS170)^(1/5)-1,"n/m")</f>
        <v>0.456417826601955</v>
      </c>
      <c r="CG170" s="20" t="str">
        <f>IFERROR((BR170/T170)^(1/10)-1,"n/m")</f>
        <v>n/m</v>
      </c>
      <c r="CH170" s="20" t="str">
        <f>IFERROR((BR170/C170)^(1/15)-1,"n/m")</f>
        <v>n/m</v>
      </c>
    </row>
    <row r="171" ht="15" customHeight="1" s="251">
      <c r="B171" s="25" t="inlineStr">
        <is>
          <t xml:space="preserve">  Amortization schedule ex-Mobility (FY2025 10-K schedule − Mobility $303m; input)</t>
        </is>
      </c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  <c r="AP171" s="36" t="n"/>
      <c r="AQ171" s="36" t="n"/>
      <c r="AR171" s="36" t="n"/>
      <c r="AS171" s="36" t="n"/>
      <c r="AT171" s="36" t="n"/>
      <c r="AU171" s="36" t="n"/>
      <c r="AV171" s="36" t="n"/>
      <c r="AW171" s="36" t="n"/>
      <c r="AX171" s="36" t="n"/>
      <c r="AY171" s="36" t="n"/>
      <c r="AZ171" s="36" t="n"/>
      <c r="BA171" s="36" t="n"/>
      <c r="BB171" s="36" t="n"/>
      <c r="BC171" s="36" t="n"/>
      <c r="BD171" s="36" t="n"/>
      <c r="BE171" s="36" t="n"/>
      <c r="BF171" s="36" t="n"/>
      <c r="BG171" s="36" t="n"/>
      <c r="BH171" s="36" t="n"/>
      <c r="BI171" s="36" t="n"/>
      <c r="BJ171" s="36" t="n"/>
      <c r="BK171" s="36" t="n"/>
      <c r="BL171" s="36" t="n"/>
      <c r="BM171" s="36" t="n"/>
      <c r="BN171" s="36" t="n"/>
      <c r="BO171" s="36" t="n"/>
      <c r="BP171" s="36" t="n"/>
      <c r="BQ171" s="36" t="n"/>
      <c r="BR171" s="36" t="n"/>
      <c r="BS171" s="36" t="n"/>
      <c r="BT171" s="36" t="n"/>
      <c r="BU171" s="24" t="n"/>
      <c r="BV171" s="24" t="n"/>
      <c r="BW171" s="24" t="n"/>
      <c r="BX171" s="265" t="n">
        <v>791</v>
      </c>
      <c r="BY171" s="265" t="n">
        <v>773</v>
      </c>
      <c r="BZ171" s="265" t="n">
        <v>747</v>
      </c>
      <c r="CA171" s="265" t="n">
        <v>721</v>
      </c>
      <c r="CB171" s="265" t="n">
        <v>696</v>
      </c>
      <c r="CC171" s="19" t="inlineStr">
        <is>
          <t>FY2025 10-K expected amortization (incl. Mobility): 2027 $1,094m, 2028 $1,076m, 2029 $1,050m, 2030 $1,024m; less Mobility $303m (FY2025 pro forma, held flat — assumption); 2031 = 2030 − $25m (assumption). FY2026 continuing guidance ~$785m vs the ex-Mobility schedule $807m (EDM / thinkFolio / geoscience disposals).</t>
        </is>
      </c>
    </row>
    <row r="172" ht="15" customHeight="1" s="251">
      <c r="B172" s="25" t="inlineStr">
        <is>
          <t xml:space="preserve">  Operating-related expenses % of revenue</t>
        </is>
      </c>
      <c r="C172" s="215">
        <f>IF(AND(ISNUMBER(C188),ISNUMBER(C187)),IFERROR(C188/C187,""),"")</f>
        <v>0.331409727947238</v>
      </c>
      <c r="D172" s="215">
        <f>IF(AND(ISNUMBER(D188),ISNUMBER(D187)),IFERROR(D188/D187,""),"")</f>
        <v>0.352048558421851</v>
      </c>
      <c r="E172" s="215">
        <f>IF(AND(ISNUMBER(E188),ISNUMBER(E187)),IFERROR(E188/E187,""),"")</f>
        <v>0.328089887640449</v>
      </c>
      <c r="F172" s="215">
        <f>IF(AND(ISNUMBER(F188),ISNUMBER(F187)),IFERROR(F188/F187,""),"")</f>
        <v>0.316680779000847</v>
      </c>
      <c r="G172" s="215">
        <f>IF(AND(ISNUMBER(G188),ISNUMBER(G187)),IFERROR(G188/G187,""),"")</f>
        <v>0.3176</v>
      </c>
      <c r="H172" s="215">
        <f>IF(AND(ISNUMBER(H188),ISNUMBER(H187)),IFERROR(H188/H187,""),"")</f>
        <v>0.329145728643216</v>
      </c>
      <c r="I172" s="215">
        <f>IF(AND(ISNUMBER(I188),ISNUMBER(I187)),IFERROR(I188/I187,""),"")</f>
        <v>0.336</v>
      </c>
      <c r="J172" s="215">
        <f>IF(AND(ISNUMBER(J188),ISNUMBER(J187)),IFERROR(J188/J187,""),"")</f>
        <v>0.324923076923077</v>
      </c>
      <c r="K172" s="215">
        <f>IF(AND(ISNUMBER(K188),ISNUMBER(K187)),IFERROR(K188/K187,""),"")</f>
        <v>0.33252427184466</v>
      </c>
      <c r="L172" s="215">
        <f>IF(AND(ISNUMBER(L188),ISNUMBER(L187)),IFERROR(L188/L187,""),"")</f>
        <v>0.312035661218425</v>
      </c>
      <c r="M172" s="215">
        <f>IF(AND(ISNUMBER(M188),ISNUMBER(M187)),IFERROR(M188/M187,""),"")</f>
        <v>0.315914489311164</v>
      </c>
      <c r="N172" s="215">
        <f>IF(AND(ISNUMBER(N188),ISNUMBER(N187)),IFERROR(N188/N187,""),"")</f>
        <v>0.327131782945736</v>
      </c>
      <c r="O172" s="215">
        <f>IF(AND(ISNUMBER(O188),ISNUMBER(O187)),IFERROR(O188/O187,""),"")</f>
        <v>0.322114432785587</v>
      </c>
      <c r="P172" s="215">
        <f>IF(AND(ISNUMBER(P188),ISNUMBER(P187)),IFERROR(P188/P187,""),"")</f>
        <v>0.318931657501964</v>
      </c>
      <c r="Q172" s="215">
        <f>IF(AND(ISNUMBER(Q188),ISNUMBER(Q187)),IFERROR(Q188/Q187,""),"")</f>
        <v>0.302533532041729</v>
      </c>
      <c r="R172" s="215">
        <f>IF(AND(ISNUMBER(R188),ISNUMBER(R187)),IFERROR(R188/R187,""),"")</f>
        <v>0.307401812688822</v>
      </c>
      <c r="S172" s="215">
        <f>IF(AND(ISNUMBER(S188),ISNUMBER(S187)),IFERROR(S188/S187,""),"")</f>
        <v>0.330422125181951</v>
      </c>
      <c r="T172" s="215">
        <f>IF(AND(ISNUMBER(T188),ISNUMBER(T187)),IFERROR(T188/T187,""),"")</f>
        <v>0.314699792960663</v>
      </c>
      <c r="U172" s="215">
        <f>IF(AND(ISNUMBER(U188),ISNUMBER(U187)),IFERROR(U188/U187,""),"")</f>
        <v>0.340790454884415</v>
      </c>
      <c r="V172" s="215">
        <f>IF(AND(ISNUMBER(V188),ISNUMBER(V187)),IFERROR(V188/V187,""),"")</f>
        <v>0.316464237516869</v>
      </c>
      <c r="W172" s="215">
        <f>IF(AND(ISNUMBER(W188),ISNUMBER(W187)),IFERROR(W188/W187,""),"")</f>
        <v>0.304378040305768</v>
      </c>
      <c r="X172" s="215">
        <f>IF(AND(ISNUMBER(X188),ISNUMBER(X187)),IFERROR(X188/X187,""),"")</f>
        <v>0.290207290922087</v>
      </c>
      <c r="Y172" s="215">
        <f>IF(AND(ISNUMBER(Y188),ISNUMBER(Y187)),IFERROR(Y188/Y187,""),"")</f>
        <v>0.312488959547783</v>
      </c>
      <c r="Z172" s="215">
        <f>IF(AND(ISNUMBER(Z188),ISNUMBER(Z187)),IFERROR(Z188/Z187,""),"")</f>
        <v>0.282863041982106</v>
      </c>
      <c r="AA172" s="215">
        <f>IF(AND(ISNUMBER(AA188),ISNUMBER(AA187)),IFERROR(AA188/AA187,""),"")</f>
        <v>0.297548045062956</v>
      </c>
      <c r="AB172" s="215">
        <f>IF(AND(ISNUMBER(AB188),ISNUMBER(AB187)),IFERROR(AB188/AB187,""),"")</f>
        <v>0.278255122273629</v>
      </c>
      <c r="AC172" s="215">
        <f>IF(AND(ISNUMBER(AC188),ISNUMBER(AC187)),IFERROR(AC188/AC187,""),"")</f>
        <v>0.271239773442417</v>
      </c>
      <c r="AD172" s="215">
        <f>IF(AND(ISNUMBER(AD188),ISNUMBER(AD187)),IFERROR(AD188/AD187,""),"")</f>
        <v>0.282533399307274</v>
      </c>
      <c r="AE172" s="215">
        <f>IF(AND(ISNUMBER(AE188),ISNUMBER(AE187)),IFERROR(AE188/AE187,""),"")</f>
        <v>0.280153158902361</v>
      </c>
      <c r="AF172" s="215">
        <f>IF(AND(ISNUMBER(AF188),ISNUMBER(AF187)),IFERROR(AF188/AF187,""),"")</f>
        <v>0.277190801740211</v>
      </c>
      <c r="AG172" s="215">
        <f>IF(AND(ISNUMBER(AG188),ISNUMBER(AG187)),IFERROR(AG188/AG187,""),"")</f>
        <v>0.26261319534282</v>
      </c>
      <c r="AH172" s="215">
        <f>IF(AND(ISNUMBER(AH188),ISNUMBER(AH187)),IFERROR(AH188/AH187,""),"")</f>
        <v>0.267578125</v>
      </c>
      <c r="AI172" s="215">
        <f>IF(AND(ISNUMBER(AI188),ISNUMBER(AI187)),IFERROR(AI188/AI187,""),"")</f>
        <v>0.271812080536913</v>
      </c>
      <c r="AJ172" s="215">
        <f>IF(AND(ISNUMBER(AJ188),ISNUMBER(AJ187)),IFERROR(AJ188/AJ187,""),"")</f>
        <v>0.279439847231063</v>
      </c>
      <c r="AK172" s="215">
        <f>IF(AND(ISNUMBER(AK188),ISNUMBER(AK187)),IFERROR(AK188/AK187,""),"")</f>
        <v>0.265258215962441</v>
      </c>
      <c r="AL172" s="215">
        <f>IF(AND(ISNUMBER(AL188),ISNUMBER(AL187)),IFERROR(AL188/AL187,""),"")</f>
        <v>0.259325044404973</v>
      </c>
      <c r="AM172" s="215">
        <f>IF(AND(ISNUMBER(AM188),ISNUMBER(AM187)),IFERROR(AM188/AM187,""),"")</f>
        <v>0.267435158501441</v>
      </c>
      <c r="AN172" s="215">
        <f>IF(AND(ISNUMBER(AN188),ISNUMBER(AN187)),IFERROR(AN188/AN187,""),"")</f>
        <v>0.268846096432303</v>
      </c>
      <c r="AO172" s="215">
        <f>IF(AND(ISNUMBER(AO188),ISNUMBER(AO187)),IFERROR(AO188/AO187,""),"")</f>
        <v>0.291713325867861</v>
      </c>
      <c r="AP172" s="215">
        <f>IF(AND(ISNUMBER(AP188),ISNUMBER(AP187)),IFERROR(AP188/AP187,""),"")</f>
        <v>0.253731343283582</v>
      </c>
      <c r="AQ172" s="215">
        <f>IF(AND(ISNUMBER(AQ188),ISNUMBER(AQ187)),IFERROR(AQ188/AQ187,""),"")</f>
        <v>0.281148429035753</v>
      </c>
      <c r="AR172" s="215">
        <f>IF(AND(ISNUMBER(AR188),ISNUMBER(AR187)),IFERROR(AR188/AR187,""),"")</f>
        <v>0.299410819496519</v>
      </c>
      <c r="AS172" s="215">
        <f>IF(AND(ISNUMBER(AS188),ISNUMBER(AS187)),IFERROR(AS188/AS187,""),"")</f>
        <v>0.281107229239452</v>
      </c>
      <c r="AT172" s="215">
        <f>IF(AND(ISNUMBER(AT188),ISNUMBER(AT187)),IFERROR(AT188/AT187,""),"")</f>
        <v>0.26140873015873</v>
      </c>
      <c r="AU172" s="215">
        <f>IF(AND(ISNUMBER(AU188),ISNUMBER(AU187)),IFERROR(AU188/AU187,""),"")</f>
        <v>0.253086419753086</v>
      </c>
      <c r="AV172" s="215">
        <f>IF(AND(ISNUMBER(AV188),ISNUMBER(AV187)),IFERROR(AV188/AV187,""),"")</f>
        <v>0.26018207954001</v>
      </c>
      <c r="AW172" s="215">
        <f>IF(AND(ISNUMBER(AW188),ISNUMBER(AW187)),IFERROR(AW188/AW187,""),"")</f>
        <v>0.283524904214559</v>
      </c>
      <c r="AX172" s="215">
        <f>IF(AND(ISNUMBER(AX188),ISNUMBER(AX187)),IFERROR(AX188/AX187,""),"")</f>
        <v>0.264553453055321</v>
      </c>
      <c r="AY172" s="215">
        <f>IF(AND(ISNUMBER(AY188),ISNUMBER(AY187)),IFERROR(AY188/AY187,""),"")</f>
        <v>0.313520301381331</v>
      </c>
      <c r="AZ172" s="215">
        <f>IF(AND(ISNUMBER(AZ188),ISNUMBER(AZ187)),IFERROR(AZ188/AZ187,""),"")</f>
        <v>0.337788172402272</v>
      </c>
      <c r="BA172" s="215">
        <f>IF(AND(ISNUMBER(BA188),ISNUMBER(BA187)),IFERROR(BA188/BA187,""),"")</f>
        <v>0.34743096819294</v>
      </c>
      <c r="BB172" s="215">
        <f>IF(AND(ISNUMBER(BB188),ISNUMBER(BB187)),IFERROR(BB188/BB187,""),"")</f>
        <v>0.344569288389513</v>
      </c>
      <c r="BC172" s="215">
        <f>IF(AND(ISNUMBER(BC188),ISNUMBER(BC187)),IFERROR(BC188/BC187,""),"")</f>
        <v>0.336821393435292</v>
      </c>
      <c r="BD172" s="215">
        <f>IF(AND(ISNUMBER(BD188),ISNUMBER(BD187)),IFERROR(BD188/BD187,""),"")</f>
        <v>0.344303797468354</v>
      </c>
      <c r="BE172" s="215">
        <f>IF(AND(ISNUMBER(BE188),ISNUMBER(BE187)),IFERROR(BE188/BE187,""),"")</f>
        <v>0.330861012576588</v>
      </c>
      <c r="BF172" s="215">
        <f>IF(AND(ISNUMBER(BF188),ISNUMBER(BF187)),IFERROR(BF188/BF187,""),"")</f>
        <v>0.322632944228275</v>
      </c>
      <c r="BG172" s="215">
        <f>IF(AND(ISNUMBER(BG188),ISNUMBER(BG187)),IFERROR(BG188/BG187,""),"")</f>
        <v>0.32741116751269</v>
      </c>
      <c r="BH172" s="215">
        <f>IF(AND(ISNUMBER(BH188),ISNUMBER(BH187)),IFERROR(BH188/BH187,""),"")</f>
        <v>0.331359526286309</v>
      </c>
      <c r="BI172" s="215">
        <f>IF(AND(ISNUMBER(BI188),ISNUMBER(BI187)),IFERROR(BI188/BI187,""),"")</f>
        <v>0.320824978516184</v>
      </c>
      <c r="BJ172" s="215">
        <f>IF(AND(ISNUMBER(BJ188),ISNUMBER(BJ187)),IFERROR(BJ188/BJ187,""),"")</f>
        <v>0.305719921104537</v>
      </c>
      <c r="BK172" s="215">
        <f>IF(AND(ISNUMBER(BK188),ISNUMBER(BK187)),IFERROR(BK188/BK187,""),"")</f>
        <v>0.29986013986014</v>
      </c>
      <c r="BL172" s="215">
        <f>IF(AND(ISNUMBER(BL188),ISNUMBER(BL187)),IFERROR(BL188/BL187,""),"")</f>
        <v>0.301781737193764</v>
      </c>
      <c r="BM172" s="215">
        <f>IF(AND(ISNUMBER(BM188),ISNUMBER(BM187)),IFERROR(BM188/BM187,""),"")</f>
        <v>0.306939752252252</v>
      </c>
      <c r="BN172" s="215">
        <f>IF(AND(ISNUMBER(BN188),ISNUMBER(BN187)),IFERROR(BN188/BN187,""),"")</f>
        <v>0.329460828120346</v>
      </c>
      <c r="BO172" s="215">
        <f>IF(AND(ISNUMBER(BO188),ISNUMBER(BO187)),IFERROR(BO188/BO187,""),"")</f>
        <v>0.272836900813989</v>
      </c>
      <c r="BP172" s="215">
        <f>IF(AND(ISNUMBER(BP188),ISNUMBER(BP187)),IFERROR(BP188/BP187,""),"")</f>
        <v>0.286378158582631</v>
      </c>
      <c r="BQ172" s="215">
        <f>IF(AND(ISNUMBER(BQ188),ISNUMBER(BQ187)),IFERROR(BQ188/BQ187,""),"")</f>
        <v>0.303283410138249</v>
      </c>
      <c r="BR172" s="215">
        <f>IF(AND(ISNUMBER(BR188),ISNUMBER(BR187)),IFERROR(BR188/BR187,""),"")</f>
        <v>0.298035175509603</v>
      </c>
      <c r="BS172" s="215">
        <f>IF(AND(ISNUMBER(BS188),ISNUMBER(BS187)),IFERROR(BS188/BS187,""),"")</f>
        <v>0.295668549905838</v>
      </c>
      <c r="BT172" s="215">
        <f>IF(AND(ISNUMBER(BT188),ISNUMBER(BT187)),IFERROR(BT188/BT187,""),"")</f>
        <v>0.278955954323002</v>
      </c>
      <c r="BU172" s="256">
        <f>BP172+IFERROR(SUM(BS188:BT188)/SUM(BS187:BT187)-SUM(BN188:BO188)/SUM(BN187:BO187),0)</f>
        <v>0.272415930826267</v>
      </c>
      <c r="BV172" s="256">
        <f>BQ172+IFERROR(SUM(BS188:BT188)/SUM(BS187:BT187)-SUM(BN188:BO188)/SUM(BN187:BO187),0)</f>
        <v>0.289321182381884</v>
      </c>
      <c r="BW172" s="256">
        <f>IF(AND(ISNUMBER(BW188),ISNUMBER(BW187)),IFERROR(BW188/BW187,""),"")</f>
        <v>0.284184497857881</v>
      </c>
      <c r="BX172" s="264" t="n">
        <v>0.285</v>
      </c>
      <c r="BY172" s="264" t="n">
        <v>0.285</v>
      </c>
      <c r="BZ172" s="264" t="n">
        <v>0.285</v>
      </c>
      <c r="CA172" s="264" t="n">
        <v>0.285</v>
      </c>
      <c r="CB172" s="264" t="n">
        <v>0.285</v>
      </c>
      <c r="CC172" s="153" t="inlineStr">
        <is>
          <t>Q3–Q4/26E: prior-year quarter ratio + 1H-26 y/y drift; 2027E+ input. Selling &amp; general expenses are implied (OP from the adjusted build).</t>
        </is>
      </c>
      <c r="CE172" s="37">
        <f>IFERROR(AVERAGE(BX172,BY172,BZ172,CA172,CB172),"n/m")</f>
        <v>0.285</v>
      </c>
      <c r="CF172" s="37">
        <f>IFERROR(AVERAGE(AX172,BC172,BH172,BM172,BR172),"n/m")</f>
        <v>0.307541860107755</v>
      </c>
      <c r="CG172" s="37">
        <f>IFERROR(AVERAGE(Y172,AD172,AI172,AN172,AS172,AX172,BC172,BH172,BM172,BR172),"n/m")</f>
        <v>0.29544970656025</v>
      </c>
      <c r="CH172" s="37">
        <f>IFERROR(AVERAGE(C172,D172,E172,J172,O172,T172,Y172,AD172,AI172,AN172,AS172,AX172,BC172,BH172,BM172,BR172),"n/m")</f>
        <v>0.307986408892585</v>
      </c>
    </row>
    <row r="173" ht="15" customHeight="1" s="251">
      <c r="B173" s="25" t="inlineStr">
        <is>
          <t xml:space="preserve">  Stock-based compensation (cash-flow statement)</t>
        </is>
      </c>
      <c r="C173" s="34" t="n"/>
      <c r="D173" s="34" t="n"/>
      <c r="E173" s="253" t="n">
        <v>93</v>
      </c>
      <c r="F173" s="253" t="n">
        <v>21</v>
      </c>
      <c r="G173" s="253" t="n">
        <v>26</v>
      </c>
      <c r="H173" s="253" t="n">
        <v>26</v>
      </c>
      <c r="I173" s="253" t="n">
        <v>26</v>
      </c>
      <c r="J173" s="253" t="n">
        <v>99</v>
      </c>
      <c r="K173" s="253" t="n">
        <v>18</v>
      </c>
      <c r="L173" s="253" t="n">
        <v>30</v>
      </c>
      <c r="M173" s="253" t="n">
        <v>24</v>
      </c>
      <c r="N173" s="253" t="n">
        <v>28</v>
      </c>
      <c r="O173" s="253" t="n">
        <v>100</v>
      </c>
      <c r="P173" s="253" t="n">
        <v>18</v>
      </c>
      <c r="Q173" s="253" t="n">
        <v>19</v>
      </c>
      <c r="R173" s="253" t="n">
        <v>18</v>
      </c>
      <c r="S173" s="253" t="n">
        <v>23</v>
      </c>
      <c r="T173" s="253" t="n">
        <v>78</v>
      </c>
      <c r="U173" s="253" t="n">
        <v>14</v>
      </c>
      <c r="V173" s="253" t="n">
        <v>20</v>
      </c>
      <c r="W173" s="253" t="n">
        <v>20</v>
      </c>
      <c r="X173" s="253" t="n">
        <v>22</v>
      </c>
      <c r="Y173" s="253" t="n">
        <v>76</v>
      </c>
      <c r="Z173" s="253" t="n">
        <v>19</v>
      </c>
      <c r="AA173" s="253" t="n">
        <v>22</v>
      </c>
      <c r="AB173" s="253" t="n">
        <v>24</v>
      </c>
      <c r="AC173" s="253" t="n">
        <v>34</v>
      </c>
      <c r="AD173" s="253" t="n">
        <v>99</v>
      </c>
      <c r="AE173" s="253" t="n">
        <v>13</v>
      </c>
      <c r="AF173" s="253" t="n">
        <v>33</v>
      </c>
      <c r="AG173" s="253" t="n">
        <v>27</v>
      </c>
      <c r="AH173" s="253" t="n">
        <v>21</v>
      </c>
      <c r="AI173" s="253" t="n">
        <v>94</v>
      </c>
      <c r="AJ173" s="253" t="n">
        <v>12</v>
      </c>
      <c r="AK173" s="253" t="n">
        <v>21</v>
      </c>
      <c r="AL173" s="253" t="n">
        <v>20</v>
      </c>
      <c r="AM173" s="253" t="n">
        <v>25</v>
      </c>
      <c r="AN173" s="253" t="n">
        <v>78</v>
      </c>
      <c r="AO173" s="253" t="n">
        <v>11</v>
      </c>
      <c r="AP173" s="253" t="n">
        <v>11</v>
      </c>
      <c r="AQ173" s="253" t="n">
        <v>38</v>
      </c>
      <c r="AR173" s="253" t="n">
        <v>30</v>
      </c>
      <c r="AS173" s="253" t="n">
        <v>90</v>
      </c>
      <c r="AT173" s="253" t="n">
        <v>19</v>
      </c>
      <c r="AU173" s="253" t="n">
        <v>31</v>
      </c>
      <c r="AV173" s="253" t="n">
        <v>40</v>
      </c>
      <c r="AW173" s="253" t="n">
        <v>32</v>
      </c>
      <c r="AX173" s="253" t="n">
        <v>122</v>
      </c>
      <c r="AY173" s="253" t="n">
        <v>94</v>
      </c>
      <c r="AZ173" s="253" t="n">
        <v>49</v>
      </c>
      <c r="BA173" s="253" t="n">
        <v>17</v>
      </c>
      <c r="BB173" s="253" t="n">
        <v>54</v>
      </c>
      <c r="BC173" s="253" t="n">
        <v>214</v>
      </c>
      <c r="BD173" s="253" t="n">
        <v>46</v>
      </c>
      <c r="BE173" s="253" t="n">
        <v>51</v>
      </c>
      <c r="BF173" s="253" t="n">
        <v>46</v>
      </c>
      <c r="BG173" s="253" t="n">
        <v>28</v>
      </c>
      <c r="BH173" s="253" t="n">
        <v>171</v>
      </c>
      <c r="BI173" s="253" t="n">
        <v>33</v>
      </c>
      <c r="BJ173" s="253" t="n">
        <v>49</v>
      </c>
      <c r="BK173" s="253" t="n">
        <v>95</v>
      </c>
      <c r="BL173" s="253" t="n">
        <v>70</v>
      </c>
      <c r="BM173" s="253" t="n">
        <v>247</v>
      </c>
      <c r="BN173" s="253" t="n">
        <v>47</v>
      </c>
      <c r="BO173" s="253" t="n">
        <v>45</v>
      </c>
      <c r="BP173" s="253" t="n">
        <v>75</v>
      </c>
      <c r="BQ173" s="253" t="n">
        <v>69</v>
      </c>
      <c r="BR173" s="253" t="n">
        <v>236</v>
      </c>
      <c r="BS173" s="253" t="n">
        <v>39</v>
      </c>
      <c r="BT173" s="253" t="n">
        <v>56</v>
      </c>
      <c r="BU173" s="254">
        <f>BP173*(1+IFERROR(SUM(BS173:BT173)/SUM(BN173:BO173)-1,0))</f>
        <v>77.445652173913</v>
      </c>
      <c r="BV173" s="254">
        <f>BQ173*(1+IFERROR(SUM(BS173:BT173)/SUM(BN173:BO173)-1,0))</f>
        <v>71.25</v>
      </c>
      <c r="BW173" s="254">
        <f>SUM(BS173:BV173)</f>
        <v>243.695652173913</v>
      </c>
      <c r="BX173" s="254">
        <f>BX187*BX174</f>
        <v>185.114436688197</v>
      </c>
      <c r="BY173" s="254">
        <f>BY187*BY174</f>
        <v>198.201398415993</v>
      </c>
      <c r="BZ173" s="254">
        <f>BZ187*BZ174</f>
        <v>211.810115292782</v>
      </c>
      <c r="CA173" s="254">
        <f>CA187*CA174</f>
        <v>225.711706354907</v>
      </c>
      <c r="CB173" s="254">
        <f>CB187*CB174</f>
        <v>240.504029466848</v>
      </c>
      <c r="CC173" s="19" t="inlineStr">
        <is>
          <t>Q3–Q4/26E: prior-year quarter × 1H y/y; 2027E+: % of revenue. S&amp;P Global does not adjust out stock-based compensation. 2025–1H26 as reported (incl. Mobility).</t>
        </is>
      </c>
    </row>
    <row r="174" ht="15" customHeight="1" s="251">
      <c r="B174" s="25" t="inlineStr">
        <is>
          <t xml:space="preserve">  Stock-based compensation % of revenue</t>
        </is>
      </c>
      <c r="C174" s="215">
        <f>IF(AND(ISNUMBER(C173),ISNUMBER(C187)),IFERROR(C173/C187,""),"")</f>
      </c>
      <c r="D174" s="215">
        <f>IF(AND(ISNUMBER(D173),ISNUMBER(D187)),IFERROR(D173/D187,""),"")</f>
      </c>
      <c r="E174" s="215">
        <f>IF(AND(ISNUMBER(E173),ISNUMBER(E187)),IFERROR(E173/E187,""),"")</f>
        <v>0.0208988764044944</v>
      </c>
      <c r="F174" s="215">
        <f>IF(AND(ISNUMBER(F173),ISNUMBER(F187)),IFERROR(F173/F187,""),"")</f>
        <v>0.0177815410668925</v>
      </c>
      <c r="G174" s="215">
        <f>IF(AND(ISNUMBER(G173),ISNUMBER(G187)),IFERROR(G173/G187,""),"")</f>
        <v>0.0208</v>
      </c>
      <c r="H174" s="215">
        <f>IF(AND(ISNUMBER(H173),ISNUMBER(H187)),IFERROR(H173/H187,""),"")</f>
        <v>0.0217755443886097</v>
      </c>
      <c r="I174" s="215">
        <f>IF(AND(ISNUMBER(I173),ISNUMBER(I187)),IFERROR(I173/I187,""),"")</f>
        <v>0.0208</v>
      </c>
      <c r="J174" s="215">
        <f>IF(AND(ISNUMBER(J173),ISNUMBER(J187)),IFERROR(J173/J187,""),"")</f>
        <v>0.0203076923076923</v>
      </c>
      <c r="K174" s="215">
        <f>IF(AND(ISNUMBER(K173),ISNUMBER(K187)),IFERROR(K173/K187,""),"")</f>
        <v>0.0145631067961165</v>
      </c>
      <c r="L174" s="215">
        <f>IF(AND(ISNUMBER(L173),ISNUMBER(L187)),IFERROR(L173/L187,""),"")</f>
        <v>0.0222882615156018</v>
      </c>
      <c r="M174" s="215">
        <f>IF(AND(ISNUMBER(M173),ISNUMBER(M187)),IFERROR(M173/M187,""),"")</f>
        <v>0.0190023752969121</v>
      </c>
      <c r="N174" s="215">
        <f>IF(AND(ISNUMBER(N173),ISNUMBER(N187)),IFERROR(N173/N187,""),"")</f>
        <v>0.0217054263565891</v>
      </c>
      <c r="O174" s="215">
        <f>IF(AND(ISNUMBER(O173),ISNUMBER(O187)),IFERROR(O173/O187,""),"")</f>
        <v>0.0197980597901406</v>
      </c>
      <c r="P174" s="215">
        <f>IF(AND(ISNUMBER(P173),ISNUMBER(P187)),IFERROR(P173/P187,""),"")</f>
        <v>0.01413982717989</v>
      </c>
      <c r="Q174" s="215">
        <f>IF(AND(ISNUMBER(Q173),ISNUMBER(Q187)),IFERROR(Q173/Q187,""),"")</f>
        <v>0.0141579731743666</v>
      </c>
      <c r="R174" s="215">
        <f>IF(AND(ISNUMBER(R173),ISNUMBER(R187)),IFERROR(R173/R187,""),"")</f>
        <v>0.013595166163142</v>
      </c>
      <c r="S174" s="215">
        <f>IF(AND(ISNUMBER(S173),ISNUMBER(S187)),IFERROR(S173/S187,""),"")</f>
        <v>0.0167394468704512</v>
      </c>
      <c r="T174" s="215">
        <f>IF(AND(ISNUMBER(T173),ISNUMBER(T187)),IFERROR(T173/T187,""),"")</f>
        <v>0.0146809712027103</v>
      </c>
      <c r="U174" s="215">
        <f>IF(AND(ISNUMBER(U173),ISNUMBER(U187)),IFERROR(U173/U187,""),"")</f>
        <v>0.0104399701715138</v>
      </c>
      <c r="V174" s="215">
        <f>IF(AND(ISNUMBER(V173),ISNUMBER(V187)),IFERROR(V173/V187,""),"")</f>
        <v>0.0134952766531714</v>
      </c>
      <c r="W174" s="215">
        <f>IF(AND(ISNUMBER(W173),ISNUMBER(W187)),IFERROR(W173/W187,""),"")</f>
        <v>0.0138985406532314</v>
      </c>
      <c r="X174" s="215">
        <f>IF(AND(ISNUMBER(X173),ISNUMBER(X187)),IFERROR(X173/X187,""),"")</f>
        <v>0.0157255182273052</v>
      </c>
      <c r="Y174" s="215">
        <f>IF(AND(ISNUMBER(Y173),ISNUMBER(Y187)),IFERROR(Y173/Y187,""),"")</f>
        <v>0.0134251898957781</v>
      </c>
      <c r="Z174" s="215">
        <f>IF(AND(ISNUMBER(Z173),ISNUMBER(Z187)),IFERROR(Z173/Z187,""),"")</f>
        <v>0.0130763936682725</v>
      </c>
      <c r="AA174" s="215">
        <f>IF(AND(ISNUMBER(AA173),ISNUMBER(AA187)),IFERROR(AA173/AA187,""),"")</f>
        <v>0.0145791915175613</v>
      </c>
      <c r="AB174" s="215">
        <f>IF(AND(ISNUMBER(AB173),ISNUMBER(AB187)),IFERROR(AB173/AB187,""),"")</f>
        <v>0.015862524785195</v>
      </c>
      <c r="AC174" s="215">
        <f>IF(AND(ISNUMBER(AC173),ISNUMBER(AC187)),IFERROR(AC173/AC187,""),"")</f>
        <v>0.0213971050975456</v>
      </c>
      <c r="AD174" s="215">
        <f>IF(AND(ISNUMBER(AD173),ISNUMBER(AD187)),IFERROR(AD173/AD187,""),"")</f>
        <v>0.0163285502226621</v>
      </c>
      <c r="AE174" s="215">
        <f>IF(AND(ISNUMBER(AE173),ISNUMBER(AE187)),IFERROR(AE173/AE187,""),"")</f>
        <v>0.00829610721123165</v>
      </c>
      <c r="AF174" s="215">
        <f>IF(AND(ISNUMBER(AF173),ISNUMBER(AF187)),IFERROR(AF173/AF187,""),"")</f>
        <v>0.0205096333126165</v>
      </c>
      <c r="AG174" s="215">
        <f>IF(AND(ISNUMBER(AG173),ISNUMBER(AG187)),IFERROR(AG173/AG187,""),"")</f>
        <v>0.0174644243208279</v>
      </c>
      <c r="AH174" s="215">
        <f>IF(AND(ISNUMBER(AH173),ISNUMBER(AH187)),IFERROR(AH173/AH187,""),"")</f>
        <v>0.013671875</v>
      </c>
      <c r="AI174" s="215">
        <f>IF(AND(ISNUMBER(AI173),ISNUMBER(AI187)),IFERROR(AI173/AI187,""),"")</f>
        <v>0.0150207734100352</v>
      </c>
      <c r="AJ174" s="215">
        <f>IF(AND(ISNUMBER(AJ173),ISNUMBER(AJ187)),IFERROR(AJ173/AJ187,""),"")</f>
        <v>0.00763844684914067</v>
      </c>
      <c r="AK174" s="215">
        <f>IF(AND(ISNUMBER(AK173),ISNUMBER(AK187)),IFERROR(AK173/AK187,""),"")</f>
        <v>0.0123239436619718</v>
      </c>
      <c r="AL174" s="215">
        <f>IF(AND(ISNUMBER(AL173),ISNUMBER(AL187)),IFERROR(AL173/AL187,""),"")</f>
        <v>0.0118413262285376</v>
      </c>
      <c r="AM174" s="215">
        <f>IF(AND(ISNUMBER(AM173),ISNUMBER(AM187)),IFERROR(AM173/AM187,""),"")</f>
        <v>0.0144092219020173</v>
      </c>
      <c r="AN174" s="215">
        <f>IF(AND(ISNUMBER(AN173),ISNUMBER(AN187)),IFERROR(AN173/AN187,""),"")</f>
        <v>0.0116435288849082</v>
      </c>
      <c r="AO174" s="215">
        <f>IF(AND(ISNUMBER(AO173),ISNUMBER(AO187)),IFERROR(AO173/AO187,""),"")</f>
        <v>0.00615901455767077</v>
      </c>
      <c r="AP174" s="215">
        <f>IF(AND(ISNUMBER(AP173),ISNUMBER(AP187)),IFERROR(AP173/AP187,""),"")</f>
        <v>0.00566134843026248</v>
      </c>
      <c r="AQ174" s="215">
        <f>IF(AND(ISNUMBER(AQ173),ISNUMBER(AQ187)),IFERROR(AQ173/AQ187,""),"")</f>
        <v>0.0205850487540628</v>
      </c>
      <c r="AR174" s="215">
        <f>IF(AND(ISNUMBER(AR173),ISNUMBER(AR187)),IFERROR(AR173/AR187,""),"")</f>
        <v>0.0160685591858597</v>
      </c>
      <c r="AS174" s="215">
        <f>IF(AND(ISNUMBER(AS173),ISNUMBER(AS187)),IFERROR(AS173/AS187,""),"")</f>
        <v>0.0120935232464391</v>
      </c>
      <c r="AT174" s="215">
        <f>IF(AND(ISNUMBER(AT173),ISNUMBER(AT187)),IFERROR(AT173/AT187,""),"")</f>
        <v>0.00942460317460317</v>
      </c>
      <c r="AU174" s="215">
        <f>IF(AND(ISNUMBER(AU173),ISNUMBER(AU187)),IFERROR(AU173/AU187,""),"")</f>
        <v>0.0147198480531814</v>
      </c>
      <c r="AV174" s="215">
        <f>IF(AND(ISNUMBER(AV173),ISNUMBER(AV187)),IFERROR(AV173/AV187,""),"")</f>
        <v>0.0191662673694298</v>
      </c>
      <c r="AW174" s="215">
        <f>IF(AND(ISNUMBER(AW173),ISNUMBER(AW187)),IFERROR(AW173/AW187,""),"")</f>
        <v>0.0153256704980843</v>
      </c>
      <c r="AX174" s="215">
        <f>IF(AND(ISNUMBER(AX173),ISNUMBER(AX187)),IFERROR(AX173/AX187,""),"")</f>
        <v>0.0147041099192479</v>
      </c>
      <c r="AY174" s="215">
        <f>IF(AND(ISNUMBER(AY173),ISNUMBER(AY187)),IFERROR(AY173/AY187,""),"")</f>
        <v>0.0393470071159481</v>
      </c>
      <c r="AZ174" s="215">
        <f>IF(AND(ISNUMBER(AZ173),ISNUMBER(AZ187)),IFERROR(AZ173/AZ187,""),"")</f>
        <v>0.0163715335783495</v>
      </c>
      <c r="BA174" s="215">
        <f>IF(AND(ISNUMBER(BA173),ISNUMBER(BA187)),IFERROR(BA173/BA187,""),"")</f>
        <v>0.00594197832925551</v>
      </c>
      <c r="BB174" s="215">
        <f>IF(AND(ISNUMBER(BB173),ISNUMBER(BB187)),IFERROR(BB173/BB187,""),"")</f>
        <v>0.0183861082737487</v>
      </c>
      <c r="BC174" s="215">
        <f>IF(AND(ISNUMBER(BC173),ISNUMBER(BC187)),IFERROR(BC173/BC187,""),"")</f>
        <v>0.0191396118415169</v>
      </c>
      <c r="BD174" s="215">
        <f>IF(AND(ISNUMBER(BD173),ISNUMBER(BD187)),IFERROR(BD173/BD187,""),"")</f>
        <v>0.0145569620253165</v>
      </c>
      <c r="BE174" s="215">
        <f>IF(AND(ISNUMBER(BE173),ISNUMBER(BE187)),IFERROR(BE173/BE187,""),"")</f>
        <v>0.0164463076426959</v>
      </c>
      <c r="BF174" s="215">
        <f>IF(AND(ISNUMBER(BF173),ISNUMBER(BF187)),IFERROR(BF173/BF187,""),"")</f>
        <v>0.0149156939040208</v>
      </c>
      <c r="BG174" s="215">
        <f>IF(AND(ISNUMBER(BG173),ISNUMBER(BG187)),IFERROR(BG173/BG187,""),"")</f>
        <v>0.00888324873096447</v>
      </c>
      <c r="BH174" s="215">
        <f>IF(AND(ISNUMBER(BH173),ISNUMBER(BH187)),IFERROR(BH173/BH187,""),"")</f>
        <v>0.0136832839881572</v>
      </c>
      <c r="BI174" s="215">
        <f>IF(AND(ISNUMBER(BI173),ISNUMBER(BI187)),IFERROR(BI173/BI187,""),"")</f>
        <v>0.00945287883128044</v>
      </c>
      <c r="BJ174" s="215">
        <f>IF(AND(ISNUMBER(BJ173),ISNUMBER(BJ187)),IFERROR(BJ173/BJ187,""),"")</f>
        <v>0.0138067061143984</v>
      </c>
      <c r="BK174" s="215">
        <f>IF(AND(ISNUMBER(BK173),ISNUMBER(BK187)),IFERROR(BK173/BK187,""),"")</f>
        <v>0.0265734265734266</v>
      </c>
      <c r="BL174" s="215">
        <f>IF(AND(ISNUMBER(BL173),ISNUMBER(BL187)),IFERROR(BL173/BL187,""),"")</f>
        <v>0.0194877505567929</v>
      </c>
      <c r="BM174" s="215">
        <f>IF(AND(ISNUMBER(BM173),ISNUMBER(BM187)),IFERROR(BM173/BM187,""),"")</f>
        <v>0.0173845720720721</v>
      </c>
      <c r="BN174" s="215">
        <f>IF(AND(ISNUMBER(BN173),ISNUMBER(BN187)),IFERROR(BN173/BN187,""),"")</f>
        <v>0.0140005957700328</v>
      </c>
      <c r="BO174" s="215">
        <f>IF(AND(ISNUMBER(BO173),ISNUMBER(BO187)),IFERROR(BO173/BO187,""),"")</f>
        <v>0.0135664757310823</v>
      </c>
      <c r="BP174" s="215">
        <f>IF(AND(ISNUMBER(BP173),ISNUMBER(BP187)),IFERROR(BP173/BP187,""),"")</f>
        <v>0.0217833284925937</v>
      </c>
      <c r="BQ174" s="215">
        <f>IF(AND(ISNUMBER(BQ173),ISNUMBER(BQ187)),IFERROR(BQ173/BQ187,""),"")</f>
        <v>0.0198732718894009</v>
      </c>
      <c r="BR174" s="215">
        <f>IF(AND(ISNUMBER(BR173),ISNUMBER(BR187)),IFERROR(BR173/BR187,""),"")</f>
        <v>0.017366988005004</v>
      </c>
      <c r="BS174" s="215">
        <f>IF(AND(ISNUMBER(BS173),ISNUMBER(BS187)),IFERROR(BS173/BS187,""),"")</f>
        <v>0.0104923325262308</v>
      </c>
      <c r="BT174" s="215">
        <f>IF(AND(ISNUMBER(BT173),ISNUMBER(BT187)),IFERROR(BT173/BT187,""),"")</f>
        <v>0.0152256661228929</v>
      </c>
      <c r="BU174" s="256">
        <f>IF(AND(ISNUMBER(BU173),ISNUMBER(BU187)),IFERROR(BU173/BU187,""),"")</f>
        <v>0.0217884526408291</v>
      </c>
      <c r="BV174" s="256">
        <f>IF(AND(ISNUMBER(BV173),ISNUMBER(BV187)),IFERROR(BV173/BV187,""),"")</f>
        <v>0.0199177828594337</v>
      </c>
      <c r="BW174" s="256">
        <f>IF(AND(ISNUMBER(BW173),ISNUMBER(BW187)),IFERROR(BW173/BW187,""),"")</f>
        <v>0.0167757743978056</v>
      </c>
      <c r="BX174" s="264" t="n">
        <v>0.012</v>
      </c>
      <c r="BY174" s="264" t="n">
        <v>0.012</v>
      </c>
      <c r="BZ174" s="264" t="n">
        <v>0.012</v>
      </c>
      <c r="CA174" s="264" t="n">
        <v>0.012</v>
      </c>
      <c r="CB174" s="264" t="n">
        <v>0.012</v>
      </c>
      <c r="CC174" s="153" t="n"/>
      <c r="CE174" s="37">
        <f>IFERROR(AVERAGE(BX174,BY174,BZ174,CA174,CB174),"n/m")</f>
        <v>0.012</v>
      </c>
      <c r="CF174" s="37">
        <f>IFERROR(AVERAGE(AX174,BC174,BH174,BM174,BR174),"n/m")</f>
        <v>0.0164557131651996</v>
      </c>
      <c r="CG174" s="37">
        <f>IFERROR(AVERAGE(Y174,AD174,AI174,AN174,AS174,AX174,BC174,BH174,BM174,BR174),"n/m")</f>
        <v>0.0150790131485821</v>
      </c>
      <c r="CH174" s="37">
        <f>IFERROR(AVERAGE(C174,D174,E174,J174,O174,T174,Y174,AD174,AI174,AN174,AS174,AX174,BC174,BH174,BM174,BR174),"n/m")</f>
        <v>0.0161768379422042</v>
      </c>
    </row>
    <row r="175" ht="15" customHeight="1" s="251">
      <c r="B175" s="25" t="inlineStr">
        <is>
          <t xml:space="preserve">  Non-GAAP adjustments in operating profit (pre-tax, added back by the company; forecast inputs):</t>
        </is>
      </c>
      <c r="CC175" s="153" t="n"/>
    </row>
    <row r="176" ht="15" customHeight="1" s="251">
      <c r="B176" s="25" t="inlineStr">
        <is>
          <t xml:space="preserve">  Employee severance, restructuring &amp; leadership-transition costs</t>
        </is>
      </c>
      <c r="C176" s="253" t="n">
        <v>0</v>
      </c>
      <c r="D176" s="253" t="n">
        <v>32</v>
      </c>
      <c r="E176" s="253" t="n">
        <v>48</v>
      </c>
      <c r="F176" s="253" t="n">
        <v>0</v>
      </c>
      <c r="G176" s="253" t="n">
        <v>0</v>
      </c>
      <c r="H176" s="253" t="n">
        <v>0</v>
      </c>
      <c r="I176" s="253" t="n">
        <v>28</v>
      </c>
      <c r="J176" s="253" t="n">
        <v>2</v>
      </c>
      <c r="K176" s="253" t="n">
        <v>0</v>
      </c>
      <c r="L176" s="253" t="n">
        <v>0</v>
      </c>
      <c r="M176" s="253" t="n">
        <v>46</v>
      </c>
      <c r="N176" s="253" t="n">
        <v>41</v>
      </c>
      <c r="O176" s="253" t="n">
        <v>86</v>
      </c>
      <c r="P176" s="253" t="n">
        <v>0</v>
      </c>
      <c r="Q176" s="253" t="n">
        <v>13</v>
      </c>
      <c r="R176" s="253" t="n">
        <v>0</v>
      </c>
      <c r="S176" s="253" t="n">
        <v>34</v>
      </c>
      <c r="T176" s="253" t="n">
        <v>46</v>
      </c>
      <c r="U176" s="253" t="n">
        <v>0</v>
      </c>
      <c r="V176" s="253" t="n">
        <v>6</v>
      </c>
      <c r="W176" s="253" t="n">
        <v>0</v>
      </c>
      <c r="X176" s="253" t="n">
        <v>0</v>
      </c>
      <c r="Y176" s="253" t="n">
        <v>6</v>
      </c>
      <c r="Z176" s="253" t="n">
        <v>0</v>
      </c>
      <c r="AA176" s="253" t="n">
        <v>5</v>
      </c>
      <c r="AB176" s="253" t="n">
        <v>19</v>
      </c>
      <c r="AC176" s="253" t="n">
        <v>18</v>
      </c>
      <c r="AD176" s="253" t="n">
        <v>44</v>
      </c>
      <c r="AE176" s="253" t="n">
        <v>0</v>
      </c>
      <c r="AF176" s="253" t="n">
        <v>0</v>
      </c>
      <c r="AG176" s="253" t="n">
        <v>9</v>
      </c>
      <c r="AH176" s="253" t="n">
        <v>16</v>
      </c>
      <c r="AI176" s="253" t="n">
        <v>25</v>
      </c>
      <c r="AJ176" s="253" t="n">
        <v>0</v>
      </c>
      <c r="AK176" s="253" t="n">
        <v>20</v>
      </c>
      <c r="AL176" s="253" t="n">
        <v>0</v>
      </c>
      <c r="AM176" s="253" t="n">
        <v>5</v>
      </c>
      <c r="AN176" s="253" t="n">
        <v>25</v>
      </c>
      <c r="AO176" s="253" t="n">
        <v>9</v>
      </c>
      <c r="AP176" s="253" t="n">
        <v>3</v>
      </c>
      <c r="AQ176" s="253" t="n">
        <v>0</v>
      </c>
      <c r="AR176" s="253" t="n">
        <v>55</v>
      </c>
      <c r="AS176" s="253" t="n">
        <v>66</v>
      </c>
      <c r="AT176" s="253" t="n">
        <v>0</v>
      </c>
      <c r="AU176" s="253" t="n">
        <v>0</v>
      </c>
      <c r="AV176" s="253" t="n">
        <v>0</v>
      </c>
      <c r="AW176" s="253" t="n">
        <v>19</v>
      </c>
      <c r="AX176" s="253" t="n">
        <v>19</v>
      </c>
      <c r="AY176" s="253" t="n">
        <v>79</v>
      </c>
      <c r="AZ176" s="253" t="n">
        <v>60</v>
      </c>
      <c r="BA176" s="253" t="n">
        <v>56</v>
      </c>
      <c r="BB176" s="253" t="n">
        <v>95</v>
      </c>
      <c r="BC176" s="253" t="n">
        <v>290</v>
      </c>
      <c r="BD176" s="253" t="n">
        <v>11</v>
      </c>
      <c r="BE176" s="253" t="n">
        <v>51</v>
      </c>
      <c r="BF176" s="253" t="n">
        <v>38</v>
      </c>
      <c r="BG176" s="253" t="n">
        <v>83</v>
      </c>
      <c r="BH176" s="253" t="n">
        <v>183</v>
      </c>
      <c r="BI176" s="253" t="n">
        <v>36</v>
      </c>
      <c r="BJ176" s="253" t="n">
        <v>10</v>
      </c>
      <c r="BK176" s="253" t="n">
        <v>4</v>
      </c>
      <c r="BL176" s="253" t="n">
        <v>84</v>
      </c>
      <c r="BM176" s="253" t="n">
        <v>135</v>
      </c>
      <c r="BN176" s="253" t="n">
        <v>44</v>
      </c>
      <c r="BO176" s="253" t="n">
        <v>48</v>
      </c>
      <c r="BP176" s="253" t="n">
        <v>27</v>
      </c>
      <c r="BQ176" s="253" t="n">
        <v>67</v>
      </c>
      <c r="BR176" s="253" t="n">
        <v>189</v>
      </c>
      <c r="BS176" s="253" t="n">
        <v>1</v>
      </c>
      <c r="BT176" s="253" t="n">
        <v>44</v>
      </c>
      <c r="BU176" s="254">
        <f>$CM$26</f>
        <v>15</v>
      </c>
      <c r="BV176" s="254">
        <f>$CM$26</f>
        <v>15</v>
      </c>
      <c r="BW176" s="254">
        <f>SUM(BS176:BV176)</f>
        <v>75</v>
      </c>
      <c r="BX176" s="265" t="n">
        <v>40</v>
      </c>
      <c r="BY176" s="265" t="n">
        <v>40</v>
      </c>
      <c r="BZ176" s="265" t="n">
        <v>40</v>
      </c>
      <c r="CA176" s="265" t="n">
        <v>40</v>
      </c>
      <c r="CB176" s="265" t="n">
        <v>40</v>
      </c>
      <c r="CC176" s="19" t="inlineStr">
        <is>
          <t>Q3–Q4/26E point estimate; 2027E+ input (assumption: ongoing restructuring ~0.3% of revenue).</t>
        </is>
      </c>
    </row>
    <row r="177" ht="15" customHeight="1" s="251">
      <c r="B177" s="25" t="inlineStr">
        <is>
          <t xml:space="preserve">  Acquisition, merger &amp; integration costs (incl. IHS Markit merger costs)</t>
        </is>
      </c>
      <c r="C177" s="253" t="n">
        <v>0</v>
      </c>
      <c r="D177" s="253" t="n">
        <v>0</v>
      </c>
      <c r="E177" s="253" t="n">
        <v>22</v>
      </c>
      <c r="F177" s="253" t="n">
        <v>0</v>
      </c>
      <c r="G177" s="253" t="n">
        <v>0</v>
      </c>
      <c r="H177" s="253" t="n">
        <v>0</v>
      </c>
      <c r="I177" s="253" t="n">
        <v>0</v>
      </c>
      <c r="J177" s="253" t="n">
        <v>0</v>
      </c>
      <c r="K177" s="253" t="n">
        <v>0</v>
      </c>
      <c r="L177" s="253" t="n">
        <v>0</v>
      </c>
      <c r="M177" s="253" t="n">
        <v>4</v>
      </c>
      <c r="N177" s="253" t="n">
        <v>0</v>
      </c>
      <c r="O177" s="253" t="n">
        <v>4</v>
      </c>
      <c r="P177" s="253" t="n">
        <v>0</v>
      </c>
      <c r="Q177" s="253" t="n">
        <v>0</v>
      </c>
      <c r="R177" s="253" t="n">
        <v>32</v>
      </c>
      <c r="S177" s="253" t="n">
        <v>6</v>
      </c>
      <c r="T177" s="253" t="n">
        <v>37</v>
      </c>
      <c r="U177" s="253" t="n">
        <v>0</v>
      </c>
      <c r="V177" s="253" t="n">
        <v>0</v>
      </c>
      <c r="W177" s="253" t="n">
        <v>1</v>
      </c>
      <c r="X177" s="253" t="n">
        <v>0</v>
      </c>
      <c r="Y177" s="253" t="n">
        <v>1</v>
      </c>
      <c r="Z177" s="253" t="n">
        <v>0</v>
      </c>
      <c r="AA177" s="253" t="n">
        <v>0</v>
      </c>
      <c r="AB177" s="253" t="n">
        <v>0</v>
      </c>
      <c r="AC177" s="253" t="n">
        <v>0</v>
      </c>
      <c r="AD177" s="253" t="n">
        <v>0</v>
      </c>
      <c r="AE177" s="253" t="n">
        <v>0</v>
      </c>
      <c r="AF177" s="253" t="n">
        <v>12</v>
      </c>
      <c r="AG177" s="253" t="n">
        <v>11</v>
      </c>
      <c r="AH177" s="253" t="n">
        <v>9</v>
      </c>
      <c r="AI177" s="253" t="n">
        <v>31</v>
      </c>
      <c r="AJ177" s="253" t="n">
        <v>7</v>
      </c>
      <c r="AK177" s="253" t="n">
        <v>5</v>
      </c>
      <c r="AL177" s="253" t="n">
        <v>6</v>
      </c>
      <c r="AM177" s="253" t="n">
        <v>8</v>
      </c>
      <c r="AN177" s="253" t="n">
        <v>25</v>
      </c>
      <c r="AO177" s="253" t="n">
        <v>5</v>
      </c>
      <c r="AP177" s="253" t="n">
        <v>2</v>
      </c>
      <c r="AQ177" s="253" t="n">
        <v>2</v>
      </c>
      <c r="AR177" s="253" t="n">
        <v>26</v>
      </c>
      <c r="AS177" s="253" t="n">
        <v>36</v>
      </c>
      <c r="AT177" s="253" t="n">
        <v>51</v>
      </c>
      <c r="AU177" s="253" t="n">
        <v>50</v>
      </c>
      <c r="AV177" s="253" t="n">
        <v>54</v>
      </c>
      <c r="AW177" s="253" t="n">
        <v>100</v>
      </c>
      <c r="AX177" s="253" t="n">
        <v>255</v>
      </c>
      <c r="AY177" s="253" t="n">
        <v>246</v>
      </c>
      <c r="AZ177" s="253" t="n">
        <v>143</v>
      </c>
      <c r="BA177" s="253" t="n">
        <v>127</v>
      </c>
      <c r="BB177" s="253" t="n">
        <v>97</v>
      </c>
      <c r="BC177" s="253" t="n">
        <v>613</v>
      </c>
      <c r="BD177" s="253" t="n">
        <v>67</v>
      </c>
      <c r="BE177" s="253" t="n">
        <v>53</v>
      </c>
      <c r="BF177" s="253" t="n">
        <v>60</v>
      </c>
      <c r="BG177" s="253" t="n">
        <v>136</v>
      </c>
      <c r="BH177" s="253" t="n">
        <v>315</v>
      </c>
      <c r="BI177" s="253" t="n">
        <v>40</v>
      </c>
      <c r="BJ177" s="253" t="n">
        <v>33</v>
      </c>
      <c r="BK177" s="253" t="n">
        <v>32</v>
      </c>
      <c r="BL177" s="253" t="n">
        <v>26</v>
      </c>
      <c r="BM177" s="253" t="n">
        <v>131</v>
      </c>
      <c r="BN177" s="253" t="n">
        <v>9</v>
      </c>
      <c r="BO177" s="253" t="n">
        <v>5</v>
      </c>
      <c r="BP177" s="253" t="n">
        <v>17</v>
      </c>
      <c r="BQ177" s="253" t="n">
        <v>28</v>
      </c>
      <c r="BR177" s="253" t="n">
        <v>47</v>
      </c>
      <c r="BS177" s="253" t="n">
        <v>11</v>
      </c>
      <c r="BT177" s="253" t="n">
        <v>6</v>
      </c>
      <c r="BU177" s="265" t="n">
        <v>0</v>
      </c>
      <c r="BV177" s="265" t="n">
        <v>0</v>
      </c>
      <c r="BW177" s="254">
        <f>SUM(BS177:BV177)</f>
        <v>17</v>
      </c>
      <c r="BX177" s="254">
        <f>BX124*BX183</f>
        <v>10</v>
      </c>
      <c r="BY177" s="254">
        <f>BY124*BY183</f>
        <v>10</v>
      </c>
      <c r="BZ177" s="254">
        <f>BZ124*BZ183</f>
        <v>10</v>
      </c>
      <c r="CA177" s="254">
        <f>CA124*CA183</f>
        <v>10</v>
      </c>
      <c r="CB177" s="254">
        <f>CB124*CB183</f>
        <v>10</v>
      </c>
      <c r="CC177" s="19" t="n"/>
    </row>
    <row r="178" ht="15" customHeight="1" s="251">
      <c r="B178" s="25" t="inlineStr">
        <is>
          <t xml:space="preserve">  Disposition &amp; separation costs (incl. Mobility separation)</t>
        </is>
      </c>
      <c r="C178" s="253" t="n">
        <v>0</v>
      </c>
      <c r="D178" s="253" t="n">
        <v>10</v>
      </c>
      <c r="E178" s="253" t="n">
        <v>156</v>
      </c>
      <c r="F178" s="253" t="n">
        <v>44</v>
      </c>
      <c r="G178" s="253" t="n">
        <v>10</v>
      </c>
      <c r="H178" s="253" t="n">
        <v>9</v>
      </c>
      <c r="I178" s="253" t="n">
        <v>0</v>
      </c>
      <c r="J178" s="253" t="n">
        <v>64</v>
      </c>
      <c r="K178" s="253" t="n">
        <v>0</v>
      </c>
      <c r="L178" s="253" t="n">
        <v>0</v>
      </c>
      <c r="M178" s="253" t="n">
        <v>0</v>
      </c>
      <c r="N178" s="253" t="n">
        <v>0</v>
      </c>
      <c r="O178" s="253" t="n">
        <v>0</v>
      </c>
      <c r="P178" s="253" t="n">
        <v>0</v>
      </c>
      <c r="Q178" s="253" t="n">
        <v>0</v>
      </c>
      <c r="R178" s="253" t="n">
        <v>0</v>
      </c>
      <c r="S178" s="253" t="n">
        <v>0</v>
      </c>
      <c r="T178" s="253" t="n">
        <v>0</v>
      </c>
      <c r="U178" s="253" t="n">
        <v>3</v>
      </c>
      <c r="V178" s="253" t="n">
        <v>7</v>
      </c>
      <c r="W178" s="253" t="n">
        <v>6</v>
      </c>
      <c r="X178" s="253" t="n">
        <v>31</v>
      </c>
      <c r="Y178" s="253" t="n">
        <v>45</v>
      </c>
      <c r="Z178" s="253" t="n">
        <v>0</v>
      </c>
      <c r="AA178" s="253" t="n">
        <v>0</v>
      </c>
      <c r="AB178" s="253" t="n">
        <v>0</v>
      </c>
      <c r="AC178" s="253" t="n">
        <v>0</v>
      </c>
      <c r="AD178" s="253" t="n">
        <v>0</v>
      </c>
      <c r="AE178" s="253" t="n">
        <v>0</v>
      </c>
      <c r="AF178" s="253" t="n">
        <v>0</v>
      </c>
      <c r="AG178" s="253" t="n">
        <v>0</v>
      </c>
      <c r="AH178" s="253" t="n">
        <v>0</v>
      </c>
      <c r="AI178" s="253" t="n">
        <v>0</v>
      </c>
      <c r="AJ178" s="253" t="n">
        <v>0</v>
      </c>
      <c r="AK178" s="253" t="n">
        <v>0</v>
      </c>
      <c r="AL178" s="253" t="n">
        <v>0</v>
      </c>
      <c r="AM178" s="253" t="n">
        <v>0</v>
      </c>
      <c r="AN178" s="253" t="n">
        <v>0</v>
      </c>
      <c r="AO178" s="253" t="n">
        <v>0</v>
      </c>
      <c r="AP178" s="253" t="n">
        <v>0</v>
      </c>
      <c r="AQ178" s="253" t="n">
        <v>0</v>
      </c>
      <c r="AR178" s="253" t="n">
        <v>0</v>
      </c>
      <c r="AS178" s="253" t="n">
        <v>0</v>
      </c>
      <c r="AT178" s="253" t="n">
        <v>0</v>
      </c>
      <c r="AU178" s="253" t="n">
        <v>0</v>
      </c>
      <c r="AV178" s="253" t="n">
        <v>0</v>
      </c>
      <c r="AW178" s="253" t="n">
        <v>0</v>
      </c>
      <c r="AX178" s="253" t="n">
        <v>0</v>
      </c>
      <c r="AY178" s="253" t="n">
        <v>0</v>
      </c>
      <c r="AZ178" s="253" t="n">
        <v>0</v>
      </c>
      <c r="BA178" s="253" t="n">
        <v>0</v>
      </c>
      <c r="BB178" s="253" t="n">
        <v>24</v>
      </c>
      <c r="BC178" s="253" t="n">
        <v>24</v>
      </c>
      <c r="BD178" s="253" t="n">
        <v>13</v>
      </c>
      <c r="BE178" s="253" t="n">
        <v>3</v>
      </c>
      <c r="BF178" s="253" t="n">
        <v>3</v>
      </c>
      <c r="BG178" s="253" t="n">
        <v>5</v>
      </c>
      <c r="BH178" s="253" t="n">
        <v>24</v>
      </c>
      <c r="BI178" s="253" t="n">
        <v>0</v>
      </c>
      <c r="BJ178" s="253" t="n">
        <v>3</v>
      </c>
      <c r="BK178" s="253" t="n">
        <v>0</v>
      </c>
      <c r="BL178" s="253" t="n">
        <v>6</v>
      </c>
      <c r="BM178" s="253" t="n">
        <v>9</v>
      </c>
      <c r="BN178" s="253" t="n">
        <v>1</v>
      </c>
      <c r="BO178" s="253" t="n">
        <v>11</v>
      </c>
      <c r="BP178" s="253" t="n">
        <v>8</v>
      </c>
      <c r="BQ178" s="253" t="n">
        <v>54</v>
      </c>
      <c r="BR178" s="253" t="n">
        <v>84</v>
      </c>
      <c r="BS178" s="253" t="n">
        <v>27</v>
      </c>
      <c r="BT178" s="253" t="n">
        <v>59</v>
      </c>
      <c r="BU178" s="254">
        <f>$CM$27</f>
        <v>10</v>
      </c>
      <c r="BV178" s="254">
        <f>$CM$27</f>
        <v>10</v>
      </c>
      <c r="BW178" s="254">
        <f>SUM(BS178:BV178)</f>
        <v>106</v>
      </c>
      <c r="BX178" s="265" t="n">
        <v>0</v>
      </c>
      <c r="BY178" s="265" t="n">
        <v>0</v>
      </c>
      <c r="BZ178" s="265" t="n">
        <v>0</v>
      </c>
      <c r="CA178" s="265" t="n">
        <v>0</v>
      </c>
      <c r="CB178" s="265" t="n">
        <v>0</v>
      </c>
      <c r="CC178" s="19" t="inlineStr">
        <is>
          <t>Q3–Q4/26E: remaining Mobility separation / geoscience disposition costs (assumption).</t>
        </is>
      </c>
    </row>
    <row r="179" ht="15" customHeight="1" s="251">
      <c r="B179" s="25" t="inlineStr">
        <is>
          <t xml:space="preserve">  (Gain) / loss on dispositions</t>
        </is>
      </c>
      <c r="C179" s="253" t="n">
        <v>0</v>
      </c>
      <c r="D179" s="253" t="n">
        <v>0</v>
      </c>
      <c r="E179" s="253" t="n">
        <v>0</v>
      </c>
      <c r="F179" s="253" t="n">
        <v>0</v>
      </c>
      <c r="G179" s="253" t="n">
        <v>0</v>
      </c>
      <c r="H179" s="253" t="n">
        <v>-20</v>
      </c>
      <c r="I179" s="253" t="n">
        <v>0</v>
      </c>
      <c r="J179" s="253" t="n">
        <v>5</v>
      </c>
      <c r="K179" s="253" t="n">
        <v>0</v>
      </c>
      <c r="L179" s="253" t="n">
        <v>0</v>
      </c>
      <c r="M179" s="253" t="n">
        <v>0</v>
      </c>
      <c r="N179" s="253" t="n">
        <v>0</v>
      </c>
      <c r="O179" s="253" t="n">
        <v>0</v>
      </c>
      <c r="P179" s="253" t="n">
        <v>0</v>
      </c>
      <c r="Q179" s="253" t="n">
        <v>-11</v>
      </c>
      <c r="R179" s="253" t="n">
        <v>0</v>
      </c>
      <c r="S179" s="253" t="n">
        <v>0</v>
      </c>
      <c r="T179" s="253" t="n">
        <v>-11</v>
      </c>
      <c r="U179" s="253" t="n">
        <v>0</v>
      </c>
      <c r="V179" s="253" t="n">
        <v>0</v>
      </c>
      <c r="W179" s="253" t="n">
        <v>-722</v>
      </c>
      <c r="X179" s="253" t="n">
        <v>-379</v>
      </c>
      <c r="Y179" s="253" t="n">
        <v>-1101</v>
      </c>
      <c r="Z179" s="253" t="n">
        <v>0</v>
      </c>
      <c r="AA179" s="253" t="n">
        <v>0</v>
      </c>
      <c r="AB179" s="253" t="n">
        <v>0</v>
      </c>
      <c r="AC179" s="253" t="n">
        <v>0</v>
      </c>
      <c r="AD179" s="253" t="n">
        <v>0</v>
      </c>
      <c r="AE179" s="253" t="n">
        <v>0</v>
      </c>
      <c r="AF179" s="253" t="n">
        <v>0</v>
      </c>
      <c r="AG179" s="253" t="n">
        <v>0</v>
      </c>
      <c r="AH179" s="253" t="n">
        <v>0</v>
      </c>
      <c r="AI179" s="253" t="n">
        <v>0</v>
      </c>
      <c r="AJ179" s="253" t="n">
        <v>0</v>
      </c>
      <c r="AK179" s="253" t="n">
        <v>0</v>
      </c>
      <c r="AL179" s="253" t="n">
        <v>-49</v>
      </c>
      <c r="AM179" s="253" t="n">
        <v>0</v>
      </c>
      <c r="AN179" s="253" t="n">
        <v>-49</v>
      </c>
      <c r="AO179" s="253" t="n">
        <v>-7</v>
      </c>
      <c r="AP179" s="253" t="n">
        <v>-1</v>
      </c>
      <c r="AQ179" s="253" t="n">
        <v>-8</v>
      </c>
      <c r="AR179" s="253" t="n">
        <v>0</v>
      </c>
      <c r="AS179" s="253" t="n">
        <v>-16</v>
      </c>
      <c r="AT179" s="253" t="n">
        <v>-2</v>
      </c>
      <c r="AU179" s="253" t="n">
        <v>0</v>
      </c>
      <c r="AV179" s="253" t="n">
        <v>-3</v>
      </c>
      <c r="AW179" s="253" t="n">
        <v>-7</v>
      </c>
      <c r="AX179" s="253" t="n">
        <v>-11</v>
      </c>
      <c r="AY179" s="253" t="n">
        <v>-1344</v>
      </c>
      <c r="AZ179" s="253" t="n">
        <v>-556</v>
      </c>
      <c r="BA179" s="253" t="n">
        <v>3</v>
      </c>
      <c r="BB179" s="253" t="n">
        <v>-1</v>
      </c>
      <c r="BC179" s="253" t="n">
        <v>-1898</v>
      </c>
      <c r="BD179" s="253" t="n">
        <v>-50</v>
      </c>
      <c r="BE179" s="253" t="n">
        <v>120</v>
      </c>
      <c r="BF179" s="253" t="n">
        <v>0</v>
      </c>
      <c r="BG179" s="253" t="n">
        <v>0</v>
      </c>
      <c r="BH179" s="253" t="n">
        <v>70</v>
      </c>
      <c r="BI179" s="253" t="n">
        <v>0</v>
      </c>
      <c r="BJ179" s="253" t="n">
        <v>-1</v>
      </c>
      <c r="BK179" s="253" t="n">
        <v>-21</v>
      </c>
      <c r="BL179" s="253" t="n">
        <v>-38</v>
      </c>
      <c r="BM179" s="253" t="n">
        <v>-60</v>
      </c>
      <c r="BN179" s="253" t="n">
        <v>0</v>
      </c>
      <c r="BO179" s="253" t="n">
        <v>-3</v>
      </c>
      <c r="BP179" s="253" t="n">
        <v>0</v>
      </c>
      <c r="BQ179" s="253" t="n">
        <v>-270</v>
      </c>
      <c r="BR179" s="253" t="n">
        <v>-273</v>
      </c>
      <c r="BS179" s="253" t="n">
        <v>-175</v>
      </c>
      <c r="BT179" s="253" t="n">
        <v>-11</v>
      </c>
      <c r="BU179" s="254">
        <f>0</f>
        <v>0</v>
      </c>
      <c r="BV179" s="254">
        <f>$CM$28</f>
        <v>-250</v>
      </c>
      <c r="BW179" s="254">
        <f>SUM(BS179:BV179)</f>
        <v>-436</v>
      </c>
      <c r="BX179" s="265" t="n">
        <v>0</v>
      </c>
      <c r="BY179" s="265" t="n">
        <v>0</v>
      </c>
      <c r="BZ179" s="265" t="n">
        <v>0</v>
      </c>
      <c r="CA179" s="265" t="n">
        <v>0</v>
      </c>
      <c r="CB179" s="265" t="n">
        <v>0</v>
      </c>
      <c r="CC179" s="19" t="inlineStr">
        <is>
          <t>Q4/26E: gain on the geoscience portfolio sale to SLB (assumption implied by the guidance; terms undisclosed). 2027E+: nil.</t>
        </is>
      </c>
    </row>
    <row r="180" ht="15" customHeight="1" s="251">
      <c r="B180" s="25" t="inlineStr">
        <is>
          <t xml:space="preserve">  Legal settlements &amp; costs (net of insurance recoveries)</t>
        </is>
      </c>
      <c r="C180" s="253" t="n">
        <v>0</v>
      </c>
      <c r="D180" s="253" t="n">
        <v>0</v>
      </c>
      <c r="E180" s="253" t="n">
        <v>0</v>
      </c>
      <c r="F180" s="253" t="n">
        <v>77</v>
      </c>
      <c r="G180" s="253" t="n">
        <v>0</v>
      </c>
      <c r="H180" s="253" t="n">
        <v>0</v>
      </c>
      <c r="I180" s="253" t="n">
        <v>0</v>
      </c>
      <c r="J180" s="253" t="n">
        <v>77</v>
      </c>
      <c r="K180" s="253" t="n">
        <v>0</v>
      </c>
      <c r="L180" s="253" t="n">
        <v>0</v>
      </c>
      <c r="M180" s="253" t="n">
        <v>60</v>
      </c>
      <c r="N180" s="253" t="n">
        <v>1552</v>
      </c>
      <c r="O180" s="253" t="n">
        <v>1612</v>
      </c>
      <c r="P180" s="253" t="n">
        <v>-6</v>
      </c>
      <c r="Q180" s="253" t="n">
        <v>-41</v>
      </c>
      <c r="R180" s="253" t="n">
        <v>86</v>
      </c>
      <c r="S180" s="253" t="n">
        <v>15</v>
      </c>
      <c r="T180" s="253" t="n">
        <v>54</v>
      </c>
      <c r="U180" s="253" t="n">
        <v>-12</v>
      </c>
      <c r="V180" s="253" t="n">
        <v>-34</v>
      </c>
      <c r="W180" s="253" t="n">
        <v>-17</v>
      </c>
      <c r="X180" s="253" t="n">
        <v>54</v>
      </c>
      <c r="Y180" s="253" t="n">
        <v>-10</v>
      </c>
      <c r="Z180" s="253" t="n">
        <v>2</v>
      </c>
      <c r="AA180" s="253" t="n">
        <v>0</v>
      </c>
      <c r="AB180" s="253" t="n">
        <v>0</v>
      </c>
      <c r="AC180" s="253" t="n">
        <v>53</v>
      </c>
      <c r="AD180" s="253" t="n">
        <v>55</v>
      </c>
      <c r="AE180" s="253" t="n">
        <v>0</v>
      </c>
      <c r="AF180" s="253" t="n">
        <v>73</v>
      </c>
      <c r="AG180" s="253" t="n">
        <v>0</v>
      </c>
      <c r="AH180" s="253" t="n">
        <v>1</v>
      </c>
      <c r="AI180" s="253" t="n">
        <v>74</v>
      </c>
      <c r="AJ180" s="253" t="n">
        <v>0</v>
      </c>
      <c r="AK180" s="253" t="n">
        <v>0</v>
      </c>
      <c r="AL180" s="253" t="n">
        <v>0</v>
      </c>
      <c r="AM180" s="253" t="n">
        <v>0</v>
      </c>
      <c r="AN180" s="253" t="n">
        <v>0</v>
      </c>
      <c r="AO180" s="253" t="n">
        <v>0</v>
      </c>
      <c r="AP180" s="253" t="n">
        <v>0</v>
      </c>
      <c r="AQ180" s="253" t="n">
        <v>0</v>
      </c>
      <c r="AR180" s="253" t="n">
        <v>0</v>
      </c>
      <c r="AS180" s="253" t="n">
        <v>0</v>
      </c>
      <c r="AT180" s="253" t="n">
        <v>0</v>
      </c>
      <c r="AU180" s="253" t="n">
        <v>0</v>
      </c>
      <c r="AV180" s="253" t="n">
        <v>0</v>
      </c>
      <c r="AW180" s="253" t="n">
        <v>0</v>
      </c>
      <c r="AX180" s="253" t="n">
        <v>0</v>
      </c>
      <c r="AY180" s="253" t="n">
        <v>0</v>
      </c>
      <c r="AZ180" s="253" t="n">
        <v>0</v>
      </c>
      <c r="BA180" s="253" t="n">
        <v>0</v>
      </c>
      <c r="BB180" s="253" t="n">
        <v>5</v>
      </c>
      <c r="BC180" s="253" t="n">
        <v>5</v>
      </c>
      <c r="BD180" s="253" t="n">
        <v>0</v>
      </c>
      <c r="BE180" s="253" t="n">
        <v>0</v>
      </c>
      <c r="BF180" s="253" t="n">
        <v>0</v>
      </c>
      <c r="BG180" s="253" t="n">
        <v>0</v>
      </c>
      <c r="BH180" s="253" t="n">
        <v>0</v>
      </c>
      <c r="BI180" s="253" t="n">
        <v>0</v>
      </c>
      <c r="BJ180" s="253" t="n">
        <v>20</v>
      </c>
      <c r="BK180" s="253" t="n">
        <v>0</v>
      </c>
      <c r="BL180" s="253" t="n">
        <v>0</v>
      </c>
      <c r="BM180" s="253" t="n">
        <v>20</v>
      </c>
      <c r="BN180" s="253" t="n">
        <v>0</v>
      </c>
      <c r="BO180" s="253" t="n">
        <v>29</v>
      </c>
      <c r="BP180" s="253" t="n">
        <v>13</v>
      </c>
      <c r="BQ180" s="253" t="n">
        <v>6</v>
      </c>
      <c r="BR180" s="253" t="n">
        <v>48</v>
      </c>
      <c r="BS180" s="253" t="n">
        <v>0</v>
      </c>
      <c r="BT180" s="253" t="n">
        <v>0</v>
      </c>
      <c r="BU180" s="254">
        <f>0</f>
        <v>0</v>
      </c>
      <c r="BV180" s="254">
        <f>0</f>
        <v>0</v>
      </c>
      <c r="BW180" s="254">
        <f>SUM(BS180:BV180)</f>
        <v>0</v>
      </c>
      <c r="BX180" s="254">
        <f>0</f>
        <v>0</v>
      </c>
      <c r="BY180" s="254">
        <f>0</f>
        <v>0</v>
      </c>
      <c r="BZ180" s="254">
        <f>0</f>
        <v>0</v>
      </c>
      <c r="CA180" s="254">
        <f>0</f>
        <v>0</v>
      </c>
      <c r="CB180" s="254">
        <f>0</f>
        <v>0</v>
      </c>
      <c r="CC180" s="19" t="n"/>
    </row>
    <row r="181" ht="15" customHeight="1" s="251">
      <c r="B181" s="25" t="inlineStr">
        <is>
          <t xml:space="preserve">  Asset, lease &amp; technology impairments</t>
        </is>
      </c>
      <c r="C181" s="253" t="n">
        <v>0</v>
      </c>
      <c r="D181" s="253" t="n">
        <v>0</v>
      </c>
      <c r="E181" s="253" t="n">
        <v>0</v>
      </c>
      <c r="F181" s="253" t="n">
        <v>0</v>
      </c>
      <c r="G181" s="253" t="n">
        <v>0</v>
      </c>
      <c r="H181" s="253" t="n">
        <v>0</v>
      </c>
      <c r="I181" s="253" t="n">
        <v>36</v>
      </c>
      <c r="J181" s="253" t="n">
        <v>36</v>
      </c>
      <c r="K181" s="253" t="n">
        <v>0</v>
      </c>
      <c r="L181" s="253" t="n">
        <v>0</v>
      </c>
      <c r="M181" s="253" t="n">
        <v>0</v>
      </c>
      <c r="N181" s="253" t="n">
        <v>0</v>
      </c>
      <c r="O181" s="253" t="n">
        <v>0</v>
      </c>
      <c r="P181" s="253" t="n">
        <v>0</v>
      </c>
      <c r="Q181" s="253" t="n">
        <v>0</v>
      </c>
      <c r="R181" s="253" t="n">
        <v>0</v>
      </c>
      <c r="S181" s="253" t="n">
        <v>0</v>
      </c>
      <c r="T181" s="253" t="n">
        <v>0</v>
      </c>
      <c r="U181" s="253" t="n">
        <v>24</v>
      </c>
      <c r="V181" s="253" t="n">
        <v>0</v>
      </c>
      <c r="W181" s="253" t="n">
        <v>0</v>
      </c>
      <c r="X181" s="253" t="n">
        <v>0</v>
      </c>
      <c r="Y181" s="253" t="n">
        <v>24</v>
      </c>
      <c r="Z181" s="253" t="n">
        <v>0</v>
      </c>
      <c r="AA181" s="253" t="n">
        <v>8</v>
      </c>
      <c r="AB181" s="253" t="n">
        <v>0</v>
      </c>
      <c r="AC181" s="253" t="n">
        <v>19</v>
      </c>
      <c r="AD181" s="253" t="n">
        <v>27</v>
      </c>
      <c r="AE181" s="253" t="n">
        <v>0</v>
      </c>
      <c r="AF181" s="253" t="n">
        <v>0</v>
      </c>
      <c r="AG181" s="253" t="n">
        <v>11</v>
      </c>
      <c r="AH181" s="253" t="n">
        <v>0</v>
      </c>
      <c r="AI181" s="253" t="n">
        <v>11</v>
      </c>
      <c r="AJ181" s="253" t="n">
        <v>0</v>
      </c>
      <c r="AK181" s="253" t="n">
        <v>5</v>
      </c>
      <c r="AL181" s="253" t="n">
        <v>0</v>
      </c>
      <c r="AM181" s="253" t="n">
        <v>6</v>
      </c>
      <c r="AN181" s="253" t="n">
        <v>11</v>
      </c>
      <c r="AO181" s="253" t="n">
        <v>0</v>
      </c>
      <c r="AP181" s="253" t="n">
        <v>0</v>
      </c>
      <c r="AQ181" s="253" t="n">
        <v>5</v>
      </c>
      <c r="AR181" s="253" t="n">
        <v>127</v>
      </c>
      <c r="AS181" s="253" t="n">
        <v>133</v>
      </c>
      <c r="AT181" s="253" t="n">
        <v>0</v>
      </c>
      <c r="AU181" s="253" t="n">
        <v>3</v>
      </c>
      <c r="AV181" s="253" t="n">
        <v>0</v>
      </c>
      <c r="AW181" s="253" t="n">
        <v>0</v>
      </c>
      <c r="AX181" s="253" t="n">
        <v>3</v>
      </c>
      <c r="AY181" s="253" t="n">
        <v>5</v>
      </c>
      <c r="AZ181" s="253" t="n">
        <v>3</v>
      </c>
      <c r="BA181" s="253" t="n">
        <v>9</v>
      </c>
      <c r="BB181" s="253" t="n">
        <v>0</v>
      </c>
      <c r="BC181" s="253" t="n">
        <v>17</v>
      </c>
      <c r="BD181" s="253" t="n">
        <v>0</v>
      </c>
      <c r="BE181" s="253" t="n">
        <v>20</v>
      </c>
      <c r="BF181" s="253" t="n">
        <v>1</v>
      </c>
      <c r="BG181" s="253" t="n">
        <v>2</v>
      </c>
      <c r="BH181" s="253" t="n">
        <v>21</v>
      </c>
      <c r="BI181" s="253" t="n">
        <v>-1</v>
      </c>
      <c r="BJ181" s="253" t="n">
        <v>1</v>
      </c>
      <c r="BK181" s="253" t="n">
        <v>1</v>
      </c>
      <c r="BL181" s="253" t="n">
        <v>3</v>
      </c>
      <c r="BM181" s="253" t="n">
        <v>3</v>
      </c>
      <c r="BN181" s="253" t="n">
        <v>6</v>
      </c>
      <c r="BO181" s="253" t="n">
        <v>3</v>
      </c>
      <c r="BP181" s="253" t="n">
        <v>6</v>
      </c>
      <c r="BQ181" s="253" t="n">
        <v>7</v>
      </c>
      <c r="BR181" s="253" t="n">
        <v>22</v>
      </c>
      <c r="BS181" s="253" t="n">
        <v>5</v>
      </c>
      <c r="BT181" s="253" t="n">
        <v>4</v>
      </c>
      <c r="BU181" s="254">
        <f>0</f>
        <v>0</v>
      </c>
      <c r="BV181" s="254">
        <f>0</f>
        <v>0</v>
      </c>
      <c r="BW181" s="254">
        <f>SUM(BS181:BV181)</f>
        <v>9</v>
      </c>
      <c r="BX181" s="254">
        <f>0</f>
        <v>0</v>
      </c>
      <c r="BY181" s="254">
        <f>0</f>
        <v>0</v>
      </c>
      <c r="BZ181" s="254">
        <f>0</f>
        <v>0</v>
      </c>
      <c r="CA181" s="254">
        <f>0</f>
        <v>0</v>
      </c>
      <c r="CB181" s="254">
        <f>0</f>
        <v>0</v>
      </c>
      <c r="CC181" s="19" t="n"/>
    </row>
    <row r="182" ht="15" customHeight="1" s="251">
      <c r="B182" s="25" t="inlineStr">
        <is>
          <t xml:space="preserve">  Other items (non-cash acquisition / disposition adjustments, labor-law accrual, other)</t>
        </is>
      </c>
      <c r="C182" s="253" t="n">
        <v>0</v>
      </c>
      <c r="D182" s="253" t="n">
        <v>0</v>
      </c>
      <c r="E182" s="253" t="n">
        <v>-52</v>
      </c>
      <c r="F182" s="253" t="n">
        <v>0</v>
      </c>
      <c r="G182" s="253" t="n">
        <v>0</v>
      </c>
      <c r="H182" s="253" t="n">
        <v>0</v>
      </c>
      <c r="I182" s="253" t="n">
        <v>13</v>
      </c>
      <c r="J182" s="253" t="n">
        <v>13</v>
      </c>
      <c r="K182" s="253" t="n">
        <v>0</v>
      </c>
      <c r="L182" s="253" t="n">
        <v>0</v>
      </c>
      <c r="M182" s="253" t="n">
        <v>-1</v>
      </c>
      <c r="N182" s="253" t="n">
        <v>-1</v>
      </c>
      <c r="O182" s="253" t="n">
        <v>0</v>
      </c>
      <c r="P182" s="253" t="n">
        <v>0</v>
      </c>
      <c r="Q182" s="253" t="n">
        <v>9</v>
      </c>
      <c r="R182" s="253" t="n">
        <v>0</v>
      </c>
      <c r="S182" s="253" t="n">
        <v>-1</v>
      </c>
      <c r="T182" s="253" t="n">
        <v>10</v>
      </c>
      <c r="U182" s="253" t="n">
        <v>-1</v>
      </c>
      <c r="V182" s="253" t="n">
        <v>-1</v>
      </c>
      <c r="W182" s="253" t="n">
        <v>-1</v>
      </c>
      <c r="X182" s="253" t="n">
        <v>1</v>
      </c>
      <c r="Y182" s="253" t="n">
        <v>1</v>
      </c>
      <c r="Z182" s="253" t="n">
        <v>15</v>
      </c>
      <c r="AA182" s="253" t="n">
        <v>0</v>
      </c>
      <c r="AB182" s="253" t="n">
        <v>0</v>
      </c>
      <c r="AC182" s="253" t="n">
        <v>9</v>
      </c>
      <c r="AD182" s="253" t="n">
        <v>23</v>
      </c>
      <c r="AE182" s="253" t="n">
        <v>0</v>
      </c>
      <c r="AF182" s="253" t="n">
        <v>0</v>
      </c>
      <c r="AG182" s="253" t="n">
        <v>-1</v>
      </c>
      <c r="AH182" s="253" t="n">
        <v>0</v>
      </c>
      <c r="AI182" s="253" t="n">
        <v>-1</v>
      </c>
      <c r="AJ182" s="253" t="n">
        <v>-1</v>
      </c>
      <c r="AK182" s="253" t="n">
        <v>0</v>
      </c>
      <c r="AL182" s="253" t="n">
        <v>0</v>
      </c>
      <c r="AM182" s="253" t="n">
        <v>-1</v>
      </c>
      <c r="AN182" s="253" t="n">
        <v>0</v>
      </c>
      <c r="AO182" s="253" t="n">
        <v>0</v>
      </c>
      <c r="AP182" s="253" t="n">
        <v>0</v>
      </c>
      <c r="AQ182" s="253" t="n">
        <v>1</v>
      </c>
      <c r="AR182" s="253" t="n">
        <v>10</v>
      </c>
      <c r="AS182" s="253" t="n">
        <v>8</v>
      </c>
      <c r="AT182" s="253" t="n">
        <v>1</v>
      </c>
      <c r="AU182" s="253" t="n">
        <v>-1</v>
      </c>
      <c r="AV182" s="253" t="n">
        <v>0</v>
      </c>
      <c r="AW182" s="253" t="n">
        <v>-1</v>
      </c>
      <c r="AX182" s="253" t="n">
        <v>-2</v>
      </c>
      <c r="AY182" s="253" t="n">
        <v>198</v>
      </c>
      <c r="AZ182" s="253" t="n">
        <v>-12</v>
      </c>
      <c r="BA182" s="253" t="n">
        <v>-10</v>
      </c>
      <c r="BB182" s="253" t="n">
        <v>2</v>
      </c>
      <c r="BC182" s="253" t="n">
        <v>178</v>
      </c>
      <c r="BD182" s="253" t="n">
        <v>0</v>
      </c>
      <c r="BE182" s="253" t="n">
        <v>-1</v>
      </c>
      <c r="BF182" s="253" t="n">
        <v>0</v>
      </c>
      <c r="BG182" s="253" t="n">
        <v>1</v>
      </c>
      <c r="BH182" s="253" t="n">
        <v>2</v>
      </c>
      <c r="BI182" s="253" t="n">
        <v>0</v>
      </c>
      <c r="BJ182" s="253" t="n">
        <v>1</v>
      </c>
      <c r="BK182" s="253" t="n">
        <v>9</v>
      </c>
      <c r="BL182" s="253" t="n">
        <v>-1</v>
      </c>
      <c r="BM182" s="253" t="n">
        <v>7</v>
      </c>
      <c r="BN182" s="253" t="n">
        <v>-9</v>
      </c>
      <c r="BO182" s="253" t="n">
        <v>-17</v>
      </c>
      <c r="BP182" s="253" t="n">
        <v>-20</v>
      </c>
      <c r="BQ182" s="253" t="n">
        <v>-45</v>
      </c>
      <c r="BR182" s="253" t="n">
        <v>-89</v>
      </c>
      <c r="BS182" s="253" t="n">
        <v>-29</v>
      </c>
      <c r="BT182" s="253" t="n">
        <v>-60</v>
      </c>
      <c r="BU182" s="254">
        <f>0</f>
        <v>0</v>
      </c>
      <c r="BV182" s="254">
        <f>0</f>
        <v>0</v>
      </c>
      <c r="BW182" s="254">
        <f>SUM(BS182:BV182)</f>
        <v>-89</v>
      </c>
      <c r="BX182" s="254">
        <f>0</f>
        <v>0</v>
      </c>
      <c r="BY182" s="254">
        <f>0</f>
        <v>0</v>
      </c>
      <c r="BZ182" s="254">
        <f>0</f>
        <v>0</v>
      </c>
      <c r="CA182" s="254">
        <f>0</f>
        <v>0</v>
      </c>
      <c r="CB182" s="254">
        <f>0</f>
        <v>0</v>
      </c>
      <c r="CC182" s="19" t="n"/>
    </row>
    <row r="183" ht="15" customHeight="1" s="251">
      <c r="B183" s="25" t="inlineStr">
        <is>
          <t xml:space="preserve">  Acquisition &amp; integration costs % of acquisition spend</t>
        </is>
      </c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  <c r="AP183" s="36" t="n"/>
      <c r="AQ183" s="36" t="n"/>
      <c r="AR183" s="36" t="n"/>
      <c r="AS183" s="36" t="n"/>
      <c r="AT183" s="36" t="n"/>
      <c r="AU183" s="36" t="n"/>
      <c r="AV183" s="36" t="n"/>
      <c r="AW183" s="36" t="n"/>
      <c r="AX183" s="36" t="n"/>
      <c r="AY183" s="36" t="n"/>
      <c r="AZ183" s="36" t="n"/>
      <c r="BA183" s="36" t="n"/>
      <c r="BB183" s="36" t="n"/>
      <c r="BC183" s="36" t="n"/>
      <c r="BD183" s="36" t="n"/>
      <c r="BE183" s="36" t="n"/>
      <c r="BF183" s="36" t="n"/>
      <c r="BG183" s="36" t="n"/>
      <c r="BH183" s="36" t="n"/>
      <c r="BI183" s="36" t="n"/>
      <c r="BJ183" s="36" t="n"/>
      <c r="BK183" s="36" t="n"/>
      <c r="BL183" s="36" t="n"/>
      <c r="BM183" s="36" t="n"/>
      <c r="BN183" s="36" t="n"/>
      <c r="BO183" s="36" t="n"/>
      <c r="BP183" s="36" t="n"/>
      <c r="BQ183" s="36" t="n"/>
      <c r="BR183" s="36" t="n"/>
      <c r="BS183" s="36" t="n"/>
      <c r="BT183" s="36" t="n"/>
      <c r="BU183" s="24" t="n"/>
      <c r="BV183" s="24" t="n"/>
      <c r="BW183" s="24" t="n"/>
      <c r="BX183" s="264" t="n">
        <v>0.02</v>
      </c>
      <c r="BY183" s="264" t="n">
        <v>0.02</v>
      </c>
      <c r="BZ183" s="264" t="n">
        <v>0.02</v>
      </c>
      <c r="CA183" s="264" t="n">
        <v>0.02</v>
      </c>
      <c r="CB183" s="264" t="n">
        <v>0.02</v>
      </c>
      <c r="CC183" s="153" t="n"/>
    </row>
    <row r="184" ht="15" customHeight="1" s="251">
      <c r="B184" s="25" t="inlineStr">
        <is>
          <t xml:space="preserve">  Non-GAAP adjustments below operating profit (premium amortization benefit on IHS Markit notes, pension / investment items)</t>
        </is>
      </c>
      <c r="C184" s="253" t="n">
        <v>0</v>
      </c>
      <c r="D184" s="253" t="n">
        <v>0</v>
      </c>
      <c r="E184" s="253" t="n">
        <v>0</v>
      </c>
      <c r="F184" s="253" t="n">
        <v>0</v>
      </c>
      <c r="G184" s="253" t="n">
        <v>0</v>
      </c>
      <c r="H184" s="253" t="n">
        <v>0</v>
      </c>
      <c r="I184" s="253" t="n">
        <v>0</v>
      </c>
      <c r="J184" s="253" t="n">
        <v>0</v>
      </c>
      <c r="K184" s="253" t="n">
        <v>0</v>
      </c>
      <c r="L184" s="253" t="n">
        <v>0</v>
      </c>
      <c r="M184" s="253" t="n">
        <v>0</v>
      </c>
      <c r="N184" s="253" t="n">
        <v>0</v>
      </c>
      <c r="O184" s="253" t="n">
        <v>0</v>
      </c>
      <c r="P184" s="253" t="n">
        <v>0</v>
      </c>
      <c r="Q184" s="253" t="n">
        <v>0</v>
      </c>
      <c r="R184" s="253" t="n">
        <v>0</v>
      </c>
      <c r="S184" s="253" t="n">
        <v>0</v>
      </c>
      <c r="T184" s="253" t="n">
        <v>0</v>
      </c>
      <c r="U184" s="253" t="n">
        <v>0</v>
      </c>
      <c r="V184" s="253" t="n">
        <v>0</v>
      </c>
      <c r="W184" s="253" t="n">
        <v>0</v>
      </c>
      <c r="X184" s="253" t="n">
        <v>21</v>
      </c>
      <c r="Y184" s="253" t="n">
        <v>21</v>
      </c>
      <c r="Z184" s="253" t="n">
        <v>0</v>
      </c>
      <c r="AA184" s="253" t="n">
        <v>0</v>
      </c>
      <c r="AB184" s="253" t="n">
        <v>0</v>
      </c>
      <c r="AC184" s="253" t="n">
        <v>0</v>
      </c>
      <c r="AD184" s="253" t="n">
        <v>0</v>
      </c>
      <c r="AE184" s="253" t="n">
        <v>0</v>
      </c>
      <c r="AF184" s="253" t="n">
        <v>0</v>
      </c>
      <c r="AG184" s="253" t="n">
        <v>0</v>
      </c>
      <c r="AH184" s="253" t="n">
        <v>5</v>
      </c>
      <c r="AI184" s="253" t="n">
        <v>5</v>
      </c>
      <c r="AJ184" s="253" t="n">
        <v>113</v>
      </c>
      <c r="AK184" s="253" t="n">
        <v>0</v>
      </c>
      <c r="AL184" s="253" t="n">
        <v>0</v>
      </c>
      <c r="AM184" s="253" t="n">
        <v>57</v>
      </c>
      <c r="AN184" s="253" t="n">
        <v>170</v>
      </c>
      <c r="AO184" s="253" t="n">
        <v>0</v>
      </c>
      <c r="AP184" s="253" t="n">
        <v>3</v>
      </c>
      <c r="AQ184" s="253" t="n">
        <v>279</v>
      </c>
      <c r="AR184" s="253" t="n">
        <v>0</v>
      </c>
      <c r="AS184" s="253" t="n">
        <v>282</v>
      </c>
      <c r="AT184" s="253" t="n">
        <v>0</v>
      </c>
      <c r="AU184" s="253" t="n">
        <v>0</v>
      </c>
      <c r="AV184" s="253" t="n">
        <v>0</v>
      </c>
      <c r="AW184" s="253" t="n">
        <v>0</v>
      </c>
      <c r="AX184" s="253" t="n">
        <v>0</v>
      </c>
      <c r="AY184" s="253" t="n">
        <v>17</v>
      </c>
      <c r="AZ184" s="253" t="n">
        <v>2</v>
      </c>
      <c r="BA184" s="253" t="n">
        <v>-4</v>
      </c>
      <c r="BB184" s="253" t="n">
        <v>6</v>
      </c>
      <c r="BC184" s="253" t="n">
        <v>21</v>
      </c>
      <c r="BD184" s="253" t="n">
        <v>-7</v>
      </c>
      <c r="BE184" s="253" t="n">
        <v>-6</v>
      </c>
      <c r="BF184" s="253" t="n">
        <v>-7</v>
      </c>
      <c r="BG184" s="253" t="n">
        <v>16</v>
      </c>
      <c r="BH184" s="253" t="n">
        <v>-4</v>
      </c>
      <c r="BI184" s="253" t="n">
        <v>-7</v>
      </c>
      <c r="BJ184" s="253" t="n">
        <v>-6</v>
      </c>
      <c r="BK184" s="253" t="n">
        <v>-6</v>
      </c>
      <c r="BL184" s="253" t="n">
        <v>0</v>
      </c>
      <c r="BM184" s="253" t="n">
        <v>-20</v>
      </c>
      <c r="BN184" s="253" t="n">
        <v>-6</v>
      </c>
      <c r="BO184" s="253" t="n">
        <v>-6</v>
      </c>
      <c r="BP184" s="253" t="n">
        <v>-6</v>
      </c>
      <c r="BQ184" s="253" t="n">
        <v>-6</v>
      </c>
      <c r="BR184" s="253" t="n">
        <v>-26</v>
      </c>
      <c r="BS184" s="253" t="n">
        <v>-6</v>
      </c>
      <c r="BT184" s="253" t="n">
        <v>-6</v>
      </c>
      <c r="BU184" s="254">
        <f>-$CM$23</f>
        <v>-6</v>
      </c>
      <c r="BV184" s="254">
        <f>-$CM$23</f>
        <v>-6</v>
      </c>
      <c r="BW184" s="254">
        <f>SUM(BS184:BV184)</f>
        <v>-24</v>
      </c>
      <c r="BX184" s="254">
        <f>-$CM$23*4</f>
        <v>-24</v>
      </c>
      <c r="BY184" s="254">
        <f>-$CM$23*4</f>
        <v>-24</v>
      </c>
      <c r="BZ184" s="254">
        <f>-$CM$23*4</f>
        <v>-24</v>
      </c>
      <c r="CA184" s="254">
        <f>-$CM$23*4</f>
        <v>-24</v>
      </c>
      <c r="CB184" s="254">
        <f>-$CM$23*4</f>
        <v>-24</v>
      </c>
      <c r="CC184" s="19" t="inlineStr">
        <is>
          <t>Interest-expense premium amortization benefit (fair-value step-up on assumed IHS Markit notes; $6m a quarter) is removed in adjusted interest. Forecast continues at $6m a quarter (assumption).</t>
        </is>
      </c>
    </row>
    <row r="185" ht="15" customHeight="1" s="251">
      <c r="CK185" s="11" t="n"/>
      <c r="CL185" s="12" t="n"/>
      <c r="CM185" s="12" t="n"/>
      <c r="CN185" s="12" t="n"/>
      <c r="CO185" s="13" t="n"/>
    </row>
    <row r="186" ht="15" customHeight="1" s="251">
      <c r="B186" s="10" t="inlineStr">
        <is>
          <t>CONSOLIDATED STATEMENT OF INCOME (US GAAP; continuing operations — 2025 and 1H-26 pro forma excluding Mobility)</t>
        </is>
      </c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  <c r="AH186" s="10" t="n"/>
      <c r="AI186" s="10" t="n"/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0" t="n"/>
      <c r="BC186" s="10" t="n"/>
      <c r="BD186" s="10" t="n"/>
      <c r="BE186" s="10" t="n"/>
      <c r="BF186" s="10" t="n"/>
      <c r="BG186" s="10" t="n"/>
      <c r="BH186" s="10" t="n"/>
      <c r="BI186" s="10" t="n"/>
      <c r="BJ186" s="10" t="n"/>
      <c r="BK186" s="10" t="n"/>
      <c r="BL186" s="10" t="n"/>
      <c r="BM186" s="10" t="n"/>
      <c r="BN186" s="10" t="n"/>
      <c r="BO186" s="10" t="n"/>
      <c r="BP186" s="10" t="n"/>
      <c r="BQ186" s="10" t="n"/>
      <c r="BR186" s="10" t="n"/>
      <c r="BS186" s="10" t="n"/>
      <c r="BT186" s="10" t="n"/>
      <c r="BU186" s="10" t="n"/>
      <c r="BV186" s="10" t="n"/>
      <c r="BW186" s="10" t="n"/>
      <c r="BX186" s="10" t="n"/>
      <c r="BY186" s="10" t="n"/>
      <c r="BZ186" s="10" t="n"/>
      <c r="CA186" s="10" t="n"/>
      <c r="CB186" s="10" t="n"/>
      <c r="CC186" s="10" t="inlineStr">
        <is>
          <t>CONSOLIDATED IS — forecast logic (OP = adjusted OP − deal amortization − non-GAAP adjustments; selling &amp; general expenses implied)</t>
        </is>
      </c>
    </row>
    <row r="187" ht="15" customHeight="1" s="251">
      <c r="B187" s="55" t="inlineStr">
        <is>
          <t>Revenue</t>
        </is>
      </c>
      <c r="C187" s="276" t="n">
        <v>3639</v>
      </c>
      <c r="D187" s="276" t="n">
        <v>3954</v>
      </c>
      <c r="E187" s="276" t="n">
        <v>4450</v>
      </c>
      <c r="F187" s="276" t="n">
        <v>1181</v>
      </c>
      <c r="G187" s="276" t="n">
        <v>1250</v>
      </c>
      <c r="H187" s="276" t="n">
        <v>1194</v>
      </c>
      <c r="I187" s="276" t="n">
        <v>1250</v>
      </c>
      <c r="J187" s="276" t="n">
        <v>4875</v>
      </c>
      <c r="K187" s="276" t="n">
        <v>1236</v>
      </c>
      <c r="L187" s="276" t="n">
        <v>1346</v>
      </c>
      <c r="M187" s="276" t="n">
        <v>1263</v>
      </c>
      <c r="N187" s="276" t="n">
        <v>1290</v>
      </c>
      <c r="O187" s="276" t="n">
        <v>5051</v>
      </c>
      <c r="P187" s="276" t="n">
        <v>1273</v>
      </c>
      <c r="Q187" s="276" t="n">
        <v>1342</v>
      </c>
      <c r="R187" s="276" t="n">
        <v>1324</v>
      </c>
      <c r="S187" s="276" t="n">
        <v>1374</v>
      </c>
      <c r="T187" s="276" t="n">
        <v>5313</v>
      </c>
      <c r="U187" s="276" t="n">
        <v>1341</v>
      </c>
      <c r="V187" s="276" t="n">
        <v>1482</v>
      </c>
      <c r="W187" s="276" t="n">
        <v>1439</v>
      </c>
      <c r="X187" s="276" t="n">
        <v>1399</v>
      </c>
      <c r="Y187" s="276" t="n">
        <v>5661</v>
      </c>
      <c r="Z187" s="276" t="n">
        <v>1453</v>
      </c>
      <c r="AA187" s="276" t="n">
        <v>1509</v>
      </c>
      <c r="AB187" s="276" t="n">
        <v>1513</v>
      </c>
      <c r="AC187" s="276" t="n">
        <v>1589</v>
      </c>
      <c r="AD187" s="276" t="n">
        <v>6063</v>
      </c>
      <c r="AE187" s="276" t="n">
        <v>1567</v>
      </c>
      <c r="AF187" s="276" t="n">
        <v>1609</v>
      </c>
      <c r="AG187" s="276" t="n">
        <v>1546</v>
      </c>
      <c r="AH187" s="276" t="n">
        <v>1536</v>
      </c>
      <c r="AI187" s="276" t="n">
        <v>6258</v>
      </c>
      <c r="AJ187" s="276" t="n">
        <v>1571</v>
      </c>
      <c r="AK187" s="276" t="n">
        <v>1704</v>
      </c>
      <c r="AL187" s="276" t="n">
        <v>1689</v>
      </c>
      <c r="AM187" s="276" t="n">
        <v>1735</v>
      </c>
      <c r="AN187" s="276" t="n">
        <v>6699</v>
      </c>
      <c r="AO187" s="276" t="n">
        <v>1786</v>
      </c>
      <c r="AP187" s="276" t="n">
        <v>1943</v>
      </c>
      <c r="AQ187" s="276" t="n">
        <v>1846</v>
      </c>
      <c r="AR187" s="276" t="n">
        <v>1867</v>
      </c>
      <c r="AS187" s="276" t="n">
        <v>7442</v>
      </c>
      <c r="AT187" s="276" t="n">
        <v>2016</v>
      </c>
      <c r="AU187" s="276" t="n">
        <v>2106</v>
      </c>
      <c r="AV187" s="276" t="n">
        <v>2087</v>
      </c>
      <c r="AW187" s="276" t="n">
        <v>2088</v>
      </c>
      <c r="AX187" s="276" t="n">
        <v>8297</v>
      </c>
      <c r="AY187" s="276" t="n">
        <v>2389</v>
      </c>
      <c r="AZ187" s="276" t="n">
        <v>2993</v>
      </c>
      <c r="BA187" s="276" t="n">
        <v>2861</v>
      </c>
      <c r="BB187" s="276" t="n">
        <v>2937</v>
      </c>
      <c r="BC187" s="276" t="n">
        <v>11181</v>
      </c>
      <c r="BD187" s="276" t="n">
        <v>3160</v>
      </c>
      <c r="BE187" s="276" t="n">
        <v>3101</v>
      </c>
      <c r="BF187" s="276" t="n">
        <v>3084</v>
      </c>
      <c r="BG187" s="276" t="n">
        <v>3152</v>
      </c>
      <c r="BH187" s="276" t="n">
        <v>12497</v>
      </c>
      <c r="BI187" s="276" t="n">
        <v>3491</v>
      </c>
      <c r="BJ187" s="276" t="n">
        <v>3549</v>
      </c>
      <c r="BK187" s="276" t="n">
        <v>3575</v>
      </c>
      <c r="BL187" s="276" t="n">
        <v>3592</v>
      </c>
      <c r="BM187" s="276" t="n">
        <v>14208</v>
      </c>
      <c r="BN187" s="276" t="n">
        <v>3357</v>
      </c>
      <c r="BO187" s="276" t="n">
        <v>3317</v>
      </c>
      <c r="BP187" s="276" t="n">
        <v>3443</v>
      </c>
      <c r="BQ187" s="276" t="n">
        <v>3472</v>
      </c>
      <c r="BR187" s="276" t="n">
        <v>13589</v>
      </c>
      <c r="BS187" s="276" t="n">
        <v>3717</v>
      </c>
      <c r="BT187" s="276" t="n">
        <v>3678</v>
      </c>
      <c r="BU187" s="269">
        <f>BU138</f>
        <v>3554.4356201224</v>
      </c>
      <c r="BV187" s="269">
        <f>BV138</f>
        <v>3577.2053798776</v>
      </c>
      <c r="BW187" s="269">
        <f>SUM(BS187:BV187)</f>
        <v>14526.641</v>
      </c>
      <c r="BX187" s="269">
        <f>BX138</f>
        <v>15426.2030573497</v>
      </c>
      <c r="BY187" s="269">
        <f>BY138</f>
        <v>16516.7832013327</v>
      </c>
      <c r="BZ187" s="269">
        <f>BZ138</f>
        <v>17650.8429410651</v>
      </c>
      <c r="CA187" s="269">
        <f>CA138</f>
        <v>18809.3088629089</v>
      </c>
      <c r="CB187" s="269">
        <f>CB138</f>
        <v>20042.0024555706</v>
      </c>
      <c r="CC187" s="153" t="inlineStr">
        <is>
          <t>Forecast linked to the division build.</t>
        </is>
      </c>
      <c r="CE187" s="20">
        <f>IFERROR((CB187/BW187)^(1/5)-1,"n/m")</f>
        <v>0.0664860557166576</v>
      </c>
      <c r="CF187" s="20">
        <f>IFERROR((BR187/AS187)^(1/5)-1,"n/m")</f>
        <v>0.127975239912516</v>
      </c>
      <c r="CG187" s="20">
        <f>IFERROR((BR187/T187)^(1/10)-1,"n/m")</f>
        <v>0.0984613187660166</v>
      </c>
      <c r="CH187" s="20">
        <f>IFERROR((BR187/C187)^(1/15)-1,"n/m")</f>
        <v>0.0918099039683815</v>
      </c>
    </row>
    <row r="188" ht="15" customHeight="1" s="251">
      <c r="B188" s="25" t="inlineStr">
        <is>
          <t>Operating-related expenses</t>
        </is>
      </c>
      <c r="C188" s="253" t="n">
        <v>1206</v>
      </c>
      <c r="D188" s="253" t="n">
        <v>1392</v>
      </c>
      <c r="E188" s="253" t="n">
        <v>1460</v>
      </c>
      <c r="F188" s="253" t="n">
        <v>374</v>
      </c>
      <c r="G188" s="253" t="n">
        <v>397</v>
      </c>
      <c r="H188" s="253" t="n">
        <v>393</v>
      </c>
      <c r="I188" s="253" t="n">
        <v>420</v>
      </c>
      <c r="J188" s="253" t="n">
        <v>1584</v>
      </c>
      <c r="K188" s="253" t="n">
        <v>411</v>
      </c>
      <c r="L188" s="253" t="n">
        <v>420</v>
      </c>
      <c r="M188" s="253" t="n">
        <v>399</v>
      </c>
      <c r="N188" s="253" t="n">
        <v>422</v>
      </c>
      <c r="O188" s="253" t="n">
        <v>1627</v>
      </c>
      <c r="P188" s="253" t="n">
        <v>406</v>
      </c>
      <c r="Q188" s="253" t="n">
        <v>406</v>
      </c>
      <c r="R188" s="253" t="n">
        <v>407</v>
      </c>
      <c r="S188" s="253" t="n">
        <v>454</v>
      </c>
      <c r="T188" s="253" t="n">
        <v>1672</v>
      </c>
      <c r="U188" s="253" t="n">
        <v>457</v>
      </c>
      <c r="V188" s="253" t="n">
        <v>469</v>
      </c>
      <c r="W188" s="253" t="n">
        <v>438</v>
      </c>
      <c r="X188" s="253" t="n">
        <v>406</v>
      </c>
      <c r="Y188" s="253" t="n">
        <v>1769</v>
      </c>
      <c r="Z188" s="253" t="n">
        <v>411</v>
      </c>
      <c r="AA188" s="253" t="n">
        <v>449</v>
      </c>
      <c r="AB188" s="253" t="n">
        <v>421</v>
      </c>
      <c r="AC188" s="253" t="n">
        <v>431</v>
      </c>
      <c r="AD188" s="253" t="n">
        <v>1713</v>
      </c>
      <c r="AE188" s="253" t="n">
        <v>439</v>
      </c>
      <c r="AF188" s="253" t="n">
        <v>446</v>
      </c>
      <c r="AG188" s="253" t="n">
        <v>406</v>
      </c>
      <c r="AH188" s="253" t="n">
        <v>411</v>
      </c>
      <c r="AI188" s="253" t="n">
        <v>1701</v>
      </c>
      <c r="AJ188" s="253" t="n">
        <v>439</v>
      </c>
      <c r="AK188" s="253" t="n">
        <v>452</v>
      </c>
      <c r="AL188" s="253" t="n">
        <v>438</v>
      </c>
      <c r="AM188" s="253" t="n">
        <v>464</v>
      </c>
      <c r="AN188" s="253" t="n">
        <v>1801</v>
      </c>
      <c r="AO188" s="253" t="n">
        <v>521</v>
      </c>
      <c r="AP188" s="253" t="n">
        <v>493</v>
      </c>
      <c r="AQ188" s="253" t="n">
        <v>519</v>
      </c>
      <c r="AR188" s="253" t="n">
        <v>559</v>
      </c>
      <c r="AS188" s="253" t="n">
        <v>2092</v>
      </c>
      <c r="AT188" s="253" t="n">
        <v>527</v>
      </c>
      <c r="AU188" s="253" t="n">
        <v>533</v>
      </c>
      <c r="AV188" s="253" t="n">
        <v>543</v>
      </c>
      <c r="AW188" s="253" t="n">
        <v>592</v>
      </c>
      <c r="AX188" s="253" t="n">
        <v>2195</v>
      </c>
      <c r="AY188" s="253" t="n">
        <v>749</v>
      </c>
      <c r="AZ188" s="253" t="n">
        <v>1011</v>
      </c>
      <c r="BA188" s="253" t="n">
        <v>994</v>
      </c>
      <c r="BB188" s="253" t="n">
        <v>1012</v>
      </c>
      <c r="BC188" s="253" t="n">
        <v>3766</v>
      </c>
      <c r="BD188" s="253" t="n">
        <v>1088</v>
      </c>
      <c r="BE188" s="253" t="n">
        <v>1026</v>
      </c>
      <c r="BF188" s="253" t="n">
        <v>995</v>
      </c>
      <c r="BG188" s="253" t="n">
        <v>1032</v>
      </c>
      <c r="BH188" s="253" t="n">
        <v>4141</v>
      </c>
      <c r="BI188" s="253" t="n">
        <v>1120</v>
      </c>
      <c r="BJ188" s="253" t="n">
        <v>1085</v>
      </c>
      <c r="BK188" s="253" t="n">
        <v>1072</v>
      </c>
      <c r="BL188" s="253" t="n">
        <v>1084</v>
      </c>
      <c r="BM188" s="253" t="n">
        <v>4361</v>
      </c>
      <c r="BN188" s="253" t="n">
        <v>1106</v>
      </c>
      <c r="BO188" s="253" t="n">
        <v>905</v>
      </c>
      <c r="BP188" s="253" t="n">
        <v>986</v>
      </c>
      <c r="BQ188" s="253" t="n">
        <v>1053</v>
      </c>
      <c r="BR188" s="253" t="n">
        <v>4050</v>
      </c>
      <c r="BS188" s="253" t="n">
        <v>1099</v>
      </c>
      <c r="BT188" s="253" t="n">
        <v>1026</v>
      </c>
      <c r="BU188" s="254">
        <f>BU187*BU172</f>
        <v>968.284888017683</v>
      </c>
      <c r="BV188" s="254">
        <f>BV187*BV172</f>
        <v>1034.96129012902</v>
      </c>
      <c r="BW188" s="254">
        <f>SUM(BS188:BV188)</f>
        <v>4128.24617814671</v>
      </c>
      <c r="BX188" s="254">
        <f>BX187*BX172</f>
        <v>4396.46787134468</v>
      </c>
      <c r="BY188" s="254">
        <f>BY187*BY172</f>
        <v>4707.28321237983</v>
      </c>
      <c r="BZ188" s="254">
        <f>BZ187*BZ172</f>
        <v>5030.49023820357</v>
      </c>
      <c r="CA188" s="254">
        <f>CA187*CA172</f>
        <v>5360.65302592904</v>
      </c>
      <c r="CB188" s="254">
        <f>CB187*CB172</f>
        <v>5711.97069983763</v>
      </c>
      <c r="CC188" s="19" t="n"/>
      <c r="CE188" s="20">
        <f>IFERROR((CB188/BW188)^(1/5)-1,"n/m")</f>
        <v>0.0670974367567263</v>
      </c>
      <c r="CF188" s="20">
        <f>IFERROR((BR188/AS188)^(1/5)-1,"n/m")</f>
        <v>0.141244423930161</v>
      </c>
      <c r="CG188" s="20">
        <f>IFERROR((BR188/T188)^(1/10)-1,"n/m")</f>
        <v>0.0925010801093833</v>
      </c>
      <c r="CH188" s="20">
        <f>IFERROR((BR188/C188)^(1/15)-1,"n/m")</f>
        <v>0.0841112412745255</v>
      </c>
    </row>
    <row r="189" ht="15" customHeight="1" s="251">
      <c r="B189" s="25" t="inlineStr">
        <is>
          <t>Selling and general expenses</t>
        </is>
      </c>
      <c r="C189" s="253" t="n">
        <v>1318</v>
      </c>
      <c r="D189" s="253" t="n">
        <v>1387</v>
      </c>
      <c r="E189" s="253" t="n">
        <v>1709</v>
      </c>
      <c r="F189" s="253" t="n">
        <v>494</v>
      </c>
      <c r="G189" s="253" t="n">
        <v>382</v>
      </c>
      <c r="H189" s="253" t="n">
        <v>385</v>
      </c>
      <c r="I189" s="253" t="n">
        <v>476</v>
      </c>
      <c r="J189" s="253" t="n">
        <v>1737</v>
      </c>
      <c r="K189" s="253" t="n">
        <v>362</v>
      </c>
      <c r="L189" s="253" t="n">
        <v>397</v>
      </c>
      <c r="M189" s="253" t="n">
        <v>465</v>
      </c>
      <c r="N189" s="253" t="n">
        <v>1982</v>
      </c>
      <c r="O189" s="253" t="n">
        <v>3168</v>
      </c>
      <c r="P189" s="253" t="n">
        <v>333</v>
      </c>
      <c r="Q189" s="253" t="n">
        <v>332</v>
      </c>
      <c r="R189" s="253" t="n">
        <v>470</v>
      </c>
      <c r="S189" s="253" t="n">
        <v>444</v>
      </c>
      <c r="T189" s="253" t="n">
        <v>1578</v>
      </c>
      <c r="U189" s="253" t="n">
        <v>330</v>
      </c>
      <c r="V189" s="253" t="n">
        <v>317</v>
      </c>
      <c r="W189" s="253" t="n">
        <v>330</v>
      </c>
      <c r="X189" s="253" t="n">
        <v>468</v>
      </c>
      <c r="Y189" s="253" t="n">
        <v>1443</v>
      </c>
      <c r="Z189" s="253" t="n">
        <v>351</v>
      </c>
      <c r="AA189" s="253" t="n">
        <v>338</v>
      </c>
      <c r="AB189" s="253" t="n">
        <v>388</v>
      </c>
      <c r="AC189" s="253" t="n">
        <v>483</v>
      </c>
      <c r="AD189" s="253" t="n">
        <v>1560</v>
      </c>
      <c r="AE189" s="253" t="n">
        <v>372</v>
      </c>
      <c r="AF189" s="253" t="n">
        <v>439</v>
      </c>
      <c r="AG189" s="253" t="n">
        <v>383</v>
      </c>
      <c r="AH189" s="253" t="n">
        <v>367</v>
      </c>
      <c r="AI189" s="253" t="n">
        <v>1561</v>
      </c>
      <c r="AJ189" s="253" t="n">
        <v>375</v>
      </c>
      <c r="AK189" s="253" t="n">
        <v>387</v>
      </c>
      <c r="AL189" s="253" t="n">
        <v>360</v>
      </c>
      <c r="AM189" s="253" t="n">
        <v>402</v>
      </c>
      <c r="AN189" s="253" t="n">
        <v>1517</v>
      </c>
      <c r="AO189" s="253" t="n">
        <v>311</v>
      </c>
      <c r="AP189" s="253" t="n">
        <v>295</v>
      </c>
      <c r="AQ189" s="253" t="n">
        <v>339</v>
      </c>
      <c r="AR189" s="253" t="n">
        <v>599</v>
      </c>
      <c r="AS189" s="253" t="n">
        <v>1543</v>
      </c>
      <c r="AT189" s="253" t="n">
        <v>360</v>
      </c>
      <c r="AU189" s="253" t="n">
        <v>374</v>
      </c>
      <c r="AV189" s="253" t="n">
        <v>423</v>
      </c>
      <c r="AW189" s="253" t="n">
        <v>557</v>
      </c>
      <c r="AX189" s="253" t="n">
        <v>1714</v>
      </c>
      <c r="AY189" s="253" t="n">
        <v>958</v>
      </c>
      <c r="AZ189" s="253" t="n">
        <v>764</v>
      </c>
      <c r="BA189" s="253" t="n">
        <v>720</v>
      </c>
      <c r="BB189" s="253" t="n">
        <v>941</v>
      </c>
      <c r="BC189" s="253" t="n">
        <v>3383</v>
      </c>
      <c r="BD189" s="253" t="n">
        <v>705</v>
      </c>
      <c r="BE189" s="253" t="n">
        <v>771</v>
      </c>
      <c r="BF189" s="253" t="n">
        <v>741</v>
      </c>
      <c r="BG189" s="253" t="n">
        <v>942</v>
      </c>
      <c r="BH189" s="253" t="n">
        <v>3159</v>
      </c>
      <c r="BI189" s="253" t="n">
        <v>705</v>
      </c>
      <c r="BJ189" s="253" t="n">
        <v>734</v>
      </c>
      <c r="BK189" s="253" t="n">
        <v>808</v>
      </c>
      <c r="BL189" s="253" t="n">
        <v>949</v>
      </c>
      <c r="BM189" s="253" t="n">
        <v>3196</v>
      </c>
      <c r="BN189" s="253" t="n">
        <v>563</v>
      </c>
      <c r="BO189" s="253" t="n">
        <v>760</v>
      </c>
      <c r="BP189" s="253" t="n">
        <v>684</v>
      </c>
      <c r="BQ189" s="253" t="n">
        <v>832</v>
      </c>
      <c r="BR189" s="253" t="n">
        <v>2838</v>
      </c>
      <c r="BS189" s="253" t="n">
        <v>639</v>
      </c>
      <c r="BT189" s="253" t="n">
        <v>678</v>
      </c>
      <c r="BU189" s="254">
        <f>BU187-BU188-BU190-BU191+BU194+BU195-BU196</f>
        <v>733.322645081698</v>
      </c>
      <c r="BV189" s="254">
        <f>BV187-BV188-BV190-BV191+BV194+BV195-BV196</f>
        <v>827.789806576583</v>
      </c>
      <c r="BW189" s="254">
        <f>SUM(BS189:BV189)</f>
        <v>2878.11245165828</v>
      </c>
      <c r="BX189" s="254">
        <f>BX187-BX188-BX190-BX191+BX194+BX195-BX196</f>
        <v>2770.49928321636</v>
      </c>
      <c r="BY189" s="254">
        <f>BY187-BY188-BY190-BY191+BY194+BY195-BY196</f>
        <v>2888.28361876157</v>
      </c>
      <c r="BZ189" s="254">
        <f>BZ187-BZ188-BZ190-BZ191+BZ194+BZ195-BZ196</f>
        <v>3051.54019445468</v>
      </c>
      <c r="CA189" s="254">
        <f>CA187-CA188-CA190-CA191+CA194+CA195-CA196</f>
        <v>3206.76953563514</v>
      </c>
      <c r="CB189" s="254">
        <f>CB187-CB188-CB190-CB191+CB194+CB195-CB196</f>
        <v>3400.63510773184</v>
      </c>
      <c r="CC189" s="19" t="inlineStr">
        <is>
          <t>Forecast = implied balancing line (revenue − other expenses + gains + equity income − OP from the adjusted build). Includes non-GAAP adjustments other than gains.</t>
        </is>
      </c>
      <c r="CE189" s="20">
        <f>IFERROR((CB189/BW189)^(1/5)-1,"n/m")</f>
        <v>0.0339283772154679</v>
      </c>
      <c r="CF189" s="20">
        <f>IFERROR((BR189/AS189)^(1/5)-1,"n/m")</f>
        <v>0.129611988863708</v>
      </c>
      <c r="CG189" s="20">
        <f>IFERROR((BR189/T189)^(1/10)-1,"n/m")</f>
        <v>0.0604508370052421</v>
      </c>
      <c r="CH189" s="20">
        <f>IFERROR((BR189/C189)^(1/15)-1,"n/m")</f>
        <v>0.0524620997393208</v>
      </c>
    </row>
    <row r="190" ht="15" customHeight="1" s="251">
      <c r="B190" s="25" t="inlineStr">
        <is>
          <t>Depreciation</t>
        </is>
      </c>
      <c r="C190" s="253" t="n">
        <v>75</v>
      </c>
      <c r="D190" s="253" t="n">
        <v>78</v>
      </c>
      <c r="E190" s="253" t="n">
        <v>74</v>
      </c>
      <c r="F190" s="253" t="n">
        <v>23</v>
      </c>
      <c r="G190" s="253" t="n">
        <v>22</v>
      </c>
      <c r="H190" s="253" t="n">
        <v>20</v>
      </c>
      <c r="I190" s="253" t="n">
        <v>21</v>
      </c>
      <c r="J190" s="253" t="n">
        <v>86</v>
      </c>
      <c r="K190" s="253" t="n">
        <v>21</v>
      </c>
      <c r="L190" s="253" t="n">
        <v>22</v>
      </c>
      <c r="M190" s="253" t="n">
        <v>21</v>
      </c>
      <c r="N190" s="253" t="n">
        <v>22</v>
      </c>
      <c r="O190" s="253" t="n">
        <v>86</v>
      </c>
      <c r="P190" s="253" t="n">
        <v>22</v>
      </c>
      <c r="Q190" s="253" t="n">
        <v>22</v>
      </c>
      <c r="R190" s="253" t="n">
        <v>20</v>
      </c>
      <c r="S190" s="253" t="n">
        <v>26</v>
      </c>
      <c r="T190" s="253" t="n">
        <v>90</v>
      </c>
      <c r="U190" s="253" t="n">
        <v>18</v>
      </c>
      <c r="V190" s="253" t="n">
        <v>22</v>
      </c>
      <c r="W190" s="253" t="n">
        <v>22</v>
      </c>
      <c r="X190" s="253" t="n">
        <v>22</v>
      </c>
      <c r="Y190" s="253" t="n">
        <v>85</v>
      </c>
      <c r="Z190" s="253" t="n">
        <v>19</v>
      </c>
      <c r="AA190" s="253" t="n">
        <v>20</v>
      </c>
      <c r="AB190" s="253" t="n">
        <v>22</v>
      </c>
      <c r="AC190" s="253" t="n">
        <v>21</v>
      </c>
      <c r="AD190" s="253" t="n">
        <v>82</v>
      </c>
      <c r="AE190" s="253" t="n">
        <v>21</v>
      </c>
      <c r="AF190" s="253" t="n">
        <v>19</v>
      </c>
      <c r="AG190" s="253" t="n">
        <v>20</v>
      </c>
      <c r="AH190" s="253" t="n">
        <v>24</v>
      </c>
      <c r="AI190" s="253" t="n">
        <v>84</v>
      </c>
      <c r="AJ190" s="253" t="n">
        <v>20</v>
      </c>
      <c r="AK190" s="253" t="n">
        <v>21</v>
      </c>
      <c r="AL190" s="253" t="n">
        <v>20</v>
      </c>
      <c r="AM190" s="253" t="n">
        <v>21</v>
      </c>
      <c r="AN190" s="253" t="n">
        <v>82</v>
      </c>
      <c r="AO190" s="253" t="n">
        <v>20</v>
      </c>
      <c r="AP190" s="253" t="n">
        <v>19</v>
      </c>
      <c r="AQ190" s="253" t="n">
        <v>20</v>
      </c>
      <c r="AR190" s="253" t="n">
        <v>23</v>
      </c>
      <c r="AS190" s="253" t="n">
        <v>83</v>
      </c>
      <c r="AT190" s="253" t="n">
        <v>19</v>
      </c>
      <c r="AU190" s="253" t="n">
        <v>23</v>
      </c>
      <c r="AV190" s="253" t="n">
        <v>20</v>
      </c>
      <c r="AW190" s="253" t="n">
        <v>19</v>
      </c>
      <c r="AX190" s="253" t="n">
        <v>82</v>
      </c>
      <c r="AY190" s="253" t="n">
        <v>26</v>
      </c>
      <c r="AZ190" s="253" t="n">
        <v>36</v>
      </c>
      <c r="BA190" s="253" t="n">
        <v>31</v>
      </c>
      <c r="BB190" s="253" t="n">
        <v>15</v>
      </c>
      <c r="BC190" s="253" t="n">
        <v>108</v>
      </c>
      <c r="BD190" s="253" t="n">
        <v>25</v>
      </c>
      <c r="BE190" s="253" t="n">
        <v>24</v>
      </c>
      <c r="BF190" s="253" t="n">
        <v>22</v>
      </c>
      <c r="BG190" s="253" t="n">
        <v>30</v>
      </c>
      <c r="BH190" s="253" t="n">
        <v>101</v>
      </c>
      <c r="BI190" s="253" t="n">
        <v>23</v>
      </c>
      <c r="BJ190" s="253" t="n">
        <v>25</v>
      </c>
      <c r="BK190" s="253" t="n">
        <v>22</v>
      </c>
      <c r="BL190" s="253" t="n">
        <v>26</v>
      </c>
      <c r="BM190" s="253" t="n">
        <v>96</v>
      </c>
      <c r="BN190" s="253" t="n">
        <v>21</v>
      </c>
      <c r="BO190" s="253" t="n">
        <v>22</v>
      </c>
      <c r="BP190" s="253" t="n">
        <v>25</v>
      </c>
      <c r="BQ190" s="253" t="n">
        <v>28</v>
      </c>
      <c r="BR190" s="253" t="n">
        <v>96</v>
      </c>
      <c r="BS190" s="253" t="n">
        <v>27</v>
      </c>
      <c r="BT190" s="253" t="n">
        <v>29</v>
      </c>
      <c r="BU190" s="254">
        <f>BU168</f>
        <v>29</v>
      </c>
      <c r="BV190" s="254">
        <f>BV168</f>
        <v>29</v>
      </c>
      <c r="BW190" s="254">
        <f>SUM(BS190:BV190)</f>
        <v>114</v>
      </c>
      <c r="BX190" s="254">
        <f>BX168</f>
        <v>123.409624458798</v>
      </c>
      <c r="BY190" s="254">
        <f>BY168</f>
        <v>132.134265610662</v>
      </c>
      <c r="BZ190" s="254">
        <f>BZ168</f>
        <v>141.206743528521</v>
      </c>
      <c r="CA190" s="254">
        <f>CA168</f>
        <v>150.474470903271</v>
      </c>
      <c r="CB190" s="254">
        <f>CB168</f>
        <v>160.336019644565</v>
      </c>
      <c r="CC190" s="19" t="n"/>
    </row>
    <row r="191" ht="15" customHeight="1" s="251">
      <c r="B191" s="25" t="inlineStr">
        <is>
          <t>Amortization of intangibles</t>
        </is>
      </c>
      <c r="C191" s="253" t="n">
        <v>21</v>
      </c>
      <c r="D191" s="253" t="n">
        <v>33</v>
      </c>
      <c r="E191" s="253" t="n">
        <v>48</v>
      </c>
      <c r="F191" s="253" t="n">
        <v>12</v>
      </c>
      <c r="G191" s="253" t="n">
        <v>13</v>
      </c>
      <c r="H191" s="253" t="n">
        <v>13</v>
      </c>
      <c r="I191" s="253" t="n">
        <v>13</v>
      </c>
      <c r="J191" s="253" t="n">
        <v>51</v>
      </c>
      <c r="K191" s="253" t="n">
        <v>12</v>
      </c>
      <c r="L191" s="253" t="n">
        <v>12</v>
      </c>
      <c r="M191" s="253" t="n">
        <v>12</v>
      </c>
      <c r="N191" s="253" t="n">
        <v>12</v>
      </c>
      <c r="O191" s="253" t="n">
        <v>48</v>
      </c>
      <c r="P191" s="253" t="n">
        <v>11</v>
      </c>
      <c r="Q191" s="253" t="n">
        <v>11</v>
      </c>
      <c r="R191" s="253" t="n">
        <v>17</v>
      </c>
      <c r="S191" s="253" t="n">
        <v>27</v>
      </c>
      <c r="T191" s="253" t="n">
        <v>67</v>
      </c>
      <c r="U191" s="253" t="n">
        <v>24</v>
      </c>
      <c r="V191" s="253" t="n">
        <v>23</v>
      </c>
      <c r="W191" s="253" t="n">
        <v>23</v>
      </c>
      <c r="X191" s="253" t="n">
        <v>25</v>
      </c>
      <c r="Y191" s="253" t="n">
        <v>96</v>
      </c>
      <c r="Z191" s="253" t="n">
        <v>24</v>
      </c>
      <c r="AA191" s="253" t="n">
        <v>25</v>
      </c>
      <c r="AB191" s="253" t="n">
        <v>24</v>
      </c>
      <c r="AC191" s="253" t="n">
        <v>25</v>
      </c>
      <c r="AD191" s="253" t="n">
        <v>98</v>
      </c>
      <c r="AE191" s="253" t="n">
        <v>24</v>
      </c>
      <c r="AF191" s="253" t="n">
        <v>33</v>
      </c>
      <c r="AG191" s="253" t="n">
        <v>33</v>
      </c>
      <c r="AH191" s="253" t="n">
        <v>31</v>
      </c>
      <c r="AI191" s="253" t="n">
        <v>122</v>
      </c>
      <c r="AJ191" s="253" t="n">
        <v>32</v>
      </c>
      <c r="AK191" s="253" t="n">
        <v>31</v>
      </c>
      <c r="AL191" s="253" t="n">
        <v>29</v>
      </c>
      <c r="AM191" s="253" t="n">
        <v>30</v>
      </c>
      <c r="AN191" s="253" t="n">
        <v>122</v>
      </c>
      <c r="AO191" s="253" t="n">
        <v>29</v>
      </c>
      <c r="AP191" s="253" t="n">
        <v>32</v>
      </c>
      <c r="AQ191" s="253" t="n">
        <v>32</v>
      </c>
      <c r="AR191" s="253" t="n">
        <v>29</v>
      </c>
      <c r="AS191" s="253" t="n">
        <v>123</v>
      </c>
      <c r="AT191" s="253" t="n">
        <v>31</v>
      </c>
      <c r="AU191" s="253" t="n">
        <v>22</v>
      </c>
      <c r="AV191" s="253" t="n">
        <v>21</v>
      </c>
      <c r="AW191" s="253" t="n">
        <v>22</v>
      </c>
      <c r="AX191" s="253" t="n">
        <v>96</v>
      </c>
      <c r="AY191" s="253" t="n">
        <v>111</v>
      </c>
      <c r="AZ191" s="253" t="n">
        <v>267</v>
      </c>
      <c r="BA191" s="253" t="n">
        <v>267</v>
      </c>
      <c r="BB191" s="253" t="n">
        <v>260</v>
      </c>
      <c r="BC191" s="253" t="n">
        <v>905</v>
      </c>
      <c r="BD191" s="253" t="n">
        <v>262</v>
      </c>
      <c r="BE191" s="253" t="n">
        <v>261</v>
      </c>
      <c r="BF191" s="253" t="n">
        <v>260</v>
      </c>
      <c r="BG191" s="253" t="n">
        <v>260</v>
      </c>
      <c r="BH191" s="253" t="n">
        <v>1042</v>
      </c>
      <c r="BI191" s="253" t="n">
        <v>264</v>
      </c>
      <c r="BJ191" s="253" t="n">
        <v>266</v>
      </c>
      <c r="BK191" s="253" t="n">
        <v>271</v>
      </c>
      <c r="BL191" s="253" t="n">
        <v>274</v>
      </c>
      <c r="BM191" s="253" t="n">
        <v>1077</v>
      </c>
      <c r="BN191" s="253" t="n">
        <v>192</v>
      </c>
      <c r="BO191" s="253" t="n">
        <v>194</v>
      </c>
      <c r="BP191" s="253" t="n">
        <v>190</v>
      </c>
      <c r="BQ191" s="253" t="n">
        <v>190</v>
      </c>
      <c r="BR191" s="253" t="n">
        <v>766</v>
      </c>
      <c r="BS191" s="253" t="n">
        <v>200</v>
      </c>
      <c r="BT191" s="253" t="n">
        <v>199</v>
      </c>
      <c r="BU191" s="254">
        <f>BU170</f>
        <v>193</v>
      </c>
      <c r="BV191" s="254">
        <f>BV170</f>
        <v>193</v>
      </c>
      <c r="BW191" s="254">
        <f>SUM(BS191:BV191)</f>
        <v>785</v>
      </c>
      <c r="BX191" s="254">
        <f>BX170</f>
        <v>796.833333333333</v>
      </c>
      <c r="BY191" s="254">
        <f>BY170</f>
        <v>790.5</v>
      </c>
      <c r="BZ191" s="254">
        <f>BZ170</f>
        <v>776.166666666667</v>
      </c>
      <c r="CA191" s="254">
        <f>CA170</f>
        <v>761.833333333333</v>
      </c>
      <c r="CB191" s="254">
        <f>CB170</f>
        <v>748.5</v>
      </c>
      <c r="CC191" s="19" t="inlineStr">
        <is>
          <t>IS amortization (forecast = deal-related amortization; history differs by OSTTRA equity-method amortization and small non-deal items).</t>
        </is>
      </c>
    </row>
    <row r="192" ht="15" customHeight="1" s="251">
      <c r="B192" s="16" t="inlineStr">
        <is>
          <t>Total expenses</t>
        </is>
      </c>
      <c r="C192" s="277" t="n">
        <v>2620</v>
      </c>
      <c r="D192" s="277" t="n">
        <v>2890</v>
      </c>
      <c r="E192" s="277" t="n">
        <v>3291</v>
      </c>
      <c r="F192" s="277" t="n">
        <v>903</v>
      </c>
      <c r="G192" s="277" t="n">
        <v>814</v>
      </c>
      <c r="H192" s="277" t="n">
        <v>811</v>
      </c>
      <c r="I192" s="277" t="n">
        <v>930</v>
      </c>
      <c r="J192" s="277" t="n">
        <v>3458</v>
      </c>
      <c r="K192" s="277" t="n">
        <v>806</v>
      </c>
      <c r="L192" s="277" t="n">
        <v>851</v>
      </c>
      <c r="M192" s="277" t="n">
        <v>897</v>
      </c>
      <c r="N192" s="277" t="n">
        <v>2438</v>
      </c>
      <c r="O192" s="277" t="n">
        <v>4929</v>
      </c>
      <c r="P192" s="277" t="n">
        <v>772</v>
      </c>
      <c r="Q192" s="277" t="n">
        <v>771</v>
      </c>
      <c r="R192" s="277" t="n">
        <v>914</v>
      </c>
      <c r="S192" s="277" t="n">
        <v>950</v>
      </c>
      <c r="T192" s="277" t="n">
        <v>3407</v>
      </c>
      <c r="U192" s="277" t="n">
        <v>829</v>
      </c>
      <c r="V192" s="277" t="n">
        <v>831</v>
      </c>
      <c r="W192" s="277" t="n">
        <v>813</v>
      </c>
      <c r="X192" s="277" t="n">
        <v>921</v>
      </c>
      <c r="Y192" s="277" t="n">
        <v>3393</v>
      </c>
      <c r="Z192" s="277" t="n">
        <v>805</v>
      </c>
      <c r="AA192" s="277" t="n">
        <v>832</v>
      </c>
      <c r="AB192" s="277" t="n">
        <v>855</v>
      </c>
      <c r="AC192" s="277" t="n">
        <v>961</v>
      </c>
      <c r="AD192" s="277" t="n">
        <v>3453</v>
      </c>
      <c r="AE192" s="277" t="n">
        <v>856</v>
      </c>
      <c r="AF192" s="277" t="n">
        <v>937</v>
      </c>
      <c r="AG192" s="277" t="n">
        <v>842</v>
      </c>
      <c r="AH192" s="277" t="n">
        <v>832</v>
      </c>
      <c r="AI192" s="277" t="n">
        <v>3468</v>
      </c>
      <c r="AJ192" s="277" t="n">
        <v>866</v>
      </c>
      <c r="AK192" s="277" t="n">
        <v>891</v>
      </c>
      <c r="AL192" s="277" t="n">
        <v>847</v>
      </c>
      <c r="AM192" s="277" t="n">
        <v>917</v>
      </c>
      <c r="AN192" s="277" t="n">
        <v>3522</v>
      </c>
      <c r="AO192" s="277" t="n">
        <v>881</v>
      </c>
      <c r="AP192" s="277" t="n">
        <v>839</v>
      </c>
      <c r="AQ192" s="277" t="n">
        <v>910</v>
      </c>
      <c r="AR192" s="277" t="n">
        <v>1211</v>
      </c>
      <c r="AS192" s="277" t="n">
        <v>3841</v>
      </c>
      <c r="AT192" s="277" t="n">
        <v>937</v>
      </c>
      <c r="AU192" s="277" t="n">
        <v>952</v>
      </c>
      <c r="AV192" s="277" t="n">
        <v>1007</v>
      </c>
      <c r="AW192" s="277" t="n">
        <v>1191</v>
      </c>
      <c r="AX192" s="277" t="n">
        <v>4087</v>
      </c>
      <c r="AY192" s="277" t="n">
        <v>1844</v>
      </c>
      <c r="AZ192" s="277" t="n">
        <v>2078</v>
      </c>
      <c r="BA192" s="277" t="n">
        <v>2012</v>
      </c>
      <c r="BB192" s="277" t="n">
        <v>2227</v>
      </c>
      <c r="BC192" s="277" t="n">
        <v>8162</v>
      </c>
      <c r="BD192" s="277" t="n">
        <v>2080</v>
      </c>
      <c r="BE192" s="277" t="n">
        <v>2082</v>
      </c>
      <c r="BF192" s="277" t="n">
        <v>2018</v>
      </c>
      <c r="BG192" s="277" t="n">
        <v>2264</v>
      </c>
      <c r="BH192" s="277" t="n">
        <v>8443</v>
      </c>
      <c r="BI192" s="277" t="n">
        <v>2112</v>
      </c>
      <c r="BJ192" s="277" t="n">
        <v>2110</v>
      </c>
      <c r="BK192" s="277" t="n">
        <v>2173</v>
      </c>
      <c r="BL192" s="277" t="n">
        <v>2333</v>
      </c>
      <c r="BM192" s="277" t="n">
        <v>8730</v>
      </c>
      <c r="BN192" s="277" t="n">
        <v>1882</v>
      </c>
      <c r="BO192" s="277" t="n">
        <v>1881</v>
      </c>
      <c r="BP192" s="277" t="n">
        <v>1885</v>
      </c>
      <c r="BQ192" s="277" t="n">
        <v>2103</v>
      </c>
      <c r="BR192" s="277" t="n">
        <v>7750</v>
      </c>
      <c r="BS192" s="277" t="n">
        <v>1965</v>
      </c>
      <c r="BT192" s="277" t="n">
        <v>1932</v>
      </c>
      <c r="BU192" s="261">
        <f>BU188+BU189+BU190+BU191</f>
        <v>1923.60753309938</v>
      </c>
      <c r="BV192" s="261">
        <f>BV188+BV189+BV190+BV191</f>
        <v>2084.75109670561</v>
      </c>
      <c r="BW192" s="261">
        <f>SUM(BS192:BV192)</f>
        <v>7905.35862980499</v>
      </c>
      <c r="BX192" s="261">
        <f>BX188+BX189+BX190+BX191</f>
        <v>8087.21011235317</v>
      </c>
      <c r="BY192" s="261">
        <f>BY188+BY189+BY190+BY191</f>
        <v>8518.20109675206</v>
      </c>
      <c r="BZ192" s="261">
        <f>BZ188+BZ189+BZ190+BZ191</f>
        <v>8999.40384285344</v>
      </c>
      <c r="CA192" s="261">
        <f>CA188+CA189+CA190+CA191</f>
        <v>9479.73036580079</v>
      </c>
      <c r="CB192" s="261">
        <f>CB188+CB189+CB190+CB191</f>
        <v>10021.441827214</v>
      </c>
      <c r="CC192" s="153" t="n"/>
    </row>
    <row r="193" ht="15" customHeight="1" s="251">
      <c r="B193" s="57" t="inlineStr">
        <is>
          <t xml:space="preserve">  Check: expense lines vs total expenses (should be 0; history where the lines are published)</t>
        </is>
      </c>
      <c r="C193" s="211">
        <f>IF(AND(ISNUMBER(C188),ISNUMBER(C192)),IF(ABS(C188+C189+C190+C191-C192)&lt;=1.01,0,ROUND(C188+C189+C190+C191-C192,0)),"")</f>
        <v>0</v>
      </c>
      <c r="D193" s="211">
        <f>IF(AND(ISNUMBER(D188),ISNUMBER(D192)),IF(ABS(D188+D189+D190+D191-D192)&lt;=1.01,0,ROUND(D188+D189+D190+D191-D192,0)),"")</f>
        <v>0</v>
      </c>
      <c r="E193" s="211">
        <f>IF(AND(ISNUMBER(E188),ISNUMBER(E192)),IF(ABS(E188+E189+E190+E191-E192)&lt;=1.01,0,ROUND(E188+E189+E190+E191-E192,0)),"")</f>
        <v>0</v>
      </c>
      <c r="F193" s="211">
        <f>IF(AND(ISNUMBER(F188),ISNUMBER(F192)),IF(ABS(F188+F189+F190+F191-F192)&lt;=1.01,0,ROUND(F188+F189+F190+F191-F192,0)),"")</f>
        <v>0</v>
      </c>
      <c r="G193" s="211">
        <f>IF(AND(ISNUMBER(G188),ISNUMBER(G192)),IF(ABS(G188+G189+G190+G191-G192)&lt;=1.01,0,ROUND(G188+G189+G190+G191-G192,0)),"")</f>
        <v>0</v>
      </c>
      <c r="H193" s="211">
        <f>IF(AND(ISNUMBER(H188),ISNUMBER(H192)),IF(ABS(H188+H189+H190+H191-H192)&lt;=1.01,0,ROUND(H188+H189+H190+H191-H192,0)),"")</f>
        <v>0</v>
      </c>
      <c r="I193" s="211">
        <f>IF(AND(ISNUMBER(I188),ISNUMBER(I192)),IF(ABS(I188+I189+I190+I191-I192)&lt;=1.01,0,ROUND(I188+I189+I190+I191-I192,0)),"")</f>
        <v>0</v>
      </c>
      <c r="J193" s="211">
        <f>IF(AND(ISNUMBER(J188),ISNUMBER(J192)),IF(ABS(J188+J189+J190+J191-J192)&lt;=1.01,0,ROUND(J188+J189+J190+J191-J192,0)),"")</f>
        <v>0</v>
      </c>
      <c r="K193" s="211">
        <f>IF(AND(ISNUMBER(K188),ISNUMBER(K192)),IF(ABS(K188+K189+K190+K191-K192)&lt;=1.01,0,ROUND(K188+K189+K190+K191-K192,0)),"")</f>
        <v>0</v>
      </c>
      <c r="L193" s="211">
        <f>IF(AND(ISNUMBER(L188),ISNUMBER(L192)),IF(ABS(L188+L189+L190+L191-L192)&lt;=1.01,0,ROUND(L188+L189+L190+L191-L192,0)),"")</f>
        <v>0</v>
      </c>
      <c r="M193" s="211">
        <f>IF(AND(ISNUMBER(M188),ISNUMBER(M192)),IF(ABS(M188+M189+M190+M191-M192)&lt;=1.01,0,ROUND(M188+M189+M190+M191-M192,0)),"")</f>
        <v>0</v>
      </c>
      <c r="N193" s="211">
        <f>IF(AND(ISNUMBER(N188),ISNUMBER(N192)),IF(ABS(N188+N189+N190+N191-N192)&lt;=1.01,0,ROUND(N188+N189+N190+N191-N192,0)),"")</f>
        <v>0</v>
      </c>
      <c r="O193" s="211">
        <f>IF(AND(ISNUMBER(O188),ISNUMBER(O192)),IF(ABS(O188+O189+O190+O191-O192)&lt;=1.01,0,ROUND(O188+O189+O190+O191-O192,0)),"")</f>
        <v>0</v>
      </c>
      <c r="P193" s="211">
        <f>IF(AND(ISNUMBER(P188),ISNUMBER(P192)),IF(ABS(P188+P189+P190+P191-P192)&lt;=1.01,0,ROUND(P188+P189+P190+P191-P192,0)),"")</f>
        <v>0</v>
      </c>
      <c r="Q193" s="211">
        <f>IF(AND(ISNUMBER(Q188),ISNUMBER(Q192)),IF(ABS(Q188+Q189+Q190+Q191-Q192)&lt;=1.01,0,ROUND(Q188+Q189+Q190+Q191-Q192,0)),"")</f>
        <v>0</v>
      </c>
      <c r="R193" s="211">
        <f>IF(AND(ISNUMBER(R188),ISNUMBER(R192)),IF(ABS(R188+R189+R190+R191-R192)&lt;=1.01,0,ROUND(R188+R189+R190+R191-R192,0)),"")</f>
        <v>0</v>
      </c>
      <c r="S193" s="211">
        <f>IF(AND(ISNUMBER(S188),ISNUMBER(S192)),IF(ABS(S188+S189+S190+S191-S192)&lt;=1.01,0,ROUND(S188+S189+S190+S191-S192,0)),"")</f>
        <v>0</v>
      </c>
      <c r="T193" s="211">
        <f>IF(AND(ISNUMBER(T188),ISNUMBER(T192)),IF(ABS(T188+T189+T190+T191-T192)&lt;=1.01,0,ROUND(T188+T189+T190+T191-T192,0)),"")</f>
        <v>0</v>
      </c>
      <c r="U193" s="211">
        <f>IF(AND(ISNUMBER(U188),ISNUMBER(U192)),IF(ABS(U188+U189+U190+U191-U192)&lt;=1.01,0,ROUND(U188+U189+U190+U191-U192,0)),"")</f>
        <v>0</v>
      </c>
      <c r="V193" s="211">
        <f>IF(AND(ISNUMBER(V188),ISNUMBER(V192)),IF(ABS(V188+V189+V190+V191-V192)&lt;=1.01,0,ROUND(V188+V189+V190+V191-V192,0)),"")</f>
        <v>0</v>
      </c>
      <c r="W193" s="211">
        <f>IF(AND(ISNUMBER(W188),ISNUMBER(W192)),IF(ABS(W188+W189+W190+W191-W192)&lt;=1.01,0,ROUND(W188+W189+W190+W191-W192,0)),"")</f>
        <v>0</v>
      </c>
      <c r="X193" s="211">
        <f>IF(AND(ISNUMBER(X188),ISNUMBER(X192)),IF(ABS(X188+X189+X190+X191-X192)&lt;=1.01,0,ROUND(X188+X189+X190+X191-X192,0)),"")</f>
        <v>0</v>
      </c>
      <c r="Y193" s="211">
        <f>IF(AND(ISNUMBER(Y188),ISNUMBER(Y192)),IF(ABS(Y188+Y189+Y190+Y191-Y192)&lt;=1.01,0,ROUND(Y188+Y189+Y190+Y191-Y192,0)),"")</f>
        <v>0</v>
      </c>
      <c r="Z193" s="211">
        <f>IF(AND(ISNUMBER(Z188),ISNUMBER(Z192)),IF(ABS(Z188+Z189+Z190+Z191-Z192)&lt;=1.01,0,ROUND(Z188+Z189+Z190+Z191-Z192,0)),"")</f>
        <v>0</v>
      </c>
      <c r="AA193" s="211">
        <f>IF(AND(ISNUMBER(AA188),ISNUMBER(AA192)),IF(ABS(AA188+AA189+AA190+AA191-AA192)&lt;=1.01,0,ROUND(AA188+AA189+AA190+AA191-AA192,0)),"")</f>
        <v>0</v>
      </c>
      <c r="AB193" s="211">
        <f>IF(AND(ISNUMBER(AB188),ISNUMBER(AB192)),IF(ABS(AB188+AB189+AB190+AB191-AB192)&lt;=1.01,0,ROUND(AB188+AB189+AB190+AB191-AB192,0)),"")</f>
        <v>0</v>
      </c>
      <c r="AC193" s="211">
        <f>IF(AND(ISNUMBER(AC188),ISNUMBER(AC192)),IF(ABS(AC188+AC189+AC190+AC191-AC192)&lt;=1.01,0,ROUND(AC188+AC189+AC190+AC191-AC192,0)),"")</f>
        <v>0</v>
      </c>
      <c r="AD193" s="211">
        <f>IF(AND(ISNUMBER(AD188),ISNUMBER(AD192)),IF(ABS(AD188+AD189+AD190+AD191-AD192)&lt;=1.01,0,ROUND(AD188+AD189+AD190+AD191-AD192,0)),"")</f>
        <v>0</v>
      </c>
      <c r="AE193" s="211">
        <f>IF(AND(ISNUMBER(AE188),ISNUMBER(AE192)),IF(ABS(AE188+AE189+AE190+AE191-AE192)&lt;=1.01,0,ROUND(AE188+AE189+AE190+AE191-AE192,0)),"")</f>
        <v>0</v>
      </c>
      <c r="AF193" s="211">
        <f>IF(AND(ISNUMBER(AF188),ISNUMBER(AF192)),IF(ABS(AF188+AF189+AF190+AF191-AF192)&lt;=1.01,0,ROUND(AF188+AF189+AF190+AF191-AF192,0)),"")</f>
        <v>0</v>
      </c>
      <c r="AG193" s="211">
        <f>IF(AND(ISNUMBER(AG188),ISNUMBER(AG192)),IF(ABS(AG188+AG189+AG190+AG191-AG192)&lt;=1.01,0,ROUND(AG188+AG189+AG190+AG191-AG192,0)),"")</f>
        <v>0</v>
      </c>
      <c r="AH193" s="211">
        <f>IF(AND(ISNUMBER(AH188),ISNUMBER(AH192)),IF(ABS(AH188+AH189+AH190+AH191-AH192)&lt;=1.01,0,ROUND(AH188+AH189+AH190+AH191-AH192,0)),"")</f>
        <v>0</v>
      </c>
      <c r="AI193" s="211">
        <f>IF(AND(ISNUMBER(AI188),ISNUMBER(AI192)),IF(ABS(AI188+AI189+AI190+AI191-AI192)&lt;=1.01,0,ROUND(AI188+AI189+AI190+AI191-AI192,0)),"")</f>
        <v>0</v>
      </c>
      <c r="AJ193" s="211">
        <f>IF(AND(ISNUMBER(AJ188),ISNUMBER(AJ192)),IF(ABS(AJ188+AJ189+AJ190+AJ191-AJ192)&lt;=1.01,0,ROUND(AJ188+AJ189+AJ190+AJ191-AJ192,0)),"")</f>
        <v>0</v>
      </c>
      <c r="AK193" s="211">
        <f>IF(AND(ISNUMBER(AK188),ISNUMBER(AK192)),IF(ABS(AK188+AK189+AK190+AK191-AK192)&lt;=1.01,0,ROUND(AK188+AK189+AK190+AK191-AK192,0)),"")</f>
        <v>0</v>
      </c>
      <c r="AL193" s="211">
        <f>IF(AND(ISNUMBER(AL188),ISNUMBER(AL192)),IF(ABS(AL188+AL189+AL190+AL191-AL192)&lt;=1.01,0,ROUND(AL188+AL189+AL190+AL191-AL192,0)),"")</f>
        <v>0</v>
      </c>
      <c r="AM193" s="211">
        <f>IF(AND(ISNUMBER(AM188),ISNUMBER(AM192)),IF(ABS(AM188+AM189+AM190+AM191-AM192)&lt;=1.01,0,ROUND(AM188+AM189+AM190+AM191-AM192,0)),"")</f>
        <v>0</v>
      </c>
      <c r="AN193" s="211">
        <f>IF(AND(ISNUMBER(AN188),ISNUMBER(AN192)),IF(ABS(AN188+AN189+AN190+AN191-AN192)&lt;=1.01,0,ROUND(AN188+AN189+AN190+AN191-AN192,0)),"")</f>
        <v>0</v>
      </c>
      <c r="AO193" s="211">
        <f>IF(AND(ISNUMBER(AO188),ISNUMBER(AO192)),IF(ABS(AO188+AO189+AO190+AO191-AO192)&lt;=1.01,0,ROUND(AO188+AO189+AO190+AO191-AO192,0)),"")</f>
        <v>0</v>
      </c>
      <c r="AP193" s="211">
        <f>IF(AND(ISNUMBER(AP188),ISNUMBER(AP192)),IF(ABS(AP188+AP189+AP190+AP191-AP192)&lt;=1.01,0,ROUND(AP188+AP189+AP190+AP191-AP192,0)),"")</f>
        <v>0</v>
      </c>
      <c r="AQ193" s="211">
        <f>IF(AND(ISNUMBER(AQ188),ISNUMBER(AQ192)),IF(ABS(AQ188+AQ189+AQ190+AQ191-AQ192)&lt;=1.01,0,ROUND(AQ188+AQ189+AQ190+AQ191-AQ192,0)),"")</f>
        <v>0</v>
      </c>
      <c r="AR193" s="211">
        <f>IF(AND(ISNUMBER(AR188),ISNUMBER(AR192)),IF(ABS(AR188+AR189+AR190+AR191-AR192)&lt;=1.01,0,ROUND(AR188+AR189+AR190+AR191-AR192,0)),"")</f>
        <v>0</v>
      </c>
      <c r="AS193" s="211">
        <f>IF(AND(ISNUMBER(AS188),ISNUMBER(AS192)),IF(ABS(AS188+AS189+AS190+AS191-AS192)&lt;=1.01,0,ROUND(AS188+AS189+AS190+AS191-AS192,0)),"")</f>
        <v>0</v>
      </c>
      <c r="AT193" s="211">
        <f>IF(AND(ISNUMBER(AT188),ISNUMBER(AT192)),IF(ABS(AT188+AT189+AT190+AT191-AT192)&lt;=1.01,0,ROUND(AT188+AT189+AT190+AT191-AT192,0)),"")</f>
        <v>0</v>
      </c>
      <c r="AU193" s="211">
        <f>IF(AND(ISNUMBER(AU188),ISNUMBER(AU192)),IF(ABS(AU188+AU189+AU190+AU191-AU192)&lt;=1.01,0,ROUND(AU188+AU189+AU190+AU191-AU192,0)),"")</f>
        <v>0</v>
      </c>
      <c r="AV193" s="211">
        <f>IF(AND(ISNUMBER(AV188),ISNUMBER(AV192)),IF(ABS(AV188+AV189+AV190+AV191-AV192)&lt;=1.01,0,ROUND(AV188+AV189+AV190+AV191-AV192,0)),"")</f>
        <v>0</v>
      </c>
      <c r="AW193" s="211">
        <f>IF(AND(ISNUMBER(AW188),ISNUMBER(AW192)),IF(ABS(AW188+AW189+AW190+AW191-AW192)&lt;=1.01,0,ROUND(AW188+AW189+AW190+AW191-AW192,0)),"")</f>
        <v>0</v>
      </c>
      <c r="AX193" s="211">
        <f>IF(AND(ISNUMBER(AX188),ISNUMBER(AX192)),IF(ABS(AX188+AX189+AX190+AX191-AX192)&lt;=1.01,0,ROUND(AX188+AX189+AX190+AX191-AX192,0)),"")</f>
        <v>0</v>
      </c>
      <c r="AY193" s="211">
        <f>IF(AND(ISNUMBER(AY188),ISNUMBER(AY192)),IF(ABS(AY188+AY189+AY190+AY191-AY192)&lt;=1.01,0,ROUND(AY188+AY189+AY190+AY191-AY192,0)),"")</f>
        <v>0</v>
      </c>
      <c r="AZ193" s="211">
        <f>IF(AND(ISNUMBER(AZ188),ISNUMBER(AZ192)),IF(ABS(AZ188+AZ189+AZ190+AZ191-AZ192)&lt;=1.01,0,ROUND(AZ188+AZ189+AZ190+AZ191-AZ192,0)),"")</f>
        <v>0</v>
      </c>
      <c r="BA193" s="211">
        <f>IF(AND(ISNUMBER(BA188),ISNUMBER(BA192)),IF(ABS(BA188+BA189+BA190+BA191-BA192)&lt;=1.01,0,ROUND(BA188+BA189+BA190+BA191-BA192,0)),"")</f>
        <v>0</v>
      </c>
      <c r="BB193" s="211">
        <f>IF(AND(ISNUMBER(BB188),ISNUMBER(BB192)),IF(ABS(BB188+BB189+BB190+BB191-BB192)&lt;=1.01,0,ROUND(BB188+BB189+BB190+BB191-BB192,0)),"")</f>
        <v>0</v>
      </c>
      <c r="BC193" s="211">
        <f>IF(AND(ISNUMBER(BC188),ISNUMBER(BC192)),IF(ABS(BC188+BC189+BC190+BC191-BC192)&lt;=1.01,0,ROUND(BC188+BC189+BC190+BC191-BC192,0)),"")</f>
        <v>0</v>
      </c>
      <c r="BD193" s="211">
        <f>IF(AND(ISNUMBER(BD188),ISNUMBER(BD192)),IF(ABS(BD188+BD189+BD190+BD191-BD192)&lt;=1.01,0,ROUND(BD188+BD189+BD190+BD191-BD192,0)),"")</f>
        <v>0</v>
      </c>
      <c r="BE193" s="211">
        <f>IF(AND(ISNUMBER(BE188),ISNUMBER(BE192)),IF(ABS(BE188+BE189+BE190+BE191-BE192)&lt;=1.01,0,ROUND(BE188+BE189+BE190+BE191-BE192,0)),"")</f>
        <v>0</v>
      </c>
      <c r="BF193" s="211">
        <f>IF(AND(ISNUMBER(BF188),ISNUMBER(BF192)),IF(ABS(BF188+BF189+BF190+BF191-BF192)&lt;=1.01,0,ROUND(BF188+BF189+BF190+BF191-BF192,0)),"")</f>
        <v>0</v>
      </c>
      <c r="BG193" s="211">
        <f>IF(AND(ISNUMBER(BG188),ISNUMBER(BG192)),IF(ABS(BG188+BG189+BG190+BG191-BG192)&lt;=1.01,0,ROUND(BG188+BG189+BG190+BG191-BG192,0)),"")</f>
        <v>0</v>
      </c>
      <c r="BH193" s="211">
        <f>IF(AND(ISNUMBER(BH188),ISNUMBER(BH192)),IF(ABS(BH188+BH189+BH190+BH191-BH192)&lt;=1.01,0,ROUND(BH188+BH189+BH190+BH191-BH192,0)),"")</f>
        <v>0</v>
      </c>
      <c r="BI193" s="211">
        <f>IF(AND(ISNUMBER(BI188),ISNUMBER(BI192)),IF(ABS(BI188+BI189+BI190+BI191-BI192)&lt;=1.01,0,ROUND(BI188+BI189+BI190+BI191-BI192,0)),"")</f>
        <v>0</v>
      </c>
      <c r="BJ193" s="211">
        <f>IF(AND(ISNUMBER(BJ188),ISNUMBER(BJ192)),IF(ABS(BJ188+BJ189+BJ190+BJ191-BJ192)&lt;=1.01,0,ROUND(BJ188+BJ189+BJ190+BJ191-BJ192,0)),"")</f>
        <v>0</v>
      </c>
      <c r="BK193" s="211">
        <f>IF(AND(ISNUMBER(BK188),ISNUMBER(BK192)),IF(ABS(BK188+BK189+BK190+BK191-BK192)&lt;=1.01,0,ROUND(BK188+BK189+BK190+BK191-BK192,0)),"")</f>
        <v>0</v>
      </c>
      <c r="BL193" s="211">
        <f>IF(AND(ISNUMBER(BL188),ISNUMBER(BL192)),IF(ABS(BL188+BL189+BL190+BL191-BL192)&lt;=1.01,0,ROUND(BL188+BL189+BL190+BL191-BL192,0)),"")</f>
        <v>0</v>
      </c>
      <c r="BM193" s="211">
        <f>IF(AND(ISNUMBER(BM188),ISNUMBER(BM192)),IF(ABS(BM188+BM189+BM190+BM191-BM192)&lt;=1.01,0,ROUND(BM188+BM189+BM190+BM191-BM192,0)),"")</f>
        <v>0</v>
      </c>
      <c r="BN193" s="211">
        <f>IF(AND(ISNUMBER(BN188),ISNUMBER(BN192)),IF(ABS(BN188+BN189+BN190+BN191-BN192)&lt;=1.01,0,ROUND(BN188+BN189+BN190+BN191-BN192,0)),"")</f>
        <v>0</v>
      </c>
      <c r="BO193" s="211">
        <f>IF(AND(ISNUMBER(BO188),ISNUMBER(BO192)),IF(ABS(BO188+BO189+BO190+BO191-BO192)&lt;=1.01,0,ROUND(BO188+BO189+BO190+BO191-BO192,0)),"")</f>
        <v>0</v>
      </c>
      <c r="BP193" s="211">
        <f>IF(AND(ISNUMBER(BP188),ISNUMBER(BP192)),IF(ABS(BP188+BP189+BP190+BP191-BP192)&lt;=1.01,0,ROUND(BP188+BP189+BP190+BP191-BP192,0)),"")</f>
        <v>0</v>
      </c>
      <c r="BQ193" s="211">
        <f>IF(AND(ISNUMBER(BQ188),ISNUMBER(BQ192)),IF(ABS(BQ188+BQ189+BQ190+BQ191-BQ192)&lt;=1.01,0,ROUND(BQ188+BQ189+BQ190+BQ191-BQ192,0)),"")</f>
        <v>0</v>
      </c>
      <c r="BR193" s="211">
        <f>IF(AND(ISNUMBER(BR188),ISNUMBER(BR192)),IF(ABS(BR188+BR189+BR190+BR191-BR192)&lt;=1.01,0,ROUND(BR188+BR189+BR190+BR191-BR192,0)),"")</f>
        <v>0</v>
      </c>
      <c r="BS193" s="211">
        <f>IF(AND(ISNUMBER(BS188),ISNUMBER(BS192)),IF(ABS(BS188+BS189+BS190+BS191-BS192)&lt;=1.01,0,ROUND(BS188+BS189+BS190+BS191-BS192,0)),"")</f>
        <v>0</v>
      </c>
      <c r="BT193" s="211">
        <f>IF(AND(ISNUMBER(BT188),ISNUMBER(BT192)),IF(ABS(BT188+BT189+BT190+BT191-BT192)&lt;=1.01,0,ROUND(BT188+BT189+BT190+BT191-BT192,0)),"")</f>
        <v>0</v>
      </c>
      <c r="BU193" s="153" t="n"/>
      <c r="BV193" s="153" t="n"/>
      <c r="BW193" s="153" t="n"/>
      <c r="BX193" s="153" t="n"/>
      <c r="BY193" s="153" t="n"/>
      <c r="BZ193" s="153" t="n"/>
      <c r="CA193" s="153" t="n"/>
      <c r="CB193" s="153" t="n"/>
      <c r="CC193" s="153" t="n"/>
    </row>
    <row r="194" ht="15" customHeight="1" s="251">
      <c r="B194" s="25" t="inlineStr">
        <is>
          <t>Gain (loss) on dispositions (income +; FY2010–12 "other income" inside OP)</t>
        </is>
      </c>
      <c r="C194" s="253" t="n">
        <v>7</v>
      </c>
      <c r="D194" s="253" t="n">
        <v>13</v>
      </c>
      <c r="E194" s="253" t="n">
        <v>52</v>
      </c>
      <c r="F194" s="253" t="n">
        <v>0</v>
      </c>
      <c r="G194" s="253" t="n">
        <v>0</v>
      </c>
      <c r="H194" s="253" t="n">
        <v>24</v>
      </c>
      <c r="I194" s="253" t="n">
        <v>-36</v>
      </c>
      <c r="J194" s="253" t="n">
        <v>-12</v>
      </c>
      <c r="K194" s="253" t="n">
        <v>0</v>
      </c>
      <c r="L194" s="253" t="n">
        <v>-9</v>
      </c>
      <c r="M194" s="253" t="n">
        <v>0</v>
      </c>
      <c r="N194" s="253" t="n">
        <v>0</v>
      </c>
      <c r="O194" s="253" t="n">
        <v>-9</v>
      </c>
      <c r="P194" s="253" t="n">
        <v>0</v>
      </c>
      <c r="Q194" s="253" t="n">
        <v>11</v>
      </c>
      <c r="R194" s="253" t="n">
        <v>0</v>
      </c>
      <c r="S194" s="253" t="n">
        <v>0</v>
      </c>
      <c r="T194" s="253" t="n">
        <v>11</v>
      </c>
      <c r="U194" s="253" t="n">
        <v>0</v>
      </c>
      <c r="V194" s="253" t="n">
        <v>0</v>
      </c>
      <c r="W194" s="253" t="n">
        <v>722</v>
      </c>
      <c r="X194" s="253" t="n">
        <v>379</v>
      </c>
      <c r="Y194" s="253" t="n">
        <v>1101</v>
      </c>
      <c r="Z194" s="253" t="n">
        <v>0</v>
      </c>
      <c r="AA194" s="253" t="n">
        <v>0</v>
      </c>
      <c r="AB194" s="253" t="n">
        <v>0</v>
      </c>
      <c r="AC194" s="253" t="n">
        <v>0</v>
      </c>
      <c r="AD194" s="253" t="n">
        <v>0</v>
      </c>
      <c r="AE194" s="253" t="n">
        <v>0</v>
      </c>
      <c r="AF194" s="253" t="n">
        <v>0</v>
      </c>
      <c r="AG194" s="253" t="n">
        <v>0</v>
      </c>
      <c r="AH194" s="253" t="n">
        <v>0</v>
      </c>
      <c r="AI194" s="253" t="n">
        <v>0</v>
      </c>
      <c r="AJ194" s="253" t="n">
        <v>0</v>
      </c>
      <c r="AK194" s="253" t="n">
        <v>0</v>
      </c>
      <c r="AL194" s="253" t="n">
        <v>49</v>
      </c>
      <c r="AM194" s="253" t="n">
        <v>0</v>
      </c>
      <c r="AN194" s="253" t="n">
        <v>49</v>
      </c>
      <c r="AO194" s="253" t="n">
        <v>7</v>
      </c>
      <c r="AP194" s="253" t="n">
        <v>1</v>
      </c>
      <c r="AQ194" s="253" t="n">
        <v>8</v>
      </c>
      <c r="AR194" s="253" t="n">
        <v>0</v>
      </c>
      <c r="AS194" s="253" t="n">
        <v>16</v>
      </c>
      <c r="AT194" s="253" t="n">
        <v>2</v>
      </c>
      <c r="AU194" s="253" t="n">
        <v>0</v>
      </c>
      <c r="AV194" s="253" t="n">
        <v>3</v>
      </c>
      <c r="AW194" s="253" t="n">
        <v>7</v>
      </c>
      <c r="AX194" s="253" t="n">
        <v>11</v>
      </c>
      <c r="AY194" s="253" t="n">
        <v>1344</v>
      </c>
      <c r="AZ194" s="253" t="n">
        <v>556</v>
      </c>
      <c r="BA194" s="253" t="n">
        <v>-2</v>
      </c>
      <c r="BB194" s="253" t="n">
        <v>1</v>
      </c>
      <c r="BC194" s="253" t="n">
        <v>1898</v>
      </c>
      <c r="BD194" s="253" t="n">
        <v>50</v>
      </c>
      <c r="BE194" s="253" t="n">
        <v>-119</v>
      </c>
      <c r="BF194" s="253" t="n">
        <v>0</v>
      </c>
      <c r="BG194" s="253" t="n">
        <v>-1</v>
      </c>
      <c r="BH194" s="253" t="n">
        <v>-70</v>
      </c>
      <c r="BI194" s="253" t="n">
        <v>0</v>
      </c>
      <c r="BJ194" s="253" t="n">
        <v>0</v>
      </c>
      <c r="BK194" s="253" t="n">
        <v>21</v>
      </c>
      <c r="BL194" s="253" t="n">
        <v>38</v>
      </c>
      <c r="BM194" s="253" t="n">
        <v>59</v>
      </c>
      <c r="BN194" s="253" t="n">
        <v>0</v>
      </c>
      <c r="BO194" s="253" t="n">
        <v>3</v>
      </c>
      <c r="BP194" s="253" t="n">
        <v>0</v>
      </c>
      <c r="BQ194" s="253" t="n">
        <v>270</v>
      </c>
      <c r="BR194" s="253" t="n">
        <v>273</v>
      </c>
      <c r="BS194" s="253" t="n">
        <v>175</v>
      </c>
      <c r="BT194" s="253" t="n">
        <v>11</v>
      </c>
      <c r="BU194" s="254">
        <f>-BU179</f>
        <v>0</v>
      </c>
      <c r="BV194" s="254">
        <f>-BV179</f>
        <v>250</v>
      </c>
      <c r="BW194" s="254">
        <f>SUM(BS194:BV194)</f>
        <v>436</v>
      </c>
      <c r="BX194" s="254">
        <f>-BX179</f>
        <v>0</v>
      </c>
      <c r="BY194" s="254">
        <f>-BY179</f>
        <v>0</v>
      </c>
      <c r="BZ194" s="254">
        <f>-BZ179</f>
        <v>0</v>
      </c>
      <c r="CA194" s="254">
        <f>-CA179</f>
        <v>0</v>
      </c>
      <c r="CB194" s="254">
        <f>-CB179</f>
        <v>0</v>
      </c>
      <c r="CC194" s="19" t="n"/>
    </row>
    <row r="195" ht="15" customHeight="1" s="251">
      <c r="B195" s="25" t="inlineStr">
        <is>
          <t>Equity in income on unconsolidated subsidiaries (OSTTRA)</t>
        </is>
      </c>
      <c r="C195" s="253" t="n">
        <v>0</v>
      </c>
      <c r="D195" s="253" t="n">
        <v>0</v>
      </c>
      <c r="E195" s="253" t="n">
        <v>0</v>
      </c>
      <c r="F195" s="253" t="n">
        <v>0</v>
      </c>
      <c r="G195" s="253" t="n">
        <v>0</v>
      </c>
      <c r="H195" s="253" t="n">
        <v>0</v>
      </c>
      <c r="I195" s="253" t="n">
        <v>0</v>
      </c>
      <c r="J195" s="253" t="n">
        <v>0</v>
      </c>
      <c r="K195" s="253" t="n">
        <v>0</v>
      </c>
      <c r="L195" s="253" t="n">
        <v>0</v>
      </c>
      <c r="M195" s="253" t="n">
        <v>0</v>
      </c>
      <c r="N195" s="253" t="n">
        <v>0</v>
      </c>
      <c r="O195" s="253" t="n">
        <v>0</v>
      </c>
      <c r="P195" s="253" t="n">
        <v>0</v>
      </c>
      <c r="Q195" s="253" t="n">
        <v>0</v>
      </c>
      <c r="R195" s="253" t="n">
        <v>0</v>
      </c>
      <c r="S195" s="253" t="n">
        <v>0</v>
      </c>
      <c r="T195" s="253" t="n">
        <v>0</v>
      </c>
      <c r="U195" s="253" t="n">
        <v>0</v>
      </c>
      <c r="V195" s="253" t="n">
        <v>0</v>
      </c>
      <c r="W195" s="253" t="n">
        <v>0</v>
      </c>
      <c r="X195" s="253" t="n">
        <v>0</v>
      </c>
      <c r="Y195" s="253" t="n">
        <v>0</v>
      </c>
      <c r="Z195" s="253" t="n">
        <v>0</v>
      </c>
      <c r="AA195" s="253" t="n">
        <v>0</v>
      </c>
      <c r="AB195" s="253" t="n">
        <v>0</v>
      </c>
      <c r="AC195" s="253" t="n">
        <v>0</v>
      </c>
      <c r="AD195" s="253" t="n">
        <v>0</v>
      </c>
      <c r="AE195" s="253" t="n">
        <v>0</v>
      </c>
      <c r="AF195" s="253" t="n">
        <v>0</v>
      </c>
      <c r="AG195" s="253" t="n">
        <v>0</v>
      </c>
      <c r="AH195" s="253" t="n">
        <v>0</v>
      </c>
      <c r="AI195" s="253" t="n">
        <v>0</v>
      </c>
      <c r="AJ195" s="253" t="n">
        <v>0</v>
      </c>
      <c r="AK195" s="253" t="n">
        <v>0</v>
      </c>
      <c r="AL195" s="253" t="n">
        <v>0</v>
      </c>
      <c r="AM195" s="253" t="n">
        <v>0</v>
      </c>
      <c r="AN195" s="253" t="n">
        <v>0</v>
      </c>
      <c r="AO195" s="253" t="n">
        <v>0</v>
      </c>
      <c r="AP195" s="253" t="n">
        <v>0</v>
      </c>
      <c r="AQ195" s="253" t="n">
        <v>0</v>
      </c>
      <c r="AR195" s="253" t="n">
        <v>0</v>
      </c>
      <c r="AS195" s="253" t="n">
        <v>0</v>
      </c>
      <c r="AT195" s="253" t="n">
        <v>0</v>
      </c>
      <c r="AU195" s="253" t="n">
        <v>0</v>
      </c>
      <c r="AV195" s="253" t="n">
        <v>0</v>
      </c>
      <c r="AW195" s="253" t="n">
        <v>0</v>
      </c>
      <c r="AX195" s="253" t="n">
        <v>0</v>
      </c>
      <c r="AY195" s="253" t="n">
        <v>3</v>
      </c>
      <c r="AZ195" s="253" t="n">
        <v>11</v>
      </c>
      <c r="BA195" s="253" t="n">
        <v>6</v>
      </c>
      <c r="BB195" s="253" t="n">
        <v>6</v>
      </c>
      <c r="BC195" s="253" t="n">
        <v>27</v>
      </c>
      <c r="BD195" s="253" t="n">
        <v>14</v>
      </c>
      <c r="BE195" s="253" t="n">
        <v>11</v>
      </c>
      <c r="BF195" s="253" t="n">
        <v>8</v>
      </c>
      <c r="BG195" s="253" t="n">
        <v>3</v>
      </c>
      <c r="BH195" s="253" t="n">
        <v>36</v>
      </c>
      <c r="BI195" s="253" t="n">
        <v>6</v>
      </c>
      <c r="BJ195" s="253" t="n">
        <v>13</v>
      </c>
      <c r="BK195" s="253" t="n">
        <v>11</v>
      </c>
      <c r="BL195" s="253" t="n">
        <v>12</v>
      </c>
      <c r="BM195" s="253" t="n">
        <v>43</v>
      </c>
      <c r="BN195" s="253" t="n">
        <v>11</v>
      </c>
      <c r="BO195" s="253" t="n">
        <v>11</v>
      </c>
      <c r="BP195" s="253" t="n">
        <v>7</v>
      </c>
      <c r="BQ195" s="253" t="n">
        <v>-1</v>
      </c>
      <c r="BR195" s="253" t="n">
        <v>28</v>
      </c>
      <c r="BS195" s="253" t="n">
        <v>0</v>
      </c>
      <c r="BT195" s="253" t="n">
        <v>0</v>
      </c>
      <c r="BU195" s="254">
        <f>BU112</f>
        <v>0</v>
      </c>
      <c r="BV195" s="254">
        <f>BV112</f>
        <v>0</v>
      </c>
      <c r="BW195" s="254">
        <f>SUM(BS195:BV195)</f>
        <v>0</v>
      </c>
      <c r="BX195" s="254">
        <f>BX112</f>
        <v>0</v>
      </c>
      <c r="BY195" s="254">
        <f>BY112</f>
        <v>0</v>
      </c>
      <c r="BZ195" s="254">
        <f>BZ112</f>
        <v>0</v>
      </c>
      <c r="CA195" s="254">
        <f>CA112</f>
        <v>0</v>
      </c>
      <c r="CB195" s="254">
        <f>CB112</f>
        <v>0</v>
      </c>
      <c r="CC195" s="19" t="n"/>
    </row>
    <row r="196" ht="15" customHeight="1" s="251">
      <c r="B196" s="55" t="inlineStr">
        <is>
          <t>Operating profit</t>
        </is>
      </c>
      <c r="C196" s="276" t="n">
        <v>1026</v>
      </c>
      <c r="D196" s="276" t="n">
        <v>1077</v>
      </c>
      <c r="E196" s="276" t="n">
        <v>1211</v>
      </c>
      <c r="F196" s="276" t="n">
        <v>278</v>
      </c>
      <c r="G196" s="276" t="n">
        <v>436</v>
      </c>
      <c r="H196" s="276" t="n">
        <v>407</v>
      </c>
      <c r="I196" s="276" t="n">
        <v>284</v>
      </c>
      <c r="J196" s="276" t="n">
        <v>1405</v>
      </c>
      <c r="K196" s="276" t="n">
        <v>430</v>
      </c>
      <c r="L196" s="276" t="n">
        <v>486</v>
      </c>
      <c r="M196" s="276" t="n">
        <v>366</v>
      </c>
      <c r="N196" s="276" t="n">
        <v>-1148</v>
      </c>
      <c r="O196" s="276" t="n">
        <v>113</v>
      </c>
      <c r="P196" s="276" t="n">
        <v>501</v>
      </c>
      <c r="Q196" s="276" t="n">
        <v>582</v>
      </c>
      <c r="R196" s="276" t="n">
        <v>410</v>
      </c>
      <c r="S196" s="276" t="n">
        <v>424</v>
      </c>
      <c r="T196" s="276" t="n">
        <v>1917</v>
      </c>
      <c r="U196" s="276" t="n">
        <v>512</v>
      </c>
      <c r="V196" s="276" t="n">
        <v>651</v>
      </c>
      <c r="W196" s="276" t="n">
        <v>1348</v>
      </c>
      <c r="X196" s="276" t="n">
        <v>857</v>
      </c>
      <c r="Y196" s="276" t="n">
        <v>3369</v>
      </c>
      <c r="Z196" s="276" t="n">
        <v>648</v>
      </c>
      <c r="AA196" s="276" t="n">
        <v>677</v>
      </c>
      <c r="AB196" s="276" t="n">
        <v>658</v>
      </c>
      <c r="AC196" s="276" t="n">
        <v>628</v>
      </c>
      <c r="AD196" s="276" t="n">
        <v>2610</v>
      </c>
      <c r="AE196" s="276" t="n">
        <v>711</v>
      </c>
      <c r="AF196" s="276" t="n">
        <v>672</v>
      </c>
      <c r="AG196" s="276" t="n">
        <v>704</v>
      </c>
      <c r="AH196" s="276" t="n">
        <v>704</v>
      </c>
      <c r="AI196" s="276" t="n">
        <v>2790</v>
      </c>
      <c r="AJ196" s="276" t="n">
        <v>705</v>
      </c>
      <c r="AK196" s="276" t="n">
        <v>813</v>
      </c>
      <c r="AL196" s="276" t="n">
        <v>891</v>
      </c>
      <c r="AM196" s="276" t="n">
        <v>818</v>
      </c>
      <c r="AN196" s="276" t="n">
        <v>3226</v>
      </c>
      <c r="AO196" s="276" t="n">
        <v>912</v>
      </c>
      <c r="AP196" s="276" t="n">
        <v>1105</v>
      </c>
      <c r="AQ196" s="276" t="n">
        <v>944</v>
      </c>
      <c r="AR196" s="276" t="n">
        <v>656</v>
      </c>
      <c r="AS196" s="276" t="n">
        <v>3617</v>
      </c>
      <c r="AT196" s="276" t="n">
        <v>1081</v>
      </c>
      <c r="AU196" s="276" t="n">
        <v>1154</v>
      </c>
      <c r="AV196" s="276" t="n">
        <v>1083</v>
      </c>
      <c r="AW196" s="276" t="n">
        <v>904</v>
      </c>
      <c r="AX196" s="276" t="n">
        <v>4221</v>
      </c>
      <c r="AY196" s="276" t="n">
        <v>1892</v>
      </c>
      <c r="AZ196" s="276" t="n">
        <v>1482</v>
      </c>
      <c r="BA196" s="276" t="n">
        <v>853</v>
      </c>
      <c r="BB196" s="276" t="n">
        <v>717</v>
      </c>
      <c r="BC196" s="276" t="n">
        <v>4944</v>
      </c>
      <c r="BD196" s="276" t="n">
        <v>1144</v>
      </c>
      <c r="BE196" s="276" t="n">
        <v>911</v>
      </c>
      <c r="BF196" s="276" t="n">
        <v>1074</v>
      </c>
      <c r="BG196" s="276" t="n">
        <v>890</v>
      </c>
      <c r="BH196" s="276" t="n">
        <v>4020</v>
      </c>
      <c r="BI196" s="276" t="n">
        <v>1385</v>
      </c>
      <c r="BJ196" s="276" t="n">
        <v>1452</v>
      </c>
      <c r="BK196" s="276" t="n">
        <v>1434</v>
      </c>
      <c r="BL196" s="276" t="n">
        <v>1309</v>
      </c>
      <c r="BM196" s="276" t="n">
        <v>5580</v>
      </c>
      <c r="BN196" s="276" t="n">
        <v>1486</v>
      </c>
      <c r="BO196" s="276" t="n">
        <v>1450</v>
      </c>
      <c r="BP196" s="276" t="n">
        <v>1565</v>
      </c>
      <c r="BQ196" s="276" t="n">
        <v>1638</v>
      </c>
      <c r="BR196" s="276" t="n">
        <v>6140</v>
      </c>
      <c r="BS196" s="276" t="n">
        <v>1927</v>
      </c>
      <c r="BT196" s="276" t="n">
        <v>1757</v>
      </c>
      <c r="BU196" s="269">
        <f>BU141-BU170-(N(BU176)+N(BU177)+N(BU178)+N(BU179)+N(BU180)+N(BU181)+N(BU182))</f>
        <v>1630.82808702302</v>
      </c>
      <c r="BV196" s="269">
        <f>BV141-BV170-(N(BV176)+N(BV177)+N(BV178)+N(BV179)+N(BV180)+N(BV181)+N(BV182))</f>
        <v>1742.45428317199</v>
      </c>
      <c r="BW196" s="269">
        <f>SUM(BS196:BV196)</f>
        <v>7057.28237019501</v>
      </c>
      <c r="BX196" s="269">
        <f>BX141-BX170-(N(BX176)+N(BX177)+N(BX178)+N(BX179)+N(BX180)+N(BX181)+N(BX182))</f>
        <v>7338.99294499657</v>
      </c>
      <c r="BY196" s="269">
        <f>BY141-BY170-(N(BY176)+N(BY177)+N(BY178)+N(BY179)+N(BY180)+N(BY181)+N(BY182))</f>
        <v>7998.58210458068</v>
      </c>
      <c r="BZ196" s="269">
        <f>BZ141-BZ170-(N(BZ176)+N(BZ177)+N(BZ178)+N(BZ179)+N(BZ180)+N(BZ181)+N(BZ182))</f>
        <v>8651.43909821171</v>
      </c>
      <c r="CA196" s="269">
        <f>CA141-CA170-(N(CA176)+N(CA177)+N(CA178)+N(CA179)+N(CA180)+N(CA181)+N(CA182))</f>
        <v>9329.57849710813</v>
      </c>
      <c r="CB196" s="269">
        <f>CB141-CB170-(N(CB176)+N(CB177)+N(CB178)+N(CB179)+N(CB180)+N(CB181)+N(CB182))</f>
        <v>10020.5606283566</v>
      </c>
      <c r="CC196" s="153" t="inlineStr">
        <is>
          <t>Forecast = adjusted OP (division build) − deal-related amortization − non-GAAP adjustments (gains enter with a negative sign).</t>
        </is>
      </c>
      <c r="CE196" s="20">
        <f>IFERROR((CB196/BW196)^(1/5)-1,"n/m")</f>
        <v>0.0726323851130015</v>
      </c>
      <c r="CF196" s="20">
        <f>IFERROR((BR196/AS196)^(1/5)-1,"n/m")</f>
        <v>0.111639505800599</v>
      </c>
      <c r="CG196" s="20">
        <f>IFERROR((BR196/T196)^(1/10)-1,"n/m")</f>
        <v>0.123452269303269</v>
      </c>
      <c r="CH196" s="20">
        <f>IFERROR((BR196/C196)^(1/15)-1,"n/m")</f>
        <v>0.126682115851871</v>
      </c>
    </row>
    <row r="197" ht="15" customHeight="1" s="251">
      <c r="B197" s="57" t="inlineStr">
        <is>
          <t xml:space="preserve">  Check: revenue − expenses + gains + equity income = operating profit (should be 0)</t>
        </is>
      </c>
      <c r="C197" s="211">
        <f>IF(AND(ISNUMBER(C192),ISNUMBER(C196)),IF(ABS(C187-C192+N(C194)+N(C195)-C196)&lt;=1.01,0,ROUND(C187-C192+N(C194)+N(C195)-C196,0)),"")</f>
        <v>0</v>
      </c>
      <c r="D197" s="211">
        <f>IF(AND(ISNUMBER(D192),ISNUMBER(D196)),IF(ABS(D187-D192+N(D194)+N(D195)-D196)&lt;=1.01,0,ROUND(D187-D192+N(D194)+N(D195)-D196,0)),"")</f>
        <v>0</v>
      </c>
      <c r="E197" s="211">
        <f>IF(AND(ISNUMBER(E192),ISNUMBER(E196)),IF(ABS(E187-E192+N(E194)+N(E195)-E196)&lt;=1.01,0,ROUND(E187-E192+N(E194)+N(E195)-E196,0)),"")</f>
        <v>0</v>
      </c>
      <c r="F197" s="211">
        <f>IF(AND(ISNUMBER(F192),ISNUMBER(F196)),IF(ABS(F187-F192+N(F194)+N(F195)-F196)&lt;=1.01,0,ROUND(F187-F192+N(F194)+N(F195)-F196,0)),"")</f>
        <v>0</v>
      </c>
      <c r="G197" s="211">
        <f>IF(AND(ISNUMBER(G192),ISNUMBER(G196)),IF(ABS(G187-G192+N(G194)+N(G195)-G196)&lt;=1.01,0,ROUND(G187-G192+N(G194)+N(G195)-G196,0)),"")</f>
        <v>0</v>
      </c>
      <c r="H197" s="211">
        <f>IF(AND(ISNUMBER(H192),ISNUMBER(H196)),IF(ABS(H187-H192+N(H194)+N(H195)-H196)&lt;=1.01,0,ROUND(H187-H192+N(H194)+N(H195)-H196,0)),"")</f>
        <v>0</v>
      </c>
      <c r="I197" s="211">
        <f>IF(AND(ISNUMBER(I192),ISNUMBER(I196)),IF(ABS(I187-I192+N(I194)+N(I195)-I196)&lt;=1.01,0,ROUND(I187-I192+N(I194)+N(I195)-I196,0)),"")</f>
        <v>0</v>
      </c>
      <c r="J197" s="211">
        <f>IF(AND(ISNUMBER(J192),ISNUMBER(J196)),IF(ABS(J187-J192+N(J194)+N(J195)-J196)&lt;=1.01,0,ROUND(J187-J192+N(J194)+N(J195)-J196,0)),"")</f>
        <v>0</v>
      </c>
      <c r="K197" s="211">
        <f>IF(AND(ISNUMBER(K192),ISNUMBER(K196)),IF(ABS(K187-K192+N(K194)+N(K195)-K196)&lt;=1.01,0,ROUND(K187-K192+N(K194)+N(K195)-K196,0)),"")</f>
        <v>0</v>
      </c>
      <c r="L197" s="211">
        <f>IF(AND(ISNUMBER(L192),ISNUMBER(L196)),IF(ABS(L187-L192+N(L194)+N(L195)-L196)&lt;=1.01,0,ROUND(L187-L192+N(L194)+N(L195)-L196,0)),"")</f>
        <v>0</v>
      </c>
      <c r="M197" s="211">
        <f>IF(AND(ISNUMBER(M192),ISNUMBER(M196)),IF(ABS(M187-M192+N(M194)+N(M195)-M196)&lt;=1.01,0,ROUND(M187-M192+N(M194)+N(M195)-M196,0)),"")</f>
        <v>0</v>
      </c>
      <c r="N197" s="211">
        <f>IF(AND(ISNUMBER(N192),ISNUMBER(N196)),IF(ABS(N187-N192+N(N194)+N(N195)-N196)&lt;=1.01,0,ROUND(N187-N192+N(N194)+N(N195)-N196,0)),"")</f>
        <v>0</v>
      </c>
      <c r="O197" s="211">
        <f>IF(AND(ISNUMBER(O192),ISNUMBER(O196)),IF(ABS(O187-O192+N(O194)+N(O195)-O196)&lt;=1.01,0,ROUND(O187-O192+N(O194)+N(O195)-O196,0)),"")</f>
        <v>0</v>
      </c>
      <c r="P197" s="211">
        <f>IF(AND(ISNUMBER(P192),ISNUMBER(P196)),IF(ABS(P187-P192+N(P194)+N(P195)-P196)&lt;=1.01,0,ROUND(P187-P192+N(P194)+N(P195)-P196,0)),"")</f>
        <v>0</v>
      </c>
      <c r="Q197" s="211">
        <f>IF(AND(ISNUMBER(Q192),ISNUMBER(Q196)),IF(ABS(Q187-Q192+N(Q194)+N(Q195)-Q196)&lt;=1.01,0,ROUND(Q187-Q192+N(Q194)+N(Q195)-Q196,0)),"")</f>
        <v>0</v>
      </c>
      <c r="R197" s="211">
        <f>IF(AND(ISNUMBER(R192),ISNUMBER(R196)),IF(ABS(R187-R192+N(R194)+N(R195)-R196)&lt;=1.01,0,ROUND(R187-R192+N(R194)+N(R195)-R196,0)),"")</f>
        <v>0</v>
      </c>
      <c r="S197" s="211">
        <f>IF(AND(ISNUMBER(S192),ISNUMBER(S196)),IF(ABS(S187-S192+N(S194)+N(S195)-S196)&lt;=1.01,0,ROUND(S187-S192+N(S194)+N(S195)-S196,0)),"")</f>
        <v>0</v>
      </c>
      <c r="T197" s="211">
        <f>IF(AND(ISNUMBER(T192),ISNUMBER(T196)),IF(ABS(T187-T192+N(T194)+N(T195)-T196)&lt;=1.01,0,ROUND(T187-T192+N(T194)+N(T195)-T196,0)),"")</f>
        <v>0</v>
      </c>
      <c r="U197" s="211">
        <f>IF(AND(ISNUMBER(U192),ISNUMBER(U196)),IF(ABS(U187-U192+N(U194)+N(U195)-U196)&lt;=1.01,0,ROUND(U187-U192+N(U194)+N(U195)-U196,0)),"")</f>
        <v>0</v>
      </c>
      <c r="V197" s="211">
        <f>IF(AND(ISNUMBER(V192),ISNUMBER(V196)),IF(ABS(V187-V192+N(V194)+N(V195)-V196)&lt;=1.01,0,ROUND(V187-V192+N(V194)+N(V195)-V196,0)),"")</f>
        <v>0</v>
      </c>
      <c r="W197" s="211">
        <f>IF(AND(ISNUMBER(W192),ISNUMBER(W196)),IF(ABS(W187-W192+N(W194)+N(W195)-W196)&lt;=1.01,0,ROUND(W187-W192+N(W194)+N(W195)-W196,0)),"")</f>
        <v>0</v>
      </c>
      <c r="X197" s="211">
        <f>IF(AND(ISNUMBER(X192),ISNUMBER(X196)),IF(ABS(X187-X192+N(X194)+N(X195)-X196)&lt;=1.01,0,ROUND(X187-X192+N(X194)+N(X195)-X196,0)),"")</f>
        <v>0</v>
      </c>
      <c r="Y197" s="211">
        <f>IF(AND(ISNUMBER(Y192),ISNUMBER(Y196)),IF(ABS(Y187-Y192+N(Y194)+N(Y195)-Y196)&lt;=1.01,0,ROUND(Y187-Y192+N(Y194)+N(Y195)-Y196,0)),"")</f>
        <v>0</v>
      </c>
      <c r="Z197" s="211">
        <f>IF(AND(ISNUMBER(Z192),ISNUMBER(Z196)),IF(ABS(Z187-Z192+N(Z194)+N(Z195)-Z196)&lt;=1.01,0,ROUND(Z187-Z192+N(Z194)+N(Z195)-Z196,0)),"")</f>
        <v>0</v>
      </c>
      <c r="AA197" s="211">
        <f>IF(AND(ISNUMBER(AA192),ISNUMBER(AA196)),IF(ABS(AA187-AA192+N(AA194)+N(AA195)-AA196)&lt;=1.01,0,ROUND(AA187-AA192+N(AA194)+N(AA195)-AA196,0)),"")</f>
        <v>0</v>
      </c>
      <c r="AB197" s="211">
        <f>IF(AND(ISNUMBER(AB192),ISNUMBER(AB196)),IF(ABS(AB187-AB192+N(AB194)+N(AB195)-AB196)&lt;=1.01,0,ROUND(AB187-AB192+N(AB194)+N(AB195)-AB196,0)),"")</f>
        <v>0</v>
      </c>
      <c r="AC197" s="211">
        <f>IF(AND(ISNUMBER(AC192),ISNUMBER(AC196)),IF(ABS(AC187-AC192+N(AC194)+N(AC195)-AC196)&lt;=1.01,0,ROUND(AC187-AC192+N(AC194)+N(AC195)-AC196,0)),"")</f>
        <v>0</v>
      </c>
      <c r="AD197" s="211">
        <f>IF(AND(ISNUMBER(AD192),ISNUMBER(AD196)),IF(ABS(AD187-AD192+N(AD194)+N(AD195)-AD196)&lt;=1.01,0,ROUND(AD187-AD192+N(AD194)+N(AD195)-AD196,0)),"")</f>
        <v>0</v>
      </c>
      <c r="AE197" s="211">
        <f>IF(AND(ISNUMBER(AE192),ISNUMBER(AE196)),IF(ABS(AE187-AE192+N(AE194)+N(AE195)-AE196)&lt;=1.01,0,ROUND(AE187-AE192+N(AE194)+N(AE195)-AE196,0)),"")</f>
        <v>0</v>
      </c>
      <c r="AF197" s="211">
        <f>IF(AND(ISNUMBER(AF192),ISNUMBER(AF196)),IF(ABS(AF187-AF192+N(AF194)+N(AF195)-AF196)&lt;=1.01,0,ROUND(AF187-AF192+N(AF194)+N(AF195)-AF196,0)),"")</f>
        <v>0</v>
      </c>
      <c r="AG197" s="211">
        <f>IF(AND(ISNUMBER(AG192),ISNUMBER(AG196)),IF(ABS(AG187-AG192+N(AG194)+N(AG195)-AG196)&lt;=1.01,0,ROUND(AG187-AG192+N(AG194)+N(AG195)-AG196,0)),"")</f>
        <v>0</v>
      </c>
      <c r="AH197" s="211">
        <f>IF(AND(ISNUMBER(AH192),ISNUMBER(AH196)),IF(ABS(AH187-AH192+N(AH194)+N(AH195)-AH196)&lt;=1.01,0,ROUND(AH187-AH192+N(AH194)+N(AH195)-AH196,0)),"")</f>
        <v>0</v>
      </c>
      <c r="AI197" s="211">
        <f>IF(AND(ISNUMBER(AI192),ISNUMBER(AI196)),IF(ABS(AI187-AI192+N(AI194)+N(AI195)-AI196)&lt;=1.01,0,ROUND(AI187-AI192+N(AI194)+N(AI195)-AI196,0)),"")</f>
        <v>0</v>
      </c>
      <c r="AJ197" s="211">
        <f>IF(AND(ISNUMBER(AJ192),ISNUMBER(AJ196)),IF(ABS(AJ187-AJ192+N(AJ194)+N(AJ195)-AJ196)&lt;=1.01,0,ROUND(AJ187-AJ192+N(AJ194)+N(AJ195)-AJ196,0)),"")</f>
        <v>0</v>
      </c>
      <c r="AK197" s="211">
        <f>IF(AND(ISNUMBER(AK192),ISNUMBER(AK196)),IF(ABS(AK187-AK192+N(AK194)+N(AK195)-AK196)&lt;=1.01,0,ROUND(AK187-AK192+N(AK194)+N(AK195)-AK196,0)),"")</f>
        <v>0</v>
      </c>
      <c r="AL197" s="211">
        <f>IF(AND(ISNUMBER(AL192),ISNUMBER(AL196)),IF(ABS(AL187-AL192+N(AL194)+N(AL195)-AL196)&lt;=1.01,0,ROUND(AL187-AL192+N(AL194)+N(AL195)-AL196,0)),"")</f>
        <v>0</v>
      </c>
      <c r="AM197" s="211">
        <f>IF(AND(ISNUMBER(AM192),ISNUMBER(AM196)),IF(ABS(AM187-AM192+N(AM194)+N(AM195)-AM196)&lt;=1.01,0,ROUND(AM187-AM192+N(AM194)+N(AM195)-AM196,0)),"")</f>
        <v>0</v>
      </c>
      <c r="AN197" s="211">
        <f>IF(AND(ISNUMBER(AN192),ISNUMBER(AN196)),IF(ABS(AN187-AN192+N(AN194)+N(AN195)-AN196)&lt;=1.01,0,ROUND(AN187-AN192+N(AN194)+N(AN195)-AN196,0)),"")</f>
        <v>0</v>
      </c>
      <c r="AO197" s="211">
        <f>IF(AND(ISNUMBER(AO192),ISNUMBER(AO196)),IF(ABS(AO187-AO192+N(AO194)+N(AO195)-AO196)&lt;=1.01,0,ROUND(AO187-AO192+N(AO194)+N(AO195)-AO196,0)),"")</f>
        <v>0</v>
      </c>
      <c r="AP197" s="211">
        <f>IF(AND(ISNUMBER(AP192),ISNUMBER(AP196)),IF(ABS(AP187-AP192+N(AP194)+N(AP195)-AP196)&lt;=1.01,0,ROUND(AP187-AP192+N(AP194)+N(AP195)-AP196,0)),"")</f>
        <v>0</v>
      </c>
      <c r="AQ197" s="211">
        <f>IF(AND(ISNUMBER(AQ192),ISNUMBER(AQ196)),IF(ABS(AQ187-AQ192+N(AQ194)+N(AQ195)-AQ196)&lt;=1.01,0,ROUND(AQ187-AQ192+N(AQ194)+N(AQ195)-AQ196,0)),"")</f>
        <v>0</v>
      </c>
      <c r="AR197" s="211">
        <f>IF(AND(ISNUMBER(AR192),ISNUMBER(AR196)),IF(ABS(AR187-AR192+N(AR194)+N(AR195)-AR196)&lt;=1.01,0,ROUND(AR187-AR192+N(AR194)+N(AR195)-AR196,0)),"")</f>
        <v>0</v>
      </c>
      <c r="AS197" s="211">
        <f>IF(AND(ISNUMBER(AS192),ISNUMBER(AS196)),IF(ABS(AS187-AS192+N(AS194)+N(AS195)-AS196)&lt;=1.01,0,ROUND(AS187-AS192+N(AS194)+N(AS195)-AS196,0)),"")</f>
        <v>0</v>
      </c>
      <c r="AT197" s="211">
        <f>IF(AND(ISNUMBER(AT192),ISNUMBER(AT196)),IF(ABS(AT187-AT192+N(AT194)+N(AT195)-AT196)&lt;=1.01,0,ROUND(AT187-AT192+N(AT194)+N(AT195)-AT196,0)),"")</f>
        <v>0</v>
      </c>
      <c r="AU197" s="211">
        <f>IF(AND(ISNUMBER(AU192),ISNUMBER(AU196)),IF(ABS(AU187-AU192+N(AU194)+N(AU195)-AU196)&lt;=1.01,0,ROUND(AU187-AU192+N(AU194)+N(AU195)-AU196,0)),"")</f>
        <v>0</v>
      </c>
      <c r="AV197" s="211">
        <f>IF(AND(ISNUMBER(AV192),ISNUMBER(AV196)),IF(ABS(AV187-AV192+N(AV194)+N(AV195)-AV196)&lt;=1.01,0,ROUND(AV187-AV192+N(AV194)+N(AV195)-AV196,0)),"")</f>
        <v>0</v>
      </c>
      <c r="AW197" s="211">
        <f>IF(AND(ISNUMBER(AW192),ISNUMBER(AW196)),IF(ABS(AW187-AW192+N(AW194)+N(AW195)-AW196)&lt;=1.01,0,ROUND(AW187-AW192+N(AW194)+N(AW195)-AW196,0)),"")</f>
        <v>0</v>
      </c>
      <c r="AX197" s="211">
        <f>IF(AND(ISNUMBER(AX192),ISNUMBER(AX196)),IF(ABS(AX187-AX192+N(AX194)+N(AX195)-AX196)&lt;=1.01,0,ROUND(AX187-AX192+N(AX194)+N(AX195)-AX196,0)),"")</f>
        <v>0</v>
      </c>
      <c r="AY197" s="211">
        <f>IF(AND(ISNUMBER(AY192),ISNUMBER(AY196)),IF(ABS(AY187-AY192+N(AY194)+N(AY195)-AY196)&lt;=1.01,0,ROUND(AY187-AY192+N(AY194)+N(AY195)-AY196,0)),"")</f>
        <v>0</v>
      </c>
      <c r="AZ197" s="211">
        <f>IF(AND(ISNUMBER(AZ192),ISNUMBER(AZ196)),IF(ABS(AZ187-AZ192+N(AZ194)+N(AZ195)-AZ196)&lt;=1.01,0,ROUND(AZ187-AZ192+N(AZ194)+N(AZ195)-AZ196,0)),"")</f>
        <v>0</v>
      </c>
      <c r="BA197" s="211">
        <f>IF(AND(ISNUMBER(BA192),ISNUMBER(BA196)),IF(ABS(BA187-BA192+N(BA194)+N(BA195)-BA196)&lt;=1.01,0,ROUND(BA187-BA192+N(BA194)+N(BA195)-BA196,0)),"")</f>
        <v>0</v>
      </c>
      <c r="BB197" s="211">
        <f>IF(AND(ISNUMBER(BB192),ISNUMBER(BB196)),IF(ABS(BB187-BB192+N(BB194)+N(BB195)-BB196)&lt;=1.01,0,ROUND(BB187-BB192+N(BB194)+N(BB195)-BB196,0)),"")</f>
        <v>0</v>
      </c>
      <c r="BC197" s="211">
        <f>IF(AND(ISNUMBER(BC192),ISNUMBER(BC196)),IF(ABS(BC187-BC192+N(BC194)+N(BC195)-BC196)&lt;=1.01,0,ROUND(BC187-BC192+N(BC194)+N(BC195)-BC196,0)),"")</f>
        <v>0</v>
      </c>
      <c r="BD197" s="211">
        <f>IF(AND(ISNUMBER(BD192),ISNUMBER(BD196)),IF(ABS(BD187-BD192+N(BD194)+N(BD195)-BD196)&lt;=1.01,0,ROUND(BD187-BD192+N(BD194)+N(BD195)-BD196,0)),"")</f>
        <v>0</v>
      </c>
      <c r="BE197" s="211">
        <f>IF(AND(ISNUMBER(BE192),ISNUMBER(BE196)),IF(ABS(BE187-BE192+N(BE194)+N(BE195)-BE196)&lt;=1.01,0,ROUND(BE187-BE192+N(BE194)+N(BE195)-BE196,0)),"")</f>
        <v>0</v>
      </c>
      <c r="BF197" s="211">
        <f>IF(AND(ISNUMBER(BF192),ISNUMBER(BF196)),IF(ABS(BF187-BF192+N(BF194)+N(BF195)-BF196)&lt;=1.01,0,ROUND(BF187-BF192+N(BF194)+N(BF195)-BF196,0)),"")</f>
        <v>0</v>
      </c>
      <c r="BG197" s="211">
        <f>IF(AND(ISNUMBER(BG192),ISNUMBER(BG196)),IF(ABS(BG187-BG192+N(BG194)+N(BG195)-BG196)&lt;=1.01,0,ROUND(BG187-BG192+N(BG194)+N(BG195)-BG196,0)),"")</f>
        <v>0</v>
      </c>
      <c r="BH197" s="211">
        <f>IF(AND(ISNUMBER(BH192),ISNUMBER(BH196)),IF(ABS(BH187-BH192+N(BH194)+N(BH195)-BH196)&lt;=1.01,0,ROUND(BH187-BH192+N(BH194)+N(BH195)-BH196,0)),"")</f>
        <v>0</v>
      </c>
      <c r="BI197" s="211">
        <f>IF(AND(ISNUMBER(BI192),ISNUMBER(BI196)),IF(ABS(BI187-BI192+N(BI194)+N(BI195)-BI196)&lt;=1.01,0,ROUND(BI187-BI192+N(BI194)+N(BI195)-BI196,0)),"")</f>
        <v>0</v>
      </c>
      <c r="BJ197" s="211">
        <f>IF(AND(ISNUMBER(BJ192),ISNUMBER(BJ196)),IF(ABS(BJ187-BJ192+N(BJ194)+N(BJ195)-BJ196)&lt;=1.01,0,ROUND(BJ187-BJ192+N(BJ194)+N(BJ195)-BJ196,0)),"")</f>
        <v>0</v>
      </c>
      <c r="BK197" s="211">
        <f>IF(AND(ISNUMBER(BK192),ISNUMBER(BK196)),IF(ABS(BK187-BK192+N(BK194)+N(BK195)-BK196)&lt;=1.01,0,ROUND(BK187-BK192+N(BK194)+N(BK195)-BK196,0)),"")</f>
        <v>0</v>
      </c>
      <c r="BL197" s="211">
        <f>IF(AND(ISNUMBER(BL192),ISNUMBER(BL196)),IF(ABS(BL187-BL192+N(BL194)+N(BL195)-BL196)&lt;=1.01,0,ROUND(BL187-BL192+N(BL194)+N(BL195)-BL196,0)),"")</f>
        <v>0</v>
      </c>
      <c r="BM197" s="211">
        <f>IF(AND(ISNUMBER(BM192),ISNUMBER(BM196)),IF(ABS(BM187-BM192+N(BM194)+N(BM195)-BM196)&lt;=1.01,0,ROUND(BM187-BM192+N(BM194)+N(BM195)-BM196,0)),"")</f>
        <v>0</v>
      </c>
      <c r="BN197" s="211">
        <f>IF(AND(ISNUMBER(BN192),ISNUMBER(BN196)),IF(ABS(BN187-BN192+N(BN194)+N(BN195)-BN196)&lt;=1.01,0,ROUND(BN187-BN192+N(BN194)+N(BN195)-BN196,0)),"")</f>
        <v>0</v>
      </c>
      <c r="BO197" s="211">
        <f>IF(AND(ISNUMBER(BO192),ISNUMBER(BO196)),IF(ABS(BO187-BO192+N(BO194)+N(BO195)-BO196)&lt;=1.01,0,ROUND(BO187-BO192+N(BO194)+N(BO195)-BO196,0)),"")</f>
        <v>0</v>
      </c>
      <c r="BP197" s="211">
        <f>IF(AND(ISNUMBER(BP192),ISNUMBER(BP196)),IF(ABS(BP187-BP192+N(BP194)+N(BP195)-BP196)&lt;=1.01,0,ROUND(BP187-BP192+N(BP194)+N(BP195)-BP196,0)),"")</f>
        <v>0</v>
      </c>
      <c r="BQ197" s="211">
        <f>IF(AND(ISNUMBER(BQ192),ISNUMBER(BQ196)),IF(ABS(BQ187-BQ192+N(BQ194)+N(BQ195)-BQ196)&lt;=1.01,0,ROUND(BQ187-BQ192+N(BQ194)+N(BQ195)-BQ196,0)),"")</f>
        <v>0</v>
      </c>
      <c r="BR197" s="211">
        <f>IF(AND(ISNUMBER(BR192),ISNUMBER(BR196)),IF(ABS(BR187-BR192+N(BR194)+N(BR195)-BR196)&lt;=1.01,0,ROUND(BR187-BR192+N(BR194)+N(BR195)-BR196,0)),"")</f>
        <v>0</v>
      </c>
      <c r="BS197" s="211">
        <f>IF(AND(ISNUMBER(BS192),ISNUMBER(BS196)),IF(ABS(BS187-BS192+N(BS194)+N(BS195)-BS196)&lt;=1.01,0,ROUND(BS187-BS192+N(BS194)+N(BS195)-BS196,0)),"")</f>
        <v>0</v>
      </c>
      <c r="BT197" s="211">
        <f>IF(AND(ISNUMBER(BT192),ISNUMBER(BT196)),IF(ABS(BT187-BT192+N(BT194)+N(BT195)-BT196)&lt;=1.01,0,ROUND(BT187-BT192+N(BT194)+N(BT195)-BT196,0)),"")</f>
        <v>0</v>
      </c>
      <c r="BU197" s="153" t="n"/>
      <c r="BV197" s="153" t="n"/>
      <c r="BW197" s="153" t="n"/>
      <c r="BX197" s="153" t="n"/>
      <c r="BY197" s="153" t="n"/>
      <c r="BZ197" s="153" t="n"/>
      <c r="CA197" s="153" t="n"/>
      <c r="CB197" s="153" t="n"/>
      <c r="CC197" s="153" t="n"/>
    </row>
    <row r="198" ht="15" customHeight="1" s="251">
      <c r="B198" s="25" t="inlineStr">
        <is>
          <t xml:space="preserve">  Operating margin %</t>
        </is>
      </c>
      <c r="C198" s="215">
        <f>IF(AND(ISNUMBER(C196),ISNUMBER(C187)),IFERROR(C196/C187,""),"")</f>
        <v>0.28194558944765</v>
      </c>
      <c r="D198" s="215">
        <f>IF(AND(ISNUMBER(D196),ISNUMBER(D187)),IFERROR(D196/D187,""),"")</f>
        <v>0.272382397572079</v>
      </c>
      <c r="E198" s="215">
        <f>IF(AND(ISNUMBER(E196),ISNUMBER(E187)),IFERROR(E196/E187,""),"")</f>
        <v>0.272134831460674</v>
      </c>
      <c r="F198" s="215">
        <f>IF(AND(ISNUMBER(F196),ISNUMBER(F187)),IFERROR(F196/F187,""),"")</f>
        <v>0.235393734123624</v>
      </c>
      <c r="G198" s="215">
        <f>IF(AND(ISNUMBER(G196),ISNUMBER(G187)),IFERROR(G196/G187,""),"")</f>
        <v>0.3488</v>
      </c>
      <c r="H198" s="215">
        <f>IF(AND(ISNUMBER(H196),ISNUMBER(H187)),IFERROR(H196/H187,""),"")</f>
        <v>0.340871021775544</v>
      </c>
      <c r="I198" s="215">
        <f>IF(AND(ISNUMBER(I196),ISNUMBER(I187)),IFERROR(I196/I187,""),"")</f>
        <v>0.2272</v>
      </c>
      <c r="J198" s="215">
        <f>IF(AND(ISNUMBER(J196),ISNUMBER(J187)),IFERROR(J196/J187,""),"")</f>
        <v>0.288205128205128</v>
      </c>
      <c r="K198" s="215">
        <f>IF(AND(ISNUMBER(K196),ISNUMBER(K187)),IFERROR(K196/K187,""),"")</f>
        <v>0.34789644012945</v>
      </c>
      <c r="L198" s="215">
        <f>IF(AND(ISNUMBER(L196),ISNUMBER(L187)),IFERROR(L196/L187,""),"")</f>
        <v>0.361069836552749</v>
      </c>
      <c r="M198" s="215">
        <f>IF(AND(ISNUMBER(M196),ISNUMBER(M187)),IFERROR(M196/M187,""),"")</f>
        <v>0.28978622327791</v>
      </c>
      <c r="N198" s="215">
        <f>IF(AND(ISNUMBER(N196),ISNUMBER(N187)),IFERROR(N196/N187,""),"")</f>
        <v>-0.889922480620155</v>
      </c>
      <c r="O198" s="215">
        <f>IF(AND(ISNUMBER(O196),ISNUMBER(O187)),IFERROR(O196/O187,""),"")</f>
        <v>0.0223718075628588</v>
      </c>
      <c r="P198" s="215">
        <f>IF(AND(ISNUMBER(P196),ISNUMBER(P187)),IFERROR(P196/P187,""),"")</f>
        <v>0.393558523173606</v>
      </c>
      <c r="Q198" s="215">
        <f>IF(AND(ISNUMBER(Q196),ISNUMBER(Q187)),IFERROR(Q196/Q187,""),"")</f>
        <v>0.433681073025335</v>
      </c>
      <c r="R198" s="215">
        <f>IF(AND(ISNUMBER(R196),ISNUMBER(R187)),IFERROR(R196/R187,""),"")</f>
        <v>0.309667673716012</v>
      </c>
      <c r="S198" s="215">
        <f>IF(AND(ISNUMBER(S196),ISNUMBER(S187)),IFERROR(S196/S187,""),"")</f>
        <v>0.308588064046579</v>
      </c>
      <c r="T198" s="215">
        <f>IF(AND(ISNUMBER(T196),ISNUMBER(T187)),IFERROR(T196/T187,""),"")</f>
        <v>0.360813099943535</v>
      </c>
      <c r="U198" s="215">
        <f>IF(AND(ISNUMBER(U196),ISNUMBER(U187)),IFERROR(U196/U187,""),"")</f>
        <v>0.381804623415362</v>
      </c>
      <c r="V198" s="215">
        <f>IF(AND(ISNUMBER(V196),ISNUMBER(V187)),IFERROR(V196/V187,""),"")</f>
        <v>0.439271255060729</v>
      </c>
      <c r="W198" s="215">
        <f>IF(AND(ISNUMBER(W196),ISNUMBER(W187)),IFERROR(W196/W187,""),"")</f>
        <v>0.936761640027797</v>
      </c>
      <c r="X198" s="215">
        <f>IF(AND(ISNUMBER(X196),ISNUMBER(X187)),IFERROR(X196/X187,""),"")</f>
        <v>0.612580414581844</v>
      </c>
      <c r="Y198" s="215">
        <f>IF(AND(ISNUMBER(Y196),ISNUMBER(Y187)),IFERROR(Y196/Y187,""),"")</f>
        <v>0.595124536301007</v>
      </c>
      <c r="Z198" s="215">
        <f>IF(AND(ISNUMBER(Z196),ISNUMBER(Z187)),IFERROR(Z196/Z187,""),"")</f>
        <v>0.445973847212664</v>
      </c>
      <c r="AA198" s="215">
        <f>IF(AND(ISNUMBER(AA196),ISNUMBER(AA187)),IFERROR(AA196/AA187,""),"")</f>
        <v>0.448641484426773</v>
      </c>
      <c r="AB198" s="215">
        <f>IF(AND(ISNUMBER(AB196),ISNUMBER(AB187)),IFERROR(AB196/AB187,""),"")</f>
        <v>0.434897554527429</v>
      </c>
      <c r="AC198" s="215">
        <f>IF(AND(ISNUMBER(AC196),ISNUMBER(AC187)),IFERROR(AC196/AC187,""),"")</f>
        <v>0.395217117684078</v>
      </c>
      <c r="AD198" s="215">
        <f>IF(AND(ISNUMBER(AD196),ISNUMBER(AD187)),IFERROR(AD196/AD187,""),"")</f>
        <v>0.430479960415636</v>
      </c>
      <c r="AE198" s="215">
        <f>IF(AND(ISNUMBER(AE196),ISNUMBER(AE187)),IFERROR(AE196/AE187,""),"")</f>
        <v>0.453733248245054</v>
      </c>
      <c r="AF198" s="215">
        <f>IF(AND(ISNUMBER(AF196),ISNUMBER(AF187)),IFERROR(AF196/AF187,""),"")</f>
        <v>0.417650714729646</v>
      </c>
      <c r="AG198" s="215">
        <f>IF(AND(ISNUMBER(AG196),ISNUMBER(AG187)),IFERROR(AG196/AG187,""),"")</f>
        <v>0.455368693402329</v>
      </c>
      <c r="AH198" s="215">
        <f>IF(AND(ISNUMBER(AH196),ISNUMBER(AH187)),IFERROR(AH196/AH187,""),"")</f>
        <v>0.458333333333333</v>
      </c>
      <c r="AI198" s="215">
        <f>IF(AND(ISNUMBER(AI196),ISNUMBER(AI187)),IFERROR(AI196/AI187,""),"")</f>
        <v>0.445829338446788</v>
      </c>
      <c r="AJ198" s="215">
        <f>IF(AND(ISNUMBER(AJ196),ISNUMBER(AJ187)),IFERROR(AJ196/AJ187,""),"")</f>
        <v>0.448758752387015</v>
      </c>
      <c r="AK198" s="215">
        <f>IF(AND(ISNUMBER(AK196),ISNUMBER(AK187)),IFERROR(AK196/AK187,""),"")</f>
        <v>0.477112676056338</v>
      </c>
      <c r="AL198" s="215">
        <f>IF(AND(ISNUMBER(AL196),ISNUMBER(AL187)),IFERROR(AL196/AL187,""),"")</f>
        <v>0.52753108348135</v>
      </c>
      <c r="AM198" s="215">
        <f>IF(AND(ISNUMBER(AM196),ISNUMBER(AM187)),IFERROR(AM196/AM187,""),"")</f>
        <v>0.471469740634006</v>
      </c>
      <c r="AN198" s="215">
        <f>IF(AND(ISNUMBER(AN196),ISNUMBER(AN187)),IFERROR(AN196/AN187,""),"")</f>
        <v>0.481564412598895</v>
      </c>
      <c r="AO198" s="215">
        <f>IF(AND(ISNUMBER(AO196),ISNUMBER(AO187)),IFERROR(AO196/AO187,""),"")</f>
        <v>0.51063829787234</v>
      </c>
      <c r="AP198" s="215">
        <f>IF(AND(ISNUMBER(AP196),ISNUMBER(AP187)),IFERROR(AP196/AP187,""),"")</f>
        <v>0.568708183221822</v>
      </c>
      <c r="AQ198" s="215">
        <f>IF(AND(ISNUMBER(AQ196),ISNUMBER(AQ187)),IFERROR(AQ196/AQ187,""),"")</f>
        <v>0.511375947995666</v>
      </c>
      <c r="AR198" s="215">
        <f>IF(AND(ISNUMBER(AR196),ISNUMBER(AR187)),IFERROR(AR196/AR187,""),"")</f>
        <v>0.351365827530798</v>
      </c>
      <c r="AS198" s="215">
        <f>IF(AND(ISNUMBER(AS196),ISNUMBER(AS187)),IFERROR(AS196/AS187,""),"")</f>
        <v>0.486025262026337</v>
      </c>
      <c r="AT198" s="215">
        <f>IF(AND(ISNUMBER(AT196),ISNUMBER(AT187)),IFERROR(AT196/AT187,""),"")</f>
        <v>0.536210317460317</v>
      </c>
      <c r="AU198" s="215">
        <f>IF(AND(ISNUMBER(AU196),ISNUMBER(AU187)),IFERROR(AU196/AU187,""),"")</f>
        <v>0.547958214624881</v>
      </c>
      <c r="AV198" s="215">
        <f>IF(AND(ISNUMBER(AV196),ISNUMBER(AV187)),IFERROR(AV196/AV187,""),"")</f>
        <v>0.518926689027312</v>
      </c>
      <c r="AW198" s="215">
        <f>IF(AND(ISNUMBER(AW196),ISNUMBER(AW187)),IFERROR(AW196/AW187,""),"")</f>
        <v>0.432950191570881</v>
      </c>
      <c r="AX198" s="215">
        <f>IF(AND(ISNUMBER(AX196),ISNUMBER(AX187)),IFERROR(AX196/AX187,""),"")</f>
        <v>0.50873809810775</v>
      </c>
      <c r="AY198" s="215">
        <f>IF(AND(ISNUMBER(AY196),ISNUMBER(AY187)),IFERROR(AY196/AY187,""),"")</f>
        <v>0.791963164503977</v>
      </c>
      <c r="AZ198" s="215">
        <f>IF(AND(ISNUMBER(AZ196),ISNUMBER(AZ187)),IFERROR(AZ196/AZ187,""),"")</f>
        <v>0.495155362512529</v>
      </c>
      <c r="BA198" s="215">
        <f>IF(AND(ISNUMBER(BA196),ISNUMBER(BA187)),IFERROR(BA196/BA187,""),"")</f>
        <v>0.29814750087382</v>
      </c>
      <c r="BB198" s="215">
        <f>IF(AND(ISNUMBER(BB196),ISNUMBER(BB187)),IFERROR(BB196/BB187,""),"")</f>
        <v>0.244126659856997</v>
      </c>
      <c r="BC198" s="215">
        <f>IF(AND(ISNUMBER(BC196),ISNUMBER(BC187)),IFERROR(BC196/BC187,""),"")</f>
        <v>0.442178696002147</v>
      </c>
      <c r="BD198" s="215">
        <f>IF(AND(ISNUMBER(BD196),ISNUMBER(BD187)),IFERROR(BD196/BD187,""),"")</f>
        <v>0.362025316455696</v>
      </c>
      <c r="BE198" s="215">
        <f>IF(AND(ISNUMBER(BE196),ISNUMBER(BE187)),IFERROR(BE196/BE187,""),"")</f>
        <v>0.293776201225411</v>
      </c>
      <c r="BF198" s="215">
        <f>IF(AND(ISNUMBER(BF196),ISNUMBER(BF187)),IFERROR(BF196/BF187,""),"")</f>
        <v>0.348249027237354</v>
      </c>
      <c r="BG198" s="215">
        <f>IF(AND(ISNUMBER(BG196),ISNUMBER(BG187)),IFERROR(BG196/BG187,""),"")</f>
        <v>0.282360406091371</v>
      </c>
      <c r="BH198" s="215">
        <f>IF(AND(ISNUMBER(BH196),ISNUMBER(BH187)),IFERROR(BH196/BH187,""),"")</f>
        <v>0.321677202528607</v>
      </c>
      <c r="BI198" s="215">
        <f>IF(AND(ISNUMBER(BI196),ISNUMBER(BI187)),IFERROR(BI196/BI187,""),"")</f>
        <v>0.396734460040103</v>
      </c>
      <c r="BJ198" s="215">
        <f>IF(AND(ISNUMBER(BJ196),ISNUMBER(BJ187)),IFERROR(BJ196/BJ187,""),"")</f>
        <v>0.409129332206255</v>
      </c>
      <c r="BK198" s="215">
        <f>IF(AND(ISNUMBER(BK196),ISNUMBER(BK187)),IFERROR(BK196/BK187,""),"")</f>
        <v>0.401118881118881</v>
      </c>
      <c r="BL198" s="215">
        <f>IF(AND(ISNUMBER(BL196),ISNUMBER(BL187)),IFERROR(BL196/BL187,""),"")</f>
        <v>0.364420935412027</v>
      </c>
      <c r="BM198" s="215">
        <f>IF(AND(ISNUMBER(BM196),ISNUMBER(BM187)),IFERROR(BM196/BM187,""),"")</f>
        <v>0.392736486486487</v>
      </c>
      <c r="BN198" s="215">
        <f>IF(AND(ISNUMBER(BN196),ISNUMBER(BN187)),IFERROR(BN196/BN187,""),"")</f>
        <v>0.442657134346142</v>
      </c>
      <c r="BO198" s="215">
        <f>IF(AND(ISNUMBER(BO196),ISNUMBER(BO187)),IFERROR(BO196/BO187,""),"")</f>
        <v>0.437141995779319</v>
      </c>
      <c r="BP198" s="215">
        <f>IF(AND(ISNUMBER(BP196),ISNUMBER(BP187)),IFERROR(BP196/BP187,""),"")</f>
        <v>0.454545454545455</v>
      </c>
      <c r="BQ198" s="215">
        <f>IF(AND(ISNUMBER(BQ196),ISNUMBER(BQ187)),IFERROR(BQ196/BQ187,""),"")</f>
        <v>0.471774193548387</v>
      </c>
      <c r="BR198" s="215">
        <f>IF(AND(ISNUMBER(BR196),ISNUMBER(BR187)),IFERROR(BR196/BR187,""),"")</f>
        <v>0.451836043859004</v>
      </c>
      <c r="BS198" s="215">
        <f>IF(AND(ISNUMBER(BS196),ISNUMBER(BS187)),IFERROR(BS196/BS187,""),"")</f>
        <v>0.518428840462739</v>
      </c>
      <c r="BT198" s="215">
        <f>IF(AND(ISNUMBER(BT196),ISNUMBER(BT187)),IFERROR(BT196/BT187,""),"")</f>
        <v>0.477705274605764</v>
      </c>
      <c r="BU198" s="256">
        <f>IF(AND(ISNUMBER(BU196),ISNUMBER(BU187)),IFERROR(BU196/BU187,""),"")</f>
        <v>0.458814917842529</v>
      </c>
      <c r="BV198" s="256">
        <f>IF(AND(ISNUMBER(BV196),ISNUMBER(BV187)),IFERROR(BV196/BV187,""),"")</f>
        <v>0.48709931304856</v>
      </c>
      <c r="BW198" s="256">
        <f>IF(AND(ISNUMBER(BW196),ISNUMBER(BW187)),IFERROR(BW196/BW187,""),"")</f>
        <v>0.485816533236762</v>
      </c>
      <c r="BX198" s="256">
        <f>IF(AND(ISNUMBER(BX196),ISNUMBER(BX187)),IFERROR(BX196/BX187,""),"")</f>
        <v>0.475748498688402</v>
      </c>
      <c r="BY198" s="256">
        <f>IF(AND(ISNUMBER(BY196),ISNUMBER(BY187)),IFERROR(BY196/BY187,""),"")</f>
        <v>0.484269969950037</v>
      </c>
      <c r="BZ198" s="256">
        <f>IF(AND(ISNUMBER(BZ196),ISNUMBER(BZ187)),IFERROR(BZ196/BZ187,""),"")</f>
        <v>0.490143112546988</v>
      </c>
      <c r="CA198" s="256">
        <f>IF(AND(ISNUMBER(CA196),ISNUMBER(CA187)),IFERROR(CA196/CA187,""),"")</f>
        <v>0.496008575599799</v>
      </c>
      <c r="CB198" s="256">
        <f>IF(AND(ISNUMBER(CB196),ISNUMBER(CB187)),IFERROR(CB196/CB187,""),"")</f>
        <v>0.499978016197249</v>
      </c>
      <c r="CC198" s="153" t="n"/>
      <c r="CE198" s="37">
        <f>IFERROR(AVERAGE(BX198,BY198,BZ198,CA198,CB198),"n/m")</f>
        <v>0.489229634596495</v>
      </c>
      <c r="CF198" s="37">
        <f>IFERROR(AVERAGE(AX198,BC198,BH198,BM198,BR198),"n/m")</f>
        <v>0.423433305396799</v>
      </c>
      <c r="CG198" s="37">
        <f>IFERROR(AVERAGE(Y198,AD198,AI198,AN198,AS198,AX198,BC198,BH198,BM198,BR198),"n/m")</f>
        <v>0.455619003677266</v>
      </c>
      <c r="CH198" s="37">
        <f>IFERROR(AVERAGE(C198,D198,E198,J198,O198,T198,Y198,AD198,AI198,AN198,AS198,AX198,BC198,BH198,BM198,BR198),"n/m")</f>
        <v>0.378377680685286</v>
      </c>
    </row>
    <row r="199" ht="15" customHeight="1" s="251">
      <c r="B199" s="25" t="inlineStr">
        <is>
          <t>Other income (expense), net (income +; pension and investment items)</t>
        </is>
      </c>
      <c r="C199" s="253" t="n">
        <v>0</v>
      </c>
      <c r="D199" s="253" t="n">
        <v>0</v>
      </c>
      <c r="E199" s="253" t="n">
        <v>0</v>
      </c>
      <c r="F199" s="253" t="n">
        <v>0</v>
      </c>
      <c r="G199" s="253" t="n">
        <v>0</v>
      </c>
      <c r="H199" s="253" t="n">
        <v>0</v>
      </c>
      <c r="I199" s="253" t="n">
        <v>0</v>
      </c>
      <c r="J199" s="253" t="n">
        <v>0</v>
      </c>
      <c r="K199" s="253" t="n">
        <v>0</v>
      </c>
      <c r="L199" s="253" t="n">
        <v>0</v>
      </c>
      <c r="M199" s="253" t="n">
        <v>0</v>
      </c>
      <c r="N199" s="253" t="n">
        <v>0</v>
      </c>
      <c r="O199" s="253" t="n">
        <v>0</v>
      </c>
      <c r="P199" s="253" t="n">
        <v>0</v>
      </c>
      <c r="Q199" s="253" t="n">
        <v>0</v>
      </c>
      <c r="R199" s="253" t="n">
        <v>0</v>
      </c>
      <c r="S199" s="253" t="n">
        <v>0</v>
      </c>
      <c r="T199" s="253" t="n">
        <v>0</v>
      </c>
      <c r="U199" s="253" t="n">
        <v>0</v>
      </c>
      <c r="V199" s="253" t="n">
        <v>0</v>
      </c>
      <c r="W199" s="253" t="n">
        <v>0</v>
      </c>
      <c r="X199" s="253" t="n">
        <v>0</v>
      </c>
      <c r="Y199" s="253" t="n">
        <v>0</v>
      </c>
      <c r="Z199" s="253" t="n">
        <v>0</v>
      </c>
      <c r="AA199" s="253" t="n">
        <v>0</v>
      </c>
      <c r="AB199" s="253" t="n">
        <v>0</v>
      </c>
      <c r="AC199" s="253" t="n">
        <v>0</v>
      </c>
      <c r="AD199" s="253" t="n">
        <v>0</v>
      </c>
      <c r="AE199" s="253" t="n">
        <v>4</v>
      </c>
      <c r="AF199" s="253" t="n">
        <v>11</v>
      </c>
      <c r="AG199" s="253" t="n">
        <v>6</v>
      </c>
      <c r="AH199" s="253" t="n">
        <v>2</v>
      </c>
      <c r="AI199" s="253" t="n">
        <v>25</v>
      </c>
      <c r="AJ199" s="253" t="n">
        <v>-103</v>
      </c>
      <c r="AK199" s="253" t="n">
        <v>6</v>
      </c>
      <c r="AL199" s="253" t="n">
        <v>-8</v>
      </c>
      <c r="AM199" s="253" t="n">
        <v>6</v>
      </c>
      <c r="AN199" s="253" t="n">
        <v>-98</v>
      </c>
      <c r="AO199" s="253" t="n">
        <v>-1</v>
      </c>
      <c r="AP199" s="253" t="n">
        <v>10</v>
      </c>
      <c r="AQ199" s="253" t="n">
        <v>-273</v>
      </c>
      <c r="AR199" s="253" t="n">
        <v>16</v>
      </c>
      <c r="AS199" s="253" t="n">
        <v>-248</v>
      </c>
      <c r="AT199" s="253" t="n">
        <v>7</v>
      </c>
      <c r="AU199" s="253" t="n">
        <v>22</v>
      </c>
      <c r="AV199" s="253" t="n">
        <v>22</v>
      </c>
      <c r="AW199" s="253" t="n">
        <v>11</v>
      </c>
      <c r="AX199" s="253" t="n">
        <v>62</v>
      </c>
      <c r="AY199" s="253" t="n">
        <v>32</v>
      </c>
      <c r="AZ199" s="253" t="n">
        <v>-1</v>
      </c>
      <c r="BA199" s="253" t="n">
        <v>41</v>
      </c>
      <c r="BB199" s="253" t="n">
        <v>-10</v>
      </c>
      <c r="BC199" s="253" t="n">
        <v>62</v>
      </c>
      <c r="BD199" s="253" t="n">
        <v>-11</v>
      </c>
      <c r="BE199" s="253" t="n">
        <v>11</v>
      </c>
      <c r="BF199" s="253" t="n">
        <v>5</v>
      </c>
      <c r="BG199" s="253" t="n">
        <v>-19</v>
      </c>
      <c r="BH199" s="253" t="n">
        <v>-15</v>
      </c>
      <c r="BI199" s="253" t="n">
        <v>9</v>
      </c>
      <c r="BJ199" s="253" t="n">
        <v>3</v>
      </c>
      <c r="BK199" s="253" t="n">
        <v>-2</v>
      </c>
      <c r="BL199" s="253" t="n">
        <v>14</v>
      </c>
      <c r="BM199" s="253" t="n">
        <v>25</v>
      </c>
      <c r="BN199" s="253" t="n">
        <v>-4</v>
      </c>
      <c r="BO199" s="253" t="n">
        <v>28</v>
      </c>
      <c r="BP199" s="253" t="n">
        <v>2</v>
      </c>
      <c r="BQ199" s="253" t="n">
        <v>11</v>
      </c>
      <c r="BR199" s="253" t="n">
        <v>36</v>
      </c>
      <c r="BS199" s="253" t="n">
        <v>2</v>
      </c>
      <c r="BT199" s="253" t="n">
        <v>4</v>
      </c>
      <c r="BU199" s="254">
        <f>$CM$24</f>
        <v>3</v>
      </c>
      <c r="BV199" s="254">
        <f>$CM$24</f>
        <v>3</v>
      </c>
      <c r="BW199" s="254">
        <f>SUM(BS199:BV199)</f>
        <v>12</v>
      </c>
      <c r="BX199" s="265" t="n">
        <v>12</v>
      </c>
      <c r="BY199" s="265" t="n">
        <v>12</v>
      </c>
      <c r="BZ199" s="265" t="n">
        <v>12</v>
      </c>
      <c r="CA199" s="265" t="n">
        <v>12</v>
      </c>
      <c r="CB199" s="265" t="n">
        <v>12</v>
      </c>
      <c r="CC199" s="19" t="n"/>
    </row>
    <row r="200" ht="15" customHeight="1" s="251">
      <c r="B200" s="25" t="inlineStr">
        <is>
          <t>Interest expense, net</t>
        </is>
      </c>
      <c r="C200" s="253" t="n">
        <v>83</v>
      </c>
      <c r="D200" s="253" t="n">
        <v>77</v>
      </c>
      <c r="E200" s="253" t="n">
        <v>81</v>
      </c>
      <c r="F200" s="253" t="n">
        <v>15</v>
      </c>
      <c r="G200" s="253" t="n">
        <v>16</v>
      </c>
      <c r="H200" s="253" t="n">
        <v>14</v>
      </c>
      <c r="I200" s="253" t="n">
        <v>14</v>
      </c>
      <c r="J200" s="253" t="n">
        <v>59</v>
      </c>
      <c r="K200" s="253" t="n">
        <v>14</v>
      </c>
      <c r="L200" s="253" t="n">
        <v>14</v>
      </c>
      <c r="M200" s="253" t="n">
        <v>12</v>
      </c>
      <c r="N200" s="253" t="n">
        <v>19</v>
      </c>
      <c r="O200" s="253" t="n">
        <v>59</v>
      </c>
      <c r="P200" s="253" t="n">
        <v>16</v>
      </c>
      <c r="Q200" s="253" t="n">
        <v>16</v>
      </c>
      <c r="R200" s="253" t="n">
        <v>30</v>
      </c>
      <c r="S200" s="253" t="n">
        <v>40</v>
      </c>
      <c r="T200" s="253" t="n">
        <v>102</v>
      </c>
      <c r="U200" s="253" t="n">
        <v>40</v>
      </c>
      <c r="V200" s="253" t="n">
        <v>42</v>
      </c>
      <c r="W200" s="253" t="n">
        <v>39</v>
      </c>
      <c r="X200" s="253" t="n">
        <v>60</v>
      </c>
      <c r="Y200" s="253" t="n">
        <v>181</v>
      </c>
      <c r="Z200" s="253" t="n">
        <v>37</v>
      </c>
      <c r="AA200" s="253" t="n">
        <v>37</v>
      </c>
      <c r="AB200" s="253" t="n">
        <v>37</v>
      </c>
      <c r="AC200" s="253" t="n">
        <v>39</v>
      </c>
      <c r="AD200" s="253" t="n">
        <v>149</v>
      </c>
      <c r="AE200" s="253" t="n">
        <v>34</v>
      </c>
      <c r="AF200" s="253" t="n">
        <v>26</v>
      </c>
      <c r="AG200" s="253" t="n">
        <v>38</v>
      </c>
      <c r="AH200" s="253" t="n">
        <v>36</v>
      </c>
      <c r="AI200" s="253" t="n">
        <v>134</v>
      </c>
      <c r="AJ200" s="253" t="n">
        <v>36</v>
      </c>
      <c r="AK200" s="253" t="n">
        <v>37</v>
      </c>
      <c r="AL200" s="253" t="n">
        <v>32</v>
      </c>
      <c r="AM200" s="253" t="n">
        <v>93</v>
      </c>
      <c r="AN200" s="253" t="n">
        <v>198</v>
      </c>
      <c r="AO200" s="253" t="n">
        <v>34</v>
      </c>
      <c r="AP200" s="253" t="n">
        <v>40</v>
      </c>
      <c r="AQ200" s="253" t="n">
        <v>35</v>
      </c>
      <c r="AR200" s="253" t="n">
        <v>32</v>
      </c>
      <c r="AS200" s="253" t="n">
        <v>141</v>
      </c>
      <c r="AT200" s="253" t="n">
        <v>32</v>
      </c>
      <c r="AU200" s="253" t="n">
        <v>32</v>
      </c>
      <c r="AV200" s="253" t="n">
        <v>31</v>
      </c>
      <c r="AW200" s="253" t="n">
        <v>25</v>
      </c>
      <c r="AX200" s="253" t="n">
        <v>119</v>
      </c>
      <c r="AY200" s="253" t="n">
        <v>57</v>
      </c>
      <c r="AZ200" s="253" t="n">
        <v>90</v>
      </c>
      <c r="BA200" s="253" t="n">
        <v>71</v>
      </c>
      <c r="BB200" s="253" t="n">
        <v>86</v>
      </c>
      <c r="BC200" s="253" t="n">
        <v>304</v>
      </c>
      <c r="BD200" s="253" t="n">
        <v>85</v>
      </c>
      <c r="BE200" s="253" t="n">
        <v>88</v>
      </c>
      <c r="BF200" s="253" t="n">
        <v>84</v>
      </c>
      <c r="BG200" s="253" t="n">
        <v>76</v>
      </c>
      <c r="BH200" s="253" t="n">
        <v>334</v>
      </c>
      <c r="BI200" s="253" t="n">
        <v>78</v>
      </c>
      <c r="BJ200" s="253" t="n">
        <v>77</v>
      </c>
      <c r="BK200" s="253" t="n">
        <v>72</v>
      </c>
      <c r="BL200" s="253" t="n">
        <v>69</v>
      </c>
      <c r="BM200" s="253" t="n">
        <v>297</v>
      </c>
      <c r="BN200" s="253" t="n">
        <v>78</v>
      </c>
      <c r="BO200" s="253" t="n">
        <v>77</v>
      </c>
      <c r="BP200" s="253" t="n">
        <v>79</v>
      </c>
      <c r="BQ200" s="253" t="n">
        <v>55</v>
      </c>
      <c r="BR200" s="253" t="n">
        <v>288</v>
      </c>
      <c r="BS200" s="253" t="n">
        <v>96</v>
      </c>
      <c r="BT200" s="253" t="n">
        <v>83</v>
      </c>
      <c r="BU200" s="254">
        <f>$CM$22</f>
        <v>98</v>
      </c>
      <c r="BV200" s="254">
        <f>$CM$22</f>
        <v>98</v>
      </c>
      <c r="BW200" s="254">
        <f>SUM(BS200:BV200)</f>
        <v>375</v>
      </c>
      <c r="BX200" s="254">
        <f>BW434*BX443+BW440*BX444-BW335*BX446+BX445-$CM$23*4</f>
        <v>416.131689698353</v>
      </c>
      <c r="BY200" s="254">
        <f>BX434*BY443+BX440*BY444-BX335*BY446+BY445-$CM$23*4</f>
        <v>427.620131572411</v>
      </c>
      <c r="BZ200" s="254">
        <f>BY434*BZ443+BY440*BZ444-BY335*BZ446+BZ445-$CM$23*4</f>
        <v>495.135435124048</v>
      </c>
      <c r="CA200" s="254">
        <f>BZ434*CA443+BZ440*CA444-BZ335*CA446+CA445-$CM$23*4</f>
        <v>544.929477530843</v>
      </c>
      <c r="CB200" s="254">
        <f>CA434*CB443+CA440*CB444-CA335*CB446+CB445-$CM$23*4</f>
        <v>590.675961934277</v>
      </c>
      <c r="CC200" s="19" t="inlineStr">
        <is>
          <t>Q3–Q4/26E: FY26 GAAP guidance $365–385m less 1H, split evenly. 2027E+ = coupon on opening notes + CP rate × opening CP − yield × opening cash + fees − premium amortization benefit (no circularity).</t>
        </is>
      </c>
    </row>
    <row r="201" ht="15" customHeight="1" s="251">
      <c r="B201" s="16" t="inlineStr">
        <is>
          <t>Income from continuing operations before taxes</t>
        </is>
      </c>
      <c r="C201" s="277" t="n">
        <v>943</v>
      </c>
      <c r="D201" s="277" t="n">
        <v>1000</v>
      </c>
      <c r="E201" s="277" t="n">
        <v>1130</v>
      </c>
      <c r="F201" s="277" t="n">
        <v>263</v>
      </c>
      <c r="G201" s="277" t="n">
        <v>420</v>
      </c>
      <c r="H201" s="277" t="n">
        <v>393</v>
      </c>
      <c r="I201" s="277" t="n">
        <v>270</v>
      </c>
      <c r="J201" s="277" t="n">
        <v>1346</v>
      </c>
      <c r="K201" s="277" t="n">
        <v>416</v>
      </c>
      <c r="L201" s="277" t="n">
        <v>472</v>
      </c>
      <c r="M201" s="277" t="n">
        <v>354</v>
      </c>
      <c r="N201" s="277" t="n">
        <v>-1167</v>
      </c>
      <c r="O201" s="277" t="n">
        <v>54</v>
      </c>
      <c r="P201" s="277" t="n">
        <v>485</v>
      </c>
      <c r="Q201" s="277" t="n">
        <v>566</v>
      </c>
      <c r="R201" s="277" t="n">
        <v>380</v>
      </c>
      <c r="S201" s="277" t="n">
        <v>384</v>
      </c>
      <c r="T201" s="277" t="n">
        <v>1815</v>
      </c>
      <c r="U201" s="277" t="n">
        <v>472</v>
      </c>
      <c r="V201" s="277" t="n">
        <v>609</v>
      </c>
      <c r="W201" s="277" t="n">
        <v>1309</v>
      </c>
      <c r="X201" s="277" t="n">
        <v>797</v>
      </c>
      <c r="Y201" s="277" t="n">
        <v>3188</v>
      </c>
      <c r="Z201" s="277" t="n">
        <v>611</v>
      </c>
      <c r="AA201" s="277" t="n">
        <v>640</v>
      </c>
      <c r="AB201" s="277" t="n">
        <v>621</v>
      </c>
      <c r="AC201" s="277" t="n">
        <v>589</v>
      </c>
      <c r="AD201" s="277" t="n">
        <v>2461</v>
      </c>
      <c r="AE201" s="277" t="n">
        <v>681</v>
      </c>
      <c r="AF201" s="277" t="n">
        <v>657</v>
      </c>
      <c r="AG201" s="277" t="n">
        <v>672</v>
      </c>
      <c r="AH201" s="277" t="n">
        <v>670</v>
      </c>
      <c r="AI201" s="277" t="n">
        <v>2681</v>
      </c>
      <c r="AJ201" s="277" t="n">
        <v>566</v>
      </c>
      <c r="AK201" s="277" t="n">
        <v>782</v>
      </c>
      <c r="AL201" s="277" t="n">
        <v>851</v>
      </c>
      <c r="AM201" s="277" t="n">
        <v>731</v>
      </c>
      <c r="AN201" s="277" t="n">
        <v>2930</v>
      </c>
      <c r="AO201" s="277" t="n">
        <v>877</v>
      </c>
      <c r="AP201" s="277" t="n">
        <v>1075</v>
      </c>
      <c r="AQ201" s="277" t="n">
        <v>636</v>
      </c>
      <c r="AR201" s="277" t="n">
        <v>640</v>
      </c>
      <c r="AS201" s="277" t="n">
        <v>3228</v>
      </c>
      <c r="AT201" s="277" t="n">
        <v>1056</v>
      </c>
      <c r="AU201" s="277" t="n">
        <v>1144</v>
      </c>
      <c r="AV201" s="277" t="n">
        <v>1074</v>
      </c>
      <c r="AW201" s="277" t="n">
        <v>890</v>
      </c>
      <c r="AX201" s="277" t="n">
        <v>4164</v>
      </c>
      <c r="AY201" s="277" t="n">
        <v>1867</v>
      </c>
      <c r="AZ201" s="277" t="n">
        <v>1391</v>
      </c>
      <c r="BA201" s="277" t="n">
        <v>823</v>
      </c>
      <c r="BB201" s="277" t="n">
        <v>621</v>
      </c>
      <c r="BC201" s="277" t="n">
        <v>4702</v>
      </c>
      <c r="BD201" s="277" t="n">
        <v>1048</v>
      </c>
      <c r="BE201" s="277" t="n">
        <v>834</v>
      </c>
      <c r="BF201" s="277" t="n">
        <v>995</v>
      </c>
      <c r="BG201" s="277" t="n">
        <v>795</v>
      </c>
      <c r="BH201" s="277" t="n">
        <v>3671</v>
      </c>
      <c r="BI201" s="277" t="n">
        <v>1316</v>
      </c>
      <c r="BJ201" s="277" t="n">
        <v>1378</v>
      </c>
      <c r="BK201" s="277" t="n">
        <v>1360</v>
      </c>
      <c r="BL201" s="277" t="n">
        <v>1254</v>
      </c>
      <c r="BM201" s="277" t="n">
        <v>5308</v>
      </c>
      <c r="BN201" s="277" t="n">
        <v>1404</v>
      </c>
      <c r="BO201" s="277" t="n">
        <v>1401</v>
      </c>
      <c r="BP201" s="277" t="n">
        <v>1488</v>
      </c>
      <c r="BQ201" s="277" t="n">
        <v>1594</v>
      </c>
      <c r="BR201" s="277" t="n">
        <v>5888</v>
      </c>
      <c r="BS201" s="277" t="n">
        <v>1833</v>
      </c>
      <c r="BT201" s="277" t="n">
        <v>1678</v>
      </c>
      <c r="BU201" s="261">
        <f>BU196+BU199-BU200</f>
        <v>1535.82808702302</v>
      </c>
      <c r="BV201" s="261">
        <f>BV196+BV199-BV200</f>
        <v>1647.45428317199</v>
      </c>
      <c r="BW201" s="261">
        <f>SUM(BS201:BV201)</f>
        <v>6694.28237019501</v>
      </c>
      <c r="BX201" s="261">
        <f>BX196+BX199-BX200</f>
        <v>6934.86125529822</v>
      </c>
      <c r="BY201" s="261">
        <f>BY196+BY199-BY200</f>
        <v>7582.96197300827</v>
      </c>
      <c r="BZ201" s="261">
        <f>BZ196+BZ199-BZ200</f>
        <v>8168.30366308766</v>
      </c>
      <c r="CA201" s="261">
        <f>CA196+CA199-CA200</f>
        <v>8796.64901957729</v>
      </c>
      <c r="CB201" s="261">
        <f>CB196+CB199-CB200</f>
        <v>9441.88466642233</v>
      </c>
      <c r="CC201" s="153" t="n"/>
    </row>
    <row r="202" ht="15" customHeight="1" s="251">
      <c r="B202" s="57" t="inlineStr">
        <is>
          <t xml:space="preserve">  Check: OP + other income − interest = income before taxes (should be 0)</t>
        </is>
      </c>
      <c r="C202" s="211">
        <f>IF(ISNUMBER(C201),IF(ABS(C196+N(C199)-N(C200)-C201)&lt;=1.01,0,ROUND(C196+N(C199)-N(C200)-C201,0)),"")</f>
        <v>0</v>
      </c>
      <c r="D202" s="211">
        <f>IF(ISNUMBER(D201),IF(ABS(D196+N(D199)-N(D200)-D201)&lt;=1.01,0,ROUND(D196+N(D199)-N(D200)-D201,0)),"")</f>
        <v>0</v>
      </c>
      <c r="E202" s="211">
        <f>IF(ISNUMBER(E201),IF(ABS(E196+N(E199)-N(E200)-E201)&lt;=1.01,0,ROUND(E196+N(E199)-N(E200)-E201,0)),"")</f>
        <v>0</v>
      </c>
      <c r="F202" s="211">
        <f>IF(ISNUMBER(F201),IF(ABS(F196+N(F199)-N(F200)-F201)&lt;=1.01,0,ROUND(F196+N(F199)-N(F200)-F201,0)),"")</f>
        <v>0</v>
      </c>
      <c r="G202" s="211">
        <f>IF(ISNUMBER(G201),IF(ABS(G196+N(G199)-N(G200)-G201)&lt;=1.01,0,ROUND(G196+N(G199)-N(G200)-G201,0)),"")</f>
        <v>0</v>
      </c>
      <c r="H202" s="211">
        <f>IF(ISNUMBER(H201),IF(ABS(H196+N(H199)-N(H200)-H201)&lt;=1.01,0,ROUND(H196+N(H199)-N(H200)-H201,0)),"")</f>
        <v>0</v>
      </c>
      <c r="I202" s="211">
        <f>IF(ISNUMBER(I201),IF(ABS(I196+N(I199)-N(I200)-I201)&lt;=1.01,0,ROUND(I196+N(I199)-N(I200)-I201,0)),"")</f>
        <v>0</v>
      </c>
      <c r="J202" s="211">
        <f>IF(ISNUMBER(J201),IF(ABS(J196+N(J199)-N(J200)-J201)&lt;=1.01,0,ROUND(J196+N(J199)-N(J200)-J201,0)),"")</f>
        <v>0</v>
      </c>
      <c r="K202" s="211">
        <f>IF(ISNUMBER(K201),IF(ABS(K196+N(K199)-N(K200)-K201)&lt;=1.01,0,ROUND(K196+N(K199)-N(K200)-K201,0)),"")</f>
        <v>0</v>
      </c>
      <c r="L202" s="211">
        <f>IF(ISNUMBER(L201),IF(ABS(L196+N(L199)-N(L200)-L201)&lt;=1.01,0,ROUND(L196+N(L199)-N(L200)-L201,0)),"")</f>
        <v>0</v>
      </c>
      <c r="M202" s="211">
        <f>IF(ISNUMBER(M201),IF(ABS(M196+N(M199)-N(M200)-M201)&lt;=1.01,0,ROUND(M196+N(M199)-N(M200)-M201,0)),"")</f>
        <v>0</v>
      </c>
      <c r="N202" s="211">
        <f>IF(ISNUMBER(N201),IF(ABS(N196+N(N199)-N(N200)-N201)&lt;=1.01,0,ROUND(N196+N(N199)-N(N200)-N201,0)),"")</f>
        <v>0</v>
      </c>
      <c r="O202" s="211">
        <f>IF(ISNUMBER(O201),IF(ABS(O196+N(O199)-N(O200)-O201)&lt;=1.01,0,ROUND(O196+N(O199)-N(O200)-O201,0)),"")</f>
        <v>0</v>
      </c>
      <c r="P202" s="211">
        <f>IF(ISNUMBER(P201),IF(ABS(P196+N(P199)-N(P200)-P201)&lt;=1.01,0,ROUND(P196+N(P199)-N(P200)-P201,0)),"")</f>
        <v>0</v>
      </c>
      <c r="Q202" s="211">
        <f>IF(ISNUMBER(Q201),IF(ABS(Q196+N(Q199)-N(Q200)-Q201)&lt;=1.01,0,ROUND(Q196+N(Q199)-N(Q200)-Q201,0)),"")</f>
        <v>0</v>
      </c>
      <c r="R202" s="211">
        <f>IF(ISNUMBER(R201),IF(ABS(R196+N(R199)-N(R200)-R201)&lt;=1.01,0,ROUND(R196+N(R199)-N(R200)-R201,0)),"")</f>
        <v>0</v>
      </c>
      <c r="S202" s="211">
        <f>IF(ISNUMBER(S201),IF(ABS(S196+N(S199)-N(S200)-S201)&lt;=1.01,0,ROUND(S196+N(S199)-N(S200)-S201,0)),"")</f>
        <v>0</v>
      </c>
      <c r="T202" s="211">
        <f>IF(ISNUMBER(T201),IF(ABS(T196+N(T199)-N(T200)-T201)&lt;=1.01,0,ROUND(T196+N(T199)-N(T200)-T201,0)),"")</f>
        <v>0</v>
      </c>
      <c r="U202" s="211">
        <f>IF(ISNUMBER(U201),IF(ABS(U196+N(U199)-N(U200)-U201)&lt;=1.01,0,ROUND(U196+N(U199)-N(U200)-U201,0)),"")</f>
        <v>0</v>
      </c>
      <c r="V202" s="211">
        <f>IF(ISNUMBER(V201),IF(ABS(V196+N(V199)-N(V200)-V201)&lt;=1.01,0,ROUND(V196+N(V199)-N(V200)-V201,0)),"")</f>
        <v>0</v>
      </c>
      <c r="W202" s="211">
        <f>IF(ISNUMBER(W201),IF(ABS(W196+N(W199)-N(W200)-W201)&lt;=1.01,0,ROUND(W196+N(W199)-N(W200)-W201,0)),"")</f>
        <v>0</v>
      </c>
      <c r="X202" s="211">
        <f>IF(ISNUMBER(X201),IF(ABS(X196+N(X199)-N(X200)-X201)&lt;=1.01,0,ROUND(X196+N(X199)-N(X200)-X201,0)),"")</f>
        <v>0</v>
      </c>
      <c r="Y202" s="211">
        <f>IF(ISNUMBER(Y201),IF(ABS(Y196+N(Y199)-N(Y200)-Y201)&lt;=1.01,0,ROUND(Y196+N(Y199)-N(Y200)-Y201,0)),"")</f>
        <v>0</v>
      </c>
      <c r="Z202" s="211">
        <f>IF(ISNUMBER(Z201),IF(ABS(Z196+N(Z199)-N(Z200)-Z201)&lt;=1.01,0,ROUND(Z196+N(Z199)-N(Z200)-Z201,0)),"")</f>
        <v>0</v>
      </c>
      <c r="AA202" s="211">
        <f>IF(ISNUMBER(AA201),IF(ABS(AA196+N(AA199)-N(AA200)-AA201)&lt;=1.01,0,ROUND(AA196+N(AA199)-N(AA200)-AA201,0)),"")</f>
        <v>0</v>
      </c>
      <c r="AB202" s="211">
        <f>IF(ISNUMBER(AB201),IF(ABS(AB196+N(AB199)-N(AB200)-AB201)&lt;=1.01,0,ROUND(AB196+N(AB199)-N(AB200)-AB201,0)),"")</f>
        <v>0</v>
      </c>
      <c r="AC202" s="211">
        <f>IF(ISNUMBER(AC201),IF(ABS(AC196+N(AC199)-N(AC200)-AC201)&lt;=1.01,0,ROUND(AC196+N(AC199)-N(AC200)-AC201,0)),"")</f>
        <v>0</v>
      </c>
      <c r="AD202" s="211">
        <f>IF(ISNUMBER(AD201),IF(ABS(AD196+N(AD199)-N(AD200)-AD201)&lt;=1.01,0,ROUND(AD196+N(AD199)-N(AD200)-AD201,0)),"")</f>
        <v>0</v>
      </c>
      <c r="AE202" s="211">
        <f>IF(ISNUMBER(AE201),IF(ABS(AE196+N(AE199)-N(AE200)-AE201)&lt;=1.01,0,ROUND(AE196+N(AE199)-N(AE200)-AE201,0)),"")</f>
        <v>0</v>
      </c>
      <c r="AF202" s="211">
        <f>IF(ISNUMBER(AF201),IF(ABS(AF196+N(AF199)-N(AF200)-AF201)&lt;=1.01,0,ROUND(AF196+N(AF199)-N(AF200)-AF201,0)),"")</f>
        <v>0</v>
      </c>
      <c r="AG202" s="211">
        <f>IF(ISNUMBER(AG201),IF(ABS(AG196+N(AG199)-N(AG200)-AG201)&lt;=1.01,0,ROUND(AG196+N(AG199)-N(AG200)-AG201,0)),"")</f>
        <v>0</v>
      </c>
      <c r="AH202" s="211">
        <f>IF(ISNUMBER(AH201),IF(ABS(AH196+N(AH199)-N(AH200)-AH201)&lt;=1.01,0,ROUND(AH196+N(AH199)-N(AH200)-AH201,0)),"")</f>
        <v>0</v>
      </c>
      <c r="AI202" s="211">
        <f>IF(ISNUMBER(AI201),IF(ABS(AI196+N(AI199)-N(AI200)-AI201)&lt;=1.01,0,ROUND(AI196+N(AI199)-N(AI200)-AI201,0)),"")</f>
        <v>0</v>
      </c>
      <c r="AJ202" s="211">
        <f>IF(ISNUMBER(AJ201),IF(ABS(AJ196+N(AJ199)-N(AJ200)-AJ201)&lt;=1.01,0,ROUND(AJ196+N(AJ199)-N(AJ200)-AJ201,0)),"")</f>
        <v>0</v>
      </c>
      <c r="AK202" s="211">
        <f>IF(ISNUMBER(AK201),IF(ABS(AK196+N(AK199)-N(AK200)-AK201)&lt;=1.01,0,ROUND(AK196+N(AK199)-N(AK200)-AK201,0)),"")</f>
        <v>0</v>
      </c>
      <c r="AL202" s="211">
        <f>IF(ISNUMBER(AL201),IF(ABS(AL196+N(AL199)-N(AL200)-AL201)&lt;=1.01,0,ROUND(AL196+N(AL199)-N(AL200)-AL201,0)),"")</f>
        <v>0</v>
      </c>
      <c r="AM202" s="211">
        <f>IF(ISNUMBER(AM201),IF(ABS(AM196+N(AM199)-N(AM200)-AM201)&lt;=1.01,0,ROUND(AM196+N(AM199)-N(AM200)-AM201,0)),"")</f>
        <v>0</v>
      </c>
      <c r="AN202" s="211">
        <f>IF(ISNUMBER(AN201),IF(ABS(AN196+N(AN199)-N(AN200)-AN201)&lt;=1.01,0,ROUND(AN196+N(AN199)-N(AN200)-AN201,0)),"")</f>
        <v>0</v>
      </c>
      <c r="AO202" s="211">
        <f>IF(ISNUMBER(AO201),IF(ABS(AO196+N(AO199)-N(AO200)-AO201)&lt;=1.01,0,ROUND(AO196+N(AO199)-N(AO200)-AO201,0)),"")</f>
        <v>0</v>
      </c>
      <c r="AP202" s="211">
        <f>IF(ISNUMBER(AP201),IF(ABS(AP196+N(AP199)-N(AP200)-AP201)&lt;=1.01,0,ROUND(AP196+N(AP199)-N(AP200)-AP201,0)),"")</f>
        <v>0</v>
      </c>
      <c r="AQ202" s="211">
        <f>IF(ISNUMBER(AQ201),IF(ABS(AQ196+N(AQ199)-N(AQ200)-AQ201)&lt;=1.01,0,ROUND(AQ196+N(AQ199)-N(AQ200)-AQ201,0)),"")</f>
        <v>0</v>
      </c>
      <c r="AR202" s="211">
        <f>IF(ISNUMBER(AR201),IF(ABS(AR196+N(AR199)-N(AR200)-AR201)&lt;=1.01,0,ROUND(AR196+N(AR199)-N(AR200)-AR201,0)),"")</f>
        <v>0</v>
      </c>
      <c r="AS202" s="211">
        <f>IF(ISNUMBER(AS201),IF(ABS(AS196+N(AS199)-N(AS200)-AS201)&lt;=1.01,0,ROUND(AS196+N(AS199)-N(AS200)-AS201,0)),"")</f>
        <v>0</v>
      </c>
      <c r="AT202" s="211">
        <f>IF(ISNUMBER(AT201),IF(ABS(AT196+N(AT199)-N(AT200)-AT201)&lt;=1.01,0,ROUND(AT196+N(AT199)-N(AT200)-AT201,0)),"")</f>
        <v>0</v>
      </c>
      <c r="AU202" s="211">
        <f>IF(ISNUMBER(AU201),IF(ABS(AU196+N(AU199)-N(AU200)-AU201)&lt;=1.01,0,ROUND(AU196+N(AU199)-N(AU200)-AU201,0)),"")</f>
        <v>0</v>
      </c>
      <c r="AV202" s="211">
        <f>IF(ISNUMBER(AV201),IF(ABS(AV196+N(AV199)-N(AV200)-AV201)&lt;=1.01,0,ROUND(AV196+N(AV199)-N(AV200)-AV201,0)),"")</f>
        <v>0</v>
      </c>
      <c r="AW202" s="211">
        <f>IF(ISNUMBER(AW201),IF(ABS(AW196+N(AW199)-N(AW200)-AW201)&lt;=1.01,0,ROUND(AW196+N(AW199)-N(AW200)-AW201,0)),"")</f>
        <v>0</v>
      </c>
      <c r="AX202" s="211">
        <f>IF(ISNUMBER(AX201),IF(ABS(AX196+N(AX199)-N(AX200)-AX201)&lt;=1.01,0,ROUND(AX196+N(AX199)-N(AX200)-AX201,0)),"")</f>
        <v>0</v>
      </c>
      <c r="AY202" s="211">
        <f>IF(ISNUMBER(AY201),IF(ABS(AY196+N(AY199)-N(AY200)-AY201)&lt;=1.01,0,ROUND(AY196+N(AY199)-N(AY200)-AY201,0)),"")</f>
        <v>0</v>
      </c>
      <c r="AZ202" s="211">
        <f>IF(ISNUMBER(AZ201),IF(ABS(AZ196+N(AZ199)-N(AZ200)-AZ201)&lt;=1.01,0,ROUND(AZ196+N(AZ199)-N(AZ200)-AZ201,0)),"")</f>
        <v>0</v>
      </c>
      <c r="BA202" s="211">
        <f>IF(ISNUMBER(BA201),IF(ABS(BA196+N(BA199)-N(BA200)-BA201)&lt;=1.01,0,ROUND(BA196+N(BA199)-N(BA200)-BA201,0)),"")</f>
        <v>0</v>
      </c>
      <c r="BB202" s="211">
        <f>IF(ISNUMBER(BB201),IF(ABS(BB196+N(BB199)-N(BB200)-BB201)&lt;=1.01,0,ROUND(BB196+N(BB199)-N(BB200)-BB201,0)),"")</f>
        <v>0</v>
      </c>
      <c r="BC202" s="211">
        <f>IF(ISNUMBER(BC201),IF(ABS(BC196+N(BC199)-N(BC200)-BC201)&lt;=1.01,0,ROUND(BC196+N(BC199)-N(BC200)-BC201,0)),"")</f>
        <v>0</v>
      </c>
      <c r="BD202" s="211">
        <f>IF(ISNUMBER(BD201),IF(ABS(BD196+N(BD199)-N(BD200)-BD201)&lt;=1.01,0,ROUND(BD196+N(BD199)-N(BD200)-BD201,0)),"")</f>
        <v>0</v>
      </c>
      <c r="BE202" s="211">
        <f>IF(ISNUMBER(BE201),IF(ABS(BE196+N(BE199)-N(BE200)-BE201)&lt;=1.01,0,ROUND(BE196+N(BE199)-N(BE200)-BE201,0)),"")</f>
        <v>0</v>
      </c>
      <c r="BF202" s="211">
        <f>IF(ISNUMBER(BF201),IF(ABS(BF196+N(BF199)-N(BF200)-BF201)&lt;=1.01,0,ROUND(BF196+N(BF199)-N(BF200)-BF201,0)),"")</f>
        <v>0</v>
      </c>
      <c r="BG202" s="211">
        <f>IF(ISNUMBER(BG201),IF(ABS(BG196+N(BG199)-N(BG200)-BG201)&lt;=1.01,0,ROUND(BG196+N(BG199)-N(BG200)-BG201,0)),"")</f>
        <v>0</v>
      </c>
      <c r="BH202" s="211">
        <f>IF(ISNUMBER(BH201),IF(ABS(BH196+N(BH199)-N(BH200)-BH201)&lt;=1.01,0,ROUND(BH196+N(BH199)-N(BH200)-BH201,0)),"")</f>
        <v>0</v>
      </c>
      <c r="BI202" s="211">
        <f>IF(ISNUMBER(BI201),IF(ABS(BI196+N(BI199)-N(BI200)-BI201)&lt;=1.01,0,ROUND(BI196+N(BI199)-N(BI200)-BI201,0)),"")</f>
        <v>0</v>
      </c>
      <c r="BJ202" s="211">
        <f>IF(ISNUMBER(BJ201),IF(ABS(BJ196+N(BJ199)-N(BJ200)-BJ201)&lt;=1.01,0,ROUND(BJ196+N(BJ199)-N(BJ200)-BJ201,0)),"")</f>
        <v>0</v>
      </c>
      <c r="BK202" s="211">
        <f>IF(ISNUMBER(BK201),IF(ABS(BK196+N(BK199)-N(BK200)-BK201)&lt;=1.01,0,ROUND(BK196+N(BK199)-N(BK200)-BK201,0)),"")</f>
        <v>0</v>
      </c>
      <c r="BL202" s="211">
        <f>IF(ISNUMBER(BL201),IF(ABS(BL196+N(BL199)-N(BL200)-BL201)&lt;=1.01,0,ROUND(BL196+N(BL199)-N(BL200)-BL201,0)),"")</f>
        <v>0</v>
      </c>
      <c r="BM202" s="211">
        <f>IF(ISNUMBER(BM201),IF(ABS(BM196+N(BM199)-N(BM200)-BM201)&lt;=1.01,0,ROUND(BM196+N(BM199)-N(BM200)-BM201,0)),"")</f>
        <v>0</v>
      </c>
      <c r="BN202" s="211">
        <f>IF(ISNUMBER(BN201),IF(ABS(BN196+N(BN199)-N(BN200)-BN201)&lt;=1.01,0,ROUND(BN196+N(BN199)-N(BN200)-BN201,0)),"")</f>
        <v>0</v>
      </c>
      <c r="BO202" s="211">
        <f>IF(ISNUMBER(BO201),IF(ABS(BO196+N(BO199)-N(BO200)-BO201)&lt;=1.01,0,ROUND(BO196+N(BO199)-N(BO200)-BO201,0)),"")</f>
        <v>0</v>
      </c>
      <c r="BP202" s="211">
        <f>IF(ISNUMBER(BP201),IF(ABS(BP196+N(BP199)-N(BP200)-BP201)&lt;=1.01,0,ROUND(BP196+N(BP199)-N(BP200)-BP201,0)),"")</f>
        <v>0</v>
      </c>
      <c r="BQ202" s="211">
        <f>IF(ISNUMBER(BQ201),IF(ABS(BQ196+N(BQ199)-N(BQ200)-BQ201)&lt;=1.01,0,ROUND(BQ196+N(BQ199)-N(BQ200)-BQ201,0)),"")</f>
        <v>0</v>
      </c>
      <c r="BR202" s="211">
        <f>IF(ISNUMBER(BR201),IF(ABS(BR196+N(BR199)-N(BR200)-BR201)&lt;=1.01,0,ROUND(BR196+N(BR199)-N(BR200)-BR201,0)),"")</f>
        <v>0</v>
      </c>
      <c r="BS202" s="211">
        <f>IF(ISNUMBER(BS201),IF(ABS(BS196+N(BS199)-N(BS200)-BS201)&lt;=1.01,0,ROUND(BS196+N(BS199)-N(BS200)-BS201,0)),"")</f>
        <v>0</v>
      </c>
      <c r="BT202" s="211">
        <f>IF(ISNUMBER(BT201),IF(ABS(BT196+N(BT199)-N(BT200)-BT201)&lt;=1.01,0,ROUND(BT196+N(BT199)-N(BT200)-BT201,0)),"")</f>
        <v>0</v>
      </c>
      <c r="BU202" s="153" t="n"/>
      <c r="BV202" s="153" t="n"/>
      <c r="BW202" s="153" t="n"/>
      <c r="BX202" s="153" t="n"/>
      <c r="BY202" s="153" t="n"/>
      <c r="BZ202" s="153" t="n"/>
      <c r="CA202" s="153" t="n"/>
      <c r="CB202" s="153" t="n"/>
      <c r="CC202" s="153" t="n"/>
    </row>
    <row r="203" ht="15" customHeight="1" s="251">
      <c r="B203" s="25" t="inlineStr">
        <is>
          <t>Provision for taxes on income</t>
        </is>
      </c>
      <c r="C203" s="253" t="n">
        <v>344</v>
      </c>
      <c r="D203" s="253" t="n">
        <v>374</v>
      </c>
      <c r="E203" s="253" t="n">
        <v>404</v>
      </c>
      <c r="F203" s="253" t="n">
        <v>89</v>
      </c>
      <c r="G203" s="253" t="n">
        <v>147</v>
      </c>
      <c r="H203" s="253" t="n">
        <v>128</v>
      </c>
      <c r="I203" s="253" t="n">
        <v>80</v>
      </c>
      <c r="J203" s="253" t="n">
        <v>443</v>
      </c>
      <c r="K203" s="253" t="n">
        <v>141</v>
      </c>
      <c r="L203" s="253" t="n">
        <v>156</v>
      </c>
      <c r="M203" s="253" t="n">
        <v>139</v>
      </c>
      <c r="N203" s="253" t="n">
        <v>-183</v>
      </c>
      <c r="O203" s="253" t="n">
        <v>245</v>
      </c>
      <c r="P203" s="253" t="n">
        <v>156</v>
      </c>
      <c r="Q203" s="253" t="n">
        <v>185</v>
      </c>
      <c r="R203" s="253" t="n">
        <v>99</v>
      </c>
      <c r="S203" s="253" t="n">
        <v>108</v>
      </c>
      <c r="T203" s="253" t="n">
        <v>547</v>
      </c>
      <c r="U203" s="253" t="n">
        <v>149</v>
      </c>
      <c r="V203" s="253" t="n">
        <v>197</v>
      </c>
      <c r="W203" s="253" t="n">
        <v>386</v>
      </c>
      <c r="X203" s="253" t="n">
        <v>228</v>
      </c>
      <c r="Y203" s="253" t="n">
        <v>960</v>
      </c>
      <c r="Z203" s="253" t="n">
        <v>181</v>
      </c>
      <c r="AA203" s="253" t="n">
        <v>183</v>
      </c>
      <c r="AB203" s="253" t="n">
        <v>169</v>
      </c>
      <c r="AC203" s="253" t="n">
        <v>290</v>
      </c>
      <c r="AD203" s="253" t="n">
        <v>823</v>
      </c>
      <c r="AE203" s="253" t="n">
        <v>147</v>
      </c>
      <c r="AF203" s="253" t="n">
        <v>156</v>
      </c>
      <c r="AG203" s="253" t="n">
        <v>137</v>
      </c>
      <c r="AH203" s="253" t="n">
        <v>119</v>
      </c>
      <c r="AI203" s="253" t="n">
        <v>560</v>
      </c>
      <c r="AJ203" s="253" t="n">
        <v>113</v>
      </c>
      <c r="AK203" s="253" t="n">
        <v>180</v>
      </c>
      <c r="AL203" s="253" t="n">
        <v>189</v>
      </c>
      <c r="AM203" s="253" t="n">
        <v>146</v>
      </c>
      <c r="AN203" s="253" t="n">
        <v>627</v>
      </c>
      <c r="AO203" s="253" t="n">
        <v>188</v>
      </c>
      <c r="AP203" s="253" t="n">
        <v>233</v>
      </c>
      <c r="AQ203" s="253" t="n">
        <v>138</v>
      </c>
      <c r="AR203" s="253" t="n">
        <v>135</v>
      </c>
      <c r="AS203" s="253" t="n">
        <v>694</v>
      </c>
      <c r="AT203" s="253" t="n">
        <v>248</v>
      </c>
      <c r="AU203" s="253" t="n">
        <v>287</v>
      </c>
      <c r="AV203" s="253" t="n">
        <v>213</v>
      </c>
      <c r="AW203" s="253" t="n">
        <v>153</v>
      </c>
      <c r="AX203" s="253" t="n">
        <v>901</v>
      </c>
      <c r="AY203" s="253" t="n">
        <v>568</v>
      </c>
      <c r="AZ203" s="253" t="n">
        <v>340</v>
      </c>
      <c r="BA203" s="253" t="n">
        <v>145</v>
      </c>
      <c r="BB203" s="253" t="n">
        <v>127</v>
      </c>
      <c r="BC203" s="253" t="n">
        <v>1180</v>
      </c>
      <c r="BD203" s="253" t="n">
        <v>188</v>
      </c>
      <c r="BE203" s="253" t="n">
        <v>259</v>
      </c>
      <c r="BF203" s="253" t="n">
        <v>181</v>
      </c>
      <c r="BG203" s="253" t="n">
        <v>151</v>
      </c>
      <c r="BH203" s="253" t="n">
        <v>778</v>
      </c>
      <c r="BI203" s="253" t="n">
        <v>248</v>
      </c>
      <c r="BJ203" s="253" t="n">
        <v>293</v>
      </c>
      <c r="BK203" s="253" t="n">
        <v>313</v>
      </c>
      <c r="BL203" s="253" t="n">
        <v>287</v>
      </c>
      <c r="BM203" s="253" t="n">
        <v>1141</v>
      </c>
      <c r="BN203" s="253" t="n">
        <v>315</v>
      </c>
      <c r="BO203" s="253" t="n">
        <v>325</v>
      </c>
      <c r="BP203" s="253" t="n">
        <v>315</v>
      </c>
      <c r="BQ203" s="253" t="n">
        <v>392</v>
      </c>
      <c r="BR203" s="253" t="n">
        <v>1347</v>
      </c>
      <c r="BS203" s="253" t="n">
        <v>390</v>
      </c>
      <c r="BT203" s="253" t="n">
        <v>367</v>
      </c>
      <c r="BU203" s="254">
        <f>BU201*BU204</f>
        <v>345.561319580179</v>
      </c>
      <c r="BV203" s="254">
        <f>BV201*BV204</f>
        <v>370.677213713698</v>
      </c>
      <c r="BW203" s="254">
        <f>SUM(BS203:BV203)</f>
        <v>1473.23853329388</v>
      </c>
      <c r="BX203" s="254">
        <f>BX201*BX204</f>
        <v>1560.3437824421</v>
      </c>
      <c r="BY203" s="254">
        <f>BY201*BY204</f>
        <v>1706.16644392686</v>
      </c>
      <c r="BZ203" s="254">
        <f>BZ201*BZ204</f>
        <v>1837.86832419472</v>
      </c>
      <c r="CA203" s="254">
        <f>CA201*CA204</f>
        <v>1979.24602940489</v>
      </c>
      <c r="CB203" s="254">
        <f>CB201*CB204</f>
        <v>2124.42404994502</v>
      </c>
      <c r="CC203" s="19" t="n"/>
    </row>
    <row r="204" ht="15" customHeight="1" s="251">
      <c r="B204" s="25" t="inlineStr">
        <is>
          <t xml:space="preserve">  Effective tax rate</t>
        </is>
      </c>
      <c r="C204" s="215">
        <f>IF(AND(ISNUMBER(C203),ISNUMBER(C201)),IFERROR(C203/C201,""),"")</f>
        <v>0.364793213149523</v>
      </c>
      <c r="D204" s="215">
        <f>IF(AND(ISNUMBER(D203),ISNUMBER(D201)),IFERROR(D203/D201,""),"")</f>
        <v>0.374</v>
      </c>
      <c r="E204" s="215">
        <f>IF(AND(ISNUMBER(E203),ISNUMBER(E201)),IFERROR(E203/E201,""),"")</f>
        <v>0.357522123893805</v>
      </c>
      <c r="F204" s="215">
        <f>IF(AND(ISNUMBER(F203),ISNUMBER(F201)),IFERROR(F203/F201,""),"")</f>
        <v>0.338403041825095</v>
      </c>
      <c r="G204" s="215">
        <f>IF(AND(ISNUMBER(G203),ISNUMBER(G201)),IFERROR(G203/G201,""),"")</f>
        <v>0.35</v>
      </c>
      <c r="H204" s="215">
        <f>IF(AND(ISNUMBER(H203),ISNUMBER(H201)),IFERROR(H203/H201,""),"")</f>
        <v>0.325699745547074</v>
      </c>
      <c r="I204" s="215">
        <f>IF(AND(ISNUMBER(I203),ISNUMBER(I201)),IFERROR(I203/I201,""),"")</f>
        <v>0.296296296296296</v>
      </c>
      <c r="J204" s="215">
        <f>IF(AND(ISNUMBER(J203),ISNUMBER(J201)),IFERROR(J203/J201,""),"")</f>
        <v>0.329123328380386</v>
      </c>
      <c r="K204" s="215">
        <f>IF(AND(ISNUMBER(K203),ISNUMBER(K201)),IFERROR(K203/K201,""),"")</f>
        <v>0.338942307692308</v>
      </c>
      <c r="L204" s="215">
        <f>IF(AND(ISNUMBER(L203),ISNUMBER(L201)),IFERROR(L203/L201,""),"")</f>
        <v>0.330508474576271</v>
      </c>
      <c r="M204" s="215">
        <f>IF(AND(ISNUMBER(M203),ISNUMBER(M201)),IFERROR(M203/M201,""),"")</f>
        <v>0.392655367231638</v>
      </c>
      <c r="N204" s="215">
        <f>IF(AND(ISNUMBER(N203),ISNUMBER(N201)),IFERROR(N203/N201,""),"")</f>
        <v>0.15681233933162</v>
      </c>
      <c r="O204" s="215">
        <f>IF(AND(ISNUMBER(O203),ISNUMBER(O201)),IFERROR(O203/O201,""),"")</f>
        <v>4.53703703703704</v>
      </c>
      <c r="P204" s="215">
        <f>IF(AND(ISNUMBER(P203),ISNUMBER(P201)),IFERROR(P203/P201,""),"")</f>
        <v>0.321649484536083</v>
      </c>
      <c r="Q204" s="215">
        <f>IF(AND(ISNUMBER(Q203),ISNUMBER(Q201)),IFERROR(Q203/Q201,""),"")</f>
        <v>0.326855123674912</v>
      </c>
      <c r="R204" s="215">
        <f>IF(AND(ISNUMBER(R203),ISNUMBER(R201)),IFERROR(R203/R201,""),"")</f>
        <v>0.260526315789474</v>
      </c>
      <c r="S204" s="215">
        <f>IF(AND(ISNUMBER(S203),ISNUMBER(S201)),IFERROR(S203/S201,""),"")</f>
        <v>0.28125</v>
      </c>
      <c r="T204" s="215">
        <f>IF(AND(ISNUMBER(T203),ISNUMBER(T201)),IFERROR(T203/T201,""),"")</f>
        <v>0.30137741046832</v>
      </c>
      <c r="U204" s="215">
        <f>IF(AND(ISNUMBER(U203),ISNUMBER(U201)),IFERROR(U203/U201,""),"")</f>
        <v>0.315677966101695</v>
      </c>
      <c r="V204" s="215">
        <f>IF(AND(ISNUMBER(V203),ISNUMBER(V201)),IFERROR(V203/V201,""),"")</f>
        <v>0.323481116584565</v>
      </c>
      <c r="W204" s="215">
        <f>IF(AND(ISNUMBER(W203),ISNUMBER(W201)),IFERROR(W203/W201,""),"")</f>
        <v>0.294881588999236</v>
      </c>
      <c r="X204" s="215">
        <f>IF(AND(ISNUMBER(X203),ISNUMBER(X201)),IFERROR(X203/X201,""),"")</f>
        <v>0.286072772898369</v>
      </c>
      <c r="Y204" s="215">
        <f>IF(AND(ISNUMBER(Y203),ISNUMBER(Y201)),IFERROR(Y203/Y201,""),"")</f>
        <v>0.301129234629862</v>
      </c>
      <c r="Z204" s="215">
        <f>IF(AND(ISNUMBER(Z203),ISNUMBER(Z201)),IFERROR(Z203/Z201,""),"")</f>
        <v>0.296235679214403</v>
      </c>
      <c r="AA204" s="215">
        <f>IF(AND(ISNUMBER(AA203),ISNUMBER(AA201)),IFERROR(AA203/AA201,""),"")</f>
        <v>0.2859375</v>
      </c>
      <c r="AB204" s="215">
        <f>IF(AND(ISNUMBER(AB203),ISNUMBER(AB201)),IFERROR(AB203/AB201,""),"")</f>
        <v>0.272141706924316</v>
      </c>
      <c r="AC204" s="215">
        <f>IF(AND(ISNUMBER(AC203),ISNUMBER(AC201)),IFERROR(AC203/AC201,""),"")</f>
        <v>0.492359932088285</v>
      </c>
      <c r="AD204" s="215">
        <f>IF(AND(ISNUMBER(AD203),ISNUMBER(AD201)),IFERROR(AD203/AD201,""),"")</f>
        <v>0.334416903697684</v>
      </c>
      <c r="AE204" s="215">
        <f>IF(AND(ISNUMBER(AE203),ISNUMBER(AE201)),IFERROR(AE203/AE201,""),"")</f>
        <v>0.215859030837004</v>
      </c>
      <c r="AF204" s="215">
        <f>IF(AND(ISNUMBER(AF203),ISNUMBER(AF201)),IFERROR(AF203/AF201,""),"")</f>
        <v>0.237442922374429</v>
      </c>
      <c r="AG204" s="215">
        <f>IF(AND(ISNUMBER(AG203),ISNUMBER(AG201)),IFERROR(AG203/AG201,""),"")</f>
        <v>0.203869047619048</v>
      </c>
      <c r="AH204" s="215">
        <f>IF(AND(ISNUMBER(AH203),ISNUMBER(AH201)),IFERROR(AH203/AH201,""),"")</f>
        <v>0.177611940298507</v>
      </c>
      <c r="AI204" s="215">
        <f>IF(AND(ISNUMBER(AI203),ISNUMBER(AI201)),IFERROR(AI203/AI201,""),"")</f>
        <v>0.2088772845953</v>
      </c>
      <c r="AJ204" s="215">
        <f>IF(AND(ISNUMBER(AJ203),ISNUMBER(AJ201)),IFERROR(AJ203/AJ201,""),"")</f>
        <v>0.199646643109541</v>
      </c>
      <c r="AK204" s="215">
        <f>IF(AND(ISNUMBER(AK203),ISNUMBER(AK201)),IFERROR(AK203/AK201,""),"")</f>
        <v>0.230179028132992</v>
      </c>
      <c r="AL204" s="215">
        <f>IF(AND(ISNUMBER(AL203),ISNUMBER(AL201)),IFERROR(AL203/AL201,""),"")</f>
        <v>0.222091656874266</v>
      </c>
      <c r="AM204" s="215">
        <f>IF(AND(ISNUMBER(AM203),ISNUMBER(AM201)),IFERROR(AM203/AM201,""),"")</f>
        <v>0.199726402188783</v>
      </c>
      <c r="AN204" s="215">
        <f>IF(AND(ISNUMBER(AN203),ISNUMBER(AN201)),IFERROR(AN203/AN201,""),"")</f>
        <v>0.213993174061433</v>
      </c>
      <c r="AO204" s="215">
        <f>IF(AND(ISNUMBER(AO203),ISNUMBER(AO201)),IFERROR(AO203/AO201,""),"")</f>
        <v>0.214367160775371</v>
      </c>
      <c r="AP204" s="215">
        <f>IF(AND(ISNUMBER(AP203),ISNUMBER(AP201)),IFERROR(AP203/AP201,""),"")</f>
        <v>0.216744186046512</v>
      </c>
      <c r="AQ204" s="215">
        <f>IF(AND(ISNUMBER(AQ203),ISNUMBER(AQ201)),IFERROR(AQ203/AQ201,""),"")</f>
        <v>0.216981132075472</v>
      </c>
      <c r="AR204" s="215">
        <f>IF(AND(ISNUMBER(AR203),ISNUMBER(AR201)),IFERROR(AR203/AR201,""),"")</f>
        <v>0.2109375</v>
      </c>
      <c r="AS204" s="215">
        <f>IF(AND(ISNUMBER(AS203),ISNUMBER(AS201)),IFERROR(AS203/AS201,""),"")</f>
        <v>0.214993804213135</v>
      </c>
      <c r="AT204" s="215">
        <f>IF(AND(ISNUMBER(AT203),ISNUMBER(AT201)),IFERROR(AT203/AT201,""),"")</f>
        <v>0.234848484848485</v>
      </c>
      <c r="AU204" s="215">
        <f>IF(AND(ISNUMBER(AU203),ISNUMBER(AU201)),IFERROR(AU203/AU201,""),"")</f>
        <v>0.250874125874126</v>
      </c>
      <c r="AV204" s="215">
        <f>IF(AND(ISNUMBER(AV203),ISNUMBER(AV201)),IFERROR(AV203/AV201,""),"")</f>
        <v>0.198324022346369</v>
      </c>
      <c r="AW204" s="215">
        <f>IF(AND(ISNUMBER(AW203),ISNUMBER(AW201)),IFERROR(AW203/AW201,""),"")</f>
        <v>0.171910112359551</v>
      </c>
      <c r="AX204" s="215">
        <f>IF(AND(ISNUMBER(AX203),ISNUMBER(AX201)),IFERROR(AX203/AX201,""),"")</f>
        <v>0.216378482228626</v>
      </c>
      <c r="AY204" s="215">
        <f>IF(AND(ISNUMBER(AY203),ISNUMBER(AY201)),IFERROR(AY203/AY201,""),"")</f>
        <v>0.304231387252276</v>
      </c>
      <c r="AZ204" s="215">
        <f>IF(AND(ISNUMBER(AZ203),ISNUMBER(AZ201)),IFERROR(AZ203/AZ201,""),"")</f>
        <v>0.244428468727534</v>
      </c>
      <c r="BA204" s="215">
        <f>IF(AND(ISNUMBER(BA203),ISNUMBER(BA201)),IFERROR(BA203/BA201,""),"")</f>
        <v>0.176184690157959</v>
      </c>
      <c r="BB204" s="215">
        <f>IF(AND(ISNUMBER(BB203),ISNUMBER(BB201)),IFERROR(BB203/BB201,""),"")</f>
        <v>0.20450885668277</v>
      </c>
      <c r="BC204" s="215">
        <f>IF(AND(ISNUMBER(BC203),ISNUMBER(BC201)),IFERROR(BC203/BC201,""),"")</f>
        <v>0.250957039557635</v>
      </c>
      <c r="BD204" s="215">
        <f>IF(AND(ISNUMBER(BD203),ISNUMBER(BD201)),IFERROR(BD203/BD201,""),"")</f>
        <v>0.179389312977099</v>
      </c>
      <c r="BE204" s="215">
        <f>IF(AND(ISNUMBER(BE203),ISNUMBER(BE201)),IFERROR(BE203/BE201,""),"")</f>
        <v>0.310551558752998</v>
      </c>
      <c r="BF204" s="215">
        <f>IF(AND(ISNUMBER(BF203),ISNUMBER(BF201)),IFERROR(BF203/BF201,""),"")</f>
        <v>0.181909547738693</v>
      </c>
      <c r="BG204" s="215">
        <f>IF(AND(ISNUMBER(BG203),ISNUMBER(BG201)),IFERROR(BG203/BG201,""),"")</f>
        <v>0.189937106918239</v>
      </c>
      <c r="BH204" s="215">
        <f>IF(AND(ISNUMBER(BH203),ISNUMBER(BH201)),IFERROR(BH203/BH201,""),"")</f>
        <v>0.211931353854536</v>
      </c>
      <c r="BI204" s="215">
        <f>IF(AND(ISNUMBER(BI203),ISNUMBER(BI201)),IFERROR(BI203/BI201,""),"")</f>
        <v>0.188449848024316</v>
      </c>
      <c r="BJ204" s="215">
        <f>IF(AND(ISNUMBER(BJ203),ISNUMBER(BJ201)),IFERROR(BJ203/BJ201,""),"")</f>
        <v>0.212626995645864</v>
      </c>
      <c r="BK204" s="215">
        <f>IF(AND(ISNUMBER(BK203),ISNUMBER(BK201)),IFERROR(BK203/BK201,""),"")</f>
        <v>0.230147058823529</v>
      </c>
      <c r="BL204" s="215">
        <f>IF(AND(ISNUMBER(BL203),ISNUMBER(BL201)),IFERROR(BL203/BL201,""),"")</f>
        <v>0.228867623604466</v>
      </c>
      <c r="BM204" s="215">
        <f>IF(AND(ISNUMBER(BM203),ISNUMBER(BM201)),IFERROR(BM203/BM201,""),"")</f>
        <v>0.214958553127355</v>
      </c>
      <c r="BN204" s="215">
        <f>IF(AND(ISNUMBER(BN203),ISNUMBER(BN201)),IFERROR(BN203/BN201,""),"")</f>
        <v>0.224358974358974</v>
      </c>
      <c r="BO204" s="215">
        <f>IF(AND(ISNUMBER(BO203),ISNUMBER(BO201)),IFERROR(BO203/BO201,""),"")</f>
        <v>0.23197715917202</v>
      </c>
      <c r="BP204" s="215">
        <f>IF(AND(ISNUMBER(BP203),ISNUMBER(BP201)),IFERROR(BP203/BP201,""),"")</f>
        <v>0.211693548387097</v>
      </c>
      <c r="BQ204" s="215">
        <f>IF(AND(ISNUMBER(BQ203),ISNUMBER(BQ201)),IFERROR(BQ203/BQ201,""),"")</f>
        <v>0.245922208281054</v>
      </c>
      <c r="BR204" s="215">
        <f>IF(AND(ISNUMBER(BR203),ISNUMBER(BR201)),IFERROR(BR203/BR201,""),"")</f>
        <v>0.228770380434783</v>
      </c>
      <c r="BS204" s="215">
        <f>IF(AND(ISNUMBER(BS203),ISNUMBER(BS201)),IFERROR(BS203/BS201,""),"")</f>
        <v>0.212765957446809</v>
      </c>
      <c r="BT204" s="215">
        <f>IF(AND(ISNUMBER(BT203),ISNUMBER(BT201)),IFERROR(BT203/BT201,""),"")</f>
        <v>0.218712753277712</v>
      </c>
      <c r="BU204" s="256">
        <f>$CM$29</f>
        <v>0.225</v>
      </c>
      <c r="BV204" s="256">
        <f>$CM$29</f>
        <v>0.225</v>
      </c>
      <c r="BW204" s="256">
        <f>IF(AND(ISNUMBER(BW203),ISNUMBER(BW201)),IFERROR(BW203/BW201,""),"")</f>
        <v>0.220074154602917</v>
      </c>
      <c r="BX204" s="264" t="n">
        <v>0.225</v>
      </c>
      <c r="BY204" s="264" t="n">
        <v>0.225</v>
      </c>
      <c r="BZ204" s="264" t="n">
        <v>0.225</v>
      </c>
      <c r="CA204" s="264" t="n">
        <v>0.225</v>
      </c>
      <c r="CB204" s="264" t="n">
        <v>0.225</v>
      </c>
      <c r="CC204" s="153" t="inlineStr">
        <is>
          <t>Q3–Q4/26E: FY26 guided 22–23% (mid-point). 2027E+: input.</t>
        </is>
      </c>
      <c r="CE204" s="37">
        <f>IFERROR(AVERAGE(BX204,BY204,BZ204,CA204,CB204),"n/m")</f>
        <v>0.225</v>
      </c>
      <c r="CF204" s="37">
        <f>IFERROR(AVERAGE(AX204,BC204,BH204,BM204,BR204),"n/m")</f>
        <v>0.224599161840587</v>
      </c>
      <c r="CG204" s="37">
        <f>IFERROR(AVERAGE(Y204,AD204,AI204,AN204,AS204,AX204,BC204,BH204,BM204,BR204),"n/m")</f>
        <v>0.239640621040035</v>
      </c>
      <c r="CH204" s="37">
        <f>IFERROR(AVERAGE(C204,D204,E204,J204,O204,T204,Y204,AD204,AI204,AN204,AS204,AX204,BC204,BH204,BM204,BR204),"n/m")</f>
        <v>0.541266207708089</v>
      </c>
    </row>
    <row r="205" ht="15" customHeight="1" s="251">
      <c r="B205" s="16" t="inlineStr">
        <is>
          <t>Net income from continuing operations</t>
        </is>
      </c>
      <c r="C205" s="260">
        <f>IF(ISNUMBER(C201),C201-C203,"")</f>
        <v>599</v>
      </c>
      <c r="D205" s="260">
        <f>IF(ISNUMBER(D201),D201-D203,"")</f>
        <v>626</v>
      </c>
      <c r="E205" s="260">
        <f>IF(ISNUMBER(E201),E201-E203,"")</f>
        <v>726</v>
      </c>
      <c r="F205" s="260">
        <f>IF(ISNUMBER(F201),F201-F203,"")</f>
        <v>174</v>
      </c>
      <c r="G205" s="260">
        <f>IF(ISNUMBER(G201),G201-G203,"")</f>
        <v>273</v>
      </c>
      <c r="H205" s="260">
        <f>IF(ISNUMBER(H201),H201-H203,"")</f>
        <v>265</v>
      </c>
      <c r="I205" s="260">
        <f>IF(ISNUMBER(I201),I201-I203,"")</f>
        <v>190</v>
      </c>
      <c r="J205" s="260">
        <f>IF(ISNUMBER(J201),J201-J203,"")</f>
        <v>903</v>
      </c>
      <c r="K205" s="260">
        <f>IF(ISNUMBER(K201),K201-K203,"")</f>
        <v>275</v>
      </c>
      <c r="L205" s="260">
        <f>IF(ISNUMBER(L201),L201-L203,"")</f>
        <v>316</v>
      </c>
      <c r="M205" s="260">
        <f>IF(ISNUMBER(M201),M201-M203,"")</f>
        <v>215</v>
      </c>
      <c r="N205" s="260">
        <f>IF(ISNUMBER(N201),N201-N203,"")</f>
        <v>-984</v>
      </c>
      <c r="O205" s="260">
        <f>IF(ISNUMBER(O201),O201-O203,"")</f>
        <v>-191</v>
      </c>
      <c r="P205" s="260">
        <f>IF(ISNUMBER(P201),P201-P203,"")</f>
        <v>329</v>
      </c>
      <c r="Q205" s="260">
        <f>IF(ISNUMBER(Q201),Q201-Q203,"")</f>
        <v>381</v>
      </c>
      <c r="R205" s="260">
        <f>IF(ISNUMBER(R201),R201-R203,"")</f>
        <v>281</v>
      </c>
      <c r="S205" s="260">
        <f>IF(ISNUMBER(S201),S201-S203,"")</f>
        <v>276</v>
      </c>
      <c r="T205" s="260">
        <f>IF(ISNUMBER(T201),T201-T203,"")</f>
        <v>1268</v>
      </c>
      <c r="U205" s="260">
        <f>IF(ISNUMBER(U201),U201-U203,"")</f>
        <v>323</v>
      </c>
      <c r="V205" s="260">
        <f>IF(ISNUMBER(V201),V201-V203,"")</f>
        <v>412</v>
      </c>
      <c r="W205" s="260">
        <f>IF(ISNUMBER(W201),W201-W203,"")</f>
        <v>923</v>
      </c>
      <c r="X205" s="260">
        <f>IF(ISNUMBER(X201),X201-X203,"")</f>
        <v>569</v>
      </c>
      <c r="Y205" s="260">
        <f>IF(ISNUMBER(Y201),Y201-Y203,"")</f>
        <v>2228</v>
      </c>
      <c r="Z205" s="260">
        <f>IF(ISNUMBER(Z201),Z201-Z203,"")</f>
        <v>430</v>
      </c>
      <c r="AA205" s="260">
        <f>IF(ISNUMBER(AA201),AA201-AA203,"")</f>
        <v>457</v>
      </c>
      <c r="AB205" s="260">
        <f>IF(ISNUMBER(AB201),AB201-AB203,"")</f>
        <v>452</v>
      </c>
      <c r="AC205" s="260">
        <f>IF(ISNUMBER(AC201),AC201-AC203,"")</f>
        <v>299</v>
      </c>
      <c r="AD205" s="260">
        <f>IF(ISNUMBER(AD201),AD201-AD203,"")</f>
        <v>1638</v>
      </c>
      <c r="AE205" s="260">
        <f>IF(ISNUMBER(AE201),AE201-AE203,"")</f>
        <v>534</v>
      </c>
      <c r="AF205" s="260">
        <f>IF(ISNUMBER(AF201),AF201-AF203,"")</f>
        <v>501</v>
      </c>
      <c r="AG205" s="260">
        <f>IF(ISNUMBER(AG201),AG201-AG203,"")</f>
        <v>535</v>
      </c>
      <c r="AH205" s="260">
        <f>IF(ISNUMBER(AH201),AH201-AH203,"")</f>
        <v>551</v>
      </c>
      <c r="AI205" s="260">
        <f>IF(ISNUMBER(AI201),AI201-AI203,"")</f>
        <v>2121</v>
      </c>
      <c r="AJ205" s="260">
        <f>IF(ISNUMBER(AJ201),AJ201-AJ203,"")</f>
        <v>453</v>
      </c>
      <c r="AK205" s="260">
        <f>IF(ISNUMBER(AK201),AK201-AK203,"")</f>
        <v>602</v>
      </c>
      <c r="AL205" s="260">
        <f>IF(ISNUMBER(AL201),AL201-AL203,"")</f>
        <v>662</v>
      </c>
      <c r="AM205" s="260">
        <f>IF(ISNUMBER(AM201),AM201-AM203,"")</f>
        <v>585</v>
      </c>
      <c r="AN205" s="260">
        <f>IF(ISNUMBER(AN201),AN201-AN203,"")</f>
        <v>2303</v>
      </c>
      <c r="AO205" s="260">
        <f>IF(ISNUMBER(AO201),AO201-AO203,"")</f>
        <v>689</v>
      </c>
      <c r="AP205" s="260">
        <f>IF(ISNUMBER(AP201),AP201-AP203,"")</f>
        <v>842</v>
      </c>
      <c r="AQ205" s="260">
        <f>IF(ISNUMBER(AQ201),AQ201-AQ203,"")</f>
        <v>498</v>
      </c>
      <c r="AR205" s="260">
        <f>IF(ISNUMBER(AR201),AR201-AR203,"")</f>
        <v>505</v>
      </c>
      <c r="AS205" s="260">
        <f>IF(ISNUMBER(AS201),AS201-AS203,"")</f>
        <v>2534</v>
      </c>
      <c r="AT205" s="260">
        <f>IF(ISNUMBER(AT201),AT201-AT203,"")</f>
        <v>808</v>
      </c>
      <c r="AU205" s="260">
        <f>IF(ISNUMBER(AU201),AU201-AU203,"")</f>
        <v>857</v>
      </c>
      <c r="AV205" s="260">
        <f>IF(ISNUMBER(AV201),AV201-AV203,"")</f>
        <v>861</v>
      </c>
      <c r="AW205" s="260">
        <f>IF(ISNUMBER(AW201),AW201-AW203,"")</f>
        <v>737</v>
      </c>
      <c r="AX205" s="260">
        <f>IF(ISNUMBER(AX201),AX201-AX203,"")</f>
        <v>3263</v>
      </c>
      <c r="AY205" s="260">
        <f>IF(ISNUMBER(AY201),AY201-AY203,"")</f>
        <v>1299</v>
      </c>
      <c r="AZ205" s="260">
        <f>IF(ISNUMBER(AZ201),AZ201-AZ203,"")</f>
        <v>1051</v>
      </c>
      <c r="BA205" s="260">
        <f>IF(ISNUMBER(BA201),BA201-BA203,"")</f>
        <v>678</v>
      </c>
      <c r="BB205" s="260">
        <f>IF(ISNUMBER(BB201),BB201-BB203,"")</f>
        <v>494</v>
      </c>
      <c r="BC205" s="260">
        <f>IF(ISNUMBER(BC201),BC201-BC203,"")</f>
        <v>3522</v>
      </c>
      <c r="BD205" s="260">
        <f>IF(ISNUMBER(BD201),BD201-BD203,"")</f>
        <v>860</v>
      </c>
      <c r="BE205" s="260">
        <f>IF(ISNUMBER(BE201),BE201-BE203,"")</f>
        <v>575</v>
      </c>
      <c r="BF205" s="260">
        <f>IF(ISNUMBER(BF201),BF201-BF203,"")</f>
        <v>814</v>
      </c>
      <c r="BG205" s="260">
        <f>IF(ISNUMBER(BG201),BG201-BG203,"")</f>
        <v>644</v>
      </c>
      <c r="BH205" s="260">
        <f>IF(ISNUMBER(BH201),BH201-BH203,"")</f>
        <v>2893</v>
      </c>
      <c r="BI205" s="260">
        <f>IF(ISNUMBER(BI201),BI201-BI203,"")</f>
        <v>1068</v>
      </c>
      <c r="BJ205" s="260">
        <f>IF(ISNUMBER(BJ201),BJ201-BJ203,"")</f>
        <v>1085</v>
      </c>
      <c r="BK205" s="260">
        <f>IF(ISNUMBER(BK201),BK201-BK203,"")</f>
        <v>1047</v>
      </c>
      <c r="BL205" s="260">
        <f>IF(ISNUMBER(BL201),BL201-BL203,"")</f>
        <v>967</v>
      </c>
      <c r="BM205" s="260">
        <f>IF(ISNUMBER(BM201),BM201-BM203,"")</f>
        <v>4167</v>
      </c>
      <c r="BN205" s="260">
        <f>IF(ISNUMBER(BN201),BN201-BN203,"")</f>
        <v>1089</v>
      </c>
      <c r="BO205" s="260">
        <f>IF(ISNUMBER(BO201),BO201-BO203,"")</f>
        <v>1076</v>
      </c>
      <c r="BP205" s="260">
        <f>IF(ISNUMBER(BP201),BP201-BP203,"")</f>
        <v>1173</v>
      </c>
      <c r="BQ205" s="260">
        <f>IF(ISNUMBER(BQ201),BQ201-BQ203,"")</f>
        <v>1202</v>
      </c>
      <c r="BR205" s="260">
        <f>IF(ISNUMBER(BR201),BR201-BR203,"")</f>
        <v>4541</v>
      </c>
      <c r="BS205" s="260">
        <f>IF(ISNUMBER(BS201),BS201-BS203,"")</f>
        <v>1443</v>
      </c>
      <c r="BT205" s="260">
        <f>IF(ISNUMBER(BT201),BT201-BT203,"")</f>
        <v>1311</v>
      </c>
      <c r="BU205" s="261">
        <f>IF(ISNUMBER(BU201),BU201-BU203,"")</f>
        <v>1190.26676744284</v>
      </c>
      <c r="BV205" s="261">
        <f>IF(ISNUMBER(BV201),BV201-BV203,"")</f>
        <v>1276.77706945829</v>
      </c>
      <c r="BW205" s="261">
        <f>IF(ISNUMBER(BW201),BW201-BW203,"")</f>
        <v>5221.04383690113</v>
      </c>
      <c r="BX205" s="261">
        <f>IF(ISNUMBER(BX201),BX201-BX203,"")</f>
        <v>5374.51747285612</v>
      </c>
      <c r="BY205" s="261">
        <f>IF(ISNUMBER(BY201),BY201-BY203,"")</f>
        <v>5876.79552908141</v>
      </c>
      <c r="BZ205" s="261">
        <f>IF(ISNUMBER(BZ201),BZ201-BZ203,"")</f>
        <v>6330.43533889294</v>
      </c>
      <c r="CA205" s="261">
        <f>IF(ISNUMBER(CA201),CA201-CA203,"")</f>
        <v>6817.4029901724</v>
      </c>
      <c r="CB205" s="261">
        <f>IF(ISNUMBER(CB201),CB201-CB203,"")</f>
        <v>7317.4606164773</v>
      </c>
      <c r="CC205" s="153" t="n"/>
    </row>
    <row r="206" ht="15" customHeight="1" s="251">
      <c r="B206" s="25" t="inlineStr">
        <is>
          <t xml:space="preserve">  Less: net income attributable to noncontrolling interests (CME Group 27% of S&amp;P DJI; other)</t>
        </is>
      </c>
      <c r="C206" s="253" t="n">
        <v>19</v>
      </c>
      <c r="D206" s="253" t="n">
        <v>23</v>
      </c>
      <c r="E206" s="253" t="n">
        <v>55</v>
      </c>
      <c r="F206" s="253" t="n">
        <v>20</v>
      </c>
      <c r="G206" s="253" t="n">
        <v>23</v>
      </c>
      <c r="H206" s="253" t="n">
        <v>30</v>
      </c>
      <c r="I206" s="253" t="n">
        <v>17</v>
      </c>
      <c r="J206" s="253" t="n">
        <v>90</v>
      </c>
      <c r="K206" s="253" t="n">
        <v>27</v>
      </c>
      <c r="L206" s="253" t="n">
        <v>24</v>
      </c>
      <c r="M206" s="253" t="n">
        <v>27</v>
      </c>
      <c r="N206" s="253" t="n">
        <v>25</v>
      </c>
      <c r="O206" s="253" t="n">
        <v>102</v>
      </c>
      <c r="P206" s="253" t="n">
        <v>26</v>
      </c>
      <c r="Q206" s="253" t="n">
        <v>28</v>
      </c>
      <c r="R206" s="253" t="n">
        <v>29</v>
      </c>
      <c r="S206" s="253" t="n">
        <v>28</v>
      </c>
      <c r="T206" s="253" t="n">
        <v>112</v>
      </c>
      <c r="U206" s="253" t="n">
        <v>29</v>
      </c>
      <c r="V206" s="253" t="n">
        <v>29</v>
      </c>
      <c r="W206" s="253" t="n">
        <v>31</v>
      </c>
      <c r="X206" s="253" t="n">
        <v>32</v>
      </c>
      <c r="Y206" s="253" t="n">
        <v>122</v>
      </c>
      <c r="Z206" s="253" t="n">
        <v>31</v>
      </c>
      <c r="AA206" s="253" t="n">
        <v>36</v>
      </c>
      <c r="AB206" s="253" t="n">
        <v>38</v>
      </c>
      <c r="AC206" s="253" t="n">
        <v>36</v>
      </c>
      <c r="AD206" s="253" t="n">
        <v>142</v>
      </c>
      <c r="AE206" s="253" t="n">
        <v>43</v>
      </c>
      <c r="AF206" s="253" t="n">
        <v>40</v>
      </c>
      <c r="AG206" s="253" t="n">
        <v>40</v>
      </c>
      <c r="AH206" s="253" t="n">
        <v>39</v>
      </c>
      <c r="AI206" s="253" t="n">
        <v>163</v>
      </c>
      <c r="AJ206" s="253" t="n">
        <v>43</v>
      </c>
      <c r="AK206" s="253" t="n">
        <v>47</v>
      </c>
      <c r="AL206" s="253" t="n">
        <v>45</v>
      </c>
      <c r="AM206" s="253" t="n">
        <v>44</v>
      </c>
      <c r="AN206" s="253" t="n">
        <v>180</v>
      </c>
      <c r="AO206" s="253" t="n">
        <v>50</v>
      </c>
      <c r="AP206" s="253" t="n">
        <v>50</v>
      </c>
      <c r="AQ206" s="253" t="n">
        <v>43</v>
      </c>
      <c r="AR206" s="253" t="n">
        <v>51</v>
      </c>
      <c r="AS206" s="253" t="n">
        <v>195</v>
      </c>
      <c r="AT206" s="253" t="n">
        <v>53</v>
      </c>
      <c r="AU206" s="253" t="n">
        <v>59</v>
      </c>
      <c r="AV206" s="253" t="n">
        <v>64</v>
      </c>
      <c r="AW206" s="253" t="n">
        <v>62</v>
      </c>
      <c r="AX206" s="253" t="n">
        <v>239</v>
      </c>
      <c r="AY206" s="253" t="n">
        <v>64</v>
      </c>
      <c r="AZ206" s="253" t="n">
        <v>79</v>
      </c>
      <c r="BA206" s="253" t="n">
        <v>70</v>
      </c>
      <c r="BB206" s="253" t="n">
        <v>61</v>
      </c>
      <c r="BC206" s="253" t="n">
        <v>274</v>
      </c>
      <c r="BD206" s="253" t="n">
        <v>65</v>
      </c>
      <c r="BE206" s="253" t="n">
        <v>64</v>
      </c>
      <c r="BF206" s="253" t="n">
        <v>72</v>
      </c>
      <c r="BG206" s="253" t="n">
        <v>65</v>
      </c>
      <c r="BH206" s="253" t="n">
        <v>267</v>
      </c>
      <c r="BI206" s="253" t="n">
        <v>77</v>
      </c>
      <c r="BJ206" s="253" t="n">
        <v>74</v>
      </c>
      <c r="BK206" s="253" t="n">
        <v>76</v>
      </c>
      <c r="BL206" s="253" t="n">
        <v>87</v>
      </c>
      <c r="BM206" s="253" t="n">
        <v>315</v>
      </c>
      <c r="BN206" s="253" t="n">
        <v>81</v>
      </c>
      <c r="BO206" s="253" t="n">
        <v>88</v>
      </c>
      <c r="BP206" s="253" t="n">
        <v>89</v>
      </c>
      <c r="BQ206" s="253" t="n">
        <v>90</v>
      </c>
      <c r="BR206" s="253" t="n">
        <v>349</v>
      </c>
      <c r="BS206" s="253" t="n">
        <v>109</v>
      </c>
      <c r="BT206" s="253" t="n">
        <v>106</v>
      </c>
      <c r="BU206" s="254">
        <f>BU45*BU207</f>
        <v>99.1021404370404</v>
      </c>
      <c r="BV206" s="254">
        <f>BV45*BV207</f>
        <v>103.689023271322</v>
      </c>
      <c r="BW206" s="254">
        <f>SUM(BS206:BV206)</f>
        <v>417.791163708363</v>
      </c>
      <c r="BX206" s="254">
        <f>BX45*BX207</f>
        <v>464.651210894395</v>
      </c>
      <c r="BY206" s="254">
        <f>BY45*BY207</f>
        <v>506.026962115111</v>
      </c>
      <c r="BZ206" s="254">
        <f>BZ45*BZ207</f>
        <v>546.555653191149</v>
      </c>
      <c r="CA206" s="254">
        <f>CA45*CA207</f>
        <v>590.814141761276</v>
      </c>
      <c r="CB206" s="254">
        <f>CB45*CB207</f>
        <v>634.318485590034</v>
      </c>
      <c r="CC206" s="19" t="n"/>
    </row>
    <row r="207" ht="15" customHeight="1" s="251">
      <c r="B207" s="25" t="inlineStr">
        <is>
          <t xml:space="preserve">  NCI ratio to Indices adjusted OP</t>
        </is>
      </c>
      <c r="C207" s="215">
        <f>IF(AND(ISNUMBER(C206),ISNUMBER(C45)),IFERROR(C206/C45,""),"")</f>
      </c>
      <c r="D207" s="215">
        <f>IF(AND(ISNUMBER(D206),ISNUMBER(D45)),IFERROR(D206/D45,""),"")</f>
        <v>0.121693121693122</v>
      </c>
      <c r="E207" s="215">
        <f>IF(AND(ISNUMBER(E206),ISNUMBER(E45)),IFERROR(E206/E45,""),"")</f>
        <v>0.235042735042735</v>
      </c>
      <c r="F207" s="215">
        <f>IF(AND(ISNUMBER(F206),ISNUMBER(F45)),IFERROR(F206/F45,""),"")</f>
        <v>0.298507462686567</v>
      </c>
      <c r="G207" s="215">
        <f>IF(AND(ISNUMBER(G206),ISNUMBER(G45)),IFERROR(G206/G45,""),"")</f>
        <v>0.2875</v>
      </c>
      <c r="H207" s="215">
        <f>IF(AND(ISNUMBER(H206),ISNUMBER(H45)),IFERROR(H206/H45,""),"")</f>
        <v>0.375</v>
      </c>
      <c r="I207" s="215">
        <f>IF(AND(ISNUMBER(I206),ISNUMBER(I45)),IFERROR(I206/I45,""),"")</f>
        <v>0.34</v>
      </c>
      <c r="J207" s="215">
        <f>IF(AND(ISNUMBER(J206),ISNUMBER(J45)),IFERROR(J206/J45,""),"")</f>
        <v>0.323741007194245</v>
      </c>
      <c r="K207" s="215">
        <f>IF(AND(ISNUMBER(K206),ISNUMBER(K45)),IFERROR(K206/K45,""),"")</f>
        <v>0.296703296703297</v>
      </c>
      <c r="L207" s="215">
        <f>IF(AND(ISNUMBER(L206),ISNUMBER(L45)),IFERROR(L206/L45,""),"")</f>
        <v>0.292682926829268</v>
      </c>
      <c r="M207" s="215">
        <f>IF(AND(ISNUMBER(M206),ISNUMBER(M45)),IFERROR(M206/M45,""),"")</f>
        <v>0.296703296703297</v>
      </c>
      <c r="N207" s="215">
        <f>IF(AND(ISNUMBER(N206),ISNUMBER(N45)),IFERROR(N206/N45,""),"")</f>
        <v>0.28735632183908</v>
      </c>
      <c r="O207" s="215">
        <f>IF(AND(ISNUMBER(O206),ISNUMBER(O45)),IFERROR(O206/O45,""),"")</f>
        <v>0.290598290598291</v>
      </c>
      <c r="P207" s="215">
        <f>IF(AND(ISNUMBER(P206),ISNUMBER(P45)),IFERROR(P206/P45,""),"")</f>
        <v>0.273684210526316</v>
      </c>
      <c r="Q207" s="215">
        <f>IF(AND(ISNUMBER(Q206),ISNUMBER(Q45)),IFERROR(Q206/Q45,""),"")</f>
        <v>0.291666666666667</v>
      </c>
      <c r="R207" s="215">
        <f>IF(AND(ISNUMBER(R206),ISNUMBER(R45)),IFERROR(R206/R45,""),"")</f>
        <v>0.273584905660377</v>
      </c>
      <c r="S207" s="215">
        <f>IF(AND(ISNUMBER(S206),ISNUMBER(S45)),IFERROR(S206/S45,""),"")</f>
        <v>0.297872340425532</v>
      </c>
      <c r="T207" s="215">
        <f>IF(AND(ISNUMBER(T206),ISNUMBER(T45)),IFERROR(T206/T45,""),"")</f>
        <v>0.285714285714286</v>
      </c>
      <c r="U207" s="215">
        <f>IF(AND(ISNUMBER(U206),ISNUMBER(U45)),IFERROR(U206/U45,""),"")</f>
        <v>0.284313725490196</v>
      </c>
      <c r="V207" s="215">
        <f>IF(AND(ISNUMBER(V206),ISNUMBER(V45)),IFERROR(V206/V45,""),"")</f>
        <v>0.287128712871287</v>
      </c>
      <c r="W207" s="215">
        <f>IF(AND(ISNUMBER(W206),ISNUMBER(W45)),IFERROR(W206/W45,""),"")</f>
        <v>0.287037037037037</v>
      </c>
      <c r="X207" s="215">
        <f>IF(AND(ISNUMBER(X206),ISNUMBER(X45)),IFERROR(X206/X45,""),"")</f>
        <v>0.304761904761905</v>
      </c>
      <c r="Y207" s="215">
        <f>IF(AND(ISNUMBER(Y206),ISNUMBER(Y45)),IFERROR(Y206/Y45,""),"")</f>
        <v>0.292565947242206</v>
      </c>
      <c r="Z207" s="215">
        <f>IF(AND(ISNUMBER(Z206),ISNUMBER(Z45)),IFERROR(Z206/Z45,""),"")</f>
        <v>0.267241379310345</v>
      </c>
      <c r="AA207" s="215">
        <f>IF(AND(ISNUMBER(AA206),ISNUMBER(AA45)),IFERROR(AA206/AA45,""),"")</f>
        <v>0.3</v>
      </c>
      <c r="AB207" s="215">
        <f>IF(AND(ISNUMBER(AB206),ISNUMBER(AB45)),IFERROR(AB206/AB45,""),"")</f>
        <v>0.316666666666667</v>
      </c>
      <c r="AC207" s="215">
        <f>IF(AND(ISNUMBER(AC206),ISNUMBER(AC45)),IFERROR(AC206/AC45,""),"")</f>
        <v>0.295081967213115</v>
      </c>
      <c r="AD207" s="215">
        <f>IF(AND(ISNUMBER(AD206),ISNUMBER(AD45)),IFERROR(AD206/AD45,""),"")</f>
        <v>0.297071129707113</v>
      </c>
      <c r="AE207" s="215">
        <f>IF(AND(ISNUMBER(AE206),ISNUMBER(AE45)),IFERROR(AE206/AE45,""),"")</f>
        <v>0.288590604026846</v>
      </c>
      <c r="AF207" s="215">
        <f>IF(AND(ISNUMBER(AF206),ISNUMBER(AF45)),IFERROR(AF206/AF45,""),"")</f>
        <v>0.289855072463768</v>
      </c>
      <c r="AG207" s="215">
        <f>IF(AND(ISNUMBER(AG206),ISNUMBER(AG45)),IFERROR(AG206/AG45,""),"")</f>
        <v>0.294117647058824</v>
      </c>
      <c r="AH207" s="215">
        <f>IF(AND(ISNUMBER(AH206),ISNUMBER(AH45)),IFERROR(AH206/AH45,""),"")</f>
        <v>0.270833333333333</v>
      </c>
      <c r="AI207" s="215">
        <f>IF(AND(ISNUMBER(AI206),ISNUMBER(AI45)),IFERROR(AI206/AI45,""),"")</f>
        <v>0.286971830985916</v>
      </c>
      <c r="AJ207" s="215">
        <f>IF(AND(ISNUMBER(AJ206),ISNUMBER(AJ45)),IFERROR(AJ206/AJ45,""),"")</f>
        <v>0.28476821192053</v>
      </c>
      <c r="AK207" s="215">
        <f>IF(AND(ISNUMBER(AK206),ISNUMBER(AK45)),IFERROR(AK206/AK45,""),"")</f>
        <v>0.286585365853659</v>
      </c>
      <c r="AL207" s="215">
        <f>IF(AND(ISNUMBER(AL206),ISNUMBER(AL45)),IFERROR(AL206/AL45,""),"")</f>
        <v>0.276073619631902</v>
      </c>
      <c r="AM207" s="215">
        <f>IF(AND(ISNUMBER(AM206),ISNUMBER(AM45)),IFERROR(AM206/AM45,""),"")</f>
        <v>0.278481012658228</v>
      </c>
      <c r="AN207" s="215">
        <f>IF(AND(ISNUMBER(AN206),ISNUMBER(AN45)),IFERROR(AN206/AN45,""),"")</f>
        <v>0.283464566929134</v>
      </c>
      <c r="AO207" s="215">
        <f>IF(AND(ISNUMBER(AO206),ISNUMBER(AO45)),IFERROR(AO206/AO45,""),"")</f>
        <v>0.273224043715847</v>
      </c>
      <c r="AP207" s="215">
        <f>IF(AND(ISNUMBER(AP206),ISNUMBER(AP45)),IFERROR(AP206/AP45,""),"")</f>
        <v>0.290697674418605</v>
      </c>
      <c r="AQ207" s="215">
        <f>IF(AND(ISNUMBER(AQ206),ISNUMBER(AQ45)),IFERROR(AQ206/AQ45,""),"")</f>
        <v>0.281045751633987</v>
      </c>
      <c r="AR207" s="215">
        <f>IF(AND(ISNUMBER(AR206),ISNUMBER(AR45)),IFERROR(AR206/AR45,""),"")</f>
        <v>0.289772727272727</v>
      </c>
      <c r="AS207" s="215">
        <f>IF(AND(ISNUMBER(AS206),ISNUMBER(AS45)),IFERROR(AS206/AS45,""),"")</f>
        <v>0.285087719298246</v>
      </c>
      <c r="AT207" s="215">
        <f>IF(AND(ISNUMBER(AT206),ISNUMBER(AT45)),IFERROR(AT206/AT45,""),"")</f>
        <v>0.276041666666667</v>
      </c>
      <c r="AU207" s="215">
        <f>IF(AND(ISNUMBER(AU206),ISNUMBER(AU45)),IFERROR(AU206/AU45,""),"")</f>
        <v>0.297979797979798</v>
      </c>
      <c r="AV207" s="215">
        <f>IF(AND(ISNUMBER(AV206),ISNUMBER(AV45)),IFERROR(AV206/AV45,""),"")</f>
        <v>0.299065420560748</v>
      </c>
      <c r="AW207" s="215">
        <f>IF(AND(ISNUMBER(AW206),ISNUMBER(AW45)),IFERROR(AW206/AW45,""),"")</f>
        <v>0.311557788944724</v>
      </c>
      <c r="AX207" s="215">
        <f>IF(AND(ISNUMBER(AX206),ISNUMBER(AX45)),IFERROR(AX206/AX45,""),"")</f>
        <v>0.297633872976339</v>
      </c>
      <c r="AY207" s="215">
        <f>IF(AND(ISNUMBER(AY206),ISNUMBER(AY45)),IFERROR(AY206/AY45,""),"")</f>
        <v>0.278260869565217</v>
      </c>
      <c r="AZ207" s="215">
        <f>IF(AND(ISNUMBER(AZ206),ISNUMBER(AZ45)),IFERROR(AZ206/AZ45,""),"")</f>
        <v>0.325102880658436</v>
      </c>
      <c r="BA207" s="215">
        <f>IF(AND(ISNUMBER(BA206),ISNUMBER(BA45)),IFERROR(BA206/BA45,""),"")</f>
        <v>0.299145299145299</v>
      </c>
      <c r="BB207" s="215">
        <f>IF(AND(ISNUMBER(BB206),ISNUMBER(BB45)),IFERROR(BB206/BB45,""),"")</f>
        <v>0.285046728971963</v>
      </c>
      <c r="BC207" s="215">
        <f>IF(AND(ISNUMBER(BC206),ISNUMBER(BC45)),IFERROR(BC206/BC45,""),"")</f>
        <v>0.297502714440825</v>
      </c>
      <c r="BD207" s="215">
        <f>IF(AND(ISNUMBER(BD206),ISNUMBER(BD45)),IFERROR(BD206/BD45,""),"")</f>
        <v>0.26530612244898</v>
      </c>
      <c r="BE207" s="215">
        <f>IF(AND(ISNUMBER(BE206),ISNUMBER(BE45)),IFERROR(BE206/BE45,""),"")</f>
        <v>0.26890756302521</v>
      </c>
      <c r="BF207" s="215">
        <f>IF(AND(ISNUMBER(BF206),ISNUMBER(BF45)),IFERROR(BF206/BF45,""),"")</f>
        <v>0.292682926829268</v>
      </c>
      <c r="BG207" s="215">
        <f>IF(AND(ISNUMBER(BG206),ISNUMBER(BG45)),IFERROR(BG206/BG45,""),"")</f>
        <v>0.273109243697479</v>
      </c>
      <c r="BH207" s="215">
        <f>IF(AND(ISNUMBER(BH206),ISNUMBER(BH45)),IFERROR(BH206/BH45,""),"")</f>
        <v>0.276111685625646</v>
      </c>
      <c r="BI207" s="215">
        <f>IF(AND(ISNUMBER(BI206),ISNUMBER(BI45)),IFERROR(BI206/BI45,""),"")</f>
        <v>0.273049645390071</v>
      </c>
      <c r="BJ207" s="215">
        <f>IF(AND(ISNUMBER(BJ206),ISNUMBER(BJ45)),IFERROR(BJ206/BJ45,""),"")</f>
        <v>0.269090909090909</v>
      </c>
      <c r="BK207" s="215">
        <f>IF(AND(ISNUMBER(BK206),ISNUMBER(BK45)),IFERROR(BK206/BK45,""),"")</f>
        <v>0.26027397260274</v>
      </c>
      <c r="BL207" s="215">
        <f>IF(AND(ISNUMBER(BL206),ISNUMBER(BL45)),IFERROR(BL206/BL45,""),"")</f>
        <v>0.293918918918919</v>
      </c>
      <c r="BM207" s="215">
        <f>IF(AND(ISNUMBER(BM206),ISNUMBER(BM45)),IFERROR(BM206/BM45,""),"")</f>
        <v>0.275109170305677</v>
      </c>
      <c r="BN207" s="215">
        <f>IF(AND(ISNUMBER(BN206),ISNUMBER(BN45)),IFERROR(BN206/BN45,""),"")</f>
        <v>0.252336448598131</v>
      </c>
      <c r="BO207" s="215">
        <f>IF(AND(ISNUMBER(BO206),ISNUMBER(BO45)),IFERROR(BO206/BO45,""),"")</f>
        <v>0.279365079365079</v>
      </c>
      <c r="BP207" s="215">
        <f>IF(AND(ISNUMBER(BP206),ISNUMBER(BP45)),IFERROR(BP206/BP45,""),"")</f>
        <v>0.273846153846154</v>
      </c>
      <c r="BQ207" s="215">
        <f>IF(AND(ISNUMBER(BQ206),ISNUMBER(BQ45)),IFERROR(BQ206/BQ45,""),"")</f>
        <v>0.264705882352941</v>
      </c>
      <c r="BR207" s="215">
        <f>IF(AND(ISNUMBER(BR206),ISNUMBER(BR45)),IFERROR(BR206/BR45,""),"")</f>
        <v>0.26825518831668</v>
      </c>
      <c r="BS207" s="215">
        <f>IF(AND(ISNUMBER(BS206),ISNUMBER(BS45)),IFERROR(BS206/BS45,""),"")</f>
        <v>0.287598944591029</v>
      </c>
      <c r="BT207" s="215">
        <f>IF(AND(ISNUMBER(BT206),ISNUMBER(BT45)),IFERROR(BT206/BT45,""),"")</f>
        <v>0.277486910994764</v>
      </c>
      <c r="BU207" s="256">
        <f>IFERROR(SUM(BS206:BT206)/SUM(BS45:BT45),0)</f>
        <v>0.282522996057819</v>
      </c>
      <c r="BV207" s="256">
        <f>IFERROR(SUM(BS206:BT206)/SUM(BS45:BT45),0)</f>
        <v>0.282522996057819</v>
      </c>
      <c r="BW207" s="256">
        <f>IF(AND(ISNUMBER(BW206),ISNUMBER(BW45)),IFERROR(BW206/BW45,""),"")</f>
        <v>0.282522996057819</v>
      </c>
      <c r="BX207" s="263">
        <f>$BW$207</f>
        <v>0.282522996057819</v>
      </c>
      <c r="BY207" s="263">
        <f>$BW$207</f>
        <v>0.282522996057819</v>
      </c>
      <c r="BZ207" s="263">
        <f>$BW$207</f>
        <v>0.282522996057819</v>
      </c>
      <c r="CA207" s="263">
        <f>$BW$207</f>
        <v>0.282522996057819</v>
      </c>
      <c r="CB207" s="263">
        <f>$BW$207</f>
        <v>0.282522996057819</v>
      </c>
      <c r="CC207" s="19" t="inlineStr">
        <is>
          <t>Q3–Q4/26E: 1H-26 ratio; 2027E+: held at the FY2026E ratio.</t>
        </is>
      </c>
    </row>
    <row r="208" ht="15" customHeight="1" s="251">
      <c r="B208" s="16" t="inlineStr">
        <is>
          <t>Net income from continuing operations attributable to S&amp;P Global</t>
        </is>
      </c>
      <c r="C208" s="260">
        <f>IF(ISNUMBER(C205),C205-C206,"")</f>
        <v>580</v>
      </c>
      <c r="D208" s="260">
        <f>IF(ISNUMBER(D205),D205-D206,"")</f>
        <v>603</v>
      </c>
      <c r="E208" s="260">
        <f>IF(ISNUMBER(E205),E205-E206,"")</f>
        <v>671</v>
      </c>
      <c r="F208" s="260">
        <f>IF(ISNUMBER(F205),F205-F206,"")</f>
        <v>154</v>
      </c>
      <c r="G208" s="260">
        <f>IF(ISNUMBER(G205),G205-G206,"")</f>
        <v>250</v>
      </c>
      <c r="H208" s="260">
        <f>IF(ISNUMBER(H205),H205-H206,"")</f>
        <v>235</v>
      </c>
      <c r="I208" s="260">
        <f>IF(ISNUMBER(I205),I205-I206,"")</f>
        <v>173</v>
      </c>
      <c r="J208" s="260">
        <f>IF(ISNUMBER(J205),J205-J206,"")</f>
        <v>813</v>
      </c>
      <c r="K208" s="260">
        <f>IF(ISNUMBER(K205),K205-K206,"")</f>
        <v>248</v>
      </c>
      <c r="L208" s="260">
        <f>IF(ISNUMBER(L205),L205-L206,"")</f>
        <v>292</v>
      </c>
      <c r="M208" s="260">
        <f>IF(ISNUMBER(M205),M205-M206,"")</f>
        <v>188</v>
      </c>
      <c r="N208" s="260">
        <f>IF(ISNUMBER(N205),N205-N206,"")</f>
        <v>-1009</v>
      </c>
      <c r="O208" s="260">
        <f>IF(ISNUMBER(O205),O205-O206,"")</f>
        <v>-293</v>
      </c>
      <c r="P208" s="260">
        <f>IF(ISNUMBER(P205),P205-P206,"")</f>
        <v>303</v>
      </c>
      <c r="Q208" s="260">
        <f>IF(ISNUMBER(Q205),Q205-Q206,"")</f>
        <v>353</v>
      </c>
      <c r="R208" s="260">
        <f>IF(ISNUMBER(R205),R205-R206,"")</f>
        <v>252</v>
      </c>
      <c r="S208" s="260">
        <f>IF(ISNUMBER(S205),S205-S206,"")</f>
        <v>248</v>
      </c>
      <c r="T208" s="260">
        <f>IF(ISNUMBER(T205),T205-T206,"")</f>
        <v>1156</v>
      </c>
      <c r="U208" s="260">
        <f>IF(ISNUMBER(U205),U205-U206,"")</f>
        <v>294</v>
      </c>
      <c r="V208" s="260">
        <f>IF(ISNUMBER(V205),V205-V206,"")</f>
        <v>383</v>
      </c>
      <c r="W208" s="260">
        <f>IF(ISNUMBER(W205),W205-W206,"")</f>
        <v>892</v>
      </c>
      <c r="X208" s="260">
        <f>IF(ISNUMBER(X205),X205-X206,"")</f>
        <v>537</v>
      </c>
      <c r="Y208" s="260">
        <f>IF(ISNUMBER(Y205),Y205-Y206,"")</f>
        <v>2106</v>
      </c>
      <c r="Z208" s="260">
        <f>IF(ISNUMBER(Z205),Z205-Z206,"")</f>
        <v>399</v>
      </c>
      <c r="AA208" s="260">
        <f>IF(ISNUMBER(AA205),AA205-AA206,"")</f>
        <v>421</v>
      </c>
      <c r="AB208" s="260">
        <f>IF(ISNUMBER(AB205),AB205-AB206,"")</f>
        <v>414</v>
      </c>
      <c r="AC208" s="260">
        <f>IF(ISNUMBER(AC205),AC205-AC206,"")</f>
        <v>263</v>
      </c>
      <c r="AD208" s="260">
        <f>IF(ISNUMBER(AD205),AD205-AD206,"")</f>
        <v>1496</v>
      </c>
      <c r="AE208" s="260">
        <f>IF(ISNUMBER(AE205),AE205-AE206,"")</f>
        <v>491</v>
      </c>
      <c r="AF208" s="260">
        <f>IF(ISNUMBER(AF205),AF205-AF206,"")</f>
        <v>461</v>
      </c>
      <c r="AG208" s="260">
        <f>IF(ISNUMBER(AG205),AG205-AG206,"")</f>
        <v>495</v>
      </c>
      <c r="AH208" s="260">
        <f>IF(ISNUMBER(AH205),AH205-AH206,"")</f>
        <v>512</v>
      </c>
      <c r="AI208" s="260">
        <f>IF(ISNUMBER(AI205),AI205-AI206,"")</f>
        <v>1958</v>
      </c>
      <c r="AJ208" s="260">
        <f>IF(ISNUMBER(AJ205),AJ205-AJ206,"")</f>
        <v>410</v>
      </c>
      <c r="AK208" s="260">
        <f>IF(ISNUMBER(AK205),AK205-AK206,"")</f>
        <v>555</v>
      </c>
      <c r="AL208" s="260">
        <f>IF(ISNUMBER(AL205),AL205-AL206,"")</f>
        <v>617</v>
      </c>
      <c r="AM208" s="260">
        <f>IF(ISNUMBER(AM205),AM205-AM206,"")</f>
        <v>541</v>
      </c>
      <c r="AN208" s="260">
        <f>IF(ISNUMBER(AN205),AN205-AN206,"")</f>
        <v>2123</v>
      </c>
      <c r="AO208" s="260">
        <f>IF(ISNUMBER(AO205),AO205-AO206,"")</f>
        <v>639</v>
      </c>
      <c r="AP208" s="260">
        <f>IF(ISNUMBER(AP205),AP205-AP206,"")</f>
        <v>792</v>
      </c>
      <c r="AQ208" s="260">
        <f>IF(ISNUMBER(AQ205),AQ205-AQ206,"")</f>
        <v>455</v>
      </c>
      <c r="AR208" s="260">
        <f>IF(ISNUMBER(AR205),AR205-AR206,"")</f>
        <v>454</v>
      </c>
      <c r="AS208" s="260">
        <f>IF(ISNUMBER(AS205),AS205-AS206,"")</f>
        <v>2339</v>
      </c>
      <c r="AT208" s="260">
        <f>IF(ISNUMBER(AT205),AT205-AT206,"")</f>
        <v>755</v>
      </c>
      <c r="AU208" s="260">
        <f>IF(ISNUMBER(AU205),AU205-AU206,"")</f>
        <v>798</v>
      </c>
      <c r="AV208" s="260">
        <f>IF(ISNUMBER(AV205),AV205-AV206,"")</f>
        <v>797</v>
      </c>
      <c r="AW208" s="260">
        <f>IF(ISNUMBER(AW205),AW205-AW206,"")</f>
        <v>675</v>
      </c>
      <c r="AX208" s="260">
        <f>IF(ISNUMBER(AX205),AX205-AX206,"")</f>
        <v>3024</v>
      </c>
      <c r="AY208" s="260">
        <f>IF(ISNUMBER(AY205),AY205-AY206,"")</f>
        <v>1235</v>
      </c>
      <c r="AZ208" s="260">
        <f>IF(ISNUMBER(AZ205),AZ205-AZ206,"")</f>
        <v>972</v>
      </c>
      <c r="BA208" s="260">
        <f>IF(ISNUMBER(BA205),BA205-BA206,"")</f>
        <v>608</v>
      </c>
      <c r="BB208" s="260">
        <f>IF(ISNUMBER(BB205),BB205-BB206,"")</f>
        <v>433</v>
      </c>
      <c r="BC208" s="260">
        <f>IF(ISNUMBER(BC205),BC205-BC206,"")</f>
        <v>3248</v>
      </c>
      <c r="BD208" s="260">
        <f>IF(ISNUMBER(BD205),BD205-BD206,"")</f>
        <v>795</v>
      </c>
      <c r="BE208" s="260">
        <f>IF(ISNUMBER(BE205),BE205-BE206,"")</f>
        <v>511</v>
      </c>
      <c r="BF208" s="260">
        <f>IF(ISNUMBER(BF205),BF205-BF206,"")</f>
        <v>742</v>
      </c>
      <c r="BG208" s="260">
        <f>IF(ISNUMBER(BG205),BG205-BG206,"")</f>
        <v>579</v>
      </c>
      <c r="BH208" s="260">
        <f>IF(ISNUMBER(BH205),BH205-BH206,"")</f>
        <v>2626</v>
      </c>
      <c r="BI208" s="260">
        <f>IF(ISNUMBER(BI205),BI205-BI206,"")</f>
        <v>991</v>
      </c>
      <c r="BJ208" s="260">
        <f>IF(ISNUMBER(BJ205),BJ205-BJ206,"")</f>
        <v>1011</v>
      </c>
      <c r="BK208" s="260">
        <f>IF(ISNUMBER(BK205),BK205-BK206,"")</f>
        <v>971</v>
      </c>
      <c r="BL208" s="260">
        <f>IF(ISNUMBER(BL205),BL205-BL206,"")</f>
        <v>880</v>
      </c>
      <c r="BM208" s="260">
        <f>IF(ISNUMBER(BM205),BM205-BM206,"")</f>
        <v>3852</v>
      </c>
      <c r="BN208" s="260">
        <f>IF(ISNUMBER(BN205),BN205-BN206,"")</f>
        <v>1008</v>
      </c>
      <c r="BO208" s="260">
        <f>IF(ISNUMBER(BO205),BO205-BO206,"")</f>
        <v>988</v>
      </c>
      <c r="BP208" s="260">
        <f>IF(ISNUMBER(BP205),BP205-BP206,"")</f>
        <v>1084</v>
      </c>
      <c r="BQ208" s="260">
        <f>IF(ISNUMBER(BQ205),BQ205-BQ206,"")</f>
        <v>1112</v>
      </c>
      <c r="BR208" s="260">
        <f>IF(ISNUMBER(BR205),BR205-BR206,"")</f>
        <v>4192</v>
      </c>
      <c r="BS208" s="260">
        <f>IF(ISNUMBER(BS205),BS205-BS206,"")</f>
        <v>1334</v>
      </c>
      <c r="BT208" s="260">
        <f>IF(ISNUMBER(BT205),BT205-BT206,"")</f>
        <v>1205</v>
      </c>
      <c r="BU208" s="261">
        <f>IF(ISNUMBER(BU205),BU205-BU206,"")</f>
        <v>1091.1646270058</v>
      </c>
      <c r="BV208" s="261">
        <f>IF(ISNUMBER(BV205),BV205-BV206,"")</f>
        <v>1173.08804618697</v>
      </c>
      <c r="BW208" s="261">
        <f>IF(ISNUMBER(BW205),BW205-BW206,"")</f>
        <v>4803.25267319277</v>
      </c>
      <c r="BX208" s="261">
        <f>IF(ISNUMBER(BX205),BX205-BX206,"")</f>
        <v>4909.86626196173</v>
      </c>
      <c r="BY208" s="261">
        <f>IF(ISNUMBER(BY205),BY205-BY206,"")</f>
        <v>5370.7685669663</v>
      </c>
      <c r="BZ208" s="261">
        <f>IF(ISNUMBER(BZ205),BZ205-BZ206,"")</f>
        <v>5783.87968570179</v>
      </c>
      <c r="CA208" s="261">
        <f>IF(ISNUMBER(CA205),CA205-CA206,"")</f>
        <v>6226.58884841112</v>
      </c>
      <c r="CB208" s="261">
        <f>IF(ISNUMBER(CB205),CB205-CB206,"")</f>
        <v>6683.14213088727</v>
      </c>
      <c r="CC208" s="153" t="n"/>
      <c r="CE208" s="20">
        <f>IFERROR((CB208/BW208)^(1/5)-1,"n/m")</f>
        <v>0.0682897288392963</v>
      </c>
      <c r="CF208" s="20">
        <f>IFERROR((BR208/AS208)^(1/5)-1,"n/m")</f>
        <v>0.123772008948776</v>
      </c>
      <c r="CG208" s="20">
        <f>IFERROR((BR208/T208)^(1/10)-1,"n/m")</f>
        <v>0.137486743463294</v>
      </c>
      <c r="CH208" s="20">
        <f>IFERROR((BR208/C208)^(1/15)-1,"n/m")</f>
        <v>0.140948964915871</v>
      </c>
    </row>
    <row r="209" ht="15" customHeight="1" s="251">
      <c r="B209" s="25" t="inlineStr">
        <is>
          <t>Income from discontinued operations, net (McGraw-Hill Education 2010–13; Mobility 2025–1H26 incl. pro forma TSA adjustment)</t>
        </is>
      </c>
      <c r="C209" s="253" t="n">
        <v>248</v>
      </c>
      <c r="D209" s="253" t="n">
        <v>308</v>
      </c>
      <c r="E209" s="253" t="n">
        <v>-234</v>
      </c>
      <c r="F209" s="253" t="n">
        <v>581</v>
      </c>
      <c r="G209" s="253" t="n">
        <v>4</v>
      </c>
      <c r="H209" s="253" t="n">
        <v>-20</v>
      </c>
      <c r="I209" s="253" t="n">
        <v>-2</v>
      </c>
      <c r="J209" s="253" t="n">
        <v>563</v>
      </c>
      <c r="K209" s="253" t="n">
        <v>0</v>
      </c>
      <c r="L209" s="253" t="n">
        <v>0</v>
      </c>
      <c r="M209" s="253" t="n">
        <v>2</v>
      </c>
      <c r="N209" s="253" t="n">
        <v>163</v>
      </c>
      <c r="O209" s="253" t="n">
        <v>178</v>
      </c>
      <c r="P209" s="253" t="n">
        <v>0</v>
      </c>
      <c r="Q209" s="253" t="n">
        <v>0</v>
      </c>
      <c r="R209" s="253" t="n">
        <v>0</v>
      </c>
      <c r="S209" s="253" t="n">
        <v>0</v>
      </c>
      <c r="T209" s="253" t="n">
        <v>0</v>
      </c>
      <c r="U209" s="253" t="n">
        <v>0</v>
      </c>
      <c r="V209" s="253" t="n">
        <v>0</v>
      </c>
      <c r="W209" s="253" t="n">
        <v>0</v>
      </c>
      <c r="X209" s="253" t="n">
        <v>0</v>
      </c>
      <c r="Y209" s="253" t="n">
        <v>0</v>
      </c>
      <c r="Z209" s="253" t="n">
        <v>0</v>
      </c>
      <c r="AA209" s="253" t="n">
        <v>0</v>
      </c>
      <c r="AB209" s="253" t="n">
        <v>0</v>
      </c>
      <c r="AC209" s="253" t="n">
        <v>0</v>
      </c>
      <c r="AD209" s="253" t="n">
        <v>0</v>
      </c>
      <c r="AE209" s="253" t="n">
        <v>0</v>
      </c>
      <c r="AF209" s="253" t="n">
        <v>0</v>
      </c>
      <c r="AG209" s="253" t="n">
        <v>0</v>
      </c>
      <c r="AH209" s="253" t="n">
        <v>0</v>
      </c>
      <c r="AI209" s="253" t="n">
        <v>0</v>
      </c>
      <c r="AJ209" s="253" t="n">
        <v>0</v>
      </c>
      <c r="AK209" s="253" t="n">
        <v>0</v>
      </c>
      <c r="AL209" s="253" t="n">
        <v>0</v>
      </c>
      <c r="AM209" s="253" t="n">
        <v>0</v>
      </c>
      <c r="AN209" s="253" t="n">
        <v>0</v>
      </c>
      <c r="AO209" s="253" t="n">
        <v>0</v>
      </c>
      <c r="AP209" s="253" t="n">
        <v>0</v>
      </c>
      <c r="AQ209" s="253" t="n">
        <v>0</v>
      </c>
      <c r="AR209" s="253" t="n">
        <v>0</v>
      </c>
      <c r="AS209" s="253" t="n">
        <v>0</v>
      </c>
      <c r="AT209" s="253" t="n">
        <v>0</v>
      </c>
      <c r="AU209" s="253" t="n">
        <v>0</v>
      </c>
      <c r="AV209" s="253" t="n">
        <v>0</v>
      </c>
      <c r="AW209" s="253" t="n">
        <v>0</v>
      </c>
      <c r="AX209" s="253" t="n">
        <v>0</v>
      </c>
      <c r="AY209" s="253" t="n">
        <v>0</v>
      </c>
      <c r="AZ209" s="253" t="n">
        <v>0</v>
      </c>
      <c r="BA209" s="253" t="n">
        <v>0</v>
      </c>
      <c r="BB209" s="253" t="n">
        <v>0</v>
      </c>
      <c r="BC209" s="253" t="n">
        <v>0</v>
      </c>
      <c r="BD209" s="253" t="n">
        <v>0</v>
      </c>
      <c r="BE209" s="253" t="n">
        <v>0</v>
      </c>
      <c r="BF209" s="253" t="n">
        <v>0</v>
      </c>
      <c r="BG209" s="253" t="n">
        <v>0</v>
      </c>
      <c r="BH209" s="253" t="n">
        <v>0</v>
      </c>
      <c r="BI209" s="253" t="n">
        <v>0</v>
      </c>
      <c r="BJ209" s="253" t="n">
        <v>0</v>
      </c>
      <c r="BK209" s="253" t="n">
        <v>0</v>
      </c>
      <c r="BL209" s="253" t="n">
        <v>0</v>
      </c>
      <c r="BM209" s="253" t="n">
        <v>0</v>
      </c>
      <c r="BN209" s="253" t="n">
        <v>82</v>
      </c>
      <c r="BO209" s="253" t="n">
        <v>84</v>
      </c>
      <c r="BP209" s="253" t="n">
        <v>92</v>
      </c>
      <c r="BQ209" s="253" t="n">
        <v>22</v>
      </c>
      <c r="BR209" s="253" t="n">
        <v>279</v>
      </c>
      <c r="BS209" s="253" t="n">
        <v>61</v>
      </c>
      <c r="BT209" s="253" t="n">
        <v>12</v>
      </c>
      <c r="BU209" s="254">
        <f>0</f>
        <v>0</v>
      </c>
      <c r="BV209" s="254">
        <f>0</f>
        <v>0</v>
      </c>
      <c r="BW209" s="254">
        <f>SUM(BS209:BV209)</f>
        <v>73</v>
      </c>
      <c r="BX209" s="254">
        <f>0</f>
        <v>0</v>
      </c>
      <c r="BY209" s="254">
        <f>0</f>
        <v>0</v>
      </c>
      <c r="BZ209" s="254">
        <f>0</f>
        <v>0</v>
      </c>
      <c r="CA209" s="254">
        <f>0</f>
        <v>0</v>
      </c>
      <c r="CB209" s="254">
        <f>0</f>
        <v>0</v>
      </c>
      <c r="CC209" s="19" t="inlineStr">
        <is>
          <t>2025 and 1H-26: reported net income attributable − pro forma continuing net income attributable (Mobility results, separation costs and the pro forma Transition Services Agreement adjustment).</t>
        </is>
      </c>
    </row>
    <row r="210" ht="15" customHeight="1" s="251">
      <c r="B210" s="55" t="inlineStr">
        <is>
          <t>Net income attributable to S&amp;P Global</t>
        </is>
      </c>
      <c r="C210" s="269">
        <f>IF(ISNUMBER(C208),C208+N(C209),"")</f>
        <v>828</v>
      </c>
      <c r="D210" s="269">
        <f>IF(ISNUMBER(D208),D208+N(D209),"")</f>
        <v>911</v>
      </c>
      <c r="E210" s="269">
        <f>IF(ISNUMBER(E208),E208+N(E209),"")</f>
        <v>437</v>
      </c>
      <c r="F210" s="269">
        <f>IF(ISNUMBER(F208),F208+N(F209),"")</f>
        <v>735</v>
      </c>
      <c r="G210" s="269">
        <f>IF(ISNUMBER(G208),G208+N(G209),"")</f>
        <v>254</v>
      </c>
      <c r="H210" s="269">
        <f>IF(ISNUMBER(H208),H208+N(H209),"")</f>
        <v>215</v>
      </c>
      <c r="I210" s="269">
        <f>IF(ISNUMBER(I208),I208+N(I209),"")</f>
        <v>171</v>
      </c>
      <c r="J210" s="269">
        <f>IF(ISNUMBER(J208),J208+N(J209),"")</f>
        <v>1376</v>
      </c>
      <c r="K210" s="269">
        <f>IF(ISNUMBER(K208),K208+N(K209),"")</f>
        <v>248</v>
      </c>
      <c r="L210" s="269">
        <f>IF(ISNUMBER(L208),L208+N(L209),"")</f>
        <v>292</v>
      </c>
      <c r="M210" s="269">
        <f>IF(ISNUMBER(M208),M208+N(M209),"")</f>
        <v>190</v>
      </c>
      <c r="N210" s="269">
        <f>IF(ISNUMBER(N208),N208+N(N209),"")</f>
        <v>-846</v>
      </c>
      <c r="O210" s="269">
        <f>IF(ISNUMBER(O208),O208+N(O209),"")</f>
        <v>-115</v>
      </c>
      <c r="P210" s="269">
        <f>IF(ISNUMBER(P208),P208+N(P209),"")</f>
        <v>303</v>
      </c>
      <c r="Q210" s="269">
        <f>IF(ISNUMBER(Q208),Q208+N(Q209),"")</f>
        <v>353</v>
      </c>
      <c r="R210" s="269">
        <f>IF(ISNUMBER(R208),R208+N(R209),"")</f>
        <v>252</v>
      </c>
      <c r="S210" s="269">
        <f>IF(ISNUMBER(S208),S208+N(S209),"")</f>
        <v>248</v>
      </c>
      <c r="T210" s="269">
        <f>IF(ISNUMBER(T208),T208+N(T209),"")</f>
        <v>1156</v>
      </c>
      <c r="U210" s="269">
        <f>IF(ISNUMBER(U208),U208+N(U209),"")</f>
        <v>294</v>
      </c>
      <c r="V210" s="269">
        <f>IF(ISNUMBER(V208),V208+N(V209),"")</f>
        <v>383</v>
      </c>
      <c r="W210" s="269">
        <f>IF(ISNUMBER(W208),W208+N(W209),"")</f>
        <v>892</v>
      </c>
      <c r="X210" s="269">
        <f>IF(ISNUMBER(X208),X208+N(X209),"")</f>
        <v>537</v>
      </c>
      <c r="Y210" s="269">
        <f>IF(ISNUMBER(Y208),Y208+N(Y209),"")</f>
        <v>2106</v>
      </c>
      <c r="Z210" s="269">
        <f>IF(ISNUMBER(Z208),Z208+N(Z209),"")</f>
        <v>399</v>
      </c>
      <c r="AA210" s="269">
        <f>IF(ISNUMBER(AA208),AA208+N(AA209),"")</f>
        <v>421</v>
      </c>
      <c r="AB210" s="269">
        <f>IF(ISNUMBER(AB208),AB208+N(AB209),"")</f>
        <v>414</v>
      </c>
      <c r="AC210" s="269">
        <f>IF(ISNUMBER(AC208),AC208+N(AC209),"")</f>
        <v>263</v>
      </c>
      <c r="AD210" s="269">
        <f>IF(ISNUMBER(AD208),AD208+N(AD209),"")</f>
        <v>1496</v>
      </c>
      <c r="AE210" s="269">
        <f>IF(ISNUMBER(AE208),AE208+N(AE209),"")</f>
        <v>491</v>
      </c>
      <c r="AF210" s="269">
        <f>IF(ISNUMBER(AF208),AF208+N(AF209),"")</f>
        <v>461</v>
      </c>
      <c r="AG210" s="269">
        <f>IF(ISNUMBER(AG208),AG208+N(AG209),"")</f>
        <v>495</v>
      </c>
      <c r="AH210" s="269">
        <f>IF(ISNUMBER(AH208),AH208+N(AH209),"")</f>
        <v>512</v>
      </c>
      <c r="AI210" s="269">
        <f>IF(ISNUMBER(AI208),AI208+N(AI209),"")</f>
        <v>1958</v>
      </c>
      <c r="AJ210" s="269">
        <f>IF(ISNUMBER(AJ208),AJ208+N(AJ209),"")</f>
        <v>410</v>
      </c>
      <c r="AK210" s="269">
        <f>IF(ISNUMBER(AK208),AK208+N(AK209),"")</f>
        <v>555</v>
      </c>
      <c r="AL210" s="269">
        <f>IF(ISNUMBER(AL208),AL208+N(AL209),"")</f>
        <v>617</v>
      </c>
      <c r="AM210" s="269">
        <f>IF(ISNUMBER(AM208),AM208+N(AM209),"")</f>
        <v>541</v>
      </c>
      <c r="AN210" s="269">
        <f>IF(ISNUMBER(AN208),AN208+N(AN209),"")</f>
        <v>2123</v>
      </c>
      <c r="AO210" s="269">
        <f>IF(ISNUMBER(AO208),AO208+N(AO209),"")</f>
        <v>639</v>
      </c>
      <c r="AP210" s="269">
        <f>IF(ISNUMBER(AP208),AP208+N(AP209),"")</f>
        <v>792</v>
      </c>
      <c r="AQ210" s="269">
        <f>IF(ISNUMBER(AQ208),AQ208+N(AQ209),"")</f>
        <v>455</v>
      </c>
      <c r="AR210" s="269">
        <f>IF(ISNUMBER(AR208),AR208+N(AR209),"")</f>
        <v>454</v>
      </c>
      <c r="AS210" s="269">
        <f>IF(ISNUMBER(AS208),AS208+N(AS209),"")</f>
        <v>2339</v>
      </c>
      <c r="AT210" s="269">
        <f>IF(ISNUMBER(AT208),AT208+N(AT209),"")</f>
        <v>755</v>
      </c>
      <c r="AU210" s="269">
        <f>IF(ISNUMBER(AU208),AU208+N(AU209),"")</f>
        <v>798</v>
      </c>
      <c r="AV210" s="269">
        <f>IF(ISNUMBER(AV208),AV208+N(AV209),"")</f>
        <v>797</v>
      </c>
      <c r="AW210" s="269">
        <f>IF(ISNUMBER(AW208),AW208+N(AW209),"")</f>
        <v>675</v>
      </c>
      <c r="AX210" s="269">
        <f>IF(ISNUMBER(AX208),AX208+N(AX209),"")</f>
        <v>3024</v>
      </c>
      <c r="AY210" s="269">
        <f>IF(ISNUMBER(AY208),AY208+N(AY209),"")</f>
        <v>1235</v>
      </c>
      <c r="AZ210" s="269">
        <f>IF(ISNUMBER(AZ208),AZ208+N(AZ209),"")</f>
        <v>972</v>
      </c>
      <c r="BA210" s="269">
        <f>IF(ISNUMBER(BA208),BA208+N(BA209),"")</f>
        <v>608</v>
      </c>
      <c r="BB210" s="269">
        <f>IF(ISNUMBER(BB208),BB208+N(BB209),"")</f>
        <v>433</v>
      </c>
      <c r="BC210" s="269">
        <f>IF(ISNUMBER(BC208),BC208+N(BC209),"")</f>
        <v>3248</v>
      </c>
      <c r="BD210" s="269">
        <f>IF(ISNUMBER(BD208),BD208+N(BD209),"")</f>
        <v>795</v>
      </c>
      <c r="BE210" s="269">
        <f>IF(ISNUMBER(BE208),BE208+N(BE209),"")</f>
        <v>511</v>
      </c>
      <c r="BF210" s="269">
        <f>IF(ISNUMBER(BF208),BF208+N(BF209),"")</f>
        <v>742</v>
      </c>
      <c r="BG210" s="269">
        <f>IF(ISNUMBER(BG208),BG208+N(BG209),"")</f>
        <v>579</v>
      </c>
      <c r="BH210" s="269">
        <f>IF(ISNUMBER(BH208),BH208+N(BH209),"")</f>
        <v>2626</v>
      </c>
      <c r="BI210" s="269">
        <f>IF(ISNUMBER(BI208),BI208+N(BI209),"")</f>
        <v>991</v>
      </c>
      <c r="BJ210" s="269">
        <f>IF(ISNUMBER(BJ208),BJ208+N(BJ209),"")</f>
        <v>1011</v>
      </c>
      <c r="BK210" s="269">
        <f>IF(ISNUMBER(BK208),BK208+N(BK209),"")</f>
        <v>971</v>
      </c>
      <c r="BL210" s="269">
        <f>IF(ISNUMBER(BL208),BL208+N(BL209),"")</f>
        <v>880</v>
      </c>
      <c r="BM210" s="269">
        <f>IF(ISNUMBER(BM208),BM208+N(BM209),"")</f>
        <v>3852</v>
      </c>
      <c r="BN210" s="269">
        <f>IF(ISNUMBER(BN208),BN208+N(BN209),"")</f>
        <v>1090</v>
      </c>
      <c r="BO210" s="269">
        <f>IF(ISNUMBER(BO208),BO208+N(BO209),"")</f>
        <v>1072</v>
      </c>
      <c r="BP210" s="269">
        <f>IF(ISNUMBER(BP208),BP208+N(BP209),"")</f>
        <v>1176</v>
      </c>
      <c r="BQ210" s="269">
        <f>IF(ISNUMBER(BQ208),BQ208+N(BQ209),"")</f>
        <v>1134</v>
      </c>
      <c r="BR210" s="269">
        <f>IF(ISNUMBER(BR208),BR208+N(BR209),"")</f>
        <v>4471</v>
      </c>
      <c r="BS210" s="269">
        <f>IF(ISNUMBER(BS208),BS208+N(BS209),"")</f>
        <v>1395</v>
      </c>
      <c r="BT210" s="269">
        <f>IF(ISNUMBER(BT208),BT208+N(BT209),"")</f>
        <v>1217</v>
      </c>
      <c r="BU210" s="269">
        <f>IF(ISNUMBER(BU208),BU208+N(BU209),"")</f>
        <v>1091.1646270058</v>
      </c>
      <c r="BV210" s="269">
        <f>IF(ISNUMBER(BV208),BV208+N(BV209),"")</f>
        <v>1173.08804618697</v>
      </c>
      <c r="BW210" s="269">
        <f>IF(ISNUMBER(BW208),BW208+N(BW209),"")</f>
        <v>4876.25267319277</v>
      </c>
      <c r="BX210" s="269">
        <f>IF(ISNUMBER(BX208),BX208+N(BX209),"")</f>
        <v>4909.86626196173</v>
      </c>
      <c r="BY210" s="269">
        <f>IF(ISNUMBER(BY208),BY208+N(BY209),"")</f>
        <v>5370.7685669663</v>
      </c>
      <c r="BZ210" s="269">
        <f>IF(ISNUMBER(BZ208),BZ208+N(BZ209),"")</f>
        <v>5783.87968570179</v>
      </c>
      <c r="CA210" s="269">
        <f>IF(ISNUMBER(CA208),CA208+N(CA209),"")</f>
        <v>6226.58884841112</v>
      </c>
      <c r="CB210" s="269">
        <f>IF(ISNUMBER(CB208),CB208+N(CB209),"")</f>
        <v>6683.14213088727</v>
      </c>
      <c r="CC210" s="153" t="n"/>
    </row>
    <row r="211" ht="15" customHeight="1" s="251">
      <c r="B211" s="57" t="inlineStr">
        <is>
          <t xml:space="preserve">  Check: net income attributable vs reported (should be 0)</t>
        </is>
      </c>
      <c r="C211" s="211">
        <f>IF(ISNUMBER(C212),IF(ABS(C210-C212)&lt;=1.01,0,ROUND(C210-C212,0)),"")</f>
        <v>0</v>
      </c>
      <c r="D211" s="211">
        <f>IF(ISNUMBER(D212),IF(ABS(D210-D212)&lt;=1.01,0,ROUND(D210-D212,0)),"")</f>
        <v>0</v>
      </c>
      <c r="E211" s="211">
        <f>IF(ISNUMBER(E212),IF(ABS(E210-E212)&lt;=1.01,0,ROUND(E210-E212,0)),"")</f>
        <v>0</v>
      </c>
      <c r="F211" s="211">
        <f>IF(ISNUMBER(F212),IF(ABS(F210-F212)&lt;=1.01,0,ROUND(F210-F212,0)),"")</f>
        <v>0</v>
      </c>
      <c r="G211" s="211">
        <f>IF(ISNUMBER(G212),IF(ABS(G210-G212)&lt;=1.01,0,ROUND(G210-G212,0)),"")</f>
        <v>0</v>
      </c>
      <c r="H211" s="211">
        <f>IF(ISNUMBER(H212),IF(ABS(H210-H212)&lt;=1.01,0,ROUND(H210-H212,0)),"")</f>
        <v>0</v>
      </c>
      <c r="I211" s="211">
        <f>IF(ISNUMBER(I212),IF(ABS(I210-I212)&lt;=1.01,0,ROUND(I210-I212,0)),"")</f>
        <v>0</v>
      </c>
      <c r="J211" s="211">
        <f>IF(ISNUMBER(J212),IF(ABS(J210-J212)&lt;=1.01,0,ROUND(J210-J212,0)),"")</f>
        <v>0</v>
      </c>
      <c r="K211" s="211">
        <f>IF(ISNUMBER(K212),IF(ABS(K210-K212)&lt;=1.01,0,ROUND(K210-K212,0)),"")</f>
        <v>0</v>
      </c>
      <c r="L211" s="211">
        <f>IF(ISNUMBER(L212),IF(ABS(L210-L212)&lt;=1.01,0,ROUND(L210-L212,0)),"")</f>
        <v>0</v>
      </c>
      <c r="M211" s="211">
        <f>IF(ISNUMBER(M212),IF(ABS(M210-M212)&lt;=1.01,0,ROUND(M210-M212,0)),"")</f>
        <v>0</v>
      </c>
      <c r="N211" s="211">
        <f>IF(ISNUMBER(N212),IF(ABS(N210-N212)&lt;=1.01,0,ROUND(N210-N212,0)),"")</f>
        <v>0</v>
      </c>
      <c r="O211" s="211">
        <f>IF(ISNUMBER(O212),IF(ABS(O210-O212)&lt;=1.01,0,ROUND(O210-O212,0)),"")</f>
        <v>0</v>
      </c>
      <c r="P211" s="211">
        <f>IF(ISNUMBER(P212),IF(ABS(P210-P212)&lt;=1.01,0,ROUND(P210-P212,0)),"")</f>
        <v>0</v>
      </c>
      <c r="Q211" s="211">
        <f>IF(ISNUMBER(Q212),IF(ABS(Q210-Q212)&lt;=1.01,0,ROUND(Q210-Q212,0)),"")</f>
        <v>0</v>
      </c>
      <c r="R211" s="211">
        <f>IF(ISNUMBER(R212),IF(ABS(R210-R212)&lt;=1.01,0,ROUND(R210-R212,0)),"")</f>
        <v>0</v>
      </c>
      <c r="S211" s="211">
        <f>IF(ISNUMBER(S212),IF(ABS(S210-S212)&lt;=1.01,0,ROUND(S210-S212,0)),"")</f>
        <v>0</v>
      </c>
      <c r="T211" s="211">
        <f>IF(ISNUMBER(T212),IF(ABS(T210-T212)&lt;=1.01,0,ROUND(T210-T212,0)),"")</f>
        <v>0</v>
      </c>
      <c r="U211" s="211">
        <f>IF(ISNUMBER(U212),IF(ABS(U210-U212)&lt;=1.01,0,ROUND(U210-U212,0)),"")</f>
        <v>0</v>
      </c>
      <c r="V211" s="211">
        <f>IF(ISNUMBER(V212),IF(ABS(V210-V212)&lt;=1.01,0,ROUND(V210-V212,0)),"")</f>
        <v>0</v>
      </c>
      <c r="W211" s="211">
        <f>IF(ISNUMBER(W212),IF(ABS(W210-W212)&lt;=1.01,0,ROUND(W210-W212,0)),"")</f>
        <v>0</v>
      </c>
      <c r="X211" s="211">
        <f>IF(ISNUMBER(X212),IF(ABS(X210-X212)&lt;=1.01,0,ROUND(X210-X212,0)),"")</f>
        <v>0</v>
      </c>
      <c r="Y211" s="211">
        <f>IF(ISNUMBER(Y212),IF(ABS(Y210-Y212)&lt;=1.01,0,ROUND(Y210-Y212,0)),"")</f>
        <v>0</v>
      </c>
      <c r="Z211" s="211">
        <f>IF(ISNUMBER(Z212),IF(ABS(Z210-Z212)&lt;=1.01,0,ROUND(Z210-Z212,0)),"")</f>
        <v>0</v>
      </c>
      <c r="AA211" s="211">
        <f>IF(ISNUMBER(AA212),IF(ABS(AA210-AA212)&lt;=1.01,0,ROUND(AA210-AA212,0)),"")</f>
        <v>0</v>
      </c>
      <c r="AB211" s="211">
        <f>IF(ISNUMBER(AB212),IF(ABS(AB210-AB212)&lt;=1.01,0,ROUND(AB210-AB212,0)),"")</f>
        <v>0</v>
      </c>
      <c r="AC211" s="211">
        <f>IF(ISNUMBER(AC212),IF(ABS(AC210-AC212)&lt;=1.01,0,ROUND(AC210-AC212,0)),"")</f>
        <v>0</v>
      </c>
      <c r="AD211" s="211">
        <f>IF(ISNUMBER(AD212),IF(ABS(AD210-AD212)&lt;=1.01,0,ROUND(AD210-AD212,0)),"")</f>
        <v>0</v>
      </c>
      <c r="AE211" s="211">
        <f>IF(ISNUMBER(AE212),IF(ABS(AE210-AE212)&lt;=1.01,0,ROUND(AE210-AE212,0)),"")</f>
        <v>0</v>
      </c>
      <c r="AF211" s="211">
        <f>IF(ISNUMBER(AF212),IF(ABS(AF210-AF212)&lt;=1.01,0,ROUND(AF210-AF212,0)),"")</f>
        <v>0</v>
      </c>
      <c r="AG211" s="211">
        <f>IF(ISNUMBER(AG212),IF(ABS(AG210-AG212)&lt;=1.01,0,ROUND(AG210-AG212,0)),"")</f>
        <v>0</v>
      </c>
      <c r="AH211" s="211">
        <f>IF(ISNUMBER(AH212),IF(ABS(AH210-AH212)&lt;=1.01,0,ROUND(AH210-AH212,0)),"")</f>
        <v>0</v>
      </c>
      <c r="AI211" s="211">
        <f>IF(ISNUMBER(AI212),IF(ABS(AI210-AI212)&lt;=1.01,0,ROUND(AI210-AI212,0)),"")</f>
        <v>0</v>
      </c>
      <c r="AJ211" s="211">
        <f>IF(ISNUMBER(AJ212),IF(ABS(AJ210-AJ212)&lt;=1.01,0,ROUND(AJ210-AJ212,0)),"")</f>
        <v>0</v>
      </c>
      <c r="AK211" s="211">
        <f>IF(ISNUMBER(AK212),IF(ABS(AK210-AK212)&lt;=1.01,0,ROUND(AK210-AK212,0)),"")</f>
        <v>0</v>
      </c>
      <c r="AL211" s="211">
        <f>IF(ISNUMBER(AL212),IF(ABS(AL210-AL212)&lt;=1.01,0,ROUND(AL210-AL212,0)),"")</f>
        <v>0</v>
      </c>
      <c r="AM211" s="211">
        <f>IF(ISNUMBER(AM212),IF(ABS(AM210-AM212)&lt;=1.01,0,ROUND(AM210-AM212,0)),"")</f>
        <v>0</v>
      </c>
      <c r="AN211" s="211">
        <f>IF(ISNUMBER(AN212),IF(ABS(AN210-AN212)&lt;=1.01,0,ROUND(AN210-AN212,0)),"")</f>
        <v>0</v>
      </c>
      <c r="AO211" s="211">
        <f>IF(ISNUMBER(AO212),IF(ABS(AO210-AO212)&lt;=1.01,0,ROUND(AO210-AO212,0)),"")</f>
        <v>0</v>
      </c>
      <c r="AP211" s="211">
        <f>IF(ISNUMBER(AP212),IF(ABS(AP210-AP212)&lt;=1.01,0,ROUND(AP210-AP212,0)),"")</f>
        <v>0</v>
      </c>
      <c r="AQ211" s="211">
        <f>IF(ISNUMBER(AQ212),IF(ABS(AQ210-AQ212)&lt;=1.01,0,ROUND(AQ210-AQ212,0)),"")</f>
        <v>0</v>
      </c>
      <c r="AR211" s="211">
        <f>IF(ISNUMBER(AR212),IF(ABS(AR210-AR212)&lt;=1.01,0,ROUND(AR210-AR212,0)),"")</f>
        <v>0</v>
      </c>
      <c r="AS211" s="211">
        <f>IF(ISNUMBER(AS212),IF(ABS(AS210-AS212)&lt;=1.01,0,ROUND(AS210-AS212,0)),"")</f>
        <v>0</v>
      </c>
      <c r="AT211" s="211">
        <f>IF(ISNUMBER(AT212),IF(ABS(AT210-AT212)&lt;=1.01,0,ROUND(AT210-AT212,0)),"")</f>
        <v>0</v>
      </c>
      <c r="AU211" s="211">
        <f>IF(ISNUMBER(AU212),IF(ABS(AU210-AU212)&lt;=1.01,0,ROUND(AU210-AU212,0)),"")</f>
        <v>0</v>
      </c>
      <c r="AV211" s="211">
        <f>IF(ISNUMBER(AV212),IF(ABS(AV210-AV212)&lt;=1.01,0,ROUND(AV210-AV212,0)),"")</f>
        <v>0</v>
      </c>
      <c r="AW211" s="211">
        <f>IF(ISNUMBER(AW212),IF(ABS(AW210-AW212)&lt;=1.01,0,ROUND(AW210-AW212,0)),"")</f>
        <v>0</v>
      </c>
      <c r="AX211" s="211">
        <f>IF(ISNUMBER(AX212),IF(ABS(AX210-AX212)&lt;=1.01,0,ROUND(AX210-AX212,0)),"")</f>
        <v>0</v>
      </c>
      <c r="AY211" s="211">
        <f>IF(ISNUMBER(AY212),IF(ABS(AY210-AY212)&lt;=1.01,0,ROUND(AY210-AY212,0)),"")</f>
        <v>0</v>
      </c>
      <c r="AZ211" s="211">
        <f>IF(ISNUMBER(AZ212),IF(ABS(AZ210-AZ212)&lt;=1.01,0,ROUND(AZ210-AZ212,0)),"")</f>
        <v>0</v>
      </c>
      <c r="BA211" s="211">
        <f>IF(ISNUMBER(BA212),IF(ABS(BA210-BA212)&lt;=1.01,0,ROUND(BA210-BA212,0)),"")</f>
        <v>0</v>
      </c>
      <c r="BB211" s="211">
        <f>IF(ISNUMBER(BB212),IF(ABS(BB210-BB212)&lt;=1.01,0,ROUND(BB210-BB212,0)),"")</f>
        <v>0</v>
      </c>
      <c r="BC211" s="211">
        <f>IF(ISNUMBER(BC212),IF(ABS(BC210-BC212)&lt;=1.01,0,ROUND(BC210-BC212,0)),"")</f>
        <v>0</v>
      </c>
      <c r="BD211" s="211">
        <f>IF(ISNUMBER(BD212),IF(ABS(BD210-BD212)&lt;=1.01,0,ROUND(BD210-BD212,0)),"")</f>
        <v>0</v>
      </c>
      <c r="BE211" s="211">
        <f>IF(ISNUMBER(BE212),IF(ABS(BE210-BE212)&lt;=1.01,0,ROUND(BE210-BE212,0)),"")</f>
        <v>0</v>
      </c>
      <c r="BF211" s="211">
        <f>IF(ISNUMBER(BF212),IF(ABS(BF210-BF212)&lt;=1.01,0,ROUND(BF210-BF212,0)),"")</f>
        <v>0</v>
      </c>
      <c r="BG211" s="211">
        <f>IF(ISNUMBER(BG212),IF(ABS(BG210-BG212)&lt;=1.01,0,ROUND(BG210-BG212,0)),"")</f>
        <v>0</v>
      </c>
      <c r="BH211" s="211">
        <f>IF(ISNUMBER(BH212),IF(ABS(BH210-BH212)&lt;=1.01,0,ROUND(BH210-BH212,0)),"")</f>
        <v>0</v>
      </c>
      <c r="BI211" s="211">
        <f>IF(ISNUMBER(BI212),IF(ABS(BI210-BI212)&lt;=1.01,0,ROUND(BI210-BI212,0)),"")</f>
        <v>0</v>
      </c>
      <c r="BJ211" s="211">
        <f>IF(ISNUMBER(BJ212),IF(ABS(BJ210-BJ212)&lt;=1.01,0,ROUND(BJ210-BJ212,0)),"")</f>
        <v>0</v>
      </c>
      <c r="BK211" s="211">
        <f>IF(ISNUMBER(BK212),IF(ABS(BK210-BK212)&lt;=1.01,0,ROUND(BK210-BK212,0)),"")</f>
        <v>0</v>
      </c>
      <c r="BL211" s="211">
        <f>IF(ISNUMBER(BL212),IF(ABS(BL210-BL212)&lt;=1.01,0,ROUND(BL210-BL212,0)),"")</f>
        <v>0</v>
      </c>
      <c r="BM211" s="211">
        <f>IF(ISNUMBER(BM212),IF(ABS(BM210-BM212)&lt;=1.01,0,ROUND(BM210-BM212,0)),"")</f>
        <v>0</v>
      </c>
      <c r="BN211" s="211">
        <f>IF(ISNUMBER(BN212),IF(ABS(BN210-BN212)&lt;=1.01,0,ROUND(BN210-BN212,0)),"")</f>
        <v>0</v>
      </c>
      <c r="BO211" s="211">
        <f>IF(ISNUMBER(BO212),IF(ABS(BO210-BO212)&lt;=1.01,0,ROUND(BO210-BO212,0)),"")</f>
        <v>0</v>
      </c>
      <c r="BP211" s="211">
        <f>IF(ISNUMBER(BP212),IF(ABS(BP210-BP212)&lt;=1.01,0,ROUND(BP210-BP212,0)),"")</f>
        <v>0</v>
      </c>
      <c r="BQ211" s="211">
        <f>IF(ISNUMBER(BQ212),IF(ABS(BQ210-BQ212)&lt;=1.01,0,ROUND(BQ210-BQ212,0)),"")</f>
        <v>0</v>
      </c>
      <c r="BR211" s="211">
        <f>IF(ISNUMBER(BR212),IF(ABS(BR210-BR212)&lt;=1.01,0,ROUND(BR210-BR212,0)),"")</f>
        <v>0</v>
      </c>
      <c r="BS211" s="211">
        <f>IF(ISNUMBER(BS212),IF(ABS(BS210-BS212)&lt;=1.01,0,ROUND(BS210-BS212,0)),"")</f>
        <v>0</v>
      </c>
      <c r="BT211" s="211">
        <f>IF(ISNUMBER(BT212),IF(ABS(BT210-BT212)&lt;=1.01,0,ROUND(BT210-BT212,0)),"")</f>
        <v>0</v>
      </c>
      <c r="BU211" s="153" t="n"/>
      <c r="BV211" s="153" t="n"/>
      <c r="BW211" s="153" t="n"/>
      <c r="BX211" s="153" t="n"/>
      <c r="BY211" s="153" t="n"/>
      <c r="BZ211" s="153" t="n"/>
      <c r="CA211" s="153" t="n"/>
      <c r="CB211" s="153" t="n"/>
      <c r="CC211" s="153" t="n"/>
    </row>
    <row r="212" ht="15" customHeight="1" s="251">
      <c r="B212" s="156" t="inlineStr">
        <is>
          <t xml:space="preserve">  Memo: net income attributable to S&amp;P Global as reported</t>
        </is>
      </c>
      <c r="C212" s="253" t="n">
        <v>828</v>
      </c>
      <c r="D212" s="253" t="n">
        <v>911</v>
      </c>
      <c r="E212" s="253" t="n">
        <v>437</v>
      </c>
      <c r="F212" s="253" t="n">
        <v>735</v>
      </c>
      <c r="G212" s="253" t="n">
        <v>254</v>
      </c>
      <c r="H212" s="253" t="n">
        <v>215</v>
      </c>
      <c r="I212" s="253" t="n">
        <v>171</v>
      </c>
      <c r="J212" s="253" t="n">
        <v>1376</v>
      </c>
      <c r="K212" s="253" t="n">
        <v>248</v>
      </c>
      <c r="L212" s="253" t="n">
        <v>292</v>
      </c>
      <c r="M212" s="253" t="n">
        <v>190</v>
      </c>
      <c r="N212" s="253" t="n">
        <v>-846</v>
      </c>
      <c r="O212" s="253" t="n">
        <v>-115</v>
      </c>
      <c r="P212" s="253" t="n">
        <v>303</v>
      </c>
      <c r="Q212" s="253" t="n">
        <v>353</v>
      </c>
      <c r="R212" s="253" t="n">
        <v>252</v>
      </c>
      <c r="S212" s="253" t="n">
        <v>248</v>
      </c>
      <c r="T212" s="253" t="n">
        <v>1156</v>
      </c>
      <c r="U212" s="253" t="n">
        <v>294</v>
      </c>
      <c r="V212" s="253" t="n">
        <v>383</v>
      </c>
      <c r="W212" s="253" t="n">
        <v>892</v>
      </c>
      <c r="X212" s="253" t="n">
        <v>537</v>
      </c>
      <c r="Y212" s="253" t="n">
        <v>2106</v>
      </c>
      <c r="Z212" s="253" t="n">
        <v>399</v>
      </c>
      <c r="AA212" s="253" t="n">
        <v>421</v>
      </c>
      <c r="AB212" s="253" t="n">
        <v>414</v>
      </c>
      <c r="AC212" s="253" t="n">
        <v>263</v>
      </c>
      <c r="AD212" s="253" t="n">
        <v>1496</v>
      </c>
      <c r="AE212" s="253" t="n">
        <v>491</v>
      </c>
      <c r="AF212" s="253" t="n">
        <v>461</v>
      </c>
      <c r="AG212" s="253" t="n">
        <v>495</v>
      </c>
      <c r="AH212" s="253" t="n">
        <v>512</v>
      </c>
      <c r="AI212" s="253" t="n">
        <v>1958</v>
      </c>
      <c r="AJ212" s="253" t="n">
        <v>410</v>
      </c>
      <c r="AK212" s="253" t="n">
        <v>555</v>
      </c>
      <c r="AL212" s="253" t="n">
        <v>617</v>
      </c>
      <c r="AM212" s="253" t="n">
        <v>541</v>
      </c>
      <c r="AN212" s="253" t="n">
        <v>2123</v>
      </c>
      <c r="AO212" s="253" t="n">
        <v>639</v>
      </c>
      <c r="AP212" s="253" t="n">
        <v>792</v>
      </c>
      <c r="AQ212" s="253" t="n">
        <v>455</v>
      </c>
      <c r="AR212" s="253" t="n">
        <v>454</v>
      </c>
      <c r="AS212" s="253" t="n">
        <v>2339</v>
      </c>
      <c r="AT212" s="253" t="n">
        <v>755</v>
      </c>
      <c r="AU212" s="253" t="n">
        <v>798</v>
      </c>
      <c r="AV212" s="253" t="n">
        <v>797</v>
      </c>
      <c r="AW212" s="253" t="n">
        <v>675</v>
      </c>
      <c r="AX212" s="253" t="n">
        <v>3024</v>
      </c>
      <c r="AY212" s="253" t="n">
        <v>1235</v>
      </c>
      <c r="AZ212" s="253" t="n">
        <v>972</v>
      </c>
      <c r="BA212" s="253" t="n">
        <v>608</v>
      </c>
      <c r="BB212" s="253" t="n">
        <v>433</v>
      </c>
      <c r="BC212" s="253" t="n">
        <v>3248</v>
      </c>
      <c r="BD212" s="253" t="n">
        <v>795</v>
      </c>
      <c r="BE212" s="253" t="n">
        <v>511</v>
      </c>
      <c r="BF212" s="253" t="n">
        <v>742</v>
      </c>
      <c r="BG212" s="253" t="n">
        <v>579</v>
      </c>
      <c r="BH212" s="253" t="n">
        <v>2626</v>
      </c>
      <c r="BI212" s="253" t="n">
        <v>991</v>
      </c>
      <c r="BJ212" s="253" t="n">
        <v>1011</v>
      </c>
      <c r="BK212" s="253" t="n">
        <v>971</v>
      </c>
      <c r="BL212" s="253" t="n">
        <v>880</v>
      </c>
      <c r="BM212" s="253" t="n">
        <v>3852</v>
      </c>
      <c r="BN212" s="253" t="n">
        <v>1090</v>
      </c>
      <c r="BO212" s="253" t="n">
        <v>1072</v>
      </c>
      <c r="BP212" s="253" t="n">
        <v>1176</v>
      </c>
      <c r="BQ212" s="253" t="n">
        <v>1134</v>
      </c>
      <c r="BR212" s="253" t="n">
        <v>4471</v>
      </c>
      <c r="BS212" s="253" t="n">
        <v>1395</v>
      </c>
      <c r="BT212" s="253" t="n">
        <v>1217</v>
      </c>
      <c r="BU212" s="153" t="n"/>
      <c r="BV212" s="153" t="n"/>
      <c r="BW212" s="153" t="n"/>
      <c r="BX212" s="153" t="n"/>
      <c r="BY212" s="153" t="n"/>
      <c r="BZ212" s="153" t="n"/>
      <c r="CA212" s="153" t="n"/>
      <c r="CB212" s="153" t="n"/>
      <c r="CC212" s="153" t="n"/>
    </row>
    <row r="213" ht="15" customHeight="1" s="251">
      <c r="B213" s="156" t="inlineStr">
        <is>
          <t xml:space="preserve">  Memo: depreciation &amp; amortization (IS)</t>
        </is>
      </c>
      <c r="C213" s="211">
        <f>IF(ISNUMBER(C190),C190+C191,"")</f>
        <v>96</v>
      </c>
      <c r="D213" s="211">
        <f>IF(ISNUMBER(D190),D190+D191,"")</f>
        <v>111</v>
      </c>
      <c r="E213" s="211">
        <f>IF(ISNUMBER(E190),E190+E191,"")</f>
        <v>122</v>
      </c>
      <c r="F213" s="211">
        <f>IF(ISNUMBER(F190),F190+F191,"")</f>
        <v>35</v>
      </c>
      <c r="G213" s="211">
        <f>IF(ISNUMBER(G190),G190+G191,"")</f>
        <v>35</v>
      </c>
      <c r="H213" s="211">
        <f>IF(ISNUMBER(H190),H190+H191,"")</f>
        <v>33</v>
      </c>
      <c r="I213" s="211">
        <f>IF(ISNUMBER(I190),I190+I191,"")</f>
        <v>34</v>
      </c>
      <c r="J213" s="211">
        <f>IF(ISNUMBER(J190),J190+J191,"")</f>
        <v>137</v>
      </c>
      <c r="K213" s="211">
        <f>IF(ISNUMBER(K190),K190+K191,"")</f>
        <v>33</v>
      </c>
      <c r="L213" s="211">
        <f>IF(ISNUMBER(L190),L190+L191,"")</f>
        <v>34</v>
      </c>
      <c r="M213" s="211">
        <f>IF(ISNUMBER(M190),M190+M191,"")</f>
        <v>33</v>
      </c>
      <c r="N213" s="211">
        <f>IF(ISNUMBER(N190),N190+N191,"")</f>
        <v>34</v>
      </c>
      <c r="O213" s="211">
        <f>IF(ISNUMBER(O190),O190+O191,"")</f>
        <v>134</v>
      </c>
      <c r="P213" s="211">
        <f>IF(ISNUMBER(P190),P190+P191,"")</f>
        <v>33</v>
      </c>
      <c r="Q213" s="211">
        <f>IF(ISNUMBER(Q190),Q190+Q191,"")</f>
        <v>33</v>
      </c>
      <c r="R213" s="211">
        <f>IF(ISNUMBER(R190),R190+R191,"")</f>
        <v>37</v>
      </c>
      <c r="S213" s="211">
        <f>IF(ISNUMBER(S190),S190+S191,"")</f>
        <v>53</v>
      </c>
      <c r="T213" s="211">
        <f>IF(ISNUMBER(T190),T190+T191,"")</f>
        <v>157</v>
      </c>
      <c r="U213" s="211">
        <f>IF(ISNUMBER(U190),U190+U191,"")</f>
        <v>42</v>
      </c>
      <c r="V213" s="211">
        <f>IF(ISNUMBER(V190),V190+V191,"")</f>
        <v>45</v>
      </c>
      <c r="W213" s="211">
        <f>IF(ISNUMBER(W190),W190+W191,"")</f>
        <v>45</v>
      </c>
      <c r="X213" s="211">
        <f>IF(ISNUMBER(X190),X190+X191,"")</f>
        <v>47</v>
      </c>
      <c r="Y213" s="211">
        <f>IF(ISNUMBER(Y190),Y190+Y191,"")</f>
        <v>181</v>
      </c>
      <c r="Z213" s="211">
        <f>IF(ISNUMBER(Z190),Z190+Z191,"")</f>
        <v>43</v>
      </c>
      <c r="AA213" s="211">
        <f>IF(ISNUMBER(AA190),AA190+AA191,"")</f>
        <v>45</v>
      </c>
      <c r="AB213" s="211">
        <f>IF(ISNUMBER(AB190),AB190+AB191,"")</f>
        <v>46</v>
      </c>
      <c r="AC213" s="211">
        <f>IF(ISNUMBER(AC190),AC190+AC191,"")</f>
        <v>46</v>
      </c>
      <c r="AD213" s="211">
        <f>IF(ISNUMBER(AD190),AD190+AD191,"")</f>
        <v>180</v>
      </c>
      <c r="AE213" s="211">
        <f>IF(ISNUMBER(AE190),AE190+AE191,"")</f>
        <v>45</v>
      </c>
      <c r="AF213" s="211">
        <f>IF(ISNUMBER(AF190),AF190+AF191,"")</f>
        <v>52</v>
      </c>
      <c r="AG213" s="211">
        <f>IF(ISNUMBER(AG190),AG190+AG191,"")</f>
        <v>53</v>
      </c>
      <c r="AH213" s="211">
        <f>IF(ISNUMBER(AH190),AH190+AH191,"")</f>
        <v>55</v>
      </c>
      <c r="AI213" s="211">
        <f>IF(ISNUMBER(AI190),AI190+AI191,"")</f>
        <v>206</v>
      </c>
      <c r="AJ213" s="211">
        <f>IF(ISNUMBER(AJ190),AJ190+AJ191,"")</f>
        <v>52</v>
      </c>
      <c r="AK213" s="211">
        <f>IF(ISNUMBER(AK190),AK190+AK191,"")</f>
        <v>52</v>
      </c>
      <c r="AL213" s="211">
        <f>IF(ISNUMBER(AL190),AL190+AL191,"")</f>
        <v>49</v>
      </c>
      <c r="AM213" s="211">
        <f>IF(ISNUMBER(AM190),AM190+AM191,"")</f>
        <v>51</v>
      </c>
      <c r="AN213" s="211">
        <f>IF(ISNUMBER(AN190),AN190+AN191,"")</f>
        <v>204</v>
      </c>
      <c r="AO213" s="211">
        <f>IF(ISNUMBER(AO190),AO190+AO191,"")</f>
        <v>49</v>
      </c>
      <c r="AP213" s="211">
        <f>IF(ISNUMBER(AP190),AP190+AP191,"")</f>
        <v>51</v>
      </c>
      <c r="AQ213" s="211">
        <f>IF(ISNUMBER(AQ190),AQ190+AQ191,"")</f>
        <v>52</v>
      </c>
      <c r="AR213" s="211">
        <f>IF(ISNUMBER(AR190),AR190+AR191,"")</f>
        <v>52</v>
      </c>
      <c r="AS213" s="211">
        <f>IF(ISNUMBER(AS190),AS190+AS191,"")</f>
        <v>206</v>
      </c>
      <c r="AT213" s="211">
        <f>IF(ISNUMBER(AT190),AT190+AT191,"")</f>
        <v>50</v>
      </c>
      <c r="AU213" s="211">
        <f>IF(ISNUMBER(AU190),AU190+AU191,"")</f>
        <v>45</v>
      </c>
      <c r="AV213" s="211">
        <f>IF(ISNUMBER(AV190),AV190+AV191,"")</f>
        <v>41</v>
      </c>
      <c r="AW213" s="211">
        <f>IF(ISNUMBER(AW190),AW190+AW191,"")</f>
        <v>41</v>
      </c>
      <c r="AX213" s="211">
        <f>IF(ISNUMBER(AX190),AX190+AX191,"")</f>
        <v>178</v>
      </c>
      <c r="AY213" s="211">
        <f>IF(ISNUMBER(AY190),AY190+AY191,"")</f>
        <v>137</v>
      </c>
      <c r="AZ213" s="211">
        <f>IF(ISNUMBER(AZ190),AZ190+AZ191,"")</f>
        <v>303</v>
      </c>
      <c r="BA213" s="211">
        <f>IF(ISNUMBER(BA190),BA190+BA191,"")</f>
        <v>298</v>
      </c>
      <c r="BB213" s="211">
        <f>IF(ISNUMBER(BB190),BB190+BB191,"")</f>
        <v>275</v>
      </c>
      <c r="BC213" s="211">
        <f>IF(ISNUMBER(BC190),BC190+BC191,"")</f>
        <v>1013</v>
      </c>
      <c r="BD213" s="211">
        <f>IF(ISNUMBER(BD190),BD190+BD191,"")</f>
        <v>287</v>
      </c>
      <c r="BE213" s="211">
        <f>IF(ISNUMBER(BE190),BE190+BE191,"")</f>
        <v>285</v>
      </c>
      <c r="BF213" s="211">
        <f>IF(ISNUMBER(BF190),BF190+BF191,"")</f>
        <v>282</v>
      </c>
      <c r="BG213" s="211">
        <f>IF(ISNUMBER(BG190),BG190+BG191,"")</f>
        <v>290</v>
      </c>
      <c r="BH213" s="211">
        <f>IF(ISNUMBER(BH190),BH190+BH191,"")</f>
        <v>1143</v>
      </c>
      <c r="BI213" s="211">
        <f>IF(ISNUMBER(BI190),BI190+BI191,"")</f>
        <v>287</v>
      </c>
      <c r="BJ213" s="211">
        <f>IF(ISNUMBER(BJ190),BJ190+BJ191,"")</f>
        <v>291</v>
      </c>
      <c r="BK213" s="211">
        <f>IF(ISNUMBER(BK190),BK190+BK191,"")</f>
        <v>293</v>
      </c>
      <c r="BL213" s="211">
        <f>IF(ISNUMBER(BL190),BL190+BL191,"")</f>
        <v>300</v>
      </c>
      <c r="BM213" s="211">
        <f>IF(ISNUMBER(BM190),BM190+BM191,"")</f>
        <v>1173</v>
      </c>
      <c r="BN213" s="211">
        <f>IF(ISNUMBER(BN190),BN190+BN191,"")</f>
        <v>213</v>
      </c>
      <c r="BO213" s="211">
        <f>IF(ISNUMBER(BO190),BO190+BO191,"")</f>
        <v>216</v>
      </c>
      <c r="BP213" s="211">
        <f>IF(ISNUMBER(BP190),BP190+BP191,"")</f>
        <v>215</v>
      </c>
      <c r="BQ213" s="211">
        <f>IF(ISNUMBER(BQ190),BQ190+BQ191,"")</f>
        <v>218</v>
      </c>
      <c r="BR213" s="211">
        <f>IF(ISNUMBER(BR190),BR190+BR191,"")</f>
        <v>862</v>
      </c>
      <c r="BS213" s="211">
        <f>IF(ISNUMBER(BS190),BS190+BS191,"")</f>
        <v>227</v>
      </c>
      <c r="BT213" s="211">
        <f>IF(ISNUMBER(BT190),BT190+BT191,"")</f>
        <v>228</v>
      </c>
      <c r="BU213" s="254">
        <f>IF(ISNUMBER(BU190),BU190+BU191,"")</f>
        <v>222</v>
      </c>
      <c r="BV213" s="254">
        <f>IF(ISNUMBER(BV190),BV190+BV191,"")</f>
        <v>222</v>
      </c>
      <c r="BW213" s="254">
        <f>IF(ISNUMBER(BW190),BW190+BW191,"")</f>
        <v>899</v>
      </c>
      <c r="BX213" s="254">
        <f>IF(ISNUMBER(BX190),BX190+BX191,"")</f>
        <v>920.242957792131</v>
      </c>
      <c r="BY213" s="254">
        <f>IF(ISNUMBER(BY190),BY190+BY191,"")</f>
        <v>922.634265610662</v>
      </c>
      <c r="BZ213" s="254">
        <f>IF(ISNUMBER(BZ190),BZ190+BZ191,"")</f>
        <v>917.373410195188</v>
      </c>
      <c r="CA213" s="254">
        <f>IF(ISNUMBER(CA190),CA190+CA191,"")</f>
        <v>912.307804236605</v>
      </c>
      <c r="CB213" s="254">
        <f>IF(ISNUMBER(CB190),CB190+CB191,"")</f>
        <v>908.836019644565</v>
      </c>
      <c r="CC213" s="153" t="n"/>
    </row>
    <row r="214" ht="15" customHeight="1" s="251">
      <c r="B214" s="156" t="inlineStr">
        <is>
          <t xml:space="preserve">  Memo: stock-based compensation</t>
        </is>
      </c>
      <c r="C214" s="211">
        <f>C173</f>
        <v>0</v>
      </c>
      <c r="D214" s="211">
        <f>D173</f>
        <v>0</v>
      </c>
      <c r="E214" s="211">
        <f>E173</f>
        <v>93</v>
      </c>
      <c r="F214" s="211">
        <f>F173</f>
        <v>21</v>
      </c>
      <c r="G214" s="211">
        <f>G173</f>
        <v>26</v>
      </c>
      <c r="H214" s="211">
        <f>H173</f>
        <v>26</v>
      </c>
      <c r="I214" s="211">
        <f>I173</f>
        <v>26</v>
      </c>
      <c r="J214" s="211">
        <f>J173</f>
        <v>99</v>
      </c>
      <c r="K214" s="211">
        <f>K173</f>
        <v>18</v>
      </c>
      <c r="L214" s="211">
        <f>L173</f>
        <v>30</v>
      </c>
      <c r="M214" s="211">
        <f>M173</f>
        <v>24</v>
      </c>
      <c r="N214" s="211">
        <f>N173</f>
        <v>28</v>
      </c>
      <c r="O214" s="211">
        <f>O173</f>
        <v>100</v>
      </c>
      <c r="P214" s="211">
        <f>P173</f>
        <v>18</v>
      </c>
      <c r="Q214" s="211">
        <f>Q173</f>
        <v>19</v>
      </c>
      <c r="R214" s="211">
        <f>R173</f>
        <v>18</v>
      </c>
      <c r="S214" s="211">
        <f>S173</f>
        <v>23</v>
      </c>
      <c r="T214" s="211">
        <f>T173</f>
        <v>78</v>
      </c>
      <c r="U214" s="211">
        <f>U173</f>
        <v>14</v>
      </c>
      <c r="V214" s="211">
        <f>V173</f>
        <v>20</v>
      </c>
      <c r="W214" s="211">
        <f>W173</f>
        <v>20</v>
      </c>
      <c r="X214" s="211">
        <f>X173</f>
        <v>22</v>
      </c>
      <c r="Y214" s="211">
        <f>Y173</f>
        <v>76</v>
      </c>
      <c r="Z214" s="211">
        <f>Z173</f>
        <v>19</v>
      </c>
      <c r="AA214" s="211">
        <f>AA173</f>
        <v>22</v>
      </c>
      <c r="AB214" s="211">
        <f>AB173</f>
        <v>24</v>
      </c>
      <c r="AC214" s="211">
        <f>AC173</f>
        <v>34</v>
      </c>
      <c r="AD214" s="211">
        <f>AD173</f>
        <v>99</v>
      </c>
      <c r="AE214" s="211">
        <f>AE173</f>
        <v>13</v>
      </c>
      <c r="AF214" s="211">
        <f>AF173</f>
        <v>33</v>
      </c>
      <c r="AG214" s="211">
        <f>AG173</f>
        <v>27</v>
      </c>
      <c r="AH214" s="211">
        <f>AH173</f>
        <v>21</v>
      </c>
      <c r="AI214" s="211">
        <f>AI173</f>
        <v>94</v>
      </c>
      <c r="AJ214" s="211">
        <f>AJ173</f>
        <v>12</v>
      </c>
      <c r="AK214" s="211">
        <f>AK173</f>
        <v>21</v>
      </c>
      <c r="AL214" s="211">
        <f>AL173</f>
        <v>20</v>
      </c>
      <c r="AM214" s="211">
        <f>AM173</f>
        <v>25</v>
      </c>
      <c r="AN214" s="211">
        <f>AN173</f>
        <v>78</v>
      </c>
      <c r="AO214" s="211">
        <f>AO173</f>
        <v>11</v>
      </c>
      <c r="AP214" s="211">
        <f>AP173</f>
        <v>11</v>
      </c>
      <c r="AQ214" s="211">
        <f>AQ173</f>
        <v>38</v>
      </c>
      <c r="AR214" s="211">
        <f>AR173</f>
        <v>30</v>
      </c>
      <c r="AS214" s="211">
        <f>AS173</f>
        <v>90</v>
      </c>
      <c r="AT214" s="211">
        <f>AT173</f>
        <v>19</v>
      </c>
      <c r="AU214" s="211">
        <f>AU173</f>
        <v>31</v>
      </c>
      <c r="AV214" s="211">
        <f>AV173</f>
        <v>40</v>
      </c>
      <c r="AW214" s="211">
        <f>AW173</f>
        <v>32</v>
      </c>
      <c r="AX214" s="211">
        <f>AX173</f>
        <v>122</v>
      </c>
      <c r="AY214" s="211">
        <f>AY173</f>
        <v>94</v>
      </c>
      <c r="AZ214" s="211">
        <f>AZ173</f>
        <v>49</v>
      </c>
      <c r="BA214" s="211">
        <f>BA173</f>
        <v>17</v>
      </c>
      <c r="BB214" s="211">
        <f>BB173</f>
        <v>54</v>
      </c>
      <c r="BC214" s="211">
        <f>BC173</f>
        <v>214</v>
      </c>
      <c r="BD214" s="211">
        <f>BD173</f>
        <v>46</v>
      </c>
      <c r="BE214" s="211">
        <f>BE173</f>
        <v>51</v>
      </c>
      <c r="BF214" s="211">
        <f>BF173</f>
        <v>46</v>
      </c>
      <c r="BG214" s="211">
        <f>BG173</f>
        <v>28</v>
      </c>
      <c r="BH214" s="211">
        <f>BH173</f>
        <v>171</v>
      </c>
      <c r="BI214" s="211">
        <f>BI173</f>
        <v>33</v>
      </c>
      <c r="BJ214" s="211">
        <f>BJ173</f>
        <v>49</v>
      </c>
      <c r="BK214" s="211">
        <f>BK173</f>
        <v>95</v>
      </c>
      <c r="BL214" s="211">
        <f>BL173</f>
        <v>70</v>
      </c>
      <c r="BM214" s="211">
        <f>BM173</f>
        <v>247</v>
      </c>
      <c r="BN214" s="211">
        <f>BN173</f>
        <v>47</v>
      </c>
      <c r="BO214" s="211">
        <f>BO173</f>
        <v>45</v>
      </c>
      <c r="BP214" s="211">
        <f>BP173</f>
        <v>75</v>
      </c>
      <c r="BQ214" s="211">
        <f>BQ173</f>
        <v>69</v>
      </c>
      <c r="BR214" s="211">
        <f>BR173</f>
        <v>236</v>
      </c>
      <c r="BS214" s="211">
        <f>BS173</f>
        <v>39</v>
      </c>
      <c r="BT214" s="211">
        <f>BT173</f>
        <v>56</v>
      </c>
      <c r="BU214" s="254">
        <f>BU173</f>
        <v>77.445652173913</v>
      </c>
      <c r="BV214" s="254">
        <f>BV173</f>
        <v>71.25</v>
      </c>
      <c r="BW214" s="254">
        <f>BW173</f>
        <v>243.695652173913</v>
      </c>
      <c r="BX214" s="254">
        <f>BX173</f>
        <v>185.114436688197</v>
      </c>
      <c r="BY214" s="254">
        <f>BY173</f>
        <v>198.201398415993</v>
      </c>
      <c r="BZ214" s="254">
        <f>BZ173</f>
        <v>211.810115292782</v>
      </c>
      <c r="CA214" s="254">
        <f>CA173</f>
        <v>225.711706354907</v>
      </c>
      <c r="CB214" s="254">
        <f>CB173</f>
        <v>240.504029466848</v>
      </c>
      <c r="CC214" s="153" t="n"/>
    </row>
    <row r="215" ht="15" customHeight="1" s="251">
      <c r="B215" s="25" t="inlineStr">
        <is>
          <t>(Earnings per share)</t>
        </is>
      </c>
      <c r="CC215" s="153" t="n"/>
    </row>
    <row r="216" ht="15" customHeight="1" s="251">
      <c r="B216" s="25" t="inlineStr">
        <is>
          <t xml:space="preserve">  Weighted-average basic shares (m)</t>
        </is>
      </c>
      <c r="C216" s="278" t="n">
        <v>309.4</v>
      </c>
      <c r="D216" s="278" t="n">
        <v>298.1</v>
      </c>
      <c r="E216" s="278" t="n">
        <v>278.6</v>
      </c>
      <c r="F216" s="278" t="n">
        <v>280.5</v>
      </c>
      <c r="G216" s="278" t="n">
        <v>274.3</v>
      </c>
      <c r="H216" s="278" t="n">
        <v>272.8</v>
      </c>
      <c r="I216" s="278" t="n">
        <v>270.4</v>
      </c>
      <c r="J216" s="278" t="n">
        <v>274.5</v>
      </c>
      <c r="K216" s="278" t="n">
        <v>271.8</v>
      </c>
      <c r="L216" s="278" t="n">
        <v>271.5</v>
      </c>
      <c r="M216" s="278" t="n">
        <v>270.9</v>
      </c>
      <c r="N216" s="278" t="n">
        <v>271.7</v>
      </c>
      <c r="O216" s="278" t="n">
        <v>271.5</v>
      </c>
      <c r="P216" s="278" t="n">
        <v>273.5</v>
      </c>
      <c r="Q216" s="278" t="n">
        <v>273.1</v>
      </c>
      <c r="R216" s="278" t="n">
        <v>271.3</v>
      </c>
      <c r="S216" s="278" t="n">
        <v>268.5</v>
      </c>
      <c r="T216" s="278" t="n">
        <v>271.6</v>
      </c>
      <c r="U216" s="278" t="n">
        <v>265</v>
      </c>
      <c r="V216" s="278" t="n">
        <v>264.5</v>
      </c>
      <c r="W216" s="278" t="n">
        <v>262.9</v>
      </c>
      <c r="X216" s="278" t="n">
        <v>258.9</v>
      </c>
      <c r="Y216" s="278" t="n">
        <v>262.8</v>
      </c>
      <c r="Z216" s="278" t="n">
        <v>258.2</v>
      </c>
      <c r="AA216" s="278" t="n">
        <v>257.3</v>
      </c>
      <c r="AB216" s="278" t="n">
        <v>255.5</v>
      </c>
      <c r="AC216" s="278" t="n">
        <v>254.4</v>
      </c>
      <c r="AD216" s="278" t="n">
        <v>256.3</v>
      </c>
      <c r="AE216" s="278" t="n">
        <v>252.4</v>
      </c>
      <c r="AF216" s="278" t="n">
        <v>251.1</v>
      </c>
      <c r="AG216" s="278" t="n">
        <v>251.3</v>
      </c>
      <c r="AH216" s="278" t="n">
        <v>249</v>
      </c>
      <c r="AI216" s="278" t="n">
        <v>250.9</v>
      </c>
      <c r="AJ216" s="278" t="n">
        <v>246.7</v>
      </c>
      <c r="AK216" s="278" t="n">
        <v>246.1</v>
      </c>
      <c r="AL216" s="278" t="n">
        <v>245</v>
      </c>
      <c r="AM216" s="278" t="n">
        <v>244</v>
      </c>
      <c r="AN216" s="278" t="n">
        <v>245.4</v>
      </c>
      <c r="AO216" s="278" t="n">
        <v>242.1</v>
      </c>
      <c r="AP216" s="278" t="n">
        <v>240.9</v>
      </c>
      <c r="AQ216" s="278" t="n">
        <v>240.6</v>
      </c>
      <c r="AR216" s="278" t="n">
        <v>240.5</v>
      </c>
      <c r="AS216" s="278" t="n">
        <v>241</v>
      </c>
      <c r="AT216" s="278" t="n">
        <v>240.6</v>
      </c>
      <c r="AU216" s="278" t="n">
        <v>240.8</v>
      </c>
      <c r="AV216" s="278" t="n">
        <v>240.9</v>
      </c>
      <c r="AW216" s="278" t="n">
        <v>241</v>
      </c>
      <c r="AX216" s="278" t="n">
        <v>240.8</v>
      </c>
      <c r="AY216" s="278" t="n">
        <v>275.2</v>
      </c>
      <c r="AZ216" s="278" t="n">
        <v>338</v>
      </c>
      <c r="BA216" s="278" t="n">
        <v>329.6</v>
      </c>
      <c r="BB216" s="278" t="n">
        <v>323.9</v>
      </c>
      <c r="BC216" s="278" t="n">
        <v>316.9</v>
      </c>
      <c r="BD216" s="278" t="n">
        <v>321.3</v>
      </c>
      <c r="BE216" s="278" t="n">
        <v>319.3</v>
      </c>
      <c r="BF216" s="278" t="n">
        <v>317.5</v>
      </c>
      <c r="BG216" s="278" t="n">
        <v>315.4</v>
      </c>
      <c r="BH216" s="278" t="n">
        <v>318.4</v>
      </c>
      <c r="BI216" s="278" t="n">
        <v>313.6</v>
      </c>
      <c r="BJ216" s="278" t="n">
        <v>313</v>
      </c>
      <c r="BK216" s="278" t="n">
        <v>311.2</v>
      </c>
      <c r="BL216" s="278" t="n">
        <v>308.5</v>
      </c>
      <c r="BM216" s="278" t="n">
        <v>311.6</v>
      </c>
      <c r="BN216" s="278" t="n">
        <v>307.3</v>
      </c>
      <c r="BO216" s="278" t="n">
        <v>305.9</v>
      </c>
      <c r="BP216" s="278" t="n">
        <v>304.3</v>
      </c>
      <c r="BQ216" s="278" t="n">
        <v>301.8</v>
      </c>
      <c r="BR216" s="278" t="n">
        <v>304.8</v>
      </c>
      <c r="BS216" s="278" t="n">
        <v>297.3</v>
      </c>
      <c r="BT216" s="278" t="n">
        <v>295.4</v>
      </c>
      <c r="BU216" s="279">
        <f>BT396-$BW$354*0.25</f>
        <v>291.336144578313</v>
      </c>
      <c r="BV216" s="279">
        <f>BT396-$BW$354*0.75</f>
        <v>284.40843373494</v>
      </c>
      <c r="BW216" s="279">
        <f>AVERAGE(BS216:BV216)</f>
        <v>292.111144578313</v>
      </c>
      <c r="BX216" s="279">
        <f>AVERAGE(BX356,BX357)</f>
        <v>277.093086913713</v>
      </c>
      <c r="BY216" s="279">
        <f>AVERAGE(BY356,BY357)</f>
        <v>267.372272961855</v>
      </c>
      <c r="BZ216" s="279">
        <f>AVERAGE(BZ356,BZ357)</f>
        <v>256.700275548964</v>
      </c>
      <c r="CA216" s="279">
        <f>AVERAGE(CA356,CA357)</f>
        <v>246.107747848206</v>
      </c>
      <c r="CB216" s="279">
        <f>AVERAGE(CB356,CB357)</f>
        <v>235.559940981431</v>
      </c>
      <c r="CC216" s="19" t="inlineStr">
        <is>
          <t>Q3/26E: shares at 30-Jun-2026 − ¼ of 2H buybacks; Q4/26E: − ¾ (2H buyback spread evenly). 2027E+: average of beginning and ending shares.</t>
        </is>
      </c>
    </row>
    <row r="217" ht="15" customHeight="1" s="251">
      <c r="B217" s="25" t="inlineStr">
        <is>
          <t xml:space="preserve">  Weighted-average diluted shares (m)</t>
        </is>
      </c>
      <c r="C217" s="278" t="n">
        <v>312.2</v>
      </c>
      <c r="D217" s="278" t="n">
        <v>303.6</v>
      </c>
      <c r="E217" s="278" t="n">
        <v>284.6</v>
      </c>
      <c r="F217" s="278" t="n">
        <v>284.3</v>
      </c>
      <c r="G217" s="278" t="n">
        <v>278.3</v>
      </c>
      <c r="H217" s="278" t="n">
        <v>278.8</v>
      </c>
      <c r="I217" s="278" t="n">
        <v>278</v>
      </c>
      <c r="J217" s="278" t="n">
        <v>279.8</v>
      </c>
      <c r="K217" s="278" t="n">
        <v>277.2</v>
      </c>
      <c r="L217" s="278" t="n">
        <v>276.1</v>
      </c>
      <c r="M217" s="278" t="n">
        <v>275.4</v>
      </c>
      <c r="N217" s="278" t="n">
        <v>271.7</v>
      </c>
      <c r="O217" s="278" t="n">
        <v>271.5</v>
      </c>
      <c r="P217" s="278" t="n">
        <v>276.3</v>
      </c>
      <c r="Q217" s="278" t="n">
        <v>275.7</v>
      </c>
      <c r="R217" s="278" t="n">
        <v>274.4</v>
      </c>
      <c r="S217" s="278" t="n">
        <v>272.1</v>
      </c>
      <c r="T217" s="278" t="n">
        <v>274.6</v>
      </c>
      <c r="U217" s="278" t="n">
        <v>267.2</v>
      </c>
      <c r="V217" s="278" t="n">
        <v>266.7</v>
      </c>
      <c r="W217" s="278" t="n">
        <v>265.3</v>
      </c>
      <c r="X217" s="278" t="n">
        <v>261.6</v>
      </c>
      <c r="Y217" s="278" t="n">
        <v>265.2</v>
      </c>
      <c r="Z217" s="278" t="n">
        <v>260.8</v>
      </c>
      <c r="AA217" s="278" t="n">
        <v>259.9</v>
      </c>
      <c r="AB217" s="278" t="n">
        <v>257.9</v>
      </c>
      <c r="AC217" s="278" t="n">
        <v>257</v>
      </c>
      <c r="AD217" s="278" t="n">
        <v>258.9</v>
      </c>
      <c r="AE217" s="278" t="n">
        <v>254.4</v>
      </c>
      <c r="AF217" s="278" t="n">
        <v>253.3</v>
      </c>
      <c r="AG217" s="278" t="n">
        <v>253.5</v>
      </c>
      <c r="AH217" s="278" t="n">
        <v>251.5</v>
      </c>
      <c r="AI217" s="278" t="n">
        <v>253.2</v>
      </c>
      <c r="AJ217" s="278" t="n">
        <v>248.3</v>
      </c>
      <c r="AK217" s="278" t="n">
        <v>247.4</v>
      </c>
      <c r="AL217" s="278" t="n">
        <v>246.5</v>
      </c>
      <c r="AM217" s="278" t="n">
        <v>245.6</v>
      </c>
      <c r="AN217" s="278" t="n">
        <v>246.9</v>
      </c>
      <c r="AO217" s="278" t="n">
        <v>243.3</v>
      </c>
      <c r="AP217" s="278" t="n">
        <v>241.9</v>
      </c>
      <c r="AQ217" s="278" t="n">
        <v>241.6</v>
      </c>
      <c r="AR217" s="278" t="n">
        <v>241.7</v>
      </c>
      <c r="AS217" s="278" t="n">
        <v>242.1</v>
      </c>
      <c r="AT217" s="278" t="n">
        <v>241.6</v>
      </c>
      <c r="AU217" s="278" t="n">
        <v>241.8</v>
      </c>
      <c r="AV217" s="278" t="n">
        <v>241.7</v>
      </c>
      <c r="AW217" s="278" t="n">
        <v>242.1</v>
      </c>
      <c r="AX217" s="278" t="n">
        <v>241.8</v>
      </c>
      <c r="AY217" s="278" t="n">
        <v>276.3</v>
      </c>
      <c r="AZ217" s="278" t="n">
        <v>339.3</v>
      </c>
      <c r="BA217" s="278" t="n">
        <v>330.9</v>
      </c>
      <c r="BB217" s="278" t="n">
        <v>325.2</v>
      </c>
      <c r="BC217" s="278" t="n">
        <v>318.5</v>
      </c>
      <c r="BD217" s="278" t="n">
        <v>322.1</v>
      </c>
      <c r="BE217" s="278" t="n">
        <v>319.8</v>
      </c>
      <c r="BF217" s="278" t="n">
        <v>318</v>
      </c>
      <c r="BG217" s="278" t="n">
        <v>315.9</v>
      </c>
      <c r="BH217" s="278" t="n">
        <v>318.9</v>
      </c>
      <c r="BI217" s="278" t="n">
        <v>314</v>
      </c>
      <c r="BJ217" s="278" t="n">
        <v>313.2</v>
      </c>
      <c r="BK217" s="278" t="n">
        <v>311.5</v>
      </c>
      <c r="BL217" s="278" t="n">
        <v>308.9</v>
      </c>
      <c r="BM217" s="278" t="n">
        <v>311.9</v>
      </c>
      <c r="BN217" s="278" t="n">
        <v>307.7</v>
      </c>
      <c r="BO217" s="278" t="n">
        <v>306.1</v>
      </c>
      <c r="BP217" s="278" t="n">
        <v>304.5</v>
      </c>
      <c r="BQ217" s="278" t="n">
        <v>302.1</v>
      </c>
      <c r="BR217" s="278" t="n">
        <v>305.1</v>
      </c>
      <c r="BS217" s="278" t="n">
        <v>297.6</v>
      </c>
      <c r="BT217" s="278" t="n">
        <v>295.5</v>
      </c>
      <c r="BU217" s="279">
        <f>BU216+(BT217-BT216)</f>
        <v>291.436144578313</v>
      </c>
      <c r="BV217" s="279">
        <f>BV216+(BT217-BT216)</f>
        <v>284.50843373494</v>
      </c>
      <c r="BW217" s="279">
        <f>AVERAGE(BS217:BV217)</f>
        <v>292.261144578313</v>
      </c>
      <c r="BX217" s="279">
        <f>BX216+BX430</f>
        <v>277.393086913713</v>
      </c>
      <c r="BY217" s="279">
        <f>BY216+BY430</f>
        <v>267.672272961855</v>
      </c>
      <c r="BZ217" s="279">
        <f>BZ216+BZ430</f>
        <v>257.000275548964</v>
      </c>
      <c r="CA217" s="279">
        <f>CA216+CA430</f>
        <v>246.407747848206</v>
      </c>
      <c r="CB217" s="279">
        <f>CB216+CB430</f>
        <v>235.859940981431</v>
      </c>
      <c r="CC217" s="19" t="n"/>
      <c r="CE217" s="20">
        <f>IFERROR((CB217/BW217)^(1/5)-1,"n/m")</f>
        <v>-0.0419754882695699</v>
      </c>
      <c r="CF217" s="20">
        <f>IFERROR((BR217/AS217)^(1/5)-1,"n/m")</f>
        <v>0.0473443245158878</v>
      </c>
      <c r="CG217" s="20">
        <f>IFERROR((BR217/T217)^(1/10)-1,"n/m")</f>
        <v>0.0105880709108199</v>
      </c>
      <c r="CH217" s="20">
        <f>IFERROR((BR217/C217)^(1/15)-1,"n/m")</f>
        <v>-0.00153245235115351</v>
      </c>
    </row>
    <row r="218" ht="15" customHeight="1" s="251">
      <c r="B218" s="55" t="inlineStr">
        <is>
          <t>EPS – diluted, continuing operations ($)</t>
        </is>
      </c>
      <c r="C218" s="280">
        <f>IF(ISNUMBER(C217),IFERROR(C208/C217,""),"")</f>
        <v>1.85778347213325</v>
      </c>
      <c r="D218" s="280">
        <f>IF(ISNUMBER(D217),IFERROR(D208/D217,""),"")</f>
        <v>1.98616600790514</v>
      </c>
      <c r="E218" s="280">
        <f>IF(ISNUMBER(E217),IFERROR(E208/E217,""),"")</f>
        <v>2.35769501054111</v>
      </c>
      <c r="F218" s="280">
        <f>IF(ISNUMBER(F217),IFERROR(F208/F217,""),"")</f>
        <v>0.541681322546606</v>
      </c>
      <c r="G218" s="280">
        <f>IF(ISNUMBER(G217),IFERROR(G208/G217,""),"")</f>
        <v>0.898311174991017</v>
      </c>
      <c r="H218" s="280">
        <f>IF(ISNUMBER(H217),IFERROR(H208/H217,""),"")</f>
        <v>0.842898134863702</v>
      </c>
      <c r="I218" s="280">
        <f>IF(ISNUMBER(I217),IFERROR(I208/I217,""),"")</f>
        <v>0.622302158273381</v>
      </c>
      <c r="J218" s="280">
        <f>IF(ISNUMBER(J217),IFERROR(J208/J217,""),"")</f>
        <v>2.90564689063617</v>
      </c>
      <c r="K218" s="280">
        <f>IF(ISNUMBER(K217),IFERROR(K208/K217,""),"")</f>
        <v>0.894660894660895</v>
      </c>
      <c r="L218" s="280">
        <f>IF(ISNUMBER(L217),IFERROR(L208/L217,""),"")</f>
        <v>1.0575878304962</v>
      </c>
      <c r="M218" s="280">
        <f>IF(ISNUMBER(M217),IFERROR(M208/M217,""),"")</f>
        <v>0.682643427741467</v>
      </c>
      <c r="N218" s="280">
        <f>IF(ISNUMBER(N217),IFERROR(N208/N217,""),"")</f>
        <v>-3.71365476628635</v>
      </c>
      <c r="O218" s="280">
        <f>IF(ISNUMBER(O217),IFERROR(O208/O217,""),"")</f>
        <v>-1.07918968692449</v>
      </c>
      <c r="P218" s="280">
        <f>IF(ISNUMBER(P217),IFERROR(P208/P217,""),"")</f>
        <v>1.09663409337676</v>
      </c>
      <c r="Q218" s="280">
        <f>IF(ISNUMBER(Q217),IFERROR(Q208/Q217,""),"")</f>
        <v>1.2803772216177</v>
      </c>
      <c r="R218" s="280">
        <f>IF(ISNUMBER(R217),IFERROR(R208/R217,""),"")</f>
        <v>0.918367346938776</v>
      </c>
      <c r="S218" s="280">
        <f>IF(ISNUMBER(S217),IFERROR(S208/S217,""),"")</f>
        <v>0.911429621462698</v>
      </c>
      <c r="T218" s="280">
        <f>IF(ISNUMBER(T217),IFERROR(T208/T217,""),"")</f>
        <v>4.20975965040058</v>
      </c>
      <c r="U218" s="280">
        <f>IF(ISNUMBER(U217),IFERROR(U208/U217,""),"")</f>
        <v>1.1002994011976</v>
      </c>
      <c r="V218" s="280">
        <f>IF(ISNUMBER(V217),IFERROR(V208/V217,""),"")</f>
        <v>1.4360704911886</v>
      </c>
      <c r="W218" s="280">
        <f>IF(ISNUMBER(W217),IFERROR(W208/W217,""),"")</f>
        <v>3.36223143611006</v>
      </c>
      <c r="X218" s="280">
        <f>IF(ISNUMBER(X217),IFERROR(X208/X217,""),"")</f>
        <v>2.05275229357798</v>
      </c>
      <c r="Y218" s="280">
        <f>IF(ISNUMBER(Y217),IFERROR(Y208/Y217,""),"")</f>
        <v>7.94117647058824</v>
      </c>
      <c r="Z218" s="280">
        <f>IF(ISNUMBER(Z217),IFERROR(Z208/Z217,""),"")</f>
        <v>1.52990797546012</v>
      </c>
      <c r="AA218" s="280">
        <f>IF(ISNUMBER(AA217),IFERROR(AA208/AA217,""),"")</f>
        <v>1.6198537899192</v>
      </c>
      <c r="AB218" s="280">
        <f>IF(ISNUMBER(AB217),IFERROR(AB208/AB217,""),"")</f>
        <v>1.60527336176813</v>
      </c>
      <c r="AC218" s="280">
        <f>IF(ISNUMBER(AC217),IFERROR(AC208/AC217,""),"")</f>
        <v>1.02334630350195</v>
      </c>
      <c r="AD218" s="280">
        <f>IF(ISNUMBER(AD217),IFERROR(AD208/AD217,""),"")</f>
        <v>5.77829277713403</v>
      </c>
      <c r="AE218" s="280">
        <f>IF(ISNUMBER(AE217),IFERROR(AE208/AE217,""),"")</f>
        <v>1.93003144654088</v>
      </c>
      <c r="AF218" s="280">
        <f>IF(ISNUMBER(AF217),IFERROR(AF208/AF217,""),"")</f>
        <v>1.81997631267272</v>
      </c>
      <c r="AG218" s="280">
        <f>IF(ISNUMBER(AG217),IFERROR(AG208/AG217,""),"")</f>
        <v>1.95266272189349</v>
      </c>
      <c r="AH218" s="280">
        <f>IF(ISNUMBER(AH217),IFERROR(AH208/AH217,""),"")</f>
        <v>2.03578528827038</v>
      </c>
      <c r="AI218" s="280">
        <f>IF(ISNUMBER(AI217),IFERROR(AI208/AI217,""),"")</f>
        <v>7.73301737756714</v>
      </c>
      <c r="AJ218" s="280">
        <f>IF(ISNUMBER(AJ217),IFERROR(AJ208/AJ217,""),"")</f>
        <v>1.65122835279903</v>
      </c>
      <c r="AK218" s="280">
        <f>IF(ISNUMBER(AK217),IFERROR(AK208/AK217,""),"")</f>
        <v>2.24333063864188</v>
      </c>
      <c r="AL218" s="280">
        <f>IF(ISNUMBER(AL217),IFERROR(AL208/AL217,""),"")</f>
        <v>2.50304259634888</v>
      </c>
      <c r="AM218" s="280">
        <f>IF(ISNUMBER(AM217),IFERROR(AM208/AM217,""),"")</f>
        <v>2.20276872964169</v>
      </c>
      <c r="AN218" s="280">
        <f>IF(ISNUMBER(AN217),IFERROR(AN208/AN217,""),"")</f>
        <v>8.59862292426083</v>
      </c>
      <c r="AO218" s="280">
        <f>IF(ISNUMBER(AO217),IFERROR(AO208/AO217,""),"")</f>
        <v>2.62638717632552</v>
      </c>
      <c r="AP218" s="280">
        <f>IF(ISNUMBER(AP217),IFERROR(AP208/AP217,""),"")</f>
        <v>3.2740801984291</v>
      </c>
      <c r="AQ218" s="280">
        <f>IF(ISNUMBER(AQ217),IFERROR(AQ208/AQ217,""),"")</f>
        <v>1.88327814569536</v>
      </c>
      <c r="AR218" s="280">
        <f>IF(ISNUMBER(AR217),IFERROR(AR208/AR217,""),"")</f>
        <v>1.87836160529582</v>
      </c>
      <c r="AS218" s="280">
        <f>IF(ISNUMBER(AS217),IFERROR(AS208/AS217,""),"")</f>
        <v>9.66129698471706</v>
      </c>
      <c r="AT218" s="280">
        <f>IF(ISNUMBER(AT217),IFERROR(AT208/AT217,""),"")</f>
        <v>3.125</v>
      </c>
      <c r="AU218" s="280">
        <f>IF(ISNUMBER(AU217),IFERROR(AU208/AU217,""),"")</f>
        <v>3.30024813895782</v>
      </c>
      <c r="AV218" s="280">
        <f>IF(ISNUMBER(AV217),IFERROR(AV208/AV217,""),"")</f>
        <v>3.29747621017791</v>
      </c>
      <c r="AW218" s="280">
        <f>IF(ISNUMBER(AW217),IFERROR(AW208/AW217,""),"")</f>
        <v>2.78810408921933</v>
      </c>
      <c r="AX218" s="280">
        <f>IF(ISNUMBER(AX217),IFERROR(AX208/AX217,""),"")</f>
        <v>12.5062034739454</v>
      </c>
      <c r="AY218" s="280">
        <f>IF(ISNUMBER(AY217),IFERROR(AY208/AY217,""),"")</f>
        <v>4.46977922547955</v>
      </c>
      <c r="AZ218" s="280">
        <f>IF(ISNUMBER(AZ217),IFERROR(AZ208/AZ217,""),"")</f>
        <v>2.86472148541114</v>
      </c>
      <c r="BA218" s="280">
        <f>IF(ISNUMBER(BA217),IFERROR(BA208/BA217,""),"")</f>
        <v>1.83741311574494</v>
      </c>
      <c r="BB218" s="280">
        <f>IF(ISNUMBER(BB217),IFERROR(BB208/BB217,""),"")</f>
        <v>1.33148831488315</v>
      </c>
      <c r="BC218" s="280">
        <f>IF(ISNUMBER(BC217),IFERROR(BC208/BC217,""),"")</f>
        <v>10.1978021978022</v>
      </c>
      <c r="BD218" s="280">
        <f>IF(ISNUMBER(BD217),IFERROR(BD208/BD217,""),"")</f>
        <v>2.46817758460106</v>
      </c>
      <c r="BE218" s="280">
        <f>IF(ISNUMBER(BE217),IFERROR(BE208/BE217,""),"")</f>
        <v>1.5978736710444</v>
      </c>
      <c r="BF218" s="280">
        <f>IF(ISNUMBER(BF217),IFERROR(BF208/BF217,""),"")</f>
        <v>2.33333333333333</v>
      </c>
      <c r="BG218" s="280">
        <f>IF(ISNUMBER(BG217),IFERROR(BG208/BG217,""),"")</f>
        <v>1.83285849952517</v>
      </c>
      <c r="BH218" s="280">
        <f>IF(ISNUMBER(BH217),IFERROR(BH208/BH217,""),"")</f>
        <v>8.23455628723738</v>
      </c>
      <c r="BI218" s="280">
        <f>IF(ISNUMBER(BI217),IFERROR(BI208/BI217,""),"")</f>
        <v>3.15605095541401</v>
      </c>
      <c r="BJ218" s="280">
        <f>IF(ISNUMBER(BJ217),IFERROR(BJ208/BJ217,""),"")</f>
        <v>3.227969348659</v>
      </c>
      <c r="BK218" s="280">
        <f>IF(ISNUMBER(BK217),IFERROR(BK208/BK217,""),"")</f>
        <v>3.11717495987159</v>
      </c>
      <c r="BL218" s="280">
        <f>IF(ISNUMBER(BL217),IFERROR(BL208/BL217,""),"")</f>
        <v>2.84881838782778</v>
      </c>
      <c r="BM218" s="280">
        <f>IF(ISNUMBER(BM217),IFERROR(BM208/BM217,""),"")</f>
        <v>12.3501122154537</v>
      </c>
      <c r="BN218" s="280">
        <f>IF(ISNUMBER(BN217),IFERROR(BN208/BN217,""),"")</f>
        <v>3.27591810204745</v>
      </c>
      <c r="BO218" s="280">
        <f>IF(ISNUMBER(BO217),IFERROR(BO208/BO217,""),"")</f>
        <v>3.22770336491343</v>
      </c>
      <c r="BP218" s="280">
        <f>IF(ISNUMBER(BP217),IFERROR(BP208/BP217,""),"")</f>
        <v>3.55993431855501</v>
      </c>
      <c r="BQ218" s="280">
        <f>IF(ISNUMBER(BQ217),IFERROR(BQ208/BQ217,""),"")</f>
        <v>3.68090036411784</v>
      </c>
      <c r="BR218" s="280">
        <f>IF(ISNUMBER(BR217),IFERROR(BR208/BR217,""),"")</f>
        <v>13.7397574565716</v>
      </c>
      <c r="BS218" s="280">
        <f>IF(ISNUMBER(BS217),IFERROR(BS208/BS217,""),"")</f>
        <v>4.48252688172043</v>
      </c>
      <c r="BT218" s="280">
        <f>IF(ISNUMBER(BT217),IFERROR(BT208/BT217,""),"")</f>
        <v>4.07783417935702</v>
      </c>
      <c r="BU218" s="280">
        <f>IF(ISNUMBER(BU217),IFERROR(BU208/BU217,""),"")</f>
        <v>3.74409505239865</v>
      </c>
      <c r="BV218" s="280">
        <f>IF(ISNUMBER(BV217),IFERROR(BV208/BV217,""),"")</f>
        <v>4.12321009534596</v>
      </c>
      <c r="BW218" s="280">
        <f>IF(ISNUMBER(BW217),IFERROR(BW208/BW217,""),"")</f>
        <v>16.4347973115725</v>
      </c>
      <c r="BX218" s="280">
        <f>IF(ISNUMBER(BX217),IFERROR(BX208/BX217,""),"")</f>
        <v>17.7000310879738</v>
      </c>
      <c r="BY218" s="280">
        <f>IF(ISNUMBER(BY217),IFERROR(BY208/BY217,""),"")</f>
        <v>20.0647176023782</v>
      </c>
      <c r="BZ218" s="280">
        <f>IF(ISNUMBER(BZ217),IFERROR(BZ208/BZ217,""),"")</f>
        <v>22.5053442971886</v>
      </c>
      <c r="CA218" s="280">
        <f>IF(ISNUMBER(CA217),IFERROR(CA208/CA217,""),"")</f>
        <v>25.2694523722804</v>
      </c>
      <c r="CB218" s="280">
        <f>IF(ISNUMBER(CB217),IFERROR(CB208/CB217,""),"")</f>
        <v>28.3352149715557</v>
      </c>
      <c r="CC218" s="19" t="inlineStr">
        <is>
          <t>2025 and 1H-26: pro forma continuing operations excluding Mobility.</t>
        </is>
      </c>
      <c r="CE218" s="20">
        <f>IFERROR((CB218/BW218)^(1/5)-1,"n/m")</f>
        <v>0.115096446655315</v>
      </c>
      <c r="CF218" s="20">
        <f>IFERROR((BR218/AS218)^(1/5)-1,"n/m")</f>
        <v>0.072972834858503</v>
      </c>
      <c r="CG218" s="20">
        <f>IFERROR((BR218/T218)^(1/10)-1,"n/m")</f>
        <v>0.125569137619152</v>
      </c>
      <c r="CH218" s="20">
        <f>IFERROR((BR218/C218)^(1/15)-1,"n/m")</f>
        <v>0.142700098368279</v>
      </c>
    </row>
    <row r="219" ht="15" customHeight="1" s="251">
      <c r="B219" s="55" t="inlineStr">
        <is>
          <t>EPS – diluted, net income ($)</t>
        </is>
      </c>
      <c r="C219" s="280">
        <f>IF(ISNUMBER(C217),IFERROR(C210/C217,""),"")</f>
        <v>2.65214606021781</v>
      </c>
      <c r="D219" s="280">
        <f>IF(ISNUMBER(D217),IFERROR(D210/D217,""),"")</f>
        <v>3.00065876152833</v>
      </c>
      <c r="E219" s="280">
        <f>IF(ISNUMBER(E217),IFERROR(E210/E217,""),"")</f>
        <v>1.53548840477864</v>
      </c>
      <c r="F219" s="280">
        <f>IF(ISNUMBER(F217),IFERROR(F210/F217,""),"")</f>
        <v>2.58529722124516</v>
      </c>
      <c r="G219" s="280">
        <f>IF(ISNUMBER(G217),IFERROR(G210/G217,""),"")</f>
        <v>0.912684153790873</v>
      </c>
      <c r="H219" s="280">
        <f>IF(ISNUMBER(H217),IFERROR(H210/H217,""),"")</f>
        <v>0.77116212338594</v>
      </c>
      <c r="I219" s="280">
        <f>IF(ISNUMBER(I217),IFERROR(I210/I217,""),"")</f>
        <v>0.615107913669065</v>
      </c>
      <c r="J219" s="280">
        <f>IF(ISNUMBER(J217),IFERROR(J210/J217,""),"")</f>
        <v>4.91779842744818</v>
      </c>
      <c r="K219" s="280">
        <f>IF(ISNUMBER(K217),IFERROR(K210/K217,""),"")</f>
        <v>0.894660894660895</v>
      </c>
      <c r="L219" s="280">
        <f>IF(ISNUMBER(L217),IFERROR(L210/L217,""),"")</f>
        <v>1.0575878304962</v>
      </c>
      <c r="M219" s="280">
        <f>IF(ISNUMBER(M217),IFERROR(M210/M217,""),"")</f>
        <v>0.689905591866376</v>
      </c>
      <c r="N219" s="280">
        <f>IF(ISNUMBER(N217),IFERROR(N210/N217,""),"")</f>
        <v>-3.11372837688627</v>
      </c>
      <c r="O219" s="280">
        <f>IF(ISNUMBER(O217),IFERROR(O210/O217,""),"")</f>
        <v>-0.423572744014733</v>
      </c>
      <c r="P219" s="280">
        <f>IF(ISNUMBER(P217),IFERROR(P210/P217,""),"")</f>
        <v>1.09663409337676</v>
      </c>
      <c r="Q219" s="280">
        <f>IF(ISNUMBER(Q217),IFERROR(Q210/Q217,""),"")</f>
        <v>1.2803772216177</v>
      </c>
      <c r="R219" s="280">
        <f>IF(ISNUMBER(R217),IFERROR(R210/R217,""),"")</f>
        <v>0.918367346938776</v>
      </c>
      <c r="S219" s="280">
        <f>IF(ISNUMBER(S217),IFERROR(S210/S217,""),"")</f>
        <v>0.911429621462698</v>
      </c>
      <c r="T219" s="280">
        <f>IF(ISNUMBER(T217),IFERROR(T210/T217,""),"")</f>
        <v>4.20975965040058</v>
      </c>
      <c r="U219" s="280">
        <f>IF(ISNUMBER(U217),IFERROR(U210/U217,""),"")</f>
        <v>1.1002994011976</v>
      </c>
      <c r="V219" s="280">
        <f>IF(ISNUMBER(V217),IFERROR(V210/V217,""),"")</f>
        <v>1.4360704911886</v>
      </c>
      <c r="W219" s="280">
        <f>IF(ISNUMBER(W217),IFERROR(W210/W217,""),"")</f>
        <v>3.36223143611006</v>
      </c>
      <c r="X219" s="280">
        <f>IF(ISNUMBER(X217),IFERROR(X210/X217,""),"")</f>
        <v>2.05275229357798</v>
      </c>
      <c r="Y219" s="280">
        <f>IF(ISNUMBER(Y217),IFERROR(Y210/Y217,""),"")</f>
        <v>7.94117647058824</v>
      </c>
      <c r="Z219" s="280">
        <f>IF(ISNUMBER(Z217),IFERROR(Z210/Z217,""),"")</f>
        <v>1.52990797546012</v>
      </c>
      <c r="AA219" s="280">
        <f>IF(ISNUMBER(AA217),IFERROR(AA210/AA217,""),"")</f>
        <v>1.6198537899192</v>
      </c>
      <c r="AB219" s="280">
        <f>IF(ISNUMBER(AB217),IFERROR(AB210/AB217,""),"")</f>
        <v>1.60527336176813</v>
      </c>
      <c r="AC219" s="280">
        <f>IF(ISNUMBER(AC217),IFERROR(AC210/AC217,""),"")</f>
        <v>1.02334630350195</v>
      </c>
      <c r="AD219" s="280">
        <f>IF(ISNUMBER(AD217),IFERROR(AD210/AD217,""),"")</f>
        <v>5.77829277713403</v>
      </c>
      <c r="AE219" s="280">
        <f>IF(ISNUMBER(AE217),IFERROR(AE210/AE217,""),"")</f>
        <v>1.93003144654088</v>
      </c>
      <c r="AF219" s="280">
        <f>IF(ISNUMBER(AF217),IFERROR(AF210/AF217,""),"")</f>
        <v>1.81997631267272</v>
      </c>
      <c r="AG219" s="280">
        <f>IF(ISNUMBER(AG217),IFERROR(AG210/AG217,""),"")</f>
        <v>1.95266272189349</v>
      </c>
      <c r="AH219" s="280">
        <f>IF(ISNUMBER(AH217),IFERROR(AH210/AH217,""),"")</f>
        <v>2.03578528827038</v>
      </c>
      <c r="AI219" s="280">
        <f>IF(ISNUMBER(AI217),IFERROR(AI210/AI217,""),"")</f>
        <v>7.73301737756714</v>
      </c>
      <c r="AJ219" s="280">
        <f>IF(ISNUMBER(AJ217),IFERROR(AJ210/AJ217,""),"")</f>
        <v>1.65122835279903</v>
      </c>
      <c r="AK219" s="280">
        <f>IF(ISNUMBER(AK217),IFERROR(AK210/AK217,""),"")</f>
        <v>2.24333063864188</v>
      </c>
      <c r="AL219" s="280">
        <f>IF(ISNUMBER(AL217),IFERROR(AL210/AL217,""),"")</f>
        <v>2.50304259634888</v>
      </c>
      <c r="AM219" s="280">
        <f>IF(ISNUMBER(AM217),IFERROR(AM210/AM217,""),"")</f>
        <v>2.20276872964169</v>
      </c>
      <c r="AN219" s="280">
        <f>IF(ISNUMBER(AN217),IFERROR(AN210/AN217,""),"")</f>
        <v>8.59862292426083</v>
      </c>
      <c r="AO219" s="280">
        <f>IF(ISNUMBER(AO217),IFERROR(AO210/AO217,""),"")</f>
        <v>2.62638717632552</v>
      </c>
      <c r="AP219" s="280">
        <f>IF(ISNUMBER(AP217),IFERROR(AP210/AP217,""),"")</f>
        <v>3.2740801984291</v>
      </c>
      <c r="AQ219" s="280">
        <f>IF(ISNUMBER(AQ217),IFERROR(AQ210/AQ217,""),"")</f>
        <v>1.88327814569536</v>
      </c>
      <c r="AR219" s="280">
        <f>IF(ISNUMBER(AR217),IFERROR(AR210/AR217,""),"")</f>
        <v>1.87836160529582</v>
      </c>
      <c r="AS219" s="280">
        <f>IF(ISNUMBER(AS217),IFERROR(AS210/AS217,""),"")</f>
        <v>9.66129698471706</v>
      </c>
      <c r="AT219" s="280">
        <f>IF(ISNUMBER(AT217),IFERROR(AT210/AT217,""),"")</f>
        <v>3.125</v>
      </c>
      <c r="AU219" s="280">
        <f>IF(ISNUMBER(AU217),IFERROR(AU210/AU217,""),"")</f>
        <v>3.30024813895782</v>
      </c>
      <c r="AV219" s="280">
        <f>IF(ISNUMBER(AV217),IFERROR(AV210/AV217,""),"")</f>
        <v>3.29747621017791</v>
      </c>
      <c r="AW219" s="280">
        <f>IF(ISNUMBER(AW217),IFERROR(AW210/AW217,""),"")</f>
        <v>2.78810408921933</v>
      </c>
      <c r="AX219" s="280">
        <f>IF(ISNUMBER(AX217),IFERROR(AX210/AX217,""),"")</f>
        <v>12.5062034739454</v>
      </c>
      <c r="AY219" s="280">
        <f>IF(ISNUMBER(AY217),IFERROR(AY210/AY217,""),"")</f>
        <v>4.46977922547955</v>
      </c>
      <c r="AZ219" s="280">
        <f>IF(ISNUMBER(AZ217),IFERROR(AZ210/AZ217,""),"")</f>
        <v>2.86472148541114</v>
      </c>
      <c r="BA219" s="280">
        <f>IF(ISNUMBER(BA217),IFERROR(BA210/BA217,""),"")</f>
        <v>1.83741311574494</v>
      </c>
      <c r="BB219" s="280">
        <f>IF(ISNUMBER(BB217),IFERROR(BB210/BB217,""),"")</f>
        <v>1.33148831488315</v>
      </c>
      <c r="BC219" s="280">
        <f>IF(ISNUMBER(BC217),IFERROR(BC210/BC217,""),"")</f>
        <v>10.1978021978022</v>
      </c>
      <c r="BD219" s="280">
        <f>IF(ISNUMBER(BD217),IFERROR(BD210/BD217,""),"")</f>
        <v>2.46817758460106</v>
      </c>
      <c r="BE219" s="280">
        <f>IF(ISNUMBER(BE217),IFERROR(BE210/BE217,""),"")</f>
        <v>1.5978736710444</v>
      </c>
      <c r="BF219" s="280">
        <f>IF(ISNUMBER(BF217),IFERROR(BF210/BF217,""),"")</f>
        <v>2.33333333333333</v>
      </c>
      <c r="BG219" s="280">
        <f>IF(ISNUMBER(BG217),IFERROR(BG210/BG217,""),"")</f>
        <v>1.83285849952517</v>
      </c>
      <c r="BH219" s="280">
        <f>IF(ISNUMBER(BH217),IFERROR(BH210/BH217,""),"")</f>
        <v>8.23455628723738</v>
      </c>
      <c r="BI219" s="280">
        <f>IF(ISNUMBER(BI217),IFERROR(BI210/BI217,""),"")</f>
        <v>3.15605095541401</v>
      </c>
      <c r="BJ219" s="280">
        <f>IF(ISNUMBER(BJ217),IFERROR(BJ210/BJ217,""),"")</f>
        <v>3.227969348659</v>
      </c>
      <c r="BK219" s="280">
        <f>IF(ISNUMBER(BK217),IFERROR(BK210/BK217,""),"")</f>
        <v>3.11717495987159</v>
      </c>
      <c r="BL219" s="280">
        <f>IF(ISNUMBER(BL217),IFERROR(BL210/BL217,""),"")</f>
        <v>2.84881838782778</v>
      </c>
      <c r="BM219" s="280">
        <f>IF(ISNUMBER(BM217),IFERROR(BM210/BM217,""),"")</f>
        <v>12.3501122154537</v>
      </c>
      <c r="BN219" s="280">
        <f>IF(ISNUMBER(BN217),IFERROR(BN210/BN217,""),"")</f>
        <v>3.54241143971401</v>
      </c>
      <c r="BO219" s="280">
        <f>IF(ISNUMBER(BO217),IFERROR(BO210/BO217,""),"")</f>
        <v>3.50212348905586</v>
      </c>
      <c r="BP219" s="280">
        <f>IF(ISNUMBER(BP217),IFERROR(BP210/BP217,""),"")</f>
        <v>3.86206896551724</v>
      </c>
      <c r="BQ219" s="280">
        <f>IF(ISNUMBER(BQ217),IFERROR(BQ210/BQ217,""),"")</f>
        <v>3.75372393247269</v>
      </c>
      <c r="BR219" s="280">
        <f>IF(ISNUMBER(BR217),IFERROR(BR210/BR217,""),"")</f>
        <v>14.6542117338578</v>
      </c>
      <c r="BS219" s="280">
        <f>IF(ISNUMBER(BS217),IFERROR(BS210/BS217,""),"")</f>
        <v>4.6875</v>
      </c>
      <c r="BT219" s="280">
        <f>IF(ISNUMBER(BT217),IFERROR(BT210/BT217,""),"")</f>
        <v>4.11844331641286</v>
      </c>
      <c r="BU219" s="280">
        <f>IF(ISNUMBER(BU217),IFERROR(BU210/BU217,""),"")</f>
        <v>3.74409505239865</v>
      </c>
      <c r="BV219" s="280">
        <f>IF(ISNUMBER(BV217),IFERROR(BV210/BV217,""),"")</f>
        <v>4.12321009534596</v>
      </c>
      <c r="BW219" s="280">
        <f>IF(ISNUMBER(BW217),IFERROR(BW210/BW217,""),"")</f>
        <v>16.6845739286638</v>
      </c>
      <c r="BX219" s="280">
        <f>IF(ISNUMBER(BX217),IFERROR(BX210/BX217,""),"")</f>
        <v>17.7000310879738</v>
      </c>
      <c r="BY219" s="280">
        <f>IF(ISNUMBER(BY217),IFERROR(BY210/BY217,""),"")</f>
        <v>20.0647176023782</v>
      </c>
      <c r="BZ219" s="280">
        <f>IF(ISNUMBER(BZ217),IFERROR(BZ210/BZ217,""),"")</f>
        <v>22.5053442971886</v>
      </c>
      <c r="CA219" s="280">
        <f>IF(ISNUMBER(CA217),IFERROR(CA210/CA217,""),"")</f>
        <v>25.2694523722804</v>
      </c>
      <c r="CB219" s="280">
        <f>IF(ISNUMBER(CB217),IFERROR(CB210/CB217,""),"")</f>
        <v>28.3352149715557</v>
      </c>
      <c r="CC219" s="19" t="n"/>
    </row>
    <row r="220" ht="15" customHeight="1" s="251">
      <c r="B220" s="22" t="inlineStr">
        <is>
          <t xml:space="preserve">  EPS – diluted (continuing) y/y %</t>
        </is>
      </c>
      <c r="C220" s="23" t="n"/>
      <c r="D220" s="255">
        <f>IF(AND(ISNUMBER(D218),ISNUMBER(C218)),IFERROR(D218/C218-1,""),"")</f>
        <v>0.069105220117214</v>
      </c>
      <c r="E220" s="255">
        <f>IF(AND(ISNUMBER(E218),ISNUMBER(D218)),IFERROR(E218/D218-1,""),"")</f>
        <v>0.187058383416718</v>
      </c>
      <c r="F220" s="23" t="n"/>
      <c r="G220" s="23" t="n"/>
      <c r="H220" s="23" t="n"/>
      <c r="I220" s="23" t="n"/>
      <c r="J220" s="255">
        <f>IF(AND(ISNUMBER(J218),ISNUMBER(E218)),IFERROR(J218/E218-1,""),"")</f>
        <v>0.232409992660289</v>
      </c>
      <c r="K220" s="255">
        <f>IF(AND(ISNUMBER(K218),ISNUMBER(F218)),IFERROR(K218/F218-1,""),"")</f>
        <v>0.651636963325275</v>
      </c>
      <c r="L220" s="255">
        <f>IF(AND(ISNUMBER(L218),ISNUMBER(G218)),IFERROR(L218/G218-1,""),"")</f>
        <v>0.177306772908367</v>
      </c>
      <c r="M220" s="255">
        <f>IF(AND(ISNUMBER(M218),ISNUMBER(H218)),IFERROR(M218/H218-1,""),"")</f>
        <v>-0.190123456790123</v>
      </c>
      <c r="N220" s="255">
        <f>IF(AND(ISNUMBER(N218),ISNUMBER(I218)),IFERROR(N218/I218-1,""),"")</f>
        <v>-6.96760708108442</v>
      </c>
      <c r="O220" s="255">
        <f>IF(AND(ISNUMBER(O218),ISNUMBER(J218)),IFERROR(O218/J218-1,""),"")</f>
        <v>-1.37141116162543</v>
      </c>
      <c r="P220" s="255">
        <f>IF(AND(ISNUMBER(P218),ISNUMBER(K218)),IFERROR(P218/K218-1,""),"")</f>
        <v>0.225753914048545</v>
      </c>
      <c r="Q220" s="255">
        <f>IF(AND(ISNUMBER(Q218),ISNUMBER(L218)),IFERROR(Q218/L218-1,""),"")</f>
        <v>0.210658050988518</v>
      </c>
      <c r="R220" s="255">
        <f>IF(AND(ISNUMBER(R218),ISNUMBER(M218)),IFERROR(R218/M218-1,""),"")</f>
        <v>0.345310464611377</v>
      </c>
      <c r="S220" s="255">
        <f>IF(AND(ISNUMBER(S218),ISNUMBER(N218)),IFERROR(S218/N218-1,""),"")</f>
        <v>-1.24542658885175</v>
      </c>
      <c r="T220" s="255">
        <f>IF(AND(ISNUMBER(T218),ISNUMBER(O218)),IFERROR(T218/O218-1,""),"")</f>
        <v>-4.90085237229952</v>
      </c>
      <c r="U220" s="255">
        <f>IF(AND(ISNUMBER(U218),ISNUMBER(P218)),IFERROR(U218/P218-1,""),"")</f>
        <v>0.00334232525048916</v>
      </c>
      <c r="V220" s="255">
        <f>IF(AND(ISNUMBER(V218),ISNUMBER(Q218)),IFERROR(V218/Q218-1,""),"")</f>
        <v>0.12159953093682</v>
      </c>
      <c r="W220" s="255">
        <f>IF(AND(ISNUMBER(W218),ISNUMBER(R218)),IFERROR(W218/R218-1,""),"")</f>
        <v>2.66109645265318</v>
      </c>
      <c r="X220" s="255">
        <f>IF(AND(ISNUMBER(X218),ISNUMBER(S218)),IFERROR(X218/S218-1,""),"")</f>
        <v>1.25223346404262</v>
      </c>
      <c r="Y220" s="255">
        <f>IF(AND(ISNUMBER(Y218),ISNUMBER(T218)),IFERROR(Y218/T218-1,""),"")</f>
        <v>0.886372888255649</v>
      </c>
      <c r="Z220" s="255">
        <f>IF(AND(ISNUMBER(Z218),ISNUMBER(U218)),IFERROR(Z218/U218-1,""),"")</f>
        <v>0.390446976336547</v>
      </c>
      <c r="AA220" s="255">
        <f>IF(AND(ISNUMBER(AA218),ISNUMBER(V218)),IFERROR(AA218/V218-1,""),"")</f>
        <v>0.127976516374545</v>
      </c>
      <c r="AB220" s="255">
        <f>IF(AND(ISNUMBER(AB218),ISNUMBER(W218)),IFERROR(AB218/W218-1,""),"")</f>
        <v>-0.522557149240937</v>
      </c>
      <c r="AC220" s="255">
        <f>IF(AND(ISNUMBER(AC218),ISNUMBER(X218)),IFERROR(AC218/X218-1,""),"")</f>
        <v>-0.501475990696259</v>
      </c>
      <c r="AD220" s="255">
        <f>IF(AND(ISNUMBER(AD218),ISNUMBER(Y218)),IFERROR(AD218/Y218-1,""),"")</f>
        <v>-0.272363131768308</v>
      </c>
      <c r="AE220" s="255">
        <f>IF(AND(ISNUMBER(AE218),ISNUMBER(Z218)),IFERROR(AE218/Z218-1,""),"")</f>
        <v>0.261534338992135</v>
      </c>
      <c r="AF220" s="255">
        <f>IF(AND(ISNUMBER(AF218),ISNUMBER(AA218)),IFERROR(AF218/AA218-1,""),"")</f>
        <v>0.123543571647601</v>
      </c>
      <c r="AG220" s="255">
        <f>IF(AND(ISNUMBER(AG218),ISNUMBER(AB218)),IFERROR(AG218/AB218-1,""),"")</f>
        <v>0.21640511105394</v>
      </c>
      <c r="AH220" s="255">
        <f>IF(AND(ISNUMBER(AH218),ISNUMBER(AC218)),IFERROR(AH218/AC218-1,""),"")</f>
        <v>0.989341517435312</v>
      </c>
      <c r="AI220" s="255">
        <f>IF(AND(ISNUMBER(AI218),ISNUMBER(AD218)),IFERROR(AI218/AD218-1,""),"")</f>
        <v>0.338287566211319</v>
      </c>
      <c r="AJ220" s="255">
        <f>IF(AND(ISNUMBER(AJ218),ISNUMBER(AE218)),IFERROR(AJ218/AE218-1,""),"")</f>
        <v>-0.144455207836916</v>
      </c>
      <c r="AK220" s="255">
        <f>IF(AND(ISNUMBER(AK218),ISNUMBER(AF218)),IFERROR(AK218/AF218-1,""),"")</f>
        <v>0.232615294507564</v>
      </c>
      <c r="AL220" s="255">
        <f>IF(AND(ISNUMBER(AL218),ISNUMBER(AG218)),IFERROR(AL218/AG218-1,""),"")</f>
        <v>0.281861208433217</v>
      </c>
      <c r="AM220" s="255">
        <f>IF(AND(ISNUMBER(AM218),ISNUMBER(AH218)),IFERROR(AM218/AH218-1,""),"")</f>
        <v>0.0820240927829807</v>
      </c>
      <c r="AN220" s="255">
        <f>IF(AND(ISNUMBER(AN218),ISNUMBER(AI218)),IFERROR(AN218/AI218-1,""),"")</f>
        <v>0.111936325037203</v>
      </c>
      <c r="AO220" s="255">
        <f>IF(AND(ISNUMBER(AO218),ISNUMBER(AJ218)),IFERROR(AO218/AJ218-1,""),"")</f>
        <v>0.590565697272262</v>
      </c>
      <c r="AP220" s="255">
        <f>IF(AND(ISNUMBER(AP218),ISNUMBER(AK218)),IFERROR(AP218/AK218-1,""),"")</f>
        <v>0.459472866831279</v>
      </c>
      <c r="AQ220" s="255">
        <f>IF(AND(ISNUMBER(AQ218),ISNUMBER(AL218)),IFERROR(AQ218/AL218-1,""),"")</f>
        <v>-0.247604436120085</v>
      </c>
      <c r="AR220" s="255">
        <f>IF(AND(ISNUMBER(AR218),ISNUMBER(AM218)),IFERROR(AR218/AM218-1,""),"")</f>
        <v>-0.147272439444263</v>
      </c>
      <c r="AS220" s="255">
        <f>IF(AND(ISNUMBER(AS218),ISNUMBER(AN218)),IFERROR(AS218/AN218-1,""),"")</f>
        <v>0.123586540521264</v>
      </c>
      <c r="AT220" s="255">
        <f>IF(AND(ISNUMBER(AT218),ISNUMBER(AO218)),IFERROR(AT218/AO218-1,""),"")</f>
        <v>0.189847417840376</v>
      </c>
      <c r="AU220" s="255">
        <f>IF(AND(ISNUMBER(AU218),ISNUMBER(AP218)),IFERROR(AU218/AP218-1,""),"")</f>
        <v>0.00799245557310058</v>
      </c>
      <c r="AV220" s="255">
        <f>IF(AND(ISNUMBER(AV218),ISNUMBER(AQ218)),IFERROR(AV218/AQ218-1,""),"")</f>
        <v>0.750923631602159</v>
      </c>
      <c r="AW220" s="255">
        <f>IF(AND(ISNUMBER(AW218),ISNUMBER(AR218)),IFERROR(AW218/AR218-1,""),"")</f>
        <v>0.484327661595401</v>
      </c>
      <c r="AX220" s="255">
        <f>IF(AND(ISNUMBER(AX218),ISNUMBER(AS218)),IFERROR(AX218/AS218-1,""),"")</f>
        <v>0.294464241574255</v>
      </c>
      <c r="AY220" s="255">
        <f>IF(AND(ISNUMBER(AY218),ISNUMBER(AT218)),IFERROR(AY218/AT218-1,""),"")</f>
        <v>0.430329352153456</v>
      </c>
      <c r="AZ220" s="255">
        <f>IF(AND(ISNUMBER(AZ218),ISNUMBER(AU218)),IFERROR(AZ218/AU218-1,""),"")</f>
        <v>-0.131967850661136</v>
      </c>
      <c r="BA220" s="255">
        <f>IF(AND(ISNUMBER(BA218),ISNUMBER(AV218)),IFERROR(BA218/AV218-1,""),"")</f>
        <v>-0.442781994886385</v>
      </c>
      <c r="BB220" s="255">
        <f>IF(AND(ISNUMBER(BB218),ISNUMBER(AW218)),IFERROR(BB218/AW218-1,""),"")</f>
        <v>-0.522439524395244</v>
      </c>
      <c r="BC220" s="255">
        <f>IF(AND(ISNUMBER(BC218),ISNUMBER(AX218)),IFERROR(BC218/AX218-1,""),"")</f>
        <v>-0.184580498866213</v>
      </c>
      <c r="BD220" s="255">
        <f>IF(AND(ISNUMBER(BD218),ISNUMBER(AY218)),IFERROR(BD218/AY218-1,""),"")</f>
        <v>-0.447807719331764</v>
      </c>
      <c r="BE220" s="255">
        <f>IF(AND(ISNUMBER(BE218),ISNUMBER(AZ218)),IFERROR(BE218/AZ218-1,""),"")</f>
        <v>-0.442223727792834</v>
      </c>
      <c r="BF220" s="255">
        <f>IF(AND(ISNUMBER(BF218),ISNUMBER(BA218)),IFERROR(BF218/BA218-1,""),"")</f>
        <v>0.269901315789474</v>
      </c>
      <c r="BG220" s="255">
        <f>IF(AND(ISNUMBER(BG218),ISNUMBER(BB218)),IFERROR(BG218/BB218-1,""),"")</f>
        <v>0.376548692945922</v>
      </c>
      <c r="BH220" s="255">
        <f>IF(AND(ISNUMBER(BH218),ISNUMBER(BC218)),IFERROR(BH218/BC218-1,""),"")</f>
        <v>-0.192516570971335</v>
      </c>
      <c r="BI220" s="255">
        <f>IF(AND(ISNUMBER(BI218),ISNUMBER(BD218)),IFERROR(BI218/BD218-1,""),"")</f>
        <v>0.278696871369627</v>
      </c>
      <c r="BJ220" s="255">
        <f>IF(AND(ISNUMBER(BJ218),ISNUMBER(BE218)),IFERROR(BJ218/BE218-1,""),"")</f>
        <v>1.02016555323121</v>
      </c>
      <c r="BK220" s="255">
        <f>IF(AND(ISNUMBER(BK218),ISNUMBER(BF218)),IFERROR(BK218/BF218-1,""),"")</f>
        <v>0.335932125659252</v>
      </c>
      <c r="BL220" s="255">
        <f>IF(AND(ISNUMBER(BL218),ISNUMBER(BG218)),IFERROR(BL218/BG218-1,""),"")</f>
        <v>0.554303503825206</v>
      </c>
      <c r="BM220" s="255">
        <f>IF(AND(ISNUMBER(BM218),ISNUMBER(BH218)),IFERROR(BM218/BH218-1,""),"")</f>
        <v>0.499790855105932</v>
      </c>
      <c r="BN220" s="255">
        <f>IF(AND(ISNUMBER(BN218),ISNUMBER(BI218)),IFERROR(BN218/BI218-1,""),"")</f>
        <v>0.037980104987789</v>
      </c>
      <c r="BO220" s="255">
        <f>IF(AND(ISNUMBER(BO218),ISNUMBER(BJ218)),IFERROR(BO218/BJ218-1,""),"")</f>
        <v>-8.2399712279746e-05</v>
      </c>
      <c r="BP220" s="255">
        <f>IF(AND(ISNUMBER(BP218),ISNUMBER(BK218)),IFERROR(BP218/BK218-1,""),"")</f>
        <v>0.142038661410798</v>
      </c>
      <c r="BQ220" s="255">
        <f>IF(AND(ISNUMBER(BQ218),ISNUMBER(BL218)),IFERROR(BQ218/BL218-1,""),"")</f>
        <v>0.292079684631819</v>
      </c>
      <c r="BR220" s="255">
        <f>IF(AND(ISNUMBER(BR218),ISNUMBER(BM218)),IFERROR(BR218/BM218-1,""),"")</f>
        <v>0.112520859476814</v>
      </c>
      <c r="BS220" s="255">
        <f>IF(AND(ISNUMBER(BS218),ISNUMBER(BN218)),IFERROR(BS218/BN218-1,""),"")</f>
        <v>0.368326906255334</v>
      </c>
      <c r="BT220" s="255">
        <f>IF(AND(ISNUMBER(BT218),ISNUMBER(BO218)),IFERROR(BT218/BO218-1,""),"")</f>
        <v>0.263385670345329</v>
      </c>
      <c r="BU220" s="256">
        <f>IF(AND(ISNUMBER(BU218),ISNUMBER(BP218)),IFERROR(BU218/BP218-1,""),"")</f>
        <v>0.0517314976525716</v>
      </c>
      <c r="BV220" s="256">
        <f>IF(AND(ISNUMBER(BV218),ISNUMBER(BQ218)),IFERROR(BV218/BQ218-1,""),"")</f>
        <v>0.120163462053971</v>
      </c>
      <c r="BW220" s="256">
        <f>IF(AND(ISNUMBER(BW218),ISNUMBER(BR218)),IFERROR(BW218/BR218-1,""),"")</f>
        <v>0.196149012347513</v>
      </c>
      <c r="BX220" s="256">
        <f>IF(AND(ISNUMBER(BX218),ISNUMBER(BW218)),IFERROR(BX218/BW218-1,""),"")</f>
        <v>0.0769850550885904</v>
      </c>
      <c r="BY220" s="256">
        <f>IF(AND(ISNUMBER(BY218),ISNUMBER(BX218)),IFERROR(BY218/BX218-1,""),"")</f>
        <v>0.133597873509448</v>
      </c>
      <c r="BZ220" s="256">
        <f>IF(AND(ISNUMBER(BZ218),ISNUMBER(BY218)),IFERROR(BZ218/BY218-1,""),"")</f>
        <v>0.121637729629505</v>
      </c>
      <c r="CA220" s="256">
        <f>IF(AND(ISNUMBER(CA218),ISNUMBER(BZ218)),IFERROR(CA218/BZ218-1,""),"")</f>
        <v>0.122820075027116</v>
      </c>
      <c r="CB220" s="256">
        <f>IF(AND(ISNUMBER(CB218),ISNUMBER(CA218)),IFERROR(CB218/CA218-1,""),"")</f>
        <v>0.121322874516992</v>
      </c>
      <c r="CC220" s="153" t="n"/>
    </row>
    <row r="221" ht="15" customHeight="1" s="251">
      <c r="B221" s="156" t="inlineStr">
        <is>
          <t xml:space="preserve">  Memo: EPS – diluted (net income) as reported ($)</t>
        </is>
      </c>
      <c r="C221" s="281" t="n">
        <v>2.65</v>
      </c>
      <c r="D221" s="281" t="n">
        <v>3</v>
      </c>
      <c r="E221" s="281" t="n">
        <v>1.53</v>
      </c>
      <c r="F221" s="281" t="n">
        <v>2.59</v>
      </c>
      <c r="G221" s="281" t="n">
        <v>0.91</v>
      </c>
      <c r="H221" s="281" t="n">
        <v>0.77</v>
      </c>
      <c r="I221" s="281" t="n">
        <v>0.62</v>
      </c>
      <c r="J221" s="281" t="n">
        <v>4.91</v>
      </c>
      <c r="K221" s="281" t="n">
        <v>0.89</v>
      </c>
      <c r="L221" s="281" t="n">
        <v>1.06</v>
      </c>
      <c r="M221" s="281" t="n">
        <v>0.6899999999999999</v>
      </c>
      <c r="N221" s="281" t="n">
        <v>-3.11</v>
      </c>
      <c r="O221" s="281" t="n">
        <v>-0.42</v>
      </c>
      <c r="P221" s="281" t="n">
        <v>1.1</v>
      </c>
      <c r="Q221" s="281" t="n">
        <v>1.28</v>
      </c>
      <c r="R221" s="281" t="n">
        <v>0.92</v>
      </c>
      <c r="S221" s="281" t="n">
        <v>0.91</v>
      </c>
      <c r="T221" s="281" t="n">
        <v>4.21</v>
      </c>
      <c r="U221" s="281" t="n">
        <v>1.1</v>
      </c>
      <c r="V221" s="281" t="n">
        <v>1.44</v>
      </c>
      <c r="W221" s="281" t="n">
        <v>3.36</v>
      </c>
      <c r="X221" s="281" t="n">
        <v>2.05</v>
      </c>
      <c r="Y221" s="281" t="n">
        <v>7.94</v>
      </c>
      <c r="Z221" s="281" t="n">
        <v>1.53</v>
      </c>
      <c r="AA221" s="281" t="n">
        <v>1.62</v>
      </c>
      <c r="AB221" s="281" t="n">
        <v>1.61</v>
      </c>
      <c r="AC221" s="281" t="n">
        <v>1.02</v>
      </c>
      <c r="AD221" s="281" t="n">
        <v>5.78</v>
      </c>
      <c r="AE221" s="281" t="n">
        <v>1.93</v>
      </c>
      <c r="AF221" s="281" t="n">
        <v>1.82</v>
      </c>
      <c r="AG221" s="281" t="n">
        <v>1.95</v>
      </c>
      <c r="AH221" s="281" t="n">
        <v>2.03</v>
      </c>
      <c r="AI221" s="281" t="n">
        <v>7.73</v>
      </c>
      <c r="AJ221" s="281" t="n">
        <v>1.65</v>
      </c>
      <c r="AK221" s="281" t="n">
        <v>2.24</v>
      </c>
      <c r="AL221" s="281" t="n">
        <v>2.5</v>
      </c>
      <c r="AM221" s="281" t="n">
        <v>2.2</v>
      </c>
      <c r="AN221" s="281" t="n">
        <v>8.6</v>
      </c>
      <c r="AO221" s="281" t="n">
        <v>2.62</v>
      </c>
      <c r="AP221" s="281" t="n">
        <v>3.28</v>
      </c>
      <c r="AQ221" s="281" t="n">
        <v>1.88</v>
      </c>
      <c r="AR221" s="281" t="n">
        <v>1.88</v>
      </c>
      <c r="AS221" s="281" t="n">
        <v>9.66</v>
      </c>
      <c r="AT221" s="281" t="n">
        <v>3.12</v>
      </c>
      <c r="AU221" s="281" t="n">
        <v>3.3</v>
      </c>
      <c r="AV221" s="281" t="n">
        <v>3.3</v>
      </c>
      <c r="AW221" s="281" t="n">
        <v>2.79</v>
      </c>
      <c r="AX221" s="281" t="n">
        <v>12.51</v>
      </c>
      <c r="AY221" s="281" t="n">
        <v>4.47</v>
      </c>
      <c r="AZ221" s="281" t="n">
        <v>2.86</v>
      </c>
      <c r="BA221" s="281" t="n">
        <v>1.84</v>
      </c>
      <c r="BB221" s="281" t="n">
        <v>1.33</v>
      </c>
      <c r="BC221" s="281" t="n">
        <v>10.2</v>
      </c>
      <c r="BD221" s="281" t="n">
        <v>2.47</v>
      </c>
      <c r="BE221" s="281" t="n">
        <v>1.6</v>
      </c>
      <c r="BF221" s="281" t="n">
        <v>2.33</v>
      </c>
      <c r="BG221" s="281" t="n">
        <v>1.83</v>
      </c>
      <c r="BH221" s="281" t="n">
        <v>8.23</v>
      </c>
      <c r="BI221" s="281" t="n">
        <v>3.16</v>
      </c>
      <c r="BJ221" s="281" t="n">
        <v>3.23</v>
      </c>
      <c r="BK221" s="281" t="n">
        <v>3.11</v>
      </c>
      <c r="BL221" s="281" t="n">
        <v>2.85</v>
      </c>
      <c r="BM221" s="281" t="n">
        <v>12.35</v>
      </c>
      <c r="BN221" s="281" t="n">
        <v>3.54</v>
      </c>
      <c r="BO221" s="281" t="n">
        <v>3.5</v>
      </c>
      <c r="BP221" s="281" t="n">
        <v>3.86</v>
      </c>
      <c r="BQ221" s="281" t="n">
        <v>3.75</v>
      </c>
      <c r="BR221" s="281" t="n">
        <v>14.66</v>
      </c>
      <c r="BS221" s="281" t="n">
        <v>4.69</v>
      </c>
      <c r="BT221" s="281" t="n">
        <v>4.12</v>
      </c>
      <c r="BU221" s="153" t="n"/>
      <c r="BV221" s="153" t="n"/>
      <c r="BW221" s="153" t="n"/>
      <c r="BX221" s="153" t="n"/>
      <c r="BY221" s="153" t="n"/>
      <c r="BZ221" s="153" t="n"/>
      <c r="CA221" s="153" t="n"/>
      <c r="CB221" s="153" t="n"/>
      <c r="CC221" s="153" t="n"/>
    </row>
    <row r="222" collapsed="1" ht="15" customHeight="1" s="251">
      <c r="B222" s="57" t="inlineStr">
        <is>
          <t xml:space="preserve">  Check: model vs reported diluted EPS (should be 0.00; ±0.02 rounding)</t>
        </is>
      </c>
      <c r="C222" s="282">
        <f>IF(AND(ISNUMBER(C221),ISNUMBER(C219)),IF(ABS(C219-C221)&lt;=0.0201,0,ROUND(C219-C221,2)),"n/p")</f>
        <v>0</v>
      </c>
      <c r="D222" s="282">
        <f>IF(AND(ISNUMBER(D221),ISNUMBER(D219)),IF(ABS(D219-D221)&lt;=0.0201,0,ROUND(D219-D221,2)),"n/p")</f>
        <v>0</v>
      </c>
      <c r="E222" s="282">
        <f>IF(AND(ISNUMBER(E221),ISNUMBER(E219)),IF(ABS(E219-E221)&lt;=0.0201,0,ROUND(E219-E221,2)),"n/p")</f>
        <v>0</v>
      </c>
      <c r="F222" s="282">
        <f>IF(AND(ISNUMBER(F221),ISNUMBER(F219)),IF(ABS(F219-F221)&lt;=0.0201,0,ROUND(F219-F221,2)),"n/p")</f>
        <v>0</v>
      </c>
      <c r="G222" s="282">
        <f>IF(AND(ISNUMBER(G221),ISNUMBER(G219)),IF(ABS(G219-G221)&lt;=0.0201,0,ROUND(G219-G221,2)),"n/p")</f>
        <v>0</v>
      </c>
      <c r="H222" s="282">
        <f>IF(AND(ISNUMBER(H221),ISNUMBER(H219)),IF(ABS(H219-H221)&lt;=0.0201,0,ROUND(H219-H221,2)),"n/p")</f>
        <v>0</v>
      </c>
      <c r="I222" s="282">
        <f>IF(AND(ISNUMBER(I221),ISNUMBER(I219)),IF(ABS(I219-I221)&lt;=0.0201,0,ROUND(I219-I221,2)),"n/p")</f>
        <v>0</v>
      </c>
      <c r="J222" s="282">
        <f>IF(AND(ISNUMBER(J221),ISNUMBER(J219)),IF(ABS(J219-J221)&lt;=0.0201,0,ROUND(J219-J221,2)),"n/p")</f>
        <v>0</v>
      </c>
      <c r="K222" s="282">
        <f>IF(AND(ISNUMBER(K221),ISNUMBER(K219)),IF(ABS(K219-K221)&lt;=0.0201,0,ROUND(K219-K221,2)),"n/p")</f>
        <v>0</v>
      </c>
      <c r="L222" s="282">
        <f>IF(AND(ISNUMBER(L221),ISNUMBER(L219)),IF(ABS(L219-L221)&lt;=0.0201,0,ROUND(L219-L221,2)),"n/p")</f>
        <v>0</v>
      </c>
      <c r="M222" s="282">
        <f>IF(AND(ISNUMBER(M221),ISNUMBER(M219)),IF(ABS(M219-M221)&lt;=0.0201,0,ROUND(M219-M221,2)),"n/p")</f>
        <v>0</v>
      </c>
      <c r="N222" s="282">
        <f>IF(AND(ISNUMBER(N221),ISNUMBER(N219)),IF(ABS(N219-N221)&lt;=0.0201,0,ROUND(N219-N221,2)),"n/p")</f>
        <v>0</v>
      </c>
      <c r="O222" s="282">
        <f>IF(AND(ISNUMBER(O221),ISNUMBER(O219)),IF(ABS(O219-O221)&lt;=0.0201,0,ROUND(O219-O221,2)),"n/p")</f>
        <v>0</v>
      </c>
      <c r="P222" s="282">
        <f>IF(AND(ISNUMBER(P221),ISNUMBER(P219)),IF(ABS(P219-P221)&lt;=0.0201,0,ROUND(P219-P221,2)),"n/p")</f>
        <v>0</v>
      </c>
      <c r="Q222" s="282">
        <f>IF(AND(ISNUMBER(Q221),ISNUMBER(Q219)),IF(ABS(Q219-Q221)&lt;=0.0201,0,ROUND(Q219-Q221,2)),"n/p")</f>
        <v>0</v>
      </c>
      <c r="R222" s="282">
        <f>IF(AND(ISNUMBER(R221),ISNUMBER(R219)),IF(ABS(R219-R221)&lt;=0.0201,0,ROUND(R219-R221,2)),"n/p")</f>
        <v>0</v>
      </c>
      <c r="S222" s="282">
        <f>IF(AND(ISNUMBER(S221),ISNUMBER(S219)),IF(ABS(S219-S221)&lt;=0.0201,0,ROUND(S219-S221,2)),"n/p")</f>
        <v>0</v>
      </c>
      <c r="T222" s="282">
        <f>IF(AND(ISNUMBER(T221),ISNUMBER(T219)),IF(ABS(T219-T221)&lt;=0.0201,0,ROUND(T219-T221,2)),"n/p")</f>
        <v>0</v>
      </c>
      <c r="U222" s="282">
        <f>IF(AND(ISNUMBER(U221),ISNUMBER(U219)),IF(ABS(U219-U221)&lt;=0.0201,0,ROUND(U219-U221,2)),"n/p")</f>
        <v>0</v>
      </c>
      <c r="V222" s="282">
        <f>IF(AND(ISNUMBER(V221),ISNUMBER(V219)),IF(ABS(V219-V221)&lt;=0.0201,0,ROUND(V219-V221,2)),"n/p")</f>
        <v>0</v>
      </c>
      <c r="W222" s="282">
        <f>IF(AND(ISNUMBER(W221),ISNUMBER(W219)),IF(ABS(W219-W221)&lt;=0.0201,0,ROUND(W219-W221,2)),"n/p")</f>
        <v>0</v>
      </c>
      <c r="X222" s="282">
        <f>IF(AND(ISNUMBER(X221),ISNUMBER(X219)),IF(ABS(X219-X221)&lt;=0.0201,0,ROUND(X219-X221,2)),"n/p")</f>
        <v>0</v>
      </c>
      <c r="Y222" s="282">
        <f>IF(AND(ISNUMBER(Y221),ISNUMBER(Y219)),IF(ABS(Y219-Y221)&lt;=0.0201,0,ROUND(Y219-Y221,2)),"n/p")</f>
        <v>0</v>
      </c>
      <c r="Z222" s="282">
        <f>IF(AND(ISNUMBER(Z221),ISNUMBER(Z219)),IF(ABS(Z219-Z221)&lt;=0.0201,0,ROUND(Z219-Z221,2)),"n/p")</f>
        <v>0</v>
      </c>
      <c r="AA222" s="282">
        <f>IF(AND(ISNUMBER(AA221),ISNUMBER(AA219)),IF(ABS(AA219-AA221)&lt;=0.0201,0,ROUND(AA219-AA221,2)),"n/p")</f>
        <v>0</v>
      </c>
      <c r="AB222" s="282">
        <f>IF(AND(ISNUMBER(AB221),ISNUMBER(AB219)),IF(ABS(AB219-AB221)&lt;=0.0201,0,ROUND(AB219-AB221,2)),"n/p")</f>
        <v>0</v>
      </c>
      <c r="AC222" s="282">
        <f>IF(AND(ISNUMBER(AC221),ISNUMBER(AC219)),IF(ABS(AC219-AC221)&lt;=0.0201,0,ROUND(AC219-AC221,2)),"n/p")</f>
        <v>0</v>
      </c>
      <c r="AD222" s="282">
        <f>IF(AND(ISNUMBER(AD221),ISNUMBER(AD219)),IF(ABS(AD219-AD221)&lt;=0.0201,0,ROUND(AD219-AD221,2)),"n/p")</f>
        <v>0</v>
      </c>
      <c r="AE222" s="282">
        <f>IF(AND(ISNUMBER(AE221),ISNUMBER(AE219)),IF(ABS(AE219-AE221)&lt;=0.0201,0,ROUND(AE219-AE221,2)),"n/p")</f>
        <v>0</v>
      </c>
      <c r="AF222" s="282">
        <f>IF(AND(ISNUMBER(AF221),ISNUMBER(AF219)),IF(ABS(AF219-AF221)&lt;=0.0201,0,ROUND(AF219-AF221,2)),"n/p")</f>
        <v>0</v>
      </c>
      <c r="AG222" s="282">
        <f>IF(AND(ISNUMBER(AG221),ISNUMBER(AG219)),IF(ABS(AG219-AG221)&lt;=0.0201,0,ROUND(AG219-AG221,2)),"n/p")</f>
        <v>0</v>
      </c>
      <c r="AH222" s="282">
        <f>IF(AND(ISNUMBER(AH221),ISNUMBER(AH219)),IF(ABS(AH219-AH221)&lt;=0.0201,0,ROUND(AH219-AH221,2)),"n/p")</f>
        <v>0</v>
      </c>
      <c r="AI222" s="282">
        <f>IF(AND(ISNUMBER(AI221),ISNUMBER(AI219)),IF(ABS(AI219-AI221)&lt;=0.0201,0,ROUND(AI219-AI221,2)),"n/p")</f>
        <v>0</v>
      </c>
      <c r="AJ222" s="282">
        <f>IF(AND(ISNUMBER(AJ221),ISNUMBER(AJ219)),IF(ABS(AJ219-AJ221)&lt;=0.0201,0,ROUND(AJ219-AJ221,2)),"n/p")</f>
        <v>0</v>
      </c>
      <c r="AK222" s="282">
        <f>IF(AND(ISNUMBER(AK221),ISNUMBER(AK219)),IF(ABS(AK219-AK221)&lt;=0.0201,0,ROUND(AK219-AK221,2)),"n/p")</f>
        <v>0</v>
      </c>
      <c r="AL222" s="282">
        <f>IF(AND(ISNUMBER(AL221),ISNUMBER(AL219)),IF(ABS(AL219-AL221)&lt;=0.0201,0,ROUND(AL219-AL221,2)),"n/p")</f>
        <v>0</v>
      </c>
      <c r="AM222" s="282">
        <f>IF(AND(ISNUMBER(AM221),ISNUMBER(AM219)),IF(ABS(AM219-AM221)&lt;=0.0201,0,ROUND(AM219-AM221,2)),"n/p")</f>
        <v>0</v>
      </c>
      <c r="AN222" s="282">
        <f>IF(AND(ISNUMBER(AN221),ISNUMBER(AN219)),IF(ABS(AN219-AN221)&lt;=0.0201,0,ROUND(AN219-AN221,2)),"n/p")</f>
        <v>0</v>
      </c>
      <c r="AO222" s="282">
        <f>IF(AND(ISNUMBER(AO221),ISNUMBER(AO219)),IF(ABS(AO219-AO221)&lt;=0.0201,0,ROUND(AO219-AO221,2)),"n/p")</f>
        <v>0</v>
      </c>
      <c r="AP222" s="282">
        <f>IF(AND(ISNUMBER(AP221),ISNUMBER(AP219)),IF(ABS(AP219-AP221)&lt;=0.0201,0,ROUND(AP219-AP221,2)),"n/p")</f>
        <v>0</v>
      </c>
      <c r="AQ222" s="282">
        <f>IF(AND(ISNUMBER(AQ221),ISNUMBER(AQ219)),IF(ABS(AQ219-AQ221)&lt;=0.0201,0,ROUND(AQ219-AQ221,2)),"n/p")</f>
        <v>0</v>
      </c>
      <c r="AR222" s="282">
        <f>IF(AND(ISNUMBER(AR221),ISNUMBER(AR219)),IF(ABS(AR219-AR221)&lt;=0.0201,0,ROUND(AR219-AR221,2)),"n/p")</f>
        <v>0</v>
      </c>
      <c r="AS222" s="282">
        <f>IF(AND(ISNUMBER(AS221),ISNUMBER(AS219)),IF(ABS(AS219-AS221)&lt;=0.0201,0,ROUND(AS219-AS221,2)),"n/p")</f>
        <v>0</v>
      </c>
      <c r="AT222" s="282">
        <f>IF(AND(ISNUMBER(AT221),ISNUMBER(AT219)),IF(ABS(AT219-AT221)&lt;=0.0201,0,ROUND(AT219-AT221,2)),"n/p")</f>
        <v>0</v>
      </c>
      <c r="AU222" s="282">
        <f>IF(AND(ISNUMBER(AU221),ISNUMBER(AU219)),IF(ABS(AU219-AU221)&lt;=0.0201,0,ROUND(AU219-AU221,2)),"n/p")</f>
        <v>0</v>
      </c>
      <c r="AV222" s="282">
        <f>IF(AND(ISNUMBER(AV221),ISNUMBER(AV219)),IF(ABS(AV219-AV221)&lt;=0.0201,0,ROUND(AV219-AV221,2)),"n/p")</f>
        <v>0</v>
      </c>
      <c r="AW222" s="282">
        <f>IF(AND(ISNUMBER(AW221),ISNUMBER(AW219)),IF(ABS(AW219-AW221)&lt;=0.0201,0,ROUND(AW219-AW221,2)),"n/p")</f>
        <v>0</v>
      </c>
      <c r="AX222" s="282">
        <f>IF(AND(ISNUMBER(AX221),ISNUMBER(AX219)),IF(ABS(AX219-AX221)&lt;=0.0201,0,ROUND(AX219-AX221,2)),"n/p")</f>
        <v>0</v>
      </c>
      <c r="AY222" s="282">
        <f>IF(AND(ISNUMBER(AY221),ISNUMBER(AY219)),IF(ABS(AY219-AY221)&lt;=0.0201,0,ROUND(AY219-AY221,2)),"n/p")</f>
        <v>0</v>
      </c>
      <c r="AZ222" s="282">
        <f>IF(AND(ISNUMBER(AZ221),ISNUMBER(AZ219)),IF(ABS(AZ219-AZ221)&lt;=0.0201,0,ROUND(AZ219-AZ221,2)),"n/p")</f>
        <v>0</v>
      </c>
      <c r="BA222" s="282">
        <f>IF(AND(ISNUMBER(BA221),ISNUMBER(BA219)),IF(ABS(BA219-BA221)&lt;=0.0201,0,ROUND(BA219-BA221,2)),"n/p")</f>
        <v>0</v>
      </c>
      <c r="BB222" s="282">
        <f>IF(AND(ISNUMBER(BB221),ISNUMBER(BB219)),IF(ABS(BB219-BB221)&lt;=0.0201,0,ROUND(BB219-BB221,2)),"n/p")</f>
        <v>0</v>
      </c>
      <c r="BC222" s="282">
        <f>IF(AND(ISNUMBER(BC221),ISNUMBER(BC219)),IF(ABS(BC219-BC221)&lt;=0.0201,0,ROUND(BC219-BC221,2)),"n/p")</f>
        <v>0</v>
      </c>
      <c r="BD222" s="282">
        <f>IF(AND(ISNUMBER(BD221),ISNUMBER(BD219)),IF(ABS(BD219-BD221)&lt;=0.0201,0,ROUND(BD219-BD221,2)),"n/p")</f>
        <v>0</v>
      </c>
      <c r="BE222" s="282">
        <f>IF(AND(ISNUMBER(BE221),ISNUMBER(BE219)),IF(ABS(BE219-BE221)&lt;=0.0201,0,ROUND(BE219-BE221,2)),"n/p")</f>
        <v>0</v>
      </c>
      <c r="BF222" s="282">
        <f>IF(AND(ISNUMBER(BF221),ISNUMBER(BF219)),IF(ABS(BF219-BF221)&lt;=0.0201,0,ROUND(BF219-BF221,2)),"n/p")</f>
        <v>0</v>
      </c>
      <c r="BG222" s="282">
        <f>IF(AND(ISNUMBER(BG221),ISNUMBER(BG219)),IF(ABS(BG219-BG221)&lt;=0.0201,0,ROUND(BG219-BG221,2)),"n/p")</f>
        <v>0</v>
      </c>
      <c r="BH222" s="282">
        <f>IF(AND(ISNUMBER(BH221),ISNUMBER(BH219)),IF(ABS(BH219-BH221)&lt;=0.0201,0,ROUND(BH219-BH221,2)),"n/p")</f>
        <v>0</v>
      </c>
      <c r="BI222" s="282">
        <f>IF(AND(ISNUMBER(BI221),ISNUMBER(BI219)),IF(ABS(BI219-BI221)&lt;=0.0201,0,ROUND(BI219-BI221,2)),"n/p")</f>
        <v>0</v>
      </c>
      <c r="BJ222" s="282">
        <f>IF(AND(ISNUMBER(BJ221),ISNUMBER(BJ219)),IF(ABS(BJ219-BJ221)&lt;=0.0201,0,ROUND(BJ219-BJ221,2)),"n/p")</f>
        <v>0</v>
      </c>
      <c r="BK222" s="282">
        <f>IF(AND(ISNUMBER(BK221),ISNUMBER(BK219)),IF(ABS(BK219-BK221)&lt;=0.0201,0,ROUND(BK219-BK221,2)),"n/p")</f>
        <v>0</v>
      </c>
      <c r="BL222" s="282">
        <f>IF(AND(ISNUMBER(BL221),ISNUMBER(BL219)),IF(ABS(BL219-BL221)&lt;=0.0201,0,ROUND(BL219-BL221,2)),"n/p")</f>
        <v>0</v>
      </c>
      <c r="BM222" s="282">
        <f>IF(AND(ISNUMBER(BM221),ISNUMBER(BM219)),IF(ABS(BM219-BM221)&lt;=0.0201,0,ROUND(BM219-BM221,2)),"n/p")</f>
        <v>0</v>
      </c>
      <c r="BN222" s="282">
        <f>IF(AND(ISNUMBER(BN221),ISNUMBER(BN219)),IF(ABS(BN219-BN221)&lt;=0.0201,0,ROUND(BN219-BN221,2)),"n/p")</f>
        <v>0</v>
      </c>
      <c r="BO222" s="282">
        <f>IF(AND(ISNUMBER(BO221),ISNUMBER(BO219)),IF(ABS(BO219-BO221)&lt;=0.0201,0,ROUND(BO219-BO221,2)),"n/p")</f>
        <v>0</v>
      </c>
      <c r="BP222" s="282">
        <f>IF(AND(ISNUMBER(BP221),ISNUMBER(BP219)),IF(ABS(BP219-BP221)&lt;=0.0201,0,ROUND(BP219-BP221,2)),"n/p")</f>
        <v>0</v>
      </c>
      <c r="BQ222" s="282">
        <f>IF(AND(ISNUMBER(BQ221),ISNUMBER(BQ219)),IF(ABS(BQ219-BQ221)&lt;=0.0201,0,ROUND(BQ219-BQ221,2)),"n/p")</f>
        <v>0</v>
      </c>
      <c r="BR222" s="282">
        <f>IF(AND(ISNUMBER(BR221),ISNUMBER(BR219)),IF(ABS(BR219-BR221)&lt;=0.0201,0,ROUND(BR219-BR221,2)),"n/p")</f>
        <v>0</v>
      </c>
      <c r="BS222" s="282">
        <f>IF(AND(ISNUMBER(BS221),ISNUMBER(BS219)),IF(ABS(BS219-BS221)&lt;=0.0201,0,ROUND(BS219-BS221,2)),"n/p")</f>
        <v>0</v>
      </c>
      <c r="BT222" s="282">
        <f>IF(AND(ISNUMBER(BT221),ISNUMBER(BT219)),IF(ABS(BT219-BT221)&lt;=0.0201,0,ROUND(BT219-BT221,2)),"n/p")</f>
        <v>0</v>
      </c>
      <c r="BU222" s="153" t="n"/>
      <c r="BV222" s="153" t="n"/>
      <c r="BW222" s="153" t="n"/>
      <c r="BX222" s="153" t="n"/>
      <c r="BY222" s="153" t="n"/>
      <c r="BZ222" s="153" t="n"/>
      <c r="CA222" s="153" t="n"/>
      <c r="CB222" s="153" t="n"/>
      <c r="CC222" s="153" t="n"/>
    </row>
    <row r="223" ht="15" customHeight="1" s="251">
      <c r="B223" s="25" t="inlineStr">
        <is>
          <t xml:space="preserve">  Dividends declared per share ($)</t>
        </is>
      </c>
      <c r="C223" s="281" t="n">
        <v>0.9399999999999999</v>
      </c>
      <c r="D223" s="281" t="n">
        <v>1</v>
      </c>
      <c r="E223" s="281" t="n">
        <v>1.02</v>
      </c>
      <c r="F223" s="281" t="n">
        <v>0.28</v>
      </c>
      <c r="G223" s="281" t="n">
        <v>0.28</v>
      </c>
      <c r="H223" s="281" t="n">
        <v>0.28</v>
      </c>
      <c r="I223" s="281" t="n">
        <v>0.28</v>
      </c>
      <c r="J223" s="281" t="n">
        <v>1.12</v>
      </c>
      <c r="K223" s="281" t="n">
        <v>0.3</v>
      </c>
      <c r="L223" s="281" t="n">
        <v>0.3</v>
      </c>
      <c r="M223" s="281" t="n">
        <v>0.3</v>
      </c>
      <c r="N223" s="281" t="n">
        <v>0.3</v>
      </c>
      <c r="O223" s="281" t="n">
        <v>1.2</v>
      </c>
      <c r="P223" s="281" t="n">
        <v>0.33</v>
      </c>
      <c r="Q223" s="281" t="n">
        <v>0.33</v>
      </c>
      <c r="R223" s="281" t="n">
        <v>0.33</v>
      </c>
      <c r="S223" s="281" t="n">
        <v>0.33</v>
      </c>
      <c r="T223" s="281" t="n">
        <v>1.32</v>
      </c>
      <c r="U223" s="281" t="n">
        <v>0.36</v>
      </c>
      <c r="V223" s="281" t="n">
        <v>0.36</v>
      </c>
      <c r="W223" s="281" t="n">
        <v>0.36</v>
      </c>
      <c r="X223" s="281" t="n">
        <v>0.36</v>
      </c>
      <c r="Y223" s="281" t="n">
        <v>1.44</v>
      </c>
      <c r="Z223" s="281" t="n">
        <v>0.41</v>
      </c>
      <c r="AA223" s="281" t="n">
        <v>0.41</v>
      </c>
      <c r="AB223" s="281" t="n">
        <v>0.41</v>
      </c>
      <c r="AC223" s="281" t="n">
        <v>0.41</v>
      </c>
      <c r="AD223" s="281" t="n">
        <v>1.64</v>
      </c>
      <c r="AE223" s="281" t="n">
        <v>0.5</v>
      </c>
      <c r="AF223" s="281" t="n">
        <v>0.5</v>
      </c>
      <c r="AG223" s="281" t="n">
        <v>0.5</v>
      </c>
      <c r="AH223" s="281" t="n">
        <v>0.5</v>
      </c>
      <c r="AI223" s="281" t="n">
        <v>2</v>
      </c>
      <c r="AJ223" s="281" t="n">
        <v>0.57</v>
      </c>
      <c r="AK223" s="281" t="n">
        <v>0.57</v>
      </c>
      <c r="AL223" s="281" t="n">
        <v>0.57</v>
      </c>
      <c r="AM223" s="281" t="n">
        <v>0.57</v>
      </c>
      <c r="AN223" s="281" t="n">
        <v>2.28</v>
      </c>
      <c r="AO223" s="281" t="n">
        <v>0.67</v>
      </c>
      <c r="AP223" s="281" t="n">
        <v>0.67</v>
      </c>
      <c r="AQ223" s="281" t="n">
        <v>0.67</v>
      </c>
      <c r="AR223" s="281" t="n">
        <v>0.67</v>
      </c>
      <c r="AS223" s="281" t="n">
        <v>2.68</v>
      </c>
      <c r="AT223" s="281" t="n">
        <v>0.77</v>
      </c>
      <c r="AU223" s="281" t="n">
        <v>0.77</v>
      </c>
      <c r="AV223" s="281" t="n">
        <v>0.77</v>
      </c>
      <c r="AW223" s="281" t="n">
        <v>0.77</v>
      </c>
      <c r="AX223" s="281" t="n">
        <v>3.08</v>
      </c>
      <c r="AY223" s="281" t="n">
        <v>0.77</v>
      </c>
      <c r="AZ223" s="281" t="n">
        <v>0.85</v>
      </c>
      <c r="BA223" s="281" t="n">
        <v>0.85</v>
      </c>
      <c r="BB223" s="281" t="n">
        <v>0.85</v>
      </c>
      <c r="BC223" s="281" t="n">
        <v>3.32</v>
      </c>
      <c r="BD223" s="281" t="n">
        <v>0.9</v>
      </c>
      <c r="BE223" s="281" t="n">
        <v>0.9</v>
      </c>
      <c r="BF223" s="281" t="n">
        <v>0.9</v>
      </c>
      <c r="BG223" s="281" t="n">
        <v>0.9</v>
      </c>
      <c r="BH223" s="281" t="n">
        <v>3.6</v>
      </c>
      <c r="BI223" s="281" t="n">
        <v>0.91</v>
      </c>
      <c r="BJ223" s="281" t="n">
        <v>0.91</v>
      </c>
      <c r="BK223" s="281" t="n">
        <v>0.91</v>
      </c>
      <c r="BL223" s="281" t="n">
        <v>0.91</v>
      </c>
      <c r="BM223" s="281" t="n">
        <v>3.64</v>
      </c>
      <c r="BN223" s="281" t="n">
        <v>0.96</v>
      </c>
      <c r="BO223" s="281" t="n">
        <v>0.96</v>
      </c>
      <c r="BP223" s="281" t="n">
        <v>0.96</v>
      </c>
      <c r="BQ223" s="281" t="n">
        <v>0.96</v>
      </c>
      <c r="BR223" s="281" t="n">
        <v>3.84</v>
      </c>
      <c r="BS223" s="281" t="n">
        <v>0.97</v>
      </c>
      <c r="BT223" s="281" t="n">
        <v>0.97</v>
      </c>
      <c r="BU223" s="283" t="n">
        <v>0.97</v>
      </c>
      <c r="BV223" s="283" t="n">
        <v>0.97</v>
      </c>
      <c r="BW223" s="272">
        <f>SUM(BS223:BV223)</f>
        <v>3.88</v>
      </c>
      <c r="BX223" s="272">
        <f>BW223*(1+BX224)</f>
        <v>4.074</v>
      </c>
      <c r="BY223" s="272">
        <f>BX223*(1+BY224)</f>
        <v>4.2777</v>
      </c>
      <c r="BZ223" s="272">
        <f>BY223*(1+BZ224)</f>
        <v>4.491585</v>
      </c>
      <c r="CA223" s="272">
        <f>BZ223*(1+CA224)</f>
        <v>4.71616425</v>
      </c>
      <c r="CB223" s="272">
        <f>CA223*(1+CB224)</f>
        <v>4.9519724625</v>
      </c>
      <c r="CC223" s="19" t="inlineStr">
        <is>
          <t>Quarterly dividend $0.97 (2026). 2027E+: prior year × (1 + growth). FY2012 excludes the $2.50 special dividend.</t>
        </is>
      </c>
      <c r="CE223" s="20">
        <f>IFERROR((CB223/BW223)^(1/5)-1,"n/m")</f>
        <v>0.05</v>
      </c>
      <c r="CF223" s="20">
        <f>IFERROR((BR223/AS223)^(1/5)-1,"n/m")</f>
        <v>0.0745813183518478</v>
      </c>
      <c r="CG223" s="20">
        <f>IFERROR((BR223/T223)^(1/10)-1,"n/m")</f>
        <v>0.112693956740887</v>
      </c>
      <c r="CH223" s="20">
        <f>IFERROR((BR223/C223)^(1/15)-1,"n/m")</f>
        <v>0.0983655209042662</v>
      </c>
    </row>
    <row r="224" ht="15" customHeight="1" s="251">
      <c r="B224" s="25" t="inlineStr">
        <is>
          <t xml:space="preserve">  Dividend per share growth %</t>
        </is>
      </c>
      <c r="C224" s="36" t="n"/>
      <c r="D224" s="215">
        <f>IF(AND(ISNUMBER(D223),ISNUMBER(C223)),IFERROR(D223/C223-1,""),"")</f>
        <v>0.0638297872340425</v>
      </c>
      <c r="E224" s="215">
        <f>IF(AND(ISNUMBER(E223),ISNUMBER(D223)),IFERROR(E223/D223-1,""),"")</f>
        <v>0.02</v>
      </c>
      <c r="F224" s="36" t="n"/>
      <c r="G224" s="36" t="n"/>
      <c r="H224" s="36" t="n"/>
      <c r="I224" s="36" t="n"/>
      <c r="J224" s="215">
        <f>IF(AND(ISNUMBER(J223),ISNUMBER(E223)),IFERROR(J223/E223-1,""),"")</f>
        <v>0.0980392156862746</v>
      </c>
      <c r="K224" s="215">
        <f>IF(AND(ISNUMBER(K223),ISNUMBER(F223)),IFERROR(K223/F223-1,""),"")</f>
        <v>0.0714285714285714</v>
      </c>
      <c r="L224" s="215">
        <f>IF(AND(ISNUMBER(L223),ISNUMBER(G223)),IFERROR(L223/G223-1,""),"")</f>
        <v>0.0714285714285714</v>
      </c>
      <c r="M224" s="215">
        <f>IF(AND(ISNUMBER(M223),ISNUMBER(H223)),IFERROR(M223/H223-1,""),"")</f>
        <v>0.0714285714285714</v>
      </c>
      <c r="N224" s="215">
        <f>IF(AND(ISNUMBER(N223),ISNUMBER(I223)),IFERROR(N223/I223-1,""),"")</f>
        <v>0.0714285714285714</v>
      </c>
      <c r="O224" s="215">
        <f>IF(AND(ISNUMBER(O223),ISNUMBER(J223)),IFERROR(O223/J223-1,""),"")</f>
        <v>0.0714285714285714</v>
      </c>
      <c r="P224" s="215">
        <f>IF(AND(ISNUMBER(P223),ISNUMBER(K223)),IFERROR(P223/K223-1,""),"")</f>
        <v>0.1</v>
      </c>
      <c r="Q224" s="215">
        <f>IF(AND(ISNUMBER(Q223),ISNUMBER(L223)),IFERROR(Q223/L223-1,""),"")</f>
        <v>0.1</v>
      </c>
      <c r="R224" s="215">
        <f>IF(AND(ISNUMBER(R223),ISNUMBER(M223)),IFERROR(R223/M223-1,""),"")</f>
        <v>0.1</v>
      </c>
      <c r="S224" s="215">
        <f>IF(AND(ISNUMBER(S223),ISNUMBER(N223)),IFERROR(S223/N223-1,""),"")</f>
        <v>0.1</v>
      </c>
      <c r="T224" s="215">
        <f>IF(AND(ISNUMBER(T223),ISNUMBER(O223)),IFERROR(T223/O223-1,""),"")</f>
        <v>0.1</v>
      </c>
      <c r="U224" s="215">
        <f>IF(AND(ISNUMBER(U223),ISNUMBER(P223)),IFERROR(U223/P223-1,""),"")</f>
        <v>0.0909090909090908</v>
      </c>
      <c r="V224" s="215">
        <f>IF(AND(ISNUMBER(V223),ISNUMBER(Q223)),IFERROR(V223/Q223-1,""),"")</f>
        <v>0.0909090909090908</v>
      </c>
      <c r="W224" s="215">
        <f>IF(AND(ISNUMBER(W223),ISNUMBER(R223)),IFERROR(W223/R223-1,""),"")</f>
        <v>0.0909090909090908</v>
      </c>
      <c r="X224" s="215">
        <f>IF(AND(ISNUMBER(X223),ISNUMBER(S223)),IFERROR(X223/S223-1,""),"")</f>
        <v>0.0909090909090908</v>
      </c>
      <c r="Y224" s="215">
        <f>IF(AND(ISNUMBER(Y223),ISNUMBER(T223)),IFERROR(Y223/T223-1,""),"")</f>
        <v>0.0909090909090908</v>
      </c>
      <c r="Z224" s="215">
        <f>IF(AND(ISNUMBER(Z223),ISNUMBER(U223)),IFERROR(Z223/U223-1,""),"")</f>
        <v>0.138888888888889</v>
      </c>
      <c r="AA224" s="215">
        <f>IF(AND(ISNUMBER(AA223),ISNUMBER(V223)),IFERROR(AA223/V223-1,""),"")</f>
        <v>0.138888888888889</v>
      </c>
      <c r="AB224" s="215">
        <f>IF(AND(ISNUMBER(AB223),ISNUMBER(W223)),IFERROR(AB223/W223-1,""),"")</f>
        <v>0.138888888888889</v>
      </c>
      <c r="AC224" s="215">
        <f>IF(AND(ISNUMBER(AC223),ISNUMBER(X223)),IFERROR(AC223/X223-1,""),"")</f>
        <v>0.138888888888889</v>
      </c>
      <c r="AD224" s="215">
        <f>IF(AND(ISNUMBER(AD223),ISNUMBER(Y223)),IFERROR(AD223/Y223-1,""),"")</f>
        <v>0.138888888888889</v>
      </c>
      <c r="AE224" s="215">
        <f>IF(AND(ISNUMBER(AE223),ISNUMBER(Z223)),IFERROR(AE223/Z223-1,""),"")</f>
        <v>0.219512195121951</v>
      </c>
      <c r="AF224" s="215">
        <f>IF(AND(ISNUMBER(AF223),ISNUMBER(AA223)),IFERROR(AF223/AA223-1,""),"")</f>
        <v>0.219512195121951</v>
      </c>
      <c r="AG224" s="215">
        <f>IF(AND(ISNUMBER(AG223),ISNUMBER(AB223)),IFERROR(AG223/AB223-1,""),"")</f>
        <v>0.219512195121951</v>
      </c>
      <c r="AH224" s="215">
        <f>IF(AND(ISNUMBER(AH223),ISNUMBER(AC223)),IFERROR(AH223/AC223-1,""),"")</f>
        <v>0.219512195121951</v>
      </c>
      <c r="AI224" s="215">
        <f>IF(AND(ISNUMBER(AI223),ISNUMBER(AD223)),IFERROR(AI223/AD223-1,""),"")</f>
        <v>0.219512195121951</v>
      </c>
      <c r="AJ224" s="215">
        <f>IF(AND(ISNUMBER(AJ223),ISNUMBER(AE223)),IFERROR(AJ223/AE223-1,""),"")</f>
        <v>0.14</v>
      </c>
      <c r="AK224" s="215">
        <f>IF(AND(ISNUMBER(AK223),ISNUMBER(AF223)),IFERROR(AK223/AF223-1,""),"")</f>
        <v>0.14</v>
      </c>
      <c r="AL224" s="215">
        <f>IF(AND(ISNUMBER(AL223),ISNUMBER(AG223)),IFERROR(AL223/AG223-1,""),"")</f>
        <v>0.14</v>
      </c>
      <c r="AM224" s="215">
        <f>IF(AND(ISNUMBER(AM223),ISNUMBER(AH223)),IFERROR(AM223/AH223-1,""),"")</f>
        <v>0.14</v>
      </c>
      <c r="AN224" s="215">
        <f>IF(AND(ISNUMBER(AN223),ISNUMBER(AI223)),IFERROR(AN223/AI223-1,""),"")</f>
        <v>0.14</v>
      </c>
      <c r="AO224" s="215">
        <f>IF(AND(ISNUMBER(AO223),ISNUMBER(AJ223)),IFERROR(AO223/AJ223-1,""),"")</f>
        <v>0.175438596491228</v>
      </c>
      <c r="AP224" s="215">
        <f>IF(AND(ISNUMBER(AP223),ISNUMBER(AK223)),IFERROR(AP223/AK223-1,""),"")</f>
        <v>0.175438596491228</v>
      </c>
      <c r="AQ224" s="215">
        <f>IF(AND(ISNUMBER(AQ223),ISNUMBER(AL223)),IFERROR(AQ223/AL223-1,""),"")</f>
        <v>0.175438596491228</v>
      </c>
      <c r="AR224" s="215">
        <f>IF(AND(ISNUMBER(AR223),ISNUMBER(AM223)),IFERROR(AR223/AM223-1,""),"")</f>
        <v>0.175438596491228</v>
      </c>
      <c r="AS224" s="215">
        <f>IF(AND(ISNUMBER(AS223),ISNUMBER(AN223)),IFERROR(AS223/AN223-1,""),"")</f>
        <v>0.175438596491228</v>
      </c>
      <c r="AT224" s="215">
        <f>IF(AND(ISNUMBER(AT223),ISNUMBER(AO223)),IFERROR(AT223/AO223-1,""),"")</f>
        <v>0.149253731343284</v>
      </c>
      <c r="AU224" s="215">
        <f>IF(AND(ISNUMBER(AU223),ISNUMBER(AP223)),IFERROR(AU223/AP223-1,""),"")</f>
        <v>0.149253731343284</v>
      </c>
      <c r="AV224" s="215">
        <f>IF(AND(ISNUMBER(AV223),ISNUMBER(AQ223)),IFERROR(AV223/AQ223-1,""),"")</f>
        <v>0.149253731343284</v>
      </c>
      <c r="AW224" s="215">
        <f>IF(AND(ISNUMBER(AW223),ISNUMBER(AR223)),IFERROR(AW223/AR223-1,""),"")</f>
        <v>0.149253731343284</v>
      </c>
      <c r="AX224" s="215">
        <f>IF(AND(ISNUMBER(AX223),ISNUMBER(AS223)),IFERROR(AX223/AS223-1,""),"")</f>
        <v>0.149253731343284</v>
      </c>
      <c r="AY224" s="215">
        <f>IF(AND(ISNUMBER(AY223),ISNUMBER(AT223)),IFERROR(AY223/AT223-1,""),"")</f>
        <v>0</v>
      </c>
      <c r="AZ224" s="215">
        <f>IF(AND(ISNUMBER(AZ223),ISNUMBER(AU223)),IFERROR(AZ223/AU223-1,""),"")</f>
        <v>0.103896103896104</v>
      </c>
      <c r="BA224" s="215">
        <f>IF(AND(ISNUMBER(BA223),ISNUMBER(AV223)),IFERROR(BA223/AV223-1,""),"")</f>
        <v>0.103896103896104</v>
      </c>
      <c r="BB224" s="215">
        <f>IF(AND(ISNUMBER(BB223),ISNUMBER(AW223)),IFERROR(BB223/AW223-1,""),"")</f>
        <v>0.103896103896104</v>
      </c>
      <c r="BC224" s="215">
        <f>IF(AND(ISNUMBER(BC223),ISNUMBER(AX223)),IFERROR(BC223/AX223-1,""),"")</f>
        <v>0.077922077922078</v>
      </c>
      <c r="BD224" s="215">
        <f>IF(AND(ISNUMBER(BD223),ISNUMBER(AY223)),IFERROR(BD223/AY223-1,""),"")</f>
        <v>0.168831168831169</v>
      </c>
      <c r="BE224" s="215">
        <f>IF(AND(ISNUMBER(BE223),ISNUMBER(AZ223)),IFERROR(BE223/AZ223-1,""),"")</f>
        <v>0.0588235294117647</v>
      </c>
      <c r="BF224" s="215">
        <f>IF(AND(ISNUMBER(BF223),ISNUMBER(BA223)),IFERROR(BF223/BA223-1,""),"")</f>
        <v>0.0588235294117647</v>
      </c>
      <c r="BG224" s="215">
        <f>IF(AND(ISNUMBER(BG223),ISNUMBER(BB223)),IFERROR(BG223/BB223-1,""),"")</f>
        <v>0.0588235294117647</v>
      </c>
      <c r="BH224" s="215">
        <f>IF(AND(ISNUMBER(BH223),ISNUMBER(BC223)),IFERROR(BH223/BC223-1,""),"")</f>
        <v>0.0843373493975905</v>
      </c>
      <c r="BI224" s="215">
        <f>IF(AND(ISNUMBER(BI223),ISNUMBER(BD223)),IFERROR(BI223/BD223-1,""),"")</f>
        <v>0.0111111111111111</v>
      </c>
      <c r="BJ224" s="215">
        <f>IF(AND(ISNUMBER(BJ223),ISNUMBER(BE223)),IFERROR(BJ223/BE223-1,""),"")</f>
        <v>0.0111111111111111</v>
      </c>
      <c r="BK224" s="215">
        <f>IF(AND(ISNUMBER(BK223),ISNUMBER(BF223)),IFERROR(BK223/BF223-1,""),"")</f>
        <v>0.0111111111111111</v>
      </c>
      <c r="BL224" s="215">
        <f>IF(AND(ISNUMBER(BL223),ISNUMBER(BG223)),IFERROR(BL223/BG223-1,""),"")</f>
        <v>0.0111111111111111</v>
      </c>
      <c r="BM224" s="215">
        <f>IF(AND(ISNUMBER(BM223),ISNUMBER(BH223)),IFERROR(BM223/BH223-1,""),"")</f>
        <v>0.0111111111111111</v>
      </c>
      <c r="BN224" s="215">
        <f>IF(AND(ISNUMBER(BN223),ISNUMBER(BI223)),IFERROR(BN223/BI223-1,""),"")</f>
        <v>0.054945054945055</v>
      </c>
      <c r="BO224" s="215">
        <f>IF(AND(ISNUMBER(BO223),ISNUMBER(BJ223)),IFERROR(BO223/BJ223-1,""),"")</f>
        <v>0.054945054945055</v>
      </c>
      <c r="BP224" s="215">
        <f>IF(AND(ISNUMBER(BP223),ISNUMBER(BK223)),IFERROR(BP223/BK223-1,""),"")</f>
        <v>0.054945054945055</v>
      </c>
      <c r="BQ224" s="215">
        <f>IF(AND(ISNUMBER(BQ223),ISNUMBER(BL223)),IFERROR(BQ223/BL223-1,""),"")</f>
        <v>0.054945054945055</v>
      </c>
      <c r="BR224" s="215">
        <f>IF(AND(ISNUMBER(BR223),ISNUMBER(BM223)),IFERROR(BR223/BM223-1,""),"")</f>
        <v>0.054945054945055</v>
      </c>
      <c r="BS224" s="215">
        <f>IF(AND(ISNUMBER(BS223),ISNUMBER(BN223)),IFERROR(BS223/BN223-1,""),"")</f>
        <v>0.0104166666666667</v>
      </c>
      <c r="BT224" s="215">
        <f>IF(AND(ISNUMBER(BT223),ISNUMBER(BO223)),IFERROR(BT223/BO223-1,""),"")</f>
        <v>0.0104166666666667</v>
      </c>
      <c r="BU224" s="256">
        <f>IF(AND(ISNUMBER(BU223),ISNUMBER(BP223)),IFERROR(BU223/BP223-1,""),"")</f>
        <v>0.0104166666666667</v>
      </c>
      <c r="BV224" s="256">
        <f>IF(AND(ISNUMBER(BV223),ISNUMBER(BQ223)),IFERROR(BV223/BQ223-1,""),"")</f>
        <v>0.0104166666666667</v>
      </c>
      <c r="BW224" s="256">
        <f>IF(AND(ISNUMBER(BW223),ISNUMBER(BR223)),IFERROR(BW223/BR223-1,""),"")</f>
        <v>0.0104166666666667</v>
      </c>
      <c r="BX224" s="264" t="n">
        <v>0.05</v>
      </c>
      <c r="BY224" s="264" t="n">
        <v>0.05</v>
      </c>
      <c r="BZ224" s="264" t="n">
        <v>0.05</v>
      </c>
      <c r="CA224" s="264" t="n">
        <v>0.05</v>
      </c>
      <c r="CB224" s="264" t="n">
        <v>0.05</v>
      </c>
      <c r="CC224" s="19" t="n"/>
    </row>
    <row r="225" ht="15" customHeight="1" s="251">
      <c r="CK225" s="11" t="n"/>
      <c r="CL225" s="12" t="n"/>
      <c r="CM225" s="12" t="n"/>
      <c r="CN225" s="12" t="n"/>
      <c r="CO225" s="13" t="n"/>
    </row>
    <row r="226" ht="15" customHeight="1" s="251">
      <c r="B226" s="10" t="inlineStr">
        <is>
          <t>RECONCILIATION: OPERATING PROFIT → ADJUSTED OPERATING PROFIT (company definition, as published)</t>
        </is>
      </c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  <c r="AD226" s="10" t="n"/>
      <c r="AE226" s="10" t="n"/>
      <c r="AF226" s="10" t="n"/>
      <c r="AG226" s="10" t="n"/>
      <c r="AH226" s="10" t="n"/>
      <c r="AI226" s="10" t="n"/>
      <c r="AJ226" s="10" t="n"/>
      <c r="AK226" s="10" t="n"/>
      <c r="AL226" s="10" t="n"/>
      <c r="AM226" s="10" t="n"/>
      <c r="AN226" s="10" t="n"/>
      <c r="AO226" s="10" t="n"/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0" t="n"/>
      <c r="BC226" s="10" t="n"/>
      <c r="BD226" s="10" t="n"/>
      <c r="BE226" s="10" t="n"/>
      <c r="BF226" s="10" t="n"/>
      <c r="BG226" s="10" t="n"/>
      <c r="BH226" s="10" t="n"/>
      <c r="BI226" s="10" t="n"/>
      <c r="BJ226" s="10" t="n"/>
      <c r="BK226" s="10" t="n"/>
      <c r="BL226" s="10" t="n"/>
      <c r="BM226" s="10" t="n"/>
      <c r="BN226" s="10" t="n"/>
      <c r="BO226" s="10" t="n"/>
      <c r="BP226" s="10" t="n"/>
      <c r="BQ226" s="10" t="n"/>
      <c r="BR226" s="10" t="n"/>
      <c r="BS226" s="10" t="n"/>
      <c r="BT226" s="10" t="n"/>
      <c r="BU226" s="10" t="n"/>
      <c r="BV226" s="10" t="n"/>
      <c r="BW226" s="10" t="n"/>
      <c r="BX226" s="10" t="n"/>
      <c r="BY226" s="10" t="n"/>
      <c r="BZ226" s="10" t="n"/>
      <c r="CA226" s="10" t="n"/>
      <c r="CB226" s="10" t="n"/>
      <c r="CC226" s="10" t="inlineStr">
        <is>
          <t>ADJUSTED OP — per the release "Reported vs Adjusted" exhibits; company item wording per period in the cell comments of the cost-driver rows</t>
        </is>
      </c>
    </row>
    <row r="227" ht="15" customHeight="1" s="251">
      <c r="B227" s="16" t="inlineStr">
        <is>
          <t>Operating profit (GAAP)</t>
        </is>
      </c>
      <c r="C227" s="260">
        <f>C196</f>
        <v>1026</v>
      </c>
      <c r="D227" s="260">
        <f>D196</f>
        <v>1077</v>
      </c>
      <c r="E227" s="260">
        <f>E196</f>
        <v>1211</v>
      </c>
      <c r="F227" s="260">
        <f>F196</f>
        <v>278</v>
      </c>
      <c r="G227" s="260">
        <f>G196</f>
        <v>436</v>
      </c>
      <c r="H227" s="260">
        <f>H196</f>
        <v>407</v>
      </c>
      <c r="I227" s="260">
        <f>I196</f>
        <v>284</v>
      </c>
      <c r="J227" s="260">
        <f>J196</f>
        <v>1405</v>
      </c>
      <c r="K227" s="260">
        <f>K196</f>
        <v>430</v>
      </c>
      <c r="L227" s="260">
        <f>L196</f>
        <v>486</v>
      </c>
      <c r="M227" s="260">
        <f>M196</f>
        <v>366</v>
      </c>
      <c r="N227" s="260">
        <f>N196</f>
        <v>-1148</v>
      </c>
      <c r="O227" s="260">
        <f>O196</f>
        <v>113</v>
      </c>
      <c r="P227" s="260">
        <f>P196</f>
        <v>501</v>
      </c>
      <c r="Q227" s="260">
        <f>Q196</f>
        <v>582</v>
      </c>
      <c r="R227" s="260">
        <f>R196</f>
        <v>410</v>
      </c>
      <c r="S227" s="260">
        <f>S196</f>
        <v>424</v>
      </c>
      <c r="T227" s="260">
        <f>T196</f>
        <v>1917</v>
      </c>
      <c r="U227" s="260">
        <f>U196</f>
        <v>512</v>
      </c>
      <c r="V227" s="260">
        <f>V196</f>
        <v>651</v>
      </c>
      <c r="W227" s="260">
        <f>W196</f>
        <v>1348</v>
      </c>
      <c r="X227" s="260">
        <f>X196</f>
        <v>857</v>
      </c>
      <c r="Y227" s="260">
        <f>Y196</f>
        <v>3369</v>
      </c>
      <c r="Z227" s="260">
        <f>Z196</f>
        <v>648</v>
      </c>
      <c r="AA227" s="260">
        <f>AA196</f>
        <v>677</v>
      </c>
      <c r="AB227" s="260">
        <f>AB196</f>
        <v>658</v>
      </c>
      <c r="AC227" s="260">
        <f>AC196</f>
        <v>628</v>
      </c>
      <c r="AD227" s="260">
        <f>AD196</f>
        <v>2610</v>
      </c>
      <c r="AE227" s="260">
        <f>AE196</f>
        <v>711</v>
      </c>
      <c r="AF227" s="260">
        <f>AF196</f>
        <v>672</v>
      </c>
      <c r="AG227" s="260">
        <f>AG196</f>
        <v>704</v>
      </c>
      <c r="AH227" s="260">
        <f>AH196</f>
        <v>704</v>
      </c>
      <c r="AI227" s="260">
        <f>AI196</f>
        <v>2790</v>
      </c>
      <c r="AJ227" s="260">
        <f>AJ196</f>
        <v>705</v>
      </c>
      <c r="AK227" s="260">
        <f>AK196</f>
        <v>813</v>
      </c>
      <c r="AL227" s="260">
        <f>AL196</f>
        <v>891</v>
      </c>
      <c r="AM227" s="260">
        <f>AM196</f>
        <v>818</v>
      </c>
      <c r="AN227" s="260">
        <f>AN196</f>
        <v>3226</v>
      </c>
      <c r="AO227" s="260">
        <f>AO196</f>
        <v>912</v>
      </c>
      <c r="AP227" s="260">
        <f>AP196</f>
        <v>1105</v>
      </c>
      <c r="AQ227" s="260">
        <f>AQ196</f>
        <v>944</v>
      </c>
      <c r="AR227" s="260">
        <f>AR196</f>
        <v>656</v>
      </c>
      <c r="AS227" s="260">
        <f>AS196</f>
        <v>3617</v>
      </c>
      <c r="AT227" s="260">
        <f>AT196</f>
        <v>1081</v>
      </c>
      <c r="AU227" s="260">
        <f>AU196</f>
        <v>1154</v>
      </c>
      <c r="AV227" s="260">
        <f>AV196</f>
        <v>1083</v>
      </c>
      <c r="AW227" s="260">
        <f>AW196</f>
        <v>904</v>
      </c>
      <c r="AX227" s="260">
        <f>AX196</f>
        <v>4221</v>
      </c>
      <c r="AY227" s="260">
        <f>AY196</f>
        <v>1892</v>
      </c>
      <c r="AZ227" s="260">
        <f>AZ196</f>
        <v>1482</v>
      </c>
      <c r="BA227" s="260">
        <f>BA196</f>
        <v>853</v>
      </c>
      <c r="BB227" s="260">
        <f>BB196</f>
        <v>717</v>
      </c>
      <c r="BC227" s="260">
        <f>BC196</f>
        <v>4944</v>
      </c>
      <c r="BD227" s="260">
        <f>BD196</f>
        <v>1144</v>
      </c>
      <c r="BE227" s="260">
        <f>BE196</f>
        <v>911</v>
      </c>
      <c r="BF227" s="260">
        <f>BF196</f>
        <v>1074</v>
      </c>
      <c r="BG227" s="260">
        <f>BG196</f>
        <v>890</v>
      </c>
      <c r="BH227" s="260">
        <f>BH196</f>
        <v>4020</v>
      </c>
      <c r="BI227" s="260">
        <f>BI196</f>
        <v>1385</v>
      </c>
      <c r="BJ227" s="260">
        <f>BJ196</f>
        <v>1452</v>
      </c>
      <c r="BK227" s="260">
        <f>BK196</f>
        <v>1434</v>
      </c>
      <c r="BL227" s="260">
        <f>BL196</f>
        <v>1309</v>
      </c>
      <c r="BM227" s="260">
        <f>BM196</f>
        <v>5580</v>
      </c>
      <c r="BN227" s="260">
        <f>BN196</f>
        <v>1486</v>
      </c>
      <c r="BO227" s="260">
        <f>BO196</f>
        <v>1450</v>
      </c>
      <c r="BP227" s="260">
        <f>BP196</f>
        <v>1565</v>
      </c>
      <c r="BQ227" s="260">
        <f>BQ196</f>
        <v>1638</v>
      </c>
      <c r="BR227" s="260">
        <f>BR196</f>
        <v>6140</v>
      </c>
      <c r="BS227" s="260">
        <f>BS196</f>
        <v>1927</v>
      </c>
      <c r="BT227" s="260">
        <f>BT196</f>
        <v>1757</v>
      </c>
      <c r="BU227" s="261">
        <f>BU196</f>
        <v>1630.82808702302</v>
      </c>
      <c r="BV227" s="261">
        <f>BV196</f>
        <v>1742.45428317199</v>
      </c>
      <c r="BW227" s="261">
        <f>BW196</f>
        <v>7057.28237019501</v>
      </c>
      <c r="BX227" s="261">
        <f>BX196</f>
        <v>7338.99294499657</v>
      </c>
      <c r="BY227" s="261">
        <f>BY196</f>
        <v>7998.58210458068</v>
      </c>
      <c r="BZ227" s="261">
        <f>BZ196</f>
        <v>8651.43909821171</v>
      </c>
      <c r="CA227" s="261">
        <f>CA196</f>
        <v>9329.57849710813</v>
      </c>
      <c r="CB227" s="261">
        <f>CB196</f>
        <v>10020.5606283566</v>
      </c>
      <c r="CC227" s="153" t="n"/>
    </row>
    <row r="228" ht="15" customHeight="1" s="251">
      <c r="B228" s="25" t="inlineStr">
        <is>
          <t xml:space="preserve">  (+) Employee severance, restructuring &amp; leadership-transition costs</t>
        </is>
      </c>
      <c r="C228" s="211">
        <f>C176</f>
        <v>0</v>
      </c>
      <c r="D228" s="211">
        <f>D176</f>
        <v>32</v>
      </c>
      <c r="E228" s="211">
        <f>E176</f>
        <v>48</v>
      </c>
      <c r="F228" s="211">
        <f>F176</f>
        <v>0</v>
      </c>
      <c r="G228" s="211">
        <f>G176</f>
        <v>0</v>
      </c>
      <c r="H228" s="211">
        <f>H176</f>
        <v>0</v>
      </c>
      <c r="I228" s="211">
        <f>I176</f>
        <v>28</v>
      </c>
      <c r="J228" s="211">
        <f>J176</f>
        <v>2</v>
      </c>
      <c r="K228" s="211">
        <f>K176</f>
        <v>0</v>
      </c>
      <c r="L228" s="211">
        <f>L176</f>
        <v>0</v>
      </c>
      <c r="M228" s="211">
        <f>M176</f>
        <v>46</v>
      </c>
      <c r="N228" s="211">
        <f>N176</f>
        <v>41</v>
      </c>
      <c r="O228" s="211">
        <f>O176</f>
        <v>86</v>
      </c>
      <c r="P228" s="211">
        <f>P176</f>
        <v>0</v>
      </c>
      <c r="Q228" s="211">
        <f>Q176</f>
        <v>13</v>
      </c>
      <c r="R228" s="211">
        <f>R176</f>
        <v>0</v>
      </c>
      <c r="S228" s="211">
        <f>S176</f>
        <v>34</v>
      </c>
      <c r="T228" s="211">
        <f>T176</f>
        <v>46</v>
      </c>
      <c r="U228" s="211">
        <f>U176</f>
        <v>0</v>
      </c>
      <c r="V228" s="211">
        <f>V176</f>
        <v>6</v>
      </c>
      <c r="W228" s="211">
        <f>W176</f>
        <v>0</v>
      </c>
      <c r="X228" s="211">
        <f>X176</f>
        <v>0</v>
      </c>
      <c r="Y228" s="211">
        <f>Y176</f>
        <v>6</v>
      </c>
      <c r="Z228" s="211">
        <f>Z176</f>
        <v>0</v>
      </c>
      <c r="AA228" s="211">
        <f>AA176</f>
        <v>5</v>
      </c>
      <c r="AB228" s="211">
        <f>AB176</f>
        <v>19</v>
      </c>
      <c r="AC228" s="211">
        <f>AC176</f>
        <v>18</v>
      </c>
      <c r="AD228" s="211">
        <f>AD176</f>
        <v>44</v>
      </c>
      <c r="AE228" s="211">
        <f>AE176</f>
        <v>0</v>
      </c>
      <c r="AF228" s="211">
        <f>AF176</f>
        <v>0</v>
      </c>
      <c r="AG228" s="211">
        <f>AG176</f>
        <v>9</v>
      </c>
      <c r="AH228" s="211">
        <f>AH176</f>
        <v>16</v>
      </c>
      <c r="AI228" s="211">
        <f>AI176</f>
        <v>25</v>
      </c>
      <c r="AJ228" s="211">
        <f>AJ176</f>
        <v>0</v>
      </c>
      <c r="AK228" s="211">
        <f>AK176</f>
        <v>20</v>
      </c>
      <c r="AL228" s="211">
        <f>AL176</f>
        <v>0</v>
      </c>
      <c r="AM228" s="211">
        <f>AM176</f>
        <v>5</v>
      </c>
      <c r="AN228" s="211">
        <f>AN176</f>
        <v>25</v>
      </c>
      <c r="AO228" s="211">
        <f>AO176</f>
        <v>9</v>
      </c>
      <c r="AP228" s="211">
        <f>AP176</f>
        <v>3</v>
      </c>
      <c r="AQ228" s="211">
        <f>AQ176</f>
        <v>0</v>
      </c>
      <c r="AR228" s="211">
        <f>AR176</f>
        <v>55</v>
      </c>
      <c r="AS228" s="211">
        <f>AS176</f>
        <v>66</v>
      </c>
      <c r="AT228" s="211">
        <f>AT176</f>
        <v>0</v>
      </c>
      <c r="AU228" s="211">
        <f>AU176</f>
        <v>0</v>
      </c>
      <c r="AV228" s="211">
        <f>AV176</f>
        <v>0</v>
      </c>
      <c r="AW228" s="211">
        <f>AW176</f>
        <v>19</v>
      </c>
      <c r="AX228" s="211">
        <f>AX176</f>
        <v>19</v>
      </c>
      <c r="AY228" s="211">
        <f>AY176</f>
        <v>79</v>
      </c>
      <c r="AZ228" s="211">
        <f>AZ176</f>
        <v>60</v>
      </c>
      <c r="BA228" s="211">
        <f>BA176</f>
        <v>56</v>
      </c>
      <c r="BB228" s="211">
        <f>BB176</f>
        <v>95</v>
      </c>
      <c r="BC228" s="211">
        <f>BC176</f>
        <v>290</v>
      </c>
      <c r="BD228" s="211">
        <f>BD176</f>
        <v>11</v>
      </c>
      <c r="BE228" s="211">
        <f>BE176</f>
        <v>51</v>
      </c>
      <c r="BF228" s="211">
        <f>BF176</f>
        <v>38</v>
      </c>
      <c r="BG228" s="211">
        <f>BG176</f>
        <v>83</v>
      </c>
      <c r="BH228" s="211">
        <f>BH176</f>
        <v>183</v>
      </c>
      <c r="BI228" s="211">
        <f>BI176</f>
        <v>36</v>
      </c>
      <c r="BJ228" s="211">
        <f>BJ176</f>
        <v>10</v>
      </c>
      <c r="BK228" s="211">
        <f>BK176</f>
        <v>4</v>
      </c>
      <c r="BL228" s="211">
        <f>BL176</f>
        <v>84</v>
      </c>
      <c r="BM228" s="211">
        <f>BM176</f>
        <v>135</v>
      </c>
      <c r="BN228" s="211">
        <f>BN176</f>
        <v>44</v>
      </c>
      <c r="BO228" s="211">
        <f>BO176</f>
        <v>48</v>
      </c>
      <c r="BP228" s="211">
        <f>BP176</f>
        <v>27</v>
      </c>
      <c r="BQ228" s="211">
        <f>BQ176</f>
        <v>67</v>
      </c>
      <c r="BR228" s="211">
        <f>BR176</f>
        <v>189</v>
      </c>
      <c r="BS228" s="211">
        <f>BS176</f>
        <v>1</v>
      </c>
      <c r="BT228" s="211">
        <f>BT176</f>
        <v>44</v>
      </c>
      <c r="BU228" s="254">
        <f>BU176</f>
        <v>15</v>
      </c>
      <c r="BV228" s="254">
        <f>BV176</f>
        <v>15</v>
      </c>
      <c r="BW228" s="254">
        <f>BW176</f>
        <v>75</v>
      </c>
      <c r="BX228" s="254">
        <f>BX176</f>
        <v>40</v>
      </c>
      <c r="BY228" s="254">
        <f>BY176</f>
        <v>40</v>
      </c>
      <c r="BZ228" s="254">
        <f>BZ176</f>
        <v>40</v>
      </c>
      <c r="CA228" s="254">
        <f>CA176</f>
        <v>40</v>
      </c>
      <c r="CB228" s="254">
        <f>CB176</f>
        <v>40</v>
      </c>
      <c r="CC228" s="19" t="n"/>
    </row>
    <row r="229" ht="15" customHeight="1" s="251">
      <c r="B229" s="25" t="inlineStr">
        <is>
          <t xml:space="preserve">  (+) Acquisition, merger &amp; integration costs (incl. IHS Markit merger costs)</t>
        </is>
      </c>
      <c r="C229" s="211">
        <f>C177</f>
        <v>0</v>
      </c>
      <c r="D229" s="211">
        <f>D177</f>
        <v>0</v>
      </c>
      <c r="E229" s="211">
        <f>E177</f>
        <v>22</v>
      </c>
      <c r="F229" s="211">
        <f>F177</f>
        <v>0</v>
      </c>
      <c r="G229" s="211">
        <f>G177</f>
        <v>0</v>
      </c>
      <c r="H229" s="211">
        <f>H177</f>
        <v>0</v>
      </c>
      <c r="I229" s="211">
        <f>I177</f>
        <v>0</v>
      </c>
      <c r="J229" s="211">
        <f>J177</f>
        <v>0</v>
      </c>
      <c r="K229" s="211">
        <f>K177</f>
        <v>0</v>
      </c>
      <c r="L229" s="211">
        <f>L177</f>
        <v>0</v>
      </c>
      <c r="M229" s="211">
        <f>M177</f>
        <v>4</v>
      </c>
      <c r="N229" s="211">
        <f>N177</f>
        <v>0</v>
      </c>
      <c r="O229" s="211">
        <f>O177</f>
        <v>4</v>
      </c>
      <c r="P229" s="211">
        <f>P177</f>
        <v>0</v>
      </c>
      <c r="Q229" s="211">
        <f>Q177</f>
        <v>0</v>
      </c>
      <c r="R229" s="211">
        <f>R177</f>
        <v>32</v>
      </c>
      <c r="S229" s="211">
        <f>S177</f>
        <v>6</v>
      </c>
      <c r="T229" s="211">
        <f>T177</f>
        <v>37</v>
      </c>
      <c r="U229" s="211">
        <f>U177</f>
        <v>0</v>
      </c>
      <c r="V229" s="211">
        <f>V177</f>
        <v>0</v>
      </c>
      <c r="W229" s="211">
        <f>W177</f>
        <v>1</v>
      </c>
      <c r="X229" s="211">
        <f>X177</f>
        <v>0</v>
      </c>
      <c r="Y229" s="211">
        <f>Y177</f>
        <v>1</v>
      </c>
      <c r="Z229" s="211">
        <f>Z177</f>
        <v>0</v>
      </c>
      <c r="AA229" s="211">
        <f>AA177</f>
        <v>0</v>
      </c>
      <c r="AB229" s="211">
        <f>AB177</f>
        <v>0</v>
      </c>
      <c r="AC229" s="211">
        <f>AC177</f>
        <v>0</v>
      </c>
      <c r="AD229" s="211">
        <f>AD177</f>
        <v>0</v>
      </c>
      <c r="AE229" s="211">
        <f>AE177</f>
        <v>0</v>
      </c>
      <c r="AF229" s="211">
        <f>AF177</f>
        <v>12</v>
      </c>
      <c r="AG229" s="211">
        <f>AG177</f>
        <v>11</v>
      </c>
      <c r="AH229" s="211">
        <f>AH177</f>
        <v>9</v>
      </c>
      <c r="AI229" s="211">
        <f>AI177</f>
        <v>31</v>
      </c>
      <c r="AJ229" s="211">
        <f>AJ177</f>
        <v>7</v>
      </c>
      <c r="AK229" s="211">
        <f>AK177</f>
        <v>5</v>
      </c>
      <c r="AL229" s="211">
        <f>AL177</f>
        <v>6</v>
      </c>
      <c r="AM229" s="211">
        <f>AM177</f>
        <v>8</v>
      </c>
      <c r="AN229" s="211">
        <f>AN177</f>
        <v>25</v>
      </c>
      <c r="AO229" s="211">
        <f>AO177</f>
        <v>5</v>
      </c>
      <c r="AP229" s="211">
        <f>AP177</f>
        <v>2</v>
      </c>
      <c r="AQ229" s="211">
        <f>AQ177</f>
        <v>2</v>
      </c>
      <c r="AR229" s="211">
        <f>AR177</f>
        <v>26</v>
      </c>
      <c r="AS229" s="211">
        <f>AS177</f>
        <v>36</v>
      </c>
      <c r="AT229" s="211">
        <f>AT177</f>
        <v>51</v>
      </c>
      <c r="AU229" s="211">
        <f>AU177</f>
        <v>50</v>
      </c>
      <c r="AV229" s="211">
        <f>AV177</f>
        <v>54</v>
      </c>
      <c r="AW229" s="211">
        <f>AW177</f>
        <v>100</v>
      </c>
      <c r="AX229" s="211">
        <f>AX177</f>
        <v>255</v>
      </c>
      <c r="AY229" s="211">
        <f>AY177</f>
        <v>246</v>
      </c>
      <c r="AZ229" s="211">
        <f>AZ177</f>
        <v>143</v>
      </c>
      <c r="BA229" s="211">
        <f>BA177</f>
        <v>127</v>
      </c>
      <c r="BB229" s="211">
        <f>BB177</f>
        <v>97</v>
      </c>
      <c r="BC229" s="211">
        <f>BC177</f>
        <v>613</v>
      </c>
      <c r="BD229" s="211">
        <f>BD177</f>
        <v>67</v>
      </c>
      <c r="BE229" s="211">
        <f>BE177</f>
        <v>53</v>
      </c>
      <c r="BF229" s="211">
        <f>BF177</f>
        <v>60</v>
      </c>
      <c r="BG229" s="211">
        <f>BG177</f>
        <v>136</v>
      </c>
      <c r="BH229" s="211">
        <f>BH177</f>
        <v>315</v>
      </c>
      <c r="BI229" s="211">
        <f>BI177</f>
        <v>40</v>
      </c>
      <c r="BJ229" s="211">
        <f>BJ177</f>
        <v>33</v>
      </c>
      <c r="BK229" s="211">
        <f>BK177</f>
        <v>32</v>
      </c>
      <c r="BL229" s="211">
        <f>BL177</f>
        <v>26</v>
      </c>
      <c r="BM229" s="211">
        <f>BM177</f>
        <v>131</v>
      </c>
      <c r="BN229" s="211">
        <f>BN177</f>
        <v>9</v>
      </c>
      <c r="BO229" s="211">
        <f>BO177</f>
        <v>5</v>
      </c>
      <c r="BP229" s="211">
        <f>BP177</f>
        <v>17</v>
      </c>
      <c r="BQ229" s="211">
        <f>BQ177</f>
        <v>28</v>
      </c>
      <c r="BR229" s="211">
        <f>BR177</f>
        <v>47</v>
      </c>
      <c r="BS229" s="211">
        <f>BS177</f>
        <v>11</v>
      </c>
      <c r="BT229" s="211">
        <f>BT177</f>
        <v>6</v>
      </c>
      <c r="BU229" s="254">
        <f>BU177</f>
        <v>0</v>
      </c>
      <c r="BV229" s="254">
        <f>BV177</f>
        <v>0</v>
      </c>
      <c r="BW229" s="254">
        <f>BW177</f>
        <v>17</v>
      </c>
      <c r="BX229" s="254">
        <f>BX177</f>
        <v>10</v>
      </c>
      <c r="BY229" s="254">
        <f>BY177</f>
        <v>10</v>
      </c>
      <c r="BZ229" s="254">
        <f>BZ177</f>
        <v>10</v>
      </c>
      <c r="CA229" s="254">
        <f>CA177</f>
        <v>10</v>
      </c>
      <c r="CB229" s="254">
        <f>CB177</f>
        <v>10</v>
      </c>
      <c r="CC229" s="19" t="n"/>
    </row>
    <row r="230" ht="15" customHeight="1" s="251">
      <c r="B230" s="25" t="inlineStr">
        <is>
          <t xml:space="preserve">  (+) Disposition &amp; separation costs (incl. Mobility separation)</t>
        </is>
      </c>
      <c r="C230" s="211">
        <f>C178</f>
        <v>0</v>
      </c>
      <c r="D230" s="211">
        <f>D178</f>
        <v>10</v>
      </c>
      <c r="E230" s="211">
        <f>E178</f>
        <v>156</v>
      </c>
      <c r="F230" s="211">
        <f>F178</f>
        <v>44</v>
      </c>
      <c r="G230" s="211">
        <f>G178</f>
        <v>10</v>
      </c>
      <c r="H230" s="211">
        <f>H178</f>
        <v>9</v>
      </c>
      <c r="I230" s="211">
        <f>I178</f>
        <v>0</v>
      </c>
      <c r="J230" s="211">
        <f>J178</f>
        <v>64</v>
      </c>
      <c r="K230" s="211">
        <f>K178</f>
        <v>0</v>
      </c>
      <c r="L230" s="211">
        <f>L178</f>
        <v>0</v>
      </c>
      <c r="M230" s="211">
        <f>M178</f>
        <v>0</v>
      </c>
      <c r="N230" s="211">
        <f>N178</f>
        <v>0</v>
      </c>
      <c r="O230" s="211">
        <f>O178</f>
        <v>0</v>
      </c>
      <c r="P230" s="211">
        <f>P178</f>
        <v>0</v>
      </c>
      <c r="Q230" s="211">
        <f>Q178</f>
        <v>0</v>
      </c>
      <c r="R230" s="211">
        <f>R178</f>
        <v>0</v>
      </c>
      <c r="S230" s="211">
        <f>S178</f>
        <v>0</v>
      </c>
      <c r="T230" s="211">
        <f>T178</f>
        <v>0</v>
      </c>
      <c r="U230" s="211">
        <f>U178</f>
        <v>3</v>
      </c>
      <c r="V230" s="211">
        <f>V178</f>
        <v>7</v>
      </c>
      <c r="W230" s="211">
        <f>W178</f>
        <v>6</v>
      </c>
      <c r="X230" s="211">
        <f>X178</f>
        <v>31</v>
      </c>
      <c r="Y230" s="211">
        <f>Y178</f>
        <v>45</v>
      </c>
      <c r="Z230" s="211">
        <f>Z178</f>
        <v>0</v>
      </c>
      <c r="AA230" s="211">
        <f>AA178</f>
        <v>0</v>
      </c>
      <c r="AB230" s="211">
        <f>AB178</f>
        <v>0</v>
      </c>
      <c r="AC230" s="211">
        <f>AC178</f>
        <v>0</v>
      </c>
      <c r="AD230" s="211">
        <f>AD178</f>
        <v>0</v>
      </c>
      <c r="AE230" s="211">
        <f>AE178</f>
        <v>0</v>
      </c>
      <c r="AF230" s="211">
        <f>AF178</f>
        <v>0</v>
      </c>
      <c r="AG230" s="211">
        <f>AG178</f>
        <v>0</v>
      </c>
      <c r="AH230" s="211">
        <f>AH178</f>
        <v>0</v>
      </c>
      <c r="AI230" s="211">
        <f>AI178</f>
        <v>0</v>
      </c>
      <c r="AJ230" s="211">
        <f>AJ178</f>
        <v>0</v>
      </c>
      <c r="AK230" s="211">
        <f>AK178</f>
        <v>0</v>
      </c>
      <c r="AL230" s="211">
        <f>AL178</f>
        <v>0</v>
      </c>
      <c r="AM230" s="211">
        <f>AM178</f>
        <v>0</v>
      </c>
      <c r="AN230" s="211">
        <f>AN178</f>
        <v>0</v>
      </c>
      <c r="AO230" s="211">
        <f>AO178</f>
        <v>0</v>
      </c>
      <c r="AP230" s="211">
        <f>AP178</f>
        <v>0</v>
      </c>
      <c r="AQ230" s="211">
        <f>AQ178</f>
        <v>0</v>
      </c>
      <c r="AR230" s="211">
        <f>AR178</f>
        <v>0</v>
      </c>
      <c r="AS230" s="211">
        <f>AS178</f>
        <v>0</v>
      </c>
      <c r="AT230" s="211">
        <f>AT178</f>
        <v>0</v>
      </c>
      <c r="AU230" s="211">
        <f>AU178</f>
        <v>0</v>
      </c>
      <c r="AV230" s="211">
        <f>AV178</f>
        <v>0</v>
      </c>
      <c r="AW230" s="211">
        <f>AW178</f>
        <v>0</v>
      </c>
      <c r="AX230" s="211">
        <f>AX178</f>
        <v>0</v>
      </c>
      <c r="AY230" s="211">
        <f>AY178</f>
        <v>0</v>
      </c>
      <c r="AZ230" s="211">
        <f>AZ178</f>
        <v>0</v>
      </c>
      <c r="BA230" s="211">
        <f>BA178</f>
        <v>0</v>
      </c>
      <c r="BB230" s="211">
        <f>BB178</f>
        <v>24</v>
      </c>
      <c r="BC230" s="211">
        <f>BC178</f>
        <v>24</v>
      </c>
      <c r="BD230" s="211">
        <f>BD178</f>
        <v>13</v>
      </c>
      <c r="BE230" s="211">
        <f>BE178</f>
        <v>3</v>
      </c>
      <c r="BF230" s="211">
        <f>BF178</f>
        <v>3</v>
      </c>
      <c r="BG230" s="211">
        <f>BG178</f>
        <v>5</v>
      </c>
      <c r="BH230" s="211">
        <f>BH178</f>
        <v>24</v>
      </c>
      <c r="BI230" s="211">
        <f>BI178</f>
        <v>0</v>
      </c>
      <c r="BJ230" s="211">
        <f>BJ178</f>
        <v>3</v>
      </c>
      <c r="BK230" s="211">
        <f>BK178</f>
        <v>0</v>
      </c>
      <c r="BL230" s="211">
        <f>BL178</f>
        <v>6</v>
      </c>
      <c r="BM230" s="211">
        <f>BM178</f>
        <v>9</v>
      </c>
      <c r="BN230" s="211">
        <f>BN178</f>
        <v>1</v>
      </c>
      <c r="BO230" s="211">
        <f>BO178</f>
        <v>11</v>
      </c>
      <c r="BP230" s="211">
        <f>BP178</f>
        <v>8</v>
      </c>
      <c r="BQ230" s="211">
        <f>BQ178</f>
        <v>54</v>
      </c>
      <c r="BR230" s="211">
        <f>BR178</f>
        <v>84</v>
      </c>
      <c r="BS230" s="211">
        <f>BS178</f>
        <v>27</v>
      </c>
      <c r="BT230" s="211">
        <f>BT178</f>
        <v>59</v>
      </c>
      <c r="BU230" s="254">
        <f>BU178</f>
        <v>10</v>
      </c>
      <c r="BV230" s="254">
        <f>BV178</f>
        <v>10</v>
      </c>
      <c r="BW230" s="254">
        <f>BW178</f>
        <v>106</v>
      </c>
      <c r="BX230" s="254">
        <f>BX178</f>
        <v>0</v>
      </c>
      <c r="BY230" s="254">
        <f>BY178</f>
        <v>0</v>
      </c>
      <c r="BZ230" s="254">
        <f>BZ178</f>
        <v>0</v>
      </c>
      <c r="CA230" s="254">
        <f>CA178</f>
        <v>0</v>
      </c>
      <c r="CB230" s="254">
        <f>CB178</f>
        <v>0</v>
      </c>
      <c r="CC230" s="19" t="n"/>
    </row>
    <row r="231" ht="15" customHeight="1" s="251">
      <c r="B231" s="25" t="inlineStr">
        <is>
          <t xml:space="preserve">  (+) (Gain) / loss on dispositions</t>
        </is>
      </c>
      <c r="C231" s="211">
        <f>C179</f>
        <v>0</v>
      </c>
      <c r="D231" s="211">
        <f>D179</f>
        <v>0</v>
      </c>
      <c r="E231" s="211">
        <f>E179</f>
        <v>0</v>
      </c>
      <c r="F231" s="211">
        <f>F179</f>
        <v>0</v>
      </c>
      <c r="G231" s="211">
        <f>G179</f>
        <v>0</v>
      </c>
      <c r="H231" s="211">
        <f>H179</f>
        <v>-20</v>
      </c>
      <c r="I231" s="211">
        <f>I179</f>
        <v>0</v>
      </c>
      <c r="J231" s="211">
        <f>J179</f>
        <v>5</v>
      </c>
      <c r="K231" s="211">
        <f>K179</f>
        <v>0</v>
      </c>
      <c r="L231" s="211">
        <f>L179</f>
        <v>0</v>
      </c>
      <c r="M231" s="211">
        <f>M179</f>
        <v>0</v>
      </c>
      <c r="N231" s="211">
        <f>N179</f>
        <v>0</v>
      </c>
      <c r="O231" s="211">
        <f>O179</f>
        <v>0</v>
      </c>
      <c r="P231" s="211">
        <f>P179</f>
        <v>0</v>
      </c>
      <c r="Q231" s="211">
        <f>Q179</f>
        <v>-11</v>
      </c>
      <c r="R231" s="211">
        <f>R179</f>
        <v>0</v>
      </c>
      <c r="S231" s="211">
        <f>S179</f>
        <v>0</v>
      </c>
      <c r="T231" s="211">
        <f>T179</f>
        <v>-11</v>
      </c>
      <c r="U231" s="211">
        <f>U179</f>
        <v>0</v>
      </c>
      <c r="V231" s="211">
        <f>V179</f>
        <v>0</v>
      </c>
      <c r="W231" s="211">
        <f>W179</f>
        <v>-722</v>
      </c>
      <c r="X231" s="211">
        <f>X179</f>
        <v>-379</v>
      </c>
      <c r="Y231" s="211">
        <f>Y179</f>
        <v>-1101</v>
      </c>
      <c r="Z231" s="211">
        <f>Z179</f>
        <v>0</v>
      </c>
      <c r="AA231" s="211">
        <f>AA179</f>
        <v>0</v>
      </c>
      <c r="AB231" s="211">
        <f>AB179</f>
        <v>0</v>
      </c>
      <c r="AC231" s="211">
        <f>AC179</f>
        <v>0</v>
      </c>
      <c r="AD231" s="211">
        <f>AD179</f>
        <v>0</v>
      </c>
      <c r="AE231" s="211">
        <f>AE179</f>
        <v>0</v>
      </c>
      <c r="AF231" s="211">
        <f>AF179</f>
        <v>0</v>
      </c>
      <c r="AG231" s="211">
        <f>AG179</f>
        <v>0</v>
      </c>
      <c r="AH231" s="211">
        <f>AH179</f>
        <v>0</v>
      </c>
      <c r="AI231" s="211">
        <f>AI179</f>
        <v>0</v>
      </c>
      <c r="AJ231" s="211">
        <f>AJ179</f>
        <v>0</v>
      </c>
      <c r="AK231" s="211">
        <f>AK179</f>
        <v>0</v>
      </c>
      <c r="AL231" s="211">
        <f>AL179</f>
        <v>-49</v>
      </c>
      <c r="AM231" s="211">
        <f>AM179</f>
        <v>0</v>
      </c>
      <c r="AN231" s="211">
        <f>AN179</f>
        <v>-49</v>
      </c>
      <c r="AO231" s="211">
        <f>AO179</f>
        <v>-7</v>
      </c>
      <c r="AP231" s="211">
        <f>AP179</f>
        <v>-1</v>
      </c>
      <c r="AQ231" s="211">
        <f>AQ179</f>
        <v>-8</v>
      </c>
      <c r="AR231" s="211">
        <f>AR179</f>
        <v>0</v>
      </c>
      <c r="AS231" s="211">
        <f>AS179</f>
        <v>-16</v>
      </c>
      <c r="AT231" s="211">
        <f>AT179</f>
        <v>-2</v>
      </c>
      <c r="AU231" s="211">
        <f>AU179</f>
        <v>0</v>
      </c>
      <c r="AV231" s="211">
        <f>AV179</f>
        <v>-3</v>
      </c>
      <c r="AW231" s="211">
        <f>AW179</f>
        <v>-7</v>
      </c>
      <c r="AX231" s="211">
        <f>AX179</f>
        <v>-11</v>
      </c>
      <c r="AY231" s="211">
        <f>AY179</f>
        <v>-1344</v>
      </c>
      <c r="AZ231" s="211">
        <f>AZ179</f>
        <v>-556</v>
      </c>
      <c r="BA231" s="211">
        <f>BA179</f>
        <v>3</v>
      </c>
      <c r="BB231" s="211">
        <f>BB179</f>
        <v>-1</v>
      </c>
      <c r="BC231" s="211">
        <f>BC179</f>
        <v>-1898</v>
      </c>
      <c r="BD231" s="211">
        <f>BD179</f>
        <v>-50</v>
      </c>
      <c r="BE231" s="211">
        <f>BE179</f>
        <v>120</v>
      </c>
      <c r="BF231" s="211">
        <f>BF179</f>
        <v>0</v>
      </c>
      <c r="BG231" s="211">
        <f>BG179</f>
        <v>0</v>
      </c>
      <c r="BH231" s="211">
        <f>BH179</f>
        <v>70</v>
      </c>
      <c r="BI231" s="211">
        <f>BI179</f>
        <v>0</v>
      </c>
      <c r="BJ231" s="211">
        <f>BJ179</f>
        <v>-1</v>
      </c>
      <c r="BK231" s="211">
        <f>BK179</f>
        <v>-21</v>
      </c>
      <c r="BL231" s="211">
        <f>BL179</f>
        <v>-38</v>
      </c>
      <c r="BM231" s="211">
        <f>BM179</f>
        <v>-60</v>
      </c>
      <c r="BN231" s="211">
        <f>BN179</f>
        <v>0</v>
      </c>
      <c r="BO231" s="211">
        <f>BO179</f>
        <v>-3</v>
      </c>
      <c r="BP231" s="211">
        <f>BP179</f>
        <v>0</v>
      </c>
      <c r="BQ231" s="211">
        <f>BQ179</f>
        <v>-270</v>
      </c>
      <c r="BR231" s="211">
        <f>BR179</f>
        <v>-273</v>
      </c>
      <c r="BS231" s="211">
        <f>BS179</f>
        <v>-175</v>
      </c>
      <c r="BT231" s="211">
        <f>BT179</f>
        <v>-11</v>
      </c>
      <c r="BU231" s="254">
        <f>BU179</f>
        <v>0</v>
      </c>
      <c r="BV231" s="254">
        <f>BV179</f>
        <v>-250</v>
      </c>
      <c r="BW231" s="254">
        <f>BW179</f>
        <v>-436</v>
      </c>
      <c r="BX231" s="254">
        <f>BX179</f>
        <v>0</v>
      </c>
      <c r="BY231" s="254">
        <f>BY179</f>
        <v>0</v>
      </c>
      <c r="BZ231" s="254">
        <f>BZ179</f>
        <v>0</v>
      </c>
      <c r="CA231" s="254">
        <f>CA179</f>
        <v>0</v>
      </c>
      <c r="CB231" s="254">
        <f>CB179</f>
        <v>0</v>
      </c>
      <c r="CC231" s="19" t="n"/>
    </row>
    <row r="232" ht="15" customHeight="1" s="251">
      <c r="B232" s="25" t="inlineStr">
        <is>
          <t xml:space="preserve">  (+) Legal settlements &amp; costs (net of insurance recoveries)</t>
        </is>
      </c>
      <c r="C232" s="211">
        <f>C180</f>
        <v>0</v>
      </c>
      <c r="D232" s="211">
        <f>D180</f>
        <v>0</v>
      </c>
      <c r="E232" s="211">
        <f>E180</f>
        <v>0</v>
      </c>
      <c r="F232" s="211">
        <f>F180</f>
        <v>77</v>
      </c>
      <c r="G232" s="211">
        <f>G180</f>
        <v>0</v>
      </c>
      <c r="H232" s="211">
        <f>H180</f>
        <v>0</v>
      </c>
      <c r="I232" s="211">
        <f>I180</f>
        <v>0</v>
      </c>
      <c r="J232" s="211">
        <f>J180</f>
        <v>77</v>
      </c>
      <c r="K232" s="211">
        <f>K180</f>
        <v>0</v>
      </c>
      <c r="L232" s="211">
        <f>L180</f>
        <v>0</v>
      </c>
      <c r="M232" s="211">
        <f>M180</f>
        <v>60</v>
      </c>
      <c r="N232" s="211">
        <f>N180</f>
        <v>1552</v>
      </c>
      <c r="O232" s="211">
        <f>O180</f>
        <v>1612</v>
      </c>
      <c r="P232" s="211">
        <f>P180</f>
        <v>-6</v>
      </c>
      <c r="Q232" s="211">
        <f>Q180</f>
        <v>-41</v>
      </c>
      <c r="R232" s="211">
        <f>R180</f>
        <v>86</v>
      </c>
      <c r="S232" s="211">
        <f>S180</f>
        <v>15</v>
      </c>
      <c r="T232" s="211">
        <f>T180</f>
        <v>54</v>
      </c>
      <c r="U232" s="211">
        <f>U180</f>
        <v>-12</v>
      </c>
      <c r="V232" s="211">
        <f>V180</f>
        <v>-34</v>
      </c>
      <c r="W232" s="211">
        <f>W180</f>
        <v>-17</v>
      </c>
      <c r="X232" s="211">
        <f>X180</f>
        <v>54</v>
      </c>
      <c r="Y232" s="211">
        <f>Y180</f>
        <v>-10</v>
      </c>
      <c r="Z232" s="211">
        <f>Z180</f>
        <v>2</v>
      </c>
      <c r="AA232" s="211">
        <f>AA180</f>
        <v>0</v>
      </c>
      <c r="AB232" s="211">
        <f>AB180</f>
        <v>0</v>
      </c>
      <c r="AC232" s="211">
        <f>AC180</f>
        <v>53</v>
      </c>
      <c r="AD232" s="211">
        <f>AD180</f>
        <v>55</v>
      </c>
      <c r="AE232" s="211">
        <f>AE180</f>
        <v>0</v>
      </c>
      <c r="AF232" s="211">
        <f>AF180</f>
        <v>73</v>
      </c>
      <c r="AG232" s="211">
        <f>AG180</f>
        <v>0</v>
      </c>
      <c r="AH232" s="211">
        <f>AH180</f>
        <v>1</v>
      </c>
      <c r="AI232" s="211">
        <f>AI180</f>
        <v>74</v>
      </c>
      <c r="AJ232" s="211">
        <f>AJ180</f>
        <v>0</v>
      </c>
      <c r="AK232" s="211">
        <f>AK180</f>
        <v>0</v>
      </c>
      <c r="AL232" s="211">
        <f>AL180</f>
        <v>0</v>
      </c>
      <c r="AM232" s="211">
        <f>AM180</f>
        <v>0</v>
      </c>
      <c r="AN232" s="211">
        <f>AN180</f>
        <v>0</v>
      </c>
      <c r="AO232" s="211">
        <f>AO180</f>
        <v>0</v>
      </c>
      <c r="AP232" s="211">
        <f>AP180</f>
        <v>0</v>
      </c>
      <c r="AQ232" s="211">
        <f>AQ180</f>
        <v>0</v>
      </c>
      <c r="AR232" s="211">
        <f>AR180</f>
        <v>0</v>
      </c>
      <c r="AS232" s="211">
        <f>AS180</f>
        <v>0</v>
      </c>
      <c r="AT232" s="211">
        <f>AT180</f>
        <v>0</v>
      </c>
      <c r="AU232" s="211">
        <f>AU180</f>
        <v>0</v>
      </c>
      <c r="AV232" s="211">
        <f>AV180</f>
        <v>0</v>
      </c>
      <c r="AW232" s="211">
        <f>AW180</f>
        <v>0</v>
      </c>
      <c r="AX232" s="211">
        <f>AX180</f>
        <v>0</v>
      </c>
      <c r="AY232" s="211">
        <f>AY180</f>
        <v>0</v>
      </c>
      <c r="AZ232" s="211">
        <f>AZ180</f>
        <v>0</v>
      </c>
      <c r="BA232" s="211">
        <f>BA180</f>
        <v>0</v>
      </c>
      <c r="BB232" s="211">
        <f>BB180</f>
        <v>5</v>
      </c>
      <c r="BC232" s="211">
        <f>BC180</f>
        <v>5</v>
      </c>
      <c r="BD232" s="211">
        <f>BD180</f>
        <v>0</v>
      </c>
      <c r="BE232" s="211">
        <f>BE180</f>
        <v>0</v>
      </c>
      <c r="BF232" s="211">
        <f>BF180</f>
        <v>0</v>
      </c>
      <c r="BG232" s="211">
        <f>BG180</f>
        <v>0</v>
      </c>
      <c r="BH232" s="211">
        <f>BH180</f>
        <v>0</v>
      </c>
      <c r="BI232" s="211">
        <f>BI180</f>
        <v>0</v>
      </c>
      <c r="BJ232" s="211">
        <f>BJ180</f>
        <v>20</v>
      </c>
      <c r="BK232" s="211">
        <f>BK180</f>
        <v>0</v>
      </c>
      <c r="BL232" s="211">
        <f>BL180</f>
        <v>0</v>
      </c>
      <c r="BM232" s="211">
        <f>BM180</f>
        <v>20</v>
      </c>
      <c r="BN232" s="211">
        <f>BN180</f>
        <v>0</v>
      </c>
      <c r="BO232" s="211">
        <f>BO180</f>
        <v>29</v>
      </c>
      <c r="BP232" s="211">
        <f>BP180</f>
        <v>13</v>
      </c>
      <c r="BQ232" s="211">
        <f>BQ180</f>
        <v>6</v>
      </c>
      <c r="BR232" s="211">
        <f>BR180</f>
        <v>48</v>
      </c>
      <c r="BS232" s="211">
        <f>BS180</f>
        <v>0</v>
      </c>
      <c r="BT232" s="211">
        <f>BT180</f>
        <v>0</v>
      </c>
      <c r="BU232" s="254">
        <f>BU180</f>
        <v>0</v>
      </c>
      <c r="BV232" s="254">
        <f>BV180</f>
        <v>0</v>
      </c>
      <c r="BW232" s="254">
        <f>BW180</f>
        <v>0</v>
      </c>
      <c r="BX232" s="254">
        <f>BX180</f>
        <v>0</v>
      </c>
      <c r="BY232" s="254">
        <f>BY180</f>
        <v>0</v>
      </c>
      <c r="BZ232" s="254">
        <f>BZ180</f>
        <v>0</v>
      </c>
      <c r="CA232" s="254">
        <f>CA180</f>
        <v>0</v>
      </c>
      <c r="CB232" s="254">
        <f>CB180</f>
        <v>0</v>
      </c>
      <c r="CC232" s="19" t="n"/>
    </row>
    <row r="233" ht="15" customHeight="1" s="251">
      <c r="B233" s="25" t="inlineStr">
        <is>
          <t xml:space="preserve">  (+) Asset, lease &amp; technology impairments</t>
        </is>
      </c>
      <c r="C233" s="211">
        <f>C181</f>
        <v>0</v>
      </c>
      <c r="D233" s="211">
        <f>D181</f>
        <v>0</v>
      </c>
      <c r="E233" s="211">
        <f>E181</f>
        <v>0</v>
      </c>
      <c r="F233" s="211">
        <f>F181</f>
        <v>0</v>
      </c>
      <c r="G233" s="211">
        <f>G181</f>
        <v>0</v>
      </c>
      <c r="H233" s="211">
        <f>H181</f>
        <v>0</v>
      </c>
      <c r="I233" s="211">
        <f>I181</f>
        <v>36</v>
      </c>
      <c r="J233" s="211">
        <f>J181</f>
        <v>36</v>
      </c>
      <c r="K233" s="211">
        <f>K181</f>
        <v>0</v>
      </c>
      <c r="L233" s="211">
        <f>L181</f>
        <v>0</v>
      </c>
      <c r="M233" s="211">
        <f>M181</f>
        <v>0</v>
      </c>
      <c r="N233" s="211">
        <f>N181</f>
        <v>0</v>
      </c>
      <c r="O233" s="211">
        <f>O181</f>
        <v>0</v>
      </c>
      <c r="P233" s="211">
        <f>P181</f>
        <v>0</v>
      </c>
      <c r="Q233" s="211">
        <f>Q181</f>
        <v>0</v>
      </c>
      <c r="R233" s="211">
        <f>R181</f>
        <v>0</v>
      </c>
      <c r="S233" s="211">
        <f>S181</f>
        <v>0</v>
      </c>
      <c r="T233" s="211">
        <f>T181</f>
        <v>0</v>
      </c>
      <c r="U233" s="211">
        <f>U181</f>
        <v>24</v>
      </c>
      <c r="V233" s="211">
        <f>V181</f>
        <v>0</v>
      </c>
      <c r="W233" s="211">
        <f>W181</f>
        <v>0</v>
      </c>
      <c r="X233" s="211">
        <f>X181</f>
        <v>0</v>
      </c>
      <c r="Y233" s="211">
        <f>Y181</f>
        <v>24</v>
      </c>
      <c r="Z233" s="211">
        <f>Z181</f>
        <v>0</v>
      </c>
      <c r="AA233" s="211">
        <f>AA181</f>
        <v>8</v>
      </c>
      <c r="AB233" s="211">
        <f>AB181</f>
        <v>0</v>
      </c>
      <c r="AC233" s="211">
        <f>AC181</f>
        <v>19</v>
      </c>
      <c r="AD233" s="211">
        <f>AD181</f>
        <v>27</v>
      </c>
      <c r="AE233" s="211">
        <f>AE181</f>
        <v>0</v>
      </c>
      <c r="AF233" s="211">
        <f>AF181</f>
        <v>0</v>
      </c>
      <c r="AG233" s="211">
        <f>AG181</f>
        <v>11</v>
      </c>
      <c r="AH233" s="211">
        <f>AH181</f>
        <v>0</v>
      </c>
      <c r="AI233" s="211">
        <f>AI181</f>
        <v>11</v>
      </c>
      <c r="AJ233" s="211">
        <f>AJ181</f>
        <v>0</v>
      </c>
      <c r="AK233" s="211">
        <f>AK181</f>
        <v>5</v>
      </c>
      <c r="AL233" s="211">
        <f>AL181</f>
        <v>0</v>
      </c>
      <c r="AM233" s="211">
        <f>AM181</f>
        <v>6</v>
      </c>
      <c r="AN233" s="211">
        <f>AN181</f>
        <v>11</v>
      </c>
      <c r="AO233" s="211">
        <f>AO181</f>
        <v>0</v>
      </c>
      <c r="AP233" s="211">
        <f>AP181</f>
        <v>0</v>
      </c>
      <c r="AQ233" s="211">
        <f>AQ181</f>
        <v>5</v>
      </c>
      <c r="AR233" s="211">
        <f>AR181</f>
        <v>127</v>
      </c>
      <c r="AS233" s="211">
        <f>AS181</f>
        <v>133</v>
      </c>
      <c r="AT233" s="211">
        <f>AT181</f>
        <v>0</v>
      </c>
      <c r="AU233" s="211">
        <f>AU181</f>
        <v>3</v>
      </c>
      <c r="AV233" s="211">
        <f>AV181</f>
        <v>0</v>
      </c>
      <c r="AW233" s="211">
        <f>AW181</f>
        <v>0</v>
      </c>
      <c r="AX233" s="211">
        <f>AX181</f>
        <v>3</v>
      </c>
      <c r="AY233" s="211">
        <f>AY181</f>
        <v>5</v>
      </c>
      <c r="AZ233" s="211">
        <f>AZ181</f>
        <v>3</v>
      </c>
      <c r="BA233" s="211">
        <f>BA181</f>
        <v>9</v>
      </c>
      <c r="BB233" s="211">
        <f>BB181</f>
        <v>0</v>
      </c>
      <c r="BC233" s="211">
        <f>BC181</f>
        <v>17</v>
      </c>
      <c r="BD233" s="211">
        <f>BD181</f>
        <v>0</v>
      </c>
      <c r="BE233" s="211">
        <f>BE181</f>
        <v>20</v>
      </c>
      <c r="BF233" s="211">
        <f>BF181</f>
        <v>1</v>
      </c>
      <c r="BG233" s="211">
        <f>BG181</f>
        <v>2</v>
      </c>
      <c r="BH233" s="211">
        <f>BH181</f>
        <v>21</v>
      </c>
      <c r="BI233" s="211">
        <f>BI181</f>
        <v>-1</v>
      </c>
      <c r="BJ233" s="211">
        <f>BJ181</f>
        <v>1</v>
      </c>
      <c r="BK233" s="211">
        <f>BK181</f>
        <v>1</v>
      </c>
      <c r="BL233" s="211">
        <f>BL181</f>
        <v>3</v>
      </c>
      <c r="BM233" s="211">
        <f>BM181</f>
        <v>3</v>
      </c>
      <c r="BN233" s="211">
        <f>BN181</f>
        <v>6</v>
      </c>
      <c r="BO233" s="211">
        <f>BO181</f>
        <v>3</v>
      </c>
      <c r="BP233" s="211">
        <f>BP181</f>
        <v>6</v>
      </c>
      <c r="BQ233" s="211">
        <f>BQ181</f>
        <v>7</v>
      </c>
      <c r="BR233" s="211">
        <f>BR181</f>
        <v>22</v>
      </c>
      <c r="BS233" s="211">
        <f>BS181</f>
        <v>5</v>
      </c>
      <c r="BT233" s="211">
        <f>BT181</f>
        <v>4</v>
      </c>
      <c r="BU233" s="254">
        <f>BU181</f>
        <v>0</v>
      </c>
      <c r="BV233" s="254">
        <f>BV181</f>
        <v>0</v>
      </c>
      <c r="BW233" s="254">
        <f>BW181</f>
        <v>9</v>
      </c>
      <c r="BX233" s="254">
        <f>BX181</f>
        <v>0</v>
      </c>
      <c r="BY233" s="254">
        <f>BY181</f>
        <v>0</v>
      </c>
      <c r="BZ233" s="254">
        <f>BZ181</f>
        <v>0</v>
      </c>
      <c r="CA233" s="254">
        <f>CA181</f>
        <v>0</v>
      </c>
      <c r="CB233" s="254">
        <f>CB181</f>
        <v>0</v>
      </c>
      <c r="CC233" s="19" t="n"/>
    </row>
    <row r="234" ht="15" customHeight="1" s="251">
      <c r="B234" s="25" t="inlineStr">
        <is>
          <t xml:space="preserve">  (+) Other items (non-cash acquisition / disposition adjustments, labor-law accrual, other)</t>
        </is>
      </c>
      <c r="C234" s="211">
        <f>C182</f>
        <v>0</v>
      </c>
      <c r="D234" s="211">
        <f>D182</f>
        <v>0</v>
      </c>
      <c r="E234" s="211">
        <f>E182</f>
        <v>-52</v>
      </c>
      <c r="F234" s="211">
        <f>F182</f>
        <v>0</v>
      </c>
      <c r="G234" s="211">
        <f>G182</f>
        <v>0</v>
      </c>
      <c r="H234" s="211">
        <f>H182</f>
        <v>0</v>
      </c>
      <c r="I234" s="211">
        <f>I182</f>
        <v>13</v>
      </c>
      <c r="J234" s="211">
        <f>J182</f>
        <v>13</v>
      </c>
      <c r="K234" s="211">
        <f>K182</f>
        <v>0</v>
      </c>
      <c r="L234" s="211">
        <f>L182</f>
        <v>0</v>
      </c>
      <c r="M234" s="211">
        <f>M182</f>
        <v>-1</v>
      </c>
      <c r="N234" s="211">
        <f>N182</f>
        <v>-1</v>
      </c>
      <c r="O234" s="211">
        <f>O182</f>
        <v>0</v>
      </c>
      <c r="P234" s="211">
        <f>P182</f>
        <v>0</v>
      </c>
      <c r="Q234" s="211">
        <f>Q182</f>
        <v>9</v>
      </c>
      <c r="R234" s="211">
        <f>R182</f>
        <v>0</v>
      </c>
      <c r="S234" s="211">
        <f>S182</f>
        <v>-1</v>
      </c>
      <c r="T234" s="211">
        <f>T182</f>
        <v>10</v>
      </c>
      <c r="U234" s="211">
        <f>U182</f>
        <v>-1</v>
      </c>
      <c r="V234" s="211">
        <f>V182</f>
        <v>-1</v>
      </c>
      <c r="W234" s="211">
        <f>W182</f>
        <v>-1</v>
      </c>
      <c r="X234" s="211">
        <f>X182</f>
        <v>1</v>
      </c>
      <c r="Y234" s="211">
        <f>Y182</f>
        <v>1</v>
      </c>
      <c r="Z234" s="211">
        <f>Z182</f>
        <v>15</v>
      </c>
      <c r="AA234" s="211">
        <f>AA182</f>
        <v>0</v>
      </c>
      <c r="AB234" s="211">
        <f>AB182</f>
        <v>0</v>
      </c>
      <c r="AC234" s="211">
        <f>AC182</f>
        <v>9</v>
      </c>
      <c r="AD234" s="211">
        <f>AD182</f>
        <v>23</v>
      </c>
      <c r="AE234" s="211">
        <f>AE182</f>
        <v>0</v>
      </c>
      <c r="AF234" s="211">
        <f>AF182</f>
        <v>0</v>
      </c>
      <c r="AG234" s="211">
        <f>AG182</f>
        <v>-1</v>
      </c>
      <c r="AH234" s="211">
        <f>AH182</f>
        <v>0</v>
      </c>
      <c r="AI234" s="211">
        <f>AI182</f>
        <v>-1</v>
      </c>
      <c r="AJ234" s="211">
        <f>AJ182</f>
        <v>-1</v>
      </c>
      <c r="AK234" s="211">
        <f>AK182</f>
        <v>0</v>
      </c>
      <c r="AL234" s="211">
        <f>AL182</f>
        <v>0</v>
      </c>
      <c r="AM234" s="211">
        <f>AM182</f>
        <v>-1</v>
      </c>
      <c r="AN234" s="211">
        <f>AN182</f>
        <v>0</v>
      </c>
      <c r="AO234" s="211">
        <f>AO182</f>
        <v>0</v>
      </c>
      <c r="AP234" s="211">
        <f>AP182</f>
        <v>0</v>
      </c>
      <c r="AQ234" s="211">
        <f>AQ182</f>
        <v>1</v>
      </c>
      <c r="AR234" s="211">
        <f>AR182</f>
        <v>10</v>
      </c>
      <c r="AS234" s="211">
        <f>AS182</f>
        <v>8</v>
      </c>
      <c r="AT234" s="211">
        <f>AT182</f>
        <v>1</v>
      </c>
      <c r="AU234" s="211">
        <f>AU182</f>
        <v>-1</v>
      </c>
      <c r="AV234" s="211">
        <f>AV182</f>
        <v>0</v>
      </c>
      <c r="AW234" s="211">
        <f>AW182</f>
        <v>-1</v>
      </c>
      <c r="AX234" s="211">
        <f>AX182</f>
        <v>-2</v>
      </c>
      <c r="AY234" s="211">
        <f>AY182</f>
        <v>198</v>
      </c>
      <c r="AZ234" s="211">
        <f>AZ182</f>
        <v>-12</v>
      </c>
      <c r="BA234" s="211">
        <f>BA182</f>
        <v>-10</v>
      </c>
      <c r="BB234" s="211">
        <f>BB182</f>
        <v>2</v>
      </c>
      <c r="BC234" s="211">
        <f>BC182</f>
        <v>178</v>
      </c>
      <c r="BD234" s="211">
        <f>BD182</f>
        <v>0</v>
      </c>
      <c r="BE234" s="211">
        <f>BE182</f>
        <v>-1</v>
      </c>
      <c r="BF234" s="211">
        <f>BF182</f>
        <v>0</v>
      </c>
      <c r="BG234" s="211">
        <f>BG182</f>
        <v>1</v>
      </c>
      <c r="BH234" s="211">
        <f>BH182</f>
        <v>2</v>
      </c>
      <c r="BI234" s="211">
        <f>BI182</f>
        <v>0</v>
      </c>
      <c r="BJ234" s="211">
        <f>BJ182</f>
        <v>1</v>
      </c>
      <c r="BK234" s="211">
        <f>BK182</f>
        <v>9</v>
      </c>
      <c r="BL234" s="211">
        <f>BL182</f>
        <v>-1</v>
      </c>
      <c r="BM234" s="211">
        <f>BM182</f>
        <v>7</v>
      </c>
      <c r="BN234" s="211">
        <f>BN182</f>
        <v>-9</v>
      </c>
      <c r="BO234" s="211">
        <f>BO182</f>
        <v>-17</v>
      </c>
      <c r="BP234" s="211">
        <f>BP182</f>
        <v>-20</v>
      </c>
      <c r="BQ234" s="211">
        <f>BQ182</f>
        <v>-45</v>
      </c>
      <c r="BR234" s="211">
        <f>BR182</f>
        <v>-89</v>
      </c>
      <c r="BS234" s="211">
        <f>BS182</f>
        <v>-29</v>
      </c>
      <c r="BT234" s="211">
        <f>BT182</f>
        <v>-60</v>
      </c>
      <c r="BU234" s="254">
        <f>BU182</f>
        <v>0</v>
      </c>
      <c r="BV234" s="254">
        <f>BV182</f>
        <v>0</v>
      </c>
      <c r="BW234" s="254">
        <f>BW182</f>
        <v>-89</v>
      </c>
      <c r="BX234" s="254">
        <f>BX182</f>
        <v>0</v>
      </c>
      <c r="BY234" s="254">
        <f>BY182</f>
        <v>0</v>
      </c>
      <c r="BZ234" s="254">
        <f>BZ182</f>
        <v>0</v>
      </c>
      <c r="CA234" s="254">
        <f>CA182</f>
        <v>0</v>
      </c>
      <c r="CB234" s="254">
        <f>CB182</f>
        <v>0</v>
      </c>
      <c r="CC234" s="19" t="n"/>
    </row>
    <row r="235" ht="15" customHeight="1" s="251">
      <c r="B235" s="16" t="inlineStr">
        <is>
          <t xml:space="preserve">  Total non-GAAP adjustments in OP (pre-tax)</t>
        </is>
      </c>
      <c r="C235" s="260">
        <f>IF(ISNUMBER(C228),N(C228)+N(C229)+N(C230)+N(C231)+N(C232)+N(C233)+N(C234),"")</f>
        <v>0</v>
      </c>
      <c r="D235" s="260">
        <f>IF(ISNUMBER(D228),N(D228)+N(D229)+N(D230)+N(D231)+N(D232)+N(D233)+N(D234),"")</f>
        <v>42</v>
      </c>
      <c r="E235" s="260">
        <f>IF(ISNUMBER(E228),N(E228)+N(E229)+N(E230)+N(E231)+N(E232)+N(E233)+N(E234),"")</f>
        <v>174</v>
      </c>
      <c r="F235" s="260">
        <f>IF(ISNUMBER(F228),N(F228)+N(F229)+N(F230)+N(F231)+N(F232)+N(F233)+N(F234),"")</f>
        <v>121</v>
      </c>
      <c r="G235" s="260">
        <f>IF(ISNUMBER(G228),N(G228)+N(G229)+N(G230)+N(G231)+N(G232)+N(G233)+N(G234),"")</f>
        <v>10</v>
      </c>
      <c r="H235" s="260">
        <f>IF(ISNUMBER(H228),N(H228)+N(H229)+N(H230)+N(H231)+N(H232)+N(H233)+N(H234),"")</f>
        <v>-11</v>
      </c>
      <c r="I235" s="260">
        <f>IF(ISNUMBER(I228),N(I228)+N(I229)+N(I230)+N(I231)+N(I232)+N(I233)+N(I234),"")</f>
        <v>77</v>
      </c>
      <c r="J235" s="260">
        <f>IF(ISNUMBER(J228),N(J228)+N(J229)+N(J230)+N(J231)+N(J232)+N(J233)+N(J234),"")</f>
        <v>197</v>
      </c>
      <c r="K235" s="260">
        <f>IF(ISNUMBER(K228),N(K228)+N(K229)+N(K230)+N(K231)+N(K232)+N(K233)+N(K234),"")</f>
        <v>0</v>
      </c>
      <c r="L235" s="260">
        <f>IF(ISNUMBER(L228),N(L228)+N(L229)+N(L230)+N(L231)+N(L232)+N(L233)+N(L234),"")</f>
        <v>0</v>
      </c>
      <c r="M235" s="260">
        <f>IF(ISNUMBER(M228),N(M228)+N(M229)+N(M230)+N(M231)+N(M232)+N(M233)+N(M234),"")</f>
        <v>109</v>
      </c>
      <c r="N235" s="260">
        <f>IF(ISNUMBER(N228),N(N228)+N(N229)+N(N230)+N(N231)+N(N232)+N(N233)+N(N234),"")</f>
        <v>1592</v>
      </c>
      <c r="O235" s="260">
        <f>IF(ISNUMBER(O228),N(O228)+N(O229)+N(O230)+N(O231)+N(O232)+N(O233)+N(O234),"")</f>
        <v>1702</v>
      </c>
      <c r="P235" s="260">
        <f>IF(ISNUMBER(P228),N(P228)+N(P229)+N(P230)+N(P231)+N(P232)+N(P233)+N(P234),"")</f>
        <v>-6</v>
      </c>
      <c r="Q235" s="260">
        <f>IF(ISNUMBER(Q228),N(Q228)+N(Q229)+N(Q230)+N(Q231)+N(Q232)+N(Q233)+N(Q234),"")</f>
        <v>-30</v>
      </c>
      <c r="R235" s="260">
        <f>IF(ISNUMBER(R228),N(R228)+N(R229)+N(R230)+N(R231)+N(R232)+N(R233)+N(R234),"")</f>
        <v>118</v>
      </c>
      <c r="S235" s="260">
        <f>IF(ISNUMBER(S228),N(S228)+N(S229)+N(S230)+N(S231)+N(S232)+N(S233)+N(S234),"")</f>
        <v>54</v>
      </c>
      <c r="T235" s="260">
        <f>IF(ISNUMBER(T228),N(T228)+N(T229)+N(T230)+N(T231)+N(T232)+N(T233)+N(T234),"")</f>
        <v>136</v>
      </c>
      <c r="U235" s="260">
        <f>IF(ISNUMBER(U228),N(U228)+N(U229)+N(U230)+N(U231)+N(U232)+N(U233)+N(U234),"")</f>
        <v>14</v>
      </c>
      <c r="V235" s="260">
        <f>IF(ISNUMBER(V228),N(V228)+N(V229)+N(V230)+N(V231)+N(V232)+N(V233)+N(V234),"")</f>
        <v>-22</v>
      </c>
      <c r="W235" s="260">
        <f>IF(ISNUMBER(W228),N(W228)+N(W229)+N(W230)+N(W231)+N(W232)+N(W233)+N(W234),"")</f>
        <v>-733</v>
      </c>
      <c r="X235" s="260">
        <f>IF(ISNUMBER(X228),N(X228)+N(X229)+N(X230)+N(X231)+N(X232)+N(X233)+N(X234),"")</f>
        <v>-293</v>
      </c>
      <c r="Y235" s="260">
        <f>IF(ISNUMBER(Y228),N(Y228)+N(Y229)+N(Y230)+N(Y231)+N(Y232)+N(Y233)+N(Y234),"")</f>
        <v>-1034</v>
      </c>
      <c r="Z235" s="260">
        <f>IF(ISNUMBER(Z228),N(Z228)+N(Z229)+N(Z230)+N(Z231)+N(Z232)+N(Z233)+N(Z234),"")</f>
        <v>17</v>
      </c>
      <c r="AA235" s="260">
        <f>IF(ISNUMBER(AA228),N(AA228)+N(AA229)+N(AA230)+N(AA231)+N(AA232)+N(AA233)+N(AA234),"")</f>
        <v>13</v>
      </c>
      <c r="AB235" s="260">
        <f>IF(ISNUMBER(AB228),N(AB228)+N(AB229)+N(AB230)+N(AB231)+N(AB232)+N(AB233)+N(AB234),"")</f>
        <v>19</v>
      </c>
      <c r="AC235" s="260">
        <f>IF(ISNUMBER(AC228),N(AC228)+N(AC229)+N(AC230)+N(AC231)+N(AC232)+N(AC233)+N(AC234),"")</f>
        <v>99</v>
      </c>
      <c r="AD235" s="260">
        <f>IF(ISNUMBER(AD228),N(AD228)+N(AD229)+N(AD230)+N(AD231)+N(AD232)+N(AD233)+N(AD234),"")</f>
        <v>149</v>
      </c>
      <c r="AE235" s="260">
        <f>IF(ISNUMBER(AE228),N(AE228)+N(AE229)+N(AE230)+N(AE231)+N(AE232)+N(AE233)+N(AE234),"")</f>
        <v>0</v>
      </c>
      <c r="AF235" s="260">
        <f>IF(ISNUMBER(AF228),N(AF228)+N(AF229)+N(AF230)+N(AF231)+N(AF232)+N(AF233)+N(AF234),"")</f>
        <v>85</v>
      </c>
      <c r="AG235" s="260">
        <f>IF(ISNUMBER(AG228),N(AG228)+N(AG229)+N(AG230)+N(AG231)+N(AG232)+N(AG233)+N(AG234),"")</f>
        <v>30</v>
      </c>
      <c r="AH235" s="260">
        <f>IF(ISNUMBER(AH228),N(AH228)+N(AH229)+N(AH230)+N(AH231)+N(AH232)+N(AH233)+N(AH234),"")</f>
        <v>26</v>
      </c>
      <c r="AI235" s="260">
        <f>IF(ISNUMBER(AI228),N(AI228)+N(AI229)+N(AI230)+N(AI231)+N(AI232)+N(AI233)+N(AI234),"")</f>
        <v>140</v>
      </c>
      <c r="AJ235" s="260">
        <f>IF(ISNUMBER(AJ228),N(AJ228)+N(AJ229)+N(AJ230)+N(AJ231)+N(AJ232)+N(AJ233)+N(AJ234),"")</f>
        <v>6</v>
      </c>
      <c r="AK235" s="260">
        <f>IF(ISNUMBER(AK228),N(AK228)+N(AK229)+N(AK230)+N(AK231)+N(AK232)+N(AK233)+N(AK234),"")</f>
        <v>30</v>
      </c>
      <c r="AL235" s="260">
        <f>IF(ISNUMBER(AL228),N(AL228)+N(AL229)+N(AL230)+N(AL231)+N(AL232)+N(AL233)+N(AL234),"")</f>
        <v>-43</v>
      </c>
      <c r="AM235" s="260">
        <f>IF(ISNUMBER(AM228),N(AM228)+N(AM229)+N(AM230)+N(AM231)+N(AM232)+N(AM233)+N(AM234),"")</f>
        <v>18</v>
      </c>
      <c r="AN235" s="260">
        <f>IF(ISNUMBER(AN228),N(AN228)+N(AN229)+N(AN230)+N(AN231)+N(AN232)+N(AN233)+N(AN234),"")</f>
        <v>12</v>
      </c>
      <c r="AO235" s="260">
        <f>IF(ISNUMBER(AO228),N(AO228)+N(AO229)+N(AO230)+N(AO231)+N(AO232)+N(AO233)+N(AO234),"")</f>
        <v>7</v>
      </c>
      <c r="AP235" s="260">
        <f>IF(ISNUMBER(AP228),N(AP228)+N(AP229)+N(AP230)+N(AP231)+N(AP232)+N(AP233)+N(AP234),"")</f>
        <v>4</v>
      </c>
      <c r="AQ235" s="260">
        <f>IF(ISNUMBER(AQ228),N(AQ228)+N(AQ229)+N(AQ230)+N(AQ231)+N(AQ232)+N(AQ233)+N(AQ234),"")</f>
        <v>0</v>
      </c>
      <c r="AR235" s="260">
        <f>IF(ISNUMBER(AR228),N(AR228)+N(AR229)+N(AR230)+N(AR231)+N(AR232)+N(AR233)+N(AR234),"")</f>
        <v>218</v>
      </c>
      <c r="AS235" s="260">
        <f>IF(ISNUMBER(AS228),N(AS228)+N(AS229)+N(AS230)+N(AS231)+N(AS232)+N(AS233)+N(AS234),"")</f>
        <v>227</v>
      </c>
      <c r="AT235" s="260">
        <f>IF(ISNUMBER(AT228),N(AT228)+N(AT229)+N(AT230)+N(AT231)+N(AT232)+N(AT233)+N(AT234),"")</f>
        <v>50</v>
      </c>
      <c r="AU235" s="260">
        <f>IF(ISNUMBER(AU228),N(AU228)+N(AU229)+N(AU230)+N(AU231)+N(AU232)+N(AU233)+N(AU234),"")</f>
        <v>52</v>
      </c>
      <c r="AV235" s="260">
        <f>IF(ISNUMBER(AV228),N(AV228)+N(AV229)+N(AV230)+N(AV231)+N(AV232)+N(AV233)+N(AV234),"")</f>
        <v>51</v>
      </c>
      <c r="AW235" s="260">
        <f>IF(ISNUMBER(AW228),N(AW228)+N(AW229)+N(AW230)+N(AW231)+N(AW232)+N(AW233)+N(AW234),"")</f>
        <v>111</v>
      </c>
      <c r="AX235" s="260">
        <f>IF(ISNUMBER(AX228),N(AX228)+N(AX229)+N(AX230)+N(AX231)+N(AX232)+N(AX233)+N(AX234),"")</f>
        <v>264</v>
      </c>
      <c r="AY235" s="260">
        <f>IF(ISNUMBER(AY228),N(AY228)+N(AY229)+N(AY230)+N(AY231)+N(AY232)+N(AY233)+N(AY234),"")</f>
        <v>-816</v>
      </c>
      <c r="AZ235" s="260">
        <f>IF(ISNUMBER(AZ228),N(AZ228)+N(AZ229)+N(AZ230)+N(AZ231)+N(AZ232)+N(AZ233)+N(AZ234),"")</f>
        <v>-362</v>
      </c>
      <c r="BA235" s="260">
        <f>IF(ISNUMBER(BA228),N(BA228)+N(BA229)+N(BA230)+N(BA231)+N(BA232)+N(BA233)+N(BA234),"")</f>
        <v>185</v>
      </c>
      <c r="BB235" s="260">
        <f>IF(ISNUMBER(BB228),N(BB228)+N(BB229)+N(BB230)+N(BB231)+N(BB232)+N(BB233)+N(BB234),"")</f>
        <v>222</v>
      </c>
      <c r="BC235" s="260">
        <f>IF(ISNUMBER(BC228),N(BC228)+N(BC229)+N(BC230)+N(BC231)+N(BC232)+N(BC233)+N(BC234),"")</f>
        <v>-771</v>
      </c>
      <c r="BD235" s="260">
        <f>IF(ISNUMBER(BD228),N(BD228)+N(BD229)+N(BD230)+N(BD231)+N(BD232)+N(BD233)+N(BD234),"")</f>
        <v>41</v>
      </c>
      <c r="BE235" s="260">
        <f>IF(ISNUMBER(BE228),N(BE228)+N(BE229)+N(BE230)+N(BE231)+N(BE232)+N(BE233)+N(BE234),"")</f>
        <v>246</v>
      </c>
      <c r="BF235" s="260">
        <f>IF(ISNUMBER(BF228),N(BF228)+N(BF229)+N(BF230)+N(BF231)+N(BF232)+N(BF233)+N(BF234),"")</f>
        <v>102</v>
      </c>
      <c r="BG235" s="260">
        <f>IF(ISNUMBER(BG228),N(BG228)+N(BG229)+N(BG230)+N(BG231)+N(BG232)+N(BG233)+N(BG234),"")</f>
        <v>227</v>
      </c>
      <c r="BH235" s="260">
        <f>IF(ISNUMBER(BH228),N(BH228)+N(BH229)+N(BH230)+N(BH231)+N(BH232)+N(BH233)+N(BH234),"")</f>
        <v>615</v>
      </c>
      <c r="BI235" s="260">
        <f>IF(ISNUMBER(BI228),N(BI228)+N(BI229)+N(BI230)+N(BI231)+N(BI232)+N(BI233)+N(BI234),"")</f>
        <v>75</v>
      </c>
      <c r="BJ235" s="260">
        <f>IF(ISNUMBER(BJ228),N(BJ228)+N(BJ229)+N(BJ230)+N(BJ231)+N(BJ232)+N(BJ233)+N(BJ234),"")</f>
        <v>67</v>
      </c>
      <c r="BK235" s="260">
        <f>IF(ISNUMBER(BK228),N(BK228)+N(BK229)+N(BK230)+N(BK231)+N(BK232)+N(BK233)+N(BK234),"")</f>
        <v>25</v>
      </c>
      <c r="BL235" s="260">
        <f>IF(ISNUMBER(BL228),N(BL228)+N(BL229)+N(BL230)+N(BL231)+N(BL232)+N(BL233)+N(BL234),"")</f>
        <v>80</v>
      </c>
      <c r="BM235" s="260">
        <f>IF(ISNUMBER(BM228),N(BM228)+N(BM229)+N(BM230)+N(BM231)+N(BM232)+N(BM233)+N(BM234),"")</f>
        <v>245</v>
      </c>
      <c r="BN235" s="260">
        <f>IF(ISNUMBER(BN228),N(BN228)+N(BN229)+N(BN230)+N(BN231)+N(BN232)+N(BN233)+N(BN234),"")</f>
        <v>51</v>
      </c>
      <c r="BO235" s="260">
        <f>IF(ISNUMBER(BO228),N(BO228)+N(BO229)+N(BO230)+N(BO231)+N(BO232)+N(BO233)+N(BO234),"")</f>
        <v>76</v>
      </c>
      <c r="BP235" s="260">
        <f>IF(ISNUMBER(BP228),N(BP228)+N(BP229)+N(BP230)+N(BP231)+N(BP232)+N(BP233)+N(BP234),"")</f>
        <v>51</v>
      </c>
      <c r="BQ235" s="260">
        <f>IF(ISNUMBER(BQ228),N(BQ228)+N(BQ229)+N(BQ230)+N(BQ231)+N(BQ232)+N(BQ233)+N(BQ234),"")</f>
        <v>-153</v>
      </c>
      <c r="BR235" s="260">
        <f>IF(ISNUMBER(BR228),N(BR228)+N(BR229)+N(BR230)+N(BR231)+N(BR232)+N(BR233)+N(BR234),"")</f>
        <v>28</v>
      </c>
      <c r="BS235" s="260">
        <f>IF(ISNUMBER(BS228),N(BS228)+N(BS229)+N(BS230)+N(BS231)+N(BS232)+N(BS233)+N(BS234),"")</f>
        <v>-160</v>
      </c>
      <c r="BT235" s="260">
        <f>IF(ISNUMBER(BT228),N(BT228)+N(BT229)+N(BT230)+N(BT231)+N(BT232)+N(BT233)+N(BT234),"")</f>
        <v>42</v>
      </c>
      <c r="BU235" s="261">
        <f>IF(ISNUMBER(BU228),N(BU228)+N(BU229)+N(BU230)+N(BU231)+N(BU232)+N(BU233)+N(BU234),"")</f>
        <v>25</v>
      </c>
      <c r="BV235" s="261">
        <f>IF(ISNUMBER(BV228),N(BV228)+N(BV229)+N(BV230)+N(BV231)+N(BV232)+N(BV233)+N(BV234),"")</f>
        <v>-225</v>
      </c>
      <c r="BW235" s="261">
        <f>IF(ISNUMBER(BW228),N(BW228)+N(BW229)+N(BW230)+N(BW231)+N(BW232)+N(BW233)+N(BW234),"")</f>
        <v>-318</v>
      </c>
      <c r="BX235" s="261">
        <f>IF(ISNUMBER(BX228),N(BX228)+N(BX229)+N(BX230)+N(BX231)+N(BX232)+N(BX233)+N(BX234),"")</f>
        <v>50</v>
      </c>
      <c r="BY235" s="261">
        <f>IF(ISNUMBER(BY228),N(BY228)+N(BY229)+N(BY230)+N(BY231)+N(BY232)+N(BY233)+N(BY234),"")</f>
        <v>50</v>
      </c>
      <c r="BZ235" s="261">
        <f>IF(ISNUMBER(BZ228),N(BZ228)+N(BZ229)+N(BZ230)+N(BZ231)+N(BZ232)+N(BZ233)+N(BZ234),"")</f>
        <v>50</v>
      </c>
      <c r="CA235" s="261">
        <f>IF(ISNUMBER(CA228),N(CA228)+N(CA229)+N(CA230)+N(CA231)+N(CA232)+N(CA233)+N(CA234),"")</f>
        <v>50</v>
      </c>
      <c r="CB235" s="261">
        <f>IF(ISNUMBER(CB228),N(CB228)+N(CB229)+N(CB230)+N(CB231)+N(CB232)+N(CB233)+N(CB234),"")</f>
        <v>50</v>
      </c>
      <c r="CC235" s="153" t="n"/>
    </row>
    <row r="236" ht="15" customHeight="1" s="251">
      <c r="B236" s="25" t="inlineStr">
        <is>
          <t xml:space="preserve">  (+) Deal-related amortization</t>
        </is>
      </c>
      <c r="C236" s="211">
        <f>C170</f>
        <v>0</v>
      </c>
      <c r="D236" s="211">
        <f>D170</f>
        <v>0</v>
      </c>
      <c r="E236" s="211">
        <f>E170</f>
        <v>0</v>
      </c>
      <c r="F236" s="211">
        <f>F170</f>
        <v>0</v>
      </c>
      <c r="G236" s="211">
        <f>G170</f>
        <v>0</v>
      </c>
      <c r="H236" s="211">
        <f>H170</f>
        <v>0</v>
      </c>
      <c r="I236" s="211">
        <f>I170</f>
        <v>0</v>
      </c>
      <c r="J236" s="211">
        <f>J170</f>
        <v>0</v>
      </c>
      <c r="K236" s="211">
        <f>K170</f>
        <v>0</v>
      </c>
      <c r="L236" s="211">
        <f>L170</f>
        <v>0</v>
      </c>
      <c r="M236" s="211">
        <f>M170</f>
        <v>0</v>
      </c>
      <c r="N236" s="211">
        <f>N170</f>
        <v>0</v>
      </c>
      <c r="O236" s="211">
        <f>O170</f>
        <v>0</v>
      </c>
      <c r="P236" s="211">
        <f>P170</f>
        <v>0</v>
      </c>
      <c r="Q236" s="211">
        <f>Q170</f>
        <v>0</v>
      </c>
      <c r="R236" s="211">
        <f>R170</f>
        <v>0</v>
      </c>
      <c r="S236" s="211">
        <f>S170</f>
        <v>0</v>
      </c>
      <c r="T236" s="211">
        <f>T170</f>
        <v>0</v>
      </c>
      <c r="U236" s="211">
        <f>U170</f>
        <v>24</v>
      </c>
      <c r="V236" s="211">
        <f>V170</f>
        <v>23</v>
      </c>
      <c r="W236" s="211">
        <f>W170</f>
        <v>23</v>
      </c>
      <c r="X236" s="211">
        <f>X170</f>
        <v>25</v>
      </c>
      <c r="Y236" s="211">
        <f>Y170</f>
        <v>96</v>
      </c>
      <c r="Z236" s="211">
        <f>Z170</f>
        <v>24</v>
      </c>
      <c r="AA236" s="211">
        <f>AA170</f>
        <v>25</v>
      </c>
      <c r="AB236" s="211">
        <f>AB170</f>
        <v>24</v>
      </c>
      <c r="AC236" s="211">
        <f>AC170</f>
        <v>25</v>
      </c>
      <c r="AD236" s="211">
        <f>AD170</f>
        <v>98</v>
      </c>
      <c r="AE236" s="211">
        <f>AE170</f>
        <v>24</v>
      </c>
      <c r="AF236" s="211">
        <f>AF170</f>
        <v>33</v>
      </c>
      <c r="AG236" s="211">
        <f>AG170</f>
        <v>33</v>
      </c>
      <c r="AH236" s="211">
        <f>AH170</f>
        <v>31</v>
      </c>
      <c r="AI236" s="211">
        <f>AI170</f>
        <v>122</v>
      </c>
      <c r="AJ236" s="211">
        <f>AJ170</f>
        <v>32</v>
      </c>
      <c r="AK236" s="211">
        <f>AK170</f>
        <v>31</v>
      </c>
      <c r="AL236" s="211">
        <f>AL170</f>
        <v>29</v>
      </c>
      <c r="AM236" s="211">
        <f>AM170</f>
        <v>30</v>
      </c>
      <c r="AN236" s="211">
        <f>AN170</f>
        <v>122</v>
      </c>
      <c r="AO236" s="211">
        <f>AO170</f>
        <v>29</v>
      </c>
      <c r="AP236" s="211">
        <f>AP170</f>
        <v>32</v>
      </c>
      <c r="AQ236" s="211">
        <f>AQ170</f>
        <v>32</v>
      </c>
      <c r="AR236" s="211">
        <f>AR170</f>
        <v>29</v>
      </c>
      <c r="AS236" s="211">
        <f>AS170</f>
        <v>123</v>
      </c>
      <c r="AT236" s="211">
        <f>AT170</f>
        <v>31</v>
      </c>
      <c r="AU236" s="211">
        <f>AU170</f>
        <v>22</v>
      </c>
      <c r="AV236" s="211">
        <f>AV170</f>
        <v>21</v>
      </c>
      <c r="AW236" s="211">
        <f>AW170</f>
        <v>21</v>
      </c>
      <c r="AX236" s="211">
        <f>AX170</f>
        <v>96</v>
      </c>
      <c r="AY236" s="211">
        <f>AY170</f>
        <v>125</v>
      </c>
      <c r="AZ236" s="211">
        <f>AZ170</f>
        <v>282</v>
      </c>
      <c r="BA236" s="211">
        <f>BA170</f>
        <v>280</v>
      </c>
      <c r="BB236" s="211">
        <f>BB170</f>
        <v>272</v>
      </c>
      <c r="BC236" s="211">
        <f>BC170</f>
        <v>959</v>
      </c>
      <c r="BD236" s="211">
        <f>BD170</f>
        <v>275</v>
      </c>
      <c r="BE236" s="211">
        <f>BE170</f>
        <v>275</v>
      </c>
      <c r="BF236" s="211">
        <f>BF170</f>
        <v>274</v>
      </c>
      <c r="BG236" s="211">
        <f>BG170</f>
        <v>273</v>
      </c>
      <c r="BH236" s="211">
        <f>BH170</f>
        <v>1097</v>
      </c>
      <c r="BI236" s="211">
        <f>BI170</f>
        <v>278</v>
      </c>
      <c r="BJ236" s="211">
        <f>BJ170</f>
        <v>281</v>
      </c>
      <c r="BK236" s="211">
        <f>BK170</f>
        <v>285</v>
      </c>
      <c r="BL236" s="211">
        <f>BL170</f>
        <v>288</v>
      </c>
      <c r="BM236" s="211">
        <f>BM170</f>
        <v>1133</v>
      </c>
      <c r="BN236" s="211">
        <f>BN170</f>
        <v>205</v>
      </c>
      <c r="BO236" s="211">
        <f>BO170</f>
        <v>208</v>
      </c>
      <c r="BP236" s="211">
        <f>BP170</f>
        <v>203</v>
      </c>
      <c r="BQ236" s="211">
        <f>BQ170</f>
        <v>191</v>
      </c>
      <c r="BR236" s="211">
        <f>BR170</f>
        <v>806</v>
      </c>
      <c r="BS236" s="211">
        <f>BS170</f>
        <v>200</v>
      </c>
      <c r="BT236" s="211">
        <f>BT170</f>
        <v>199</v>
      </c>
      <c r="BU236" s="254">
        <f>BU170</f>
        <v>193</v>
      </c>
      <c r="BV236" s="254">
        <f>BV170</f>
        <v>193</v>
      </c>
      <c r="BW236" s="254">
        <f>BW170</f>
        <v>785</v>
      </c>
      <c r="BX236" s="254">
        <f>BX170</f>
        <v>796.833333333333</v>
      </c>
      <c r="BY236" s="254">
        <f>BY170</f>
        <v>790.5</v>
      </c>
      <c r="BZ236" s="254">
        <f>BZ170</f>
        <v>776.166666666667</v>
      </c>
      <c r="CA236" s="254">
        <f>CA170</f>
        <v>761.833333333333</v>
      </c>
      <c r="CB236" s="254">
        <f>CB170</f>
        <v>748.5</v>
      </c>
      <c r="CC236" s="19" t="n"/>
    </row>
    <row r="237" ht="15" customHeight="1" s="251">
      <c r="B237" s="55" t="inlineStr">
        <is>
          <t xml:space="preserve">  = Adjusted operating profit (model bridge)</t>
        </is>
      </c>
      <c r="C237" s="269">
        <f>IF(AND(ISNUMBER(C227),ISNUMBER(C235),ISNUMBER(C236)),C227+C235+C236,"")</f>
      </c>
      <c r="D237" s="269">
        <f>IF(AND(ISNUMBER(D227),ISNUMBER(D235),ISNUMBER(D236)),D227+D235+D236,"")</f>
        <v>1119</v>
      </c>
      <c r="E237" s="269">
        <f>IF(AND(ISNUMBER(E227),ISNUMBER(E235),ISNUMBER(E236)),E227+E235+E236,"")</f>
        <v>1385</v>
      </c>
      <c r="F237" s="269">
        <f>IF(AND(ISNUMBER(F227),ISNUMBER(F235),ISNUMBER(F236)),F227+F235+F236,"")</f>
        <v>399</v>
      </c>
      <c r="G237" s="269">
        <f>IF(AND(ISNUMBER(G227),ISNUMBER(G235),ISNUMBER(G236)),G227+G235+G236,"")</f>
        <v>446</v>
      </c>
      <c r="H237" s="269">
        <f>IF(AND(ISNUMBER(H227),ISNUMBER(H235),ISNUMBER(H236)),H227+H235+H236,"")</f>
        <v>396</v>
      </c>
      <c r="I237" s="269">
        <f>IF(AND(ISNUMBER(I227),ISNUMBER(I235),ISNUMBER(I236)),I227+I235+I236,"")</f>
        <v>361</v>
      </c>
      <c r="J237" s="269">
        <f>IF(AND(ISNUMBER(J227),ISNUMBER(J235),ISNUMBER(J236)),J227+J235+J236,"")</f>
        <v>1602</v>
      </c>
      <c r="K237" s="269">
        <f>IF(AND(ISNUMBER(K227),ISNUMBER(K235),ISNUMBER(K236)),K227+K235+K236,"")</f>
        <v>430</v>
      </c>
      <c r="L237" s="269">
        <f>IF(AND(ISNUMBER(L227),ISNUMBER(L235),ISNUMBER(L236)),L227+L235+L236,"")</f>
        <v>486</v>
      </c>
      <c r="M237" s="269">
        <f>IF(AND(ISNUMBER(M227),ISNUMBER(M235),ISNUMBER(M236)),M227+M235+M236,"")</f>
        <v>475</v>
      </c>
      <c r="N237" s="269">
        <f>IF(AND(ISNUMBER(N227),ISNUMBER(N235),ISNUMBER(N236)),N227+N235+N236,"")</f>
        <v>444</v>
      </c>
      <c r="O237" s="269">
        <f>IF(AND(ISNUMBER(O227),ISNUMBER(O235),ISNUMBER(O236)),O227+O235+O236,"")</f>
        <v>1815</v>
      </c>
      <c r="P237" s="269">
        <f>IF(AND(ISNUMBER(P227),ISNUMBER(P235),ISNUMBER(P236)),P227+P235+P236,"")</f>
        <v>495</v>
      </c>
      <c r="Q237" s="269">
        <f>IF(AND(ISNUMBER(Q227),ISNUMBER(Q235),ISNUMBER(Q236)),Q227+Q235+Q236,"")</f>
        <v>552</v>
      </c>
      <c r="R237" s="269">
        <f>IF(AND(ISNUMBER(R227),ISNUMBER(R235),ISNUMBER(R236)),R227+R235+R236,"")</f>
        <v>528</v>
      </c>
      <c r="S237" s="269">
        <f>IF(AND(ISNUMBER(S227),ISNUMBER(S235),ISNUMBER(S236)),S227+S235+S236,"")</f>
        <v>478</v>
      </c>
      <c r="T237" s="269">
        <f>IF(AND(ISNUMBER(T227),ISNUMBER(T235),ISNUMBER(T236)),T227+T235+T236,"")</f>
        <v>2053</v>
      </c>
      <c r="U237" s="269">
        <f>IF(AND(ISNUMBER(U227),ISNUMBER(U235),ISNUMBER(U236)),U227+U235+U236,"")</f>
        <v>550</v>
      </c>
      <c r="V237" s="269">
        <f>IF(AND(ISNUMBER(V227),ISNUMBER(V235),ISNUMBER(V236)),V227+V235+V236,"")</f>
        <v>652</v>
      </c>
      <c r="W237" s="269">
        <f>IF(AND(ISNUMBER(W227),ISNUMBER(W235),ISNUMBER(W236)),W227+W235+W236,"")</f>
        <v>638</v>
      </c>
      <c r="X237" s="269">
        <f>IF(AND(ISNUMBER(X227),ISNUMBER(X235),ISNUMBER(X236)),X227+X235+X236,"")</f>
        <v>589</v>
      </c>
      <c r="Y237" s="269">
        <f>IF(AND(ISNUMBER(Y227),ISNUMBER(Y235),ISNUMBER(Y236)),Y227+Y235+Y236,"")</f>
        <v>2431</v>
      </c>
      <c r="Z237" s="269">
        <f>IF(AND(ISNUMBER(Z227),ISNUMBER(Z235),ISNUMBER(Z236)),Z227+Z235+Z236,"")</f>
        <v>689</v>
      </c>
      <c r="AA237" s="269">
        <f>IF(AND(ISNUMBER(AA227),ISNUMBER(AA235),ISNUMBER(AA236)),AA227+AA235+AA236,"")</f>
        <v>715</v>
      </c>
      <c r="AB237" s="269">
        <f>IF(AND(ISNUMBER(AB227),ISNUMBER(AB235),ISNUMBER(AB236)),AB227+AB235+AB236,"")</f>
        <v>701</v>
      </c>
      <c r="AC237" s="269">
        <f>IF(AND(ISNUMBER(AC227),ISNUMBER(AC235),ISNUMBER(AC236)),AC227+AC235+AC236,"")</f>
        <v>752</v>
      </c>
      <c r="AD237" s="269">
        <f>IF(AND(ISNUMBER(AD227),ISNUMBER(AD235),ISNUMBER(AD236)),AD227+AD235+AD236,"")</f>
        <v>2857</v>
      </c>
      <c r="AE237" s="269">
        <f>IF(AND(ISNUMBER(AE227),ISNUMBER(AE235),ISNUMBER(AE236)),AE227+AE235+AE236,"")</f>
        <v>735</v>
      </c>
      <c r="AF237" s="269">
        <f>IF(AND(ISNUMBER(AF227),ISNUMBER(AF235),ISNUMBER(AF236)),AF227+AF235+AF236,"")</f>
        <v>790</v>
      </c>
      <c r="AG237" s="269">
        <f>IF(AND(ISNUMBER(AG227),ISNUMBER(AG235),ISNUMBER(AG236)),AG227+AG235+AG236,"")</f>
        <v>767</v>
      </c>
      <c r="AH237" s="269">
        <f>IF(AND(ISNUMBER(AH227),ISNUMBER(AH235),ISNUMBER(AH236)),AH227+AH235+AH236,"")</f>
        <v>761</v>
      </c>
      <c r="AI237" s="269">
        <f>IF(AND(ISNUMBER(AI227),ISNUMBER(AI235),ISNUMBER(AI236)),AI227+AI235+AI236,"")</f>
        <v>3052</v>
      </c>
      <c r="AJ237" s="269">
        <f>IF(AND(ISNUMBER(AJ227),ISNUMBER(AJ235),ISNUMBER(AJ236)),AJ227+AJ235+AJ236,"")</f>
        <v>743</v>
      </c>
      <c r="AK237" s="269">
        <f>IF(AND(ISNUMBER(AK227),ISNUMBER(AK235),ISNUMBER(AK236)),AK227+AK235+AK236,"")</f>
        <v>874</v>
      </c>
      <c r="AL237" s="269">
        <f>IF(AND(ISNUMBER(AL227),ISNUMBER(AL235),ISNUMBER(AL236)),AL227+AL235+AL236,"")</f>
        <v>877</v>
      </c>
      <c r="AM237" s="269">
        <f>IF(AND(ISNUMBER(AM227),ISNUMBER(AM235),ISNUMBER(AM236)),AM227+AM235+AM236,"")</f>
        <v>866</v>
      </c>
      <c r="AN237" s="269">
        <f>IF(AND(ISNUMBER(AN227),ISNUMBER(AN235),ISNUMBER(AN236)),AN227+AN235+AN236,"")</f>
        <v>3360</v>
      </c>
      <c r="AO237" s="269">
        <f>IF(AND(ISNUMBER(AO227),ISNUMBER(AO235),ISNUMBER(AO236)),AO227+AO235+AO236,"")</f>
        <v>948</v>
      </c>
      <c r="AP237" s="269">
        <f>IF(AND(ISNUMBER(AP227),ISNUMBER(AP235),ISNUMBER(AP236)),AP227+AP235+AP236,"")</f>
        <v>1141</v>
      </c>
      <c r="AQ237" s="269">
        <f>IF(AND(ISNUMBER(AQ227),ISNUMBER(AQ235),ISNUMBER(AQ236)),AQ227+AQ235+AQ236,"")</f>
        <v>976</v>
      </c>
      <c r="AR237" s="269">
        <f>IF(AND(ISNUMBER(AR227),ISNUMBER(AR235),ISNUMBER(AR236)),AR227+AR235+AR236,"")</f>
        <v>903</v>
      </c>
      <c r="AS237" s="269">
        <f>IF(AND(ISNUMBER(AS227),ISNUMBER(AS235),ISNUMBER(AS236)),AS227+AS235+AS236,"")</f>
        <v>3967</v>
      </c>
      <c r="AT237" s="269">
        <f>IF(AND(ISNUMBER(AT227),ISNUMBER(AT235),ISNUMBER(AT236)),AT227+AT235+AT236,"")</f>
        <v>1162</v>
      </c>
      <c r="AU237" s="269">
        <f>IF(AND(ISNUMBER(AU227),ISNUMBER(AU235),ISNUMBER(AU236)),AU227+AU235+AU236,"")</f>
        <v>1228</v>
      </c>
      <c r="AV237" s="269">
        <f>IF(AND(ISNUMBER(AV227),ISNUMBER(AV235),ISNUMBER(AV236)),AV227+AV235+AV236,"")</f>
        <v>1155</v>
      </c>
      <c r="AW237" s="269">
        <f>IF(AND(ISNUMBER(AW227),ISNUMBER(AW235),ISNUMBER(AW236)),AW227+AW235+AW236,"")</f>
        <v>1036</v>
      </c>
      <c r="AX237" s="269">
        <f>IF(AND(ISNUMBER(AX227),ISNUMBER(AX235),ISNUMBER(AX236)),AX227+AX235+AX236,"")</f>
        <v>4581</v>
      </c>
      <c r="AY237" s="269">
        <f>IF(AND(ISNUMBER(AY227),ISNUMBER(AY235),ISNUMBER(AY236)),AY227+AY235+AY236,"")</f>
        <v>1201</v>
      </c>
      <c r="AZ237" s="269">
        <f>IF(AND(ISNUMBER(AZ227),ISNUMBER(AZ235),ISNUMBER(AZ236)),AZ227+AZ235+AZ236,"")</f>
        <v>1402</v>
      </c>
      <c r="BA237" s="269">
        <f>IF(AND(ISNUMBER(BA227),ISNUMBER(BA235),ISNUMBER(BA236)),BA227+BA235+BA236,"")</f>
        <v>1318</v>
      </c>
      <c r="BB237" s="269">
        <f>IF(AND(ISNUMBER(BB227),ISNUMBER(BB235),ISNUMBER(BB236)),BB227+BB235+BB236,"")</f>
        <v>1211</v>
      </c>
      <c r="BC237" s="269">
        <f>IF(AND(ISNUMBER(BC227),ISNUMBER(BC235),ISNUMBER(BC236)),BC227+BC235+BC236,"")</f>
        <v>5132</v>
      </c>
      <c r="BD237" s="269">
        <f>IF(AND(ISNUMBER(BD227),ISNUMBER(BD235),ISNUMBER(BD236)),BD227+BD235+BD236,"")</f>
        <v>1460</v>
      </c>
      <c r="BE237" s="269">
        <f>IF(AND(ISNUMBER(BE227),ISNUMBER(BE235),ISNUMBER(BE236)),BE227+BE235+BE236,"")</f>
        <v>1432</v>
      </c>
      <c r="BF237" s="269">
        <f>IF(AND(ISNUMBER(BF227),ISNUMBER(BF235),ISNUMBER(BF236)),BF227+BF235+BF236,"")</f>
        <v>1450</v>
      </c>
      <c r="BG237" s="269">
        <f>IF(AND(ISNUMBER(BG227),ISNUMBER(BG235),ISNUMBER(BG236)),BG227+BG235+BG236,"")</f>
        <v>1390</v>
      </c>
      <c r="BH237" s="269">
        <f>IF(AND(ISNUMBER(BH227),ISNUMBER(BH235),ISNUMBER(BH236)),BH227+BH235+BH236,"")</f>
        <v>5732</v>
      </c>
      <c r="BI237" s="269">
        <f>IF(AND(ISNUMBER(BI227),ISNUMBER(BI235),ISNUMBER(BI236)),BI227+BI235+BI236,"")</f>
        <v>1738</v>
      </c>
      <c r="BJ237" s="269">
        <f>IF(AND(ISNUMBER(BJ227),ISNUMBER(BJ235),ISNUMBER(BJ236)),BJ227+BJ235+BJ236,"")</f>
        <v>1800</v>
      </c>
      <c r="BK237" s="269">
        <f>IF(AND(ISNUMBER(BK227),ISNUMBER(BK235),ISNUMBER(BK236)),BK227+BK235+BK236,"")</f>
        <v>1744</v>
      </c>
      <c r="BL237" s="269">
        <f>IF(AND(ISNUMBER(BL227),ISNUMBER(BL235),ISNUMBER(BL236)),BL227+BL235+BL236,"")</f>
        <v>1677</v>
      </c>
      <c r="BM237" s="269">
        <f>IF(AND(ISNUMBER(BM227),ISNUMBER(BM235),ISNUMBER(BM236)),BM227+BM235+BM236,"")</f>
        <v>6958</v>
      </c>
      <c r="BN237" s="269">
        <f>IF(AND(ISNUMBER(BN227),ISNUMBER(BN235),ISNUMBER(BN236)),BN227+BN235+BN236,"")</f>
        <v>1742</v>
      </c>
      <c r="BO237" s="269">
        <f>IF(AND(ISNUMBER(BO227),ISNUMBER(BO235),ISNUMBER(BO236)),BO227+BO235+BO236,"")</f>
        <v>1734</v>
      </c>
      <c r="BP237" s="269">
        <f>IF(AND(ISNUMBER(BP227),ISNUMBER(BP235),ISNUMBER(BP236)),BP227+BP235+BP236,"")</f>
        <v>1819</v>
      </c>
      <c r="BQ237" s="269">
        <f>IF(AND(ISNUMBER(BQ227),ISNUMBER(BQ235),ISNUMBER(BQ236)),BQ227+BQ235+BQ236,"")</f>
        <v>1676</v>
      </c>
      <c r="BR237" s="269">
        <f>IF(AND(ISNUMBER(BR227),ISNUMBER(BR235),ISNUMBER(BR236)),BR227+BR235+BR236,"")</f>
        <v>6974</v>
      </c>
      <c r="BS237" s="269">
        <f>IF(AND(ISNUMBER(BS227),ISNUMBER(BS235),ISNUMBER(BS236)),BS227+BS235+BS236,"")</f>
        <v>1967</v>
      </c>
      <c r="BT237" s="269">
        <f>IF(AND(ISNUMBER(BT227),ISNUMBER(BT235),ISNUMBER(BT236)),BT227+BT235+BT236,"")</f>
        <v>1998</v>
      </c>
      <c r="BU237" s="269">
        <f>IF(AND(ISNUMBER(BU227),ISNUMBER(BU235),ISNUMBER(BU236)),BU227+BU235+BU236,"")</f>
        <v>1848.82808702302</v>
      </c>
      <c r="BV237" s="269">
        <f>IF(AND(ISNUMBER(BV227),ISNUMBER(BV235),ISNUMBER(BV236)),BV227+BV235+BV236,"")</f>
        <v>1710.45428317199</v>
      </c>
      <c r="BW237" s="269">
        <f>IF(AND(ISNUMBER(BW227),ISNUMBER(BW235),ISNUMBER(BW236)),BW227+BW235+BW236,"")</f>
        <v>7524.28237019501</v>
      </c>
      <c r="BX237" s="269">
        <f>IF(AND(ISNUMBER(BX227),ISNUMBER(BX235),ISNUMBER(BX236)),BX227+BX235+BX236,"")</f>
        <v>8185.82627832991</v>
      </c>
      <c r="BY237" s="269">
        <f>IF(AND(ISNUMBER(BY227),ISNUMBER(BY235),ISNUMBER(BY236)),BY227+BY235+BY236,"")</f>
        <v>8839.08210458068</v>
      </c>
      <c r="BZ237" s="269">
        <f>IF(AND(ISNUMBER(BZ227),ISNUMBER(BZ235),ISNUMBER(BZ236)),BZ227+BZ235+BZ236,"")</f>
        <v>9477.60576487838</v>
      </c>
      <c r="CA237" s="269">
        <f>IF(AND(ISNUMBER(CA227),ISNUMBER(CA235),ISNUMBER(CA236)),CA227+CA235+CA236,"")</f>
        <v>10141.4118304415</v>
      </c>
      <c r="CB237" s="269">
        <f>IF(AND(ISNUMBER(CB227),ISNUMBER(CB235),ISNUMBER(CB236)),CB227+CB235+CB236,"")</f>
        <v>10819.0606283566</v>
      </c>
      <c r="CC237" s="153" t="inlineStr">
        <is>
          <t>Rebuilt from the published reconciliation items; forecast = OP + adjustments + deal amortization (equals the division build — check in the Group block).</t>
        </is>
      </c>
      <c r="CE237" s="20">
        <f>IFERROR((CB237/BW237)^(1/5)-1,"n/m")</f>
        <v>0.0753377543373388</v>
      </c>
      <c r="CF237" s="20">
        <f>IFERROR((BR237/AS237)^(1/5)-1,"n/m")</f>
        <v>0.119448061204825</v>
      </c>
      <c r="CG237" s="20">
        <f>IFERROR((BR237/T237)^(1/10)-1,"n/m")</f>
        <v>0.13008028742819</v>
      </c>
      <c r="CH237" s="20" t="str">
        <f>IFERROR((BR237/C237)^(1/15)-1,"n/m")</f>
        <v>n/m</v>
      </c>
    </row>
    <row r="238" ht="15" customHeight="1" s="251">
      <c r="B238" s="25" t="inlineStr">
        <is>
          <t xml:space="preserve">  Adjusted operating margin %</t>
        </is>
      </c>
      <c r="C238" s="215">
        <f>IF(AND(ISNUMBER(C237),ISNUMBER(C187)),IFERROR(C237/C187,""),"")</f>
      </c>
      <c r="D238" s="215">
        <f>IF(AND(ISNUMBER(D237),ISNUMBER(D187)),IFERROR(D237/D187,""),"")</f>
        <v>0.283004552352049</v>
      </c>
      <c r="E238" s="215">
        <f>IF(AND(ISNUMBER(E237),ISNUMBER(E187)),IFERROR(E237/E187,""),"")</f>
        <v>0.31123595505618</v>
      </c>
      <c r="F238" s="215">
        <f>IF(AND(ISNUMBER(F237),ISNUMBER(F187)),IFERROR(F237/F187,""),"")</f>
        <v>0.337849280270957</v>
      </c>
      <c r="G238" s="215">
        <f>IF(AND(ISNUMBER(G237),ISNUMBER(G187)),IFERROR(G237/G187,""),"")</f>
        <v>0.3568</v>
      </c>
      <c r="H238" s="215">
        <f>IF(AND(ISNUMBER(H237),ISNUMBER(H187)),IFERROR(H237/H187,""),"")</f>
        <v>0.331658291457286</v>
      </c>
      <c r="I238" s="215">
        <f>IF(AND(ISNUMBER(I237),ISNUMBER(I187)),IFERROR(I237/I187,""),"")</f>
        <v>0.2888</v>
      </c>
      <c r="J238" s="215">
        <f>IF(AND(ISNUMBER(J237),ISNUMBER(J187)),IFERROR(J237/J187,""),"")</f>
        <v>0.328615384615385</v>
      </c>
      <c r="K238" s="215">
        <f>IF(AND(ISNUMBER(K237),ISNUMBER(K187)),IFERROR(K237/K187,""),"")</f>
        <v>0.34789644012945</v>
      </c>
      <c r="L238" s="215">
        <f>IF(AND(ISNUMBER(L237),ISNUMBER(L187)),IFERROR(L237/L187,""),"")</f>
        <v>0.361069836552749</v>
      </c>
      <c r="M238" s="215">
        <f>IF(AND(ISNUMBER(M237),ISNUMBER(M187)),IFERROR(M237/M187,""),"")</f>
        <v>0.376088677751386</v>
      </c>
      <c r="N238" s="215">
        <f>IF(AND(ISNUMBER(N237),ISNUMBER(N187)),IFERROR(N237/N187,""),"")</f>
        <v>0.344186046511628</v>
      </c>
      <c r="O238" s="215">
        <f>IF(AND(ISNUMBER(O237),ISNUMBER(O187)),IFERROR(O237/O187,""),"")</f>
        <v>0.359334785191051</v>
      </c>
      <c r="P238" s="215">
        <f>IF(AND(ISNUMBER(P237),ISNUMBER(P187)),IFERROR(P237/P187,""),"")</f>
        <v>0.388845247446976</v>
      </c>
      <c r="Q238" s="215">
        <f>IF(AND(ISNUMBER(Q237),ISNUMBER(Q187)),IFERROR(Q237/Q187,""),"")</f>
        <v>0.411326378539493</v>
      </c>
      <c r="R238" s="215">
        <f>IF(AND(ISNUMBER(R237),ISNUMBER(R187)),IFERROR(R237/R187,""),"")</f>
        <v>0.398791540785499</v>
      </c>
      <c r="S238" s="215">
        <f>IF(AND(ISNUMBER(S237),ISNUMBER(S187)),IFERROR(S237/S187,""),"")</f>
        <v>0.347889374090247</v>
      </c>
      <c r="T238" s="215">
        <f>IF(AND(ISNUMBER(T237),ISNUMBER(T187)),IFERROR(T237/T187,""),"")</f>
        <v>0.386410690758517</v>
      </c>
      <c r="U238" s="215">
        <f>IF(AND(ISNUMBER(U237),ISNUMBER(U187)),IFERROR(U237/U187,""),"")</f>
        <v>0.410141685309471</v>
      </c>
      <c r="V238" s="215">
        <f>IF(AND(ISNUMBER(V237),ISNUMBER(V187)),IFERROR(V237/V187,""),"")</f>
        <v>0.439946018893387</v>
      </c>
      <c r="W238" s="215">
        <f>IF(AND(ISNUMBER(W237),ISNUMBER(W187)),IFERROR(W237/W187,""),"")</f>
        <v>0.443363446838082</v>
      </c>
      <c r="X238" s="215">
        <f>IF(AND(ISNUMBER(X237),ISNUMBER(X187)),IFERROR(X237/X187,""),"")</f>
        <v>0.421015010721944</v>
      </c>
      <c r="Y238" s="215">
        <f>IF(AND(ISNUMBER(Y237),ISNUMBER(Y187)),IFERROR(Y237/Y187,""),"")</f>
        <v>0.429429429429429</v>
      </c>
      <c r="Z238" s="215">
        <f>IF(AND(ISNUMBER(Z237),ISNUMBER(Z187)),IFERROR(Z237/Z187,""),"")</f>
        <v>0.474191328286304</v>
      </c>
      <c r="AA238" s="215">
        <f>IF(AND(ISNUMBER(AA237),ISNUMBER(AA187)),IFERROR(AA237/AA187,""),"")</f>
        <v>0.473823724320742</v>
      </c>
      <c r="AB238" s="215">
        <f>IF(AND(ISNUMBER(AB237),ISNUMBER(AB187)),IFERROR(AB237/AB187,""),"")</f>
        <v>0.463317911434237</v>
      </c>
      <c r="AC238" s="215">
        <f>IF(AND(ISNUMBER(AC237),ISNUMBER(AC187)),IFERROR(AC237/AC187,""),"")</f>
        <v>0.473253618628068</v>
      </c>
      <c r="AD238" s="215">
        <f>IF(AND(ISNUMBER(AD237),ISNUMBER(AD187)),IFERROR(AD237/AD187,""),"")</f>
        <v>0.471218868546924</v>
      </c>
      <c r="AE238" s="215">
        <f>IF(AND(ISNUMBER(AE237),ISNUMBER(AE187)),IFERROR(AE237/AE187,""),"")</f>
        <v>0.469049138481174</v>
      </c>
      <c r="AF238" s="215">
        <f>IF(AND(ISNUMBER(AF237),ISNUMBER(AF187)),IFERROR(AF237/AF187,""),"")</f>
        <v>0.490988191423244</v>
      </c>
      <c r="AG238" s="215">
        <f>IF(AND(ISNUMBER(AG237),ISNUMBER(AG187)),IFERROR(AG237/AG187,""),"")</f>
        <v>0.496119016817594</v>
      </c>
      <c r="AH238" s="215">
        <f>IF(AND(ISNUMBER(AH237),ISNUMBER(AH187)),IFERROR(AH237/AH187,""),"")</f>
        <v>0.495442708333333</v>
      </c>
      <c r="AI238" s="215">
        <f>IF(AND(ISNUMBER(AI237),ISNUMBER(AI187)),IFERROR(AI237/AI187,""),"")</f>
        <v>0.487695749440716</v>
      </c>
      <c r="AJ238" s="215">
        <f>IF(AND(ISNUMBER(AJ237),ISNUMBER(AJ187)),IFERROR(AJ237/AJ187,""),"")</f>
        <v>0.472947167409293</v>
      </c>
      <c r="AK238" s="215">
        <f>IF(AND(ISNUMBER(AK237),ISNUMBER(AK187)),IFERROR(AK237/AK187,""),"")</f>
        <v>0.512910798122066</v>
      </c>
      <c r="AL238" s="215">
        <f>IF(AND(ISNUMBER(AL237),ISNUMBER(AL187)),IFERROR(AL237/AL187,""),"")</f>
        <v>0.519242155121374</v>
      </c>
      <c r="AM238" s="215">
        <f>IF(AND(ISNUMBER(AM237),ISNUMBER(AM187)),IFERROR(AM237/AM187,""),"")</f>
        <v>0.499135446685879</v>
      </c>
      <c r="AN238" s="215">
        <f>IF(AND(ISNUMBER(AN237),ISNUMBER(AN187)),IFERROR(AN237/AN187,""),"")</f>
        <v>0.501567398119122</v>
      </c>
      <c r="AO238" s="215">
        <f>IF(AND(ISNUMBER(AO237),ISNUMBER(AO187)),IFERROR(AO237/AO187,""),"")</f>
        <v>0.530795072788354</v>
      </c>
      <c r="AP238" s="215">
        <f>IF(AND(ISNUMBER(AP237),ISNUMBER(AP187)),IFERROR(AP237/AP187,""),"")</f>
        <v>0.587236232629954</v>
      </c>
      <c r="AQ238" s="215">
        <f>IF(AND(ISNUMBER(AQ237),ISNUMBER(AQ187)),IFERROR(AQ237/AQ187,""),"")</f>
        <v>0.528710725893825</v>
      </c>
      <c r="AR238" s="215">
        <f>IF(AND(ISNUMBER(AR237),ISNUMBER(AR187)),IFERROR(AR237/AR187,""),"")</f>
        <v>0.483663631494376</v>
      </c>
      <c r="AS238" s="215">
        <f>IF(AND(ISNUMBER(AS237),ISNUMBER(AS187)),IFERROR(AS237/AS187,""),"")</f>
        <v>0.533055630206934</v>
      </c>
      <c r="AT238" s="215">
        <f>IF(AND(ISNUMBER(AT237),ISNUMBER(AT187)),IFERROR(AT237/AT187,""),"")</f>
        <v>0.576388888888889</v>
      </c>
      <c r="AU238" s="215">
        <f>IF(AND(ISNUMBER(AU237),ISNUMBER(AU187)),IFERROR(AU237/AU187,""),"")</f>
        <v>0.58309591642925</v>
      </c>
      <c r="AV238" s="215">
        <f>IF(AND(ISNUMBER(AV237),ISNUMBER(AV187)),IFERROR(AV237/AV187,""),"")</f>
        <v>0.553425970292286</v>
      </c>
      <c r="AW238" s="215">
        <f>IF(AND(ISNUMBER(AW237),ISNUMBER(AW187)),IFERROR(AW237/AW187,""),"")</f>
        <v>0.496168582375479</v>
      </c>
      <c r="AX238" s="215">
        <f>IF(AND(ISNUMBER(AX237),ISNUMBER(AX187)),IFERROR(AX237/AX187,""),"")</f>
        <v>0.552127274918645</v>
      </c>
      <c r="AY238" s="215">
        <f>IF(AND(ISNUMBER(AY237),ISNUMBER(AY187)),IFERROR(AY237/AY187,""),"")</f>
        <v>0.50272080368355</v>
      </c>
      <c r="AZ238" s="215">
        <f>IF(AND(ISNUMBER(AZ237),ISNUMBER(AZ187)),IFERROR(AZ237/AZ187,""),"")</f>
        <v>0.468426328098897</v>
      </c>
      <c r="BA238" s="215">
        <f>IF(AND(ISNUMBER(BA237),ISNUMBER(BA187)),IFERROR(BA237/BA187,""),"")</f>
        <v>0.460678084585809</v>
      </c>
      <c r="BB238" s="215">
        <f>IF(AND(ISNUMBER(BB237),ISNUMBER(BB187)),IFERROR(BB237/BB187,""),"")</f>
        <v>0.412325502213143</v>
      </c>
      <c r="BC238" s="215">
        <f>IF(AND(ISNUMBER(BC237),ISNUMBER(BC187)),IFERROR(BC237/BC187,""),"")</f>
        <v>0.458992934442358</v>
      </c>
      <c r="BD238" s="215">
        <f>IF(AND(ISNUMBER(BD237),ISNUMBER(BD187)),IFERROR(BD237/BD187,""),"")</f>
        <v>0.462025316455696</v>
      </c>
      <c r="BE238" s="215">
        <f>IF(AND(ISNUMBER(BE237),ISNUMBER(BE187)),IFERROR(BE237/BE187,""),"")</f>
        <v>0.461786520477265</v>
      </c>
      <c r="BF238" s="215">
        <f>IF(AND(ISNUMBER(BF237),ISNUMBER(BF187)),IFERROR(BF237/BF187,""),"")</f>
        <v>0.470168612191959</v>
      </c>
      <c r="BG238" s="215">
        <f>IF(AND(ISNUMBER(BG237),ISNUMBER(BG187)),IFERROR(BG237/BG187,""),"")</f>
        <v>0.440989847715736</v>
      </c>
      <c r="BH238" s="215">
        <f>IF(AND(ISNUMBER(BH237),ISNUMBER(BH187)),IFERROR(BH237/BH187,""),"")</f>
        <v>0.458670080819397</v>
      </c>
      <c r="BI238" s="215">
        <f>IF(AND(ISNUMBER(BI237),ISNUMBER(BI187)),IFERROR(BI237/BI187,""),"")</f>
        <v>0.497851618447436</v>
      </c>
      <c r="BJ238" s="215">
        <f>IF(AND(ISNUMBER(BJ237),ISNUMBER(BJ187)),IFERROR(BJ237/BJ187,""),"")</f>
        <v>0.507185122569738</v>
      </c>
      <c r="BK238" s="215">
        <f>IF(AND(ISNUMBER(BK237),ISNUMBER(BK187)),IFERROR(BK237/BK187,""),"")</f>
        <v>0.487832167832168</v>
      </c>
      <c r="BL238" s="215">
        <f>IF(AND(ISNUMBER(BL237),ISNUMBER(BL187)),IFERROR(BL237/BL187,""),"")</f>
        <v>0.466870824053452</v>
      </c>
      <c r="BM238" s="215">
        <f>IF(AND(ISNUMBER(BM237),ISNUMBER(BM187)),IFERROR(BM237/BM187,""),"")</f>
        <v>0.489724099099099</v>
      </c>
      <c r="BN238" s="215">
        <f>IF(AND(ISNUMBER(BN237),ISNUMBER(BN187)),IFERROR(BN237/BN187,""),"")</f>
        <v>0.518915698540364</v>
      </c>
      <c r="BO238" s="215">
        <f>IF(AND(ISNUMBER(BO237),ISNUMBER(BO187)),IFERROR(BO237/BO187,""),"")</f>
        <v>0.522761531504371</v>
      </c>
      <c r="BP238" s="215">
        <f>IF(AND(ISNUMBER(BP237),ISNUMBER(BP187)),IFERROR(BP237/BP187,""),"")</f>
        <v>0.528318327040372</v>
      </c>
      <c r="BQ238" s="215">
        <f>IF(AND(ISNUMBER(BQ237),ISNUMBER(BQ187)),IFERROR(BQ237/BQ187,""),"")</f>
        <v>0.482718894009217</v>
      </c>
      <c r="BR238" s="215">
        <f>IF(AND(ISNUMBER(BR237),ISNUMBER(BR187)),IFERROR(BR237/BR187,""),"")</f>
        <v>0.513209213334315</v>
      </c>
      <c r="BS238" s="215">
        <f>IF(AND(ISNUMBER(BS237),ISNUMBER(BS187)),IFERROR(BS237/BS187,""),"")</f>
        <v>0.529190207156309</v>
      </c>
      <c r="BT238" s="215">
        <f>IF(AND(ISNUMBER(BT237),ISNUMBER(BT187)),IFERROR(BT237/BT187,""),"")</f>
        <v>0.543230016313214</v>
      </c>
      <c r="BU238" s="256">
        <f>IF(AND(ISNUMBER(BU237),ISNUMBER(BU187)),IFERROR(BU237/BU187,""),"")</f>
        <v>0.520146736251578</v>
      </c>
      <c r="BV238" s="256">
        <f>IF(AND(ISNUMBER(BV237),ISNUMBER(BV187)),IFERROR(BV237/BV187,""),"")</f>
        <v>0.478153782501165</v>
      </c>
      <c r="BW238" s="256">
        <f>IF(AND(ISNUMBER(BW237),ISNUMBER(BW187)),IFERROR(BW237/BW187,""),"")</f>
        <v>0.517964364246009</v>
      </c>
      <c r="BX238" s="256">
        <f>IF(AND(ISNUMBER(BX237),ISNUMBER(BX187)),IFERROR(BX237/BX187,""),"")</f>
        <v>0.530644271172731</v>
      </c>
      <c r="BY238" s="256">
        <f>IF(AND(ISNUMBER(BY237),ISNUMBER(BY187)),IFERROR(BY237/BY187,""),"")</f>
        <v>0.535157602835609</v>
      </c>
      <c r="BZ238" s="256">
        <f>IF(AND(ISNUMBER(BZ237),ISNUMBER(BZ187)),IFERROR(BZ237/BZ187,""),"")</f>
        <v>0.536949186875856</v>
      </c>
      <c r="CA238" s="256">
        <f>IF(AND(ISNUMBER(CA237),ISNUMBER(CA187)),IFERROR(CA237/CA187,""),"")</f>
        <v>0.539169828320479</v>
      </c>
      <c r="CB238" s="256">
        <f>IF(AND(ISNUMBER(CB237),ISNUMBER(CB187)),IFERROR(CB237/CB187,""),"")</f>
        <v>0.53981934451612</v>
      </c>
      <c r="CC238" s="153" t="n"/>
      <c r="CE238" s="37">
        <f>IFERROR(AVERAGE(BX238,BY238,BZ238,CA238,CB238),"n/m")</f>
        <v>0.536348046744159</v>
      </c>
      <c r="CF238" s="37">
        <f>IFERROR(AVERAGE(AX238,BC238,BH238,BM238,BR238),"n/m")</f>
        <v>0.494544720522763</v>
      </c>
      <c r="CG238" s="37">
        <f>IFERROR(AVERAGE(Y238,AD238,AI238,AN238,AS238,AX238,BC238,BH238,BM238,BR238),"n/m")</f>
        <v>0.489569067835694</v>
      </c>
      <c r="CH238" s="37">
        <f>IFERROR(AVERAGE(C238,D238,E238,J238,O238,T238,Y238,AD238,AI238,AN238,AS238,AX238,BC238,BH238,BM238,BR238),"n/m")</f>
        <v>0.437619469755341</v>
      </c>
    </row>
    <row r="239" ht="15" customHeight="1" s="251">
      <c r="B239" s="156" t="inlineStr">
        <is>
          <t xml:space="preserve">  Company-published adjusted operating profit</t>
        </is>
      </c>
      <c r="C239" s="34" t="n"/>
      <c r="D239" s="253" t="n">
        <v>1119</v>
      </c>
      <c r="E239" s="253" t="n">
        <v>1385</v>
      </c>
      <c r="F239" s="253" t="n">
        <v>399</v>
      </c>
      <c r="G239" s="253" t="n">
        <v>446</v>
      </c>
      <c r="H239" s="253" t="n">
        <v>396</v>
      </c>
      <c r="I239" s="253" t="n">
        <v>361</v>
      </c>
      <c r="J239" s="253" t="n">
        <v>1602</v>
      </c>
      <c r="K239" s="253" t="n">
        <v>430</v>
      </c>
      <c r="L239" s="253" t="n">
        <v>486</v>
      </c>
      <c r="M239" s="253" t="n">
        <v>475</v>
      </c>
      <c r="N239" s="253" t="n">
        <v>444</v>
      </c>
      <c r="O239" s="253" t="n">
        <v>1815</v>
      </c>
      <c r="P239" s="253" t="n">
        <v>495</v>
      </c>
      <c r="Q239" s="253" t="n">
        <v>552</v>
      </c>
      <c r="R239" s="253" t="n">
        <v>528</v>
      </c>
      <c r="S239" s="253" t="n">
        <v>478</v>
      </c>
      <c r="T239" s="253" t="n">
        <v>2053</v>
      </c>
      <c r="U239" s="253" t="n">
        <v>550</v>
      </c>
      <c r="V239" s="253" t="n">
        <v>652</v>
      </c>
      <c r="W239" s="253" t="n">
        <v>638</v>
      </c>
      <c r="X239" s="253" t="n">
        <v>589</v>
      </c>
      <c r="Y239" s="253" t="n">
        <v>2431</v>
      </c>
      <c r="Z239" s="253" t="n">
        <v>689</v>
      </c>
      <c r="AA239" s="253" t="n">
        <v>715</v>
      </c>
      <c r="AB239" s="253" t="n">
        <v>701</v>
      </c>
      <c r="AC239" s="253" t="n">
        <v>752</v>
      </c>
      <c r="AD239" s="253" t="n">
        <v>2857</v>
      </c>
      <c r="AE239" s="253" t="n">
        <v>735</v>
      </c>
      <c r="AF239" s="253" t="n">
        <v>790</v>
      </c>
      <c r="AG239" s="253" t="n">
        <v>767</v>
      </c>
      <c r="AH239" s="253" t="n">
        <v>761</v>
      </c>
      <c r="AI239" s="253" t="n">
        <v>3052</v>
      </c>
      <c r="AJ239" s="253" t="n">
        <v>743</v>
      </c>
      <c r="AK239" s="253" t="n">
        <v>874</v>
      </c>
      <c r="AL239" s="253" t="n">
        <v>877</v>
      </c>
      <c r="AM239" s="253" t="n">
        <v>866</v>
      </c>
      <c r="AN239" s="253" t="n">
        <v>3360</v>
      </c>
      <c r="AO239" s="253" t="n">
        <v>948</v>
      </c>
      <c r="AP239" s="253" t="n">
        <v>1141</v>
      </c>
      <c r="AQ239" s="253" t="n">
        <v>976</v>
      </c>
      <c r="AR239" s="253" t="n">
        <v>903</v>
      </c>
      <c r="AS239" s="253" t="n">
        <v>3967</v>
      </c>
      <c r="AT239" s="253" t="n">
        <v>1162</v>
      </c>
      <c r="AU239" s="253" t="n">
        <v>1228</v>
      </c>
      <c r="AV239" s="253" t="n">
        <v>1155</v>
      </c>
      <c r="AW239" s="253" t="n">
        <v>1036</v>
      </c>
      <c r="AX239" s="253" t="n">
        <v>4581</v>
      </c>
      <c r="AY239" s="34" t="n"/>
      <c r="AZ239" s="253" t="n">
        <v>1402</v>
      </c>
      <c r="BA239" s="253" t="n">
        <v>1318</v>
      </c>
      <c r="BB239" s="253" t="n">
        <v>1211</v>
      </c>
      <c r="BC239" s="34" t="n"/>
      <c r="BD239" s="253" t="n">
        <v>1460</v>
      </c>
      <c r="BE239" s="253" t="n">
        <v>1432</v>
      </c>
      <c r="BF239" s="253" t="n">
        <v>1450</v>
      </c>
      <c r="BG239" s="253" t="n">
        <v>1390</v>
      </c>
      <c r="BH239" s="253" t="n">
        <v>5732</v>
      </c>
      <c r="BI239" s="253" t="n">
        <v>1738</v>
      </c>
      <c r="BJ239" s="253" t="n">
        <v>1800</v>
      </c>
      <c r="BK239" s="253" t="n">
        <v>1744</v>
      </c>
      <c r="BL239" s="253" t="n">
        <v>1677</v>
      </c>
      <c r="BM239" s="253" t="n">
        <v>6958</v>
      </c>
      <c r="BN239" s="253" t="n">
        <v>1742</v>
      </c>
      <c r="BO239" s="253" t="n">
        <v>1734</v>
      </c>
      <c r="BP239" s="253" t="n">
        <v>1819</v>
      </c>
      <c r="BQ239" s="253" t="n">
        <v>1676</v>
      </c>
      <c r="BR239" s="253" t="n">
        <v>6974</v>
      </c>
      <c r="BS239" s="253" t="n">
        <v>1967</v>
      </c>
      <c r="BT239" s="253" t="n">
        <v>1998</v>
      </c>
      <c r="BU239" s="153" t="n"/>
      <c r="BV239" s="153" t="n"/>
      <c r="BW239" s="153" t="n"/>
      <c r="BX239" s="153" t="n"/>
      <c r="BY239" s="153" t="n"/>
      <c r="BZ239" s="153" t="n"/>
      <c r="CA239" s="153" t="n"/>
      <c r="CB239" s="153" t="n"/>
      <c r="CC239" s="153" t="n"/>
    </row>
    <row r="240" ht="15" customHeight="1" s="251">
      <c r="B240" s="57" t="inlineStr">
        <is>
          <t xml:space="preserve">  Check: model bridge vs company-published (should be 0; ±1 rounding)</t>
        </is>
      </c>
      <c r="C240" s="211" t="str">
        <f>IF(AND(ISNUMBER(C239),ISNUMBER(C237)),IF(ABS(C237-C239)&lt;=1.01,0,ROUND(C237-C239,0)),"n/p")</f>
        <v>n/p</v>
      </c>
      <c r="D240" s="211">
        <f>IF(AND(ISNUMBER(D239),ISNUMBER(D237)),IF(ABS(D237-D239)&lt;=1.01,0,ROUND(D237-D239,0)),"n/p")</f>
        <v>0</v>
      </c>
      <c r="E240" s="211">
        <f>IF(AND(ISNUMBER(E239),ISNUMBER(E237)),IF(ABS(E237-E239)&lt;=1.01,0,ROUND(E237-E239,0)),"n/p")</f>
        <v>0</v>
      </c>
      <c r="F240" s="211">
        <f>IF(AND(ISNUMBER(F239),ISNUMBER(F237)),IF(ABS(F237-F239)&lt;=1.01,0,ROUND(F237-F239,0)),"n/p")</f>
        <v>0</v>
      </c>
      <c r="G240" s="211">
        <f>IF(AND(ISNUMBER(G239),ISNUMBER(G237)),IF(ABS(G237-G239)&lt;=1.01,0,ROUND(G237-G239,0)),"n/p")</f>
        <v>0</v>
      </c>
      <c r="H240" s="211">
        <f>IF(AND(ISNUMBER(H239),ISNUMBER(H237)),IF(ABS(H237-H239)&lt;=1.01,0,ROUND(H237-H239,0)),"n/p")</f>
        <v>0</v>
      </c>
      <c r="I240" s="211">
        <f>IF(AND(ISNUMBER(I239),ISNUMBER(I237)),IF(ABS(I237-I239)&lt;=1.01,0,ROUND(I237-I239,0)),"n/p")</f>
        <v>0</v>
      </c>
      <c r="J240" s="211">
        <f>IF(AND(ISNUMBER(J239),ISNUMBER(J237)),IF(ABS(J237-J239)&lt;=1.01,0,ROUND(J237-J239,0)),"n/p")</f>
        <v>0</v>
      </c>
      <c r="K240" s="211">
        <f>IF(AND(ISNUMBER(K239),ISNUMBER(K237)),IF(ABS(K237-K239)&lt;=1.01,0,ROUND(K237-K239,0)),"n/p")</f>
        <v>0</v>
      </c>
      <c r="L240" s="211">
        <f>IF(AND(ISNUMBER(L239),ISNUMBER(L237)),IF(ABS(L237-L239)&lt;=1.01,0,ROUND(L237-L239,0)),"n/p")</f>
        <v>0</v>
      </c>
      <c r="M240" s="211">
        <f>IF(AND(ISNUMBER(M239),ISNUMBER(M237)),IF(ABS(M237-M239)&lt;=1.01,0,ROUND(M237-M239,0)),"n/p")</f>
        <v>0</v>
      </c>
      <c r="N240" s="211">
        <f>IF(AND(ISNUMBER(N239),ISNUMBER(N237)),IF(ABS(N237-N239)&lt;=1.01,0,ROUND(N237-N239,0)),"n/p")</f>
        <v>0</v>
      </c>
      <c r="O240" s="211">
        <f>IF(AND(ISNUMBER(O239),ISNUMBER(O237)),IF(ABS(O237-O239)&lt;=1.01,0,ROUND(O237-O239,0)),"n/p")</f>
        <v>0</v>
      </c>
      <c r="P240" s="211">
        <f>IF(AND(ISNUMBER(P239),ISNUMBER(P237)),IF(ABS(P237-P239)&lt;=1.01,0,ROUND(P237-P239,0)),"n/p")</f>
        <v>0</v>
      </c>
      <c r="Q240" s="211">
        <f>IF(AND(ISNUMBER(Q239),ISNUMBER(Q237)),IF(ABS(Q237-Q239)&lt;=1.01,0,ROUND(Q237-Q239,0)),"n/p")</f>
        <v>0</v>
      </c>
      <c r="R240" s="211">
        <f>IF(AND(ISNUMBER(R239),ISNUMBER(R237)),IF(ABS(R237-R239)&lt;=1.01,0,ROUND(R237-R239,0)),"n/p")</f>
        <v>0</v>
      </c>
      <c r="S240" s="211">
        <f>IF(AND(ISNUMBER(S239),ISNUMBER(S237)),IF(ABS(S237-S239)&lt;=1.01,0,ROUND(S237-S239,0)),"n/p")</f>
        <v>0</v>
      </c>
      <c r="T240" s="211">
        <f>IF(AND(ISNUMBER(T239),ISNUMBER(T237)),IF(ABS(T237-T239)&lt;=1.01,0,ROUND(T237-T239,0)),"n/p")</f>
        <v>0</v>
      </c>
      <c r="U240" s="211">
        <f>IF(AND(ISNUMBER(U239),ISNUMBER(U237)),IF(ABS(U237-U239)&lt;=1.01,0,ROUND(U237-U239,0)),"n/p")</f>
        <v>0</v>
      </c>
      <c r="V240" s="211">
        <f>IF(AND(ISNUMBER(V239),ISNUMBER(V237)),IF(ABS(V237-V239)&lt;=1.01,0,ROUND(V237-V239,0)),"n/p")</f>
        <v>0</v>
      </c>
      <c r="W240" s="211">
        <f>IF(AND(ISNUMBER(W239),ISNUMBER(W237)),IF(ABS(W237-W239)&lt;=1.01,0,ROUND(W237-W239,0)),"n/p")</f>
        <v>0</v>
      </c>
      <c r="X240" s="211">
        <f>IF(AND(ISNUMBER(X239),ISNUMBER(X237)),IF(ABS(X237-X239)&lt;=1.01,0,ROUND(X237-X239,0)),"n/p")</f>
        <v>0</v>
      </c>
      <c r="Y240" s="211">
        <f>IF(AND(ISNUMBER(Y239),ISNUMBER(Y237)),IF(ABS(Y237-Y239)&lt;=1.01,0,ROUND(Y237-Y239,0)),"n/p")</f>
        <v>0</v>
      </c>
      <c r="Z240" s="211">
        <f>IF(AND(ISNUMBER(Z239),ISNUMBER(Z237)),IF(ABS(Z237-Z239)&lt;=1.01,0,ROUND(Z237-Z239,0)),"n/p")</f>
        <v>0</v>
      </c>
      <c r="AA240" s="211">
        <f>IF(AND(ISNUMBER(AA239),ISNUMBER(AA237)),IF(ABS(AA237-AA239)&lt;=1.01,0,ROUND(AA237-AA239,0)),"n/p")</f>
        <v>0</v>
      </c>
      <c r="AB240" s="211">
        <f>IF(AND(ISNUMBER(AB239),ISNUMBER(AB237)),IF(ABS(AB237-AB239)&lt;=1.01,0,ROUND(AB237-AB239,0)),"n/p")</f>
        <v>0</v>
      </c>
      <c r="AC240" s="211">
        <f>IF(AND(ISNUMBER(AC239),ISNUMBER(AC237)),IF(ABS(AC237-AC239)&lt;=1.01,0,ROUND(AC237-AC239,0)),"n/p")</f>
        <v>0</v>
      </c>
      <c r="AD240" s="211">
        <f>IF(AND(ISNUMBER(AD239),ISNUMBER(AD237)),IF(ABS(AD237-AD239)&lt;=1.01,0,ROUND(AD237-AD239,0)),"n/p")</f>
        <v>0</v>
      </c>
      <c r="AE240" s="211">
        <f>IF(AND(ISNUMBER(AE239),ISNUMBER(AE237)),IF(ABS(AE237-AE239)&lt;=1.01,0,ROUND(AE237-AE239,0)),"n/p")</f>
        <v>0</v>
      </c>
      <c r="AF240" s="211">
        <f>IF(AND(ISNUMBER(AF239),ISNUMBER(AF237)),IF(ABS(AF237-AF239)&lt;=1.01,0,ROUND(AF237-AF239,0)),"n/p")</f>
        <v>0</v>
      </c>
      <c r="AG240" s="211">
        <f>IF(AND(ISNUMBER(AG239),ISNUMBER(AG237)),IF(ABS(AG237-AG239)&lt;=1.01,0,ROUND(AG237-AG239,0)),"n/p")</f>
        <v>0</v>
      </c>
      <c r="AH240" s="211">
        <f>IF(AND(ISNUMBER(AH239),ISNUMBER(AH237)),IF(ABS(AH237-AH239)&lt;=1.01,0,ROUND(AH237-AH239,0)),"n/p")</f>
        <v>0</v>
      </c>
      <c r="AI240" s="211">
        <f>IF(AND(ISNUMBER(AI239),ISNUMBER(AI237)),IF(ABS(AI237-AI239)&lt;=1.01,0,ROUND(AI237-AI239,0)),"n/p")</f>
        <v>0</v>
      </c>
      <c r="AJ240" s="211">
        <f>IF(AND(ISNUMBER(AJ239),ISNUMBER(AJ237)),IF(ABS(AJ237-AJ239)&lt;=1.01,0,ROUND(AJ237-AJ239,0)),"n/p")</f>
        <v>0</v>
      </c>
      <c r="AK240" s="211">
        <f>IF(AND(ISNUMBER(AK239),ISNUMBER(AK237)),IF(ABS(AK237-AK239)&lt;=1.01,0,ROUND(AK237-AK239,0)),"n/p")</f>
        <v>0</v>
      </c>
      <c r="AL240" s="211">
        <f>IF(AND(ISNUMBER(AL239),ISNUMBER(AL237)),IF(ABS(AL237-AL239)&lt;=1.01,0,ROUND(AL237-AL239,0)),"n/p")</f>
        <v>0</v>
      </c>
      <c r="AM240" s="211">
        <f>IF(AND(ISNUMBER(AM239),ISNUMBER(AM237)),IF(ABS(AM237-AM239)&lt;=1.01,0,ROUND(AM237-AM239,0)),"n/p")</f>
        <v>0</v>
      </c>
      <c r="AN240" s="211">
        <f>IF(AND(ISNUMBER(AN239),ISNUMBER(AN237)),IF(ABS(AN237-AN239)&lt;=1.01,0,ROUND(AN237-AN239,0)),"n/p")</f>
        <v>0</v>
      </c>
      <c r="AO240" s="211">
        <f>IF(AND(ISNUMBER(AO239),ISNUMBER(AO237)),IF(ABS(AO237-AO239)&lt;=1.01,0,ROUND(AO237-AO239,0)),"n/p")</f>
        <v>0</v>
      </c>
      <c r="AP240" s="211">
        <f>IF(AND(ISNUMBER(AP239),ISNUMBER(AP237)),IF(ABS(AP237-AP239)&lt;=1.01,0,ROUND(AP237-AP239,0)),"n/p")</f>
        <v>0</v>
      </c>
      <c r="AQ240" s="211">
        <f>IF(AND(ISNUMBER(AQ239),ISNUMBER(AQ237)),IF(ABS(AQ237-AQ239)&lt;=1.01,0,ROUND(AQ237-AQ239,0)),"n/p")</f>
        <v>0</v>
      </c>
      <c r="AR240" s="211">
        <f>IF(AND(ISNUMBER(AR239),ISNUMBER(AR237)),IF(ABS(AR237-AR239)&lt;=1.01,0,ROUND(AR237-AR239,0)),"n/p")</f>
        <v>0</v>
      </c>
      <c r="AS240" s="211">
        <f>IF(AND(ISNUMBER(AS239),ISNUMBER(AS237)),IF(ABS(AS237-AS239)&lt;=1.01,0,ROUND(AS237-AS239,0)),"n/p")</f>
        <v>0</v>
      </c>
      <c r="AT240" s="211">
        <f>IF(AND(ISNUMBER(AT239),ISNUMBER(AT237)),IF(ABS(AT237-AT239)&lt;=1.01,0,ROUND(AT237-AT239,0)),"n/p")</f>
        <v>0</v>
      </c>
      <c r="AU240" s="211">
        <f>IF(AND(ISNUMBER(AU239),ISNUMBER(AU237)),IF(ABS(AU237-AU239)&lt;=1.01,0,ROUND(AU237-AU239,0)),"n/p")</f>
        <v>0</v>
      </c>
      <c r="AV240" s="211">
        <f>IF(AND(ISNUMBER(AV239),ISNUMBER(AV237)),IF(ABS(AV237-AV239)&lt;=1.01,0,ROUND(AV237-AV239,0)),"n/p")</f>
        <v>0</v>
      </c>
      <c r="AW240" s="211">
        <f>IF(AND(ISNUMBER(AW239),ISNUMBER(AW237)),IF(ABS(AW237-AW239)&lt;=1.01,0,ROUND(AW237-AW239,0)),"n/p")</f>
        <v>0</v>
      </c>
      <c r="AX240" s="211">
        <f>IF(AND(ISNUMBER(AX239),ISNUMBER(AX237)),IF(ABS(AX237-AX239)&lt;=1.01,0,ROUND(AX237-AX239,0)),"n/p")</f>
        <v>0</v>
      </c>
      <c r="AY240" s="211" t="str">
        <f>IF(AND(ISNUMBER(AY239),ISNUMBER(AY237)),IF(ABS(AY237-AY239)&lt;=1.01,0,ROUND(AY237-AY239,0)),"n/p")</f>
        <v>n/p</v>
      </c>
      <c r="AZ240" s="211">
        <f>IF(AND(ISNUMBER(AZ239),ISNUMBER(AZ237)),IF(ABS(AZ237-AZ239)&lt;=1.01,0,ROUND(AZ237-AZ239,0)),"n/p")</f>
        <v>0</v>
      </c>
      <c r="BA240" s="211">
        <f>IF(AND(ISNUMBER(BA239),ISNUMBER(BA237)),IF(ABS(BA237-BA239)&lt;=1.01,0,ROUND(BA237-BA239,0)),"n/p")</f>
        <v>0</v>
      </c>
      <c r="BB240" s="211">
        <f>IF(AND(ISNUMBER(BB239),ISNUMBER(BB237)),IF(ABS(BB237-BB239)&lt;=1.01,0,ROUND(BB237-BB239,0)),"n/p")</f>
        <v>0</v>
      </c>
      <c r="BC240" s="211" t="str">
        <f>IF(AND(ISNUMBER(BC239),ISNUMBER(BC237)),IF(ABS(BC237-BC239)&lt;=1.01,0,ROUND(BC237-BC239,0)),"n/p")</f>
        <v>n/p</v>
      </c>
      <c r="BD240" s="211">
        <f>IF(AND(ISNUMBER(BD239),ISNUMBER(BD237)),IF(ABS(BD237-BD239)&lt;=1.01,0,ROUND(BD237-BD239,0)),"n/p")</f>
        <v>0</v>
      </c>
      <c r="BE240" s="211">
        <f>IF(AND(ISNUMBER(BE239),ISNUMBER(BE237)),IF(ABS(BE237-BE239)&lt;=1.01,0,ROUND(BE237-BE239,0)),"n/p")</f>
        <v>0</v>
      </c>
      <c r="BF240" s="211">
        <f>IF(AND(ISNUMBER(BF239),ISNUMBER(BF237)),IF(ABS(BF237-BF239)&lt;=1.01,0,ROUND(BF237-BF239,0)),"n/p")</f>
        <v>0</v>
      </c>
      <c r="BG240" s="211">
        <f>IF(AND(ISNUMBER(BG239),ISNUMBER(BG237)),IF(ABS(BG237-BG239)&lt;=1.01,0,ROUND(BG237-BG239,0)),"n/p")</f>
        <v>0</v>
      </c>
      <c r="BH240" s="211">
        <f>IF(AND(ISNUMBER(BH239),ISNUMBER(BH237)),IF(ABS(BH237-BH239)&lt;=1.01,0,ROUND(BH237-BH239,0)),"n/p")</f>
        <v>0</v>
      </c>
      <c r="BI240" s="211">
        <f>IF(AND(ISNUMBER(BI239),ISNUMBER(BI237)),IF(ABS(BI237-BI239)&lt;=1.01,0,ROUND(BI237-BI239,0)),"n/p")</f>
        <v>0</v>
      </c>
      <c r="BJ240" s="211">
        <f>IF(AND(ISNUMBER(BJ239),ISNUMBER(BJ237)),IF(ABS(BJ237-BJ239)&lt;=1.01,0,ROUND(BJ237-BJ239,0)),"n/p")</f>
        <v>0</v>
      </c>
      <c r="BK240" s="211">
        <f>IF(AND(ISNUMBER(BK239),ISNUMBER(BK237)),IF(ABS(BK237-BK239)&lt;=1.01,0,ROUND(BK237-BK239,0)),"n/p")</f>
        <v>0</v>
      </c>
      <c r="BL240" s="211">
        <f>IF(AND(ISNUMBER(BL239),ISNUMBER(BL237)),IF(ABS(BL237-BL239)&lt;=1.01,0,ROUND(BL237-BL239,0)),"n/p")</f>
        <v>0</v>
      </c>
      <c r="BM240" s="211">
        <f>IF(AND(ISNUMBER(BM239),ISNUMBER(BM237)),IF(ABS(BM237-BM239)&lt;=1.01,0,ROUND(BM237-BM239,0)),"n/p")</f>
        <v>0</v>
      </c>
      <c r="BN240" s="211">
        <f>IF(AND(ISNUMBER(BN239),ISNUMBER(BN237)),IF(ABS(BN237-BN239)&lt;=1.01,0,ROUND(BN237-BN239,0)),"n/p")</f>
        <v>0</v>
      </c>
      <c r="BO240" s="211">
        <f>IF(AND(ISNUMBER(BO239),ISNUMBER(BO237)),IF(ABS(BO237-BO239)&lt;=1.01,0,ROUND(BO237-BO239,0)),"n/p")</f>
        <v>0</v>
      </c>
      <c r="BP240" s="211">
        <f>IF(AND(ISNUMBER(BP239),ISNUMBER(BP237)),IF(ABS(BP237-BP239)&lt;=1.01,0,ROUND(BP237-BP239,0)),"n/p")</f>
        <v>0</v>
      </c>
      <c r="BQ240" s="211">
        <f>IF(AND(ISNUMBER(BQ239),ISNUMBER(BQ237)),IF(ABS(BQ237-BQ239)&lt;=1.01,0,ROUND(BQ237-BQ239,0)),"n/p")</f>
        <v>0</v>
      </c>
      <c r="BR240" s="211">
        <f>IF(AND(ISNUMBER(BR239),ISNUMBER(BR237)),IF(ABS(BR237-BR239)&lt;=1.01,0,ROUND(BR237-BR239,0)),"n/p")</f>
        <v>0</v>
      </c>
      <c r="BS240" s="211">
        <f>IF(AND(ISNUMBER(BS239),ISNUMBER(BS237)),IF(ABS(BS237-BS239)&lt;=1.01,0,ROUND(BS237-BS239,0)),"n/p")</f>
        <v>0</v>
      </c>
      <c r="BT240" s="211">
        <f>IF(AND(ISNUMBER(BT239),ISNUMBER(BT237)),IF(ABS(BT237-BT239)&lt;=1.01,0,ROUND(BT237-BT239,0)),"n/p")</f>
        <v>0</v>
      </c>
      <c r="BU240" s="153" t="n"/>
      <c r="BV240" s="153" t="n"/>
      <c r="BW240" s="153" t="n"/>
      <c r="BX240" s="153" t="n"/>
      <c r="BY240" s="153" t="n"/>
      <c r="BZ240" s="153" t="n"/>
      <c r="CA240" s="153" t="n"/>
      <c r="CB240" s="153" t="n"/>
      <c r="CC240" s="153" t="n"/>
    </row>
    <row r="241" ht="15" customHeight="1" s="251">
      <c r="B241" s="158" t="inlineStr">
        <is>
          <t xml:space="preserve">  Definition / basis (company adjusted definition in force)</t>
        </is>
      </c>
      <c r="C241" s="284" t="inlineStr">
        <is>
          <t>FY2010: continuing operations recast (FY2012 10-K); no adjusted measures on this basis</t>
        </is>
      </c>
      <c r="D241" s="284" t="inlineStr">
        <is>
          <t>FY2011–15: adjusted OP excludes restructuring / Growth &amp; Value Plan items, legal settlements and gains; deal amortization NOT added back</t>
        </is>
      </c>
      <c r="U241" s="284" t="inlineStr">
        <is>
          <t>2016+: deal-related amortization added back (the Q4-15 release recast FY2015 adjusted EPS to $4.69; the model keeps 2013–15 as first published)</t>
        </is>
      </c>
      <c r="AY241" s="284" t="inlineStr">
        <is>
          <t>Q1-22 / FY2022: adjusted published only pro forma for IHS Markit — model = actual-scope rebuild (check n/p); Q2–Q4-22 actual scope, net of divestitures</t>
        </is>
      </c>
      <c r="BD241" s="284" t="inlineStr">
        <is>
          <t>Q1-23+: premium amortization benefit on assumed IHS Markit notes removed from adjusted interest</t>
        </is>
      </c>
      <c r="BN241" s="284" t="inlineStr">
        <is>
          <t>2025–1H26: pro forma continuing operations excluding Mobility (Article 11; recast 6-Jul-2026; incl. Transition Services Agreement income)</t>
        </is>
      </c>
      <c r="BU241" s="153" t="n"/>
      <c r="BV241" s="153" t="n"/>
      <c r="BW241" s="153" t="n"/>
      <c r="BX241" s="153" t="n"/>
      <c r="BY241" s="153" t="n"/>
      <c r="BZ241" s="153" t="n"/>
      <c r="CA241" s="153" t="n"/>
      <c r="CB241" s="153" t="n"/>
      <c r="CC241" s="19" t="inlineStr">
        <is>
          <t>Basis changes are flagged in the column where they take effect (cell comment gives the detail).</t>
        </is>
      </c>
    </row>
    <row r="242" ht="15" customHeight="1" s="251">
      <c r="B242" s="22" t="inlineStr">
        <is>
          <t xml:space="preserve">  Adjusted OP y/y %</t>
        </is>
      </c>
      <c r="C242" s="23" t="n"/>
      <c r="D242" s="255">
        <f>IF(AND(ISNUMBER(D237),ISNUMBER(C237)),IFERROR(D237/C237-1,""),"")</f>
      </c>
      <c r="E242" s="255">
        <f>IF(AND(ISNUMBER(E237),ISNUMBER(D237)),IFERROR(E237/D237-1,""),"")</f>
        <v>0.237712243074173</v>
      </c>
      <c r="F242" s="23" t="n"/>
      <c r="G242" s="23" t="n"/>
      <c r="H242" s="23" t="n"/>
      <c r="I242" s="23" t="n"/>
      <c r="J242" s="255">
        <f>IF(AND(ISNUMBER(J237),ISNUMBER(E237)),IFERROR(J237/E237-1,""),"")</f>
        <v>0.156678700361011</v>
      </c>
      <c r="K242" s="255">
        <f>IF(AND(ISNUMBER(K237),ISNUMBER(F237)),IFERROR(K237/F237-1,""),"")</f>
        <v>0.0776942355889725</v>
      </c>
      <c r="L242" s="255">
        <f>IF(AND(ISNUMBER(L237),ISNUMBER(G237)),IFERROR(L237/G237-1,""),"")</f>
        <v>0.0896860986547086</v>
      </c>
      <c r="M242" s="255">
        <f>IF(AND(ISNUMBER(M237),ISNUMBER(H237)),IFERROR(M237/H237-1,""),"")</f>
        <v>0.199494949494949</v>
      </c>
      <c r="N242" s="255">
        <f>IF(AND(ISNUMBER(N237),ISNUMBER(I237)),IFERROR(N237/I237-1,""),"")</f>
        <v>0.229916897506925</v>
      </c>
      <c r="O242" s="255">
        <f>IF(AND(ISNUMBER(O237),ISNUMBER(J237)),IFERROR(O237/J237-1,""),"")</f>
        <v>0.132958801498127</v>
      </c>
      <c r="P242" s="255">
        <f>IF(AND(ISNUMBER(P237),ISNUMBER(K237)),IFERROR(P237/K237-1,""),"")</f>
        <v>0.151162790697674</v>
      </c>
      <c r="Q242" s="255">
        <f>IF(AND(ISNUMBER(Q237),ISNUMBER(L237)),IFERROR(Q237/L237-1,""),"")</f>
        <v>0.135802469135802</v>
      </c>
      <c r="R242" s="255">
        <f>IF(AND(ISNUMBER(R237),ISNUMBER(M237)),IFERROR(R237/M237-1,""),"")</f>
        <v>0.111578947368421</v>
      </c>
      <c r="S242" s="255">
        <f>IF(AND(ISNUMBER(S237),ISNUMBER(N237)),IFERROR(S237/N237-1,""),"")</f>
        <v>0.0765765765765767</v>
      </c>
      <c r="T242" s="255">
        <f>IF(AND(ISNUMBER(T237),ISNUMBER(O237)),IFERROR(T237/O237-1,""),"")</f>
        <v>0.131129476584022</v>
      </c>
      <c r="U242" s="255">
        <f>IF(AND(ISNUMBER(U237),ISNUMBER(P237)),IFERROR(U237/P237-1,""),"")</f>
        <v>0.111111111111111</v>
      </c>
      <c r="V242" s="255">
        <f>IF(AND(ISNUMBER(V237),ISNUMBER(Q237)),IFERROR(V237/Q237-1,""),"")</f>
        <v>0.181159420289855</v>
      </c>
      <c r="W242" s="255">
        <f>IF(AND(ISNUMBER(W237),ISNUMBER(R237)),IFERROR(W237/R237-1,""),"")</f>
        <v>0.208333333333333</v>
      </c>
      <c r="X242" s="255">
        <f>IF(AND(ISNUMBER(X237),ISNUMBER(S237)),IFERROR(X237/S237-1,""),"")</f>
        <v>0.232217573221757</v>
      </c>
      <c r="Y242" s="255">
        <f>IF(AND(ISNUMBER(Y237),ISNUMBER(T237)),IFERROR(Y237/T237-1,""),"")</f>
        <v>0.184120798830979</v>
      </c>
      <c r="Z242" s="255">
        <f>IF(AND(ISNUMBER(Z237),ISNUMBER(U237)),IFERROR(Z237/U237-1,""),"")</f>
        <v>0.252727272727273</v>
      </c>
      <c r="AA242" s="255">
        <f>IF(AND(ISNUMBER(AA237),ISNUMBER(V237)),IFERROR(AA237/V237-1,""),"")</f>
        <v>0.0966257668711656</v>
      </c>
      <c r="AB242" s="255">
        <f>IF(AND(ISNUMBER(AB237),ISNUMBER(W237)),IFERROR(AB237/W237-1,""),"")</f>
        <v>0.0987460815047021</v>
      </c>
      <c r="AC242" s="255">
        <f>IF(AND(ISNUMBER(AC237),ISNUMBER(X237)),IFERROR(AC237/X237-1,""),"")</f>
        <v>0.276740237691002</v>
      </c>
      <c r="AD242" s="255">
        <f>IF(AND(ISNUMBER(AD237),ISNUMBER(Y237)),IFERROR(AD237/Y237-1,""),"")</f>
        <v>0.175236528177705</v>
      </c>
      <c r="AE242" s="255">
        <f>IF(AND(ISNUMBER(AE237),ISNUMBER(Z237)),IFERROR(AE237/Z237-1,""),"")</f>
        <v>0.0667634252539913</v>
      </c>
      <c r="AF242" s="255">
        <f>IF(AND(ISNUMBER(AF237),ISNUMBER(AA237)),IFERROR(AF237/AA237-1,""),"")</f>
        <v>0.104895104895105</v>
      </c>
      <c r="AG242" s="255">
        <f>IF(AND(ISNUMBER(AG237),ISNUMBER(AB237)),IFERROR(AG237/AB237-1,""),"")</f>
        <v>0.0941512125534949</v>
      </c>
      <c r="AH242" s="255">
        <f>IF(AND(ISNUMBER(AH237),ISNUMBER(AC237)),IFERROR(AH237/AC237-1,""),"")</f>
        <v>0.011968085106383</v>
      </c>
      <c r="AI242" s="255">
        <f>IF(AND(ISNUMBER(AI237),ISNUMBER(AD237)),IFERROR(AI237/AD237-1,""),"")</f>
        <v>0.0682534126706336</v>
      </c>
      <c r="AJ242" s="255">
        <f>IF(AND(ISNUMBER(AJ237),ISNUMBER(AE237)),IFERROR(AJ237/AE237-1,""),"")</f>
        <v>0.0108843537414967</v>
      </c>
      <c r="AK242" s="255">
        <f>IF(AND(ISNUMBER(AK237),ISNUMBER(AF237)),IFERROR(AK237/AF237-1,""),"")</f>
        <v>0.106329113924051</v>
      </c>
      <c r="AL242" s="255">
        <f>IF(AND(ISNUMBER(AL237),ISNUMBER(AG237)),IFERROR(AL237/AG237-1,""),"")</f>
        <v>0.14341590612777</v>
      </c>
      <c r="AM242" s="255">
        <f>IF(AND(ISNUMBER(AM237),ISNUMBER(AH237)),IFERROR(AM237/AH237-1,""),"")</f>
        <v>0.137976346911958</v>
      </c>
      <c r="AN242" s="255">
        <f>IF(AND(ISNUMBER(AN237),ISNUMBER(AI237)),IFERROR(AN237/AI237-1,""),"")</f>
        <v>0.100917431192661</v>
      </c>
      <c r="AO242" s="255">
        <f>IF(AND(ISNUMBER(AO237),ISNUMBER(AJ237)),IFERROR(AO237/AJ237-1,""),"")</f>
        <v>0.275908479138627</v>
      </c>
      <c r="AP242" s="255">
        <f>IF(AND(ISNUMBER(AP237),ISNUMBER(AK237)),IFERROR(AP237/AK237-1,""),"")</f>
        <v>0.305491990846682</v>
      </c>
      <c r="AQ242" s="255">
        <f>IF(AND(ISNUMBER(AQ237),ISNUMBER(AL237)),IFERROR(AQ237/AL237-1,""),"")</f>
        <v>0.112884834663626</v>
      </c>
      <c r="AR242" s="255">
        <f>IF(AND(ISNUMBER(AR237),ISNUMBER(AM237)),IFERROR(AR237/AM237-1,""),"")</f>
        <v>0.0427251732101617</v>
      </c>
      <c r="AS242" s="255">
        <f>IF(AND(ISNUMBER(AS237),ISNUMBER(AN237)),IFERROR(AS237/AN237-1,""),"")</f>
        <v>0.180654761904762</v>
      </c>
      <c r="AT242" s="255">
        <f>IF(AND(ISNUMBER(AT237),ISNUMBER(AO237)),IFERROR(AT237/AO237-1,""),"")</f>
        <v>0.225738396624473</v>
      </c>
      <c r="AU242" s="255">
        <f>IF(AND(ISNUMBER(AU237),ISNUMBER(AP237)),IFERROR(AU237/AP237-1,""),"")</f>
        <v>0.0762489044697634</v>
      </c>
      <c r="AV242" s="255">
        <f>IF(AND(ISNUMBER(AV237),ISNUMBER(AQ237)),IFERROR(AV237/AQ237-1,""),"")</f>
        <v>0.183401639344262</v>
      </c>
      <c r="AW242" s="255">
        <f>IF(AND(ISNUMBER(AW237),ISNUMBER(AR237)),IFERROR(AW237/AR237-1,""),"")</f>
        <v>0.147286821705426</v>
      </c>
      <c r="AX242" s="255">
        <f>IF(AND(ISNUMBER(AX237),ISNUMBER(AS237)),IFERROR(AX237/AS237-1,""),"")</f>
        <v>0.154776909503403</v>
      </c>
      <c r="AY242" s="255">
        <f>IF(AND(ISNUMBER(AY237),ISNUMBER(AT237)),IFERROR(AY237/AT237-1,""),"")</f>
        <v>0.0335628227194493</v>
      </c>
      <c r="AZ242" s="255">
        <f>IF(AND(ISNUMBER(AZ237),ISNUMBER(AU237)),IFERROR(AZ237/AU237-1,""),"")</f>
        <v>0.141693811074919</v>
      </c>
      <c r="BA242" s="255">
        <f>IF(AND(ISNUMBER(BA237),ISNUMBER(AV237)),IFERROR(BA237/AV237-1,""),"")</f>
        <v>0.141125541125541</v>
      </c>
      <c r="BB242" s="255">
        <f>IF(AND(ISNUMBER(BB237),ISNUMBER(AW237)),IFERROR(BB237/AW237-1,""),"")</f>
        <v>0.168918918918919</v>
      </c>
      <c r="BC242" s="255">
        <f>IF(AND(ISNUMBER(BC237),ISNUMBER(AX237)),IFERROR(BC237/AX237-1,""),"")</f>
        <v>0.120279414974896</v>
      </c>
      <c r="BD242" s="255">
        <f>IF(AND(ISNUMBER(BD237),ISNUMBER(AY237)),IFERROR(BD237/AY237-1,""),"")</f>
        <v>0.215653621981682</v>
      </c>
      <c r="BE242" s="255">
        <f>IF(AND(ISNUMBER(BE237),ISNUMBER(AZ237)),IFERROR(BE237/AZ237-1,""),"")</f>
        <v>0.0213980028530671</v>
      </c>
      <c r="BF242" s="255">
        <f>IF(AND(ISNUMBER(BF237),ISNUMBER(BA237)),IFERROR(BF237/BA237-1,""),"")</f>
        <v>0.100151745068285</v>
      </c>
      <c r="BG242" s="255">
        <f>IF(AND(ISNUMBER(BG237),ISNUMBER(BB237)),IFERROR(BG237/BB237-1,""),"")</f>
        <v>0.147811725846408</v>
      </c>
      <c r="BH242" s="255">
        <f>IF(AND(ISNUMBER(BH237),ISNUMBER(BC237)),IFERROR(BH237/BC237-1,""),"")</f>
        <v>0.116913484021824</v>
      </c>
      <c r="BI242" s="255">
        <f>IF(AND(ISNUMBER(BI237),ISNUMBER(BD237)),IFERROR(BI237/BD237-1,""),"")</f>
        <v>0.19041095890411</v>
      </c>
      <c r="BJ242" s="255">
        <f>IF(AND(ISNUMBER(BJ237),ISNUMBER(BE237)),IFERROR(BJ237/BE237-1,""),"")</f>
        <v>0.256983240223464</v>
      </c>
      <c r="BK242" s="255">
        <f>IF(AND(ISNUMBER(BK237),ISNUMBER(BF237)),IFERROR(BK237/BF237-1,""),"")</f>
        <v>0.202758620689655</v>
      </c>
      <c r="BL242" s="255">
        <f>IF(AND(ISNUMBER(BL237),ISNUMBER(BG237)),IFERROR(BL237/BG237-1,""),"")</f>
        <v>0.206474820143885</v>
      </c>
      <c r="BM242" s="255">
        <f>IF(AND(ISNUMBER(BM237),ISNUMBER(BH237)),IFERROR(BM237/BH237-1,""),"")</f>
        <v>0.213886950453594</v>
      </c>
      <c r="BN242" s="255">
        <f>IF(AND(ISNUMBER(BN237),ISNUMBER(BI237)),IFERROR(BN237/BI237-1,""),"")</f>
        <v>0.00230149597238194</v>
      </c>
      <c r="BO242" s="255">
        <f>IF(AND(ISNUMBER(BO237),ISNUMBER(BJ237)),IFERROR(BO237/BJ237-1,""),"")</f>
        <v>-0.0366666666666666</v>
      </c>
      <c r="BP242" s="255">
        <f>IF(AND(ISNUMBER(BP237),ISNUMBER(BK237)),IFERROR(BP237/BK237-1,""),"")</f>
        <v>0.0430045871559632</v>
      </c>
      <c r="BQ242" s="255">
        <f>IF(AND(ISNUMBER(BQ237),ISNUMBER(BL237)),IFERROR(BQ237/BL237-1,""),"")</f>
        <v>-0.000596302921884284</v>
      </c>
      <c r="BR242" s="255">
        <f>IF(AND(ISNUMBER(BR237),ISNUMBER(BM237)),IFERROR(BR237/BM237-1,""),"")</f>
        <v>0.00229951135383732</v>
      </c>
      <c r="BS242" s="255">
        <f>IF(AND(ISNUMBER(BS237),ISNUMBER(BN237)),IFERROR(BS237/BN237-1,""),"")</f>
        <v>0.129161882893226</v>
      </c>
      <c r="BT242" s="255">
        <f>IF(AND(ISNUMBER(BT237),ISNUMBER(BO237)),IFERROR(BT237/BO237-1,""),"")</f>
        <v>0.152249134948097</v>
      </c>
      <c r="BU242" s="256">
        <f>IF(AND(ISNUMBER(BU237),ISNUMBER(BP237)),IFERROR(BU237/BP237-1,""),"")</f>
        <v>0.0163980687317311</v>
      </c>
      <c r="BV242" s="256">
        <f>IF(AND(ISNUMBER(BV237),ISNUMBER(BQ237)),IFERROR(BV237/BQ237-1,""),"")</f>
        <v>0.0205574481933126</v>
      </c>
      <c r="BW242" s="256">
        <f>IF(AND(ISNUMBER(BW237),ISNUMBER(BR237)),IFERROR(BW237/BR237-1,""),"")</f>
        <v>0.078904842299256</v>
      </c>
      <c r="BX242" s="256">
        <f>IF(AND(ISNUMBER(BX237),ISNUMBER(BW237)),IFERROR(BX237/BW237-1,""),"")</f>
        <v>0.0879211964127484</v>
      </c>
      <c r="BY242" s="256">
        <f>IF(AND(ISNUMBER(BY237),ISNUMBER(BX237)),IFERROR(BY237/BX237-1,""),"")</f>
        <v>0.0798032848534935</v>
      </c>
      <c r="BZ242" s="256">
        <f>IF(AND(ISNUMBER(BZ237),ISNUMBER(BY237)),IFERROR(BZ237/BY237-1,""),"")</f>
        <v>0.0722386841464899</v>
      </c>
      <c r="CA242" s="256">
        <f>IF(AND(ISNUMBER(CA237),ISNUMBER(BZ237)),IFERROR(CA237/BZ237-1,""),"")</f>
        <v>0.0700394257822994</v>
      </c>
      <c r="CB242" s="256">
        <f>IF(AND(ISNUMBER(CB237),ISNUMBER(CA237)),IFERROR(CB237/CA237-1,""),"")</f>
        <v>0.0668199664154294</v>
      </c>
      <c r="CC242" s="153" t="n"/>
    </row>
    <row r="243" ht="15" customHeight="1" s="251">
      <c r="B243" s="25" t="inlineStr">
        <is>
          <t xml:space="preserve">  Incremental adjusted margin (Δ adjusted OP / Δ revenue)</t>
        </is>
      </c>
      <c r="C243" s="36" t="n"/>
      <c r="D243" s="215">
        <f>IFERROR((D237-C237)/(D187-C187),"")</f>
      </c>
      <c r="E243" s="215">
        <f>IFERROR((E237-D237)/(E187-D187),"")</f>
        <v>0.536290322580645</v>
      </c>
      <c r="F243" s="36" t="n"/>
      <c r="G243" s="36" t="n"/>
      <c r="H243" s="36" t="n"/>
      <c r="I243" s="36" t="n"/>
      <c r="J243" s="215">
        <f>IFERROR((J237-E237)/(J187-E187),"")</f>
        <v>0.510588235294118</v>
      </c>
      <c r="K243" s="215">
        <f>IFERROR((K237-F237)/(K187-F187),"")</f>
        <v>0.563636363636364</v>
      </c>
      <c r="L243" s="215">
        <f>IFERROR((L237-G237)/(L187-G187),"")</f>
        <v>0.416666666666667</v>
      </c>
      <c r="M243" s="215">
        <f>IFERROR((M237-H237)/(M187-H187),"")</f>
        <v>1.14492753623188</v>
      </c>
      <c r="N243" s="215">
        <f>IFERROR((N237-I237)/(N187-I187),"")</f>
        <v>2.075</v>
      </c>
      <c r="O243" s="215">
        <f>IFERROR((O237-J237)/(O187-J187),"")</f>
        <v>1.21022727272727</v>
      </c>
      <c r="P243" s="215">
        <f>IFERROR((P237-K237)/(P187-K187),"")</f>
        <v>1.75675675675676</v>
      </c>
      <c r="Q243" s="215">
        <f>IFERROR((Q237-L237)/(Q187-L187),"")</f>
        <v>-16.5</v>
      </c>
      <c r="R243" s="215">
        <f>IFERROR((R237-M237)/(R187-M187),"")</f>
        <v>0.868852459016393</v>
      </c>
      <c r="S243" s="215">
        <f>IFERROR((S237-N237)/(S187-N187),"")</f>
        <v>0.404761904761905</v>
      </c>
      <c r="T243" s="215">
        <f>IFERROR((T237-O237)/(T187-O187),"")</f>
        <v>0.908396946564886</v>
      </c>
      <c r="U243" s="215">
        <f>IFERROR((U237-P237)/(U187-P187),"")</f>
        <v>0.808823529411765</v>
      </c>
      <c r="V243" s="215">
        <f>IFERROR((V237-Q237)/(V187-Q187),"")</f>
        <v>0.714285714285714</v>
      </c>
      <c r="W243" s="215">
        <f>IFERROR((W237-R237)/(W187-R187),"")</f>
        <v>0.956521739130435</v>
      </c>
      <c r="X243" s="215">
        <f>IFERROR((X237-S237)/(X187-S187),"")</f>
        <v>4.44</v>
      </c>
      <c r="Y243" s="215">
        <f>IFERROR((Y237-T237)/(Y187-T187),"")</f>
        <v>1.08620689655172</v>
      </c>
      <c r="Z243" s="215">
        <f>IFERROR((Z237-U237)/(Z187-U187),"")</f>
        <v>1.24107142857143</v>
      </c>
      <c r="AA243" s="215">
        <f>IFERROR((AA237-V237)/(AA187-V187),"")</f>
        <v>2.33333333333333</v>
      </c>
      <c r="AB243" s="215">
        <f>IFERROR((AB237-W237)/(AB187-W187),"")</f>
        <v>0.851351351351351</v>
      </c>
      <c r="AC243" s="215">
        <f>IFERROR((AC237-X237)/(AC187-X187),"")</f>
        <v>0.857894736842105</v>
      </c>
      <c r="AD243" s="215">
        <f>IFERROR((AD237-Y237)/(AD187-Y187),"")</f>
        <v>1.05970149253731</v>
      </c>
      <c r="AE243" s="215">
        <f>IFERROR((AE237-Z237)/(AE187-Z187),"")</f>
        <v>0.403508771929825</v>
      </c>
      <c r="AF243" s="215">
        <f>IFERROR((AF237-AA237)/(AF187-AA187),"")</f>
        <v>0.75</v>
      </c>
      <c r="AG243" s="215">
        <f>IFERROR((AG237-AB237)/(AG187-AB187),"")</f>
        <v>2</v>
      </c>
      <c r="AH243" s="215">
        <f>IFERROR((AH237-AC237)/(AH187-AC187),"")</f>
        <v>-0.169811320754717</v>
      </c>
      <c r="AI243" s="215">
        <f>IFERROR((AI237-AD237)/(AI187-AD187),"")</f>
        <v>1</v>
      </c>
      <c r="AJ243" s="215">
        <f>IFERROR((AJ237-AE237)/(AJ187-AE187),"")</f>
        <v>2</v>
      </c>
      <c r="AK243" s="215">
        <f>IFERROR((AK237-AF237)/(AK187-AF187),"")</f>
        <v>0.884210526315789</v>
      </c>
      <c r="AL243" s="215">
        <f>IFERROR((AL237-AG237)/(AL187-AG187),"")</f>
        <v>0.769230769230769</v>
      </c>
      <c r="AM243" s="215">
        <f>IFERROR((AM237-AH237)/(AM187-AH187),"")</f>
        <v>0.527638190954774</v>
      </c>
      <c r="AN243" s="215">
        <f>IFERROR((AN237-AI237)/(AN187-AI187),"")</f>
        <v>0.698412698412698</v>
      </c>
      <c r="AO243" s="215">
        <f>IFERROR((AO237-AJ237)/(AO187-AJ187),"")</f>
        <v>0.953488372093023</v>
      </c>
      <c r="AP243" s="215">
        <f>IFERROR((AP237-AK237)/(AP187-AK187),"")</f>
        <v>1.11715481171548</v>
      </c>
      <c r="AQ243" s="215">
        <f>IFERROR((AQ237-AL237)/(AQ187-AL187),"")</f>
        <v>0.630573248407643</v>
      </c>
      <c r="AR243" s="215">
        <f>IFERROR((AR237-AM237)/(AR187-AM187),"")</f>
        <v>0.28030303030303</v>
      </c>
      <c r="AS243" s="215">
        <f>IFERROR((AS237-AN237)/(AS187-AN187),"")</f>
        <v>0.816958277254374</v>
      </c>
      <c r="AT243" s="215">
        <f>IFERROR((AT237-AO237)/(AT187-AO187),"")</f>
        <v>0.930434782608696</v>
      </c>
      <c r="AU243" s="215">
        <f>IFERROR((AU237-AP237)/(AU187-AP187),"")</f>
        <v>0.533742331288344</v>
      </c>
      <c r="AV243" s="215">
        <f>IFERROR((AV237-AQ237)/(AV187-AQ187),"")</f>
        <v>0.742738589211618</v>
      </c>
      <c r="AW243" s="215">
        <f>IFERROR((AW237-AR237)/(AW187-AR187),"")</f>
        <v>0.601809954751131</v>
      </c>
      <c r="AX243" s="215">
        <f>IFERROR((AX237-AS237)/(AX187-AS187),"")</f>
        <v>0.71812865497076</v>
      </c>
      <c r="AY243" s="215">
        <f>IFERROR((AY237-AT237)/(AY187-AT187),"")</f>
        <v>0.10455764075067</v>
      </c>
      <c r="AZ243" s="215">
        <f>IFERROR((AZ237-AU237)/(AZ187-AU187),"")</f>
        <v>0.196166854565953</v>
      </c>
      <c r="BA243" s="215">
        <f>IFERROR((BA237-AV237)/(BA187-AV187),"")</f>
        <v>0.210594315245478</v>
      </c>
      <c r="BB243" s="215">
        <f>IFERROR((BB237-AW237)/(BB187-AW187),"")</f>
        <v>0.206124852767962</v>
      </c>
      <c r="BC243" s="215">
        <f>IFERROR((BC237-AX237)/(BC187-AX187),"")</f>
        <v>0.191054091539528</v>
      </c>
      <c r="BD243" s="215">
        <f>IFERROR((BD237-AY237)/(BD187-AY187),"")</f>
        <v>0.335927367055772</v>
      </c>
      <c r="BE243" s="215">
        <f>IFERROR((BE237-AZ237)/(BE187-AZ187),"")</f>
        <v>0.277777777777778</v>
      </c>
      <c r="BF243" s="215">
        <f>IFERROR((BF237-BA237)/(BF187-BA187),"")</f>
        <v>0.591928251121076</v>
      </c>
      <c r="BG243" s="215">
        <f>IFERROR((BG237-BB237)/(BG187-BB187),"")</f>
        <v>0.832558139534884</v>
      </c>
      <c r="BH243" s="215">
        <f>IFERROR((BH237-BC237)/(BH187-BC187),"")</f>
        <v>0.455927051671733</v>
      </c>
      <c r="BI243" s="215">
        <f>IFERROR((BI237-BD237)/(BI187-BD187),"")</f>
        <v>0.83987915407855</v>
      </c>
      <c r="BJ243" s="215">
        <f>IFERROR((BJ237-BE237)/(BJ187-BE187),"")</f>
        <v>0.821428571428571</v>
      </c>
      <c r="BK243" s="215">
        <f>IFERROR((BK237-BF237)/(BK187-BF187),"")</f>
        <v>0.59877800407332</v>
      </c>
      <c r="BL243" s="215">
        <f>IFERROR((BL237-BG237)/(BL187-BG187),"")</f>
        <v>0.652272727272727</v>
      </c>
      <c r="BM243" s="215">
        <f>IFERROR((BM237-BH237)/(BM187-BH187),"")</f>
        <v>0.716540035067212</v>
      </c>
      <c r="BN243" s="215">
        <f>IFERROR((BN237-BI237)/(BN187-BI187),"")</f>
        <v>-0.0298507462686567</v>
      </c>
      <c r="BO243" s="215">
        <f>IFERROR((BO237-BJ237)/(BO187-BJ187),"")</f>
        <v>0.28448275862069</v>
      </c>
      <c r="BP243" s="215">
        <f>IFERROR((BP237-BK237)/(BP187-BK187),"")</f>
        <v>-0.568181818181818</v>
      </c>
      <c r="BQ243" s="215">
        <f>IFERROR((BQ237-BL237)/(BQ187-BL187),"")</f>
        <v>0.00833333333333333</v>
      </c>
      <c r="BR243" s="215">
        <f>IFERROR((BR237-BM237)/(BR187-BM187),"")</f>
        <v>-0.0258481421647819</v>
      </c>
      <c r="BS243" s="215">
        <f>IFERROR((BS237-BN237)/(BS187-BN187),"")</f>
        <v>0.625</v>
      </c>
      <c r="BT243" s="215">
        <f>IFERROR((BT237-BO237)/(BT187-BO187),"")</f>
        <v>0.731301939058172</v>
      </c>
      <c r="BU243" s="256">
        <f>IFERROR((BU237-BP237)/(BU187-BP187),"")</f>
        <v>0.267671028260588</v>
      </c>
      <c r="BV243" s="256">
        <f>IFERROR((BV237-BQ237)/(BV187-BQ187),"")</f>
        <v>0.327495449492008</v>
      </c>
      <c r="BW243" s="256">
        <f>IFERROR((BW237-BR237)/(BW187-BR187),"")</f>
        <v>0.58687959485028</v>
      </c>
      <c r="BX243" s="256">
        <f>IFERROR((BX237-BW237)/(BX187-BW187),"")</f>
        <v>0.735406637852103</v>
      </c>
      <c r="BY243" s="256">
        <f>IFERROR((BY237-BX237)/(BY187-BX187),"")</f>
        <v>0.598998459540044</v>
      </c>
      <c r="BZ243" s="256">
        <f>IFERROR((BZ237-BY237)/(BZ187-BY187),"")</f>
        <v>0.563042349469493</v>
      </c>
      <c r="CA243" s="256">
        <f>IFERROR((CA237-BZ237)/(CA187-BZ187),"")</f>
        <v>0.57300439576729</v>
      </c>
      <c r="CB243" s="256">
        <f>IFERROR((CB237-CA237)/(CB187-CA187),"")</f>
        <v>0.549730121052962</v>
      </c>
      <c r="CC243" s="153" t="n"/>
    </row>
    <row r="244" ht="15" customHeight="1" s="251">
      <c r="CK244" s="11" t="n"/>
      <c r="CL244" s="12" t="n"/>
      <c r="CM244" s="12" t="n"/>
      <c r="CN244" s="12" t="n"/>
      <c r="CO244" s="13" t="n"/>
    </row>
    <row r="245" ht="15" customHeight="1" s="251">
      <c r="B245" s="10" t="inlineStr">
        <is>
          <t>RECONCILIATION: NET INCOME → EBITDA → ADJUSTED EBITDA (model definition; S&amp;P Global publishes no EBITDA)</t>
        </is>
      </c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  <c r="AD245" s="10" t="n"/>
      <c r="AE245" s="10" t="n"/>
      <c r="AF245" s="10" t="n"/>
      <c r="AG245" s="10" t="n"/>
      <c r="AH245" s="10" t="n"/>
      <c r="AI245" s="10" t="n"/>
      <c r="AJ245" s="10" t="n"/>
      <c r="AK245" s="10" t="n"/>
      <c r="AL245" s="10" t="n"/>
      <c r="AM245" s="10" t="n"/>
      <c r="AN245" s="10" t="n"/>
      <c r="AO245" s="10" t="n"/>
      <c r="AP245" s="10" t="n"/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0" t="n"/>
      <c r="BC245" s="10" t="n"/>
      <c r="BD245" s="10" t="n"/>
      <c r="BE245" s="10" t="n"/>
      <c r="BF245" s="10" t="n"/>
      <c r="BG245" s="10" t="n"/>
      <c r="BH245" s="10" t="n"/>
      <c r="BI245" s="10" t="n"/>
      <c r="BJ245" s="10" t="n"/>
      <c r="BK245" s="10" t="n"/>
      <c r="BL245" s="10" t="n"/>
      <c r="BM245" s="10" t="n"/>
      <c r="BN245" s="10" t="n"/>
      <c r="BO245" s="10" t="n"/>
      <c r="BP245" s="10" t="n"/>
      <c r="BQ245" s="10" t="n"/>
      <c r="BR245" s="10" t="n"/>
      <c r="BS245" s="10" t="n"/>
      <c r="BT245" s="10" t="n"/>
      <c r="BU245" s="10" t="n"/>
      <c r="BV245" s="10" t="n"/>
      <c r="BW245" s="10" t="n"/>
      <c r="BX245" s="10" t="n"/>
      <c r="BY245" s="10" t="n"/>
      <c r="BZ245" s="10" t="n"/>
      <c r="CA245" s="10" t="n"/>
      <c r="CB245" s="10" t="n"/>
      <c r="CC245" s="10" t="inlineStr">
        <is>
          <t>EBITDA (model) — net income from continuing operations + taxes + interest − other income + depreciation + amortization; + non-GAAP adjustments = adjusted EBITDA = adjusted OP + depreciation</t>
        </is>
      </c>
    </row>
    <row r="246" ht="15" customHeight="1" s="251">
      <c r="B246" s="16" t="inlineStr">
        <is>
          <t>Net income from continuing operations (incl. NCI)</t>
        </is>
      </c>
      <c r="C246" s="260">
        <f>C205</f>
        <v>599</v>
      </c>
      <c r="D246" s="260">
        <f>D205</f>
        <v>626</v>
      </c>
      <c r="E246" s="260">
        <f>E205</f>
        <v>726</v>
      </c>
      <c r="F246" s="260">
        <f>F205</f>
        <v>174</v>
      </c>
      <c r="G246" s="260">
        <f>G205</f>
        <v>273</v>
      </c>
      <c r="H246" s="260">
        <f>H205</f>
        <v>265</v>
      </c>
      <c r="I246" s="260">
        <f>I205</f>
        <v>190</v>
      </c>
      <c r="J246" s="260">
        <f>J205</f>
        <v>903</v>
      </c>
      <c r="K246" s="260">
        <f>K205</f>
        <v>275</v>
      </c>
      <c r="L246" s="260">
        <f>L205</f>
        <v>316</v>
      </c>
      <c r="M246" s="260">
        <f>M205</f>
        <v>215</v>
      </c>
      <c r="N246" s="260">
        <f>N205</f>
        <v>-984</v>
      </c>
      <c r="O246" s="260">
        <f>O205</f>
        <v>-191</v>
      </c>
      <c r="P246" s="260">
        <f>P205</f>
        <v>329</v>
      </c>
      <c r="Q246" s="260">
        <f>Q205</f>
        <v>381</v>
      </c>
      <c r="R246" s="260">
        <f>R205</f>
        <v>281</v>
      </c>
      <c r="S246" s="260">
        <f>S205</f>
        <v>276</v>
      </c>
      <c r="T246" s="260">
        <f>T205</f>
        <v>1268</v>
      </c>
      <c r="U246" s="260">
        <f>U205</f>
        <v>323</v>
      </c>
      <c r="V246" s="260">
        <f>V205</f>
        <v>412</v>
      </c>
      <c r="W246" s="260">
        <f>W205</f>
        <v>923</v>
      </c>
      <c r="X246" s="260">
        <f>X205</f>
        <v>569</v>
      </c>
      <c r="Y246" s="260">
        <f>Y205</f>
        <v>2228</v>
      </c>
      <c r="Z246" s="260">
        <f>Z205</f>
        <v>430</v>
      </c>
      <c r="AA246" s="260">
        <f>AA205</f>
        <v>457</v>
      </c>
      <c r="AB246" s="260">
        <f>AB205</f>
        <v>452</v>
      </c>
      <c r="AC246" s="260">
        <f>AC205</f>
        <v>299</v>
      </c>
      <c r="AD246" s="260">
        <f>AD205</f>
        <v>1638</v>
      </c>
      <c r="AE246" s="260">
        <f>AE205</f>
        <v>534</v>
      </c>
      <c r="AF246" s="260">
        <f>AF205</f>
        <v>501</v>
      </c>
      <c r="AG246" s="260">
        <f>AG205</f>
        <v>535</v>
      </c>
      <c r="AH246" s="260">
        <f>AH205</f>
        <v>551</v>
      </c>
      <c r="AI246" s="260">
        <f>AI205</f>
        <v>2121</v>
      </c>
      <c r="AJ246" s="260">
        <f>AJ205</f>
        <v>453</v>
      </c>
      <c r="AK246" s="260">
        <f>AK205</f>
        <v>602</v>
      </c>
      <c r="AL246" s="260">
        <f>AL205</f>
        <v>662</v>
      </c>
      <c r="AM246" s="260">
        <f>AM205</f>
        <v>585</v>
      </c>
      <c r="AN246" s="260">
        <f>AN205</f>
        <v>2303</v>
      </c>
      <c r="AO246" s="260">
        <f>AO205</f>
        <v>689</v>
      </c>
      <c r="AP246" s="260">
        <f>AP205</f>
        <v>842</v>
      </c>
      <c r="AQ246" s="260">
        <f>AQ205</f>
        <v>498</v>
      </c>
      <c r="AR246" s="260">
        <f>AR205</f>
        <v>505</v>
      </c>
      <c r="AS246" s="260">
        <f>AS205</f>
        <v>2534</v>
      </c>
      <c r="AT246" s="260">
        <f>AT205</f>
        <v>808</v>
      </c>
      <c r="AU246" s="260">
        <f>AU205</f>
        <v>857</v>
      </c>
      <c r="AV246" s="260">
        <f>AV205</f>
        <v>861</v>
      </c>
      <c r="AW246" s="260">
        <f>AW205</f>
        <v>737</v>
      </c>
      <c r="AX246" s="260">
        <f>AX205</f>
        <v>3263</v>
      </c>
      <c r="AY246" s="260">
        <f>AY205</f>
        <v>1299</v>
      </c>
      <c r="AZ246" s="260">
        <f>AZ205</f>
        <v>1051</v>
      </c>
      <c r="BA246" s="260">
        <f>BA205</f>
        <v>678</v>
      </c>
      <c r="BB246" s="260">
        <f>BB205</f>
        <v>494</v>
      </c>
      <c r="BC246" s="260">
        <f>BC205</f>
        <v>3522</v>
      </c>
      <c r="BD246" s="260">
        <f>BD205</f>
        <v>860</v>
      </c>
      <c r="BE246" s="260">
        <f>BE205</f>
        <v>575</v>
      </c>
      <c r="BF246" s="260">
        <f>BF205</f>
        <v>814</v>
      </c>
      <c r="BG246" s="260">
        <f>BG205</f>
        <v>644</v>
      </c>
      <c r="BH246" s="260">
        <f>BH205</f>
        <v>2893</v>
      </c>
      <c r="BI246" s="260">
        <f>BI205</f>
        <v>1068</v>
      </c>
      <c r="BJ246" s="260">
        <f>BJ205</f>
        <v>1085</v>
      </c>
      <c r="BK246" s="260">
        <f>BK205</f>
        <v>1047</v>
      </c>
      <c r="BL246" s="260">
        <f>BL205</f>
        <v>967</v>
      </c>
      <c r="BM246" s="260">
        <f>BM205</f>
        <v>4167</v>
      </c>
      <c r="BN246" s="260">
        <f>BN205</f>
        <v>1089</v>
      </c>
      <c r="BO246" s="260">
        <f>BO205</f>
        <v>1076</v>
      </c>
      <c r="BP246" s="260">
        <f>BP205</f>
        <v>1173</v>
      </c>
      <c r="BQ246" s="260">
        <f>BQ205</f>
        <v>1202</v>
      </c>
      <c r="BR246" s="260">
        <f>BR205</f>
        <v>4541</v>
      </c>
      <c r="BS246" s="260">
        <f>BS205</f>
        <v>1443</v>
      </c>
      <c r="BT246" s="260">
        <f>BT205</f>
        <v>1311</v>
      </c>
      <c r="BU246" s="261">
        <f>BU205</f>
        <v>1190.26676744284</v>
      </c>
      <c r="BV246" s="261">
        <f>BV205</f>
        <v>1276.77706945829</v>
      </c>
      <c r="BW246" s="261">
        <f>BW205</f>
        <v>5221.04383690113</v>
      </c>
      <c r="BX246" s="261">
        <f>BX205</f>
        <v>5374.51747285612</v>
      </c>
      <c r="BY246" s="261">
        <f>BY205</f>
        <v>5876.79552908141</v>
      </c>
      <c r="BZ246" s="261">
        <f>BZ205</f>
        <v>6330.43533889294</v>
      </c>
      <c r="CA246" s="261">
        <f>CA205</f>
        <v>6817.4029901724</v>
      </c>
      <c r="CB246" s="261">
        <f>CB205</f>
        <v>7317.4606164773</v>
      </c>
      <c r="CC246" s="153" t="n"/>
    </row>
    <row r="247" ht="15" customHeight="1" s="251">
      <c r="B247" s="25" t="inlineStr">
        <is>
          <t xml:space="preserve">  (+) Provision for taxes</t>
        </is>
      </c>
      <c r="C247" s="211">
        <f>C203</f>
        <v>344</v>
      </c>
      <c r="D247" s="211">
        <f>D203</f>
        <v>374</v>
      </c>
      <c r="E247" s="211">
        <f>E203</f>
        <v>404</v>
      </c>
      <c r="F247" s="211">
        <f>F203</f>
        <v>89</v>
      </c>
      <c r="G247" s="211">
        <f>G203</f>
        <v>147</v>
      </c>
      <c r="H247" s="211">
        <f>H203</f>
        <v>128</v>
      </c>
      <c r="I247" s="211">
        <f>I203</f>
        <v>80</v>
      </c>
      <c r="J247" s="211">
        <f>J203</f>
        <v>443</v>
      </c>
      <c r="K247" s="211">
        <f>K203</f>
        <v>141</v>
      </c>
      <c r="L247" s="211">
        <f>L203</f>
        <v>156</v>
      </c>
      <c r="M247" s="211">
        <f>M203</f>
        <v>139</v>
      </c>
      <c r="N247" s="211">
        <f>N203</f>
        <v>-183</v>
      </c>
      <c r="O247" s="211">
        <f>O203</f>
        <v>245</v>
      </c>
      <c r="P247" s="211">
        <f>P203</f>
        <v>156</v>
      </c>
      <c r="Q247" s="211">
        <f>Q203</f>
        <v>185</v>
      </c>
      <c r="R247" s="211">
        <f>R203</f>
        <v>99</v>
      </c>
      <c r="S247" s="211">
        <f>S203</f>
        <v>108</v>
      </c>
      <c r="T247" s="211">
        <f>T203</f>
        <v>547</v>
      </c>
      <c r="U247" s="211">
        <f>U203</f>
        <v>149</v>
      </c>
      <c r="V247" s="211">
        <f>V203</f>
        <v>197</v>
      </c>
      <c r="W247" s="211">
        <f>W203</f>
        <v>386</v>
      </c>
      <c r="X247" s="211">
        <f>X203</f>
        <v>228</v>
      </c>
      <c r="Y247" s="211">
        <f>Y203</f>
        <v>960</v>
      </c>
      <c r="Z247" s="211">
        <f>Z203</f>
        <v>181</v>
      </c>
      <c r="AA247" s="211">
        <f>AA203</f>
        <v>183</v>
      </c>
      <c r="AB247" s="211">
        <f>AB203</f>
        <v>169</v>
      </c>
      <c r="AC247" s="211">
        <f>AC203</f>
        <v>290</v>
      </c>
      <c r="AD247" s="211">
        <f>AD203</f>
        <v>823</v>
      </c>
      <c r="AE247" s="211">
        <f>AE203</f>
        <v>147</v>
      </c>
      <c r="AF247" s="211">
        <f>AF203</f>
        <v>156</v>
      </c>
      <c r="AG247" s="211">
        <f>AG203</f>
        <v>137</v>
      </c>
      <c r="AH247" s="211">
        <f>AH203</f>
        <v>119</v>
      </c>
      <c r="AI247" s="211">
        <f>AI203</f>
        <v>560</v>
      </c>
      <c r="AJ247" s="211">
        <f>AJ203</f>
        <v>113</v>
      </c>
      <c r="AK247" s="211">
        <f>AK203</f>
        <v>180</v>
      </c>
      <c r="AL247" s="211">
        <f>AL203</f>
        <v>189</v>
      </c>
      <c r="AM247" s="211">
        <f>AM203</f>
        <v>146</v>
      </c>
      <c r="AN247" s="211">
        <f>AN203</f>
        <v>627</v>
      </c>
      <c r="AO247" s="211">
        <f>AO203</f>
        <v>188</v>
      </c>
      <c r="AP247" s="211">
        <f>AP203</f>
        <v>233</v>
      </c>
      <c r="AQ247" s="211">
        <f>AQ203</f>
        <v>138</v>
      </c>
      <c r="AR247" s="211">
        <f>AR203</f>
        <v>135</v>
      </c>
      <c r="AS247" s="211">
        <f>AS203</f>
        <v>694</v>
      </c>
      <c r="AT247" s="211">
        <f>AT203</f>
        <v>248</v>
      </c>
      <c r="AU247" s="211">
        <f>AU203</f>
        <v>287</v>
      </c>
      <c r="AV247" s="211">
        <f>AV203</f>
        <v>213</v>
      </c>
      <c r="AW247" s="211">
        <f>AW203</f>
        <v>153</v>
      </c>
      <c r="AX247" s="211">
        <f>AX203</f>
        <v>901</v>
      </c>
      <c r="AY247" s="211">
        <f>AY203</f>
        <v>568</v>
      </c>
      <c r="AZ247" s="211">
        <f>AZ203</f>
        <v>340</v>
      </c>
      <c r="BA247" s="211">
        <f>BA203</f>
        <v>145</v>
      </c>
      <c r="BB247" s="211">
        <f>BB203</f>
        <v>127</v>
      </c>
      <c r="BC247" s="211">
        <f>BC203</f>
        <v>1180</v>
      </c>
      <c r="BD247" s="211">
        <f>BD203</f>
        <v>188</v>
      </c>
      <c r="BE247" s="211">
        <f>BE203</f>
        <v>259</v>
      </c>
      <c r="BF247" s="211">
        <f>BF203</f>
        <v>181</v>
      </c>
      <c r="BG247" s="211">
        <f>BG203</f>
        <v>151</v>
      </c>
      <c r="BH247" s="211">
        <f>BH203</f>
        <v>778</v>
      </c>
      <c r="BI247" s="211">
        <f>BI203</f>
        <v>248</v>
      </c>
      <c r="BJ247" s="211">
        <f>BJ203</f>
        <v>293</v>
      </c>
      <c r="BK247" s="211">
        <f>BK203</f>
        <v>313</v>
      </c>
      <c r="BL247" s="211">
        <f>BL203</f>
        <v>287</v>
      </c>
      <c r="BM247" s="211">
        <f>BM203</f>
        <v>1141</v>
      </c>
      <c r="BN247" s="211">
        <f>BN203</f>
        <v>315</v>
      </c>
      <c r="BO247" s="211">
        <f>BO203</f>
        <v>325</v>
      </c>
      <c r="BP247" s="211">
        <f>BP203</f>
        <v>315</v>
      </c>
      <c r="BQ247" s="211">
        <f>BQ203</f>
        <v>392</v>
      </c>
      <c r="BR247" s="211">
        <f>BR203</f>
        <v>1347</v>
      </c>
      <c r="BS247" s="211">
        <f>BS203</f>
        <v>390</v>
      </c>
      <c r="BT247" s="211">
        <f>BT203</f>
        <v>367</v>
      </c>
      <c r="BU247" s="254">
        <f>BU203</f>
        <v>345.561319580179</v>
      </c>
      <c r="BV247" s="254">
        <f>BV203</f>
        <v>370.677213713698</v>
      </c>
      <c r="BW247" s="254">
        <f>BW203</f>
        <v>1473.23853329388</v>
      </c>
      <c r="BX247" s="254">
        <f>BX203</f>
        <v>1560.3437824421</v>
      </c>
      <c r="BY247" s="254">
        <f>BY203</f>
        <v>1706.16644392686</v>
      </c>
      <c r="BZ247" s="254">
        <f>BZ203</f>
        <v>1837.86832419472</v>
      </c>
      <c r="CA247" s="254">
        <f>CA203</f>
        <v>1979.24602940489</v>
      </c>
      <c r="CB247" s="254">
        <f>CB203</f>
        <v>2124.42404994502</v>
      </c>
      <c r="CC247" s="19" t="n"/>
    </row>
    <row r="248" ht="15" customHeight="1" s="251">
      <c r="B248" s="25" t="inlineStr">
        <is>
          <t xml:space="preserve">  (+) Interest expense, net</t>
        </is>
      </c>
      <c r="C248" s="211">
        <f>C200</f>
        <v>83</v>
      </c>
      <c r="D248" s="211">
        <f>D200</f>
        <v>77</v>
      </c>
      <c r="E248" s="211">
        <f>E200</f>
        <v>81</v>
      </c>
      <c r="F248" s="211">
        <f>F200</f>
        <v>15</v>
      </c>
      <c r="G248" s="211">
        <f>G200</f>
        <v>16</v>
      </c>
      <c r="H248" s="211">
        <f>H200</f>
        <v>14</v>
      </c>
      <c r="I248" s="211">
        <f>I200</f>
        <v>14</v>
      </c>
      <c r="J248" s="211">
        <f>J200</f>
        <v>59</v>
      </c>
      <c r="K248" s="211">
        <f>K200</f>
        <v>14</v>
      </c>
      <c r="L248" s="211">
        <f>L200</f>
        <v>14</v>
      </c>
      <c r="M248" s="211">
        <f>M200</f>
        <v>12</v>
      </c>
      <c r="N248" s="211">
        <f>N200</f>
        <v>19</v>
      </c>
      <c r="O248" s="211">
        <f>O200</f>
        <v>59</v>
      </c>
      <c r="P248" s="211">
        <f>P200</f>
        <v>16</v>
      </c>
      <c r="Q248" s="211">
        <f>Q200</f>
        <v>16</v>
      </c>
      <c r="R248" s="211">
        <f>R200</f>
        <v>30</v>
      </c>
      <c r="S248" s="211">
        <f>S200</f>
        <v>40</v>
      </c>
      <c r="T248" s="211">
        <f>T200</f>
        <v>102</v>
      </c>
      <c r="U248" s="211">
        <f>U200</f>
        <v>40</v>
      </c>
      <c r="V248" s="211">
        <f>V200</f>
        <v>42</v>
      </c>
      <c r="W248" s="211">
        <f>W200</f>
        <v>39</v>
      </c>
      <c r="X248" s="211">
        <f>X200</f>
        <v>60</v>
      </c>
      <c r="Y248" s="211">
        <f>Y200</f>
        <v>181</v>
      </c>
      <c r="Z248" s="211">
        <f>Z200</f>
        <v>37</v>
      </c>
      <c r="AA248" s="211">
        <f>AA200</f>
        <v>37</v>
      </c>
      <c r="AB248" s="211">
        <f>AB200</f>
        <v>37</v>
      </c>
      <c r="AC248" s="211">
        <f>AC200</f>
        <v>39</v>
      </c>
      <c r="AD248" s="211">
        <f>AD200</f>
        <v>149</v>
      </c>
      <c r="AE248" s="211">
        <f>AE200</f>
        <v>34</v>
      </c>
      <c r="AF248" s="211">
        <f>AF200</f>
        <v>26</v>
      </c>
      <c r="AG248" s="211">
        <f>AG200</f>
        <v>38</v>
      </c>
      <c r="AH248" s="211">
        <f>AH200</f>
        <v>36</v>
      </c>
      <c r="AI248" s="211">
        <f>AI200</f>
        <v>134</v>
      </c>
      <c r="AJ248" s="211">
        <f>AJ200</f>
        <v>36</v>
      </c>
      <c r="AK248" s="211">
        <f>AK200</f>
        <v>37</v>
      </c>
      <c r="AL248" s="211">
        <f>AL200</f>
        <v>32</v>
      </c>
      <c r="AM248" s="211">
        <f>AM200</f>
        <v>93</v>
      </c>
      <c r="AN248" s="211">
        <f>AN200</f>
        <v>198</v>
      </c>
      <c r="AO248" s="211">
        <f>AO200</f>
        <v>34</v>
      </c>
      <c r="AP248" s="211">
        <f>AP200</f>
        <v>40</v>
      </c>
      <c r="AQ248" s="211">
        <f>AQ200</f>
        <v>35</v>
      </c>
      <c r="AR248" s="211">
        <f>AR200</f>
        <v>32</v>
      </c>
      <c r="AS248" s="211">
        <f>AS200</f>
        <v>141</v>
      </c>
      <c r="AT248" s="211">
        <f>AT200</f>
        <v>32</v>
      </c>
      <c r="AU248" s="211">
        <f>AU200</f>
        <v>32</v>
      </c>
      <c r="AV248" s="211">
        <f>AV200</f>
        <v>31</v>
      </c>
      <c r="AW248" s="211">
        <f>AW200</f>
        <v>25</v>
      </c>
      <c r="AX248" s="211">
        <f>AX200</f>
        <v>119</v>
      </c>
      <c r="AY248" s="211">
        <f>AY200</f>
        <v>57</v>
      </c>
      <c r="AZ248" s="211">
        <f>AZ200</f>
        <v>90</v>
      </c>
      <c r="BA248" s="211">
        <f>BA200</f>
        <v>71</v>
      </c>
      <c r="BB248" s="211">
        <f>BB200</f>
        <v>86</v>
      </c>
      <c r="BC248" s="211">
        <f>BC200</f>
        <v>304</v>
      </c>
      <c r="BD248" s="211">
        <f>BD200</f>
        <v>85</v>
      </c>
      <c r="BE248" s="211">
        <f>BE200</f>
        <v>88</v>
      </c>
      <c r="BF248" s="211">
        <f>BF200</f>
        <v>84</v>
      </c>
      <c r="BG248" s="211">
        <f>BG200</f>
        <v>76</v>
      </c>
      <c r="BH248" s="211">
        <f>BH200</f>
        <v>334</v>
      </c>
      <c r="BI248" s="211">
        <f>BI200</f>
        <v>78</v>
      </c>
      <c r="BJ248" s="211">
        <f>BJ200</f>
        <v>77</v>
      </c>
      <c r="BK248" s="211">
        <f>BK200</f>
        <v>72</v>
      </c>
      <c r="BL248" s="211">
        <f>BL200</f>
        <v>69</v>
      </c>
      <c r="BM248" s="211">
        <f>BM200</f>
        <v>297</v>
      </c>
      <c r="BN248" s="211">
        <f>BN200</f>
        <v>78</v>
      </c>
      <c r="BO248" s="211">
        <f>BO200</f>
        <v>77</v>
      </c>
      <c r="BP248" s="211">
        <f>BP200</f>
        <v>79</v>
      </c>
      <c r="BQ248" s="211">
        <f>BQ200</f>
        <v>55</v>
      </c>
      <c r="BR248" s="211">
        <f>BR200</f>
        <v>288</v>
      </c>
      <c r="BS248" s="211">
        <f>BS200</f>
        <v>96</v>
      </c>
      <c r="BT248" s="211">
        <f>BT200</f>
        <v>83</v>
      </c>
      <c r="BU248" s="254">
        <f>BU200</f>
        <v>98</v>
      </c>
      <c r="BV248" s="254">
        <f>BV200</f>
        <v>98</v>
      </c>
      <c r="BW248" s="254">
        <f>BW200</f>
        <v>375</v>
      </c>
      <c r="BX248" s="254">
        <f>BX200</f>
        <v>416.131689698353</v>
      </c>
      <c r="BY248" s="254">
        <f>BY200</f>
        <v>427.620131572411</v>
      </c>
      <c r="BZ248" s="254">
        <f>BZ200</f>
        <v>495.135435124048</v>
      </c>
      <c r="CA248" s="254">
        <f>CA200</f>
        <v>544.929477530843</v>
      </c>
      <c r="CB248" s="254">
        <f>CB200</f>
        <v>590.675961934277</v>
      </c>
      <c r="CC248" s="19" t="n"/>
    </row>
    <row r="249" ht="15" customHeight="1" s="251">
      <c r="B249" s="25" t="inlineStr">
        <is>
          <t xml:space="preserve">  (−) Other income, net</t>
        </is>
      </c>
      <c r="C249" s="211">
        <f>-N(C199)</f>
        <v>0</v>
      </c>
      <c r="D249" s="211">
        <f>-N(D199)</f>
        <v>0</v>
      </c>
      <c r="E249" s="211">
        <f>-N(E199)</f>
        <v>0</v>
      </c>
      <c r="F249" s="211">
        <f>-N(F199)</f>
        <v>0</v>
      </c>
      <c r="G249" s="211">
        <f>-N(G199)</f>
        <v>0</v>
      </c>
      <c r="H249" s="211">
        <f>-N(H199)</f>
        <v>0</v>
      </c>
      <c r="I249" s="211">
        <f>-N(I199)</f>
        <v>0</v>
      </c>
      <c r="J249" s="211">
        <f>-N(J199)</f>
        <v>0</v>
      </c>
      <c r="K249" s="211">
        <f>-N(K199)</f>
        <v>0</v>
      </c>
      <c r="L249" s="211">
        <f>-N(L199)</f>
        <v>0</v>
      </c>
      <c r="M249" s="211">
        <f>-N(M199)</f>
        <v>0</v>
      </c>
      <c r="N249" s="211">
        <f>-N(N199)</f>
        <v>0</v>
      </c>
      <c r="O249" s="211">
        <f>-N(O199)</f>
        <v>0</v>
      </c>
      <c r="P249" s="211">
        <f>-N(P199)</f>
        <v>0</v>
      </c>
      <c r="Q249" s="211">
        <f>-N(Q199)</f>
        <v>0</v>
      </c>
      <c r="R249" s="211">
        <f>-N(R199)</f>
        <v>0</v>
      </c>
      <c r="S249" s="211">
        <f>-N(S199)</f>
        <v>0</v>
      </c>
      <c r="T249" s="211">
        <f>-N(T199)</f>
        <v>0</v>
      </c>
      <c r="U249" s="211">
        <f>-N(U199)</f>
        <v>0</v>
      </c>
      <c r="V249" s="211">
        <f>-N(V199)</f>
        <v>0</v>
      </c>
      <c r="W249" s="211">
        <f>-N(W199)</f>
        <v>0</v>
      </c>
      <c r="X249" s="211">
        <f>-N(X199)</f>
        <v>0</v>
      </c>
      <c r="Y249" s="211">
        <f>-N(Y199)</f>
        <v>0</v>
      </c>
      <c r="Z249" s="211">
        <f>-N(Z199)</f>
        <v>0</v>
      </c>
      <c r="AA249" s="211">
        <f>-N(AA199)</f>
        <v>0</v>
      </c>
      <c r="AB249" s="211">
        <f>-N(AB199)</f>
        <v>0</v>
      </c>
      <c r="AC249" s="211">
        <f>-N(AC199)</f>
        <v>0</v>
      </c>
      <c r="AD249" s="211">
        <f>-N(AD199)</f>
        <v>0</v>
      </c>
      <c r="AE249" s="211">
        <f>-N(AE199)</f>
        <v>-4</v>
      </c>
      <c r="AF249" s="211">
        <f>-N(AF199)</f>
        <v>-11</v>
      </c>
      <c r="AG249" s="211">
        <f>-N(AG199)</f>
        <v>-6</v>
      </c>
      <c r="AH249" s="211">
        <f>-N(AH199)</f>
        <v>-2</v>
      </c>
      <c r="AI249" s="211">
        <f>-N(AI199)</f>
        <v>-25</v>
      </c>
      <c r="AJ249" s="211">
        <f>-N(AJ199)</f>
        <v>103</v>
      </c>
      <c r="AK249" s="211">
        <f>-N(AK199)</f>
        <v>-6</v>
      </c>
      <c r="AL249" s="211">
        <f>-N(AL199)</f>
        <v>8</v>
      </c>
      <c r="AM249" s="211">
        <f>-N(AM199)</f>
        <v>-6</v>
      </c>
      <c r="AN249" s="211">
        <f>-N(AN199)</f>
        <v>98</v>
      </c>
      <c r="AO249" s="211">
        <f>-N(AO199)</f>
        <v>1</v>
      </c>
      <c r="AP249" s="211">
        <f>-N(AP199)</f>
        <v>-10</v>
      </c>
      <c r="AQ249" s="211">
        <f>-N(AQ199)</f>
        <v>273</v>
      </c>
      <c r="AR249" s="211">
        <f>-N(AR199)</f>
        <v>-16</v>
      </c>
      <c r="AS249" s="211">
        <f>-N(AS199)</f>
        <v>248</v>
      </c>
      <c r="AT249" s="211">
        <f>-N(AT199)</f>
        <v>-7</v>
      </c>
      <c r="AU249" s="211">
        <f>-N(AU199)</f>
        <v>-22</v>
      </c>
      <c r="AV249" s="211">
        <f>-N(AV199)</f>
        <v>-22</v>
      </c>
      <c r="AW249" s="211">
        <f>-N(AW199)</f>
        <v>-11</v>
      </c>
      <c r="AX249" s="211">
        <f>-N(AX199)</f>
        <v>-62</v>
      </c>
      <c r="AY249" s="211">
        <f>-N(AY199)</f>
        <v>-32</v>
      </c>
      <c r="AZ249" s="211">
        <f>-N(AZ199)</f>
        <v>1</v>
      </c>
      <c r="BA249" s="211">
        <f>-N(BA199)</f>
        <v>-41</v>
      </c>
      <c r="BB249" s="211">
        <f>-N(BB199)</f>
        <v>10</v>
      </c>
      <c r="BC249" s="211">
        <f>-N(BC199)</f>
        <v>-62</v>
      </c>
      <c r="BD249" s="211">
        <f>-N(BD199)</f>
        <v>11</v>
      </c>
      <c r="BE249" s="211">
        <f>-N(BE199)</f>
        <v>-11</v>
      </c>
      <c r="BF249" s="211">
        <f>-N(BF199)</f>
        <v>-5</v>
      </c>
      <c r="BG249" s="211">
        <f>-N(BG199)</f>
        <v>19</v>
      </c>
      <c r="BH249" s="211">
        <f>-N(BH199)</f>
        <v>15</v>
      </c>
      <c r="BI249" s="211">
        <f>-N(BI199)</f>
        <v>-9</v>
      </c>
      <c r="BJ249" s="211">
        <f>-N(BJ199)</f>
        <v>-3</v>
      </c>
      <c r="BK249" s="211">
        <f>-N(BK199)</f>
        <v>2</v>
      </c>
      <c r="BL249" s="211">
        <f>-N(BL199)</f>
        <v>-14</v>
      </c>
      <c r="BM249" s="211">
        <f>-N(BM199)</f>
        <v>-25</v>
      </c>
      <c r="BN249" s="211">
        <f>-N(BN199)</f>
        <v>4</v>
      </c>
      <c r="BO249" s="211">
        <f>-N(BO199)</f>
        <v>-28</v>
      </c>
      <c r="BP249" s="211">
        <f>-N(BP199)</f>
        <v>-2</v>
      </c>
      <c r="BQ249" s="211">
        <f>-N(BQ199)</f>
        <v>-11</v>
      </c>
      <c r="BR249" s="211">
        <f>-N(BR199)</f>
        <v>-36</v>
      </c>
      <c r="BS249" s="211">
        <f>-N(BS199)</f>
        <v>-2</v>
      </c>
      <c r="BT249" s="211">
        <f>-N(BT199)</f>
        <v>-4</v>
      </c>
      <c r="BU249" s="254">
        <f>-N(BU199)</f>
        <v>-3</v>
      </c>
      <c r="BV249" s="254">
        <f>-N(BV199)</f>
        <v>-3</v>
      </c>
      <c r="BW249" s="254">
        <f>-N(BW199)</f>
        <v>-12</v>
      </c>
      <c r="BX249" s="254">
        <f>-N(BX199)</f>
        <v>-12</v>
      </c>
      <c r="BY249" s="254">
        <f>-N(BY199)</f>
        <v>-12</v>
      </c>
      <c r="BZ249" s="254">
        <f>-N(BZ199)</f>
        <v>-12</v>
      </c>
      <c r="CA249" s="254">
        <f>-N(CA199)</f>
        <v>-12</v>
      </c>
      <c r="CB249" s="254">
        <f>-N(CB199)</f>
        <v>-12</v>
      </c>
      <c r="CC249" s="19" t="n"/>
    </row>
    <row r="250" ht="15" customHeight="1" s="251">
      <c r="B250" s="16" t="inlineStr">
        <is>
          <t xml:space="preserve">  = Operating profit</t>
        </is>
      </c>
      <c r="C250" s="260">
        <f>IF(ISNUMBER(C246),C246+C247+N(C248)+C249,"")</f>
        <v>1026</v>
      </c>
      <c r="D250" s="260">
        <f>IF(ISNUMBER(D246),D246+D247+N(D248)+D249,"")</f>
        <v>1077</v>
      </c>
      <c r="E250" s="260">
        <f>IF(ISNUMBER(E246),E246+E247+N(E248)+E249,"")</f>
        <v>1211</v>
      </c>
      <c r="F250" s="260">
        <f>IF(ISNUMBER(F246),F246+F247+N(F248)+F249,"")</f>
        <v>278</v>
      </c>
      <c r="G250" s="260">
        <f>IF(ISNUMBER(G246),G246+G247+N(G248)+G249,"")</f>
        <v>436</v>
      </c>
      <c r="H250" s="260">
        <f>IF(ISNUMBER(H246),H246+H247+N(H248)+H249,"")</f>
        <v>407</v>
      </c>
      <c r="I250" s="260">
        <f>IF(ISNUMBER(I246),I246+I247+N(I248)+I249,"")</f>
        <v>284</v>
      </c>
      <c r="J250" s="260">
        <f>IF(ISNUMBER(J246),J246+J247+N(J248)+J249,"")</f>
        <v>1405</v>
      </c>
      <c r="K250" s="260">
        <f>IF(ISNUMBER(K246),K246+K247+N(K248)+K249,"")</f>
        <v>430</v>
      </c>
      <c r="L250" s="260">
        <f>IF(ISNUMBER(L246),L246+L247+N(L248)+L249,"")</f>
        <v>486</v>
      </c>
      <c r="M250" s="260">
        <f>IF(ISNUMBER(M246),M246+M247+N(M248)+M249,"")</f>
        <v>366</v>
      </c>
      <c r="N250" s="260">
        <f>IF(ISNUMBER(N246),N246+N247+N(N248)+N249,"")</f>
        <v>-1148</v>
      </c>
      <c r="O250" s="260">
        <f>IF(ISNUMBER(O246),O246+O247+N(O248)+O249,"")</f>
        <v>113</v>
      </c>
      <c r="P250" s="260">
        <f>IF(ISNUMBER(P246),P246+P247+N(P248)+P249,"")</f>
        <v>501</v>
      </c>
      <c r="Q250" s="260">
        <f>IF(ISNUMBER(Q246),Q246+Q247+N(Q248)+Q249,"")</f>
        <v>582</v>
      </c>
      <c r="R250" s="260">
        <f>IF(ISNUMBER(R246),R246+R247+N(R248)+R249,"")</f>
        <v>410</v>
      </c>
      <c r="S250" s="260">
        <f>IF(ISNUMBER(S246),S246+S247+N(S248)+S249,"")</f>
        <v>424</v>
      </c>
      <c r="T250" s="260">
        <f>IF(ISNUMBER(T246),T246+T247+N(T248)+T249,"")</f>
        <v>1917</v>
      </c>
      <c r="U250" s="260">
        <f>IF(ISNUMBER(U246),U246+U247+N(U248)+U249,"")</f>
        <v>512</v>
      </c>
      <c r="V250" s="260">
        <f>IF(ISNUMBER(V246),V246+V247+N(V248)+V249,"")</f>
        <v>651</v>
      </c>
      <c r="W250" s="260">
        <f>IF(ISNUMBER(W246),W246+W247+N(W248)+W249,"")</f>
        <v>1348</v>
      </c>
      <c r="X250" s="260">
        <f>IF(ISNUMBER(X246),X246+X247+N(X248)+X249,"")</f>
        <v>857</v>
      </c>
      <c r="Y250" s="260">
        <f>IF(ISNUMBER(Y246),Y246+Y247+N(Y248)+Y249,"")</f>
        <v>3369</v>
      </c>
      <c r="Z250" s="260">
        <f>IF(ISNUMBER(Z246),Z246+Z247+N(Z248)+Z249,"")</f>
        <v>648</v>
      </c>
      <c r="AA250" s="260">
        <f>IF(ISNUMBER(AA246),AA246+AA247+N(AA248)+AA249,"")</f>
        <v>677</v>
      </c>
      <c r="AB250" s="260">
        <f>IF(ISNUMBER(AB246),AB246+AB247+N(AB248)+AB249,"")</f>
        <v>658</v>
      </c>
      <c r="AC250" s="260">
        <f>IF(ISNUMBER(AC246),AC246+AC247+N(AC248)+AC249,"")</f>
        <v>628</v>
      </c>
      <c r="AD250" s="260">
        <f>IF(ISNUMBER(AD246),AD246+AD247+N(AD248)+AD249,"")</f>
        <v>2610</v>
      </c>
      <c r="AE250" s="260">
        <f>IF(ISNUMBER(AE246),AE246+AE247+N(AE248)+AE249,"")</f>
        <v>711</v>
      </c>
      <c r="AF250" s="260">
        <f>IF(ISNUMBER(AF246),AF246+AF247+N(AF248)+AF249,"")</f>
        <v>672</v>
      </c>
      <c r="AG250" s="260">
        <f>IF(ISNUMBER(AG246),AG246+AG247+N(AG248)+AG249,"")</f>
        <v>704</v>
      </c>
      <c r="AH250" s="260">
        <f>IF(ISNUMBER(AH246),AH246+AH247+N(AH248)+AH249,"")</f>
        <v>704</v>
      </c>
      <c r="AI250" s="260">
        <f>IF(ISNUMBER(AI246),AI246+AI247+N(AI248)+AI249,"")</f>
        <v>2790</v>
      </c>
      <c r="AJ250" s="260">
        <f>IF(ISNUMBER(AJ246),AJ246+AJ247+N(AJ248)+AJ249,"")</f>
        <v>705</v>
      </c>
      <c r="AK250" s="260">
        <f>IF(ISNUMBER(AK246),AK246+AK247+N(AK248)+AK249,"")</f>
        <v>813</v>
      </c>
      <c r="AL250" s="260">
        <f>IF(ISNUMBER(AL246),AL246+AL247+N(AL248)+AL249,"")</f>
        <v>891</v>
      </c>
      <c r="AM250" s="260">
        <f>IF(ISNUMBER(AM246),AM246+AM247+N(AM248)+AM249,"")</f>
        <v>818</v>
      </c>
      <c r="AN250" s="260">
        <f>IF(ISNUMBER(AN246),AN246+AN247+N(AN248)+AN249,"")</f>
        <v>3226</v>
      </c>
      <c r="AO250" s="260">
        <f>IF(ISNUMBER(AO246),AO246+AO247+N(AO248)+AO249,"")</f>
        <v>912</v>
      </c>
      <c r="AP250" s="260">
        <f>IF(ISNUMBER(AP246),AP246+AP247+N(AP248)+AP249,"")</f>
        <v>1105</v>
      </c>
      <c r="AQ250" s="260">
        <f>IF(ISNUMBER(AQ246),AQ246+AQ247+N(AQ248)+AQ249,"")</f>
        <v>944</v>
      </c>
      <c r="AR250" s="260">
        <f>IF(ISNUMBER(AR246),AR246+AR247+N(AR248)+AR249,"")</f>
        <v>656</v>
      </c>
      <c r="AS250" s="260">
        <f>IF(ISNUMBER(AS246),AS246+AS247+N(AS248)+AS249,"")</f>
        <v>3617</v>
      </c>
      <c r="AT250" s="260">
        <f>IF(ISNUMBER(AT246),AT246+AT247+N(AT248)+AT249,"")</f>
        <v>1081</v>
      </c>
      <c r="AU250" s="260">
        <f>IF(ISNUMBER(AU246),AU246+AU247+N(AU248)+AU249,"")</f>
        <v>1154</v>
      </c>
      <c r="AV250" s="260">
        <f>IF(ISNUMBER(AV246),AV246+AV247+N(AV248)+AV249,"")</f>
        <v>1083</v>
      </c>
      <c r="AW250" s="260">
        <f>IF(ISNUMBER(AW246),AW246+AW247+N(AW248)+AW249,"")</f>
        <v>904</v>
      </c>
      <c r="AX250" s="260">
        <f>IF(ISNUMBER(AX246),AX246+AX247+N(AX248)+AX249,"")</f>
        <v>4221</v>
      </c>
      <c r="AY250" s="260">
        <f>IF(ISNUMBER(AY246),AY246+AY247+N(AY248)+AY249,"")</f>
        <v>1892</v>
      </c>
      <c r="AZ250" s="260">
        <f>IF(ISNUMBER(AZ246),AZ246+AZ247+N(AZ248)+AZ249,"")</f>
        <v>1482</v>
      </c>
      <c r="BA250" s="260">
        <f>IF(ISNUMBER(BA246),BA246+BA247+N(BA248)+BA249,"")</f>
        <v>853</v>
      </c>
      <c r="BB250" s="260">
        <f>IF(ISNUMBER(BB246),BB246+BB247+N(BB248)+BB249,"")</f>
        <v>717</v>
      </c>
      <c r="BC250" s="260">
        <f>IF(ISNUMBER(BC246),BC246+BC247+N(BC248)+BC249,"")</f>
        <v>4944</v>
      </c>
      <c r="BD250" s="260">
        <f>IF(ISNUMBER(BD246),BD246+BD247+N(BD248)+BD249,"")</f>
        <v>1144</v>
      </c>
      <c r="BE250" s="260">
        <f>IF(ISNUMBER(BE246),BE246+BE247+N(BE248)+BE249,"")</f>
        <v>911</v>
      </c>
      <c r="BF250" s="260">
        <f>IF(ISNUMBER(BF246),BF246+BF247+N(BF248)+BF249,"")</f>
        <v>1074</v>
      </c>
      <c r="BG250" s="260">
        <f>IF(ISNUMBER(BG246),BG246+BG247+N(BG248)+BG249,"")</f>
        <v>890</v>
      </c>
      <c r="BH250" s="260">
        <f>IF(ISNUMBER(BH246),BH246+BH247+N(BH248)+BH249,"")</f>
        <v>4020</v>
      </c>
      <c r="BI250" s="260">
        <f>IF(ISNUMBER(BI246),BI246+BI247+N(BI248)+BI249,"")</f>
        <v>1385</v>
      </c>
      <c r="BJ250" s="260">
        <f>IF(ISNUMBER(BJ246),BJ246+BJ247+N(BJ248)+BJ249,"")</f>
        <v>1452</v>
      </c>
      <c r="BK250" s="260">
        <f>IF(ISNUMBER(BK246),BK246+BK247+N(BK248)+BK249,"")</f>
        <v>1434</v>
      </c>
      <c r="BL250" s="260">
        <f>IF(ISNUMBER(BL246),BL246+BL247+N(BL248)+BL249,"")</f>
        <v>1309</v>
      </c>
      <c r="BM250" s="260">
        <f>IF(ISNUMBER(BM246),BM246+BM247+N(BM248)+BM249,"")</f>
        <v>5580</v>
      </c>
      <c r="BN250" s="260">
        <f>IF(ISNUMBER(BN246),BN246+BN247+N(BN248)+BN249,"")</f>
        <v>1486</v>
      </c>
      <c r="BO250" s="260">
        <f>IF(ISNUMBER(BO246),BO246+BO247+N(BO248)+BO249,"")</f>
        <v>1450</v>
      </c>
      <c r="BP250" s="260">
        <f>IF(ISNUMBER(BP246),BP246+BP247+N(BP248)+BP249,"")</f>
        <v>1565</v>
      </c>
      <c r="BQ250" s="260">
        <f>IF(ISNUMBER(BQ246),BQ246+BQ247+N(BQ248)+BQ249,"")</f>
        <v>1638</v>
      </c>
      <c r="BR250" s="260">
        <f>IF(ISNUMBER(BR246),BR246+BR247+N(BR248)+BR249,"")</f>
        <v>6140</v>
      </c>
      <c r="BS250" s="260">
        <f>IF(ISNUMBER(BS246),BS246+BS247+N(BS248)+BS249,"")</f>
        <v>1927</v>
      </c>
      <c r="BT250" s="260">
        <f>IF(ISNUMBER(BT246),BT246+BT247+N(BT248)+BT249,"")</f>
        <v>1757</v>
      </c>
      <c r="BU250" s="261">
        <f>IF(ISNUMBER(BU246),BU246+BU247+N(BU248)+BU249,"")</f>
        <v>1630.82808702302</v>
      </c>
      <c r="BV250" s="261">
        <f>IF(ISNUMBER(BV246),BV246+BV247+N(BV248)+BV249,"")</f>
        <v>1742.45428317199</v>
      </c>
      <c r="BW250" s="261">
        <f>IF(ISNUMBER(BW246),BW246+BW247+N(BW248)+BW249,"")</f>
        <v>7057.28237019501</v>
      </c>
      <c r="BX250" s="261">
        <f>IF(ISNUMBER(BX246),BX246+BX247+N(BX248)+BX249,"")</f>
        <v>7338.99294499657</v>
      </c>
      <c r="BY250" s="261">
        <f>IF(ISNUMBER(BY246),BY246+BY247+N(BY248)+BY249,"")</f>
        <v>7998.58210458068</v>
      </c>
      <c r="BZ250" s="261">
        <f>IF(ISNUMBER(BZ246),BZ246+BZ247+N(BZ248)+BZ249,"")</f>
        <v>8651.43909821171</v>
      </c>
      <c r="CA250" s="261">
        <f>IF(ISNUMBER(CA246),CA246+CA247+N(CA248)+CA249,"")</f>
        <v>9329.57849710813</v>
      </c>
      <c r="CB250" s="261">
        <f>IF(ISNUMBER(CB246),CB246+CB247+N(CB248)+CB249,"")</f>
        <v>10020.5606283566</v>
      </c>
      <c r="CC250" s="153" t="n"/>
    </row>
    <row r="251" ht="15" customHeight="1" s="251">
      <c r="B251" s="25" t="inlineStr">
        <is>
          <t xml:space="preserve">  (+) Depreciation</t>
        </is>
      </c>
      <c r="C251" s="211">
        <f>C190</f>
        <v>75</v>
      </c>
      <c r="D251" s="211">
        <f>D190</f>
        <v>78</v>
      </c>
      <c r="E251" s="211">
        <f>E190</f>
        <v>74</v>
      </c>
      <c r="F251" s="211">
        <f>F190</f>
        <v>23</v>
      </c>
      <c r="G251" s="211">
        <f>G190</f>
        <v>22</v>
      </c>
      <c r="H251" s="211">
        <f>H190</f>
        <v>20</v>
      </c>
      <c r="I251" s="211">
        <f>I190</f>
        <v>21</v>
      </c>
      <c r="J251" s="211">
        <f>J190</f>
        <v>86</v>
      </c>
      <c r="K251" s="211">
        <f>K190</f>
        <v>21</v>
      </c>
      <c r="L251" s="211">
        <f>L190</f>
        <v>22</v>
      </c>
      <c r="M251" s="211">
        <f>M190</f>
        <v>21</v>
      </c>
      <c r="N251" s="211">
        <f>N190</f>
        <v>22</v>
      </c>
      <c r="O251" s="211">
        <f>O190</f>
        <v>86</v>
      </c>
      <c r="P251" s="211">
        <f>P190</f>
        <v>22</v>
      </c>
      <c r="Q251" s="211">
        <f>Q190</f>
        <v>22</v>
      </c>
      <c r="R251" s="211">
        <f>R190</f>
        <v>20</v>
      </c>
      <c r="S251" s="211">
        <f>S190</f>
        <v>26</v>
      </c>
      <c r="T251" s="211">
        <f>T190</f>
        <v>90</v>
      </c>
      <c r="U251" s="211">
        <f>U190</f>
        <v>18</v>
      </c>
      <c r="V251" s="211">
        <f>V190</f>
        <v>22</v>
      </c>
      <c r="W251" s="211">
        <f>W190</f>
        <v>22</v>
      </c>
      <c r="X251" s="211">
        <f>X190</f>
        <v>22</v>
      </c>
      <c r="Y251" s="211">
        <f>Y190</f>
        <v>85</v>
      </c>
      <c r="Z251" s="211">
        <f>Z190</f>
        <v>19</v>
      </c>
      <c r="AA251" s="211">
        <f>AA190</f>
        <v>20</v>
      </c>
      <c r="AB251" s="211">
        <f>AB190</f>
        <v>22</v>
      </c>
      <c r="AC251" s="211">
        <f>AC190</f>
        <v>21</v>
      </c>
      <c r="AD251" s="211">
        <f>AD190</f>
        <v>82</v>
      </c>
      <c r="AE251" s="211">
        <f>AE190</f>
        <v>21</v>
      </c>
      <c r="AF251" s="211">
        <f>AF190</f>
        <v>19</v>
      </c>
      <c r="AG251" s="211">
        <f>AG190</f>
        <v>20</v>
      </c>
      <c r="AH251" s="211">
        <f>AH190</f>
        <v>24</v>
      </c>
      <c r="AI251" s="211">
        <f>AI190</f>
        <v>84</v>
      </c>
      <c r="AJ251" s="211">
        <f>AJ190</f>
        <v>20</v>
      </c>
      <c r="AK251" s="211">
        <f>AK190</f>
        <v>21</v>
      </c>
      <c r="AL251" s="211">
        <f>AL190</f>
        <v>20</v>
      </c>
      <c r="AM251" s="211">
        <f>AM190</f>
        <v>21</v>
      </c>
      <c r="AN251" s="211">
        <f>AN190</f>
        <v>82</v>
      </c>
      <c r="AO251" s="211">
        <f>AO190</f>
        <v>20</v>
      </c>
      <c r="AP251" s="211">
        <f>AP190</f>
        <v>19</v>
      </c>
      <c r="AQ251" s="211">
        <f>AQ190</f>
        <v>20</v>
      </c>
      <c r="AR251" s="211">
        <f>AR190</f>
        <v>23</v>
      </c>
      <c r="AS251" s="211">
        <f>AS190</f>
        <v>83</v>
      </c>
      <c r="AT251" s="211">
        <f>AT190</f>
        <v>19</v>
      </c>
      <c r="AU251" s="211">
        <f>AU190</f>
        <v>23</v>
      </c>
      <c r="AV251" s="211">
        <f>AV190</f>
        <v>20</v>
      </c>
      <c r="AW251" s="211">
        <f>AW190</f>
        <v>19</v>
      </c>
      <c r="AX251" s="211">
        <f>AX190</f>
        <v>82</v>
      </c>
      <c r="AY251" s="211">
        <f>AY190</f>
        <v>26</v>
      </c>
      <c r="AZ251" s="211">
        <f>AZ190</f>
        <v>36</v>
      </c>
      <c r="BA251" s="211">
        <f>BA190</f>
        <v>31</v>
      </c>
      <c r="BB251" s="211">
        <f>BB190</f>
        <v>15</v>
      </c>
      <c r="BC251" s="211">
        <f>BC190</f>
        <v>108</v>
      </c>
      <c r="BD251" s="211">
        <f>BD190</f>
        <v>25</v>
      </c>
      <c r="BE251" s="211">
        <f>BE190</f>
        <v>24</v>
      </c>
      <c r="BF251" s="211">
        <f>BF190</f>
        <v>22</v>
      </c>
      <c r="BG251" s="211">
        <f>BG190</f>
        <v>30</v>
      </c>
      <c r="BH251" s="211">
        <f>BH190</f>
        <v>101</v>
      </c>
      <c r="BI251" s="211">
        <f>BI190</f>
        <v>23</v>
      </c>
      <c r="BJ251" s="211">
        <f>BJ190</f>
        <v>25</v>
      </c>
      <c r="BK251" s="211">
        <f>BK190</f>
        <v>22</v>
      </c>
      <c r="BL251" s="211">
        <f>BL190</f>
        <v>26</v>
      </c>
      <c r="BM251" s="211">
        <f>BM190</f>
        <v>96</v>
      </c>
      <c r="BN251" s="211">
        <f>BN190</f>
        <v>21</v>
      </c>
      <c r="BO251" s="211">
        <f>BO190</f>
        <v>22</v>
      </c>
      <c r="BP251" s="211">
        <f>BP190</f>
        <v>25</v>
      </c>
      <c r="BQ251" s="211">
        <f>BQ190</f>
        <v>28</v>
      </c>
      <c r="BR251" s="211">
        <f>BR190</f>
        <v>96</v>
      </c>
      <c r="BS251" s="211">
        <f>BS190</f>
        <v>27</v>
      </c>
      <c r="BT251" s="211">
        <f>BT190</f>
        <v>29</v>
      </c>
      <c r="BU251" s="254">
        <f>BU190</f>
        <v>29</v>
      </c>
      <c r="BV251" s="254">
        <f>BV190</f>
        <v>29</v>
      </c>
      <c r="BW251" s="254">
        <f>BW190</f>
        <v>114</v>
      </c>
      <c r="BX251" s="254">
        <f>BX190</f>
        <v>123.409624458798</v>
      </c>
      <c r="BY251" s="254">
        <f>BY190</f>
        <v>132.134265610662</v>
      </c>
      <c r="BZ251" s="254">
        <f>BZ190</f>
        <v>141.206743528521</v>
      </c>
      <c r="CA251" s="254">
        <f>CA190</f>
        <v>150.474470903271</v>
      </c>
      <c r="CB251" s="254">
        <f>CB190</f>
        <v>160.336019644565</v>
      </c>
      <c r="CC251" s="19" t="n"/>
    </row>
    <row r="252" ht="15" customHeight="1" s="251">
      <c r="B252" s="25" t="inlineStr">
        <is>
          <t xml:space="preserve">  (+) Amortization of intangibles</t>
        </is>
      </c>
      <c r="C252" s="211">
        <f>C191</f>
        <v>21</v>
      </c>
      <c r="D252" s="211">
        <f>D191</f>
        <v>33</v>
      </c>
      <c r="E252" s="211">
        <f>E191</f>
        <v>48</v>
      </c>
      <c r="F252" s="211">
        <f>F191</f>
        <v>12</v>
      </c>
      <c r="G252" s="211">
        <f>G191</f>
        <v>13</v>
      </c>
      <c r="H252" s="211">
        <f>H191</f>
        <v>13</v>
      </c>
      <c r="I252" s="211">
        <f>I191</f>
        <v>13</v>
      </c>
      <c r="J252" s="211">
        <f>J191</f>
        <v>51</v>
      </c>
      <c r="K252" s="211">
        <f>K191</f>
        <v>12</v>
      </c>
      <c r="L252" s="211">
        <f>L191</f>
        <v>12</v>
      </c>
      <c r="M252" s="211">
        <f>M191</f>
        <v>12</v>
      </c>
      <c r="N252" s="211">
        <f>N191</f>
        <v>12</v>
      </c>
      <c r="O252" s="211">
        <f>O191</f>
        <v>48</v>
      </c>
      <c r="P252" s="211">
        <f>P191</f>
        <v>11</v>
      </c>
      <c r="Q252" s="211">
        <f>Q191</f>
        <v>11</v>
      </c>
      <c r="R252" s="211">
        <f>R191</f>
        <v>17</v>
      </c>
      <c r="S252" s="211">
        <f>S191</f>
        <v>27</v>
      </c>
      <c r="T252" s="211">
        <f>T191</f>
        <v>67</v>
      </c>
      <c r="U252" s="211">
        <f>U191</f>
        <v>24</v>
      </c>
      <c r="V252" s="211">
        <f>V191</f>
        <v>23</v>
      </c>
      <c r="W252" s="211">
        <f>W191</f>
        <v>23</v>
      </c>
      <c r="X252" s="211">
        <f>X191</f>
        <v>25</v>
      </c>
      <c r="Y252" s="211">
        <f>Y191</f>
        <v>96</v>
      </c>
      <c r="Z252" s="211">
        <f>Z191</f>
        <v>24</v>
      </c>
      <c r="AA252" s="211">
        <f>AA191</f>
        <v>25</v>
      </c>
      <c r="AB252" s="211">
        <f>AB191</f>
        <v>24</v>
      </c>
      <c r="AC252" s="211">
        <f>AC191</f>
        <v>25</v>
      </c>
      <c r="AD252" s="211">
        <f>AD191</f>
        <v>98</v>
      </c>
      <c r="AE252" s="211">
        <f>AE191</f>
        <v>24</v>
      </c>
      <c r="AF252" s="211">
        <f>AF191</f>
        <v>33</v>
      </c>
      <c r="AG252" s="211">
        <f>AG191</f>
        <v>33</v>
      </c>
      <c r="AH252" s="211">
        <f>AH191</f>
        <v>31</v>
      </c>
      <c r="AI252" s="211">
        <f>AI191</f>
        <v>122</v>
      </c>
      <c r="AJ252" s="211">
        <f>AJ191</f>
        <v>32</v>
      </c>
      <c r="AK252" s="211">
        <f>AK191</f>
        <v>31</v>
      </c>
      <c r="AL252" s="211">
        <f>AL191</f>
        <v>29</v>
      </c>
      <c r="AM252" s="211">
        <f>AM191</f>
        <v>30</v>
      </c>
      <c r="AN252" s="211">
        <f>AN191</f>
        <v>122</v>
      </c>
      <c r="AO252" s="211">
        <f>AO191</f>
        <v>29</v>
      </c>
      <c r="AP252" s="211">
        <f>AP191</f>
        <v>32</v>
      </c>
      <c r="AQ252" s="211">
        <f>AQ191</f>
        <v>32</v>
      </c>
      <c r="AR252" s="211">
        <f>AR191</f>
        <v>29</v>
      </c>
      <c r="AS252" s="211">
        <f>AS191</f>
        <v>123</v>
      </c>
      <c r="AT252" s="211">
        <f>AT191</f>
        <v>31</v>
      </c>
      <c r="AU252" s="211">
        <f>AU191</f>
        <v>22</v>
      </c>
      <c r="AV252" s="211">
        <f>AV191</f>
        <v>21</v>
      </c>
      <c r="AW252" s="211">
        <f>AW191</f>
        <v>22</v>
      </c>
      <c r="AX252" s="211">
        <f>AX191</f>
        <v>96</v>
      </c>
      <c r="AY252" s="211">
        <f>AY191</f>
        <v>111</v>
      </c>
      <c r="AZ252" s="211">
        <f>AZ191</f>
        <v>267</v>
      </c>
      <c r="BA252" s="211">
        <f>BA191</f>
        <v>267</v>
      </c>
      <c r="BB252" s="211">
        <f>BB191</f>
        <v>260</v>
      </c>
      <c r="BC252" s="211">
        <f>BC191</f>
        <v>905</v>
      </c>
      <c r="BD252" s="211">
        <f>BD191</f>
        <v>262</v>
      </c>
      <c r="BE252" s="211">
        <f>BE191</f>
        <v>261</v>
      </c>
      <c r="BF252" s="211">
        <f>BF191</f>
        <v>260</v>
      </c>
      <c r="BG252" s="211">
        <f>BG191</f>
        <v>260</v>
      </c>
      <c r="BH252" s="211">
        <f>BH191</f>
        <v>1042</v>
      </c>
      <c r="BI252" s="211">
        <f>BI191</f>
        <v>264</v>
      </c>
      <c r="BJ252" s="211">
        <f>BJ191</f>
        <v>266</v>
      </c>
      <c r="BK252" s="211">
        <f>BK191</f>
        <v>271</v>
      </c>
      <c r="BL252" s="211">
        <f>BL191</f>
        <v>274</v>
      </c>
      <c r="BM252" s="211">
        <f>BM191</f>
        <v>1077</v>
      </c>
      <c r="BN252" s="211">
        <f>BN191</f>
        <v>192</v>
      </c>
      <c r="BO252" s="211">
        <f>BO191</f>
        <v>194</v>
      </c>
      <c r="BP252" s="211">
        <f>BP191</f>
        <v>190</v>
      </c>
      <c r="BQ252" s="211">
        <f>BQ191</f>
        <v>190</v>
      </c>
      <c r="BR252" s="211">
        <f>BR191</f>
        <v>766</v>
      </c>
      <c r="BS252" s="211">
        <f>BS191</f>
        <v>200</v>
      </c>
      <c r="BT252" s="211">
        <f>BT191</f>
        <v>199</v>
      </c>
      <c r="BU252" s="254">
        <f>BU191</f>
        <v>193</v>
      </c>
      <c r="BV252" s="254">
        <f>BV191</f>
        <v>193</v>
      </c>
      <c r="BW252" s="254">
        <f>BW191</f>
        <v>785</v>
      </c>
      <c r="BX252" s="254">
        <f>BX191</f>
        <v>796.833333333333</v>
      </c>
      <c r="BY252" s="254">
        <f>BY191</f>
        <v>790.5</v>
      </c>
      <c r="BZ252" s="254">
        <f>BZ191</f>
        <v>776.166666666667</v>
      </c>
      <c r="CA252" s="254">
        <f>CA191</f>
        <v>761.833333333333</v>
      </c>
      <c r="CB252" s="254">
        <f>CB191</f>
        <v>748.5</v>
      </c>
      <c r="CC252" s="19" t="n"/>
    </row>
    <row r="253" ht="15" customHeight="1" s="251">
      <c r="B253" s="55" t="inlineStr">
        <is>
          <t xml:space="preserve">  = EBITDA (model)</t>
        </is>
      </c>
      <c r="C253" s="269">
        <f>IF(AND(ISNUMBER(C250),ISNUMBER(C251)),C250+C251+C252,"")</f>
        <v>1122</v>
      </c>
      <c r="D253" s="269">
        <f>IF(AND(ISNUMBER(D250),ISNUMBER(D251)),D250+D251+D252,"")</f>
        <v>1188</v>
      </c>
      <c r="E253" s="269">
        <f>IF(AND(ISNUMBER(E250),ISNUMBER(E251)),E250+E251+E252,"")</f>
        <v>1333</v>
      </c>
      <c r="F253" s="269">
        <f>IF(AND(ISNUMBER(F250),ISNUMBER(F251)),F250+F251+F252,"")</f>
        <v>313</v>
      </c>
      <c r="G253" s="269">
        <f>IF(AND(ISNUMBER(G250),ISNUMBER(G251)),G250+G251+G252,"")</f>
        <v>471</v>
      </c>
      <c r="H253" s="269">
        <f>IF(AND(ISNUMBER(H250),ISNUMBER(H251)),H250+H251+H252,"")</f>
        <v>440</v>
      </c>
      <c r="I253" s="269">
        <f>IF(AND(ISNUMBER(I250),ISNUMBER(I251)),I250+I251+I252,"")</f>
        <v>318</v>
      </c>
      <c r="J253" s="269">
        <f>IF(AND(ISNUMBER(J250),ISNUMBER(J251)),J250+J251+J252,"")</f>
        <v>1542</v>
      </c>
      <c r="K253" s="269">
        <f>IF(AND(ISNUMBER(K250),ISNUMBER(K251)),K250+K251+K252,"")</f>
        <v>463</v>
      </c>
      <c r="L253" s="269">
        <f>IF(AND(ISNUMBER(L250),ISNUMBER(L251)),L250+L251+L252,"")</f>
        <v>520</v>
      </c>
      <c r="M253" s="269">
        <f>IF(AND(ISNUMBER(M250),ISNUMBER(M251)),M250+M251+M252,"")</f>
        <v>399</v>
      </c>
      <c r="N253" s="269">
        <f>IF(AND(ISNUMBER(N250),ISNUMBER(N251)),N250+N251+N252,"")</f>
        <v>-1114</v>
      </c>
      <c r="O253" s="269">
        <f>IF(AND(ISNUMBER(O250),ISNUMBER(O251)),O250+O251+O252,"")</f>
        <v>247</v>
      </c>
      <c r="P253" s="269">
        <f>IF(AND(ISNUMBER(P250),ISNUMBER(P251)),P250+P251+P252,"")</f>
        <v>534</v>
      </c>
      <c r="Q253" s="269">
        <f>IF(AND(ISNUMBER(Q250),ISNUMBER(Q251)),Q250+Q251+Q252,"")</f>
        <v>615</v>
      </c>
      <c r="R253" s="269">
        <f>IF(AND(ISNUMBER(R250),ISNUMBER(R251)),R250+R251+R252,"")</f>
        <v>447</v>
      </c>
      <c r="S253" s="269">
        <f>IF(AND(ISNUMBER(S250),ISNUMBER(S251)),S250+S251+S252,"")</f>
        <v>477</v>
      </c>
      <c r="T253" s="269">
        <f>IF(AND(ISNUMBER(T250),ISNUMBER(T251)),T250+T251+T252,"")</f>
        <v>2074</v>
      </c>
      <c r="U253" s="269">
        <f>IF(AND(ISNUMBER(U250),ISNUMBER(U251)),U250+U251+U252,"")</f>
        <v>554</v>
      </c>
      <c r="V253" s="269">
        <f>IF(AND(ISNUMBER(V250),ISNUMBER(V251)),V250+V251+V252,"")</f>
        <v>696</v>
      </c>
      <c r="W253" s="269">
        <f>IF(AND(ISNUMBER(W250),ISNUMBER(W251)),W250+W251+W252,"")</f>
        <v>1393</v>
      </c>
      <c r="X253" s="269">
        <f>IF(AND(ISNUMBER(X250),ISNUMBER(X251)),X250+X251+X252,"")</f>
        <v>904</v>
      </c>
      <c r="Y253" s="269">
        <f>IF(AND(ISNUMBER(Y250),ISNUMBER(Y251)),Y250+Y251+Y252,"")</f>
        <v>3550</v>
      </c>
      <c r="Z253" s="269">
        <f>IF(AND(ISNUMBER(Z250),ISNUMBER(Z251)),Z250+Z251+Z252,"")</f>
        <v>691</v>
      </c>
      <c r="AA253" s="269">
        <f>IF(AND(ISNUMBER(AA250),ISNUMBER(AA251)),AA250+AA251+AA252,"")</f>
        <v>722</v>
      </c>
      <c r="AB253" s="269">
        <f>IF(AND(ISNUMBER(AB250),ISNUMBER(AB251)),AB250+AB251+AB252,"")</f>
        <v>704</v>
      </c>
      <c r="AC253" s="269">
        <f>IF(AND(ISNUMBER(AC250),ISNUMBER(AC251)),AC250+AC251+AC252,"")</f>
        <v>674</v>
      </c>
      <c r="AD253" s="269">
        <f>IF(AND(ISNUMBER(AD250),ISNUMBER(AD251)),AD250+AD251+AD252,"")</f>
        <v>2790</v>
      </c>
      <c r="AE253" s="269">
        <f>IF(AND(ISNUMBER(AE250),ISNUMBER(AE251)),AE250+AE251+AE252,"")</f>
        <v>756</v>
      </c>
      <c r="AF253" s="269">
        <f>IF(AND(ISNUMBER(AF250),ISNUMBER(AF251)),AF250+AF251+AF252,"")</f>
        <v>724</v>
      </c>
      <c r="AG253" s="269">
        <f>IF(AND(ISNUMBER(AG250),ISNUMBER(AG251)),AG250+AG251+AG252,"")</f>
        <v>757</v>
      </c>
      <c r="AH253" s="269">
        <f>IF(AND(ISNUMBER(AH250),ISNUMBER(AH251)),AH250+AH251+AH252,"")</f>
        <v>759</v>
      </c>
      <c r="AI253" s="269">
        <f>IF(AND(ISNUMBER(AI250),ISNUMBER(AI251)),AI250+AI251+AI252,"")</f>
        <v>2996</v>
      </c>
      <c r="AJ253" s="269">
        <f>IF(AND(ISNUMBER(AJ250),ISNUMBER(AJ251)),AJ250+AJ251+AJ252,"")</f>
        <v>757</v>
      </c>
      <c r="AK253" s="269">
        <f>IF(AND(ISNUMBER(AK250),ISNUMBER(AK251)),AK250+AK251+AK252,"")</f>
        <v>865</v>
      </c>
      <c r="AL253" s="269">
        <f>IF(AND(ISNUMBER(AL250),ISNUMBER(AL251)),AL250+AL251+AL252,"")</f>
        <v>940</v>
      </c>
      <c r="AM253" s="269">
        <f>IF(AND(ISNUMBER(AM250),ISNUMBER(AM251)),AM250+AM251+AM252,"")</f>
        <v>869</v>
      </c>
      <c r="AN253" s="269">
        <f>IF(AND(ISNUMBER(AN250),ISNUMBER(AN251)),AN250+AN251+AN252,"")</f>
        <v>3430</v>
      </c>
      <c r="AO253" s="269">
        <f>IF(AND(ISNUMBER(AO250),ISNUMBER(AO251)),AO250+AO251+AO252,"")</f>
        <v>961</v>
      </c>
      <c r="AP253" s="269">
        <f>IF(AND(ISNUMBER(AP250),ISNUMBER(AP251)),AP250+AP251+AP252,"")</f>
        <v>1156</v>
      </c>
      <c r="AQ253" s="269">
        <f>IF(AND(ISNUMBER(AQ250),ISNUMBER(AQ251)),AQ250+AQ251+AQ252,"")</f>
        <v>996</v>
      </c>
      <c r="AR253" s="269">
        <f>IF(AND(ISNUMBER(AR250),ISNUMBER(AR251)),AR250+AR251+AR252,"")</f>
        <v>708</v>
      </c>
      <c r="AS253" s="269">
        <f>IF(AND(ISNUMBER(AS250),ISNUMBER(AS251)),AS250+AS251+AS252,"")</f>
        <v>3823</v>
      </c>
      <c r="AT253" s="269">
        <f>IF(AND(ISNUMBER(AT250),ISNUMBER(AT251)),AT250+AT251+AT252,"")</f>
        <v>1131</v>
      </c>
      <c r="AU253" s="269">
        <f>IF(AND(ISNUMBER(AU250),ISNUMBER(AU251)),AU250+AU251+AU252,"")</f>
        <v>1199</v>
      </c>
      <c r="AV253" s="269">
        <f>IF(AND(ISNUMBER(AV250),ISNUMBER(AV251)),AV250+AV251+AV252,"")</f>
        <v>1124</v>
      </c>
      <c r="AW253" s="269">
        <f>IF(AND(ISNUMBER(AW250),ISNUMBER(AW251)),AW250+AW251+AW252,"")</f>
        <v>945</v>
      </c>
      <c r="AX253" s="269">
        <f>IF(AND(ISNUMBER(AX250),ISNUMBER(AX251)),AX250+AX251+AX252,"")</f>
        <v>4399</v>
      </c>
      <c r="AY253" s="269">
        <f>IF(AND(ISNUMBER(AY250),ISNUMBER(AY251)),AY250+AY251+AY252,"")</f>
        <v>2029</v>
      </c>
      <c r="AZ253" s="269">
        <f>IF(AND(ISNUMBER(AZ250),ISNUMBER(AZ251)),AZ250+AZ251+AZ252,"")</f>
        <v>1785</v>
      </c>
      <c r="BA253" s="269">
        <f>IF(AND(ISNUMBER(BA250),ISNUMBER(BA251)),BA250+BA251+BA252,"")</f>
        <v>1151</v>
      </c>
      <c r="BB253" s="269">
        <f>IF(AND(ISNUMBER(BB250),ISNUMBER(BB251)),BB250+BB251+BB252,"")</f>
        <v>992</v>
      </c>
      <c r="BC253" s="269">
        <f>IF(AND(ISNUMBER(BC250),ISNUMBER(BC251)),BC250+BC251+BC252,"")</f>
        <v>5957</v>
      </c>
      <c r="BD253" s="269">
        <f>IF(AND(ISNUMBER(BD250),ISNUMBER(BD251)),BD250+BD251+BD252,"")</f>
        <v>1431</v>
      </c>
      <c r="BE253" s="269">
        <f>IF(AND(ISNUMBER(BE250),ISNUMBER(BE251)),BE250+BE251+BE252,"")</f>
        <v>1196</v>
      </c>
      <c r="BF253" s="269">
        <f>IF(AND(ISNUMBER(BF250),ISNUMBER(BF251)),BF250+BF251+BF252,"")</f>
        <v>1356</v>
      </c>
      <c r="BG253" s="269">
        <f>IF(AND(ISNUMBER(BG250),ISNUMBER(BG251)),BG250+BG251+BG252,"")</f>
        <v>1180</v>
      </c>
      <c r="BH253" s="269">
        <f>IF(AND(ISNUMBER(BH250),ISNUMBER(BH251)),BH250+BH251+BH252,"")</f>
        <v>5163</v>
      </c>
      <c r="BI253" s="269">
        <f>IF(AND(ISNUMBER(BI250),ISNUMBER(BI251)),BI250+BI251+BI252,"")</f>
        <v>1672</v>
      </c>
      <c r="BJ253" s="269">
        <f>IF(AND(ISNUMBER(BJ250),ISNUMBER(BJ251)),BJ250+BJ251+BJ252,"")</f>
        <v>1743</v>
      </c>
      <c r="BK253" s="269">
        <f>IF(AND(ISNUMBER(BK250),ISNUMBER(BK251)),BK250+BK251+BK252,"")</f>
        <v>1727</v>
      </c>
      <c r="BL253" s="269">
        <f>IF(AND(ISNUMBER(BL250),ISNUMBER(BL251)),BL250+BL251+BL252,"")</f>
        <v>1609</v>
      </c>
      <c r="BM253" s="269">
        <f>IF(AND(ISNUMBER(BM250),ISNUMBER(BM251)),BM250+BM251+BM252,"")</f>
        <v>6753</v>
      </c>
      <c r="BN253" s="269">
        <f>IF(AND(ISNUMBER(BN250),ISNUMBER(BN251)),BN250+BN251+BN252,"")</f>
        <v>1699</v>
      </c>
      <c r="BO253" s="269">
        <f>IF(AND(ISNUMBER(BO250),ISNUMBER(BO251)),BO250+BO251+BO252,"")</f>
        <v>1666</v>
      </c>
      <c r="BP253" s="269">
        <f>IF(AND(ISNUMBER(BP250),ISNUMBER(BP251)),BP250+BP251+BP252,"")</f>
        <v>1780</v>
      </c>
      <c r="BQ253" s="269">
        <f>IF(AND(ISNUMBER(BQ250),ISNUMBER(BQ251)),BQ250+BQ251+BQ252,"")</f>
        <v>1856</v>
      </c>
      <c r="BR253" s="269">
        <f>IF(AND(ISNUMBER(BR250),ISNUMBER(BR251)),BR250+BR251+BR252,"")</f>
        <v>7002</v>
      </c>
      <c r="BS253" s="269">
        <f>IF(AND(ISNUMBER(BS250),ISNUMBER(BS251)),BS250+BS251+BS252,"")</f>
        <v>2154</v>
      </c>
      <c r="BT253" s="269">
        <f>IF(AND(ISNUMBER(BT250),ISNUMBER(BT251)),BT250+BT251+BT252,"")</f>
        <v>1985</v>
      </c>
      <c r="BU253" s="269">
        <f>IF(AND(ISNUMBER(BU250),ISNUMBER(BU251)),BU250+BU251+BU252,"")</f>
        <v>1852.82808702302</v>
      </c>
      <c r="BV253" s="269">
        <f>IF(AND(ISNUMBER(BV250),ISNUMBER(BV251)),BV250+BV251+BV252,"")</f>
        <v>1964.45428317199</v>
      </c>
      <c r="BW253" s="269">
        <f>IF(AND(ISNUMBER(BW250),ISNUMBER(BW251)),BW250+BW251+BW252,"")</f>
        <v>7956.28237019501</v>
      </c>
      <c r="BX253" s="269">
        <f>IF(AND(ISNUMBER(BX250),ISNUMBER(BX251)),BX250+BX251+BX252,"")</f>
        <v>8259.23590278871</v>
      </c>
      <c r="BY253" s="269">
        <f>IF(AND(ISNUMBER(BY250),ISNUMBER(BY251)),BY250+BY251+BY252,"")</f>
        <v>8921.21637019134</v>
      </c>
      <c r="BZ253" s="269">
        <f>IF(AND(ISNUMBER(BZ250),ISNUMBER(BZ251)),BZ250+BZ251+BZ252,"")</f>
        <v>9568.8125084069</v>
      </c>
      <c r="CA253" s="269">
        <f>IF(AND(ISNUMBER(CA250),ISNUMBER(CA251)),CA250+CA251+CA252,"")</f>
        <v>10241.8863013447</v>
      </c>
      <c r="CB253" s="269">
        <f>IF(AND(ISNUMBER(CB250),ISNUMBER(CB251)),CB250+CB251+CB252,"")</f>
        <v>10929.3966480012</v>
      </c>
      <c r="CC253" s="153" t="n"/>
    </row>
    <row r="254" ht="15" customHeight="1" s="251">
      <c r="B254" s="25" t="inlineStr">
        <is>
          <t xml:space="preserve">  (+) Non-GAAP adjustments in OP (pre-tax)</t>
        </is>
      </c>
      <c r="C254" s="211">
        <f>C235</f>
        <v>0</v>
      </c>
      <c r="D254" s="211">
        <f>D235</f>
        <v>42</v>
      </c>
      <c r="E254" s="211">
        <f>E235</f>
        <v>174</v>
      </c>
      <c r="F254" s="211">
        <f>F235</f>
        <v>121</v>
      </c>
      <c r="G254" s="211">
        <f>G235</f>
        <v>10</v>
      </c>
      <c r="H254" s="211">
        <f>H235</f>
        <v>-11</v>
      </c>
      <c r="I254" s="211">
        <f>I235</f>
        <v>77</v>
      </c>
      <c r="J254" s="211">
        <f>J235</f>
        <v>197</v>
      </c>
      <c r="K254" s="211">
        <f>K235</f>
        <v>0</v>
      </c>
      <c r="L254" s="211">
        <f>L235</f>
        <v>0</v>
      </c>
      <c r="M254" s="211">
        <f>M235</f>
        <v>109</v>
      </c>
      <c r="N254" s="211">
        <f>N235</f>
        <v>1592</v>
      </c>
      <c r="O254" s="211">
        <f>O235</f>
        <v>1702</v>
      </c>
      <c r="P254" s="211">
        <f>P235</f>
        <v>-6</v>
      </c>
      <c r="Q254" s="211">
        <f>Q235</f>
        <v>-30</v>
      </c>
      <c r="R254" s="211">
        <f>R235</f>
        <v>118</v>
      </c>
      <c r="S254" s="211">
        <f>S235</f>
        <v>54</v>
      </c>
      <c r="T254" s="211">
        <f>T235</f>
        <v>136</v>
      </c>
      <c r="U254" s="211">
        <f>U235</f>
        <v>14</v>
      </c>
      <c r="V254" s="211">
        <f>V235</f>
        <v>-22</v>
      </c>
      <c r="W254" s="211">
        <f>W235</f>
        <v>-733</v>
      </c>
      <c r="X254" s="211">
        <f>X235</f>
        <v>-293</v>
      </c>
      <c r="Y254" s="211">
        <f>Y235</f>
        <v>-1034</v>
      </c>
      <c r="Z254" s="211">
        <f>Z235</f>
        <v>17</v>
      </c>
      <c r="AA254" s="211">
        <f>AA235</f>
        <v>13</v>
      </c>
      <c r="AB254" s="211">
        <f>AB235</f>
        <v>19</v>
      </c>
      <c r="AC254" s="211">
        <f>AC235</f>
        <v>99</v>
      </c>
      <c r="AD254" s="211">
        <f>AD235</f>
        <v>149</v>
      </c>
      <c r="AE254" s="211">
        <f>AE235</f>
        <v>0</v>
      </c>
      <c r="AF254" s="211">
        <f>AF235</f>
        <v>85</v>
      </c>
      <c r="AG254" s="211">
        <f>AG235</f>
        <v>30</v>
      </c>
      <c r="AH254" s="211">
        <f>AH235</f>
        <v>26</v>
      </c>
      <c r="AI254" s="211">
        <f>AI235</f>
        <v>140</v>
      </c>
      <c r="AJ254" s="211">
        <f>AJ235</f>
        <v>6</v>
      </c>
      <c r="AK254" s="211">
        <f>AK235</f>
        <v>30</v>
      </c>
      <c r="AL254" s="211">
        <f>AL235</f>
        <v>-43</v>
      </c>
      <c r="AM254" s="211">
        <f>AM235</f>
        <v>18</v>
      </c>
      <c r="AN254" s="211">
        <f>AN235</f>
        <v>12</v>
      </c>
      <c r="AO254" s="211">
        <f>AO235</f>
        <v>7</v>
      </c>
      <c r="AP254" s="211">
        <f>AP235</f>
        <v>4</v>
      </c>
      <c r="AQ254" s="211">
        <f>AQ235</f>
        <v>0</v>
      </c>
      <c r="AR254" s="211">
        <f>AR235</f>
        <v>218</v>
      </c>
      <c r="AS254" s="211">
        <f>AS235</f>
        <v>227</v>
      </c>
      <c r="AT254" s="211">
        <f>AT235</f>
        <v>50</v>
      </c>
      <c r="AU254" s="211">
        <f>AU235</f>
        <v>52</v>
      </c>
      <c r="AV254" s="211">
        <f>AV235</f>
        <v>51</v>
      </c>
      <c r="AW254" s="211">
        <f>AW235</f>
        <v>111</v>
      </c>
      <c r="AX254" s="211">
        <f>AX235</f>
        <v>264</v>
      </c>
      <c r="AY254" s="211">
        <f>AY235</f>
        <v>-816</v>
      </c>
      <c r="AZ254" s="211">
        <f>AZ235</f>
        <v>-362</v>
      </c>
      <c r="BA254" s="211">
        <f>BA235</f>
        <v>185</v>
      </c>
      <c r="BB254" s="211">
        <f>BB235</f>
        <v>222</v>
      </c>
      <c r="BC254" s="211">
        <f>BC235</f>
        <v>-771</v>
      </c>
      <c r="BD254" s="211">
        <f>BD235</f>
        <v>41</v>
      </c>
      <c r="BE254" s="211">
        <f>BE235</f>
        <v>246</v>
      </c>
      <c r="BF254" s="211">
        <f>BF235</f>
        <v>102</v>
      </c>
      <c r="BG254" s="211">
        <f>BG235</f>
        <v>227</v>
      </c>
      <c r="BH254" s="211">
        <f>BH235</f>
        <v>615</v>
      </c>
      <c r="BI254" s="211">
        <f>BI235</f>
        <v>75</v>
      </c>
      <c r="BJ254" s="211">
        <f>BJ235</f>
        <v>67</v>
      </c>
      <c r="BK254" s="211">
        <f>BK235</f>
        <v>25</v>
      </c>
      <c r="BL254" s="211">
        <f>BL235</f>
        <v>80</v>
      </c>
      <c r="BM254" s="211">
        <f>BM235</f>
        <v>245</v>
      </c>
      <c r="BN254" s="211">
        <f>BN235</f>
        <v>51</v>
      </c>
      <c r="BO254" s="211">
        <f>BO235</f>
        <v>76</v>
      </c>
      <c r="BP254" s="211">
        <f>BP235</f>
        <v>51</v>
      </c>
      <c r="BQ254" s="211">
        <f>BQ235</f>
        <v>-153</v>
      </c>
      <c r="BR254" s="211">
        <f>BR235</f>
        <v>28</v>
      </c>
      <c r="BS254" s="211">
        <f>BS235</f>
        <v>-160</v>
      </c>
      <c r="BT254" s="211">
        <f>BT235</f>
        <v>42</v>
      </c>
      <c r="BU254" s="254">
        <f>BU235</f>
        <v>25</v>
      </c>
      <c r="BV254" s="254">
        <f>BV235</f>
        <v>-225</v>
      </c>
      <c r="BW254" s="254">
        <f>BW235</f>
        <v>-318</v>
      </c>
      <c r="BX254" s="254">
        <f>BX235</f>
        <v>50</v>
      </c>
      <c r="BY254" s="254">
        <f>BY235</f>
        <v>50</v>
      </c>
      <c r="BZ254" s="254">
        <f>BZ235</f>
        <v>50</v>
      </c>
      <c r="CA254" s="254">
        <f>CA235</f>
        <v>50</v>
      </c>
      <c r="CB254" s="254">
        <f>CB235</f>
        <v>50</v>
      </c>
      <c r="CC254" s="19" t="n"/>
    </row>
    <row r="255" ht="15" customHeight="1" s="251">
      <c r="B255" s="25" t="inlineStr">
        <is>
          <t xml:space="preserve">  (+) Deal-related amortization outside the IS amortization line (equity-method OSTTRA amortization, rounding)</t>
        </is>
      </c>
      <c r="C255" s="211">
        <f>IF(ISNUMBER(C170),C170-N(C191),"")</f>
      </c>
      <c r="D255" s="211">
        <f>IF(ISNUMBER(D170),D170-N(D191),"")</f>
        <v>-33</v>
      </c>
      <c r="E255" s="211">
        <f>IF(ISNUMBER(E170),E170-N(E191),"")</f>
        <v>-48</v>
      </c>
      <c r="F255" s="211">
        <f>IF(ISNUMBER(F170),F170-N(F191),"")</f>
        <v>-12</v>
      </c>
      <c r="G255" s="211">
        <f>IF(ISNUMBER(G170),G170-N(G191),"")</f>
        <v>-13</v>
      </c>
      <c r="H255" s="211">
        <f>IF(ISNUMBER(H170),H170-N(H191),"")</f>
        <v>-13</v>
      </c>
      <c r="I255" s="211">
        <f>IF(ISNUMBER(I170),I170-N(I191),"")</f>
        <v>-13</v>
      </c>
      <c r="J255" s="211">
        <f>IF(ISNUMBER(J170),J170-N(J191),"")</f>
        <v>-51</v>
      </c>
      <c r="K255" s="211">
        <f>IF(ISNUMBER(K170),K170-N(K191),"")</f>
        <v>-12</v>
      </c>
      <c r="L255" s="211">
        <f>IF(ISNUMBER(L170),L170-N(L191),"")</f>
        <v>-12</v>
      </c>
      <c r="M255" s="211">
        <f>IF(ISNUMBER(M170),M170-N(M191),"")</f>
        <v>-12</v>
      </c>
      <c r="N255" s="211">
        <f>IF(ISNUMBER(N170),N170-N(N191),"")</f>
        <v>-12</v>
      </c>
      <c r="O255" s="211">
        <f>IF(ISNUMBER(O170),O170-N(O191),"")</f>
        <v>-48</v>
      </c>
      <c r="P255" s="211">
        <f>IF(ISNUMBER(P170),P170-N(P191),"")</f>
        <v>-11</v>
      </c>
      <c r="Q255" s="211">
        <f>IF(ISNUMBER(Q170),Q170-N(Q191),"")</f>
        <v>-11</v>
      </c>
      <c r="R255" s="211">
        <f>IF(ISNUMBER(R170),R170-N(R191),"")</f>
        <v>-17</v>
      </c>
      <c r="S255" s="211">
        <f>IF(ISNUMBER(S170),S170-N(S191),"")</f>
        <v>-27</v>
      </c>
      <c r="T255" s="211">
        <f>IF(ISNUMBER(T170),T170-N(T191),"")</f>
        <v>-67</v>
      </c>
      <c r="U255" s="211">
        <f>IF(ISNUMBER(U170),U170-N(U191),"")</f>
        <v>0</v>
      </c>
      <c r="V255" s="211">
        <f>IF(ISNUMBER(V170),V170-N(V191),"")</f>
        <v>0</v>
      </c>
      <c r="W255" s="211">
        <f>IF(ISNUMBER(W170),W170-N(W191),"")</f>
        <v>0</v>
      </c>
      <c r="X255" s="211">
        <f>IF(ISNUMBER(X170),X170-N(X191),"")</f>
        <v>0</v>
      </c>
      <c r="Y255" s="211">
        <f>IF(ISNUMBER(Y170),Y170-N(Y191),"")</f>
        <v>0</v>
      </c>
      <c r="Z255" s="211">
        <f>IF(ISNUMBER(Z170),Z170-N(Z191),"")</f>
        <v>0</v>
      </c>
      <c r="AA255" s="211">
        <f>IF(ISNUMBER(AA170),AA170-N(AA191),"")</f>
        <v>0</v>
      </c>
      <c r="AB255" s="211">
        <f>IF(ISNUMBER(AB170),AB170-N(AB191),"")</f>
        <v>0</v>
      </c>
      <c r="AC255" s="211">
        <f>IF(ISNUMBER(AC170),AC170-N(AC191),"")</f>
        <v>0</v>
      </c>
      <c r="AD255" s="211">
        <f>IF(ISNUMBER(AD170),AD170-N(AD191),"")</f>
        <v>0</v>
      </c>
      <c r="AE255" s="211">
        <f>IF(ISNUMBER(AE170),AE170-N(AE191),"")</f>
        <v>0</v>
      </c>
      <c r="AF255" s="211">
        <f>IF(ISNUMBER(AF170),AF170-N(AF191),"")</f>
        <v>0</v>
      </c>
      <c r="AG255" s="211">
        <f>IF(ISNUMBER(AG170),AG170-N(AG191),"")</f>
        <v>0</v>
      </c>
      <c r="AH255" s="211">
        <f>IF(ISNUMBER(AH170),AH170-N(AH191),"")</f>
        <v>0</v>
      </c>
      <c r="AI255" s="211">
        <f>IF(ISNUMBER(AI170),AI170-N(AI191),"")</f>
        <v>0</v>
      </c>
      <c r="AJ255" s="211">
        <f>IF(ISNUMBER(AJ170),AJ170-N(AJ191),"")</f>
        <v>0</v>
      </c>
      <c r="AK255" s="211">
        <f>IF(ISNUMBER(AK170),AK170-N(AK191),"")</f>
        <v>0</v>
      </c>
      <c r="AL255" s="211">
        <f>IF(ISNUMBER(AL170),AL170-N(AL191),"")</f>
        <v>0</v>
      </c>
      <c r="AM255" s="211">
        <f>IF(ISNUMBER(AM170),AM170-N(AM191),"")</f>
        <v>0</v>
      </c>
      <c r="AN255" s="211">
        <f>IF(ISNUMBER(AN170),AN170-N(AN191),"")</f>
        <v>0</v>
      </c>
      <c r="AO255" s="211">
        <f>IF(ISNUMBER(AO170),AO170-N(AO191),"")</f>
        <v>0</v>
      </c>
      <c r="AP255" s="211">
        <f>IF(ISNUMBER(AP170),AP170-N(AP191),"")</f>
        <v>0</v>
      </c>
      <c r="AQ255" s="211">
        <f>IF(ISNUMBER(AQ170),AQ170-N(AQ191),"")</f>
        <v>0</v>
      </c>
      <c r="AR255" s="211">
        <f>IF(ISNUMBER(AR170),AR170-N(AR191),"")</f>
        <v>0</v>
      </c>
      <c r="AS255" s="211">
        <f>IF(ISNUMBER(AS170),AS170-N(AS191),"")</f>
        <v>0</v>
      </c>
      <c r="AT255" s="211">
        <f>IF(ISNUMBER(AT170),AT170-N(AT191),"")</f>
        <v>0</v>
      </c>
      <c r="AU255" s="211">
        <f>IF(ISNUMBER(AU170),AU170-N(AU191),"")</f>
        <v>0</v>
      </c>
      <c r="AV255" s="211">
        <f>IF(ISNUMBER(AV170),AV170-N(AV191),"")</f>
        <v>0</v>
      </c>
      <c r="AW255" s="211">
        <f>IF(ISNUMBER(AW170),AW170-N(AW191),"")</f>
        <v>-1</v>
      </c>
      <c r="AX255" s="211">
        <f>IF(ISNUMBER(AX170),AX170-N(AX191),"")</f>
        <v>0</v>
      </c>
      <c r="AY255" s="211">
        <f>IF(ISNUMBER(AY170),AY170-N(AY191),"")</f>
        <v>14</v>
      </c>
      <c r="AZ255" s="211">
        <f>IF(ISNUMBER(AZ170),AZ170-N(AZ191),"")</f>
        <v>15</v>
      </c>
      <c r="BA255" s="211">
        <f>IF(ISNUMBER(BA170),BA170-N(BA191),"")</f>
        <v>13</v>
      </c>
      <c r="BB255" s="211">
        <f>IF(ISNUMBER(BB170),BB170-N(BB191),"")</f>
        <v>12</v>
      </c>
      <c r="BC255" s="211">
        <f>IF(ISNUMBER(BC170),BC170-N(BC191),"")</f>
        <v>54</v>
      </c>
      <c r="BD255" s="211">
        <f>IF(ISNUMBER(BD170),BD170-N(BD191),"")</f>
        <v>13</v>
      </c>
      <c r="BE255" s="211">
        <f>IF(ISNUMBER(BE170),BE170-N(BE191),"")</f>
        <v>14</v>
      </c>
      <c r="BF255" s="211">
        <f>IF(ISNUMBER(BF170),BF170-N(BF191),"")</f>
        <v>14</v>
      </c>
      <c r="BG255" s="211">
        <f>IF(ISNUMBER(BG170),BG170-N(BG191),"")</f>
        <v>13</v>
      </c>
      <c r="BH255" s="211">
        <f>IF(ISNUMBER(BH170),BH170-N(BH191),"")</f>
        <v>55</v>
      </c>
      <c r="BI255" s="211">
        <f>IF(ISNUMBER(BI170),BI170-N(BI191),"")</f>
        <v>14</v>
      </c>
      <c r="BJ255" s="211">
        <f>IF(ISNUMBER(BJ170),BJ170-N(BJ191),"")</f>
        <v>15</v>
      </c>
      <c r="BK255" s="211">
        <f>IF(ISNUMBER(BK170),BK170-N(BK191),"")</f>
        <v>14</v>
      </c>
      <c r="BL255" s="211">
        <f>IF(ISNUMBER(BL170),BL170-N(BL191),"")</f>
        <v>14</v>
      </c>
      <c r="BM255" s="211">
        <f>IF(ISNUMBER(BM170),BM170-N(BM191),"")</f>
        <v>56</v>
      </c>
      <c r="BN255" s="211">
        <f>IF(ISNUMBER(BN170),BN170-N(BN191),"")</f>
        <v>13</v>
      </c>
      <c r="BO255" s="211">
        <f>IF(ISNUMBER(BO170),BO170-N(BO191),"")</f>
        <v>14</v>
      </c>
      <c r="BP255" s="211">
        <f>IF(ISNUMBER(BP170),BP170-N(BP191),"")</f>
        <v>13</v>
      </c>
      <c r="BQ255" s="211">
        <f>IF(ISNUMBER(BQ170),BQ170-N(BQ191),"")</f>
        <v>1</v>
      </c>
      <c r="BR255" s="211">
        <f>IF(ISNUMBER(BR170),BR170-N(BR191),"")</f>
        <v>40</v>
      </c>
      <c r="BS255" s="211">
        <f>IF(ISNUMBER(BS170),BS170-N(BS191),"")</f>
        <v>0</v>
      </c>
      <c r="BT255" s="211">
        <f>IF(ISNUMBER(BT170),BT170-N(BT191),"")</f>
        <v>0</v>
      </c>
      <c r="BU255" s="254">
        <f>IF(ISNUMBER(BU170),BU170-N(BU191),"")</f>
        <v>0</v>
      </c>
      <c r="BV255" s="254">
        <f>IF(ISNUMBER(BV170),BV170-N(BV191),"")</f>
        <v>0</v>
      </c>
      <c r="BW255" s="254">
        <f>IF(ISNUMBER(BW170),BW170-N(BW191),"")</f>
        <v>0</v>
      </c>
      <c r="BX255" s="254">
        <f>IF(ISNUMBER(BX170),BX170-N(BX191),"")</f>
        <v>0</v>
      </c>
      <c r="BY255" s="254">
        <f>IF(ISNUMBER(BY170),BY170-N(BY191),"")</f>
        <v>0</v>
      </c>
      <c r="BZ255" s="254">
        <f>IF(ISNUMBER(BZ170),BZ170-N(BZ191),"")</f>
        <v>0</v>
      </c>
      <c r="CA255" s="254">
        <f>IF(ISNUMBER(CA170),CA170-N(CA191),"")</f>
        <v>0</v>
      </c>
      <c r="CB255" s="254">
        <f>IF(ISNUMBER(CB170),CB170-N(CB191),"")</f>
        <v>0</v>
      </c>
      <c r="CC255" s="19" t="n"/>
    </row>
    <row r="256" ht="15" customHeight="1" s="251">
      <c r="B256" s="55" t="inlineStr">
        <is>
          <t xml:space="preserve">  = Adjusted EBITDA (model: adjusted OP + depreciation)</t>
        </is>
      </c>
      <c r="C256" s="269">
        <f>IF(AND(ISNUMBER(C253),ISNUMBER(C254)),C253+C254+N(C255),"")</f>
        <v>1122</v>
      </c>
      <c r="D256" s="269">
        <f>IF(AND(ISNUMBER(D253),ISNUMBER(D254)),D253+D254+N(D255),"")</f>
        <v>1197</v>
      </c>
      <c r="E256" s="269">
        <f>IF(AND(ISNUMBER(E253),ISNUMBER(E254)),E253+E254+N(E255),"")</f>
        <v>1459</v>
      </c>
      <c r="F256" s="269">
        <f>IF(AND(ISNUMBER(F253),ISNUMBER(F254)),F253+F254+N(F255),"")</f>
        <v>422</v>
      </c>
      <c r="G256" s="269">
        <f>IF(AND(ISNUMBER(G253),ISNUMBER(G254)),G253+G254+N(G255),"")</f>
        <v>468</v>
      </c>
      <c r="H256" s="269">
        <f>IF(AND(ISNUMBER(H253),ISNUMBER(H254)),H253+H254+N(H255),"")</f>
        <v>416</v>
      </c>
      <c r="I256" s="269">
        <f>IF(AND(ISNUMBER(I253),ISNUMBER(I254)),I253+I254+N(I255),"")</f>
        <v>382</v>
      </c>
      <c r="J256" s="269">
        <f>IF(AND(ISNUMBER(J253),ISNUMBER(J254)),J253+J254+N(J255),"")</f>
        <v>1688</v>
      </c>
      <c r="K256" s="269">
        <f>IF(AND(ISNUMBER(K253),ISNUMBER(K254)),K253+K254+N(K255),"")</f>
        <v>451</v>
      </c>
      <c r="L256" s="269">
        <f>IF(AND(ISNUMBER(L253),ISNUMBER(L254)),L253+L254+N(L255),"")</f>
        <v>508</v>
      </c>
      <c r="M256" s="269">
        <f>IF(AND(ISNUMBER(M253),ISNUMBER(M254)),M253+M254+N(M255),"")</f>
        <v>496</v>
      </c>
      <c r="N256" s="269">
        <f>IF(AND(ISNUMBER(N253),ISNUMBER(N254)),N253+N254+N(N255),"")</f>
        <v>466</v>
      </c>
      <c r="O256" s="269">
        <f>IF(AND(ISNUMBER(O253),ISNUMBER(O254)),O253+O254+N(O255),"")</f>
        <v>1901</v>
      </c>
      <c r="P256" s="269">
        <f>IF(AND(ISNUMBER(P253),ISNUMBER(P254)),P253+P254+N(P255),"")</f>
        <v>517</v>
      </c>
      <c r="Q256" s="269">
        <f>IF(AND(ISNUMBER(Q253),ISNUMBER(Q254)),Q253+Q254+N(Q255),"")</f>
        <v>574</v>
      </c>
      <c r="R256" s="269">
        <f>IF(AND(ISNUMBER(R253),ISNUMBER(R254)),R253+R254+N(R255),"")</f>
        <v>548</v>
      </c>
      <c r="S256" s="269">
        <f>IF(AND(ISNUMBER(S253),ISNUMBER(S254)),S253+S254+N(S255),"")</f>
        <v>504</v>
      </c>
      <c r="T256" s="269">
        <f>IF(AND(ISNUMBER(T253),ISNUMBER(T254)),T253+T254+N(T255),"")</f>
        <v>2143</v>
      </c>
      <c r="U256" s="269">
        <f>IF(AND(ISNUMBER(U253),ISNUMBER(U254)),U253+U254+N(U255),"")</f>
        <v>568</v>
      </c>
      <c r="V256" s="269">
        <f>IF(AND(ISNUMBER(V253),ISNUMBER(V254)),V253+V254+N(V255),"")</f>
        <v>674</v>
      </c>
      <c r="W256" s="269">
        <f>IF(AND(ISNUMBER(W253),ISNUMBER(W254)),W253+W254+N(W255),"")</f>
        <v>660</v>
      </c>
      <c r="X256" s="269">
        <f>IF(AND(ISNUMBER(X253),ISNUMBER(X254)),X253+X254+N(X255),"")</f>
        <v>611</v>
      </c>
      <c r="Y256" s="269">
        <f>IF(AND(ISNUMBER(Y253),ISNUMBER(Y254)),Y253+Y254+N(Y255),"")</f>
        <v>2516</v>
      </c>
      <c r="Z256" s="269">
        <f>IF(AND(ISNUMBER(Z253),ISNUMBER(Z254)),Z253+Z254+N(Z255),"")</f>
        <v>708</v>
      </c>
      <c r="AA256" s="269">
        <f>IF(AND(ISNUMBER(AA253),ISNUMBER(AA254)),AA253+AA254+N(AA255),"")</f>
        <v>735</v>
      </c>
      <c r="AB256" s="269">
        <f>IF(AND(ISNUMBER(AB253),ISNUMBER(AB254)),AB253+AB254+N(AB255),"")</f>
        <v>723</v>
      </c>
      <c r="AC256" s="269">
        <f>IF(AND(ISNUMBER(AC253),ISNUMBER(AC254)),AC253+AC254+N(AC255),"")</f>
        <v>773</v>
      </c>
      <c r="AD256" s="269">
        <f>IF(AND(ISNUMBER(AD253),ISNUMBER(AD254)),AD253+AD254+N(AD255),"")</f>
        <v>2939</v>
      </c>
      <c r="AE256" s="269">
        <f>IF(AND(ISNUMBER(AE253),ISNUMBER(AE254)),AE253+AE254+N(AE255),"")</f>
        <v>756</v>
      </c>
      <c r="AF256" s="269">
        <f>IF(AND(ISNUMBER(AF253),ISNUMBER(AF254)),AF253+AF254+N(AF255),"")</f>
        <v>809</v>
      </c>
      <c r="AG256" s="269">
        <f>IF(AND(ISNUMBER(AG253),ISNUMBER(AG254)),AG253+AG254+N(AG255),"")</f>
        <v>787</v>
      </c>
      <c r="AH256" s="269">
        <f>IF(AND(ISNUMBER(AH253),ISNUMBER(AH254)),AH253+AH254+N(AH255),"")</f>
        <v>785</v>
      </c>
      <c r="AI256" s="269">
        <f>IF(AND(ISNUMBER(AI253),ISNUMBER(AI254)),AI253+AI254+N(AI255),"")</f>
        <v>3136</v>
      </c>
      <c r="AJ256" s="269">
        <f>IF(AND(ISNUMBER(AJ253),ISNUMBER(AJ254)),AJ253+AJ254+N(AJ255),"")</f>
        <v>763</v>
      </c>
      <c r="AK256" s="269">
        <f>IF(AND(ISNUMBER(AK253),ISNUMBER(AK254)),AK253+AK254+N(AK255),"")</f>
        <v>895</v>
      </c>
      <c r="AL256" s="269">
        <f>IF(AND(ISNUMBER(AL253),ISNUMBER(AL254)),AL253+AL254+N(AL255),"")</f>
        <v>897</v>
      </c>
      <c r="AM256" s="269">
        <f>IF(AND(ISNUMBER(AM253),ISNUMBER(AM254)),AM253+AM254+N(AM255),"")</f>
        <v>887</v>
      </c>
      <c r="AN256" s="269">
        <f>IF(AND(ISNUMBER(AN253),ISNUMBER(AN254)),AN253+AN254+N(AN255),"")</f>
        <v>3442</v>
      </c>
      <c r="AO256" s="269">
        <f>IF(AND(ISNUMBER(AO253),ISNUMBER(AO254)),AO253+AO254+N(AO255),"")</f>
        <v>968</v>
      </c>
      <c r="AP256" s="269">
        <f>IF(AND(ISNUMBER(AP253),ISNUMBER(AP254)),AP253+AP254+N(AP255),"")</f>
        <v>1160</v>
      </c>
      <c r="AQ256" s="269">
        <f>IF(AND(ISNUMBER(AQ253),ISNUMBER(AQ254)),AQ253+AQ254+N(AQ255),"")</f>
        <v>996</v>
      </c>
      <c r="AR256" s="269">
        <f>IF(AND(ISNUMBER(AR253),ISNUMBER(AR254)),AR253+AR254+N(AR255),"")</f>
        <v>926</v>
      </c>
      <c r="AS256" s="269">
        <f>IF(AND(ISNUMBER(AS253),ISNUMBER(AS254)),AS253+AS254+N(AS255),"")</f>
        <v>4050</v>
      </c>
      <c r="AT256" s="269">
        <f>IF(AND(ISNUMBER(AT253),ISNUMBER(AT254)),AT253+AT254+N(AT255),"")</f>
        <v>1181</v>
      </c>
      <c r="AU256" s="269">
        <f>IF(AND(ISNUMBER(AU253),ISNUMBER(AU254)),AU253+AU254+N(AU255),"")</f>
        <v>1251</v>
      </c>
      <c r="AV256" s="269">
        <f>IF(AND(ISNUMBER(AV253),ISNUMBER(AV254)),AV253+AV254+N(AV255),"")</f>
        <v>1175</v>
      </c>
      <c r="AW256" s="269">
        <f>IF(AND(ISNUMBER(AW253),ISNUMBER(AW254)),AW253+AW254+N(AW255),"")</f>
        <v>1055</v>
      </c>
      <c r="AX256" s="269">
        <f>IF(AND(ISNUMBER(AX253),ISNUMBER(AX254)),AX253+AX254+N(AX255),"")</f>
        <v>4663</v>
      </c>
      <c r="AY256" s="269">
        <f>IF(AND(ISNUMBER(AY253),ISNUMBER(AY254)),AY253+AY254+N(AY255),"")</f>
        <v>1227</v>
      </c>
      <c r="AZ256" s="269">
        <f>IF(AND(ISNUMBER(AZ253),ISNUMBER(AZ254)),AZ253+AZ254+N(AZ255),"")</f>
        <v>1438</v>
      </c>
      <c r="BA256" s="269">
        <f>IF(AND(ISNUMBER(BA253),ISNUMBER(BA254)),BA253+BA254+N(BA255),"")</f>
        <v>1349</v>
      </c>
      <c r="BB256" s="269">
        <f>IF(AND(ISNUMBER(BB253),ISNUMBER(BB254)),BB253+BB254+N(BB255),"")</f>
        <v>1226</v>
      </c>
      <c r="BC256" s="269">
        <f>IF(AND(ISNUMBER(BC253),ISNUMBER(BC254)),BC253+BC254+N(BC255),"")</f>
        <v>5240</v>
      </c>
      <c r="BD256" s="269">
        <f>IF(AND(ISNUMBER(BD253),ISNUMBER(BD254)),BD253+BD254+N(BD255),"")</f>
        <v>1485</v>
      </c>
      <c r="BE256" s="269">
        <f>IF(AND(ISNUMBER(BE253),ISNUMBER(BE254)),BE253+BE254+N(BE255),"")</f>
        <v>1456</v>
      </c>
      <c r="BF256" s="269">
        <f>IF(AND(ISNUMBER(BF253),ISNUMBER(BF254)),BF253+BF254+N(BF255),"")</f>
        <v>1472</v>
      </c>
      <c r="BG256" s="269">
        <f>IF(AND(ISNUMBER(BG253),ISNUMBER(BG254)),BG253+BG254+N(BG255),"")</f>
        <v>1420</v>
      </c>
      <c r="BH256" s="269">
        <f>IF(AND(ISNUMBER(BH253),ISNUMBER(BH254)),BH253+BH254+N(BH255),"")</f>
        <v>5833</v>
      </c>
      <c r="BI256" s="269">
        <f>IF(AND(ISNUMBER(BI253),ISNUMBER(BI254)),BI253+BI254+N(BI255),"")</f>
        <v>1761</v>
      </c>
      <c r="BJ256" s="269">
        <f>IF(AND(ISNUMBER(BJ253),ISNUMBER(BJ254)),BJ253+BJ254+N(BJ255),"")</f>
        <v>1825</v>
      </c>
      <c r="BK256" s="269">
        <f>IF(AND(ISNUMBER(BK253),ISNUMBER(BK254)),BK253+BK254+N(BK255),"")</f>
        <v>1766</v>
      </c>
      <c r="BL256" s="269">
        <f>IF(AND(ISNUMBER(BL253),ISNUMBER(BL254)),BL253+BL254+N(BL255),"")</f>
        <v>1703</v>
      </c>
      <c r="BM256" s="269">
        <f>IF(AND(ISNUMBER(BM253),ISNUMBER(BM254)),BM253+BM254+N(BM255),"")</f>
        <v>7054</v>
      </c>
      <c r="BN256" s="269">
        <f>IF(AND(ISNUMBER(BN253),ISNUMBER(BN254)),BN253+BN254+N(BN255),"")</f>
        <v>1763</v>
      </c>
      <c r="BO256" s="269">
        <f>IF(AND(ISNUMBER(BO253),ISNUMBER(BO254)),BO253+BO254+N(BO255),"")</f>
        <v>1756</v>
      </c>
      <c r="BP256" s="269">
        <f>IF(AND(ISNUMBER(BP253),ISNUMBER(BP254)),BP253+BP254+N(BP255),"")</f>
        <v>1844</v>
      </c>
      <c r="BQ256" s="269">
        <f>IF(AND(ISNUMBER(BQ253),ISNUMBER(BQ254)),BQ253+BQ254+N(BQ255),"")</f>
        <v>1704</v>
      </c>
      <c r="BR256" s="269">
        <f>IF(AND(ISNUMBER(BR253),ISNUMBER(BR254)),BR253+BR254+N(BR255),"")</f>
        <v>7070</v>
      </c>
      <c r="BS256" s="269">
        <f>IF(AND(ISNUMBER(BS253),ISNUMBER(BS254)),BS253+BS254+N(BS255),"")</f>
        <v>1994</v>
      </c>
      <c r="BT256" s="269">
        <f>IF(AND(ISNUMBER(BT253),ISNUMBER(BT254)),BT253+BT254+N(BT255),"")</f>
        <v>2027</v>
      </c>
      <c r="BU256" s="269">
        <f>IF(AND(ISNUMBER(BU253),ISNUMBER(BU254)),BU253+BU254+N(BU255),"")</f>
        <v>1877.82808702302</v>
      </c>
      <c r="BV256" s="269">
        <f>IF(AND(ISNUMBER(BV253),ISNUMBER(BV254)),BV253+BV254+N(BV255),"")</f>
        <v>1739.45428317199</v>
      </c>
      <c r="BW256" s="269">
        <f>IF(AND(ISNUMBER(BW253),ISNUMBER(BW254)),BW253+BW254+N(BW255),"")</f>
        <v>7638.28237019501</v>
      </c>
      <c r="BX256" s="269">
        <f>IF(AND(ISNUMBER(BX253),ISNUMBER(BX254)),BX253+BX254+N(BX255),"")</f>
        <v>8309.23590278871</v>
      </c>
      <c r="BY256" s="269">
        <f>IF(AND(ISNUMBER(BY253),ISNUMBER(BY254)),BY253+BY254+N(BY255),"")</f>
        <v>8971.21637019134</v>
      </c>
      <c r="BZ256" s="269">
        <f>IF(AND(ISNUMBER(BZ253),ISNUMBER(BZ254)),BZ253+BZ254+N(BZ255),"")</f>
        <v>9618.8125084069</v>
      </c>
      <c r="CA256" s="269">
        <f>IF(AND(ISNUMBER(CA253),ISNUMBER(CA254)),CA253+CA254+N(CA255),"")</f>
        <v>10291.8863013447</v>
      </c>
      <c r="CB256" s="269">
        <f>IF(AND(ISNUMBER(CB253),ISNUMBER(CB254)),CB253+CB254+N(CB255),"")</f>
        <v>10979.3966480012</v>
      </c>
      <c r="CC256" s="153" t="inlineStr">
        <is>
          <t>Model definition, labelled as such (no company EBITDA measure). Used for leverage (net debt / adjusted EBITDA) and EV / EBITDA.</t>
        </is>
      </c>
      <c r="CE256" s="20">
        <f>IFERROR((CB256/BW256)^(1/5)-1,"n/m")</f>
        <v>0.0752675834542678</v>
      </c>
      <c r="CF256" s="20">
        <f>IFERROR((BR256/AS256)^(1/5)-1,"n/m")</f>
        <v>0.117874058832144</v>
      </c>
      <c r="CG256" s="20">
        <f>IFERROR((BR256/T256)^(1/10)-1,"n/m")</f>
        <v>0.12678154240278</v>
      </c>
      <c r="CH256" s="20">
        <f>IFERROR((BR256/C256)^(1/15)-1,"n/m")</f>
        <v>0.130563873680416</v>
      </c>
    </row>
    <row r="257" ht="15" customHeight="1" s="251">
      <c r="B257" s="25" t="inlineStr">
        <is>
          <t xml:space="preserve">  Adjusted EBITDA margin %</t>
        </is>
      </c>
      <c r="C257" s="215">
        <f>IF(AND(ISNUMBER(C256),ISNUMBER(C187)),IFERROR(C256/C187,""),"")</f>
        <v>0.308326463314097</v>
      </c>
      <c r="D257" s="215">
        <f>IF(AND(ISNUMBER(D256),ISNUMBER(D187)),IFERROR(D256/D187,""),"")</f>
        <v>0.302731411229135</v>
      </c>
      <c r="E257" s="215">
        <f>IF(AND(ISNUMBER(E256),ISNUMBER(E187)),IFERROR(E256/E187,""),"")</f>
        <v>0.327865168539326</v>
      </c>
      <c r="F257" s="215">
        <f>IF(AND(ISNUMBER(F256),ISNUMBER(F187)),IFERROR(F256/F187,""),"")</f>
        <v>0.357324301439458</v>
      </c>
      <c r="G257" s="215">
        <f>IF(AND(ISNUMBER(G256),ISNUMBER(G187)),IFERROR(G256/G187,""),"")</f>
        <v>0.3744</v>
      </c>
      <c r="H257" s="215">
        <f>IF(AND(ISNUMBER(H256),ISNUMBER(H187)),IFERROR(H256/H187,""),"")</f>
        <v>0.348408710217755</v>
      </c>
      <c r="I257" s="215">
        <f>IF(AND(ISNUMBER(I256),ISNUMBER(I187)),IFERROR(I256/I187,""),"")</f>
        <v>0.3056</v>
      </c>
      <c r="J257" s="215">
        <f>IF(AND(ISNUMBER(J256),ISNUMBER(J187)),IFERROR(J256/J187,""),"")</f>
        <v>0.34625641025641</v>
      </c>
      <c r="K257" s="215">
        <f>IF(AND(ISNUMBER(K256),ISNUMBER(K187)),IFERROR(K256/K187,""),"")</f>
        <v>0.364886731391586</v>
      </c>
      <c r="L257" s="215">
        <f>IF(AND(ISNUMBER(L256),ISNUMBER(L187)),IFERROR(L256/L187,""),"")</f>
        <v>0.37741456166419</v>
      </c>
      <c r="M257" s="215">
        <f>IF(AND(ISNUMBER(M256),ISNUMBER(M187)),IFERROR(M256/M187,""),"")</f>
        <v>0.392715756136184</v>
      </c>
      <c r="N257" s="215">
        <f>IF(AND(ISNUMBER(N256),ISNUMBER(N187)),IFERROR(N256/N187,""),"")</f>
        <v>0.361240310077519</v>
      </c>
      <c r="O257" s="215">
        <f>IF(AND(ISNUMBER(O256),ISNUMBER(O187)),IFERROR(O256/O187,""),"")</f>
        <v>0.376361116610572</v>
      </c>
      <c r="P257" s="215">
        <f>IF(AND(ISNUMBER(P256),ISNUMBER(P187)),IFERROR(P256/P187,""),"")</f>
        <v>0.406127258444619</v>
      </c>
      <c r="Q257" s="215">
        <f>IF(AND(ISNUMBER(Q256),ISNUMBER(Q187)),IFERROR(Q256/Q187,""),"")</f>
        <v>0.427719821162444</v>
      </c>
      <c r="R257" s="215">
        <f>IF(AND(ISNUMBER(R256),ISNUMBER(R187)),IFERROR(R256/R187,""),"")</f>
        <v>0.413897280966767</v>
      </c>
      <c r="S257" s="215">
        <f>IF(AND(ISNUMBER(S256),ISNUMBER(S187)),IFERROR(S256/S187,""),"")</f>
        <v>0.366812227074236</v>
      </c>
      <c r="T257" s="215">
        <f>IF(AND(ISNUMBER(T256),ISNUMBER(T187)),IFERROR(T256/T187,""),"")</f>
        <v>0.40335027291549</v>
      </c>
      <c r="U257" s="215">
        <f>IF(AND(ISNUMBER(U256),ISNUMBER(U187)),IFERROR(U256/U187,""),"")</f>
        <v>0.423564504101417</v>
      </c>
      <c r="V257" s="215">
        <f>IF(AND(ISNUMBER(V256),ISNUMBER(V187)),IFERROR(V256/V187,""),"")</f>
        <v>0.454790823211876</v>
      </c>
      <c r="W257" s="215">
        <f>IF(AND(ISNUMBER(W256),ISNUMBER(W187)),IFERROR(W256/W187,""),"")</f>
        <v>0.458651841556637</v>
      </c>
      <c r="X257" s="215">
        <f>IF(AND(ISNUMBER(X256),ISNUMBER(X187)),IFERROR(X256/X187,""),"")</f>
        <v>0.43674052894925</v>
      </c>
      <c r="Y257" s="215">
        <f>IF(AND(ISNUMBER(Y256),ISNUMBER(Y187)),IFERROR(Y256/Y187,""),"")</f>
        <v>0.444444444444444</v>
      </c>
      <c r="Z257" s="215">
        <f>IF(AND(ISNUMBER(Z256),ISNUMBER(Z187)),IFERROR(Z256/Z187,""),"")</f>
        <v>0.487267721954577</v>
      </c>
      <c r="AA257" s="215">
        <f>IF(AND(ISNUMBER(AA256),ISNUMBER(AA187)),IFERROR(AA256/AA187,""),"")</f>
        <v>0.487077534791253</v>
      </c>
      <c r="AB257" s="215">
        <f>IF(AND(ISNUMBER(AB256),ISNUMBER(AB187)),IFERROR(AB256/AB187,""),"")</f>
        <v>0.477858559153999</v>
      </c>
      <c r="AC257" s="215">
        <f>IF(AND(ISNUMBER(AC256),ISNUMBER(AC187)),IFERROR(AC256/AC187,""),"")</f>
        <v>0.486469477658905</v>
      </c>
      <c r="AD257" s="215">
        <f>IF(AND(ISNUMBER(AD256),ISNUMBER(AD187)),IFERROR(AD256/AD187,""),"")</f>
        <v>0.484743526307109</v>
      </c>
      <c r="AE257" s="215">
        <f>IF(AND(ISNUMBER(AE256),ISNUMBER(AE187)),IFERROR(AE256/AE187,""),"")</f>
        <v>0.482450542437779</v>
      </c>
      <c r="AF257" s="215">
        <f>IF(AND(ISNUMBER(AF256),ISNUMBER(AF187)),IFERROR(AF256/AF187,""),"")</f>
        <v>0.502796768178993</v>
      </c>
      <c r="AG257" s="215">
        <f>IF(AND(ISNUMBER(AG256),ISNUMBER(AG187)),IFERROR(AG256/AG187,""),"")</f>
        <v>0.509055627425615</v>
      </c>
      <c r="AH257" s="215">
        <f>IF(AND(ISNUMBER(AH256),ISNUMBER(AH187)),IFERROR(AH256/AH187,""),"")</f>
        <v>0.511067708333333</v>
      </c>
      <c r="AI257" s="215">
        <f>IF(AND(ISNUMBER(AI256),ISNUMBER(AI187)),IFERROR(AI256/AI187,""),"")</f>
        <v>0.501118568232662</v>
      </c>
      <c r="AJ257" s="215">
        <f>IF(AND(ISNUMBER(AJ256),ISNUMBER(AJ187)),IFERROR(AJ256/AJ187,""),"")</f>
        <v>0.485677912157861</v>
      </c>
      <c r="AK257" s="215">
        <f>IF(AND(ISNUMBER(AK256),ISNUMBER(AK187)),IFERROR(AK256/AK187,""),"")</f>
        <v>0.525234741784038</v>
      </c>
      <c r="AL257" s="215">
        <f>IF(AND(ISNUMBER(AL256),ISNUMBER(AL187)),IFERROR(AL256/AL187,""),"")</f>
        <v>0.531083481349911</v>
      </c>
      <c r="AM257" s="215">
        <f>IF(AND(ISNUMBER(AM256),ISNUMBER(AM187)),IFERROR(AM256/AM187,""),"")</f>
        <v>0.511239193083574</v>
      </c>
      <c r="AN257" s="215">
        <f>IF(AND(ISNUMBER(AN256),ISNUMBER(AN187)),IFERROR(AN256/AN187,""),"")</f>
        <v>0.51380803104941</v>
      </c>
      <c r="AO257" s="215">
        <f>IF(AND(ISNUMBER(AO256),ISNUMBER(AO187)),IFERROR(AO256/AO187,""),"")</f>
        <v>0.541993281075028</v>
      </c>
      <c r="AP257" s="215">
        <f>IF(AND(ISNUMBER(AP256),ISNUMBER(AP187)),IFERROR(AP256/AP187,""),"")</f>
        <v>0.597014925373134</v>
      </c>
      <c r="AQ257" s="215">
        <f>IF(AND(ISNUMBER(AQ256),ISNUMBER(AQ187)),IFERROR(AQ256/AQ187,""),"")</f>
        <v>0.539544962080173</v>
      </c>
      <c r="AR257" s="215">
        <f>IF(AND(ISNUMBER(AR256),ISNUMBER(AR187)),IFERROR(AR256/AR187,""),"")</f>
        <v>0.495982860203535</v>
      </c>
      <c r="AS257" s="215">
        <f>IF(AND(ISNUMBER(AS256),ISNUMBER(AS187)),IFERROR(AS256/AS187,""),"")</f>
        <v>0.544208546089761</v>
      </c>
      <c r="AT257" s="215">
        <f>IF(AND(ISNUMBER(AT256),ISNUMBER(AT187)),IFERROR(AT256/AT187,""),"")</f>
        <v>0.585813492063492</v>
      </c>
      <c r="AU257" s="215">
        <f>IF(AND(ISNUMBER(AU256),ISNUMBER(AU187)),IFERROR(AU256/AU187,""),"")</f>
        <v>0.594017094017094</v>
      </c>
      <c r="AV257" s="215">
        <f>IF(AND(ISNUMBER(AV256),ISNUMBER(AV187)),IFERROR(AV256/AV187,""),"")</f>
        <v>0.563009103977</v>
      </c>
      <c r="AW257" s="215">
        <f>IF(AND(ISNUMBER(AW256),ISNUMBER(AW187)),IFERROR(AW256/AW187,""),"")</f>
        <v>0.505268199233717</v>
      </c>
      <c r="AX257" s="215">
        <f>IF(AND(ISNUMBER(AX256),ISNUMBER(AX187)),IFERROR(AX256/AX187,""),"")</f>
        <v>0.562010365192238</v>
      </c>
      <c r="AY257" s="215">
        <f>IF(AND(ISNUMBER(AY256),ISNUMBER(AY187)),IFERROR(AY256/AY187,""),"")</f>
        <v>0.513604018417748</v>
      </c>
      <c r="AZ257" s="215">
        <f>IF(AND(ISNUMBER(AZ256),ISNUMBER(AZ187)),IFERROR(AZ256/AZ187,""),"")</f>
        <v>0.480454393585032</v>
      </c>
      <c r="BA257" s="215">
        <f>IF(AND(ISNUMBER(BA256),ISNUMBER(BA187)),IFERROR(BA256/BA187,""),"")</f>
        <v>0.471513456833275</v>
      </c>
      <c r="BB257" s="215">
        <f>IF(AND(ISNUMBER(BB256),ISNUMBER(BB187)),IFERROR(BB256/BB187,""),"")</f>
        <v>0.417432754511406</v>
      </c>
      <c r="BC257" s="215">
        <f>IF(AND(ISNUMBER(BC256),ISNUMBER(BC187)),IFERROR(BC256/BC187,""),"")</f>
        <v>0.468652177801628</v>
      </c>
      <c r="BD257" s="215">
        <f>IF(AND(ISNUMBER(BD256),ISNUMBER(BD187)),IFERROR(BD256/BD187,""),"")</f>
        <v>0.46993670886076</v>
      </c>
      <c r="BE257" s="215">
        <f>IF(AND(ISNUMBER(BE256),ISNUMBER(BE187)),IFERROR(BE256/BE187,""),"")</f>
        <v>0.469525959367946</v>
      </c>
      <c r="BF257" s="215">
        <f>IF(AND(ISNUMBER(BF256),ISNUMBER(BF187)),IFERROR(BF256/BF187,""),"")</f>
        <v>0.477302204928664</v>
      </c>
      <c r="BG257" s="215">
        <f>IF(AND(ISNUMBER(BG256),ISNUMBER(BG187)),IFERROR(BG256/BG187,""),"")</f>
        <v>0.450507614213198</v>
      </c>
      <c r="BH257" s="215">
        <f>IF(AND(ISNUMBER(BH256),ISNUMBER(BH187)),IFERROR(BH256/BH187,""),"")</f>
        <v>0.466752020484916</v>
      </c>
      <c r="BI257" s="215">
        <f>IF(AND(ISNUMBER(BI256),ISNUMBER(BI187)),IFERROR(BI256/BI187,""),"")</f>
        <v>0.504439988541965</v>
      </c>
      <c r="BJ257" s="215">
        <f>IF(AND(ISNUMBER(BJ256),ISNUMBER(BJ187)),IFERROR(BJ256/BJ187,""),"")</f>
        <v>0.514229360383207</v>
      </c>
      <c r="BK257" s="215">
        <f>IF(AND(ISNUMBER(BK256),ISNUMBER(BK187)),IFERROR(BK256/BK187,""),"")</f>
        <v>0.493986013986014</v>
      </c>
      <c r="BL257" s="215">
        <f>IF(AND(ISNUMBER(BL256),ISNUMBER(BL187)),IFERROR(BL256/BL187,""),"")</f>
        <v>0.474109131403118</v>
      </c>
      <c r="BM257" s="215">
        <f>IF(AND(ISNUMBER(BM256),ISNUMBER(BM187)),IFERROR(BM256/BM187,""),"")</f>
        <v>0.496480855855856</v>
      </c>
      <c r="BN257" s="215">
        <f>IF(AND(ISNUMBER(BN256),ISNUMBER(BN187)),IFERROR(BN256/BN187,""),"")</f>
        <v>0.525171283884421</v>
      </c>
      <c r="BO257" s="215">
        <f>IF(AND(ISNUMBER(BO256),ISNUMBER(BO187)),IFERROR(BO256/BO187,""),"")</f>
        <v>0.529394030750678</v>
      </c>
      <c r="BP257" s="215">
        <f>IF(AND(ISNUMBER(BP256),ISNUMBER(BP187)),IFERROR(BP256/BP187,""),"")</f>
        <v>0.535579436537903</v>
      </c>
      <c r="BQ257" s="215">
        <f>IF(AND(ISNUMBER(BQ256),ISNUMBER(BQ187)),IFERROR(BQ256/BQ187,""),"")</f>
        <v>0.490783410138249</v>
      </c>
      <c r="BR257" s="215">
        <f>IF(AND(ISNUMBER(BR256),ISNUMBER(BR187)),IFERROR(BR256/BR187,""),"")</f>
        <v>0.520273750827876</v>
      </c>
      <c r="BS257" s="215">
        <f>IF(AND(ISNUMBER(BS256),ISNUMBER(BS187)),IFERROR(BS256/BS187,""),"")</f>
        <v>0.536454129674469</v>
      </c>
      <c r="BT257" s="215">
        <f>IF(AND(ISNUMBER(BT256),ISNUMBER(BT187)),IFERROR(BT256/BT187,""),"")</f>
        <v>0.551114736269712</v>
      </c>
      <c r="BU257" s="256">
        <f>IF(AND(ISNUMBER(BU256),ISNUMBER(BU187)),IFERROR(BU256/BU187,""),"")</f>
        <v>0.528305556131681</v>
      </c>
      <c r="BV257" s="256">
        <f>IF(AND(ISNUMBER(BV256),ISNUMBER(BV187)),IFERROR(BV256/BV187,""),"")</f>
        <v>0.486260669559742</v>
      </c>
      <c r="BW257" s="256">
        <f>IF(AND(ISNUMBER(BW256),ISNUMBER(BW187)),IFERROR(BW256/BW187,""),"")</f>
        <v>0.525812014642271</v>
      </c>
      <c r="BX257" s="256">
        <f>IF(AND(ISNUMBER(BX256),ISNUMBER(BX187)),IFERROR(BX256/BX187,""),"")</f>
        <v>0.538644271172731</v>
      </c>
      <c r="BY257" s="256">
        <f>IF(AND(ISNUMBER(BY256),ISNUMBER(BY187)),IFERROR(BY256/BY187,""),"")</f>
        <v>0.543157602835609</v>
      </c>
      <c r="BZ257" s="256">
        <f>IF(AND(ISNUMBER(BZ256),ISNUMBER(BZ187)),IFERROR(BZ256/BZ187,""),"")</f>
        <v>0.544949186875856</v>
      </c>
      <c r="CA257" s="256">
        <f>IF(AND(ISNUMBER(CA256),ISNUMBER(CA187)),IFERROR(CA256/CA187,""),"")</f>
        <v>0.547169828320479</v>
      </c>
      <c r="CB257" s="256">
        <f>IF(AND(ISNUMBER(CB256),ISNUMBER(CB187)),IFERROR(CB256/CB187,""),"")</f>
        <v>0.54781934451612</v>
      </c>
      <c r="CC257" s="153" t="n"/>
      <c r="CE257" s="37">
        <f>IFERROR(AVERAGE(BX257,BY257,BZ257,CA257,CB257),"n/m")</f>
        <v>0.544348046744159</v>
      </c>
      <c r="CF257" s="37">
        <f>IFERROR(AVERAGE(AX257,BC257,BH257,BM257,BR257),"n/m")</f>
        <v>0.502833834032503</v>
      </c>
      <c r="CG257" s="37">
        <f>IFERROR(AVERAGE(Y257,AD257,AI257,AN257,AS257,AX257,BC257,BH257,BM257,BR257),"n/m")</f>
        <v>0.50024922862859</v>
      </c>
      <c r="CH257" s="37">
        <f>IFERROR(AVERAGE(C257,D257,E257,J257,O257,T257,Y257,AD257,AI257,AN257,AS257,AX257,BC257,BH257,BM257,BR257),"n/m")</f>
        <v>0.441711445571933</v>
      </c>
    </row>
    <row r="258" ht="15" customHeight="1" s="251">
      <c r="B258" s="57" t="inlineStr">
        <is>
          <t xml:space="preserve">  Check: adjusted EBITDA − (adjusted OP + depreciation) (should be 0)</t>
        </is>
      </c>
      <c r="C258" s="211">
        <f>IF(AND(ISNUMBER(C256),ISNUMBER(C237)),IF(ABS(C256-C237-C190)&lt;=1.01,0,ROUND(C256-C237-C190,0)),"")</f>
      </c>
      <c r="D258" s="211">
        <f>IF(AND(ISNUMBER(D256),ISNUMBER(D237)),IF(ABS(D256-D237-D190)&lt;=1.01,0,ROUND(D256-D237-D190,0)),"")</f>
        <v>0</v>
      </c>
      <c r="E258" s="211">
        <f>IF(AND(ISNUMBER(E256),ISNUMBER(E237)),IF(ABS(E256-E237-E190)&lt;=1.01,0,ROUND(E256-E237-E190,0)),"")</f>
        <v>0</v>
      </c>
      <c r="F258" s="211">
        <f>IF(AND(ISNUMBER(F256),ISNUMBER(F237)),IF(ABS(F256-F237-F190)&lt;=1.01,0,ROUND(F256-F237-F190,0)),"")</f>
        <v>0</v>
      </c>
      <c r="G258" s="211">
        <f>IF(AND(ISNUMBER(G256),ISNUMBER(G237)),IF(ABS(G256-G237-G190)&lt;=1.01,0,ROUND(G256-G237-G190,0)),"")</f>
        <v>0</v>
      </c>
      <c r="H258" s="211">
        <f>IF(AND(ISNUMBER(H256),ISNUMBER(H237)),IF(ABS(H256-H237-H190)&lt;=1.01,0,ROUND(H256-H237-H190,0)),"")</f>
        <v>0</v>
      </c>
      <c r="I258" s="211">
        <f>IF(AND(ISNUMBER(I256),ISNUMBER(I237)),IF(ABS(I256-I237-I190)&lt;=1.01,0,ROUND(I256-I237-I190,0)),"")</f>
        <v>0</v>
      </c>
      <c r="J258" s="211">
        <f>IF(AND(ISNUMBER(J256),ISNUMBER(J237)),IF(ABS(J256-J237-J190)&lt;=1.01,0,ROUND(J256-J237-J190,0)),"")</f>
        <v>0</v>
      </c>
      <c r="K258" s="211">
        <f>IF(AND(ISNUMBER(K256),ISNUMBER(K237)),IF(ABS(K256-K237-K190)&lt;=1.01,0,ROUND(K256-K237-K190,0)),"")</f>
        <v>0</v>
      </c>
      <c r="L258" s="211">
        <f>IF(AND(ISNUMBER(L256),ISNUMBER(L237)),IF(ABS(L256-L237-L190)&lt;=1.01,0,ROUND(L256-L237-L190,0)),"")</f>
        <v>0</v>
      </c>
      <c r="M258" s="211">
        <f>IF(AND(ISNUMBER(M256),ISNUMBER(M237)),IF(ABS(M256-M237-M190)&lt;=1.01,0,ROUND(M256-M237-M190,0)),"")</f>
        <v>0</v>
      </c>
      <c r="N258" s="211">
        <f>IF(AND(ISNUMBER(N256),ISNUMBER(N237)),IF(ABS(N256-N237-N190)&lt;=1.01,0,ROUND(N256-N237-N190,0)),"")</f>
        <v>0</v>
      </c>
      <c r="O258" s="211">
        <f>IF(AND(ISNUMBER(O256),ISNUMBER(O237)),IF(ABS(O256-O237-O190)&lt;=1.01,0,ROUND(O256-O237-O190,0)),"")</f>
        <v>0</v>
      </c>
      <c r="P258" s="211">
        <f>IF(AND(ISNUMBER(P256),ISNUMBER(P237)),IF(ABS(P256-P237-P190)&lt;=1.01,0,ROUND(P256-P237-P190,0)),"")</f>
        <v>0</v>
      </c>
      <c r="Q258" s="211">
        <f>IF(AND(ISNUMBER(Q256),ISNUMBER(Q237)),IF(ABS(Q256-Q237-Q190)&lt;=1.01,0,ROUND(Q256-Q237-Q190,0)),"")</f>
        <v>0</v>
      </c>
      <c r="R258" s="211">
        <f>IF(AND(ISNUMBER(R256),ISNUMBER(R237)),IF(ABS(R256-R237-R190)&lt;=1.01,0,ROUND(R256-R237-R190,0)),"")</f>
        <v>0</v>
      </c>
      <c r="S258" s="211">
        <f>IF(AND(ISNUMBER(S256),ISNUMBER(S237)),IF(ABS(S256-S237-S190)&lt;=1.01,0,ROUND(S256-S237-S190,0)),"")</f>
        <v>0</v>
      </c>
      <c r="T258" s="211">
        <f>IF(AND(ISNUMBER(T256),ISNUMBER(T237)),IF(ABS(T256-T237-T190)&lt;=1.01,0,ROUND(T256-T237-T190,0)),"")</f>
        <v>0</v>
      </c>
      <c r="U258" s="211">
        <f>IF(AND(ISNUMBER(U256),ISNUMBER(U237)),IF(ABS(U256-U237-U190)&lt;=1.01,0,ROUND(U256-U237-U190,0)),"")</f>
        <v>0</v>
      </c>
      <c r="V258" s="211">
        <f>IF(AND(ISNUMBER(V256),ISNUMBER(V237)),IF(ABS(V256-V237-V190)&lt;=1.01,0,ROUND(V256-V237-V190,0)),"")</f>
        <v>0</v>
      </c>
      <c r="W258" s="211">
        <f>IF(AND(ISNUMBER(W256),ISNUMBER(W237)),IF(ABS(W256-W237-W190)&lt;=1.01,0,ROUND(W256-W237-W190,0)),"")</f>
        <v>0</v>
      </c>
      <c r="X258" s="211">
        <f>IF(AND(ISNUMBER(X256),ISNUMBER(X237)),IF(ABS(X256-X237-X190)&lt;=1.01,0,ROUND(X256-X237-X190,0)),"")</f>
        <v>0</v>
      </c>
      <c r="Y258" s="211">
        <f>IF(AND(ISNUMBER(Y256),ISNUMBER(Y237)),IF(ABS(Y256-Y237-Y190)&lt;=1.01,0,ROUND(Y256-Y237-Y190,0)),"")</f>
        <v>0</v>
      </c>
      <c r="Z258" s="211">
        <f>IF(AND(ISNUMBER(Z256),ISNUMBER(Z237)),IF(ABS(Z256-Z237-Z190)&lt;=1.01,0,ROUND(Z256-Z237-Z190,0)),"")</f>
        <v>0</v>
      </c>
      <c r="AA258" s="211">
        <f>IF(AND(ISNUMBER(AA256),ISNUMBER(AA237)),IF(ABS(AA256-AA237-AA190)&lt;=1.01,0,ROUND(AA256-AA237-AA190,0)),"")</f>
        <v>0</v>
      </c>
      <c r="AB258" s="211">
        <f>IF(AND(ISNUMBER(AB256),ISNUMBER(AB237)),IF(ABS(AB256-AB237-AB190)&lt;=1.01,0,ROUND(AB256-AB237-AB190,0)),"")</f>
        <v>0</v>
      </c>
      <c r="AC258" s="211">
        <f>IF(AND(ISNUMBER(AC256),ISNUMBER(AC237)),IF(ABS(AC256-AC237-AC190)&lt;=1.01,0,ROUND(AC256-AC237-AC190,0)),"")</f>
        <v>0</v>
      </c>
      <c r="AD258" s="211">
        <f>IF(AND(ISNUMBER(AD256),ISNUMBER(AD237)),IF(ABS(AD256-AD237-AD190)&lt;=1.01,0,ROUND(AD256-AD237-AD190,0)),"")</f>
        <v>0</v>
      </c>
      <c r="AE258" s="211">
        <f>IF(AND(ISNUMBER(AE256),ISNUMBER(AE237)),IF(ABS(AE256-AE237-AE190)&lt;=1.01,0,ROUND(AE256-AE237-AE190,0)),"")</f>
        <v>0</v>
      </c>
      <c r="AF258" s="211">
        <f>IF(AND(ISNUMBER(AF256),ISNUMBER(AF237)),IF(ABS(AF256-AF237-AF190)&lt;=1.01,0,ROUND(AF256-AF237-AF190,0)),"")</f>
        <v>0</v>
      </c>
      <c r="AG258" s="211">
        <f>IF(AND(ISNUMBER(AG256),ISNUMBER(AG237)),IF(ABS(AG256-AG237-AG190)&lt;=1.01,0,ROUND(AG256-AG237-AG190,0)),"")</f>
        <v>0</v>
      </c>
      <c r="AH258" s="211">
        <f>IF(AND(ISNUMBER(AH256),ISNUMBER(AH237)),IF(ABS(AH256-AH237-AH190)&lt;=1.01,0,ROUND(AH256-AH237-AH190,0)),"")</f>
        <v>0</v>
      </c>
      <c r="AI258" s="211">
        <f>IF(AND(ISNUMBER(AI256),ISNUMBER(AI237)),IF(ABS(AI256-AI237-AI190)&lt;=1.01,0,ROUND(AI256-AI237-AI190,0)),"")</f>
        <v>0</v>
      </c>
      <c r="AJ258" s="211">
        <f>IF(AND(ISNUMBER(AJ256),ISNUMBER(AJ237)),IF(ABS(AJ256-AJ237-AJ190)&lt;=1.01,0,ROUND(AJ256-AJ237-AJ190,0)),"")</f>
        <v>0</v>
      </c>
      <c r="AK258" s="211">
        <f>IF(AND(ISNUMBER(AK256),ISNUMBER(AK237)),IF(ABS(AK256-AK237-AK190)&lt;=1.01,0,ROUND(AK256-AK237-AK190,0)),"")</f>
        <v>0</v>
      </c>
      <c r="AL258" s="211">
        <f>IF(AND(ISNUMBER(AL256),ISNUMBER(AL237)),IF(ABS(AL256-AL237-AL190)&lt;=1.01,0,ROUND(AL256-AL237-AL190,0)),"")</f>
        <v>0</v>
      </c>
      <c r="AM258" s="211">
        <f>IF(AND(ISNUMBER(AM256),ISNUMBER(AM237)),IF(ABS(AM256-AM237-AM190)&lt;=1.01,0,ROUND(AM256-AM237-AM190,0)),"")</f>
        <v>0</v>
      </c>
      <c r="AN258" s="211">
        <f>IF(AND(ISNUMBER(AN256),ISNUMBER(AN237)),IF(ABS(AN256-AN237-AN190)&lt;=1.01,0,ROUND(AN256-AN237-AN190,0)),"")</f>
        <v>0</v>
      </c>
      <c r="AO258" s="211">
        <f>IF(AND(ISNUMBER(AO256),ISNUMBER(AO237)),IF(ABS(AO256-AO237-AO190)&lt;=1.01,0,ROUND(AO256-AO237-AO190,0)),"")</f>
        <v>0</v>
      </c>
      <c r="AP258" s="211">
        <f>IF(AND(ISNUMBER(AP256),ISNUMBER(AP237)),IF(ABS(AP256-AP237-AP190)&lt;=1.01,0,ROUND(AP256-AP237-AP190,0)),"")</f>
        <v>0</v>
      </c>
      <c r="AQ258" s="211">
        <f>IF(AND(ISNUMBER(AQ256),ISNUMBER(AQ237)),IF(ABS(AQ256-AQ237-AQ190)&lt;=1.01,0,ROUND(AQ256-AQ237-AQ190,0)),"")</f>
        <v>0</v>
      </c>
      <c r="AR258" s="211">
        <f>IF(AND(ISNUMBER(AR256),ISNUMBER(AR237)),IF(ABS(AR256-AR237-AR190)&lt;=1.01,0,ROUND(AR256-AR237-AR190,0)),"")</f>
        <v>0</v>
      </c>
      <c r="AS258" s="211">
        <f>IF(AND(ISNUMBER(AS256),ISNUMBER(AS237)),IF(ABS(AS256-AS237-AS190)&lt;=1.01,0,ROUND(AS256-AS237-AS190,0)),"")</f>
        <v>0</v>
      </c>
      <c r="AT258" s="211">
        <f>IF(AND(ISNUMBER(AT256),ISNUMBER(AT237)),IF(ABS(AT256-AT237-AT190)&lt;=1.01,0,ROUND(AT256-AT237-AT190,0)),"")</f>
        <v>0</v>
      </c>
      <c r="AU258" s="211">
        <f>IF(AND(ISNUMBER(AU256),ISNUMBER(AU237)),IF(ABS(AU256-AU237-AU190)&lt;=1.01,0,ROUND(AU256-AU237-AU190,0)),"")</f>
        <v>0</v>
      </c>
      <c r="AV258" s="211">
        <f>IF(AND(ISNUMBER(AV256),ISNUMBER(AV237)),IF(ABS(AV256-AV237-AV190)&lt;=1.01,0,ROUND(AV256-AV237-AV190,0)),"")</f>
        <v>0</v>
      </c>
      <c r="AW258" s="211">
        <f>IF(AND(ISNUMBER(AW256),ISNUMBER(AW237)),IF(ABS(AW256-AW237-AW190)&lt;=1.01,0,ROUND(AW256-AW237-AW190,0)),"")</f>
        <v>0</v>
      </c>
      <c r="AX258" s="211">
        <f>IF(AND(ISNUMBER(AX256),ISNUMBER(AX237)),IF(ABS(AX256-AX237-AX190)&lt;=1.01,0,ROUND(AX256-AX237-AX190,0)),"")</f>
        <v>0</v>
      </c>
      <c r="AY258" s="211">
        <f>IF(AND(ISNUMBER(AY256),ISNUMBER(AY237)),IF(ABS(AY256-AY237-AY190)&lt;=1.01,0,ROUND(AY256-AY237-AY190,0)),"")</f>
        <v>0</v>
      </c>
      <c r="AZ258" s="211">
        <f>IF(AND(ISNUMBER(AZ256),ISNUMBER(AZ237)),IF(ABS(AZ256-AZ237-AZ190)&lt;=1.01,0,ROUND(AZ256-AZ237-AZ190,0)),"")</f>
        <v>0</v>
      </c>
      <c r="BA258" s="211">
        <f>IF(AND(ISNUMBER(BA256),ISNUMBER(BA237)),IF(ABS(BA256-BA237-BA190)&lt;=1.01,0,ROUND(BA256-BA237-BA190,0)),"")</f>
        <v>0</v>
      </c>
      <c r="BB258" s="211">
        <f>IF(AND(ISNUMBER(BB256),ISNUMBER(BB237)),IF(ABS(BB256-BB237-BB190)&lt;=1.01,0,ROUND(BB256-BB237-BB190,0)),"")</f>
        <v>0</v>
      </c>
      <c r="BC258" s="211">
        <f>IF(AND(ISNUMBER(BC256),ISNUMBER(BC237)),IF(ABS(BC256-BC237-BC190)&lt;=1.01,0,ROUND(BC256-BC237-BC190,0)),"")</f>
        <v>0</v>
      </c>
      <c r="BD258" s="211">
        <f>IF(AND(ISNUMBER(BD256),ISNUMBER(BD237)),IF(ABS(BD256-BD237-BD190)&lt;=1.01,0,ROUND(BD256-BD237-BD190,0)),"")</f>
        <v>0</v>
      </c>
      <c r="BE258" s="211">
        <f>IF(AND(ISNUMBER(BE256),ISNUMBER(BE237)),IF(ABS(BE256-BE237-BE190)&lt;=1.01,0,ROUND(BE256-BE237-BE190,0)),"")</f>
        <v>0</v>
      </c>
      <c r="BF258" s="211">
        <f>IF(AND(ISNUMBER(BF256),ISNUMBER(BF237)),IF(ABS(BF256-BF237-BF190)&lt;=1.01,0,ROUND(BF256-BF237-BF190,0)),"")</f>
        <v>0</v>
      </c>
      <c r="BG258" s="211">
        <f>IF(AND(ISNUMBER(BG256),ISNUMBER(BG237)),IF(ABS(BG256-BG237-BG190)&lt;=1.01,0,ROUND(BG256-BG237-BG190,0)),"")</f>
        <v>0</v>
      </c>
      <c r="BH258" s="211">
        <f>IF(AND(ISNUMBER(BH256),ISNUMBER(BH237)),IF(ABS(BH256-BH237-BH190)&lt;=1.01,0,ROUND(BH256-BH237-BH190,0)),"")</f>
        <v>0</v>
      </c>
      <c r="BI258" s="211">
        <f>IF(AND(ISNUMBER(BI256),ISNUMBER(BI237)),IF(ABS(BI256-BI237-BI190)&lt;=1.01,0,ROUND(BI256-BI237-BI190,0)),"")</f>
        <v>0</v>
      </c>
      <c r="BJ258" s="211">
        <f>IF(AND(ISNUMBER(BJ256),ISNUMBER(BJ237)),IF(ABS(BJ256-BJ237-BJ190)&lt;=1.01,0,ROUND(BJ256-BJ237-BJ190,0)),"")</f>
        <v>0</v>
      </c>
      <c r="BK258" s="211">
        <f>IF(AND(ISNUMBER(BK256),ISNUMBER(BK237)),IF(ABS(BK256-BK237-BK190)&lt;=1.01,0,ROUND(BK256-BK237-BK190,0)),"")</f>
        <v>0</v>
      </c>
      <c r="BL258" s="211">
        <f>IF(AND(ISNUMBER(BL256),ISNUMBER(BL237)),IF(ABS(BL256-BL237-BL190)&lt;=1.01,0,ROUND(BL256-BL237-BL190,0)),"")</f>
        <v>0</v>
      </c>
      <c r="BM258" s="211">
        <f>IF(AND(ISNUMBER(BM256),ISNUMBER(BM237)),IF(ABS(BM256-BM237-BM190)&lt;=1.01,0,ROUND(BM256-BM237-BM190,0)),"")</f>
        <v>0</v>
      </c>
      <c r="BN258" s="211">
        <f>IF(AND(ISNUMBER(BN256),ISNUMBER(BN237)),IF(ABS(BN256-BN237-BN190)&lt;=1.01,0,ROUND(BN256-BN237-BN190,0)),"")</f>
        <v>0</v>
      </c>
      <c r="BO258" s="211">
        <f>IF(AND(ISNUMBER(BO256),ISNUMBER(BO237)),IF(ABS(BO256-BO237-BO190)&lt;=1.01,0,ROUND(BO256-BO237-BO190,0)),"")</f>
        <v>0</v>
      </c>
      <c r="BP258" s="211">
        <f>IF(AND(ISNUMBER(BP256),ISNUMBER(BP237)),IF(ABS(BP256-BP237-BP190)&lt;=1.01,0,ROUND(BP256-BP237-BP190,0)),"")</f>
        <v>0</v>
      </c>
      <c r="BQ258" s="211">
        <f>IF(AND(ISNUMBER(BQ256),ISNUMBER(BQ237)),IF(ABS(BQ256-BQ237-BQ190)&lt;=1.01,0,ROUND(BQ256-BQ237-BQ190,0)),"")</f>
        <v>0</v>
      </c>
      <c r="BR258" s="211">
        <f>IF(AND(ISNUMBER(BR256),ISNUMBER(BR237)),IF(ABS(BR256-BR237-BR190)&lt;=1.01,0,ROUND(BR256-BR237-BR190,0)),"")</f>
        <v>0</v>
      </c>
      <c r="BS258" s="211">
        <f>IF(AND(ISNUMBER(BS256),ISNUMBER(BS237)),IF(ABS(BS256-BS237-BS190)&lt;=1.01,0,ROUND(BS256-BS237-BS190,0)),"")</f>
        <v>0</v>
      </c>
      <c r="BT258" s="211">
        <f>IF(AND(ISNUMBER(BT256),ISNUMBER(BT237)),IF(ABS(BT256-BT237-BT190)&lt;=1.01,0,ROUND(BT256-BT237-BT190,0)),"")</f>
        <v>0</v>
      </c>
      <c r="BU258" s="270">
        <f>IF(AND(ISNUMBER(BU256),ISNUMBER(BU237)),IF(ABS(BU256-BU237-BU190)&lt;=1.01,0,ROUND(BU256-BU237-BU190,0)),"")</f>
        <v>0</v>
      </c>
      <c r="BV258" s="270">
        <f>IF(AND(ISNUMBER(BV256),ISNUMBER(BV237)),IF(ABS(BV256-BV237-BV190)&lt;=1.01,0,ROUND(BV256-BV237-BV190,0)),"")</f>
        <v>0</v>
      </c>
      <c r="BW258" s="270">
        <f>IF(AND(ISNUMBER(BW256),ISNUMBER(BW237)),IF(ABS(BW256-BW237-BW190)&lt;=1.01,0,ROUND(BW256-BW237-BW190,0)),"")</f>
        <v>0</v>
      </c>
      <c r="BX258" s="270">
        <f>IF(AND(ISNUMBER(BX256),ISNUMBER(BX237)),IF(ABS(BX256-BX237-BX190)&lt;=1.01,0,ROUND(BX256-BX237-BX190,0)),"")</f>
        <v>0</v>
      </c>
      <c r="BY258" s="270">
        <f>IF(AND(ISNUMBER(BY256),ISNUMBER(BY237)),IF(ABS(BY256-BY237-BY190)&lt;=1.01,0,ROUND(BY256-BY237-BY190,0)),"")</f>
        <v>0</v>
      </c>
      <c r="BZ258" s="270">
        <f>IF(AND(ISNUMBER(BZ256),ISNUMBER(BZ237)),IF(ABS(BZ256-BZ237-BZ190)&lt;=1.01,0,ROUND(BZ256-BZ237-BZ190,0)),"")</f>
        <v>0</v>
      </c>
      <c r="CA258" s="270">
        <f>IF(AND(ISNUMBER(CA256),ISNUMBER(CA237)),IF(ABS(CA256-CA237-CA190)&lt;=1.01,0,ROUND(CA256-CA237-CA190,0)),"")</f>
        <v>0</v>
      </c>
      <c r="CB258" s="270">
        <f>IF(AND(ISNUMBER(CB256),ISNUMBER(CB237)),IF(ABS(CB256-CB237-CB190)&lt;=1.01,0,ROUND(CB256-CB237-CB190,0)),"")</f>
        <v>0</v>
      </c>
      <c r="CC258" s="153" t="n"/>
    </row>
    <row r="259" ht="15" customHeight="1" s="251">
      <c r="B259" s="25" t="inlineStr">
        <is>
          <t>To adjusted EBIT for NOPAT (standard basis: before acquired-intangible amortization, after SBC and cash restructuring):</t>
        </is>
      </c>
      <c r="CC259" s="153" t="n"/>
    </row>
    <row r="260" ht="15" customHeight="1" s="251">
      <c r="B260" s="55" t="inlineStr">
        <is>
          <t xml:space="preserve">  Adjusted EBITA (= adjusted OP: after depreciation and SBC, before deal amortization)</t>
        </is>
      </c>
      <c r="C260" s="269">
        <f>C237</f>
      </c>
      <c r="D260" s="269">
        <f>D237</f>
        <v>1119</v>
      </c>
      <c r="E260" s="269">
        <f>E237</f>
        <v>1385</v>
      </c>
      <c r="F260" s="269">
        <f>F237</f>
        <v>399</v>
      </c>
      <c r="G260" s="269">
        <f>G237</f>
        <v>446</v>
      </c>
      <c r="H260" s="269">
        <f>H237</f>
        <v>396</v>
      </c>
      <c r="I260" s="269">
        <f>I237</f>
        <v>361</v>
      </c>
      <c r="J260" s="269">
        <f>J237</f>
        <v>1602</v>
      </c>
      <c r="K260" s="269">
        <f>K237</f>
        <v>430</v>
      </c>
      <c r="L260" s="269">
        <f>L237</f>
        <v>486</v>
      </c>
      <c r="M260" s="269">
        <f>M237</f>
        <v>475</v>
      </c>
      <c r="N260" s="269">
        <f>N237</f>
        <v>444</v>
      </c>
      <c r="O260" s="269">
        <f>O237</f>
        <v>1815</v>
      </c>
      <c r="P260" s="269">
        <f>P237</f>
        <v>495</v>
      </c>
      <c r="Q260" s="269">
        <f>Q237</f>
        <v>552</v>
      </c>
      <c r="R260" s="269">
        <f>R237</f>
        <v>528</v>
      </c>
      <c r="S260" s="269">
        <f>S237</f>
        <v>478</v>
      </c>
      <c r="T260" s="269">
        <f>T237</f>
        <v>2053</v>
      </c>
      <c r="U260" s="269">
        <f>U237</f>
        <v>550</v>
      </c>
      <c r="V260" s="269">
        <f>V237</f>
        <v>652</v>
      </c>
      <c r="W260" s="269">
        <f>W237</f>
        <v>638</v>
      </c>
      <c r="X260" s="269">
        <f>X237</f>
        <v>589</v>
      </c>
      <c r="Y260" s="269">
        <f>Y237</f>
        <v>2431</v>
      </c>
      <c r="Z260" s="269">
        <f>Z237</f>
        <v>689</v>
      </c>
      <c r="AA260" s="269">
        <f>AA237</f>
        <v>715</v>
      </c>
      <c r="AB260" s="269">
        <f>AB237</f>
        <v>701</v>
      </c>
      <c r="AC260" s="269">
        <f>AC237</f>
        <v>752</v>
      </c>
      <c r="AD260" s="269">
        <f>AD237</f>
        <v>2857</v>
      </c>
      <c r="AE260" s="269">
        <f>AE237</f>
        <v>735</v>
      </c>
      <c r="AF260" s="269">
        <f>AF237</f>
        <v>790</v>
      </c>
      <c r="AG260" s="269">
        <f>AG237</f>
        <v>767</v>
      </c>
      <c r="AH260" s="269">
        <f>AH237</f>
        <v>761</v>
      </c>
      <c r="AI260" s="269">
        <f>AI237</f>
        <v>3052</v>
      </c>
      <c r="AJ260" s="269">
        <f>AJ237</f>
        <v>743</v>
      </c>
      <c r="AK260" s="269">
        <f>AK237</f>
        <v>874</v>
      </c>
      <c r="AL260" s="269">
        <f>AL237</f>
        <v>877</v>
      </c>
      <c r="AM260" s="269">
        <f>AM237</f>
        <v>866</v>
      </c>
      <c r="AN260" s="269">
        <f>AN237</f>
        <v>3360</v>
      </c>
      <c r="AO260" s="269">
        <f>AO237</f>
        <v>948</v>
      </c>
      <c r="AP260" s="269">
        <f>AP237</f>
        <v>1141</v>
      </c>
      <c r="AQ260" s="269">
        <f>AQ237</f>
        <v>976</v>
      </c>
      <c r="AR260" s="269">
        <f>AR237</f>
        <v>903</v>
      </c>
      <c r="AS260" s="269">
        <f>AS237</f>
        <v>3967</v>
      </c>
      <c r="AT260" s="269">
        <f>AT237</f>
        <v>1162</v>
      </c>
      <c r="AU260" s="269">
        <f>AU237</f>
        <v>1228</v>
      </c>
      <c r="AV260" s="269">
        <f>AV237</f>
        <v>1155</v>
      </c>
      <c r="AW260" s="269">
        <f>AW237</f>
        <v>1036</v>
      </c>
      <c r="AX260" s="269">
        <f>AX237</f>
        <v>4581</v>
      </c>
      <c r="AY260" s="269">
        <f>AY237</f>
        <v>1201</v>
      </c>
      <c r="AZ260" s="269">
        <f>AZ237</f>
        <v>1402</v>
      </c>
      <c r="BA260" s="269">
        <f>BA237</f>
        <v>1318</v>
      </c>
      <c r="BB260" s="269">
        <f>BB237</f>
        <v>1211</v>
      </c>
      <c r="BC260" s="269">
        <f>BC237</f>
        <v>5132</v>
      </c>
      <c r="BD260" s="269">
        <f>BD237</f>
        <v>1460</v>
      </c>
      <c r="BE260" s="269">
        <f>BE237</f>
        <v>1432</v>
      </c>
      <c r="BF260" s="269">
        <f>BF237</f>
        <v>1450</v>
      </c>
      <c r="BG260" s="269">
        <f>BG237</f>
        <v>1390</v>
      </c>
      <c r="BH260" s="269">
        <f>BH237</f>
        <v>5732</v>
      </c>
      <c r="BI260" s="269">
        <f>BI237</f>
        <v>1738</v>
      </c>
      <c r="BJ260" s="269">
        <f>BJ237</f>
        <v>1800</v>
      </c>
      <c r="BK260" s="269">
        <f>BK237</f>
        <v>1744</v>
      </c>
      <c r="BL260" s="269">
        <f>BL237</f>
        <v>1677</v>
      </c>
      <c r="BM260" s="269">
        <f>BM237</f>
        <v>6958</v>
      </c>
      <c r="BN260" s="269">
        <f>BN237</f>
        <v>1742</v>
      </c>
      <c r="BO260" s="269">
        <f>BO237</f>
        <v>1734</v>
      </c>
      <c r="BP260" s="269">
        <f>BP237</f>
        <v>1819</v>
      </c>
      <c r="BQ260" s="269">
        <f>BQ237</f>
        <v>1676</v>
      </c>
      <c r="BR260" s="269">
        <f>BR237</f>
        <v>6974</v>
      </c>
      <c r="BS260" s="269">
        <f>BS237</f>
        <v>1967</v>
      </c>
      <c r="BT260" s="269">
        <f>BT237</f>
        <v>1998</v>
      </c>
      <c r="BU260" s="269">
        <f>BU237</f>
        <v>1848.82808702302</v>
      </c>
      <c r="BV260" s="269">
        <f>BV237</f>
        <v>1710.45428317199</v>
      </c>
      <c r="BW260" s="269">
        <f>BW237</f>
        <v>7524.28237019501</v>
      </c>
      <c r="BX260" s="269">
        <f>BX237</f>
        <v>8185.82627832991</v>
      </c>
      <c r="BY260" s="269">
        <f>BY237</f>
        <v>8839.08210458068</v>
      </c>
      <c r="BZ260" s="269">
        <f>BZ237</f>
        <v>9477.60576487838</v>
      </c>
      <c r="CA260" s="269">
        <f>CA237</f>
        <v>10141.4118304415</v>
      </c>
      <c r="CB260" s="269">
        <f>CB237</f>
        <v>10819.0606283566</v>
      </c>
      <c r="CC260" s="153" t="n"/>
    </row>
    <row r="261" ht="15" customHeight="1" s="251">
      <c r="B261" s="25" t="inlineStr">
        <is>
          <t xml:space="preserve">  Adjusted EBITA margin %</t>
        </is>
      </c>
      <c r="C261" s="215">
        <f>IF(AND(ISNUMBER(C260),ISNUMBER(C187)),IFERROR(C260/C187,""),"")</f>
      </c>
      <c r="D261" s="215">
        <f>IF(AND(ISNUMBER(D260),ISNUMBER(D187)),IFERROR(D260/D187,""),"")</f>
        <v>0.283004552352049</v>
      </c>
      <c r="E261" s="215">
        <f>IF(AND(ISNUMBER(E260),ISNUMBER(E187)),IFERROR(E260/E187,""),"")</f>
        <v>0.31123595505618</v>
      </c>
      <c r="F261" s="215">
        <f>IF(AND(ISNUMBER(F260),ISNUMBER(F187)),IFERROR(F260/F187,""),"")</f>
        <v>0.337849280270957</v>
      </c>
      <c r="G261" s="215">
        <f>IF(AND(ISNUMBER(G260),ISNUMBER(G187)),IFERROR(G260/G187,""),"")</f>
        <v>0.3568</v>
      </c>
      <c r="H261" s="215">
        <f>IF(AND(ISNUMBER(H260),ISNUMBER(H187)),IFERROR(H260/H187,""),"")</f>
        <v>0.331658291457286</v>
      </c>
      <c r="I261" s="215">
        <f>IF(AND(ISNUMBER(I260),ISNUMBER(I187)),IFERROR(I260/I187,""),"")</f>
        <v>0.2888</v>
      </c>
      <c r="J261" s="215">
        <f>IF(AND(ISNUMBER(J260),ISNUMBER(J187)),IFERROR(J260/J187,""),"")</f>
        <v>0.328615384615385</v>
      </c>
      <c r="K261" s="215">
        <f>IF(AND(ISNUMBER(K260),ISNUMBER(K187)),IFERROR(K260/K187,""),"")</f>
        <v>0.34789644012945</v>
      </c>
      <c r="L261" s="215">
        <f>IF(AND(ISNUMBER(L260),ISNUMBER(L187)),IFERROR(L260/L187,""),"")</f>
        <v>0.361069836552749</v>
      </c>
      <c r="M261" s="215">
        <f>IF(AND(ISNUMBER(M260),ISNUMBER(M187)),IFERROR(M260/M187,""),"")</f>
        <v>0.376088677751386</v>
      </c>
      <c r="N261" s="215">
        <f>IF(AND(ISNUMBER(N260),ISNUMBER(N187)),IFERROR(N260/N187,""),"")</f>
        <v>0.344186046511628</v>
      </c>
      <c r="O261" s="215">
        <f>IF(AND(ISNUMBER(O260),ISNUMBER(O187)),IFERROR(O260/O187,""),"")</f>
        <v>0.359334785191051</v>
      </c>
      <c r="P261" s="215">
        <f>IF(AND(ISNUMBER(P260),ISNUMBER(P187)),IFERROR(P260/P187,""),"")</f>
        <v>0.388845247446976</v>
      </c>
      <c r="Q261" s="215">
        <f>IF(AND(ISNUMBER(Q260),ISNUMBER(Q187)),IFERROR(Q260/Q187,""),"")</f>
        <v>0.411326378539493</v>
      </c>
      <c r="R261" s="215">
        <f>IF(AND(ISNUMBER(R260),ISNUMBER(R187)),IFERROR(R260/R187,""),"")</f>
        <v>0.398791540785499</v>
      </c>
      <c r="S261" s="215">
        <f>IF(AND(ISNUMBER(S260),ISNUMBER(S187)),IFERROR(S260/S187,""),"")</f>
        <v>0.347889374090247</v>
      </c>
      <c r="T261" s="215">
        <f>IF(AND(ISNUMBER(T260),ISNUMBER(T187)),IFERROR(T260/T187,""),"")</f>
        <v>0.386410690758517</v>
      </c>
      <c r="U261" s="215">
        <f>IF(AND(ISNUMBER(U260),ISNUMBER(U187)),IFERROR(U260/U187,""),"")</f>
        <v>0.410141685309471</v>
      </c>
      <c r="V261" s="215">
        <f>IF(AND(ISNUMBER(V260),ISNUMBER(V187)),IFERROR(V260/V187,""),"")</f>
        <v>0.439946018893387</v>
      </c>
      <c r="W261" s="215">
        <f>IF(AND(ISNUMBER(W260),ISNUMBER(W187)),IFERROR(W260/W187,""),"")</f>
        <v>0.443363446838082</v>
      </c>
      <c r="X261" s="215">
        <f>IF(AND(ISNUMBER(X260),ISNUMBER(X187)),IFERROR(X260/X187,""),"")</f>
        <v>0.421015010721944</v>
      </c>
      <c r="Y261" s="215">
        <f>IF(AND(ISNUMBER(Y260),ISNUMBER(Y187)),IFERROR(Y260/Y187,""),"")</f>
        <v>0.429429429429429</v>
      </c>
      <c r="Z261" s="215">
        <f>IF(AND(ISNUMBER(Z260),ISNUMBER(Z187)),IFERROR(Z260/Z187,""),"")</f>
        <v>0.474191328286304</v>
      </c>
      <c r="AA261" s="215">
        <f>IF(AND(ISNUMBER(AA260),ISNUMBER(AA187)),IFERROR(AA260/AA187,""),"")</f>
        <v>0.473823724320742</v>
      </c>
      <c r="AB261" s="215">
        <f>IF(AND(ISNUMBER(AB260),ISNUMBER(AB187)),IFERROR(AB260/AB187,""),"")</f>
        <v>0.463317911434237</v>
      </c>
      <c r="AC261" s="215">
        <f>IF(AND(ISNUMBER(AC260),ISNUMBER(AC187)),IFERROR(AC260/AC187,""),"")</f>
        <v>0.473253618628068</v>
      </c>
      <c r="AD261" s="215">
        <f>IF(AND(ISNUMBER(AD260),ISNUMBER(AD187)),IFERROR(AD260/AD187,""),"")</f>
        <v>0.471218868546924</v>
      </c>
      <c r="AE261" s="215">
        <f>IF(AND(ISNUMBER(AE260),ISNUMBER(AE187)),IFERROR(AE260/AE187,""),"")</f>
        <v>0.469049138481174</v>
      </c>
      <c r="AF261" s="215">
        <f>IF(AND(ISNUMBER(AF260),ISNUMBER(AF187)),IFERROR(AF260/AF187,""),"")</f>
        <v>0.490988191423244</v>
      </c>
      <c r="AG261" s="215">
        <f>IF(AND(ISNUMBER(AG260),ISNUMBER(AG187)),IFERROR(AG260/AG187,""),"")</f>
        <v>0.496119016817594</v>
      </c>
      <c r="AH261" s="215">
        <f>IF(AND(ISNUMBER(AH260),ISNUMBER(AH187)),IFERROR(AH260/AH187,""),"")</f>
        <v>0.495442708333333</v>
      </c>
      <c r="AI261" s="215">
        <f>IF(AND(ISNUMBER(AI260),ISNUMBER(AI187)),IFERROR(AI260/AI187,""),"")</f>
        <v>0.487695749440716</v>
      </c>
      <c r="AJ261" s="215">
        <f>IF(AND(ISNUMBER(AJ260),ISNUMBER(AJ187)),IFERROR(AJ260/AJ187,""),"")</f>
        <v>0.472947167409293</v>
      </c>
      <c r="AK261" s="215">
        <f>IF(AND(ISNUMBER(AK260),ISNUMBER(AK187)),IFERROR(AK260/AK187,""),"")</f>
        <v>0.512910798122066</v>
      </c>
      <c r="AL261" s="215">
        <f>IF(AND(ISNUMBER(AL260),ISNUMBER(AL187)),IFERROR(AL260/AL187,""),"")</f>
        <v>0.519242155121374</v>
      </c>
      <c r="AM261" s="215">
        <f>IF(AND(ISNUMBER(AM260),ISNUMBER(AM187)),IFERROR(AM260/AM187,""),"")</f>
        <v>0.499135446685879</v>
      </c>
      <c r="AN261" s="215">
        <f>IF(AND(ISNUMBER(AN260),ISNUMBER(AN187)),IFERROR(AN260/AN187,""),"")</f>
        <v>0.501567398119122</v>
      </c>
      <c r="AO261" s="215">
        <f>IF(AND(ISNUMBER(AO260),ISNUMBER(AO187)),IFERROR(AO260/AO187,""),"")</f>
        <v>0.530795072788354</v>
      </c>
      <c r="AP261" s="215">
        <f>IF(AND(ISNUMBER(AP260),ISNUMBER(AP187)),IFERROR(AP260/AP187,""),"")</f>
        <v>0.587236232629954</v>
      </c>
      <c r="AQ261" s="215">
        <f>IF(AND(ISNUMBER(AQ260),ISNUMBER(AQ187)),IFERROR(AQ260/AQ187,""),"")</f>
        <v>0.528710725893825</v>
      </c>
      <c r="AR261" s="215">
        <f>IF(AND(ISNUMBER(AR260),ISNUMBER(AR187)),IFERROR(AR260/AR187,""),"")</f>
        <v>0.483663631494376</v>
      </c>
      <c r="AS261" s="215">
        <f>IF(AND(ISNUMBER(AS260),ISNUMBER(AS187)),IFERROR(AS260/AS187,""),"")</f>
        <v>0.533055630206934</v>
      </c>
      <c r="AT261" s="215">
        <f>IF(AND(ISNUMBER(AT260),ISNUMBER(AT187)),IFERROR(AT260/AT187,""),"")</f>
        <v>0.576388888888889</v>
      </c>
      <c r="AU261" s="215">
        <f>IF(AND(ISNUMBER(AU260),ISNUMBER(AU187)),IFERROR(AU260/AU187,""),"")</f>
        <v>0.58309591642925</v>
      </c>
      <c r="AV261" s="215">
        <f>IF(AND(ISNUMBER(AV260),ISNUMBER(AV187)),IFERROR(AV260/AV187,""),"")</f>
        <v>0.553425970292286</v>
      </c>
      <c r="AW261" s="215">
        <f>IF(AND(ISNUMBER(AW260),ISNUMBER(AW187)),IFERROR(AW260/AW187,""),"")</f>
        <v>0.496168582375479</v>
      </c>
      <c r="AX261" s="215">
        <f>IF(AND(ISNUMBER(AX260),ISNUMBER(AX187)),IFERROR(AX260/AX187,""),"")</f>
        <v>0.552127274918645</v>
      </c>
      <c r="AY261" s="215">
        <f>IF(AND(ISNUMBER(AY260),ISNUMBER(AY187)),IFERROR(AY260/AY187,""),"")</f>
        <v>0.50272080368355</v>
      </c>
      <c r="AZ261" s="215">
        <f>IF(AND(ISNUMBER(AZ260),ISNUMBER(AZ187)),IFERROR(AZ260/AZ187,""),"")</f>
        <v>0.468426328098897</v>
      </c>
      <c r="BA261" s="215">
        <f>IF(AND(ISNUMBER(BA260),ISNUMBER(BA187)),IFERROR(BA260/BA187,""),"")</f>
        <v>0.460678084585809</v>
      </c>
      <c r="BB261" s="215">
        <f>IF(AND(ISNUMBER(BB260),ISNUMBER(BB187)),IFERROR(BB260/BB187,""),"")</f>
        <v>0.412325502213143</v>
      </c>
      <c r="BC261" s="215">
        <f>IF(AND(ISNUMBER(BC260),ISNUMBER(BC187)),IFERROR(BC260/BC187,""),"")</f>
        <v>0.458992934442358</v>
      </c>
      <c r="BD261" s="215">
        <f>IF(AND(ISNUMBER(BD260),ISNUMBER(BD187)),IFERROR(BD260/BD187,""),"")</f>
        <v>0.462025316455696</v>
      </c>
      <c r="BE261" s="215">
        <f>IF(AND(ISNUMBER(BE260),ISNUMBER(BE187)),IFERROR(BE260/BE187,""),"")</f>
        <v>0.461786520477265</v>
      </c>
      <c r="BF261" s="215">
        <f>IF(AND(ISNUMBER(BF260),ISNUMBER(BF187)),IFERROR(BF260/BF187,""),"")</f>
        <v>0.470168612191959</v>
      </c>
      <c r="BG261" s="215">
        <f>IF(AND(ISNUMBER(BG260),ISNUMBER(BG187)),IFERROR(BG260/BG187,""),"")</f>
        <v>0.440989847715736</v>
      </c>
      <c r="BH261" s="215">
        <f>IF(AND(ISNUMBER(BH260),ISNUMBER(BH187)),IFERROR(BH260/BH187,""),"")</f>
        <v>0.458670080819397</v>
      </c>
      <c r="BI261" s="215">
        <f>IF(AND(ISNUMBER(BI260),ISNUMBER(BI187)),IFERROR(BI260/BI187,""),"")</f>
        <v>0.497851618447436</v>
      </c>
      <c r="BJ261" s="215">
        <f>IF(AND(ISNUMBER(BJ260),ISNUMBER(BJ187)),IFERROR(BJ260/BJ187,""),"")</f>
        <v>0.507185122569738</v>
      </c>
      <c r="BK261" s="215">
        <f>IF(AND(ISNUMBER(BK260),ISNUMBER(BK187)),IFERROR(BK260/BK187,""),"")</f>
        <v>0.487832167832168</v>
      </c>
      <c r="BL261" s="215">
        <f>IF(AND(ISNUMBER(BL260),ISNUMBER(BL187)),IFERROR(BL260/BL187,""),"")</f>
        <v>0.466870824053452</v>
      </c>
      <c r="BM261" s="215">
        <f>IF(AND(ISNUMBER(BM260),ISNUMBER(BM187)),IFERROR(BM260/BM187,""),"")</f>
        <v>0.489724099099099</v>
      </c>
      <c r="BN261" s="215">
        <f>IF(AND(ISNUMBER(BN260),ISNUMBER(BN187)),IFERROR(BN260/BN187,""),"")</f>
        <v>0.518915698540364</v>
      </c>
      <c r="BO261" s="215">
        <f>IF(AND(ISNUMBER(BO260),ISNUMBER(BO187)),IFERROR(BO260/BO187,""),"")</f>
        <v>0.522761531504371</v>
      </c>
      <c r="BP261" s="215">
        <f>IF(AND(ISNUMBER(BP260),ISNUMBER(BP187)),IFERROR(BP260/BP187,""),"")</f>
        <v>0.528318327040372</v>
      </c>
      <c r="BQ261" s="215">
        <f>IF(AND(ISNUMBER(BQ260),ISNUMBER(BQ187)),IFERROR(BQ260/BQ187,""),"")</f>
        <v>0.482718894009217</v>
      </c>
      <c r="BR261" s="215">
        <f>IF(AND(ISNUMBER(BR260),ISNUMBER(BR187)),IFERROR(BR260/BR187,""),"")</f>
        <v>0.513209213334315</v>
      </c>
      <c r="BS261" s="215">
        <f>IF(AND(ISNUMBER(BS260),ISNUMBER(BS187)),IFERROR(BS260/BS187,""),"")</f>
        <v>0.529190207156309</v>
      </c>
      <c r="BT261" s="215">
        <f>IF(AND(ISNUMBER(BT260),ISNUMBER(BT187)),IFERROR(BT260/BT187,""),"")</f>
        <v>0.543230016313214</v>
      </c>
      <c r="BU261" s="256">
        <f>IF(AND(ISNUMBER(BU260),ISNUMBER(BU187)),IFERROR(BU260/BU187,""),"")</f>
        <v>0.520146736251578</v>
      </c>
      <c r="BV261" s="256">
        <f>IF(AND(ISNUMBER(BV260),ISNUMBER(BV187)),IFERROR(BV260/BV187,""),"")</f>
        <v>0.478153782501165</v>
      </c>
      <c r="BW261" s="256">
        <f>IF(AND(ISNUMBER(BW260),ISNUMBER(BW187)),IFERROR(BW260/BW187,""),"")</f>
        <v>0.517964364246009</v>
      </c>
      <c r="BX261" s="256">
        <f>IF(AND(ISNUMBER(BX260),ISNUMBER(BX187)),IFERROR(BX260/BX187,""),"")</f>
        <v>0.530644271172731</v>
      </c>
      <c r="BY261" s="256">
        <f>IF(AND(ISNUMBER(BY260),ISNUMBER(BY187)),IFERROR(BY260/BY187,""),"")</f>
        <v>0.535157602835609</v>
      </c>
      <c r="BZ261" s="256">
        <f>IF(AND(ISNUMBER(BZ260),ISNUMBER(BZ187)),IFERROR(BZ260/BZ187,""),"")</f>
        <v>0.536949186875856</v>
      </c>
      <c r="CA261" s="256">
        <f>IF(AND(ISNUMBER(CA260),ISNUMBER(CA187)),IFERROR(CA260/CA187,""),"")</f>
        <v>0.539169828320479</v>
      </c>
      <c r="CB261" s="256">
        <f>IF(AND(ISNUMBER(CB260),ISNUMBER(CB187)),IFERROR(CB260/CB187,""),"")</f>
        <v>0.53981934451612</v>
      </c>
      <c r="CC261" s="153" t="n"/>
      <c r="CE261" s="37">
        <f>IFERROR(AVERAGE(BX261,BY261,BZ261,CA261,CB261),"n/m")</f>
        <v>0.536348046744159</v>
      </c>
      <c r="CF261" s="37">
        <f>IFERROR(AVERAGE(AX261,BC261,BH261,BM261,BR261),"n/m")</f>
        <v>0.494544720522763</v>
      </c>
      <c r="CG261" s="37">
        <f>IFERROR(AVERAGE(Y261,AD261,AI261,AN261,AS261,AX261,BC261,BH261,BM261,BR261),"n/m")</f>
        <v>0.489569067835694</v>
      </c>
      <c r="CH261" s="37">
        <f>IFERROR(AVERAGE(C261,D261,E261,J261,O261,T261,Y261,AD261,AI261,AN261,AS261,AX261,BC261,BH261,BM261,BR261),"n/m")</f>
        <v>0.437619469755341</v>
      </c>
    </row>
    <row r="262" ht="15" customHeight="1" s="251">
      <c r="B262" s="156" t="inlineStr">
        <is>
          <t xml:space="preserve">  Memo: severance, acquisition, disposition &amp; legal costs (cash costs adjusted out; deducted in the DCF)</t>
        </is>
      </c>
      <c r="C262" s="211">
        <f>IF(ISNUMBER(C228),C228+C229+C230+C232,"")</f>
        <v>0</v>
      </c>
      <c r="D262" s="211">
        <f>IF(ISNUMBER(D228),D228+D229+D230+D232,"")</f>
        <v>42</v>
      </c>
      <c r="E262" s="211">
        <f>IF(ISNUMBER(E228),E228+E229+E230+E232,"")</f>
        <v>226</v>
      </c>
      <c r="F262" s="211">
        <f>IF(ISNUMBER(F228),F228+F229+F230+F232,"")</f>
        <v>121</v>
      </c>
      <c r="G262" s="211">
        <f>IF(ISNUMBER(G228),G228+G229+G230+G232,"")</f>
        <v>10</v>
      </c>
      <c r="H262" s="211">
        <f>IF(ISNUMBER(H228),H228+H229+H230+H232,"")</f>
        <v>9</v>
      </c>
      <c r="I262" s="211">
        <f>IF(ISNUMBER(I228),I228+I229+I230+I232,"")</f>
        <v>28</v>
      </c>
      <c r="J262" s="211">
        <f>IF(ISNUMBER(J228),J228+J229+J230+J232,"")</f>
        <v>143</v>
      </c>
      <c r="K262" s="211">
        <f>IF(ISNUMBER(K228),K228+K229+K230+K232,"")</f>
        <v>0</v>
      </c>
      <c r="L262" s="211">
        <f>IF(ISNUMBER(L228),L228+L229+L230+L232,"")</f>
        <v>0</v>
      </c>
      <c r="M262" s="211">
        <f>IF(ISNUMBER(M228),M228+M229+M230+M232,"")</f>
        <v>110</v>
      </c>
      <c r="N262" s="211">
        <f>IF(ISNUMBER(N228),N228+N229+N230+N232,"")</f>
        <v>1593</v>
      </c>
      <c r="O262" s="211">
        <f>IF(ISNUMBER(O228),O228+O229+O230+O232,"")</f>
        <v>1702</v>
      </c>
      <c r="P262" s="211">
        <f>IF(ISNUMBER(P228),P228+P229+P230+P232,"")</f>
        <v>-6</v>
      </c>
      <c r="Q262" s="211">
        <f>IF(ISNUMBER(Q228),Q228+Q229+Q230+Q232,"")</f>
        <v>-28</v>
      </c>
      <c r="R262" s="211">
        <f>IF(ISNUMBER(R228),R228+R229+R230+R232,"")</f>
        <v>118</v>
      </c>
      <c r="S262" s="211">
        <f>IF(ISNUMBER(S228),S228+S229+S230+S232,"")</f>
        <v>55</v>
      </c>
      <c r="T262" s="211">
        <f>IF(ISNUMBER(T228),T228+T229+T230+T232,"")</f>
        <v>137</v>
      </c>
      <c r="U262" s="211">
        <f>IF(ISNUMBER(U228),U228+U229+U230+U232,"")</f>
        <v>-9</v>
      </c>
      <c r="V262" s="211">
        <f>IF(ISNUMBER(V228),V228+V229+V230+V232,"")</f>
        <v>-21</v>
      </c>
      <c r="W262" s="211">
        <f>IF(ISNUMBER(W228),W228+W229+W230+W232,"")</f>
        <v>-10</v>
      </c>
      <c r="X262" s="211">
        <f>IF(ISNUMBER(X228),X228+X229+X230+X232,"")</f>
        <v>85</v>
      </c>
      <c r="Y262" s="211">
        <f>IF(ISNUMBER(Y228),Y228+Y229+Y230+Y232,"")</f>
        <v>42</v>
      </c>
      <c r="Z262" s="211">
        <f>IF(ISNUMBER(Z228),Z228+Z229+Z230+Z232,"")</f>
        <v>2</v>
      </c>
      <c r="AA262" s="211">
        <f>IF(ISNUMBER(AA228),AA228+AA229+AA230+AA232,"")</f>
        <v>5</v>
      </c>
      <c r="AB262" s="211">
        <f>IF(ISNUMBER(AB228),AB228+AB229+AB230+AB232,"")</f>
        <v>19</v>
      </c>
      <c r="AC262" s="211">
        <f>IF(ISNUMBER(AC228),AC228+AC229+AC230+AC232,"")</f>
        <v>71</v>
      </c>
      <c r="AD262" s="211">
        <f>IF(ISNUMBER(AD228),AD228+AD229+AD230+AD232,"")</f>
        <v>99</v>
      </c>
      <c r="AE262" s="211">
        <f>IF(ISNUMBER(AE228),AE228+AE229+AE230+AE232,"")</f>
        <v>0</v>
      </c>
      <c r="AF262" s="211">
        <f>IF(ISNUMBER(AF228),AF228+AF229+AF230+AF232,"")</f>
        <v>85</v>
      </c>
      <c r="AG262" s="211">
        <f>IF(ISNUMBER(AG228),AG228+AG229+AG230+AG232,"")</f>
        <v>20</v>
      </c>
      <c r="AH262" s="211">
        <f>IF(ISNUMBER(AH228),AH228+AH229+AH230+AH232,"")</f>
        <v>26</v>
      </c>
      <c r="AI262" s="211">
        <f>IF(ISNUMBER(AI228),AI228+AI229+AI230+AI232,"")</f>
        <v>130</v>
      </c>
      <c r="AJ262" s="211">
        <f>IF(ISNUMBER(AJ228),AJ228+AJ229+AJ230+AJ232,"")</f>
        <v>7</v>
      </c>
      <c r="AK262" s="211">
        <f>IF(ISNUMBER(AK228),AK228+AK229+AK230+AK232,"")</f>
        <v>25</v>
      </c>
      <c r="AL262" s="211">
        <f>IF(ISNUMBER(AL228),AL228+AL229+AL230+AL232,"")</f>
        <v>6</v>
      </c>
      <c r="AM262" s="211">
        <f>IF(ISNUMBER(AM228),AM228+AM229+AM230+AM232,"")</f>
        <v>13</v>
      </c>
      <c r="AN262" s="211">
        <f>IF(ISNUMBER(AN228),AN228+AN229+AN230+AN232,"")</f>
        <v>50</v>
      </c>
      <c r="AO262" s="211">
        <f>IF(ISNUMBER(AO228),AO228+AO229+AO230+AO232,"")</f>
        <v>14</v>
      </c>
      <c r="AP262" s="211">
        <f>IF(ISNUMBER(AP228),AP228+AP229+AP230+AP232,"")</f>
        <v>5</v>
      </c>
      <c r="AQ262" s="211">
        <f>IF(ISNUMBER(AQ228),AQ228+AQ229+AQ230+AQ232,"")</f>
        <v>2</v>
      </c>
      <c r="AR262" s="211">
        <f>IF(ISNUMBER(AR228),AR228+AR229+AR230+AR232,"")</f>
        <v>81</v>
      </c>
      <c r="AS262" s="211">
        <f>IF(ISNUMBER(AS228),AS228+AS229+AS230+AS232,"")</f>
        <v>102</v>
      </c>
      <c r="AT262" s="211">
        <f>IF(ISNUMBER(AT228),AT228+AT229+AT230+AT232,"")</f>
        <v>51</v>
      </c>
      <c r="AU262" s="211">
        <f>IF(ISNUMBER(AU228),AU228+AU229+AU230+AU232,"")</f>
        <v>50</v>
      </c>
      <c r="AV262" s="211">
        <f>IF(ISNUMBER(AV228),AV228+AV229+AV230+AV232,"")</f>
        <v>54</v>
      </c>
      <c r="AW262" s="211">
        <f>IF(ISNUMBER(AW228),AW228+AW229+AW230+AW232,"")</f>
        <v>119</v>
      </c>
      <c r="AX262" s="211">
        <f>IF(ISNUMBER(AX228),AX228+AX229+AX230+AX232,"")</f>
        <v>274</v>
      </c>
      <c r="AY262" s="211">
        <f>IF(ISNUMBER(AY228),AY228+AY229+AY230+AY232,"")</f>
        <v>325</v>
      </c>
      <c r="AZ262" s="211">
        <f>IF(ISNUMBER(AZ228),AZ228+AZ229+AZ230+AZ232,"")</f>
        <v>203</v>
      </c>
      <c r="BA262" s="211">
        <f>IF(ISNUMBER(BA228),BA228+BA229+BA230+BA232,"")</f>
        <v>183</v>
      </c>
      <c r="BB262" s="211">
        <f>IF(ISNUMBER(BB228),BB228+BB229+BB230+BB232,"")</f>
        <v>221</v>
      </c>
      <c r="BC262" s="211">
        <f>IF(ISNUMBER(BC228),BC228+BC229+BC230+BC232,"")</f>
        <v>932</v>
      </c>
      <c r="BD262" s="211">
        <f>IF(ISNUMBER(BD228),BD228+BD229+BD230+BD232,"")</f>
        <v>91</v>
      </c>
      <c r="BE262" s="211">
        <f>IF(ISNUMBER(BE228),BE228+BE229+BE230+BE232,"")</f>
        <v>107</v>
      </c>
      <c r="BF262" s="211">
        <f>IF(ISNUMBER(BF228),BF228+BF229+BF230+BF232,"")</f>
        <v>101</v>
      </c>
      <c r="BG262" s="211">
        <f>IF(ISNUMBER(BG228),BG228+BG229+BG230+BG232,"")</f>
        <v>224</v>
      </c>
      <c r="BH262" s="211">
        <f>IF(ISNUMBER(BH228),BH228+BH229+BH230+BH232,"")</f>
        <v>522</v>
      </c>
      <c r="BI262" s="211">
        <f>IF(ISNUMBER(BI228),BI228+BI229+BI230+BI232,"")</f>
        <v>76</v>
      </c>
      <c r="BJ262" s="211">
        <f>IF(ISNUMBER(BJ228),BJ228+BJ229+BJ230+BJ232,"")</f>
        <v>66</v>
      </c>
      <c r="BK262" s="211">
        <f>IF(ISNUMBER(BK228),BK228+BK229+BK230+BK232,"")</f>
        <v>36</v>
      </c>
      <c r="BL262" s="211">
        <f>IF(ISNUMBER(BL228),BL228+BL229+BL230+BL232,"")</f>
        <v>116</v>
      </c>
      <c r="BM262" s="211">
        <f>IF(ISNUMBER(BM228),BM228+BM229+BM230+BM232,"")</f>
        <v>295</v>
      </c>
      <c r="BN262" s="211">
        <f>IF(ISNUMBER(BN228),BN228+BN229+BN230+BN232,"")</f>
        <v>54</v>
      </c>
      <c r="BO262" s="211">
        <f>IF(ISNUMBER(BO228),BO228+BO229+BO230+BO232,"")</f>
        <v>93</v>
      </c>
      <c r="BP262" s="211">
        <f>IF(ISNUMBER(BP228),BP228+BP229+BP230+BP232,"")</f>
        <v>65</v>
      </c>
      <c r="BQ262" s="211">
        <f>IF(ISNUMBER(BQ228),BQ228+BQ229+BQ230+BQ232,"")</f>
        <v>155</v>
      </c>
      <c r="BR262" s="211">
        <f>IF(ISNUMBER(BR228),BR228+BR229+BR230+BR232,"")</f>
        <v>368</v>
      </c>
      <c r="BS262" s="211">
        <f>IF(ISNUMBER(BS228),BS228+BS229+BS230+BS232,"")</f>
        <v>39</v>
      </c>
      <c r="BT262" s="211">
        <f>IF(ISNUMBER(BT228),BT228+BT229+BT230+BT232,"")</f>
        <v>109</v>
      </c>
      <c r="BU262" s="254">
        <f>IF(ISNUMBER(BU228),BU228+BU229+BU230+BU232,"")</f>
        <v>25</v>
      </c>
      <c r="BV262" s="254">
        <f>IF(ISNUMBER(BV228),BV228+BV229+BV230+BV232,"")</f>
        <v>25</v>
      </c>
      <c r="BW262" s="254">
        <f>IF(ISNUMBER(BW228),BW228+BW229+BW230+BW232,"")</f>
        <v>198</v>
      </c>
      <c r="BX262" s="254">
        <f>IF(ISNUMBER(BX228),BX228+BX229+BX230+BX232,"")</f>
        <v>50</v>
      </c>
      <c r="BY262" s="254">
        <f>IF(ISNUMBER(BY228),BY228+BY229+BY230+BY232,"")</f>
        <v>50</v>
      </c>
      <c r="BZ262" s="254">
        <f>IF(ISNUMBER(BZ228),BZ228+BZ229+BZ230+BZ232,"")</f>
        <v>50</v>
      </c>
      <c r="CA262" s="254">
        <f>IF(ISNUMBER(CA228),CA228+CA229+CA230+CA232,"")</f>
        <v>50</v>
      </c>
      <c r="CB262" s="254">
        <f>IF(ISNUMBER(CB228),CB228+CB229+CB230+CB232,"")</f>
        <v>50</v>
      </c>
      <c r="CC262" s="153" t="n"/>
    </row>
    <row r="263" ht="15" customHeight="1" s="251">
      <c r="CK263" s="11" t="n"/>
      <c r="CL263" s="12" t="n"/>
      <c r="CM263" s="12" t="n"/>
      <c r="CN263" s="12" t="n"/>
      <c r="CO263" s="13" t="n"/>
    </row>
    <row r="264" ht="15" customHeight="1" s="251">
      <c r="B264" s="10" t="inlineStr">
        <is>
          <t>RECONCILIATION: NET INCOME / DILUTED EPS → ADJUSTED NET INCOME → ADJUSTED DILUTED EPS (company definition)</t>
        </is>
      </c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  <c r="AD264" s="10" t="n"/>
      <c r="AE264" s="10" t="n"/>
      <c r="AF264" s="10" t="n"/>
      <c r="AG264" s="10" t="n"/>
      <c r="AH264" s="10" t="n"/>
      <c r="AI264" s="10" t="n"/>
      <c r="AJ264" s="10" t="n"/>
      <c r="AK264" s="10" t="n"/>
      <c r="AL264" s="10" t="n"/>
      <c r="AM264" s="10" t="n"/>
      <c r="AN264" s="10" t="n"/>
      <c r="AO264" s="10" t="n"/>
      <c r="AP264" s="10" t="n"/>
      <c r="AQ264" s="10" t="n"/>
      <c r="AR264" s="10" t="n"/>
      <c r="AS264" s="10" t="n"/>
      <c r="AT264" s="10" t="n"/>
      <c r="AU264" s="10" t="n"/>
      <c r="AV264" s="10" t="n"/>
      <c r="AW264" s="10" t="n"/>
      <c r="AX264" s="10" t="n"/>
      <c r="AY264" s="10" t="n"/>
      <c r="AZ264" s="10" t="n"/>
      <c r="BA264" s="10" t="n"/>
      <c r="BB264" s="10" t="n"/>
      <c r="BC264" s="10" t="n"/>
      <c r="BD264" s="10" t="n"/>
      <c r="BE264" s="10" t="n"/>
      <c r="BF264" s="10" t="n"/>
      <c r="BG264" s="10" t="n"/>
      <c r="BH264" s="10" t="n"/>
      <c r="BI264" s="10" t="n"/>
      <c r="BJ264" s="10" t="n"/>
      <c r="BK264" s="10" t="n"/>
      <c r="BL264" s="10" t="n"/>
      <c r="BM264" s="10" t="n"/>
      <c r="BN264" s="10" t="n"/>
      <c r="BO264" s="10" t="n"/>
      <c r="BP264" s="10" t="n"/>
      <c r="BQ264" s="10" t="n"/>
      <c r="BR264" s="10" t="n"/>
      <c r="BS264" s="10" t="n"/>
      <c r="BT264" s="10" t="n"/>
      <c r="BU264" s="10" t="n"/>
      <c r="BV264" s="10" t="n"/>
      <c r="BW264" s="10" t="n"/>
      <c r="BX264" s="10" t="n"/>
      <c r="BY264" s="10" t="n"/>
      <c r="BZ264" s="10" t="n"/>
      <c r="CA264" s="10" t="n"/>
      <c r="CB264" s="10" t="n"/>
      <c r="CC264" s="10" t="inlineStr">
        <is>
          <t>ADJUSTED EPS — GAAP net income attributable (continuing operations from 2025) + non-GAAP adjustments + deal-related amortization (pre-tax) − tax effect</t>
        </is>
      </c>
    </row>
    <row r="265" ht="15" customHeight="1" s="251">
      <c r="B265" s="16" t="inlineStr">
        <is>
          <t>Net income attributable (bridge start: continuing operations where the company starts there)</t>
        </is>
      </c>
      <c r="C265" s="277" t="n">
        <v>828</v>
      </c>
      <c r="D265" s="277" t="n">
        <v>607</v>
      </c>
      <c r="E265" s="277" t="n">
        <v>676</v>
      </c>
      <c r="F265" s="277" t="n">
        <v>153</v>
      </c>
      <c r="G265" s="277" t="n">
        <v>250</v>
      </c>
      <c r="H265" s="277" t="n">
        <v>235</v>
      </c>
      <c r="I265" s="277" t="n">
        <v>173</v>
      </c>
      <c r="J265" s="277" t="n">
        <v>812</v>
      </c>
      <c r="K265" s="277" t="n">
        <v>248</v>
      </c>
      <c r="L265" s="277" t="n">
        <v>292</v>
      </c>
      <c r="M265" s="277" t="n">
        <v>188</v>
      </c>
      <c r="N265" s="277" t="n">
        <v>-1009</v>
      </c>
      <c r="O265" s="277" t="n">
        <v>-293</v>
      </c>
      <c r="P265" s="277" t="n">
        <v>303</v>
      </c>
      <c r="Q265" s="277" t="n">
        <v>353</v>
      </c>
      <c r="R265" s="277" t="n">
        <v>252</v>
      </c>
      <c r="S265" s="277" t="n">
        <v>248</v>
      </c>
      <c r="T265" s="277" t="n">
        <v>1156</v>
      </c>
      <c r="U265" s="277" t="n">
        <v>294</v>
      </c>
      <c r="V265" s="277" t="n">
        <v>383</v>
      </c>
      <c r="W265" s="277" t="n">
        <v>892</v>
      </c>
      <c r="X265" s="277" t="n">
        <v>537</v>
      </c>
      <c r="Y265" s="277" t="n">
        <v>2106</v>
      </c>
      <c r="Z265" s="277" t="n">
        <v>399</v>
      </c>
      <c r="AA265" s="277" t="n">
        <v>421</v>
      </c>
      <c r="AB265" s="277" t="n">
        <v>414</v>
      </c>
      <c r="AC265" s="277" t="n">
        <v>263</v>
      </c>
      <c r="AD265" s="277" t="n">
        <v>1496</v>
      </c>
      <c r="AE265" s="277" t="n">
        <v>491</v>
      </c>
      <c r="AF265" s="277" t="n">
        <v>461</v>
      </c>
      <c r="AG265" s="277" t="n">
        <v>495</v>
      </c>
      <c r="AH265" s="277" t="n">
        <v>512</v>
      </c>
      <c r="AI265" s="277" t="n">
        <v>1958</v>
      </c>
      <c r="AJ265" s="277" t="n">
        <v>410</v>
      </c>
      <c r="AK265" s="277" t="n">
        <v>555</v>
      </c>
      <c r="AL265" s="277" t="n">
        <v>617</v>
      </c>
      <c r="AM265" s="277" t="n">
        <v>541</v>
      </c>
      <c r="AN265" s="277" t="n">
        <v>2123</v>
      </c>
      <c r="AO265" s="277" t="n">
        <v>639</v>
      </c>
      <c r="AP265" s="277" t="n">
        <v>792</v>
      </c>
      <c r="AQ265" s="277" t="n">
        <v>455</v>
      </c>
      <c r="AR265" s="277" t="n">
        <v>454</v>
      </c>
      <c r="AS265" s="277" t="n">
        <v>2339</v>
      </c>
      <c r="AT265" s="277" t="n">
        <v>755</v>
      </c>
      <c r="AU265" s="277" t="n">
        <v>798</v>
      </c>
      <c r="AV265" s="277" t="n">
        <v>797</v>
      </c>
      <c r="AW265" s="277" t="n">
        <v>675</v>
      </c>
      <c r="AX265" s="277" t="n">
        <v>3024</v>
      </c>
      <c r="AY265" s="277" t="n">
        <v>1235</v>
      </c>
      <c r="AZ265" s="277" t="n">
        <v>972</v>
      </c>
      <c r="BA265" s="277" t="n">
        <v>608</v>
      </c>
      <c r="BB265" s="277" t="n">
        <v>433</v>
      </c>
      <c r="BC265" s="277" t="n">
        <v>3248</v>
      </c>
      <c r="BD265" s="277" t="n">
        <v>795</v>
      </c>
      <c r="BE265" s="277" t="n">
        <v>511</v>
      </c>
      <c r="BF265" s="277" t="n">
        <v>742</v>
      </c>
      <c r="BG265" s="277" t="n">
        <v>579</v>
      </c>
      <c r="BH265" s="277" t="n">
        <v>2626</v>
      </c>
      <c r="BI265" s="277" t="n">
        <v>991</v>
      </c>
      <c r="BJ265" s="277" t="n">
        <v>1011</v>
      </c>
      <c r="BK265" s="277" t="n">
        <v>971</v>
      </c>
      <c r="BL265" s="277" t="n">
        <v>880</v>
      </c>
      <c r="BM265" s="277" t="n">
        <v>3852</v>
      </c>
      <c r="BN265" s="277" t="n">
        <v>1008</v>
      </c>
      <c r="BO265" s="277" t="n">
        <v>988</v>
      </c>
      <c r="BP265" s="277" t="n">
        <v>1084</v>
      </c>
      <c r="BQ265" s="277" t="n">
        <v>1112</v>
      </c>
      <c r="BR265" s="277" t="n">
        <v>4192</v>
      </c>
      <c r="BS265" s="277" t="n">
        <v>1334</v>
      </c>
      <c r="BT265" s="277" t="n">
        <v>1205</v>
      </c>
      <c r="BU265" s="261">
        <f>BU208</f>
        <v>1091.1646270058</v>
      </c>
      <c r="BV265" s="261">
        <f>BV208</f>
        <v>1173.08804618697</v>
      </c>
      <c r="BW265" s="261">
        <f>SUM(BS265:BV265)</f>
        <v>4803.25267319277</v>
      </c>
      <c r="BX265" s="261">
        <f>BX208</f>
        <v>4909.86626196173</v>
      </c>
      <c r="BY265" s="261">
        <f>BY208</f>
        <v>5370.7685669663</v>
      </c>
      <c r="BZ265" s="261">
        <f>BZ208</f>
        <v>5783.87968570179</v>
      </c>
      <c r="CA265" s="261">
        <f>CA208</f>
        <v>6226.58884841112</v>
      </c>
      <c r="CB265" s="261">
        <f>CB208</f>
        <v>6683.14213088727</v>
      </c>
      <c r="CC265" s="153" t="inlineStr">
        <is>
          <t>As published: total net income attributable 2013–24 (continuing operations in 2013 and 2025+ pro forma).</t>
        </is>
      </c>
    </row>
    <row r="266" ht="15" customHeight="1" s="251">
      <c r="B266" s="25" t="inlineStr">
        <is>
          <t xml:space="preserve">  (+) Non-GAAP adjustments in OP (pre-tax)</t>
        </is>
      </c>
      <c r="C266" s="211">
        <f>C235</f>
        <v>0</v>
      </c>
      <c r="D266" s="211">
        <f>D235</f>
        <v>42</v>
      </c>
      <c r="E266" s="211">
        <f>E235</f>
        <v>174</v>
      </c>
      <c r="F266" s="211">
        <f>F235</f>
        <v>121</v>
      </c>
      <c r="G266" s="211">
        <f>G235</f>
        <v>10</v>
      </c>
      <c r="H266" s="211">
        <f>H235</f>
        <v>-11</v>
      </c>
      <c r="I266" s="211">
        <f>I235</f>
        <v>77</v>
      </c>
      <c r="J266" s="211">
        <f>J235</f>
        <v>197</v>
      </c>
      <c r="K266" s="211">
        <f>K235</f>
        <v>0</v>
      </c>
      <c r="L266" s="211">
        <f>L235</f>
        <v>0</v>
      </c>
      <c r="M266" s="211">
        <f>M235</f>
        <v>109</v>
      </c>
      <c r="N266" s="211">
        <f>N235</f>
        <v>1592</v>
      </c>
      <c r="O266" s="211">
        <f>O235</f>
        <v>1702</v>
      </c>
      <c r="P266" s="211">
        <f>P235</f>
        <v>-6</v>
      </c>
      <c r="Q266" s="211">
        <f>Q235</f>
        <v>-30</v>
      </c>
      <c r="R266" s="211">
        <f>R235</f>
        <v>118</v>
      </c>
      <c r="S266" s="211">
        <f>S235</f>
        <v>54</v>
      </c>
      <c r="T266" s="211">
        <f>T235</f>
        <v>136</v>
      </c>
      <c r="U266" s="211">
        <f>U235</f>
        <v>14</v>
      </c>
      <c r="V266" s="211">
        <f>V235</f>
        <v>-22</v>
      </c>
      <c r="W266" s="211">
        <f>W235</f>
        <v>-733</v>
      </c>
      <c r="X266" s="211">
        <f>X235</f>
        <v>-293</v>
      </c>
      <c r="Y266" s="211">
        <f>Y235</f>
        <v>-1034</v>
      </c>
      <c r="Z266" s="211">
        <f>Z235</f>
        <v>17</v>
      </c>
      <c r="AA266" s="211">
        <f>AA235</f>
        <v>13</v>
      </c>
      <c r="AB266" s="211">
        <f>AB235</f>
        <v>19</v>
      </c>
      <c r="AC266" s="211">
        <f>AC235</f>
        <v>99</v>
      </c>
      <c r="AD266" s="211">
        <f>AD235</f>
        <v>149</v>
      </c>
      <c r="AE266" s="211">
        <f>AE235</f>
        <v>0</v>
      </c>
      <c r="AF266" s="211">
        <f>AF235</f>
        <v>85</v>
      </c>
      <c r="AG266" s="211">
        <f>AG235</f>
        <v>30</v>
      </c>
      <c r="AH266" s="211">
        <f>AH235</f>
        <v>26</v>
      </c>
      <c r="AI266" s="211">
        <f>AI235</f>
        <v>140</v>
      </c>
      <c r="AJ266" s="211">
        <f>AJ235</f>
        <v>6</v>
      </c>
      <c r="AK266" s="211">
        <f>AK235</f>
        <v>30</v>
      </c>
      <c r="AL266" s="211">
        <f>AL235</f>
        <v>-43</v>
      </c>
      <c r="AM266" s="211">
        <f>AM235</f>
        <v>18</v>
      </c>
      <c r="AN266" s="211">
        <f>AN235</f>
        <v>12</v>
      </c>
      <c r="AO266" s="211">
        <f>AO235</f>
        <v>7</v>
      </c>
      <c r="AP266" s="211">
        <f>AP235</f>
        <v>4</v>
      </c>
      <c r="AQ266" s="211">
        <f>AQ235</f>
        <v>0</v>
      </c>
      <c r="AR266" s="211">
        <f>AR235</f>
        <v>218</v>
      </c>
      <c r="AS266" s="211">
        <f>AS235</f>
        <v>227</v>
      </c>
      <c r="AT266" s="211">
        <f>AT235</f>
        <v>50</v>
      </c>
      <c r="AU266" s="211">
        <f>AU235</f>
        <v>52</v>
      </c>
      <c r="AV266" s="211">
        <f>AV235</f>
        <v>51</v>
      </c>
      <c r="AW266" s="211">
        <f>AW235</f>
        <v>111</v>
      </c>
      <c r="AX266" s="211">
        <f>AX235</f>
        <v>264</v>
      </c>
      <c r="AY266" s="211">
        <f>AY235</f>
        <v>-816</v>
      </c>
      <c r="AZ266" s="211">
        <f>AZ235</f>
        <v>-362</v>
      </c>
      <c r="BA266" s="211">
        <f>BA235</f>
        <v>185</v>
      </c>
      <c r="BB266" s="211">
        <f>BB235</f>
        <v>222</v>
      </c>
      <c r="BC266" s="211">
        <f>BC235</f>
        <v>-771</v>
      </c>
      <c r="BD266" s="211">
        <f>BD235</f>
        <v>41</v>
      </c>
      <c r="BE266" s="211">
        <f>BE235</f>
        <v>246</v>
      </c>
      <c r="BF266" s="211">
        <f>BF235</f>
        <v>102</v>
      </c>
      <c r="BG266" s="211">
        <f>BG235</f>
        <v>227</v>
      </c>
      <c r="BH266" s="211">
        <f>BH235</f>
        <v>615</v>
      </c>
      <c r="BI266" s="211">
        <f>BI235</f>
        <v>75</v>
      </c>
      <c r="BJ266" s="211">
        <f>BJ235</f>
        <v>67</v>
      </c>
      <c r="BK266" s="211">
        <f>BK235</f>
        <v>25</v>
      </c>
      <c r="BL266" s="211">
        <f>BL235</f>
        <v>80</v>
      </c>
      <c r="BM266" s="211">
        <f>BM235</f>
        <v>245</v>
      </c>
      <c r="BN266" s="211">
        <f>BN235</f>
        <v>51</v>
      </c>
      <c r="BO266" s="211">
        <f>BO235</f>
        <v>76</v>
      </c>
      <c r="BP266" s="211">
        <f>BP235</f>
        <v>51</v>
      </c>
      <c r="BQ266" s="211">
        <f>BQ235</f>
        <v>-153</v>
      </c>
      <c r="BR266" s="211">
        <f>BR235</f>
        <v>28</v>
      </c>
      <c r="BS266" s="211">
        <f>BS235</f>
        <v>-160</v>
      </c>
      <c r="BT266" s="211">
        <f>BT235</f>
        <v>42</v>
      </c>
      <c r="BU266" s="254">
        <f>BU235</f>
        <v>25</v>
      </c>
      <c r="BV266" s="254">
        <f>BV235</f>
        <v>-225</v>
      </c>
      <c r="BW266" s="254">
        <f>BW235</f>
        <v>-318</v>
      </c>
      <c r="BX266" s="254">
        <f>BX235</f>
        <v>50</v>
      </c>
      <c r="BY266" s="254">
        <f>BY235</f>
        <v>50</v>
      </c>
      <c r="BZ266" s="254">
        <f>BZ235</f>
        <v>50</v>
      </c>
      <c r="CA266" s="254">
        <f>CA235</f>
        <v>50</v>
      </c>
      <c r="CB266" s="254">
        <f>CB235</f>
        <v>50</v>
      </c>
      <c r="CC266" s="19" t="n"/>
    </row>
    <row r="267" ht="15" customHeight="1" s="251">
      <c r="B267" s="25" t="inlineStr">
        <is>
          <t xml:space="preserve">  (+) Deal-related amortization (pre-tax)</t>
        </is>
      </c>
      <c r="C267" s="211">
        <f>C170</f>
        <v>0</v>
      </c>
      <c r="D267" s="211">
        <f>D170</f>
        <v>0</v>
      </c>
      <c r="E267" s="211">
        <f>E170</f>
        <v>0</v>
      </c>
      <c r="F267" s="211">
        <f>F170</f>
        <v>0</v>
      </c>
      <c r="G267" s="211">
        <f>G170</f>
        <v>0</v>
      </c>
      <c r="H267" s="211">
        <f>H170</f>
        <v>0</v>
      </c>
      <c r="I267" s="211">
        <f>I170</f>
        <v>0</v>
      </c>
      <c r="J267" s="211">
        <f>J170</f>
        <v>0</v>
      </c>
      <c r="K267" s="211">
        <f>K170</f>
        <v>0</v>
      </c>
      <c r="L267" s="211">
        <f>L170</f>
        <v>0</v>
      </c>
      <c r="M267" s="211">
        <f>M170</f>
        <v>0</v>
      </c>
      <c r="N267" s="211">
        <f>N170</f>
        <v>0</v>
      </c>
      <c r="O267" s="211">
        <f>O170</f>
        <v>0</v>
      </c>
      <c r="P267" s="211">
        <f>P170</f>
        <v>0</v>
      </c>
      <c r="Q267" s="211">
        <f>Q170</f>
        <v>0</v>
      </c>
      <c r="R267" s="211">
        <f>R170</f>
        <v>0</v>
      </c>
      <c r="S267" s="211">
        <f>S170</f>
        <v>0</v>
      </c>
      <c r="T267" s="211">
        <f>T170</f>
        <v>0</v>
      </c>
      <c r="U267" s="211">
        <f>U170</f>
        <v>24</v>
      </c>
      <c r="V267" s="211">
        <f>V170</f>
        <v>23</v>
      </c>
      <c r="W267" s="211">
        <f>W170</f>
        <v>23</v>
      </c>
      <c r="X267" s="211">
        <f>X170</f>
        <v>25</v>
      </c>
      <c r="Y267" s="211">
        <f>Y170</f>
        <v>96</v>
      </c>
      <c r="Z267" s="211">
        <f>Z170</f>
        <v>24</v>
      </c>
      <c r="AA267" s="211">
        <f>AA170</f>
        <v>25</v>
      </c>
      <c r="AB267" s="211">
        <f>AB170</f>
        <v>24</v>
      </c>
      <c r="AC267" s="211">
        <f>AC170</f>
        <v>25</v>
      </c>
      <c r="AD267" s="211">
        <f>AD170</f>
        <v>98</v>
      </c>
      <c r="AE267" s="211">
        <f>AE170</f>
        <v>24</v>
      </c>
      <c r="AF267" s="211">
        <f>AF170</f>
        <v>33</v>
      </c>
      <c r="AG267" s="211">
        <f>AG170</f>
        <v>33</v>
      </c>
      <c r="AH267" s="211">
        <f>AH170</f>
        <v>31</v>
      </c>
      <c r="AI267" s="211">
        <f>AI170</f>
        <v>122</v>
      </c>
      <c r="AJ267" s="211">
        <f>AJ170</f>
        <v>32</v>
      </c>
      <c r="AK267" s="211">
        <f>AK170</f>
        <v>31</v>
      </c>
      <c r="AL267" s="211">
        <f>AL170</f>
        <v>29</v>
      </c>
      <c r="AM267" s="211">
        <f>AM170</f>
        <v>30</v>
      </c>
      <c r="AN267" s="211">
        <f>AN170</f>
        <v>122</v>
      </c>
      <c r="AO267" s="211">
        <f>AO170</f>
        <v>29</v>
      </c>
      <c r="AP267" s="211">
        <f>AP170</f>
        <v>32</v>
      </c>
      <c r="AQ267" s="211">
        <f>AQ170</f>
        <v>32</v>
      </c>
      <c r="AR267" s="211">
        <f>AR170</f>
        <v>29</v>
      </c>
      <c r="AS267" s="211">
        <f>AS170</f>
        <v>123</v>
      </c>
      <c r="AT267" s="211">
        <f>AT170</f>
        <v>31</v>
      </c>
      <c r="AU267" s="211">
        <f>AU170</f>
        <v>22</v>
      </c>
      <c r="AV267" s="211">
        <f>AV170</f>
        <v>21</v>
      </c>
      <c r="AW267" s="211">
        <f>AW170</f>
        <v>21</v>
      </c>
      <c r="AX267" s="211">
        <f>AX170</f>
        <v>96</v>
      </c>
      <c r="AY267" s="211">
        <f>AY170</f>
        <v>125</v>
      </c>
      <c r="AZ267" s="211">
        <f>AZ170</f>
        <v>282</v>
      </c>
      <c r="BA267" s="211">
        <f>BA170</f>
        <v>280</v>
      </c>
      <c r="BB267" s="211">
        <f>BB170</f>
        <v>272</v>
      </c>
      <c r="BC267" s="211">
        <f>BC170</f>
        <v>959</v>
      </c>
      <c r="BD267" s="211">
        <f>BD170</f>
        <v>275</v>
      </c>
      <c r="BE267" s="211">
        <f>BE170</f>
        <v>275</v>
      </c>
      <c r="BF267" s="211">
        <f>BF170</f>
        <v>274</v>
      </c>
      <c r="BG267" s="211">
        <f>BG170</f>
        <v>273</v>
      </c>
      <c r="BH267" s="211">
        <f>BH170</f>
        <v>1097</v>
      </c>
      <c r="BI267" s="211">
        <f>BI170</f>
        <v>278</v>
      </c>
      <c r="BJ267" s="211">
        <f>BJ170</f>
        <v>281</v>
      </c>
      <c r="BK267" s="211">
        <f>BK170</f>
        <v>285</v>
      </c>
      <c r="BL267" s="211">
        <f>BL170</f>
        <v>288</v>
      </c>
      <c r="BM267" s="211">
        <f>BM170</f>
        <v>1133</v>
      </c>
      <c r="BN267" s="211">
        <f>BN170</f>
        <v>205</v>
      </c>
      <c r="BO267" s="211">
        <f>BO170</f>
        <v>208</v>
      </c>
      <c r="BP267" s="211">
        <f>BP170</f>
        <v>203</v>
      </c>
      <c r="BQ267" s="211">
        <f>BQ170</f>
        <v>191</v>
      </c>
      <c r="BR267" s="211">
        <f>BR170</f>
        <v>806</v>
      </c>
      <c r="BS267" s="211">
        <f>BS170</f>
        <v>200</v>
      </c>
      <c r="BT267" s="211">
        <f>BT170</f>
        <v>199</v>
      </c>
      <c r="BU267" s="254">
        <f>BU170</f>
        <v>193</v>
      </c>
      <c r="BV267" s="254">
        <f>BV170</f>
        <v>193</v>
      </c>
      <c r="BW267" s="254">
        <f>BW170</f>
        <v>785</v>
      </c>
      <c r="BX267" s="254">
        <f>BX170</f>
        <v>796.833333333333</v>
      </c>
      <c r="BY267" s="254">
        <f>BY170</f>
        <v>790.5</v>
      </c>
      <c r="BZ267" s="254">
        <f>BZ170</f>
        <v>776.166666666667</v>
      </c>
      <c r="CA267" s="254">
        <f>CA170</f>
        <v>761.833333333333</v>
      </c>
      <c r="CB267" s="254">
        <f>CB170</f>
        <v>748.5</v>
      </c>
      <c r="CC267" s="19" t="n"/>
    </row>
    <row r="268" ht="15" customHeight="1" s="251">
      <c r="B268" s="25" t="inlineStr">
        <is>
          <t xml:space="preserve">  (+) Adjustments below OP (pre-tax: premium amortization benefit, pension / investment items)</t>
        </is>
      </c>
      <c r="C268" s="211">
        <f>C184</f>
        <v>0</v>
      </c>
      <c r="D268" s="211">
        <f>D184</f>
        <v>0</v>
      </c>
      <c r="E268" s="211">
        <f>E184</f>
        <v>0</v>
      </c>
      <c r="F268" s="211">
        <f>F184</f>
        <v>0</v>
      </c>
      <c r="G268" s="211">
        <f>G184</f>
        <v>0</v>
      </c>
      <c r="H268" s="211">
        <f>H184</f>
        <v>0</v>
      </c>
      <c r="I268" s="211">
        <f>I184</f>
        <v>0</v>
      </c>
      <c r="J268" s="211">
        <f>J184</f>
        <v>0</v>
      </c>
      <c r="K268" s="211">
        <f>K184</f>
        <v>0</v>
      </c>
      <c r="L268" s="211">
        <f>L184</f>
        <v>0</v>
      </c>
      <c r="M268" s="211">
        <f>M184</f>
        <v>0</v>
      </c>
      <c r="N268" s="211">
        <f>N184</f>
        <v>0</v>
      </c>
      <c r="O268" s="211">
        <f>O184</f>
        <v>0</v>
      </c>
      <c r="P268" s="211">
        <f>P184</f>
        <v>0</v>
      </c>
      <c r="Q268" s="211">
        <f>Q184</f>
        <v>0</v>
      </c>
      <c r="R268" s="211">
        <f>R184</f>
        <v>0</v>
      </c>
      <c r="S268" s="211">
        <f>S184</f>
        <v>0</v>
      </c>
      <c r="T268" s="211">
        <f>T184</f>
        <v>0</v>
      </c>
      <c r="U268" s="211">
        <f>U184</f>
        <v>0</v>
      </c>
      <c r="V268" s="211">
        <f>V184</f>
        <v>0</v>
      </c>
      <c r="W268" s="211">
        <f>W184</f>
        <v>0</v>
      </c>
      <c r="X268" s="211">
        <f>X184</f>
        <v>21</v>
      </c>
      <c r="Y268" s="211">
        <f>Y184</f>
        <v>21</v>
      </c>
      <c r="Z268" s="211">
        <f>Z184</f>
        <v>0</v>
      </c>
      <c r="AA268" s="211">
        <f>AA184</f>
        <v>0</v>
      </c>
      <c r="AB268" s="211">
        <f>AB184</f>
        <v>0</v>
      </c>
      <c r="AC268" s="211">
        <f>AC184</f>
        <v>0</v>
      </c>
      <c r="AD268" s="211">
        <f>AD184</f>
        <v>0</v>
      </c>
      <c r="AE268" s="211">
        <f>AE184</f>
        <v>0</v>
      </c>
      <c r="AF268" s="211">
        <f>AF184</f>
        <v>0</v>
      </c>
      <c r="AG268" s="211">
        <f>AG184</f>
        <v>0</v>
      </c>
      <c r="AH268" s="211">
        <f>AH184</f>
        <v>5</v>
      </c>
      <c r="AI268" s="211">
        <f>AI184</f>
        <v>5</v>
      </c>
      <c r="AJ268" s="211">
        <f>AJ184</f>
        <v>113</v>
      </c>
      <c r="AK268" s="211">
        <f>AK184</f>
        <v>0</v>
      </c>
      <c r="AL268" s="211">
        <f>AL184</f>
        <v>0</v>
      </c>
      <c r="AM268" s="211">
        <f>AM184</f>
        <v>57</v>
      </c>
      <c r="AN268" s="211">
        <f>AN184</f>
        <v>170</v>
      </c>
      <c r="AO268" s="211">
        <f>AO184</f>
        <v>0</v>
      </c>
      <c r="AP268" s="211">
        <f>AP184</f>
        <v>3</v>
      </c>
      <c r="AQ268" s="211">
        <f>AQ184</f>
        <v>279</v>
      </c>
      <c r="AR268" s="211">
        <f>AR184</f>
        <v>0</v>
      </c>
      <c r="AS268" s="211">
        <f>AS184</f>
        <v>282</v>
      </c>
      <c r="AT268" s="211">
        <f>AT184</f>
        <v>0</v>
      </c>
      <c r="AU268" s="211">
        <f>AU184</f>
        <v>0</v>
      </c>
      <c r="AV268" s="211">
        <f>AV184</f>
        <v>0</v>
      </c>
      <c r="AW268" s="211">
        <f>AW184</f>
        <v>0</v>
      </c>
      <c r="AX268" s="211">
        <f>AX184</f>
        <v>0</v>
      </c>
      <c r="AY268" s="211">
        <f>AY184</f>
        <v>17</v>
      </c>
      <c r="AZ268" s="211">
        <f>AZ184</f>
        <v>2</v>
      </c>
      <c r="BA268" s="211">
        <f>BA184</f>
        <v>-4</v>
      </c>
      <c r="BB268" s="211">
        <f>BB184</f>
        <v>6</v>
      </c>
      <c r="BC268" s="211">
        <f>BC184</f>
        <v>21</v>
      </c>
      <c r="BD268" s="211">
        <f>BD184</f>
        <v>-7</v>
      </c>
      <c r="BE268" s="211">
        <f>BE184</f>
        <v>-6</v>
      </c>
      <c r="BF268" s="211">
        <f>BF184</f>
        <v>-7</v>
      </c>
      <c r="BG268" s="211">
        <f>BG184</f>
        <v>16</v>
      </c>
      <c r="BH268" s="211">
        <f>BH184</f>
        <v>-4</v>
      </c>
      <c r="BI268" s="211">
        <f>BI184</f>
        <v>-7</v>
      </c>
      <c r="BJ268" s="211">
        <f>BJ184</f>
        <v>-6</v>
      </c>
      <c r="BK268" s="211">
        <f>BK184</f>
        <v>-6</v>
      </c>
      <c r="BL268" s="211">
        <f>BL184</f>
        <v>0</v>
      </c>
      <c r="BM268" s="211">
        <f>BM184</f>
        <v>-20</v>
      </c>
      <c r="BN268" s="211">
        <f>BN184</f>
        <v>-6</v>
      </c>
      <c r="BO268" s="211">
        <f>BO184</f>
        <v>-6</v>
      </c>
      <c r="BP268" s="211">
        <f>BP184</f>
        <v>-6</v>
      </c>
      <c r="BQ268" s="211">
        <f>BQ184</f>
        <v>-6</v>
      </c>
      <c r="BR268" s="211">
        <f>BR184</f>
        <v>-26</v>
      </c>
      <c r="BS268" s="211">
        <f>BS184</f>
        <v>-6</v>
      </c>
      <c r="BT268" s="211">
        <f>BT184</f>
        <v>-6</v>
      </c>
      <c r="BU268" s="254">
        <f>BU184</f>
        <v>-6</v>
      </c>
      <c r="BV268" s="254">
        <f>BV184</f>
        <v>-6</v>
      </c>
      <c r="BW268" s="254">
        <f>BW184</f>
        <v>-24</v>
      </c>
      <c r="BX268" s="254">
        <f>BX184</f>
        <v>-24</v>
      </c>
      <c r="BY268" s="254">
        <f>BY184</f>
        <v>-24</v>
      </c>
      <c r="BZ268" s="254">
        <f>BZ184</f>
        <v>-24</v>
      </c>
      <c r="CA268" s="254">
        <f>CA184</f>
        <v>-24</v>
      </c>
      <c r="CB268" s="254">
        <f>CB184</f>
        <v>-24</v>
      </c>
      <c r="CC268" s="19" t="n"/>
    </row>
    <row r="269" ht="15" customHeight="1" s="251">
      <c r="B269" s="25" t="inlineStr">
        <is>
          <t xml:space="preserve">  (−) Tax effect of the adjustments &amp; discrete tax items (incl. NCI share, rounding)</t>
        </is>
      </c>
      <c r="C269" s="211">
        <f>IF(ISNUMBER(C271),C271-C265-N(C266)-N(C267)-N(C268),IF(ISNUMBER(C272),C272-C265-N(C266)-N(C267)-N(C268),""))</f>
      </c>
      <c r="D269" s="211">
        <f>IF(ISNUMBER(D271),D271-D265-N(D266)-N(D267)-N(D268),IF(ISNUMBER(D272),D272-D265-N(D266)-N(D267)-N(D268),""))</f>
        <v>-15</v>
      </c>
      <c r="E269" s="211">
        <f>IF(ISNUMBER(E271),E271-E265-N(E266)-N(E267)-N(E268),IF(ISNUMBER(E272),E272-E265-N(E266)-N(E267)-N(E268),""))</f>
        <v>-67</v>
      </c>
      <c r="F269" s="211">
        <f>IF(ISNUMBER(F271),F271-F265-N(F266)-N(F267)-N(F268),IF(ISNUMBER(F272),F272-F265-N(F266)-N(F267)-N(F268),""))</f>
        <v>-46</v>
      </c>
      <c r="G269" s="211">
        <f>IF(ISNUMBER(G271),G271-G265-N(G266)-N(G267)-N(G268),IF(ISNUMBER(G272),G272-G265-N(G266)-N(G267)-N(G268),""))</f>
        <v>-3</v>
      </c>
      <c r="H269" s="211">
        <f>IF(ISNUMBER(H271),H271-H265-N(H266)-N(H267)-N(H268),IF(ISNUMBER(H272),H272-H265-N(H266)-N(H267)-N(H268),""))</f>
        <v>-2</v>
      </c>
      <c r="I269" s="211">
        <f>IF(ISNUMBER(I271),I271-I265-N(I266)-N(I267)-N(I268),IF(ISNUMBER(I272),I272-I265-N(I266)-N(I267)-N(I268),""))</f>
        <v>-27</v>
      </c>
      <c r="J269" s="211">
        <f>IF(ISNUMBER(J271),J271-J265-N(J266)-N(J267)-N(J268),IF(ISNUMBER(J272),J272-J265-N(J266)-N(J267)-N(J268),""))</f>
        <v>-78</v>
      </c>
      <c r="K269" s="211">
        <f>IF(ISNUMBER(K271),K271-K265-N(K266)-N(K267)-N(K268),IF(ISNUMBER(K272),K272-K265-N(K266)-N(K267)-N(K268),""))</f>
        <v>0</v>
      </c>
      <c r="L269" s="211">
        <f>IF(ISNUMBER(L271),L271-L265-N(L266)-N(L267)-N(L268),IF(ISNUMBER(L272),L272-L265-N(L266)-N(L267)-N(L268),""))</f>
        <v>0</v>
      </c>
      <c r="M269" s="211">
        <f>IF(ISNUMBER(M271),M271-M265-N(M266)-N(M267)-N(M268),IF(ISNUMBER(M272),M272-M265-N(M266)-N(M267)-N(M268),""))</f>
        <v>-16</v>
      </c>
      <c r="N269" s="211">
        <f>IF(ISNUMBER(N271),N271-N265-N(N266)-N(N267)-N(N268),IF(ISNUMBER(N272),N272-N265-N(N266)-N(N267)-N(N268),""))</f>
        <v>-319</v>
      </c>
      <c r="O269" s="211">
        <f>IF(ISNUMBER(O271),O271-O265-N(O266)-N(O267)-N(O268),IF(ISNUMBER(O272),O272-O265-N(O266)-N(O267)-N(O268),""))</f>
        <v>-336</v>
      </c>
      <c r="P269" s="211">
        <f>IF(ISNUMBER(P271),P271-P265-N(P266)-N(P267)-N(P268),IF(ISNUMBER(P272),P272-P265-N(P266)-N(P267)-N(P268),""))</f>
        <v>2</v>
      </c>
      <c r="Q269" s="211">
        <f>IF(ISNUMBER(Q271),Q271-Q265-N(Q266)-N(Q267)-N(Q268),IF(ISNUMBER(Q272),Q272-Q265-N(Q266)-N(Q267)-N(Q268),""))</f>
        <v>12</v>
      </c>
      <c r="R269" s="211">
        <f>IF(ISNUMBER(R271),R271-R265-N(R266)-N(R267)-N(R268),IF(ISNUMBER(R272),R272-R265-N(R266)-N(R267)-N(R268),""))</f>
        <v>-45</v>
      </c>
      <c r="S269" s="211">
        <f>IF(ISNUMBER(S271),S271-S265-N(S266)-N(S267)-N(S268),IF(ISNUMBER(S272),S272-S265-N(S266)-N(S267)-N(S268),""))</f>
        <v>-18</v>
      </c>
      <c r="T269" s="211">
        <f>IF(ISNUMBER(T271),T271-T265-N(T266)-N(T267)-N(T268),IF(ISNUMBER(T272),T272-T265-N(T266)-N(T267)-N(T268),""))</f>
        <v>-48</v>
      </c>
      <c r="U269" s="211">
        <f>IF(ISNUMBER(U271),U271-U265-N(U266)-N(U267)-N(U268),IF(ISNUMBER(U272),U272-U265-N(U266)-N(U267)-N(U268),""))</f>
        <v>-12</v>
      </c>
      <c r="V269" s="211">
        <f>IF(ISNUMBER(V271),V271-V265-N(V266)-N(V267)-N(V268),IF(ISNUMBER(V272),V272-V265-N(V266)-N(V267)-N(V268),""))</f>
        <v>1</v>
      </c>
      <c r="W269" s="211">
        <f>IF(ISNUMBER(W271),W271-W265-N(W266)-N(W267)-N(W268),IF(ISNUMBER(W272),W272-W265-N(W266)-N(W267)-N(W268),""))</f>
        <v>199</v>
      </c>
      <c r="X269" s="211">
        <f>IF(ISNUMBER(X271),X271-X265-N(X266)-N(X267)-N(X268),IF(ISNUMBER(X272),X272-X265-N(X266)-N(X267)-N(X268),""))</f>
        <v>44</v>
      </c>
      <c r="Y269" s="211">
        <f>IF(ISNUMBER(Y271),Y271-Y265-N(Y266)-N(Y267)-N(Y268),IF(ISNUMBER(Y272),Y272-Y265-N(Y266)-N(Y267)-N(Y268),""))</f>
        <v>231</v>
      </c>
      <c r="Z269" s="211">
        <f>IF(ISNUMBER(Z271),Z271-Z265-N(Z266)-N(Z267)-N(Z268),IF(ISNUMBER(Z272),Z272-Z265-N(Z266)-N(Z267)-N(Z268),""))</f>
        <v>-18</v>
      </c>
      <c r="AA269" s="211">
        <f>IF(ISNUMBER(AA271),AA271-AA265-N(AA266)-N(AA267)-N(AA268),IF(ISNUMBER(AA272),AA272-AA265-N(AA266)-N(AA267)-N(AA268),""))</f>
        <v>-13</v>
      </c>
      <c r="AB269" s="211">
        <f>IF(ISNUMBER(AB271),AB271-AB265-N(AB266)-N(AB267)-N(AB268),IF(ISNUMBER(AB272),AB272-AB265-N(AB266)-N(AB267)-N(AB268),""))</f>
        <v>-15</v>
      </c>
      <c r="AC269" s="211">
        <f>IF(ISNUMBER(AC271),AC271-AC265-N(AC266)-N(AC267)-N(AC268),IF(ISNUMBER(AC272),AC272-AC265-N(AC266)-N(AC267)-N(AC268),""))</f>
        <v>87</v>
      </c>
      <c r="AD269" s="211">
        <f>IF(ISNUMBER(AD271),AD271-AD265-N(AD266)-N(AD267)-N(AD268),IF(ISNUMBER(AD272),AD272-AD265-N(AD266)-N(AD267)-N(AD268),""))</f>
        <v>41</v>
      </c>
      <c r="AE269" s="211">
        <f>IF(ISNUMBER(AE271),AE271-AE265-N(AE266)-N(AE267)-N(AE268),IF(ISNUMBER(AE272),AE272-AE265-N(AE266)-N(AE267)-N(AE268),""))</f>
        <v>-6</v>
      </c>
      <c r="AF269" s="211">
        <f>IF(ISNUMBER(AF271),AF271-AF265-N(AF266)-N(AF267)-N(AF268),IF(ISNUMBER(AF272),AF272-AF265-N(AF266)-N(AF267)-N(AF268),""))</f>
        <v>-30</v>
      </c>
      <c r="AG269" s="211">
        <f>IF(ISNUMBER(AG271),AG271-AG265-N(AG266)-N(AG267)-N(AG268),IF(ISNUMBER(AG272),AG272-AG265-N(AG266)-N(AG267)-N(AG268),""))</f>
        <v>-22</v>
      </c>
      <c r="AH269" s="211">
        <f>IF(ISNUMBER(AH271),AH271-AH265-N(AH266)-N(AH267)-N(AH268),IF(ISNUMBER(AH272),AH272-AH265-N(AH266)-N(AH267)-N(AH268),""))</f>
        <v>-15</v>
      </c>
      <c r="AI269" s="211">
        <f>IF(ISNUMBER(AI271),AI271-AI265-N(AI266)-N(AI267)-N(AI268),IF(ISNUMBER(AI272),AI272-AI265-N(AI266)-N(AI267)-N(AI268),""))</f>
        <v>-73</v>
      </c>
      <c r="AJ269" s="211">
        <f>IF(ISNUMBER(AJ271),AJ271-AJ265-N(AJ266)-N(AJ267)-N(AJ268),IF(ISNUMBER(AJ272),AJ272-AJ265-N(AJ266)-N(AJ267)-N(AJ268),""))</f>
        <v>-37</v>
      </c>
      <c r="AK269" s="211">
        <f>IF(ISNUMBER(AK271),AK271-AK265-N(AK266)-N(AK267)-N(AK268),IF(ISNUMBER(AK272),AK272-AK265-N(AK266)-N(AK267)-N(AK268),""))</f>
        <v>-15</v>
      </c>
      <c r="AL269" s="211">
        <f>IF(ISNUMBER(AL271),AL271-AL265-N(AL266)-N(AL267)-N(AL268),IF(ISNUMBER(AL272),AL272-AL265-N(AL266)-N(AL267)-N(AL268),""))</f>
        <v>3</v>
      </c>
      <c r="AM269" s="211">
        <f>IF(ISNUMBER(AM271),AM271-AM265-N(AM266)-N(AM267)-N(AM268),IF(ISNUMBER(AM272),AM272-AM265-N(AM266)-N(AM267)-N(AM268),""))</f>
        <v>-25</v>
      </c>
      <c r="AN269" s="211">
        <f>IF(ISNUMBER(AN271),AN271-AN265-N(AN266)-N(AN267)-N(AN268),IF(ISNUMBER(AN272),AN272-AN265-N(AN266)-N(AN267)-N(AN268),""))</f>
        <v>-75</v>
      </c>
      <c r="AO269" s="211">
        <f>IF(ISNUMBER(AO271),AO271-AO265-N(AO266)-N(AO267)-N(AO268),IF(ISNUMBER(AO272),AO272-AO265-N(AO266)-N(AO267)-N(AO268),""))</f>
        <v>-10</v>
      </c>
      <c r="AP269" s="211">
        <f>IF(ISNUMBER(AP271),AP271-AP265-N(AP266)-N(AP267)-N(AP268),IF(ISNUMBER(AP272),AP272-AP265-N(AP266)-N(AP267)-N(AP268),""))</f>
        <v>-9</v>
      </c>
      <c r="AQ269" s="211">
        <f>IF(ISNUMBER(AQ271),AQ271-AQ265-N(AQ266)-N(AQ267)-N(AQ268),IF(ISNUMBER(AQ272),AQ272-AQ265-N(AQ266)-N(AQ267)-N(AQ268),""))</f>
        <v>-77</v>
      </c>
      <c r="AR269" s="211">
        <f>IF(ISNUMBER(AR271),AR271-AR265-N(AR266)-N(AR267)-N(AR268),IF(ISNUMBER(AR272),AR272-AR265-N(AR266)-N(AR267)-N(AR268),""))</f>
        <v>-47</v>
      </c>
      <c r="AS269" s="211">
        <f>IF(ISNUMBER(AS271),AS271-AS265-N(AS266)-N(AS267)-N(AS268),IF(ISNUMBER(AS272),AS272-AS265-N(AS266)-N(AS267)-N(AS268),""))</f>
        <v>-141</v>
      </c>
      <c r="AT269" s="211">
        <f>IF(ISNUMBER(AT271),AT271-AT265-N(AT266)-N(AT267)-N(AT268),IF(ISNUMBER(AT272),AT272-AT265-N(AT266)-N(AT267)-N(AT268),""))</f>
        <v>-16</v>
      </c>
      <c r="AU269" s="211">
        <f>IF(ISNUMBER(AU271),AU271-AU265-N(AU266)-N(AU267)-N(AU268),IF(ISNUMBER(AU272),AU272-AU265-N(AU266)-N(AU267)-N(AU268),""))</f>
        <v>3</v>
      </c>
      <c r="AV269" s="211">
        <f>IF(ISNUMBER(AV271),AV271-AV265-N(AV266)-N(AV267)-N(AV268),IF(ISNUMBER(AV272),AV272-AV265-N(AV266)-N(AV267)-N(AV268),""))</f>
        <v>-14</v>
      </c>
      <c r="AW269" s="211">
        <f>IF(ISNUMBER(AW271),AW271-AW265-N(AW266)-N(AW267)-N(AW268),IF(ISNUMBER(AW272),AW272-AW265-N(AW266)-N(AW267)-N(AW268),""))</f>
        <v>-45</v>
      </c>
      <c r="AX269" s="211">
        <f>IF(ISNUMBER(AX271),AX271-AX265-N(AX266)-N(AX267)-N(AX268),IF(ISNUMBER(AX272),AX272-AX265-N(AX266)-N(AX267)-N(AX268),""))</f>
        <v>-73</v>
      </c>
      <c r="AY269" s="211">
        <f>IF(ISNUMBER(AY271),AY271-AY265-N(AY266)-N(AY267)-N(AY268),IF(ISNUMBER(AY272),AY272-AY265-N(AY266)-N(AY267)-N(AY268),""))</f>
        <v>299</v>
      </c>
      <c r="AZ269" s="211">
        <f>IF(ISNUMBER(AZ271),AZ271-AZ265-N(AZ266)-N(AZ267)-N(AZ268),IF(ISNUMBER(AZ272),AZ272-AZ265-N(AZ266)-N(AZ267)-N(AZ268),""))</f>
        <v>61</v>
      </c>
      <c r="BA269" s="211">
        <f>IF(ISNUMBER(BA271),BA271-BA265-N(BA266)-N(BA267)-N(BA268),IF(ISNUMBER(BA272),BA272-BA265-N(BA266)-N(BA267)-N(BA268),""))</f>
        <v>-101</v>
      </c>
      <c r="BB269" s="211">
        <f>IF(ISNUMBER(BB271),BB271-BB265-N(BB266)-N(BB267)-N(BB268),IF(ISNUMBER(BB272),BB272-BB265-N(BB266)-N(BB267)-N(BB268),""))</f>
        <v>-106</v>
      </c>
      <c r="BC269" s="211">
        <f>IF(ISNUMBER(BC271),BC271-BC265-N(BC266)-N(BC267)-N(BC268),IF(ISNUMBER(BC272),BC272-BC265-N(BC266)-N(BC267)-N(BC268),""))</f>
        <v>153</v>
      </c>
      <c r="BD269" s="211">
        <f>IF(ISNUMBER(BD271),BD271-BD265-N(BD266)-N(BD267)-N(BD268),IF(ISNUMBER(BD272),BD272-BD265-N(BD266)-N(BD267)-N(BD268),""))</f>
        <v>-91</v>
      </c>
      <c r="BE269" s="211">
        <f>IF(ISNUMBER(BE271),BE271-BE265-N(BE266)-N(BE267)-N(BE268),IF(ISNUMBER(BE272),BE272-BE265-N(BE266)-N(BE267)-N(BE268),""))</f>
        <v>-30</v>
      </c>
      <c r="BF269" s="211">
        <f>IF(ISNUMBER(BF271),BF271-BF265-N(BF266)-N(BF267)-N(BF268),IF(ISNUMBER(BF272),BF272-BF265-N(BF266)-N(BF267)-N(BF268),""))</f>
        <v>-89</v>
      </c>
      <c r="BG269" s="211">
        <f>IF(ISNUMBER(BG271),BG271-BG265-N(BG266)-N(BG267)-N(BG268),IF(ISNUMBER(BG272),BG272-BG265-N(BG266)-N(BG267)-N(BG268),""))</f>
        <v>-107</v>
      </c>
      <c r="BH269" s="211">
        <f>IF(ISNUMBER(BH271),BH271-BH265-N(BH266)-N(BH267)-N(BH268),IF(ISNUMBER(BH272),BH272-BH265-N(BH266)-N(BH267)-N(BH268),""))</f>
        <v>-315</v>
      </c>
      <c r="BI269" s="211">
        <f>IF(ISNUMBER(BI271),BI271-BI265-N(BI266)-N(BI267)-N(BI268),IF(ISNUMBER(BI272),BI272-BI265-N(BI266)-N(BI267)-N(BI268),""))</f>
        <v>-79</v>
      </c>
      <c r="BJ269" s="211">
        <f>IF(ISNUMBER(BJ271),BJ271-BJ265-N(BJ266)-N(BJ267)-N(BJ268),IF(ISNUMBER(BJ272),BJ272-BJ265-N(BJ266)-N(BJ267)-N(BJ268),""))</f>
        <v>-86</v>
      </c>
      <c r="BK269" s="211">
        <f>IF(ISNUMBER(BK271),BK271-BK265-N(BK266)-N(BK267)-N(BK268),IF(ISNUMBER(BK272),BK272-BK265-N(BK266)-N(BK267)-N(BK268),""))</f>
        <v>-65</v>
      </c>
      <c r="BL269" s="211">
        <f>IF(ISNUMBER(BL271),BL271-BL265-N(BL266)-N(BL267)-N(BL268),IF(ISNUMBER(BL272),BL272-BL265-N(BL266)-N(BL267)-N(BL268),""))</f>
        <v>-85</v>
      </c>
      <c r="BM269" s="211">
        <f>IF(ISNUMBER(BM271),BM271-BM265-N(BM266)-N(BM267)-N(BM268),IF(ISNUMBER(BM272),BM272-BM265-N(BM266)-N(BM267)-N(BM268),""))</f>
        <v>-312</v>
      </c>
      <c r="BN269" s="211">
        <f>IF(ISNUMBER(BN271),BN271-BN265-N(BN266)-N(BN267)-N(BN268),IF(ISNUMBER(BN272),BN272-BN265-N(BN266)-N(BN267)-N(BN268),""))</f>
        <v>-60</v>
      </c>
      <c r="BO269" s="211">
        <f>IF(ISNUMBER(BO271),BO271-BO265-N(BO266)-N(BO267)-N(BO268),IF(ISNUMBER(BO272),BO272-BO265-N(BO266)-N(BO267)-N(BO268),""))</f>
        <v>-65</v>
      </c>
      <c r="BP269" s="211">
        <f>IF(ISNUMBER(BP271),BP271-BP265-N(BP266)-N(BP267)-N(BP268),IF(ISNUMBER(BP272),BP272-BP265-N(BP266)-N(BP267)-N(BP268),""))</f>
        <v>-54</v>
      </c>
      <c r="BQ269" s="211">
        <f>IF(ISNUMBER(BQ271),BQ271-BQ265-N(BQ266)-N(BQ267)-N(BQ268),IF(ISNUMBER(BQ272),BQ272-BQ265-N(BQ266)-N(BQ267)-N(BQ268),""))</f>
        <v>12</v>
      </c>
      <c r="BR269" s="211">
        <f>IF(ISNUMBER(BR271),BR271-BR265-N(BR266)-N(BR267)-N(BR268),IF(ISNUMBER(BR272),BR272-BR265-N(BR266)-N(BR267)-N(BR268),""))</f>
        <v>-168</v>
      </c>
      <c r="BS269" s="211">
        <f>IF(ISNUMBER(BS271),BS271-BS265-N(BS266)-N(BS267)-N(BS268),IF(ISNUMBER(BS272),BS272-BS265-N(BS266)-N(BS267)-N(BS268),""))</f>
        <v>-45</v>
      </c>
      <c r="BT269" s="211">
        <f>IF(ISNUMBER(BT271),BT271-BT265-N(BT266)-N(BT267)-N(BT268),IF(ISNUMBER(BT272),BT272-BT265-N(BT266)-N(BT267)-N(BT268),""))</f>
        <v>-11</v>
      </c>
      <c r="BU269" s="254">
        <f>-(BU266+BU267+BU268)*BU204</f>
        <v>-47.7</v>
      </c>
      <c r="BV269" s="254">
        <f>-(BV266+BV267+BV268)*BV204</f>
        <v>8.55</v>
      </c>
      <c r="BW269" s="254">
        <f>SUM(BS269:BV269)</f>
        <v>-95.15</v>
      </c>
      <c r="BX269" s="254">
        <f>-(BX266+BX267+BX268)*BX204</f>
        <v>-185.1375</v>
      </c>
      <c r="BY269" s="254">
        <f>-(BY266+BY267+BY268)*BY204</f>
        <v>-183.7125</v>
      </c>
      <c r="BZ269" s="254">
        <f>-(BZ266+BZ267+BZ268)*BZ204</f>
        <v>-180.4875</v>
      </c>
      <c r="CA269" s="254">
        <f>-(CA266+CA267+CA268)*CA204</f>
        <v>-177.2625</v>
      </c>
      <c r="CB269" s="254">
        <f>-(CB266+CB267+CB268)*CB204</f>
        <v>-174.2625</v>
      </c>
      <c r="CC269" s="19" t="inlineStr">
        <is>
          <t>Historical: published adjusted net income − bridge start − pre-tax items (derived). Forecast: pre-tax items × tax rate.</t>
        </is>
      </c>
    </row>
    <row r="270" ht="15" customHeight="1" s="251">
      <c r="B270" s="55" t="inlineStr">
        <is>
          <t xml:space="preserve">  = Adjusted net income attributable (model bridge)</t>
        </is>
      </c>
      <c r="C270" s="269">
        <f>IF(ISNUMBER(C269),C265+N(C266)+N(C267)+N(C268)+C269,"")</f>
      </c>
      <c r="D270" s="269">
        <f>IF(ISNUMBER(D269),D265+N(D266)+N(D267)+N(D268)+D269,"")</f>
        <v>634</v>
      </c>
      <c r="E270" s="269">
        <f>IF(ISNUMBER(E269),E265+N(E266)+N(E267)+N(E268)+E269,"")</f>
        <v>783</v>
      </c>
      <c r="F270" s="269">
        <f>IF(ISNUMBER(F269),F265+N(F266)+N(F267)+N(F268)+F269,"")</f>
        <v>228</v>
      </c>
      <c r="G270" s="269">
        <f>IF(ISNUMBER(G269),G265+N(G266)+N(G267)+N(G268)+G269,"")</f>
        <v>257</v>
      </c>
      <c r="H270" s="269">
        <f>IF(ISNUMBER(H269),H265+N(H266)+N(H267)+N(H268)+H269,"")</f>
        <v>222</v>
      </c>
      <c r="I270" s="269">
        <f>IF(ISNUMBER(I269),I265+N(I266)+N(I267)+N(I268)+I269,"")</f>
        <v>223</v>
      </c>
      <c r="J270" s="269">
        <f>IF(ISNUMBER(J269),J265+N(J266)+N(J267)+N(J268)+J269,"")</f>
        <v>931</v>
      </c>
      <c r="K270" s="269">
        <f>IF(ISNUMBER(K269),K265+N(K266)+N(K267)+N(K268)+K269,"")</f>
        <v>248</v>
      </c>
      <c r="L270" s="269">
        <f>IF(ISNUMBER(L269),L265+N(L266)+N(L267)+N(L268)+L269,"")</f>
        <v>292</v>
      </c>
      <c r="M270" s="269">
        <f>IF(ISNUMBER(M269),M265+N(M266)+N(M267)+N(M268)+M269,"")</f>
        <v>281</v>
      </c>
      <c r="N270" s="269">
        <f>IF(ISNUMBER(N269),N265+N(N266)+N(N267)+N(N268)+N269,"")</f>
        <v>264</v>
      </c>
      <c r="O270" s="269">
        <f>IF(ISNUMBER(O269),O265+N(O266)+N(O267)+N(O268)+O269,"")</f>
        <v>1073</v>
      </c>
      <c r="P270" s="269">
        <f>IF(ISNUMBER(P269),P265+N(P266)+N(P267)+N(P268)+P269,"")</f>
        <v>299</v>
      </c>
      <c r="Q270" s="269">
        <f>IF(ISNUMBER(Q269),Q265+N(Q266)+N(Q267)+N(Q268)+Q269,"")</f>
        <v>335</v>
      </c>
      <c r="R270" s="269">
        <f>IF(ISNUMBER(R269),R265+N(R266)+N(R267)+N(R268)+R269,"")</f>
        <v>325</v>
      </c>
      <c r="S270" s="269">
        <f>IF(ISNUMBER(S269),S265+N(S266)+N(S267)+N(S268)+S269,"")</f>
        <v>284</v>
      </c>
      <c r="T270" s="269">
        <f>IF(ISNUMBER(T269),T265+N(T266)+N(T267)+N(T268)+T269,"")</f>
        <v>1244</v>
      </c>
      <c r="U270" s="269">
        <f>IF(ISNUMBER(U269),U265+N(U266)+N(U267)+N(U268)+U269,"")</f>
        <v>320</v>
      </c>
      <c r="V270" s="269">
        <f>IF(ISNUMBER(V269),V265+N(V266)+N(V267)+N(V268)+V269,"")</f>
        <v>385</v>
      </c>
      <c r="W270" s="269">
        <f>IF(ISNUMBER(W269),W265+N(W266)+N(W267)+N(W268)+W269,"")</f>
        <v>381</v>
      </c>
      <c r="X270" s="269">
        <f>IF(ISNUMBER(X269),X265+N(X266)+N(X267)+N(X268)+X269,"")</f>
        <v>334</v>
      </c>
      <c r="Y270" s="269">
        <f>IF(ISNUMBER(Y269),Y265+N(Y266)+N(Y267)+N(Y268)+Y269,"")</f>
        <v>1420</v>
      </c>
      <c r="Z270" s="269">
        <f>IF(ISNUMBER(Z269),Z265+N(Z266)+N(Z267)+N(Z268)+Z269,"")</f>
        <v>422</v>
      </c>
      <c r="AA270" s="269">
        <f>IF(ISNUMBER(AA269),AA265+N(AA266)+N(AA267)+N(AA268)+AA269,"")</f>
        <v>446</v>
      </c>
      <c r="AB270" s="269">
        <f>IF(ISNUMBER(AB269),AB265+N(AB266)+N(AB267)+N(AB268)+AB269,"")</f>
        <v>442</v>
      </c>
      <c r="AC270" s="269">
        <f>IF(ISNUMBER(AC269),AC265+N(AC266)+N(AC267)+N(AC268)+AC269,"")</f>
        <v>474</v>
      </c>
      <c r="AD270" s="269">
        <f>IF(ISNUMBER(AD269),AD265+N(AD266)+N(AD267)+N(AD268)+AD269,"")</f>
        <v>1784</v>
      </c>
      <c r="AE270" s="269">
        <f>IF(ISNUMBER(AE269),AE265+N(AE266)+N(AE267)+N(AE268)+AE269,"")</f>
        <v>509</v>
      </c>
      <c r="AF270" s="269">
        <f>IF(ISNUMBER(AF269),AF265+N(AF266)+N(AF267)+N(AF268)+AF269,"")</f>
        <v>549</v>
      </c>
      <c r="AG270" s="269">
        <f>IF(ISNUMBER(AG269),AG265+N(AG266)+N(AG267)+N(AG268)+AG269,"")</f>
        <v>536</v>
      </c>
      <c r="AH270" s="269">
        <f>IF(ISNUMBER(AH269),AH265+N(AH266)+N(AH267)+N(AH268)+AH269,"")</f>
        <v>559</v>
      </c>
      <c r="AI270" s="269">
        <f>IF(ISNUMBER(AI269),AI265+N(AI266)+N(AI267)+N(AI268)+AI269,"")</f>
        <v>2152</v>
      </c>
      <c r="AJ270" s="269">
        <f>IF(ISNUMBER(AJ269),AJ265+N(AJ266)+N(AJ267)+N(AJ268)+AJ269,"")</f>
        <v>524</v>
      </c>
      <c r="AK270" s="269">
        <f>IF(ISNUMBER(AK269),AK265+N(AK266)+N(AK267)+N(AK268)+AK269,"")</f>
        <v>601</v>
      </c>
      <c r="AL270" s="269">
        <f>IF(ISNUMBER(AL269),AL265+N(AL266)+N(AL267)+N(AL268)+AL269,"")</f>
        <v>606</v>
      </c>
      <c r="AM270" s="269">
        <f>IF(ISNUMBER(AM269),AM265+N(AM266)+N(AM267)+N(AM268)+AM269,"")</f>
        <v>621</v>
      </c>
      <c r="AN270" s="269">
        <f>IF(ISNUMBER(AN269),AN265+N(AN266)+N(AN267)+N(AN268)+AN269,"")</f>
        <v>2352</v>
      </c>
      <c r="AO270" s="269">
        <f>IF(ISNUMBER(AO269),AO265+N(AO266)+N(AO267)+N(AO268)+AO269,"")</f>
        <v>665</v>
      </c>
      <c r="AP270" s="269">
        <f>IF(ISNUMBER(AP269),AP265+N(AP266)+N(AP267)+N(AP268)+AP269,"")</f>
        <v>822</v>
      </c>
      <c r="AQ270" s="269">
        <f>IF(ISNUMBER(AQ269),AQ265+N(AQ266)+N(AQ267)+N(AQ268)+AQ269,"")</f>
        <v>689</v>
      </c>
      <c r="AR270" s="269">
        <f>IF(ISNUMBER(AR269),AR265+N(AR266)+N(AR267)+N(AR268)+AR269,"")</f>
        <v>654</v>
      </c>
      <c r="AS270" s="269">
        <f>IF(ISNUMBER(AS269),AS265+N(AS266)+N(AS267)+N(AS268)+AS269,"")</f>
        <v>2830</v>
      </c>
      <c r="AT270" s="269">
        <f>IF(ISNUMBER(AT269),AT265+N(AT266)+N(AT267)+N(AT268)+AT269,"")</f>
        <v>820</v>
      </c>
      <c r="AU270" s="269">
        <f>IF(ISNUMBER(AU269),AU265+N(AU266)+N(AU267)+N(AU268)+AU269,"")</f>
        <v>875</v>
      </c>
      <c r="AV270" s="269">
        <f>IF(ISNUMBER(AV269),AV265+N(AV266)+N(AV267)+N(AV268)+AV269,"")</f>
        <v>855</v>
      </c>
      <c r="AW270" s="269">
        <f>IF(ISNUMBER(AW269),AW265+N(AW266)+N(AW267)+N(AW268)+AW269,"")</f>
        <v>762</v>
      </c>
      <c r="AX270" s="269">
        <f>IF(ISNUMBER(AX269),AX265+N(AX266)+N(AX267)+N(AX268)+AX269,"")</f>
        <v>3311</v>
      </c>
      <c r="AY270" s="269">
        <f>IF(ISNUMBER(AY269),AY265+N(AY266)+N(AY267)+N(AY268)+AY269,"")</f>
        <v>860</v>
      </c>
      <c r="AZ270" s="269">
        <f>IF(ISNUMBER(AZ269),AZ265+N(AZ266)+N(AZ267)+N(AZ268)+AZ269,"")</f>
        <v>955</v>
      </c>
      <c r="BA270" s="269">
        <f>IF(ISNUMBER(BA269),BA265+N(BA266)+N(BA267)+N(BA268)+BA269,"")</f>
        <v>968</v>
      </c>
      <c r="BB270" s="269">
        <f>IF(ISNUMBER(BB269),BB265+N(BB266)+N(BB267)+N(BB268)+BB269,"")</f>
        <v>827</v>
      </c>
      <c r="BC270" s="269">
        <f>IF(ISNUMBER(BC269),BC265+N(BC266)+N(BC267)+N(BC268)+BC269,"")</f>
        <v>3610</v>
      </c>
      <c r="BD270" s="269">
        <f>IF(ISNUMBER(BD269),BD265+N(BD266)+N(BD267)+N(BD268)+BD269,"")</f>
        <v>1013</v>
      </c>
      <c r="BE270" s="269">
        <f>IF(ISNUMBER(BE269),BE265+N(BE266)+N(BE267)+N(BE268)+BE269,"")</f>
        <v>996</v>
      </c>
      <c r="BF270" s="269">
        <f>IF(ISNUMBER(BF269),BF265+N(BF266)+N(BF267)+N(BF268)+BF269,"")</f>
        <v>1022</v>
      </c>
      <c r="BG270" s="269">
        <f>IF(ISNUMBER(BG269),BG265+N(BG266)+N(BG267)+N(BG268)+BG269,"")</f>
        <v>988</v>
      </c>
      <c r="BH270" s="269">
        <f>IF(ISNUMBER(BH269),BH265+N(BH266)+N(BH267)+N(BH268)+BH269,"")</f>
        <v>4019</v>
      </c>
      <c r="BI270" s="269">
        <f>IF(ISNUMBER(BI269),BI265+N(BI266)+N(BI267)+N(BI268)+BI269,"")</f>
        <v>1258</v>
      </c>
      <c r="BJ270" s="269">
        <f>IF(ISNUMBER(BJ269),BJ265+N(BJ266)+N(BJ267)+N(BJ268)+BJ269,"")</f>
        <v>1267</v>
      </c>
      <c r="BK270" s="269">
        <f>IF(ISNUMBER(BK269),BK265+N(BK266)+N(BK267)+N(BK268)+BK269,"")</f>
        <v>1210</v>
      </c>
      <c r="BL270" s="269">
        <f>IF(ISNUMBER(BL269),BL265+N(BL266)+N(BL267)+N(BL268)+BL269,"")</f>
        <v>1163</v>
      </c>
      <c r="BM270" s="269">
        <f>IF(ISNUMBER(BM269),BM265+N(BM266)+N(BM267)+N(BM268)+BM269,"")</f>
        <v>4898</v>
      </c>
      <c r="BN270" s="269">
        <f>IF(ISNUMBER(BN269),BN265+N(BN266)+N(BN267)+N(BN268)+BN269,"")</f>
        <v>1198</v>
      </c>
      <c r="BO270" s="269">
        <f>IF(ISNUMBER(BO269),BO265+N(BO266)+N(BO267)+N(BO268)+BO269,"")</f>
        <v>1201</v>
      </c>
      <c r="BP270" s="269">
        <f>IF(ISNUMBER(BP269),BP265+N(BP266)+N(BP267)+N(BP268)+BP269,"")</f>
        <v>1278</v>
      </c>
      <c r="BQ270" s="269">
        <f>IF(ISNUMBER(BQ269),BQ265+N(BQ266)+N(BQ267)+N(BQ268)+BQ269,"")</f>
        <v>1156</v>
      </c>
      <c r="BR270" s="269">
        <f>IF(ISNUMBER(BR269),BR265+N(BR266)+N(BR267)+N(BR268)+BR269,"")</f>
        <v>4832</v>
      </c>
      <c r="BS270" s="269">
        <f>IF(ISNUMBER(BS269),BS265+N(BS266)+N(BS267)+N(BS268)+BS269,"")</f>
        <v>1323</v>
      </c>
      <c r="BT270" s="269">
        <f>IF(ISNUMBER(BT269),BT265+N(BT266)+N(BT267)+N(BT268)+BT269,"")</f>
        <v>1429</v>
      </c>
      <c r="BU270" s="269">
        <f>IF(ISNUMBER(BU269),BU265+N(BU266)+N(BU267)+N(BU268)+BU269,"")</f>
        <v>1255.4646270058</v>
      </c>
      <c r="BV270" s="269">
        <f>IF(ISNUMBER(BV269),BV265+N(BV266)+N(BV267)+N(BV268)+BV269,"")</f>
        <v>1143.63804618697</v>
      </c>
      <c r="BW270" s="269">
        <f>IF(ISNUMBER(BW269),BW265+N(BW266)+N(BW267)+N(BW268)+BW269,"")</f>
        <v>5151.10267319277</v>
      </c>
      <c r="BX270" s="269">
        <f>IF(ISNUMBER(BX269),BX265+N(BX266)+N(BX267)+N(BX268)+BX269,"")</f>
        <v>5547.56209529506</v>
      </c>
      <c r="BY270" s="269">
        <f>IF(ISNUMBER(BY269),BY265+N(BY266)+N(BY267)+N(BY268)+BY269,"")</f>
        <v>6003.5560669663</v>
      </c>
      <c r="BZ270" s="269">
        <f>IF(ISNUMBER(BZ269),BZ265+N(BZ266)+N(BZ267)+N(BZ268)+BZ269,"")</f>
        <v>6405.55885236846</v>
      </c>
      <c r="CA270" s="269">
        <f>IF(ISNUMBER(CA269),CA265+N(CA266)+N(CA267)+N(CA268)+CA269,"")</f>
        <v>6837.15968174446</v>
      </c>
      <c r="CB270" s="269">
        <f>IF(ISNUMBER(CB269),CB265+N(CB266)+N(CB267)+N(CB268)+CB269,"")</f>
        <v>7283.37963088727</v>
      </c>
      <c r="CC270" s="153" t="n"/>
      <c r="CE270" s="20">
        <f>IFERROR((CB270/BW270)^(1/5)-1,"n/m")</f>
        <v>0.0717328637034187</v>
      </c>
      <c r="CF270" s="20">
        <f>IFERROR((BR270/AS270)^(1/5)-1,"n/m")</f>
        <v>0.112930637221252</v>
      </c>
      <c r="CG270" s="20">
        <f>IFERROR((BR270/T270)^(1/10)-1,"n/m")</f>
        <v>0.145330047580186</v>
      </c>
      <c r="CH270" s="20" t="str">
        <f>IFERROR((BR270/C270)^(1/15)-1,"n/m")</f>
        <v>n/m</v>
      </c>
    </row>
    <row r="271" ht="15" customHeight="1" s="251">
      <c r="B271" s="156" t="inlineStr">
        <is>
          <t xml:space="preserve">  Company-published adjusted net income attributable</t>
        </is>
      </c>
      <c r="C271" s="34" t="n"/>
      <c r="D271" s="253" t="n">
        <v>634</v>
      </c>
      <c r="E271" s="253" t="n">
        <v>783</v>
      </c>
      <c r="F271" s="253" t="n">
        <v>228</v>
      </c>
      <c r="G271" s="253" t="n">
        <v>257</v>
      </c>
      <c r="H271" s="253" t="n">
        <v>222</v>
      </c>
      <c r="I271" s="253" t="n">
        <v>223</v>
      </c>
      <c r="J271" s="253" t="n">
        <v>931</v>
      </c>
      <c r="K271" s="253" t="n">
        <v>248</v>
      </c>
      <c r="L271" s="253" t="n">
        <v>292</v>
      </c>
      <c r="M271" s="253" t="n">
        <v>281</v>
      </c>
      <c r="N271" s="253" t="n">
        <v>264</v>
      </c>
      <c r="O271" s="253" t="n">
        <v>1073</v>
      </c>
      <c r="P271" s="253" t="n">
        <v>299</v>
      </c>
      <c r="Q271" s="253" t="n">
        <v>335</v>
      </c>
      <c r="R271" s="253" t="n">
        <v>325</v>
      </c>
      <c r="S271" s="253" t="n">
        <v>284</v>
      </c>
      <c r="T271" s="253" t="n">
        <v>1244</v>
      </c>
      <c r="U271" s="253" t="n">
        <v>320</v>
      </c>
      <c r="V271" s="253" t="n">
        <v>385</v>
      </c>
      <c r="W271" s="253" t="n">
        <v>381</v>
      </c>
      <c r="X271" s="253" t="n">
        <v>334</v>
      </c>
      <c r="Y271" s="253" t="n">
        <v>1420</v>
      </c>
      <c r="Z271" s="253" t="n">
        <v>422</v>
      </c>
      <c r="AA271" s="253" t="n">
        <v>446</v>
      </c>
      <c r="AB271" s="253" t="n">
        <v>442</v>
      </c>
      <c r="AC271" s="253" t="n">
        <v>474</v>
      </c>
      <c r="AD271" s="253" t="n">
        <v>1784</v>
      </c>
      <c r="AE271" s="253" t="n">
        <v>509</v>
      </c>
      <c r="AF271" s="253" t="n">
        <v>549</v>
      </c>
      <c r="AG271" s="253" t="n">
        <v>536</v>
      </c>
      <c r="AH271" s="253" t="n">
        <v>559</v>
      </c>
      <c r="AI271" s="253" t="n">
        <v>2152</v>
      </c>
      <c r="AJ271" s="253" t="n">
        <v>524</v>
      </c>
      <c r="AK271" s="253" t="n">
        <v>601</v>
      </c>
      <c r="AL271" s="253" t="n">
        <v>606</v>
      </c>
      <c r="AM271" s="253" t="n">
        <v>621</v>
      </c>
      <c r="AN271" s="253" t="n">
        <v>2352</v>
      </c>
      <c r="AO271" s="253" t="n">
        <v>665</v>
      </c>
      <c r="AP271" s="253" t="n">
        <v>822</v>
      </c>
      <c r="AQ271" s="253" t="n">
        <v>689</v>
      </c>
      <c r="AR271" s="253" t="n">
        <v>654</v>
      </c>
      <c r="AS271" s="253" t="n">
        <v>2830</v>
      </c>
      <c r="AT271" s="253" t="n">
        <v>820</v>
      </c>
      <c r="AU271" s="253" t="n">
        <v>875</v>
      </c>
      <c r="AV271" s="253" t="n">
        <v>855</v>
      </c>
      <c r="AW271" s="253" t="n">
        <v>762</v>
      </c>
      <c r="AX271" s="253" t="n">
        <v>3311</v>
      </c>
      <c r="AY271" s="34" t="n"/>
      <c r="AZ271" s="253" t="n">
        <v>955</v>
      </c>
      <c r="BA271" s="253" t="n">
        <v>968</v>
      </c>
      <c r="BB271" s="253" t="n">
        <v>827</v>
      </c>
      <c r="BC271" s="34" t="n"/>
      <c r="BD271" s="253" t="n">
        <v>1013</v>
      </c>
      <c r="BE271" s="253" t="n">
        <v>996</v>
      </c>
      <c r="BF271" s="253" t="n">
        <v>1022</v>
      </c>
      <c r="BG271" s="253" t="n">
        <v>988</v>
      </c>
      <c r="BH271" s="253" t="n">
        <v>4019</v>
      </c>
      <c r="BI271" s="253" t="n">
        <v>1258</v>
      </c>
      <c r="BJ271" s="253" t="n">
        <v>1267</v>
      </c>
      <c r="BK271" s="253" t="n">
        <v>1210</v>
      </c>
      <c r="BL271" s="253" t="n">
        <v>1163</v>
      </c>
      <c r="BM271" s="253" t="n">
        <v>4898</v>
      </c>
      <c r="BN271" s="253" t="n">
        <v>1198</v>
      </c>
      <c r="BO271" s="253" t="n">
        <v>1201</v>
      </c>
      <c r="BP271" s="253" t="n">
        <v>1278</v>
      </c>
      <c r="BQ271" s="253" t="n">
        <v>1156</v>
      </c>
      <c r="BR271" s="253" t="n">
        <v>4832</v>
      </c>
      <c r="BS271" s="253" t="n">
        <v>1323</v>
      </c>
      <c r="BT271" s="253" t="n">
        <v>1429</v>
      </c>
      <c r="BU271" s="153" t="n"/>
      <c r="BV271" s="153" t="n"/>
      <c r="BW271" s="153" t="n"/>
      <c r="BX271" s="153" t="n"/>
      <c r="BY271" s="153" t="n"/>
      <c r="BZ271" s="153" t="n"/>
      <c r="CA271" s="153" t="n"/>
      <c r="CB271" s="153" t="n"/>
      <c r="CC271" s="153" t="n"/>
    </row>
    <row r="272" ht="15" customHeight="1" s="251">
      <c r="B272" s="156" t="inlineStr">
        <is>
          <t xml:space="preserve">  Memo: actual-scope adjusted net income where the company published only IHS Markit pro forma figures (Q1-22: GAAP + published after-tax items; FY2022: Σ quarters)</t>
        </is>
      </c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4" t="n"/>
      <c r="N272" s="34" t="n"/>
      <c r="O272" s="34" t="n"/>
      <c r="P272" s="34" t="n"/>
      <c r="Q272" s="34" t="n"/>
      <c r="R272" s="34" t="n"/>
      <c r="S272" s="34" t="n"/>
      <c r="T272" s="34" t="n"/>
      <c r="U272" s="34" t="n"/>
      <c r="V272" s="34" t="n"/>
      <c r="W272" s="34" t="n"/>
      <c r="X272" s="34" t="n"/>
      <c r="Y272" s="34" t="n"/>
      <c r="Z272" s="34" t="n"/>
      <c r="AA272" s="34" t="n"/>
      <c r="AB272" s="34" t="n"/>
      <c r="AC272" s="34" t="n"/>
      <c r="AD272" s="34" t="n"/>
      <c r="AE272" s="34" t="n"/>
      <c r="AF272" s="34" t="n"/>
      <c r="AG272" s="34" t="n"/>
      <c r="AH272" s="34" t="n"/>
      <c r="AI272" s="34" t="n"/>
      <c r="AJ272" s="34" t="n"/>
      <c r="AK272" s="34" t="n"/>
      <c r="AL272" s="34" t="n"/>
      <c r="AM272" s="34" t="n"/>
      <c r="AN272" s="34" t="n"/>
      <c r="AO272" s="34" t="n"/>
      <c r="AP272" s="34" t="n"/>
      <c r="AQ272" s="34" t="n"/>
      <c r="AR272" s="34" t="n"/>
      <c r="AS272" s="34" t="n"/>
      <c r="AT272" s="34" t="n"/>
      <c r="AU272" s="34" t="n"/>
      <c r="AV272" s="34" t="n"/>
      <c r="AW272" s="34" t="n"/>
      <c r="AX272" s="34" t="n"/>
      <c r="AY272" s="253" t="n">
        <v>860</v>
      </c>
      <c r="AZ272" s="34" t="n"/>
      <c r="BA272" s="34" t="n"/>
      <c r="BB272" s="34" t="n"/>
      <c r="BC272" s="253" t="n">
        <v>3610</v>
      </c>
      <c r="BD272" s="34" t="n"/>
      <c r="BE272" s="34" t="n"/>
      <c r="BF272" s="34" t="n"/>
      <c r="BG272" s="34" t="n"/>
      <c r="BH272" s="34" t="n"/>
      <c r="BI272" s="34" t="n"/>
      <c r="BJ272" s="34" t="n"/>
      <c r="BK272" s="34" t="n"/>
      <c r="BL272" s="34" t="n"/>
      <c r="BM272" s="34" t="n"/>
      <c r="BN272" s="34" t="n"/>
      <c r="BO272" s="34" t="n"/>
      <c r="BP272" s="34" t="n"/>
      <c r="BQ272" s="34" t="n"/>
      <c r="BR272" s="34" t="n"/>
      <c r="BS272" s="34" t="n"/>
      <c r="BT272" s="34" t="n"/>
      <c r="BU272" s="153" t="n"/>
      <c r="BV272" s="153" t="n"/>
      <c r="BW272" s="153" t="n"/>
      <c r="BX272" s="153" t="n"/>
      <c r="BY272" s="153" t="n"/>
      <c r="BZ272" s="153" t="n"/>
      <c r="CA272" s="153" t="n"/>
      <c r="CB272" s="153" t="n"/>
      <c r="CC272" s="153" t="n"/>
    </row>
    <row r="273" ht="15" customHeight="1" s="251">
      <c r="B273" s="25" t="inlineStr">
        <is>
          <t xml:space="preserve">  Weighted-average diluted shares (m; company adjusted count where it differs, e.g. loss quarter Q4-14)</t>
        </is>
      </c>
      <c r="C273" s="285">
        <f>IF(ISNUMBER(C217),C217,"")</f>
        <v>312.2</v>
      </c>
      <c r="D273" s="285">
        <f>IF(ISNUMBER(D217),D217,"")</f>
        <v>303.6</v>
      </c>
      <c r="E273" s="285">
        <f>IF(ISNUMBER(E217),E217,"")</f>
        <v>284.6</v>
      </c>
      <c r="F273" s="285">
        <f>IF(ISNUMBER(F217),F217,"")</f>
        <v>284.3</v>
      </c>
      <c r="G273" s="285">
        <f>IF(ISNUMBER(G217),G217,"")</f>
        <v>278.3</v>
      </c>
      <c r="H273" s="285">
        <f>IF(ISNUMBER(H217),H217,"")</f>
        <v>278.8</v>
      </c>
      <c r="I273" s="285">
        <f>IF(ISNUMBER(I217),I217,"")</f>
        <v>278</v>
      </c>
      <c r="J273" s="285">
        <f>IF(ISNUMBER(J217),J217,"")</f>
        <v>279.8</v>
      </c>
      <c r="K273" s="285">
        <f>IF(ISNUMBER(K217),K217,"")</f>
        <v>277.2</v>
      </c>
      <c r="L273" s="285">
        <f>IF(ISNUMBER(L217),L217,"")</f>
        <v>276.1</v>
      </c>
      <c r="M273" s="285">
        <f>IF(ISNUMBER(M217),M217,"")</f>
        <v>275.4</v>
      </c>
      <c r="N273" s="278" t="n">
        <v>276.2</v>
      </c>
      <c r="O273" s="278" t="n">
        <v>276.2</v>
      </c>
      <c r="P273" s="285">
        <f>IF(ISNUMBER(P217),P217,"")</f>
        <v>276.3</v>
      </c>
      <c r="Q273" s="285">
        <f>IF(ISNUMBER(Q217),Q217,"")</f>
        <v>275.7</v>
      </c>
      <c r="R273" s="285">
        <f>IF(ISNUMBER(R217),R217,"")</f>
        <v>274.4</v>
      </c>
      <c r="S273" s="285">
        <f>IF(ISNUMBER(S217),S217,"")</f>
        <v>272.1</v>
      </c>
      <c r="T273" s="285">
        <f>IF(ISNUMBER(T217),T217,"")</f>
        <v>274.6</v>
      </c>
      <c r="U273" s="285">
        <f>IF(ISNUMBER(U217),U217,"")</f>
        <v>267.2</v>
      </c>
      <c r="V273" s="285">
        <f>IF(ISNUMBER(V217),V217,"")</f>
        <v>266.7</v>
      </c>
      <c r="W273" s="285">
        <f>IF(ISNUMBER(W217),W217,"")</f>
        <v>265.3</v>
      </c>
      <c r="X273" s="285">
        <f>IF(ISNUMBER(X217),X217,"")</f>
        <v>261.6</v>
      </c>
      <c r="Y273" s="285">
        <f>IF(ISNUMBER(Y217),Y217,"")</f>
        <v>265.2</v>
      </c>
      <c r="Z273" s="285">
        <f>IF(ISNUMBER(Z217),Z217,"")</f>
        <v>260.8</v>
      </c>
      <c r="AA273" s="285">
        <f>IF(ISNUMBER(AA217),AA217,"")</f>
        <v>259.9</v>
      </c>
      <c r="AB273" s="285">
        <f>IF(ISNUMBER(AB217),AB217,"")</f>
        <v>257.9</v>
      </c>
      <c r="AC273" s="285">
        <f>IF(ISNUMBER(AC217),AC217,"")</f>
        <v>257</v>
      </c>
      <c r="AD273" s="285">
        <f>IF(ISNUMBER(AD217),AD217,"")</f>
        <v>258.9</v>
      </c>
      <c r="AE273" s="285">
        <f>IF(ISNUMBER(AE217),AE217,"")</f>
        <v>254.4</v>
      </c>
      <c r="AF273" s="285">
        <f>IF(ISNUMBER(AF217),AF217,"")</f>
        <v>253.3</v>
      </c>
      <c r="AG273" s="285">
        <f>IF(ISNUMBER(AG217),AG217,"")</f>
        <v>253.5</v>
      </c>
      <c r="AH273" s="285">
        <f>IF(ISNUMBER(AH217),AH217,"")</f>
        <v>251.5</v>
      </c>
      <c r="AI273" s="285">
        <f>IF(ISNUMBER(AI217),AI217,"")</f>
        <v>253.2</v>
      </c>
      <c r="AJ273" s="285">
        <f>IF(ISNUMBER(AJ217),AJ217,"")</f>
        <v>248.3</v>
      </c>
      <c r="AK273" s="285">
        <f>IF(ISNUMBER(AK217),AK217,"")</f>
        <v>247.4</v>
      </c>
      <c r="AL273" s="285">
        <f>IF(ISNUMBER(AL217),AL217,"")</f>
        <v>246.5</v>
      </c>
      <c r="AM273" s="285">
        <f>IF(ISNUMBER(AM217),AM217,"")</f>
        <v>245.6</v>
      </c>
      <c r="AN273" s="285">
        <f>IF(ISNUMBER(AN217),AN217,"")</f>
        <v>246.9</v>
      </c>
      <c r="AO273" s="285">
        <f>IF(ISNUMBER(AO217),AO217,"")</f>
        <v>243.3</v>
      </c>
      <c r="AP273" s="285">
        <f>IF(ISNUMBER(AP217),AP217,"")</f>
        <v>241.9</v>
      </c>
      <c r="AQ273" s="285">
        <f>IF(ISNUMBER(AQ217),AQ217,"")</f>
        <v>241.6</v>
      </c>
      <c r="AR273" s="285">
        <f>IF(ISNUMBER(AR217),AR217,"")</f>
        <v>241.7</v>
      </c>
      <c r="AS273" s="285">
        <f>IF(ISNUMBER(AS217),AS217,"")</f>
        <v>242.1</v>
      </c>
      <c r="AT273" s="285">
        <f>IF(ISNUMBER(AT217),AT217,"")</f>
        <v>241.6</v>
      </c>
      <c r="AU273" s="285">
        <f>IF(ISNUMBER(AU217),AU217,"")</f>
        <v>241.8</v>
      </c>
      <c r="AV273" s="285">
        <f>IF(ISNUMBER(AV217),AV217,"")</f>
        <v>241.7</v>
      </c>
      <c r="AW273" s="285">
        <f>IF(ISNUMBER(AW217),AW217,"")</f>
        <v>242.1</v>
      </c>
      <c r="AX273" s="285">
        <f>IF(ISNUMBER(AX217),AX217,"")</f>
        <v>241.8</v>
      </c>
      <c r="AY273" s="285">
        <f>IF(ISNUMBER(AY217),AY217,"")</f>
        <v>276.3</v>
      </c>
      <c r="AZ273" s="285">
        <f>IF(ISNUMBER(AZ217),AZ217,"")</f>
        <v>339.3</v>
      </c>
      <c r="BA273" s="285">
        <f>IF(ISNUMBER(BA217),BA217,"")</f>
        <v>330.9</v>
      </c>
      <c r="BB273" s="285">
        <f>IF(ISNUMBER(BB217),BB217,"")</f>
        <v>325.2</v>
      </c>
      <c r="BC273" s="285">
        <f>IF(ISNUMBER(BC217),BC217,"")</f>
        <v>318.5</v>
      </c>
      <c r="BD273" s="285">
        <f>IF(ISNUMBER(BD217),BD217,"")</f>
        <v>322.1</v>
      </c>
      <c r="BE273" s="285">
        <f>IF(ISNUMBER(BE217),BE217,"")</f>
        <v>319.8</v>
      </c>
      <c r="BF273" s="285">
        <f>IF(ISNUMBER(BF217),BF217,"")</f>
        <v>318</v>
      </c>
      <c r="BG273" s="285">
        <f>IF(ISNUMBER(BG217),BG217,"")</f>
        <v>315.9</v>
      </c>
      <c r="BH273" s="285">
        <f>IF(ISNUMBER(BH217),BH217,"")</f>
        <v>318.9</v>
      </c>
      <c r="BI273" s="285">
        <f>IF(ISNUMBER(BI217),BI217,"")</f>
        <v>314</v>
      </c>
      <c r="BJ273" s="285">
        <f>IF(ISNUMBER(BJ217),BJ217,"")</f>
        <v>313.2</v>
      </c>
      <c r="BK273" s="285">
        <f>IF(ISNUMBER(BK217),BK217,"")</f>
        <v>311.5</v>
      </c>
      <c r="BL273" s="285">
        <f>IF(ISNUMBER(BL217),BL217,"")</f>
        <v>308.9</v>
      </c>
      <c r="BM273" s="285">
        <f>IF(ISNUMBER(BM217),BM217,"")</f>
        <v>311.9</v>
      </c>
      <c r="BN273" s="285">
        <f>IF(ISNUMBER(BN217),BN217,"")</f>
        <v>307.7</v>
      </c>
      <c r="BO273" s="285">
        <f>IF(ISNUMBER(BO217),BO217,"")</f>
        <v>306.1</v>
      </c>
      <c r="BP273" s="285">
        <f>IF(ISNUMBER(BP217),BP217,"")</f>
        <v>304.5</v>
      </c>
      <c r="BQ273" s="285">
        <f>IF(ISNUMBER(BQ217),BQ217,"")</f>
        <v>302.1</v>
      </c>
      <c r="BR273" s="285">
        <f>IF(ISNUMBER(BR217),BR217,"")</f>
        <v>305.1</v>
      </c>
      <c r="BS273" s="285">
        <f>IF(ISNUMBER(BS217),BS217,"")</f>
        <v>297.6</v>
      </c>
      <c r="BT273" s="285">
        <f>IF(ISNUMBER(BT217),BT217,"")</f>
        <v>295.5</v>
      </c>
      <c r="BU273" s="279">
        <f>IF(ISNUMBER(BU217),BU217,"")</f>
        <v>291.436144578313</v>
      </c>
      <c r="BV273" s="279">
        <f>IF(ISNUMBER(BV217),BV217,"")</f>
        <v>284.50843373494</v>
      </c>
      <c r="BW273" s="279">
        <f>IF(ISNUMBER(BW217),BW217,"")</f>
        <v>292.261144578313</v>
      </c>
      <c r="BX273" s="279">
        <f>IF(ISNUMBER(BX217),BX217,"")</f>
        <v>277.393086913713</v>
      </c>
      <c r="BY273" s="279">
        <f>IF(ISNUMBER(BY217),BY217,"")</f>
        <v>267.672272961855</v>
      </c>
      <c r="BZ273" s="279">
        <f>IF(ISNUMBER(BZ217),BZ217,"")</f>
        <v>257.000275548964</v>
      </c>
      <c r="CA273" s="279">
        <f>IF(ISNUMBER(CA217),CA217,"")</f>
        <v>246.407747848206</v>
      </c>
      <c r="CB273" s="279">
        <f>IF(ISNUMBER(CB217),CB217,"")</f>
        <v>235.859940981431</v>
      </c>
      <c r="CC273" s="19" t="n"/>
    </row>
    <row r="274" ht="15" customHeight="1" s="251">
      <c r="B274" s="55" t="inlineStr">
        <is>
          <t>Adjusted diluted EPS ($) (model bridge)</t>
        </is>
      </c>
      <c r="C274" s="280">
        <f>IF(AND(ISNUMBER(C270),ISNUMBER(C273)),IFERROR(C270/C273,""),"")</f>
      </c>
      <c r="D274" s="280">
        <f>IF(AND(ISNUMBER(D270),ISNUMBER(D273)),IFERROR(D270/D273,""),"")</f>
        <v>2.08827404479578</v>
      </c>
      <c r="E274" s="280">
        <f>IF(AND(ISNUMBER(E270),ISNUMBER(E273)),IFERROR(E270/E273,""),"")</f>
        <v>2.7512297962052</v>
      </c>
      <c r="F274" s="280">
        <f>IF(AND(ISNUMBER(F270),ISNUMBER(F273)),IFERROR(F270/F273,""),"")</f>
        <v>0.801969750263806</v>
      </c>
      <c r="G274" s="280">
        <f>IF(AND(ISNUMBER(G270),ISNUMBER(G273)),IFERROR(G270/G273,""),"")</f>
        <v>0.923463887890765</v>
      </c>
      <c r="H274" s="280">
        <f>IF(AND(ISNUMBER(H270),ISNUMBER(H273)),IFERROR(H270/H273,""),"")</f>
        <v>0.796269727403156</v>
      </c>
      <c r="I274" s="280">
        <f>IF(AND(ISNUMBER(I270),ISNUMBER(I273)),IFERROR(I270/I273,""),"")</f>
        <v>0.802158273381295</v>
      </c>
      <c r="J274" s="280">
        <f>IF(AND(ISNUMBER(J270),ISNUMBER(J273)),IFERROR(J270/J273,""),"")</f>
        <v>3.32737669764117</v>
      </c>
      <c r="K274" s="280">
        <f>IF(AND(ISNUMBER(K270),ISNUMBER(K273)),IFERROR(K270/K273,""),"")</f>
        <v>0.894660894660895</v>
      </c>
      <c r="L274" s="280">
        <f>IF(AND(ISNUMBER(L270),ISNUMBER(L273)),IFERROR(L270/L273,""),"")</f>
        <v>1.0575878304962</v>
      </c>
      <c r="M274" s="280">
        <f>IF(AND(ISNUMBER(M270),ISNUMBER(M273)),IFERROR(M270/M273,""),"")</f>
        <v>1.02033405954975</v>
      </c>
      <c r="N274" s="280">
        <f>IF(AND(ISNUMBER(N270),ISNUMBER(N273)),IFERROR(N270/N273,""),"")</f>
        <v>0.955829109341057</v>
      </c>
      <c r="O274" s="280">
        <f>IF(AND(ISNUMBER(O270),ISNUMBER(O273)),IFERROR(O270/O273,""),"")</f>
        <v>3.8848660391021</v>
      </c>
      <c r="P274" s="280">
        <f>IF(AND(ISNUMBER(P270),ISNUMBER(P273)),IFERROR(P270/P273,""),"")</f>
        <v>1.08215707564242</v>
      </c>
      <c r="Q274" s="280">
        <f>IF(AND(ISNUMBER(Q270),ISNUMBER(Q273)),IFERROR(Q270/Q273,""),"")</f>
        <v>1.21508886470802</v>
      </c>
      <c r="R274" s="280">
        <f>IF(AND(ISNUMBER(R270),ISNUMBER(R273)),IFERROR(R270/R273,""),"")</f>
        <v>1.18440233236152</v>
      </c>
      <c r="S274" s="280">
        <f>IF(AND(ISNUMBER(S270),ISNUMBER(S273)),IFERROR(S270/S273,""),"")</f>
        <v>1.04373392135244</v>
      </c>
      <c r="T274" s="280">
        <f>IF(AND(ISNUMBER(T270),ISNUMBER(T273)),IFERROR(T270/T273,""),"")</f>
        <v>4.53022578295703</v>
      </c>
      <c r="U274" s="280">
        <f>IF(AND(ISNUMBER(U270),ISNUMBER(U273)),IFERROR(U270/U273,""),"")</f>
        <v>1.19760479041916</v>
      </c>
      <c r="V274" s="280">
        <f>IF(AND(ISNUMBER(V270),ISNUMBER(V273)),IFERROR(V270/V273,""),"")</f>
        <v>1.44356955380577</v>
      </c>
      <c r="W274" s="280">
        <f>IF(AND(ISNUMBER(W270),ISNUMBER(W273)),IFERROR(W270/W273,""),"")</f>
        <v>1.4361100640784</v>
      </c>
      <c r="X274" s="280">
        <f>IF(AND(ISNUMBER(X270),ISNUMBER(X273)),IFERROR(X270/X273,""),"")</f>
        <v>1.27675840978593</v>
      </c>
      <c r="Y274" s="280">
        <f>IF(AND(ISNUMBER(Y270),ISNUMBER(Y273)),IFERROR(Y270/Y273,""),"")</f>
        <v>5.35444947209653</v>
      </c>
      <c r="Z274" s="280">
        <f>IF(AND(ISNUMBER(Z270),ISNUMBER(Z273)),IFERROR(Z270/Z273,""),"")</f>
        <v>1.6180981595092</v>
      </c>
      <c r="AA274" s="280">
        <f>IF(AND(ISNUMBER(AA270),ISNUMBER(AA273)),IFERROR(AA270/AA273,""),"")</f>
        <v>1.71604463255098</v>
      </c>
      <c r="AB274" s="280">
        <f>IF(AND(ISNUMBER(AB270),ISNUMBER(AB273)),IFERROR(AB270/AB273,""),"")</f>
        <v>1.71384257464133</v>
      </c>
      <c r="AC274" s="280">
        <f>IF(AND(ISNUMBER(AC270),ISNUMBER(AC273)),IFERROR(AC270/AC273,""),"")</f>
        <v>1.8443579766537</v>
      </c>
      <c r="AD274" s="280">
        <f>IF(AND(ISNUMBER(AD270),ISNUMBER(AD273)),IFERROR(AD270/AD273,""),"")</f>
        <v>6.89069138663577</v>
      </c>
      <c r="AE274" s="280">
        <f>IF(AND(ISNUMBER(AE270),ISNUMBER(AE273)),IFERROR(AE270/AE273,""),"")</f>
        <v>2.00078616352201</v>
      </c>
      <c r="AF274" s="280">
        <f>IF(AND(ISNUMBER(AF270),ISNUMBER(AF273)),IFERROR(AF270/AF273,""),"")</f>
        <v>2.16739044611133</v>
      </c>
      <c r="AG274" s="280">
        <f>IF(AND(ISNUMBER(AG270),ISNUMBER(AG273)),IFERROR(AG270/AG273,""),"")</f>
        <v>2.11439842209073</v>
      </c>
      <c r="AH274" s="280">
        <f>IF(AND(ISNUMBER(AH270),ISNUMBER(AH273)),IFERROR(AH270/AH273,""),"")</f>
        <v>2.22266401590457</v>
      </c>
      <c r="AI274" s="280">
        <f>IF(AND(ISNUMBER(AI270),ISNUMBER(AI273)),IFERROR(AI270/AI273,""),"")</f>
        <v>8.49921011058452</v>
      </c>
      <c r="AJ274" s="280">
        <f>IF(AND(ISNUMBER(AJ270),ISNUMBER(AJ273)),IFERROR(AJ270/AJ273,""),"")</f>
        <v>2.11035038260169</v>
      </c>
      <c r="AK274" s="280">
        <f>IF(AND(ISNUMBER(AK270),ISNUMBER(AK273)),IFERROR(AK270/AK273,""),"")</f>
        <v>2.42926434923201</v>
      </c>
      <c r="AL274" s="280">
        <f>IF(AND(ISNUMBER(AL270),ISNUMBER(AL273)),IFERROR(AL270/AL273,""),"")</f>
        <v>2.45841784989858</v>
      </c>
      <c r="AM274" s="280">
        <f>IF(AND(ISNUMBER(AM270),ISNUMBER(AM273)),IFERROR(AM270/AM273,""),"")</f>
        <v>2.5285016286645</v>
      </c>
      <c r="AN274" s="280">
        <f>IF(AND(ISNUMBER(AN270),ISNUMBER(AN273)),IFERROR(AN270/AN273,""),"")</f>
        <v>9.52612393681653</v>
      </c>
      <c r="AO274" s="280">
        <f>IF(AND(ISNUMBER(AO270),ISNUMBER(AO273)),IFERROR(AO270/AO273,""),"")</f>
        <v>2.73325113029182</v>
      </c>
      <c r="AP274" s="280">
        <f>IF(AND(ISNUMBER(AP270),ISNUMBER(AP273)),IFERROR(AP270/AP273,""),"")</f>
        <v>3.39809838776354</v>
      </c>
      <c r="AQ274" s="280">
        <f>IF(AND(ISNUMBER(AQ270),ISNUMBER(AQ273)),IFERROR(AQ270/AQ273,""),"")</f>
        <v>2.85182119205298</v>
      </c>
      <c r="AR274" s="280">
        <f>IF(AND(ISNUMBER(AR270),ISNUMBER(AR273)),IFERROR(AR270/AR273,""),"")</f>
        <v>2.70583367811336</v>
      </c>
      <c r="AS274" s="280">
        <f>IF(AND(ISNUMBER(AS270),ISNUMBER(AS273)),IFERROR(AS270/AS273,""),"")</f>
        <v>11.6893845518381</v>
      </c>
      <c r="AT274" s="280">
        <f>IF(AND(ISNUMBER(AT270),ISNUMBER(AT273)),IFERROR(AT270/AT273,""),"")</f>
        <v>3.39403973509934</v>
      </c>
      <c r="AU274" s="280">
        <f>IF(AND(ISNUMBER(AU270),ISNUMBER(AU273)),IFERROR(AU270/AU273,""),"")</f>
        <v>3.61869313482217</v>
      </c>
      <c r="AV274" s="280">
        <f>IF(AND(ISNUMBER(AV270),ISNUMBER(AV273)),IFERROR(AV270/AV273,""),"")</f>
        <v>3.53744311129499</v>
      </c>
      <c r="AW274" s="280">
        <f>IF(AND(ISNUMBER(AW270),ISNUMBER(AW273)),IFERROR(AW270/AW273,""),"")</f>
        <v>3.14745972738538</v>
      </c>
      <c r="AX274" s="280">
        <f>IF(AND(ISNUMBER(AX270),ISNUMBER(AX273)),IFERROR(AX270/AX273,""),"")</f>
        <v>13.6931348221671</v>
      </c>
      <c r="AY274" s="280">
        <f>IF(AND(ISNUMBER(AY270),ISNUMBER(AY273)),IFERROR(AY270/AY273,""),"")</f>
        <v>3.11255881288455</v>
      </c>
      <c r="AZ274" s="280">
        <f>IF(AND(ISNUMBER(AZ270),ISNUMBER(AZ273)),IFERROR(AZ270/AZ273,""),"")</f>
        <v>2.81461833185971</v>
      </c>
      <c r="BA274" s="280">
        <f>IF(AND(ISNUMBER(BA270),ISNUMBER(BA273)),IFERROR(BA270/BA273,""),"")</f>
        <v>2.92535509217286</v>
      </c>
      <c r="BB274" s="280">
        <f>IF(AND(ISNUMBER(BB270),ISNUMBER(BB273)),IFERROR(BB270/BB273,""),"")</f>
        <v>2.54305043050431</v>
      </c>
      <c r="BC274" s="280">
        <f>IF(AND(ISNUMBER(BC270),ISNUMBER(BC273)),IFERROR(BC270/BC273,""),"")</f>
        <v>11.3343799058085</v>
      </c>
      <c r="BD274" s="280">
        <f>IF(AND(ISNUMBER(BD270),ISNUMBER(BD273)),IFERROR(BD270/BD273,""),"")</f>
        <v>3.14498602918348</v>
      </c>
      <c r="BE274" s="280">
        <f>IF(AND(ISNUMBER(BE270),ISNUMBER(BE273)),IFERROR(BE270/BE273,""),"")</f>
        <v>3.11444652908068</v>
      </c>
      <c r="BF274" s="280">
        <f>IF(AND(ISNUMBER(BF270),ISNUMBER(BF273)),IFERROR(BF270/BF273,""),"")</f>
        <v>3.21383647798742</v>
      </c>
      <c r="BG274" s="280">
        <f>IF(AND(ISNUMBER(BG270),ISNUMBER(BG273)),IFERROR(BG270/BG273,""),"")</f>
        <v>3.12757201646091</v>
      </c>
      <c r="BH274" s="280">
        <f>IF(AND(ISNUMBER(BH270),ISNUMBER(BH273)),IFERROR(BH270/BH273,""),"")</f>
        <v>12.6026967701474</v>
      </c>
      <c r="BI274" s="280">
        <f>IF(AND(ISNUMBER(BI270),ISNUMBER(BI273)),IFERROR(BI270/BI273,""),"")</f>
        <v>4.00636942675159</v>
      </c>
      <c r="BJ274" s="280">
        <f>IF(AND(ISNUMBER(BJ270),ISNUMBER(BJ273)),IFERROR(BJ270/BJ273,""),"")</f>
        <v>4.04533844189017</v>
      </c>
      <c r="BK274" s="280">
        <f>IF(AND(ISNUMBER(BK270),ISNUMBER(BK273)),IFERROR(BK270/BK273,""),"")</f>
        <v>3.88443017656501</v>
      </c>
      <c r="BL274" s="280">
        <f>IF(AND(ISNUMBER(BL270),ISNUMBER(BL273)),IFERROR(BL270/BL273,""),"")</f>
        <v>3.76497248300421</v>
      </c>
      <c r="BM274" s="280">
        <f>IF(AND(ISNUMBER(BM270),ISNUMBER(BM273)),IFERROR(BM270/BM273,""),"")</f>
        <v>15.7037512023084</v>
      </c>
      <c r="BN274" s="280">
        <f>IF(AND(ISNUMBER(BN270),ISNUMBER(BN273)),IFERROR(BN270/BN273,""),"")</f>
        <v>3.89340266493338</v>
      </c>
      <c r="BO274" s="280">
        <f>IF(AND(ISNUMBER(BO270),ISNUMBER(BO273)),IFERROR(BO270/BO273,""),"")</f>
        <v>3.92355439398889</v>
      </c>
      <c r="BP274" s="280">
        <f>IF(AND(ISNUMBER(BP270),ISNUMBER(BP273)),IFERROR(BP270/BP273,""),"")</f>
        <v>4.19704433497537</v>
      </c>
      <c r="BQ274" s="280">
        <f>IF(AND(ISNUMBER(BQ270),ISNUMBER(BQ273)),IFERROR(BQ270/BQ273,""),"")</f>
        <v>3.82654750082754</v>
      </c>
      <c r="BR274" s="280">
        <f>IF(AND(ISNUMBER(BR270),ISNUMBER(BR273)),IFERROR(BR270/BR273,""),"")</f>
        <v>15.8374303507047</v>
      </c>
      <c r="BS274" s="280">
        <f>IF(AND(ISNUMBER(BS270),ISNUMBER(BS273)),IFERROR(BS270/BS273,""),"")</f>
        <v>4.44556451612903</v>
      </c>
      <c r="BT274" s="280">
        <f>IF(AND(ISNUMBER(BT270),ISNUMBER(BT273)),IFERROR(BT270/BT273,""),"")</f>
        <v>4.83587140439932</v>
      </c>
      <c r="BU274" s="280">
        <f>IF(AND(ISNUMBER(BU270),ISNUMBER(BU273)),IFERROR(BU270/BU273,""),"")</f>
        <v>4.30785491217078</v>
      </c>
      <c r="BV274" s="280">
        <f>IF(AND(ISNUMBER(BV270),ISNUMBER(BV273)),IFERROR(BV270/BV273,""),"")</f>
        <v>4.01969822536942</v>
      </c>
      <c r="BW274" s="280">
        <f>IF(AND(ISNUMBER(BW270),ISNUMBER(BW273)),IFERROR(BW270/BW273,""),"")</f>
        <v>17.625</v>
      </c>
      <c r="BX274" s="280">
        <f>IF(AND(ISNUMBER(BX270),ISNUMBER(BX273)),IFERROR(BX270/BX273,""),"")</f>
        <v>19.998919789305</v>
      </c>
      <c r="BY274" s="280">
        <f>IF(AND(ISNUMBER(BY270),ISNUMBER(BY273)),IFERROR(BY270/BY273,""),"")</f>
        <v>22.4287558832134</v>
      </c>
      <c r="BZ274" s="280">
        <f>IF(AND(ISNUMBER(BZ270),ISNUMBER(BZ273)),IFERROR(BZ270/BZ273,""),"")</f>
        <v>24.9243267879223</v>
      </c>
      <c r="CA274" s="280">
        <f>IF(AND(ISNUMBER(CA270),ISNUMBER(CA273)),IFERROR(CA270/CA273,""),"")</f>
        <v>27.7473405014697</v>
      </c>
      <c r="CB274" s="280">
        <f>IF(AND(ISNUMBER(CB270),ISNUMBER(CB273)),IFERROR(CB270/CB273,""),"")</f>
        <v>30.8801045255103</v>
      </c>
      <c r="CC274" s="19" t="n"/>
      <c r="CE274" s="20">
        <f>IFERROR((CB274/BW274)^(1/5)-1,"n/m")</f>
        <v>0.118690441195083</v>
      </c>
      <c r="CF274" s="20">
        <f>IFERROR((BR274/AS274)^(1/5)-1,"n/m")</f>
        <v>0.0626215382755624</v>
      </c>
      <c r="CG274" s="20">
        <f>IFERROR((BR274/T274)^(1/10)-1,"n/m")</f>
        <v>0.133330266354644</v>
      </c>
      <c r="CH274" s="20" t="str">
        <f>IFERROR((BR274/C274)^(1/15)-1,"n/m")</f>
        <v>n/m</v>
      </c>
    </row>
    <row r="275" ht="15" customHeight="1" s="251">
      <c r="B275" s="156" t="inlineStr">
        <is>
          <t xml:space="preserve">  Company-published adjusted diluted EPS ($)</t>
        </is>
      </c>
      <c r="C275" s="27" t="n"/>
      <c r="D275" s="281" t="n">
        <v>2.09</v>
      </c>
      <c r="E275" s="281" t="n">
        <v>2.75</v>
      </c>
      <c r="F275" s="281" t="n">
        <v>0.8</v>
      </c>
      <c r="G275" s="281" t="n">
        <v>0.92</v>
      </c>
      <c r="H275" s="281" t="n">
        <v>0.8</v>
      </c>
      <c r="I275" s="281" t="n">
        <v>0.8100000000000001</v>
      </c>
      <c r="J275" s="281" t="n">
        <v>3.33</v>
      </c>
      <c r="K275" s="281" t="n">
        <v>0.89</v>
      </c>
      <c r="L275" s="281" t="n">
        <v>1.06</v>
      </c>
      <c r="M275" s="281" t="n">
        <v>1.02</v>
      </c>
      <c r="N275" s="281" t="n">
        <v>0.95</v>
      </c>
      <c r="O275" s="281" t="n">
        <v>3.88</v>
      </c>
      <c r="P275" s="281" t="n">
        <v>1.09</v>
      </c>
      <c r="Q275" s="281" t="n">
        <v>1.21</v>
      </c>
      <c r="R275" s="281" t="n">
        <v>1.19</v>
      </c>
      <c r="S275" s="281" t="n">
        <v>1.04</v>
      </c>
      <c r="T275" s="281" t="n">
        <v>4.53</v>
      </c>
      <c r="U275" s="281" t="n">
        <v>1.2</v>
      </c>
      <c r="V275" s="281" t="n">
        <v>1.44</v>
      </c>
      <c r="W275" s="281" t="n">
        <v>1.43</v>
      </c>
      <c r="X275" s="281" t="n">
        <v>1.28</v>
      </c>
      <c r="Y275" s="281" t="n">
        <v>5.35</v>
      </c>
      <c r="Z275" s="281" t="n">
        <v>1.62</v>
      </c>
      <c r="AA275" s="281" t="n">
        <v>1.72</v>
      </c>
      <c r="AB275" s="281" t="n">
        <v>1.71</v>
      </c>
      <c r="AC275" s="281" t="n">
        <v>1.85</v>
      </c>
      <c r="AD275" s="281" t="n">
        <v>6.89</v>
      </c>
      <c r="AE275" s="281" t="n">
        <v>2</v>
      </c>
      <c r="AF275" s="281" t="n">
        <v>2.17</v>
      </c>
      <c r="AG275" s="281" t="n">
        <v>2.11</v>
      </c>
      <c r="AH275" s="281" t="n">
        <v>2.22</v>
      </c>
      <c r="AI275" s="281" t="n">
        <v>8.5</v>
      </c>
      <c r="AJ275" s="281" t="n">
        <v>2.11</v>
      </c>
      <c r="AK275" s="281" t="n">
        <v>2.43</v>
      </c>
      <c r="AL275" s="281" t="n">
        <v>2.46</v>
      </c>
      <c r="AM275" s="281" t="n">
        <v>2.53</v>
      </c>
      <c r="AN275" s="281" t="n">
        <v>9.529999999999999</v>
      </c>
      <c r="AO275" s="281" t="n">
        <v>2.73</v>
      </c>
      <c r="AP275" s="281" t="n">
        <v>3.4</v>
      </c>
      <c r="AQ275" s="281" t="n">
        <v>2.85</v>
      </c>
      <c r="AR275" s="281" t="n">
        <v>2.71</v>
      </c>
      <c r="AS275" s="281" t="n">
        <v>11.69</v>
      </c>
      <c r="AT275" s="281" t="n">
        <v>3.39</v>
      </c>
      <c r="AU275" s="281" t="n">
        <v>3.62</v>
      </c>
      <c r="AV275" s="281" t="n">
        <v>3.54</v>
      </c>
      <c r="AW275" s="281" t="n">
        <v>3.15</v>
      </c>
      <c r="AX275" s="281" t="n">
        <v>13.7</v>
      </c>
      <c r="AY275" s="27" t="n"/>
      <c r="AZ275" s="281" t="n">
        <v>2.81</v>
      </c>
      <c r="BA275" s="281" t="n">
        <v>2.93</v>
      </c>
      <c r="BB275" s="281" t="n">
        <v>2.54</v>
      </c>
      <c r="BC275" s="27" t="n"/>
      <c r="BD275" s="281" t="n">
        <v>3.15</v>
      </c>
      <c r="BE275" s="281" t="n">
        <v>3.12</v>
      </c>
      <c r="BF275" s="281" t="n">
        <v>3.21</v>
      </c>
      <c r="BG275" s="281" t="n">
        <v>3.13</v>
      </c>
      <c r="BH275" s="281" t="n">
        <v>12.6</v>
      </c>
      <c r="BI275" s="281" t="n">
        <v>4.01</v>
      </c>
      <c r="BJ275" s="281" t="n">
        <v>4.04</v>
      </c>
      <c r="BK275" s="281" t="n">
        <v>3.89</v>
      </c>
      <c r="BL275" s="281" t="n">
        <v>3.77</v>
      </c>
      <c r="BM275" s="281" t="n">
        <v>15.7</v>
      </c>
      <c r="BN275" s="281" t="n">
        <v>3.9</v>
      </c>
      <c r="BO275" s="281" t="n">
        <v>3.92</v>
      </c>
      <c r="BP275" s="281" t="n">
        <v>4.2</v>
      </c>
      <c r="BQ275" s="281" t="n">
        <v>3.82</v>
      </c>
      <c r="BR275" s="281" t="n">
        <v>15.85</v>
      </c>
      <c r="BS275" s="281" t="n">
        <v>4.44</v>
      </c>
      <c r="BT275" s="281" t="n">
        <v>4.83</v>
      </c>
      <c r="BU275" s="153" t="n"/>
      <c r="BV275" s="153" t="n"/>
      <c r="BW275" s="153" t="n"/>
      <c r="BX275" s="153" t="n"/>
      <c r="BY275" s="153" t="n"/>
      <c r="BZ275" s="153" t="n"/>
      <c r="CA275" s="153" t="n"/>
      <c r="CB275" s="153" t="n"/>
      <c r="CC275" s="153" t="n"/>
    </row>
    <row r="276" ht="15" customHeight="1" s="251">
      <c r="B276" s="57" t="inlineStr">
        <is>
          <t xml:space="preserve">  Check: model vs company-published (should be 0.00; ±0.02 rounding)</t>
        </is>
      </c>
      <c r="C276" s="282" t="str">
        <f>IF(AND(ISNUMBER(C275),ISNUMBER(C274)),IF(ABS(C274-C275)&lt;=0.0201,0,ROUND(C274-C275,2)),"n/p")</f>
        <v>n/p</v>
      </c>
      <c r="D276" s="282">
        <f>IF(AND(ISNUMBER(D275),ISNUMBER(D274)),IF(ABS(D274-D275)&lt;=0.0201,0,ROUND(D274-D275,2)),"n/p")</f>
        <v>0</v>
      </c>
      <c r="E276" s="282">
        <f>IF(AND(ISNUMBER(E275),ISNUMBER(E274)),IF(ABS(E274-E275)&lt;=0.0201,0,ROUND(E274-E275,2)),"n/p")</f>
        <v>0</v>
      </c>
      <c r="F276" s="282">
        <f>IF(AND(ISNUMBER(F275),ISNUMBER(F274)),IF(ABS(F274-F275)&lt;=0.0201,0,ROUND(F274-F275,2)),"n/p")</f>
        <v>0</v>
      </c>
      <c r="G276" s="282">
        <f>IF(AND(ISNUMBER(G275),ISNUMBER(G274)),IF(ABS(G274-G275)&lt;=0.0201,0,ROUND(G274-G275,2)),"n/p")</f>
        <v>0</v>
      </c>
      <c r="H276" s="282">
        <f>IF(AND(ISNUMBER(H275),ISNUMBER(H274)),IF(ABS(H274-H275)&lt;=0.0201,0,ROUND(H274-H275,2)),"n/p")</f>
        <v>0</v>
      </c>
      <c r="I276" s="282">
        <f>IF(AND(ISNUMBER(I275),ISNUMBER(I274)),IF(ABS(I274-I275)&lt;=0.0201,0,ROUND(I274-I275,2)),"n/p")</f>
        <v>0</v>
      </c>
      <c r="J276" s="282">
        <f>IF(AND(ISNUMBER(J275),ISNUMBER(J274)),IF(ABS(J274-J275)&lt;=0.0201,0,ROUND(J274-J275,2)),"n/p")</f>
        <v>0</v>
      </c>
      <c r="K276" s="282">
        <f>IF(AND(ISNUMBER(K275),ISNUMBER(K274)),IF(ABS(K274-K275)&lt;=0.0201,0,ROUND(K274-K275,2)),"n/p")</f>
        <v>0</v>
      </c>
      <c r="L276" s="282">
        <f>IF(AND(ISNUMBER(L275),ISNUMBER(L274)),IF(ABS(L274-L275)&lt;=0.0201,0,ROUND(L274-L275,2)),"n/p")</f>
        <v>0</v>
      </c>
      <c r="M276" s="282">
        <f>IF(AND(ISNUMBER(M275),ISNUMBER(M274)),IF(ABS(M274-M275)&lt;=0.0201,0,ROUND(M274-M275,2)),"n/p")</f>
        <v>0</v>
      </c>
      <c r="N276" s="282">
        <f>IF(AND(ISNUMBER(N275),ISNUMBER(N274)),IF(ABS(N274-N275)&lt;=0.0201,0,ROUND(N274-N275,2)),"n/p")</f>
        <v>0</v>
      </c>
      <c r="O276" s="282">
        <f>IF(AND(ISNUMBER(O275),ISNUMBER(O274)),IF(ABS(O274-O275)&lt;=0.0201,0,ROUND(O274-O275,2)),"n/p")</f>
        <v>0</v>
      </c>
      <c r="P276" s="282">
        <f>IF(AND(ISNUMBER(P275),ISNUMBER(P274)),IF(ABS(P274-P275)&lt;=0.0201,0,ROUND(P274-P275,2)),"n/p")</f>
        <v>0</v>
      </c>
      <c r="Q276" s="282">
        <f>IF(AND(ISNUMBER(Q275),ISNUMBER(Q274)),IF(ABS(Q274-Q275)&lt;=0.0201,0,ROUND(Q274-Q275,2)),"n/p")</f>
        <v>0</v>
      </c>
      <c r="R276" s="282">
        <f>IF(AND(ISNUMBER(R275),ISNUMBER(R274)),IF(ABS(R274-R275)&lt;=0.0201,0,ROUND(R274-R275,2)),"n/p")</f>
        <v>0</v>
      </c>
      <c r="S276" s="282">
        <f>IF(AND(ISNUMBER(S275),ISNUMBER(S274)),IF(ABS(S274-S275)&lt;=0.0201,0,ROUND(S274-S275,2)),"n/p")</f>
        <v>0</v>
      </c>
      <c r="T276" s="282">
        <f>IF(AND(ISNUMBER(T275),ISNUMBER(T274)),IF(ABS(T274-T275)&lt;=0.0201,0,ROUND(T274-T275,2)),"n/p")</f>
        <v>0</v>
      </c>
      <c r="U276" s="282">
        <f>IF(AND(ISNUMBER(U275),ISNUMBER(U274)),IF(ABS(U274-U275)&lt;=0.0201,0,ROUND(U274-U275,2)),"n/p")</f>
        <v>0</v>
      </c>
      <c r="V276" s="282">
        <f>IF(AND(ISNUMBER(V275),ISNUMBER(V274)),IF(ABS(V274-V275)&lt;=0.0201,0,ROUND(V274-V275,2)),"n/p")</f>
        <v>0</v>
      </c>
      <c r="W276" s="282">
        <f>IF(AND(ISNUMBER(W275),ISNUMBER(W274)),IF(ABS(W274-W275)&lt;=0.0201,0,ROUND(W274-W275,2)),"n/p")</f>
        <v>0</v>
      </c>
      <c r="X276" s="282">
        <f>IF(AND(ISNUMBER(X275),ISNUMBER(X274)),IF(ABS(X274-X275)&lt;=0.0201,0,ROUND(X274-X275,2)),"n/p")</f>
        <v>0</v>
      </c>
      <c r="Y276" s="282">
        <f>IF(AND(ISNUMBER(Y275),ISNUMBER(Y274)),IF(ABS(Y274-Y275)&lt;=0.0201,0,ROUND(Y274-Y275,2)),"n/p")</f>
        <v>0</v>
      </c>
      <c r="Z276" s="282">
        <f>IF(AND(ISNUMBER(Z275),ISNUMBER(Z274)),IF(ABS(Z274-Z275)&lt;=0.0201,0,ROUND(Z274-Z275,2)),"n/p")</f>
        <v>0</v>
      </c>
      <c r="AA276" s="282">
        <f>IF(AND(ISNUMBER(AA275),ISNUMBER(AA274)),IF(ABS(AA274-AA275)&lt;=0.0201,0,ROUND(AA274-AA275,2)),"n/p")</f>
        <v>0</v>
      </c>
      <c r="AB276" s="282">
        <f>IF(AND(ISNUMBER(AB275),ISNUMBER(AB274)),IF(ABS(AB274-AB275)&lt;=0.0201,0,ROUND(AB274-AB275,2)),"n/p")</f>
        <v>0</v>
      </c>
      <c r="AC276" s="282">
        <f>IF(AND(ISNUMBER(AC275),ISNUMBER(AC274)),IF(ABS(AC274-AC275)&lt;=0.0201,0,ROUND(AC274-AC275,2)),"n/p")</f>
        <v>0</v>
      </c>
      <c r="AD276" s="282">
        <f>IF(AND(ISNUMBER(AD275),ISNUMBER(AD274)),IF(ABS(AD274-AD275)&lt;=0.0201,0,ROUND(AD274-AD275,2)),"n/p")</f>
        <v>0</v>
      </c>
      <c r="AE276" s="282">
        <f>IF(AND(ISNUMBER(AE275),ISNUMBER(AE274)),IF(ABS(AE274-AE275)&lt;=0.0201,0,ROUND(AE274-AE275,2)),"n/p")</f>
        <v>0</v>
      </c>
      <c r="AF276" s="282">
        <f>IF(AND(ISNUMBER(AF275),ISNUMBER(AF274)),IF(ABS(AF274-AF275)&lt;=0.0201,0,ROUND(AF274-AF275,2)),"n/p")</f>
        <v>0</v>
      </c>
      <c r="AG276" s="282">
        <f>IF(AND(ISNUMBER(AG275),ISNUMBER(AG274)),IF(ABS(AG274-AG275)&lt;=0.0201,0,ROUND(AG274-AG275,2)),"n/p")</f>
        <v>0</v>
      </c>
      <c r="AH276" s="282">
        <f>IF(AND(ISNUMBER(AH275),ISNUMBER(AH274)),IF(ABS(AH274-AH275)&lt;=0.0201,0,ROUND(AH274-AH275,2)),"n/p")</f>
        <v>0</v>
      </c>
      <c r="AI276" s="282">
        <f>IF(AND(ISNUMBER(AI275),ISNUMBER(AI274)),IF(ABS(AI274-AI275)&lt;=0.0201,0,ROUND(AI274-AI275,2)),"n/p")</f>
        <v>0</v>
      </c>
      <c r="AJ276" s="282">
        <f>IF(AND(ISNUMBER(AJ275),ISNUMBER(AJ274)),IF(ABS(AJ274-AJ275)&lt;=0.0201,0,ROUND(AJ274-AJ275,2)),"n/p")</f>
        <v>0</v>
      </c>
      <c r="AK276" s="282">
        <f>IF(AND(ISNUMBER(AK275),ISNUMBER(AK274)),IF(ABS(AK274-AK275)&lt;=0.0201,0,ROUND(AK274-AK275,2)),"n/p")</f>
        <v>0</v>
      </c>
      <c r="AL276" s="282">
        <f>IF(AND(ISNUMBER(AL275),ISNUMBER(AL274)),IF(ABS(AL274-AL275)&lt;=0.0201,0,ROUND(AL274-AL275,2)),"n/p")</f>
        <v>0</v>
      </c>
      <c r="AM276" s="282">
        <f>IF(AND(ISNUMBER(AM275),ISNUMBER(AM274)),IF(ABS(AM274-AM275)&lt;=0.0201,0,ROUND(AM274-AM275,2)),"n/p")</f>
        <v>0</v>
      </c>
      <c r="AN276" s="282">
        <f>IF(AND(ISNUMBER(AN275),ISNUMBER(AN274)),IF(ABS(AN274-AN275)&lt;=0.0201,0,ROUND(AN274-AN275,2)),"n/p")</f>
        <v>0</v>
      </c>
      <c r="AO276" s="282">
        <f>IF(AND(ISNUMBER(AO275),ISNUMBER(AO274)),IF(ABS(AO274-AO275)&lt;=0.0201,0,ROUND(AO274-AO275,2)),"n/p")</f>
        <v>0</v>
      </c>
      <c r="AP276" s="282">
        <f>IF(AND(ISNUMBER(AP275),ISNUMBER(AP274)),IF(ABS(AP274-AP275)&lt;=0.0201,0,ROUND(AP274-AP275,2)),"n/p")</f>
        <v>0</v>
      </c>
      <c r="AQ276" s="282">
        <f>IF(AND(ISNUMBER(AQ275),ISNUMBER(AQ274)),IF(ABS(AQ274-AQ275)&lt;=0.0201,0,ROUND(AQ274-AQ275,2)),"n/p")</f>
        <v>0</v>
      </c>
      <c r="AR276" s="282">
        <f>IF(AND(ISNUMBER(AR275),ISNUMBER(AR274)),IF(ABS(AR274-AR275)&lt;=0.0201,0,ROUND(AR274-AR275,2)),"n/p")</f>
        <v>0</v>
      </c>
      <c r="AS276" s="282">
        <f>IF(AND(ISNUMBER(AS275),ISNUMBER(AS274)),IF(ABS(AS274-AS275)&lt;=0.0201,0,ROUND(AS274-AS275,2)),"n/p")</f>
        <v>0</v>
      </c>
      <c r="AT276" s="282">
        <f>IF(AND(ISNUMBER(AT275),ISNUMBER(AT274)),IF(ABS(AT274-AT275)&lt;=0.0201,0,ROUND(AT274-AT275,2)),"n/p")</f>
        <v>0</v>
      </c>
      <c r="AU276" s="282">
        <f>IF(AND(ISNUMBER(AU275),ISNUMBER(AU274)),IF(ABS(AU274-AU275)&lt;=0.0201,0,ROUND(AU274-AU275,2)),"n/p")</f>
        <v>0</v>
      </c>
      <c r="AV276" s="282">
        <f>IF(AND(ISNUMBER(AV275),ISNUMBER(AV274)),IF(ABS(AV274-AV275)&lt;=0.0201,0,ROUND(AV274-AV275,2)),"n/p")</f>
        <v>0</v>
      </c>
      <c r="AW276" s="282">
        <f>IF(AND(ISNUMBER(AW275),ISNUMBER(AW274)),IF(ABS(AW274-AW275)&lt;=0.0201,0,ROUND(AW274-AW275,2)),"n/p")</f>
        <v>0</v>
      </c>
      <c r="AX276" s="282">
        <f>IF(AND(ISNUMBER(AX275),ISNUMBER(AX274)),IF(ABS(AX274-AX275)&lt;=0.0201,0,ROUND(AX274-AX275,2)),"n/p")</f>
        <v>0</v>
      </c>
      <c r="AY276" s="282" t="str">
        <f>IF(AND(ISNUMBER(AY275),ISNUMBER(AY274)),IF(ABS(AY274-AY275)&lt;=0.0201,0,ROUND(AY274-AY275,2)),"n/p")</f>
        <v>n/p</v>
      </c>
      <c r="AZ276" s="282">
        <f>IF(AND(ISNUMBER(AZ275),ISNUMBER(AZ274)),IF(ABS(AZ274-AZ275)&lt;=0.0201,0,ROUND(AZ274-AZ275,2)),"n/p")</f>
        <v>0</v>
      </c>
      <c r="BA276" s="282">
        <f>IF(AND(ISNUMBER(BA275),ISNUMBER(BA274)),IF(ABS(BA274-BA275)&lt;=0.0201,0,ROUND(BA274-BA275,2)),"n/p")</f>
        <v>0</v>
      </c>
      <c r="BB276" s="282">
        <f>IF(AND(ISNUMBER(BB275),ISNUMBER(BB274)),IF(ABS(BB274-BB275)&lt;=0.0201,0,ROUND(BB274-BB275,2)),"n/p")</f>
        <v>0</v>
      </c>
      <c r="BC276" s="282" t="str">
        <f>IF(AND(ISNUMBER(BC275),ISNUMBER(BC274)),IF(ABS(BC274-BC275)&lt;=0.0201,0,ROUND(BC274-BC275,2)),"n/p")</f>
        <v>n/p</v>
      </c>
      <c r="BD276" s="282">
        <f>IF(AND(ISNUMBER(BD275),ISNUMBER(BD274)),IF(ABS(BD274-BD275)&lt;=0.0201,0,ROUND(BD274-BD275,2)),"n/p")</f>
        <v>0</v>
      </c>
      <c r="BE276" s="282">
        <f>IF(AND(ISNUMBER(BE275),ISNUMBER(BE274)),IF(ABS(BE274-BE275)&lt;=0.0201,0,ROUND(BE274-BE275,2)),"n/p")</f>
        <v>0</v>
      </c>
      <c r="BF276" s="282">
        <f>IF(AND(ISNUMBER(BF275),ISNUMBER(BF274)),IF(ABS(BF274-BF275)&lt;=0.0201,0,ROUND(BF274-BF275,2)),"n/p")</f>
        <v>0</v>
      </c>
      <c r="BG276" s="282">
        <f>IF(AND(ISNUMBER(BG275),ISNUMBER(BG274)),IF(ABS(BG274-BG275)&lt;=0.0201,0,ROUND(BG274-BG275,2)),"n/p")</f>
        <v>0</v>
      </c>
      <c r="BH276" s="282">
        <f>IF(AND(ISNUMBER(BH275),ISNUMBER(BH274)),IF(ABS(BH274-BH275)&lt;=0.0201,0,ROUND(BH274-BH275,2)),"n/p")</f>
        <v>0</v>
      </c>
      <c r="BI276" s="282">
        <f>IF(AND(ISNUMBER(BI275),ISNUMBER(BI274)),IF(ABS(BI274-BI275)&lt;=0.0201,0,ROUND(BI274-BI275,2)),"n/p")</f>
        <v>0</v>
      </c>
      <c r="BJ276" s="282">
        <f>IF(AND(ISNUMBER(BJ275),ISNUMBER(BJ274)),IF(ABS(BJ274-BJ275)&lt;=0.0201,0,ROUND(BJ274-BJ275,2)),"n/p")</f>
        <v>0</v>
      </c>
      <c r="BK276" s="282">
        <f>IF(AND(ISNUMBER(BK275),ISNUMBER(BK274)),IF(ABS(BK274-BK275)&lt;=0.0201,0,ROUND(BK274-BK275,2)),"n/p")</f>
        <v>0</v>
      </c>
      <c r="BL276" s="282">
        <f>IF(AND(ISNUMBER(BL275),ISNUMBER(BL274)),IF(ABS(BL274-BL275)&lt;=0.0201,0,ROUND(BL274-BL275,2)),"n/p")</f>
        <v>0</v>
      </c>
      <c r="BM276" s="282">
        <f>IF(AND(ISNUMBER(BM275),ISNUMBER(BM274)),IF(ABS(BM274-BM275)&lt;=0.0201,0,ROUND(BM274-BM275,2)),"n/p")</f>
        <v>0</v>
      </c>
      <c r="BN276" s="282">
        <f>IF(AND(ISNUMBER(BN275),ISNUMBER(BN274)),IF(ABS(BN274-BN275)&lt;=0.0201,0,ROUND(BN274-BN275,2)),"n/p")</f>
        <v>0</v>
      </c>
      <c r="BO276" s="282">
        <f>IF(AND(ISNUMBER(BO275),ISNUMBER(BO274)),IF(ABS(BO274-BO275)&lt;=0.0201,0,ROUND(BO274-BO275,2)),"n/p")</f>
        <v>0</v>
      </c>
      <c r="BP276" s="282">
        <f>IF(AND(ISNUMBER(BP275),ISNUMBER(BP274)),IF(ABS(BP274-BP275)&lt;=0.0201,0,ROUND(BP274-BP275,2)),"n/p")</f>
        <v>0</v>
      </c>
      <c r="BQ276" s="282">
        <f>IF(AND(ISNUMBER(BQ275),ISNUMBER(BQ274)),IF(ABS(BQ274-BQ275)&lt;=0.0201,0,ROUND(BQ274-BQ275,2)),"n/p")</f>
        <v>0</v>
      </c>
      <c r="BR276" s="282">
        <f>IF(AND(ISNUMBER(BR275),ISNUMBER(BR274)),IF(ABS(BR274-BR275)&lt;=0.0201,0,ROUND(BR274-BR275,2)),"n/p")</f>
        <v>0</v>
      </c>
      <c r="BS276" s="282">
        <f>IF(AND(ISNUMBER(BS275),ISNUMBER(BS274)),IF(ABS(BS274-BS275)&lt;=0.0201,0,ROUND(BS274-BS275,2)),"n/p")</f>
        <v>0</v>
      </c>
      <c r="BT276" s="282">
        <f>IF(AND(ISNUMBER(BT275),ISNUMBER(BT274)),IF(ABS(BT274-BT275)&lt;=0.0201,0,ROUND(BT274-BT275,2)),"n/p")</f>
        <v>0</v>
      </c>
      <c r="BU276" s="153" t="n"/>
      <c r="BV276" s="153" t="n"/>
      <c r="BW276" s="153" t="n"/>
      <c r="BX276" s="153" t="n"/>
      <c r="BY276" s="153" t="n"/>
      <c r="BZ276" s="153" t="n"/>
      <c r="CA276" s="153" t="n"/>
      <c r="CB276" s="153" t="n"/>
      <c r="CC276" s="153" t="n"/>
    </row>
    <row r="277" ht="15" customHeight="1" s="251">
      <c r="B277" s="156" t="inlineStr">
        <is>
          <t xml:space="preserve">  Memo: adjusted diluted EPS as originally published (2025–1H26 including Mobility)</t>
        </is>
      </c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  <c r="AA277" s="27" t="n"/>
      <c r="AB277" s="27" t="n"/>
      <c r="AC277" s="27" t="n"/>
      <c r="AD277" s="27" t="n"/>
      <c r="AE277" s="27" t="n"/>
      <c r="AF277" s="27" t="n"/>
      <c r="AG277" s="27" t="n"/>
      <c r="AH277" s="27" t="n"/>
      <c r="AI277" s="27" t="n"/>
      <c r="AJ277" s="27" t="n"/>
      <c r="AK277" s="27" t="n"/>
      <c r="AL277" s="27" t="n"/>
      <c r="AM277" s="27" t="n"/>
      <c r="AN277" s="27" t="n"/>
      <c r="AO277" s="27" t="n"/>
      <c r="AP277" s="27" t="n"/>
      <c r="AQ277" s="27" t="n"/>
      <c r="AR277" s="27" t="n"/>
      <c r="AS277" s="27" t="n"/>
      <c r="AT277" s="27" t="n"/>
      <c r="AU277" s="27" t="n"/>
      <c r="AV277" s="27" t="n"/>
      <c r="AW277" s="27" t="n"/>
      <c r="AX277" s="27" t="n"/>
      <c r="AY277" s="27" t="n"/>
      <c r="AZ277" s="27" t="n"/>
      <c r="BA277" s="27" t="n"/>
      <c r="BB277" s="27" t="n"/>
      <c r="BC277" s="27" t="n"/>
      <c r="BD277" s="27" t="n"/>
      <c r="BE277" s="27" t="n"/>
      <c r="BF277" s="27" t="n"/>
      <c r="BG277" s="27" t="n"/>
      <c r="BH277" s="27" t="n"/>
      <c r="BI277" s="27" t="n"/>
      <c r="BJ277" s="27" t="n"/>
      <c r="BK277" s="27" t="n"/>
      <c r="BL277" s="27" t="n"/>
      <c r="BM277" s="27" t="n"/>
      <c r="BN277" s="281" t="n">
        <v>4.37</v>
      </c>
      <c r="BO277" s="281" t="n">
        <v>4.43</v>
      </c>
      <c r="BP277" s="281" t="n">
        <v>4.73</v>
      </c>
      <c r="BQ277" s="281" t="n">
        <v>4.3</v>
      </c>
      <c r="BR277" s="281" t="n">
        <v>17.83</v>
      </c>
      <c r="BS277" s="281" t="n">
        <v>4.97</v>
      </c>
      <c r="BT277" s="27" t="n"/>
      <c r="BU277" s="153" t="n"/>
      <c r="BV277" s="153" t="n"/>
      <c r="BW277" s="153" t="n"/>
      <c r="BX277" s="153" t="n"/>
      <c r="BY277" s="153" t="n"/>
      <c r="BZ277" s="153" t="n"/>
      <c r="CA277" s="153" t="n"/>
      <c r="CB277" s="153" t="n"/>
      <c r="CC277" s="153" t="n"/>
    </row>
    <row r="278" ht="15" customHeight="1" s="251">
      <c r="B278" s="22" t="inlineStr">
        <is>
          <t xml:space="preserve">  Adjusted EPS y/y %</t>
        </is>
      </c>
      <c r="C278" s="23" t="n"/>
      <c r="D278" s="255">
        <f>IF(AND(ISNUMBER(D274),ISNUMBER(C274)),IFERROR(D274/C274-1,""),"")</f>
      </c>
      <c r="E278" s="255">
        <f>IF(AND(ISNUMBER(E274),ISNUMBER(D274)),IFERROR(E274/D274-1,""),"")</f>
        <v>0.317465877173342</v>
      </c>
      <c r="F278" s="23" t="n"/>
      <c r="G278" s="23" t="n"/>
      <c r="H278" s="23" t="n"/>
      <c r="I278" s="23" t="n"/>
      <c r="J278" s="255">
        <f>IF(AND(ISNUMBER(J274),ISNUMBER(E274)),IFERROR(J274/E274-1,""),"")</f>
        <v>0.209414314366127</v>
      </c>
      <c r="K278" s="255">
        <f>IF(AND(ISNUMBER(K274),ISNUMBER(F274)),IFERROR(K274/F274-1,""),"")</f>
        <v>0.115579352421458</v>
      </c>
      <c r="L278" s="255">
        <f>IF(AND(ISNUMBER(L274),ISNUMBER(G274)),IFERROR(L274/G274-1,""),"")</f>
        <v>0.145240051467283</v>
      </c>
      <c r="M278" s="255">
        <f>IF(AND(ISNUMBER(M274),ISNUMBER(H274)),IFERROR(M274/H274-1,""),"")</f>
        <v>0.281392503614726</v>
      </c>
      <c r="N278" s="255">
        <f>IF(AND(ISNUMBER(N274),ISNUMBER(I274)),IFERROR(N274/I274-1,""),"")</f>
        <v>0.191571714783919</v>
      </c>
      <c r="O278" s="255">
        <f>IF(AND(ISNUMBER(O274),ISNUMBER(J274)),IFERROR(O274/J274-1,""),"")</f>
        <v>0.167546205951415</v>
      </c>
      <c r="P278" s="255">
        <f>IF(AND(ISNUMBER(P274),ISNUMBER(K274)),IFERROR(P274/K274-1,""),"")</f>
        <v>0.209572344226122</v>
      </c>
      <c r="Q278" s="255">
        <f>IF(AND(ISNUMBER(Q274),ISNUMBER(L274)),IFERROR(Q274/L274-1,""),"")</f>
        <v>0.148924779266723</v>
      </c>
      <c r="R278" s="255">
        <f>IF(AND(ISNUMBER(R274),ISNUMBER(M274)),IFERROR(R274/M274-1,""),"")</f>
        <v>0.160798584812674</v>
      </c>
      <c r="S278" s="255">
        <f>IF(AND(ISNUMBER(S274),ISNUMBER(N274)),IFERROR(S274/N274-1,""),"")</f>
        <v>0.0919670798391856</v>
      </c>
      <c r="T278" s="255">
        <f>IF(AND(ISNUMBER(T274),ISNUMBER(O274)),IFERROR(T274/O274-1,""),"")</f>
        <v>0.166121492313822</v>
      </c>
      <c r="U278" s="255">
        <f>IF(AND(ISNUMBER(U274),ISNUMBER(P274)),IFERROR(U274/P274-1,""),"")</f>
        <v>0.106682955159914</v>
      </c>
      <c r="V278" s="255">
        <f>IF(AND(ISNUMBER(V274),ISNUMBER(Q274)),IFERROR(V274/Q274-1,""),"")</f>
        <v>0.188036196967916</v>
      </c>
      <c r="W278" s="255">
        <f>IF(AND(ISNUMBER(W274),ISNUMBER(R274)),IFERROR(W274/R274-1,""),"")</f>
        <v>0.212518774101887</v>
      </c>
      <c r="X278" s="255">
        <f>IF(AND(ISNUMBER(X274),ISNUMBER(S274)),IFERROR(X274/S274-1,""),"")</f>
        <v>0.223260434164621</v>
      </c>
      <c r="Y278" s="255">
        <f>IF(AND(ISNUMBER(Y274),ISNUMBER(T274)),IFERROR(Y274/T274-1,""),"")</f>
        <v>0.181938766107482</v>
      </c>
      <c r="Z278" s="255">
        <f>IF(AND(ISNUMBER(Z274),ISNUMBER(U274)),IFERROR(Z274/U274-1,""),"")</f>
        <v>0.351111963190184</v>
      </c>
      <c r="AA278" s="255">
        <f>IF(AND(ISNUMBER(AA274),ISNUMBER(V274)),IFERROR(AA274/V274-1,""),"")</f>
        <v>0.188750918185316</v>
      </c>
      <c r="AB278" s="255">
        <f>IF(AND(ISNUMBER(AB274),ISNUMBER(W274)),IFERROR(AB274/W274-1,""),"")</f>
        <v>0.19339221798516</v>
      </c>
      <c r="AC278" s="255">
        <f>IF(AND(ISNUMBER(AC274),ISNUMBER(X274)),IFERROR(AC274/X274-1,""),"")</f>
        <v>0.444563014049722</v>
      </c>
      <c r="AD278" s="255">
        <f>IF(AND(ISNUMBER(AD274),ISNUMBER(Y274)),IFERROR(AD274/Y274-1,""),"")</f>
        <v>0.28690940544775</v>
      </c>
      <c r="AE278" s="255">
        <f>IF(AND(ISNUMBER(AE274),ISNUMBER(Z274)),IFERROR(AE274/Z274-1,""),"")</f>
        <v>0.236504813854362</v>
      </c>
      <c r="AF278" s="255">
        <f>IF(AND(ISNUMBER(AF274),ISNUMBER(AA274)),IFERROR(AF274/AA274-1,""),"")</f>
        <v>0.263015194942454</v>
      </c>
      <c r="AG278" s="255">
        <f>IF(AND(ISNUMBER(AG274),ISNUMBER(AB274)),IFERROR(AG274/AB274-1,""),"")</f>
        <v>0.23371799334208</v>
      </c>
      <c r="AH278" s="255">
        <f>IF(AND(ISNUMBER(AH274),ISNUMBER(AC274)),IFERROR(AH274/AC274-1,""),"")</f>
        <v>0.205115299762606</v>
      </c>
      <c r="AI278" s="255">
        <f>IF(AND(ISNUMBER(AI274),ISNUMBER(AD274)),IFERROR(AI274/AD274-1,""),"")</f>
        <v>0.233433574904895</v>
      </c>
      <c r="AJ278" s="255">
        <f>IF(AND(ISNUMBER(AJ274),ISNUMBER(AE274)),IFERROR(AJ274/AE274-1,""),"")</f>
        <v>0.054760584152987</v>
      </c>
      <c r="AK278" s="255">
        <f>IF(AND(ISNUMBER(AK274),ISNUMBER(AF274)),IFERROR(AK274/AF274-1,""),"")</f>
        <v>0.120824516685736</v>
      </c>
      <c r="AL278" s="255">
        <f>IF(AND(ISNUMBER(AL274),ISNUMBER(AG274)),IFERROR(AL274/AG274-1,""),"")</f>
        <v>0.162703218188974</v>
      </c>
      <c r="AM278" s="255">
        <f>IF(AND(ISNUMBER(AM274),ISNUMBER(AH274)),IFERROR(AM274/AH274-1,""),"")</f>
        <v>0.137599569962648</v>
      </c>
      <c r="AN278" s="255">
        <f>IF(AND(ISNUMBER(AN274),ISNUMBER(AI274)),IFERROR(AN274/AI274-1,""),"")</f>
        <v>0.120824619331758</v>
      </c>
      <c r="AO278" s="255">
        <f>IF(AND(ISNUMBER(AO274),ISNUMBER(AJ274)),IFERROR(AO274/AJ274-1,""),"")</f>
        <v>0.295164610021868</v>
      </c>
      <c r="AP278" s="255">
        <f>IF(AND(ISNUMBER(AP274),ISNUMBER(AK274)),IFERROR(AP274/AK274-1,""),"")</f>
        <v>0.398817872100997</v>
      </c>
      <c r="AQ278" s="255">
        <f>IF(AND(ISNUMBER(AQ274),ISNUMBER(AL274)),IFERROR(AQ274/AL274-1,""),"")</f>
        <v>0.160022976635412</v>
      </c>
      <c r="AR278" s="255">
        <f>IF(AND(ISNUMBER(AR274),ISNUMBER(AM274)),IFERROR(AR274/AM274-1,""),"")</f>
        <v>0.0701332549833207</v>
      </c>
      <c r="AS278" s="255">
        <f>IF(AND(ISNUMBER(AS274),ISNUMBER(AN274)),IFERROR(AS274/AN274-1,""),"")</f>
        <v>0.227087179357493</v>
      </c>
      <c r="AT278" s="255">
        <f>IF(AND(ISNUMBER(AT274),ISNUMBER(AO274)),IFERROR(AT274/AO274-1,""),"")</f>
        <v>0.24175919932281</v>
      </c>
      <c r="AU278" s="255">
        <f>IF(AND(ISNUMBER(AU274),ISNUMBER(AP274)),IFERROR(AU274/AP274-1,""),"")</f>
        <v>0.0649171159531412</v>
      </c>
      <c r="AV278" s="255">
        <f>IF(AND(ISNUMBER(AV274),ISNUMBER(AQ274)),IFERROR(AV274/AQ274-1,""),"")</f>
        <v>0.240415465441031</v>
      </c>
      <c r="AW278" s="255">
        <f>IF(AND(ISNUMBER(AW274),ISNUMBER(AR274)),IFERROR(AW274/AR274-1,""),"")</f>
        <v>0.163212562857868</v>
      </c>
      <c r="AX278" s="255">
        <f>IF(AND(ISNUMBER(AX274),ISNUMBER(AS274)),IFERROR(AX274/AS274-1,""),"")</f>
        <v>0.171416233373375</v>
      </c>
      <c r="AY278" s="255">
        <f>IF(AND(ISNUMBER(AY274),ISNUMBER(AT274)),IFERROR(AY274/AT274-1,""),"")</f>
        <v>-0.0829338912281631</v>
      </c>
      <c r="AZ278" s="255">
        <f>IF(AND(ISNUMBER(AZ274),ISNUMBER(AU274)),IFERROR(AZ274/AU274-1,""),"")</f>
        <v>-0.222200328407225</v>
      </c>
      <c r="BA278" s="255">
        <f>IF(AND(ISNUMBER(BA274),ISNUMBER(AV274)),IFERROR(BA274/AV274-1,""),"")</f>
        <v>-0.173031197920256</v>
      </c>
      <c r="BB278" s="255">
        <f>IF(AND(ISNUMBER(BB274),ISNUMBER(AW274)),IFERROR(BB274/AW274-1,""),"")</f>
        <v>-0.192030827788593</v>
      </c>
      <c r="BC278" s="255">
        <f>IF(AND(ISNUMBER(BC274),ISNUMBER(AX274)),IFERROR(BC274/AX274-1,""),"")</f>
        <v>-0.172258211650713</v>
      </c>
      <c r="BD278" s="255">
        <f>IF(AND(ISNUMBER(BD274),ISNUMBER(AY274)),IFERROR(BD274/AY274-1,""),"")</f>
        <v>0.0104181858876702</v>
      </c>
      <c r="BE278" s="255">
        <f>IF(AND(ISNUMBER(BE274),ISNUMBER(AZ274)),IFERROR(BE274/AZ274-1,""),"")</f>
        <v>0.106525347975993</v>
      </c>
      <c r="BF278" s="255">
        <f>IF(AND(ISNUMBER(BF274),ISNUMBER(BA274)),IFERROR(BF274/BA274-1,""),"")</f>
        <v>0.0986141431467331</v>
      </c>
      <c r="BG278" s="255">
        <f>IF(AND(ISNUMBER(BG274),ISNUMBER(BB274)),IFERROR(BG274/BB274-1,""),"")</f>
        <v>0.229850568020661</v>
      </c>
      <c r="BH278" s="255">
        <f>IF(AND(ISNUMBER(BH274),ISNUMBER(BC274)),IFERROR(BH274/BC274-1,""),"")</f>
        <v>0.111899978197214</v>
      </c>
      <c r="BI278" s="255">
        <f>IF(AND(ISNUMBER(BI274),ISNUMBER(BD274)),IFERROR(BI274/BD274-1,""),"")</f>
        <v>0.273891009236612</v>
      </c>
      <c r="BJ278" s="255">
        <f>IF(AND(ISNUMBER(BJ274),ISNUMBER(BE274)),IFERROR(BJ274/BE274-1,""),"")</f>
        <v>0.298894812968349</v>
      </c>
      <c r="BK278" s="255">
        <f>IF(AND(ISNUMBER(BK274),ISNUMBER(BF274)),IFERROR(BK274/BF274-1,""),"")</f>
        <v>0.20865831325604</v>
      </c>
      <c r="BL278" s="255">
        <f>IF(AND(ISNUMBER(BL274),ISNUMBER(BG274)),IFERROR(BL274/BG274-1,""),"")</f>
        <v>0.203800412328977</v>
      </c>
      <c r="BM278" s="255">
        <f>IF(AND(ISNUMBER(BM274),ISNUMBER(BH274)),IFERROR(BM274/BH274-1,""),"")</f>
        <v>0.246062766463339</v>
      </c>
      <c r="BN278" s="255">
        <f>IF(AND(ISNUMBER(BN274),ISNUMBER(BI274)),IFERROR(BN274/BI274-1,""),"")</f>
        <v>-0.0281967911056595</v>
      </c>
      <c r="BO278" s="255">
        <f>IF(AND(ISNUMBER(BO274),ISNUMBER(BJ274)),IFERROR(BO274/BJ274-1,""),"")</f>
        <v>-0.03010478595318</v>
      </c>
      <c r="BP278" s="255">
        <f>IF(AND(ISNUMBER(BP274),ISNUMBER(BK274)),IFERROR(BP274/BK274-1,""),"")</f>
        <v>0.0804787688800228</v>
      </c>
      <c r="BQ278" s="255">
        <f>IF(AND(ISNUMBER(BQ274),ISNUMBER(BL274)),IFERROR(BQ274/BL274-1,""),"")</f>
        <v>0.0163547059377704</v>
      </c>
      <c r="BR278" s="255">
        <f>IF(AND(ISNUMBER(BR274),ISNUMBER(BM274)),IFERROR(BR274/BM274-1,""),"")</f>
        <v>0.00851256153221547</v>
      </c>
      <c r="BS278" s="255">
        <f>IF(AND(ISNUMBER(BS274),ISNUMBER(BN274)),IFERROR(BS274/BN274-1,""),"")</f>
        <v>0.141819867790403</v>
      </c>
      <c r="BT278" s="255">
        <f>IF(AND(ISNUMBER(BT274),ISNUMBER(BO274)),IFERROR(BT274/BO274-1,""),"")</f>
        <v>0.232523094826505</v>
      </c>
      <c r="BU278" s="256">
        <f>IF(AND(ISNUMBER(BU274),ISNUMBER(BP274)),IFERROR(BU274/BP274-1,""),"")</f>
        <v>0.0264020506697975</v>
      </c>
      <c r="BV278" s="256">
        <f>IF(AND(ISNUMBER(BV274),ISNUMBER(BQ274)),IFERROR(BV274/BQ274-1,""),"")</f>
        <v>0.0504764998997427</v>
      </c>
      <c r="BW278" s="256">
        <f>IF(AND(ISNUMBER(BW274),ISNUMBER(BR274)),IFERROR(BW274/BR274-1,""),"")</f>
        <v>0.112869929635761</v>
      </c>
      <c r="BX278" s="256">
        <f>IF(AND(ISNUMBER(BX274),ISNUMBER(BW274)),IFERROR(BX274/BW274-1,""),"")</f>
        <v>0.134690484499575</v>
      </c>
      <c r="BY278" s="256">
        <f>IF(AND(ISNUMBER(BY274),ISNUMBER(BX274)),IFERROR(BY274/BX274-1,""),"")</f>
        <v>0.121498366887187</v>
      </c>
      <c r="BZ278" s="256">
        <f>IF(AND(ISNUMBER(BZ274),ISNUMBER(BY274)),IFERROR(BZ274/BY274-1,""),"")</f>
        <v>0.111266577500032</v>
      </c>
      <c r="CA278" s="256">
        <f>IF(AND(ISNUMBER(CA274),ISNUMBER(BZ274)),IFERROR(CA274/BZ274-1,""),"")</f>
        <v>0.113263388719305</v>
      </c>
      <c r="CB278" s="256">
        <f>IF(AND(ISNUMBER(CB274),ISNUMBER(CA274)),IFERROR(CB274/CA274-1,""),"")</f>
        <v>0.112903217657011</v>
      </c>
      <c r="CC278" s="153" t="n"/>
    </row>
    <row r="279" ht="15" customHeight="1" s="251">
      <c r="B279" s="25" t="inlineStr">
        <is>
          <t xml:space="preserve">  Adjusted interest expense, net (GAAP interest + premium amortization benefit removed)</t>
        </is>
      </c>
      <c r="C279" s="211">
        <f>IF(ISNUMBER(C200),C200-N(C184),"")</f>
        <v>83</v>
      </c>
      <c r="D279" s="211">
        <f>IF(ISNUMBER(D200),D200-N(D184),"")</f>
        <v>77</v>
      </c>
      <c r="E279" s="211">
        <f>IF(ISNUMBER(E200),E200-N(E184),"")</f>
        <v>81</v>
      </c>
      <c r="F279" s="211">
        <f>IF(ISNUMBER(F200),F200-N(F184),"")</f>
        <v>15</v>
      </c>
      <c r="G279" s="211">
        <f>IF(ISNUMBER(G200),G200-N(G184),"")</f>
        <v>16</v>
      </c>
      <c r="H279" s="211">
        <f>IF(ISNUMBER(H200),H200-N(H184),"")</f>
        <v>14</v>
      </c>
      <c r="I279" s="211">
        <f>IF(ISNUMBER(I200),I200-N(I184),"")</f>
        <v>14</v>
      </c>
      <c r="J279" s="211">
        <f>IF(ISNUMBER(J200),J200-N(J184),"")</f>
        <v>59</v>
      </c>
      <c r="K279" s="211">
        <f>IF(ISNUMBER(K200),K200-N(K184),"")</f>
        <v>14</v>
      </c>
      <c r="L279" s="211">
        <f>IF(ISNUMBER(L200),L200-N(L184),"")</f>
        <v>14</v>
      </c>
      <c r="M279" s="211">
        <f>IF(ISNUMBER(M200),M200-N(M184),"")</f>
        <v>12</v>
      </c>
      <c r="N279" s="211">
        <f>IF(ISNUMBER(N200),N200-N(N184),"")</f>
        <v>19</v>
      </c>
      <c r="O279" s="211">
        <f>IF(ISNUMBER(O200),O200-N(O184),"")</f>
        <v>59</v>
      </c>
      <c r="P279" s="211">
        <f>IF(ISNUMBER(P200),P200-N(P184),"")</f>
        <v>16</v>
      </c>
      <c r="Q279" s="211">
        <f>IF(ISNUMBER(Q200),Q200-N(Q184),"")</f>
        <v>16</v>
      </c>
      <c r="R279" s="211">
        <f>IF(ISNUMBER(R200),R200-N(R184),"")</f>
        <v>30</v>
      </c>
      <c r="S279" s="211">
        <f>IF(ISNUMBER(S200),S200-N(S184),"")</f>
        <v>40</v>
      </c>
      <c r="T279" s="211">
        <f>IF(ISNUMBER(T200),T200-N(T184),"")</f>
        <v>102</v>
      </c>
      <c r="U279" s="211">
        <f>IF(ISNUMBER(U200),U200-N(U184),"")</f>
        <v>40</v>
      </c>
      <c r="V279" s="211">
        <f>IF(ISNUMBER(V200),V200-N(V184),"")</f>
        <v>42</v>
      </c>
      <c r="W279" s="211">
        <f>IF(ISNUMBER(W200),W200-N(W184),"")</f>
        <v>39</v>
      </c>
      <c r="X279" s="211">
        <f>IF(ISNUMBER(X200),X200-N(X184),"")</f>
        <v>39</v>
      </c>
      <c r="Y279" s="211">
        <f>IF(ISNUMBER(Y200),Y200-N(Y184),"")</f>
        <v>160</v>
      </c>
      <c r="Z279" s="211">
        <f>IF(ISNUMBER(Z200),Z200-N(Z184),"")</f>
        <v>37</v>
      </c>
      <c r="AA279" s="211">
        <f>IF(ISNUMBER(AA200),AA200-N(AA184),"")</f>
        <v>37</v>
      </c>
      <c r="AB279" s="211">
        <f>IF(ISNUMBER(AB200),AB200-N(AB184),"")</f>
        <v>37</v>
      </c>
      <c r="AC279" s="211">
        <f>IF(ISNUMBER(AC200),AC200-N(AC184),"")</f>
        <v>39</v>
      </c>
      <c r="AD279" s="211">
        <f>IF(ISNUMBER(AD200),AD200-N(AD184),"")</f>
        <v>149</v>
      </c>
      <c r="AE279" s="211">
        <f>IF(ISNUMBER(AE200),AE200-N(AE184),"")</f>
        <v>34</v>
      </c>
      <c r="AF279" s="211">
        <f>IF(ISNUMBER(AF200),AF200-N(AF184),"")</f>
        <v>26</v>
      </c>
      <c r="AG279" s="211">
        <f>IF(ISNUMBER(AG200),AG200-N(AG184),"")</f>
        <v>38</v>
      </c>
      <c r="AH279" s="211">
        <f>IF(ISNUMBER(AH200),AH200-N(AH184),"")</f>
        <v>31</v>
      </c>
      <c r="AI279" s="211">
        <f>IF(ISNUMBER(AI200),AI200-N(AI184),"")</f>
        <v>129</v>
      </c>
      <c r="AJ279" s="211">
        <f>IF(ISNUMBER(AJ200),AJ200-N(AJ184),"")</f>
        <v>-77</v>
      </c>
      <c r="AK279" s="211">
        <f>IF(ISNUMBER(AK200),AK200-N(AK184),"")</f>
        <v>37</v>
      </c>
      <c r="AL279" s="211">
        <f>IF(ISNUMBER(AL200),AL200-N(AL184),"")</f>
        <v>32</v>
      </c>
      <c r="AM279" s="211">
        <f>IF(ISNUMBER(AM200),AM200-N(AM184),"")</f>
        <v>36</v>
      </c>
      <c r="AN279" s="211">
        <f>IF(ISNUMBER(AN200),AN200-N(AN184),"")</f>
        <v>28</v>
      </c>
      <c r="AO279" s="211">
        <f>IF(ISNUMBER(AO200),AO200-N(AO184),"")</f>
        <v>34</v>
      </c>
      <c r="AP279" s="211">
        <f>IF(ISNUMBER(AP200),AP200-N(AP184),"")</f>
        <v>37</v>
      </c>
      <c r="AQ279" s="211">
        <f>IF(ISNUMBER(AQ200),AQ200-N(AQ184),"")</f>
        <v>-244</v>
      </c>
      <c r="AR279" s="211">
        <f>IF(ISNUMBER(AR200),AR200-N(AR184),"")</f>
        <v>32</v>
      </c>
      <c r="AS279" s="211">
        <f>IF(ISNUMBER(AS200),AS200-N(AS184),"")</f>
        <v>-141</v>
      </c>
      <c r="AT279" s="211">
        <f>IF(ISNUMBER(AT200),AT200-N(AT184),"")</f>
        <v>32</v>
      </c>
      <c r="AU279" s="211">
        <f>IF(ISNUMBER(AU200),AU200-N(AU184),"")</f>
        <v>32</v>
      </c>
      <c r="AV279" s="211">
        <f>IF(ISNUMBER(AV200),AV200-N(AV184),"")</f>
        <v>31</v>
      </c>
      <c r="AW279" s="211">
        <f>IF(ISNUMBER(AW200),AW200-N(AW184),"")</f>
        <v>25</v>
      </c>
      <c r="AX279" s="211">
        <f>IF(ISNUMBER(AX200),AX200-N(AX184),"")</f>
        <v>119</v>
      </c>
      <c r="AY279" s="211">
        <f>IF(ISNUMBER(AY200),AY200-N(AY184),"")</f>
        <v>40</v>
      </c>
      <c r="AZ279" s="211">
        <f>IF(ISNUMBER(AZ200),AZ200-N(AZ184),"")</f>
        <v>88</v>
      </c>
      <c r="BA279" s="211">
        <f>IF(ISNUMBER(BA200),BA200-N(BA184),"")</f>
        <v>75</v>
      </c>
      <c r="BB279" s="211">
        <f>IF(ISNUMBER(BB200),BB200-N(BB184),"")</f>
        <v>80</v>
      </c>
      <c r="BC279" s="211">
        <f>IF(ISNUMBER(BC200),BC200-N(BC184),"")</f>
        <v>283</v>
      </c>
      <c r="BD279" s="211">
        <f>IF(ISNUMBER(BD200),BD200-N(BD184),"")</f>
        <v>92</v>
      </c>
      <c r="BE279" s="211">
        <f>IF(ISNUMBER(BE200),BE200-N(BE184),"")</f>
        <v>94</v>
      </c>
      <c r="BF279" s="211">
        <f>IF(ISNUMBER(BF200),BF200-N(BF184),"")</f>
        <v>91</v>
      </c>
      <c r="BG279" s="211">
        <f>IF(ISNUMBER(BG200),BG200-N(BG184),"")</f>
        <v>60</v>
      </c>
      <c r="BH279" s="211">
        <f>IF(ISNUMBER(BH200),BH200-N(BH184),"")</f>
        <v>338</v>
      </c>
      <c r="BI279" s="211">
        <f>IF(ISNUMBER(BI200),BI200-N(BI184),"")</f>
        <v>85</v>
      </c>
      <c r="BJ279" s="211">
        <f>IF(ISNUMBER(BJ200),BJ200-N(BJ184),"")</f>
        <v>83</v>
      </c>
      <c r="BK279" s="211">
        <f>IF(ISNUMBER(BK200),BK200-N(BK184),"")</f>
        <v>78</v>
      </c>
      <c r="BL279" s="211">
        <f>IF(ISNUMBER(BL200),BL200-N(BL184),"")</f>
        <v>69</v>
      </c>
      <c r="BM279" s="211">
        <f>IF(ISNUMBER(BM200),BM200-N(BM184),"")</f>
        <v>317</v>
      </c>
      <c r="BN279" s="211">
        <f>IF(ISNUMBER(BN200),BN200-N(BN184),"")</f>
        <v>84</v>
      </c>
      <c r="BO279" s="211">
        <f>IF(ISNUMBER(BO200),BO200-N(BO184),"")</f>
        <v>83</v>
      </c>
      <c r="BP279" s="211">
        <f>IF(ISNUMBER(BP200),BP200-N(BP184),"")</f>
        <v>85</v>
      </c>
      <c r="BQ279" s="211">
        <f>IF(ISNUMBER(BQ200),BQ200-N(BQ184),"")</f>
        <v>61</v>
      </c>
      <c r="BR279" s="211">
        <f>IF(ISNUMBER(BR200),BR200-N(BR184),"")</f>
        <v>314</v>
      </c>
      <c r="BS279" s="211">
        <f>IF(ISNUMBER(BS200),BS200-N(BS184),"")</f>
        <v>102</v>
      </c>
      <c r="BT279" s="211">
        <f>IF(ISNUMBER(BT200),BT200-N(BT184),"")</f>
        <v>89</v>
      </c>
      <c r="BU279" s="254">
        <f>IF(ISNUMBER(BU200),BU200-N(BU184),"")</f>
        <v>104</v>
      </c>
      <c r="BV279" s="254">
        <f>IF(ISNUMBER(BV200),BV200-N(BV184),"")</f>
        <v>104</v>
      </c>
      <c r="BW279" s="254">
        <f>IF(ISNUMBER(BW200),BW200-N(BW184),"")</f>
        <v>399</v>
      </c>
      <c r="BX279" s="254">
        <f>IF(ISNUMBER(BX200),BX200-N(BX184),"")</f>
        <v>440.131689698353</v>
      </c>
      <c r="BY279" s="254">
        <f>IF(ISNUMBER(BY200),BY200-N(BY184),"")</f>
        <v>451.620131572411</v>
      </c>
      <c r="BZ279" s="254">
        <f>IF(ISNUMBER(BZ200),BZ200-N(BZ184),"")</f>
        <v>519.135435124048</v>
      </c>
      <c r="CA279" s="254">
        <f>IF(ISNUMBER(CA200),CA200-N(CA184),"")</f>
        <v>568.929477530843</v>
      </c>
      <c r="CB279" s="254">
        <f>IF(ISNUMBER(CB200),CB200-N(CB184),"")</f>
        <v>614.675961934277</v>
      </c>
      <c r="CC279" s="19" t="n"/>
    </row>
    <row r="280" ht="15" customHeight="1" s="251">
      <c r="B280" s="25" t="inlineStr">
        <is>
          <t xml:space="preserve">  Adjusted income before taxes (adjusted OP + other income − adjusted interest)</t>
        </is>
      </c>
      <c r="C280" s="211">
        <f>IF(ISNUMBER(C237),C237+N(C199)-N(C279),"")</f>
      </c>
      <c r="D280" s="211">
        <f>IF(ISNUMBER(D237),D237+N(D199)-N(D279),"")</f>
        <v>1042</v>
      </c>
      <c r="E280" s="211">
        <f>IF(ISNUMBER(E237),E237+N(E199)-N(E279),"")</f>
        <v>1304</v>
      </c>
      <c r="F280" s="211">
        <f>IF(ISNUMBER(F237),F237+N(F199)-N(F279),"")</f>
        <v>384</v>
      </c>
      <c r="G280" s="211">
        <f>IF(ISNUMBER(G237),G237+N(G199)-N(G279),"")</f>
        <v>430</v>
      </c>
      <c r="H280" s="211">
        <f>IF(ISNUMBER(H237),H237+N(H199)-N(H279),"")</f>
        <v>382</v>
      </c>
      <c r="I280" s="211">
        <f>IF(ISNUMBER(I237),I237+N(I199)-N(I279),"")</f>
        <v>347</v>
      </c>
      <c r="J280" s="211">
        <f>IF(ISNUMBER(J237),J237+N(J199)-N(J279),"")</f>
        <v>1543</v>
      </c>
      <c r="K280" s="211">
        <f>IF(ISNUMBER(K237),K237+N(K199)-N(K279),"")</f>
        <v>416</v>
      </c>
      <c r="L280" s="211">
        <f>IF(ISNUMBER(L237),L237+N(L199)-N(L279),"")</f>
        <v>472</v>
      </c>
      <c r="M280" s="211">
        <f>IF(ISNUMBER(M237),M237+N(M199)-N(M279),"")</f>
        <v>463</v>
      </c>
      <c r="N280" s="211">
        <f>IF(ISNUMBER(N237),N237+N(N199)-N(N279),"")</f>
        <v>425</v>
      </c>
      <c r="O280" s="211">
        <f>IF(ISNUMBER(O237),O237+N(O199)-N(O279),"")</f>
        <v>1756</v>
      </c>
      <c r="P280" s="211">
        <f>IF(ISNUMBER(P237),P237+N(P199)-N(P279),"")</f>
        <v>479</v>
      </c>
      <c r="Q280" s="211">
        <f>IF(ISNUMBER(Q237),Q237+N(Q199)-N(Q279),"")</f>
        <v>536</v>
      </c>
      <c r="R280" s="211">
        <f>IF(ISNUMBER(R237),R237+N(R199)-N(R279),"")</f>
        <v>498</v>
      </c>
      <c r="S280" s="211">
        <f>IF(ISNUMBER(S237),S237+N(S199)-N(S279),"")</f>
        <v>438</v>
      </c>
      <c r="T280" s="211">
        <f>IF(ISNUMBER(T237),T237+N(T199)-N(T279),"")</f>
        <v>1951</v>
      </c>
      <c r="U280" s="211">
        <f>IF(ISNUMBER(U237),U237+N(U199)-N(U279),"")</f>
        <v>510</v>
      </c>
      <c r="V280" s="211">
        <f>IF(ISNUMBER(V237),V237+N(V199)-N(V279),"")</f>
        <v>610</v>
      </c>
      <c r="W280" s="211">
        <f>IF(ISNUMBER(W237),W237+N(W199)-N(W279),"")</f>
        <v>599</v>
      </c>
      <c r="X280" s="211">
        <f>IF(ISNUMBER(X237),X237+N(X199)-N(X279),"")</f>
        <v>550</v>
      </c>
      <c r="Y280" s="211">
        <f>IF(ISNUMBER(Y237),Y237+N(Y199)-N(Y279),"")</f>
        <v>2271</v>
      </c>
      <c r="Z280" s="211">
        <f>IF(ISNUMBER(Z237),Z237+N(Z199)-N(Z279),"")</f>
        <v>652</v>
      </c>
      <c r="AA280" s="211">
        <f>IF(ISNUMBER(AA237),AA237+N(AA199)-N(AA279),"")</f>
        <v>678</v>
      </c>
      <c r="AB280" s="211">
        <f>IF(ISNUMBER(AB237),AB237+N(AB199)-N(AB279),"")</f>
        <v>664</v>
      </c>
      <c r="AC280" s="211">
        <f>IF(ISNUMBER(AC237),AC237+N(AC199)-N(AC279),"")</f>
        <v>713</v>
      </c>
      <c r="AD280" s="211">
        <f>IF(ISNUMBER(AD237),AD237+N(AD199)-N(AD279),"")</f>
        <v>2708</v>
      </c>
      <c r="AE280" s="211">
        <f>IF(ISNUMBER(AE237),AE237+N(AE199)-N(AE279),"")</f>
        <v>705</v>
      </c>
      <c r="AF280" s="211">
        <f>IF(ISNUMBER(AF237),AF237+N(AF199)-N(AF279),"")</f>
        <v>775</v>
      </c>
      <c r="AG280" s="211">
        <f>IF(ISNUMBER(AG237),AG237+N(AG199)-N(AG279),"")</f>
        <v>735</v>
      </c>
      <c r="AH280" s="211">
        <f>IF(ISNUMBER(AH237),AH237+N(AH199)-N(AH279),"")</f>
        <v>732</v>
      </c>
      <c r="AI280" s="211">
        <f>IF(ISNUMBER(AI237),AI237+N(AI199)-N(AI279),"")</f>
        <v>2948</v>
      </c>
      <c r="AJ280" s="211">
        <f>IF(ISNUMBER(AJ237),AJ237+N(AJ199)-N(AJ279),"")</f>
        <v>717</v>
      </c>
      <c r="AK280" s="211">
        <f>IF(ISNUMBER(AK237),AK237+N(AK199)-N(AK279),"")</f>
        <v>843</v>
      </c>
      <c r="AL280" s="211">
        <f>IF(ISNUMBER(AL237),AL237+N(AL199)-N(AL279),"")</f>
        <v>837</v>
      </c>
      <c r="AM280" s="211">
        <f>IF(ISNUMBER(AM237),AM237+N(AM199)-N(AM279),"")</f>
        <v>836</v>
      </c>
      <c r="AN280" s="211">
        <f>IF(ISNUMBER(AN237),AN237+N(AN199)-N(AN279),"")</f>
        <v>3234</v>
      </c>
      <c r="AO280" s="211">
        <f>IF(ISNUMBER(AO237),AO237+N(AO199)-N(AO279),"")</f>
        <v>913</v>
      </c>
      <c r="AP280" s="211">
        <f>IF(ISNUMBER(AP237),AP237+N(AP199)-N(AP279),"")</f>
        <v>1114</v>
      </c>
      <c r="AQ280" s="211">
        <f>IF(ISNUMBER(AQ237),AQ237+N(AQ199)-N(AQ279),"")</f>
        <v>947</v>
      </c>
      <c r="AR280" s="211">
        <f>IF(ISNUMBER(AR237),AR237+N(AR199)-N(AR279),"")</f>
        <v>887</v>
      </c>
      <c r="AS280" s="211">
        <f>IF(ISNUMBER(AS237),AS237+N(AS199)-N(AS279),"")</f>
        <v>3860</v>
      </c>
      <c r="AT280" s="211">
        <f>IF(ISNUMBER(AT237),AT237+N(AT199)-N(AT279),"")</f>
        <v>1137</v>
      </c>
      <c r="AU280" s="211">
        <f>IF(ISNUMBER(AU237),AU237+N(AU199)-N(AU279),"")</f>
        <v>1218</v>
      </c>
      <c r="AV280" s="211">
        <f>IF(ISNUMBER(AV237),AV237+N(AV199)-N(AV279),"")</f>
        <v>1146</v>
      </c>
      <c r="AW280" s="211">
        <f>IF(ISNUMBER(AW237),AW237+N(AW199)-N(AW279),"")</f>
        <v>1022</v>
      </c>
      <c r="AX280" s="211">
        <f>IF(ISNUMBER(AX237),AX237+N(AX199)-N(AX279),"")</f>
        <v>4524</v>
      </c>
      <c r="AY280" s="211">
        <f>IF(ISNUMBER(AY237),AY237+N(AY199)-N(AY279),"")</f>
        <v>1193</v>
      </c>
      <c r="AZ280" s="211">
        <f>IF(ISNUMBER(AZ237),AZ237+N(AZ199)-N(AZ279),"")</f>
        <v>1313</v>
      </c>
      <c r="BA280" s="211">
        <f>IF(ISNUMBER(BA237),BA237+N(BA199)-N(BA279),"")</f>
        <v>1284</v>
      </c>
      <c r="BB280" s="211">
        <f>IF(ISNUMBER(BB237),BB237+N(BB199)-N(BB279),"")</f>
        <v>1121</v>
      </c>
      <c r="BC280" s="211">
        <f>IF(ISNUMBER(BC237),BC237+N(BC199)-N(BC279),"")</f>
        <v>4911</v>
      </c>
      <c r="BD280" s="211">
        <f>IF(ISNUMBER(BD237),BD237+N(BD199)-N(BD279),"")</f>
        <v>1357</v>
      </c>
      <c r="BE280" s="211">
        <f>IF(ISNUMBER(BE237),BE237+N(BE199)-N(BE279),"")</f>
        <v>1349</v>
      </c>
      <c r="BF280" s="211">
        <f>IF(ISNUMBER(BF237),BF237+N(BF199)-N(BF279),"")</f>
        <v>1364</v>
      </c>
      <c r="BG280" s="211">
        <f>IF(ISNUMBER(BG237),BG237+N(BG199)-N(BG279),"")</f>
        <v>1311</v>
      </c>
      <c r="BH280" s="211">
        <f>IF(ISNUMBER(BH237),BH237+N(BH199)-N(BH279),"")</f>
        <v>5379</v>
      </c>
      <c r="BI280" s="211">
        <f>IF(ISNUMBER(BI237),BI237+N(BI199)-N(BI279),"")</f>
        <v>1662</v>
      </c>
      <c r="BJ280" s="211">
        <f>IF(ISNUMBER(BJ237),BJ237+N(BJ199)-N(BJ279),"")</f>
        <v>1720</v>
      </c>
      <c r="BK280" s="211">
        <f>IF(ISNUMBER(BK237),BK237+N(BK199)-N(BK279),"")</f>
        <v>1664</v>
      </c>
      <c r="BL280" s="211">
        <f>IF(ISNUMBER(BL237),BL237+N(BL199)-N(BL279),"")</f>
        <v>1622</v>
      </c>
      <c r="BM280" s="211">
        <f>IF(ISNUMBER(BM237),BM237+N(BM199)-N(BM279),"")</f>
        <v>6666</v>
      </c>
      <c r="BN280" s="211">
        <f>IF(ISNUMBER(BN237),BN237+N(BN199)-N(BN279),"")</f>
        <v>1654</v>
      </c>
      <c r="BO280" s="211">
        <f>IF(ISNUMBER(BO237),BO237+N(BO199)-N(BO279),"")</f>
        <v>1679</v>
      </c>
      <c r="BP280" s="211">
        <f>IF(ISNUMBER(BP237),BP237+N(BP199)-N(BP279),"")</f>
        <v>1736</v>
      </c>
      <c r="BQ280" s="211">
        <f>IF(ISNUMBER(BQ237),BQ237+N(BQ199)-N(BQ279),"")</f>
        <v>1626</v>
      </c>
      <c r="BR280" s="211">
        <f>IF(ISNUMBER(BR237),BR237+N(BR199)-N(BR279),"")</f>
        <v>6696</v>
      </c>
      <c r="BS280" s="211">
        <f>IF(ISNUMBER(BS237),BS237+N(BS199)-N(BS279),"")</f>
        <v>1867</v>
      </c>
      <c r="BT280" s="211">
        <f>IF(ISNUMBER(BT237),BT237+N(BT199)-N(BT279),"")</f>
        <v>1913</v>
      </c>
      <c r="BU280" s="254">
        <f>IF(ISNUMBER(BU237),BU237+N(BU199)-N(BU279),"")</f>
        <v>1747.82808702302</v>
      </c>
      <c r="BV280" s="254">
        <f>IF(ISNUMBER(BV237),BV237+N(BV199)-N(BV279),"")</f>
        <v>1609.45428317199</v>
      </c>
      <c r="BW280" s="254">
        <f>IF(ISNUMBER(BW237),BW237+N(BW199)-N(BW279),"")</f>
        <v>7137.28237019501</v>
      </c>
      <c r="BX280" s="254">
        <f>IF(ISNUMBER(BX237),BX237+N(BX199)-N(BX279),"")</f>
        <v>7757.69458863155</v>
      </c>
      <c r="BY280" s="254">
        <f>IF(ISNUMBER(BY237),BY237+N(BY199)-N(BY279),"")</f>
        <v>8399.46197300827</v>
      </c>
      <c r="BZ280" s="254">
        <f>IF(ISNUMBER(BZ237),BZ237+N(BZ199)-N(BZ279),"")</f>
        <v>8970.47032975433</v>
      </c>
      <c r="CA280" s="254">
        <f>IF(ISNUMBER(CA237),CA237+N(CA199)-N(CA279),"")</f>
        <v>9584.48235291062</v>
      </c>
      <c r="CB280" s="254">
        <f>IF(ISNUMBER(CB237),CB237+N(CB199)-N(CB279),"")</f>
        <v>10216.3846664223</v>
      </c>
      <c r="CC280" s="19" t="n"/>
    </row>
    <row r="281" ht="15" customHeight="1" s="251">
      <c r="B281" s="25" t="inlineStr">
        <is>
          <t xml:space="preserve">  Adjusted provision for taxes (derived: adjusted EBT − NCI − adjusted net income)</t>
        </is>
      </c>
      <c r="C281" s="211">
        <f>IF(AND(ISNUMBER(C270),ISNUMBER(C280)),C280-N(C206)-C270,"")</f>
      </c>
      <c r="D281" s="211">
        <f>IF(AND(ISNUMBER(D270),ISNUMBER(D280)),D280-N(D206)-D270,"")</f>
        <v>385</v>
      </c>
      <c r="E281" s="211">
        <f>IF(AND(ISNUMBER(E270),ISNUMBER(E280)),E280-N(E206)-E270,"")</f>
        <v>466</v>
      </c>
      <c r="F281" s="211">
        <f>IF(AND(ISNUMBER(F270),ISNUMBER(F280)),F280-N(F206)-F270,"")</f>
        <v>136</v>
      </c>
      <c r="G281" s="211">
        <f>IF(AND(ISNUMBER(G270),ISNUMBER(G280)),G280-N(G206)-G270,"")</f>
        <v>150</v>
      </c>
      <c r="H281" s="211">
        <f>IF(AND(ISNUMBER(H270),ISNUMBER(H280)),H280-N(H206)-H270,"")</f>
        <v>130</v>
      </c>
      <c r="I281" s="211">
        <f>IF(AND(ISNUMBER(I270),ISNUMBER(I280)),I280-N(I206)-I270,"")</f>
        <v>107</v>
      </c>
      <c r="J281" s="211">
        <f>IF(AND(ISNUMBER(J270),ISNUMBER(J280)),J280-N(J206)-J270,"")</f>
        <v>522</v>
      </c>
      <c r="K281" s="211">
        <f>IF(AND(ISNUMBER(K270),ISNUMBER(K280)),K280-N(K206)-K270,"")</f>
        <v>141</v>
      </c>
      <c r="L281" s="211">
        <f>IF(AND(ISNUMBER(L270),ISNUMBER(L280)),L280-N(L206)-L270,"")</f>
        <v>156</v>
      </c>
      <c r="M281" s="211">
        <f>IF(AND(ISNUMBER(M270),ISNUMBER(M280)),M280-N(M206)-M270,"")</f>
        <v>155</v>
      </c>
      <c r="N281" s="211">
        <f>IF(AND(ISNUMBER(N270),ISNUMBER(N280)),N280-N(N206)-N270,"")</f>
        <v>136</v>
      </c>
      <c r="O281" s="211">
        <f>IF(AND(ISNUMBER(O270),ISNUMBER(O280)),O280-N(O206)-O270,"")</f>
        <v>581</v>
      </c>
      <c r="P281" s="211">
        <f>IF(AND(ISNUMBER(P270),ISNUMBER(P280)),P280-N(P206)-P270,"")</f>
        <v>154</v>
      </c>
      <c r="Q281" s="211">
        <f>IF(AND(ISNUMBER(Q270),ISNUMBER(Q280)),Q280-N(Q206)-Q270,"")</f>
        <v>173</v>
      </c>
      <c r="R281" s="211">
        <f>IF(AND(ISNUMBER(R270),ISNUMBER(R280)),R280-N(R206)-R270,"")</f>
        <v>144</v>
      </c>
      <c r="S281" s="211">
        <f>IF(AND(ISNUMBER(S270),ISNUMBER(S280)),S280-N(S206)-S270,"")</f>
        <v>126</v>
      </c>
      <c r="T281" s="211">
        <f>IF(AND(ISNUMBER(T270),ISNUMBER(T280)),T280-N(T206)-T270,"")</f>
        <v>595</v>
      </c>
      <c r="U281" s="211">
        <f>IF(AND(ISNUMBER(U270),ISNUMBER(U280)),U280-N(U206)-U270,"")</f>
        <v>161</v>
      </c>
      <c r="V281" s="211">
        <f>IF(AND(ISNUMBER(V270),ISNUMBER(V280)),V280-N(V206)-V270,"")</f>
        <v>196</v>
      </c>
      <c r="W281" s="211">
        <f>IF(AND(ISNUMBER(W270),ISNUMBER(W280)),W280-N(W206)-W270,"")</f>
        <v>187</v>
      </c>
      <c r="X281" s="211">
        <f>IF(AND(ISNUMBER(X270),ISNUMBER(X280)),X280-N(X206)-X270,"")</f>
        <v>184</v>
      </c>
      <c r="Y281" s="211">
        <f>IF(AND(ISNUMBER(Y270),ISNUMBER(Y280)),Y280-N(Y206)-Y270,"")</f>
        <v>729</v>
      </c>
      <c r="Z281" s="211">
        <f>IF(AND(ISNUMBER(Z270),ISNUMBER(Z280)),Z280-N(Z206)-Z270,"")</f>
        <v>199</v>
      </c>
      <c r="AA281" s="211">
        <f>IF(AND(ISNUMBER(AA270),ISNUMBER(AA280)),AA280-N(AA206)-AA270,"")</f>
        <v>196</v>
      </c>
      <c r="AB281" s="211">
        <f>IF(AND(ISNUMBER(AB270),ISNUMBER(AB280)),AB280-N(AB206)-AB270,"")</f>
        <v>184</v>
      </c>
      <c r="AC281" s="211">
        <f>IF(AND(ISNUMBER(AC270),ISNUMBER(AC280)),AC280-N(AC206)-AC270,"")</f>
        <v>203</v>
      </c>
      <c r="AD281" s="211">
        <f>IF(AND(ISNUMBER(AD270),ISNUMBER(AD280)),AD280-N(AD206)-AD270,"")</f>
        <v>782</v>
      </c>
      <c r="AE281" s="211">
        <f>IF(AND(ISNUMBER(AE270),ISNUMBER(AE280)),AE280-N(AE206)-AE270,"")</f>
        <v>153</v>
      </c>
      <c r="AF281" s="211">
        <f>IF(AND(ISNUMBER(AF270),ISNUMBER(AF280)),AF280-N(AF206)-AF270,"")</f>
        <v>186</v>
      </c>
      <c r="AG281" s="211">
        <f>IF(AND(ISNUMBER(AG270),ISNUMBER(AG280)),AG280-N(AG206)-AG270,"")</f>
        <v>159</v>
      </c>
      <c r="AH281" s="211">
        <f>IF(AND(ISNUMBER(AH270),ISNUMBER(AH280)),AH280-N(AH206)-AH270,"")</f>
        <v>134</v>
      </c>
      <c r="AI281" s="211">
        <f>IF(AND(ISNUMBER(AI270),ISNUMBER(AI280)),AI280-N(AI206)-AI270,"")</f>
        <v>633</v>
      </c>
      <c r="AJ281" s="211">
        <f>IF(AND(ISNUMBER(AJ270),ISNUMBER(AJ280)),AJ280-N(AJ206)-AJ270,"")</f>
        <v>150</v>
      </c>
      <c r="AK281" s="211">
        <f>IF(AND(ISNUMBER(AK270),ISNUMBER(AK280)),AK280-N(AK206)-AK270,"")</f>
        <v>195</v>
      </c>
      <c r="AL281" s="211">
        <f>IF(AND(ISNUMBER(AL270),ISNUMBER(AL280)),AL280-N(AL206)-AL270,"")</f>
        <v>186</v>
      </c>
      <c r="AM281" s="211">
        <f>IF(AND(ISNUMBER(AM270),ISNUMBER(AM280)),AM280-N(AM206)-AM270,"")</f>
        <v>171</v>
      </c>
      <c r="AN281" s="211">
        <f>IF(AND(ISNUMBER(AN270),ISNUMBER(AN280)),AN280-N(AN206)-AN270,"")</f>
        <v>702</v>
      </c>
      <c r="AO281" s="211">
        <f>IF(AND(ISNUMBER(AO270),ISNUMBER(AO280)),AO280-N(AO206)-AO270,"")</f>
        <v>198</v>
      </c>
      <c r="AP281" s="211">
        <f>IF(AND(ISNUMBER(AP270),ISNUMBER(AP280)),AP280-N(AP206)-AP270,"")</f>
        <v>242</v>
      </c>
      <c r="AQ281" s="211">
        <f>IF(AND(ISNUMBER(AQ270),ISNUMBER(AQ280)),AQ280-N(AQ206)-AQ270,"")</f>
        <v>215</v>
      </c>
      <c r="AR281" s="211">
        <f>IF(AND(ISNUMBER(AR270),ISNUMBER(AR280)),AR280-N(AR206)-AR270,"")</f>
        <v>182</v>
      </c>
      <c r="AS281" s="211">
        <f>IF(AND(ISNUMBER(AS270),ISNUMBER(AS280)),AS280-N(AS206)-AS270,"")</f>
        <v>835</v>
      </c>
      <c r="AT281" s="211">
        <f>IF(AND(ISNUMBER(AT270),ISNUMBER(AT280)),AT280-N(AT206)-AT270,"")</f>
        <v>264</v>
      </c>
      <c r="AU281" s="211">
        <f>IF(AND(ISNUMBER(AU270),ISNUMBER(AU280)),AU280-N(AU206)-AU270,"")</f>
        <v>284</v>
      </c>
      <c r="AV281" s="211">
        <f>IF(AND(ISNUMBER(AV270),ISNUMBER(AV280)),AV280-N(AV206)-AV270,"")</f>
        <v>227</v>
      </c>
      <c r="AW281" s="211">
        <f>IF(AND(ISNUMBER(AW270),ISNUMBER(AW280)),AW280-N(AW206)-AW270,"")</f>
        <v>198</v>
      </c>
      <c r="AX281" s="211">
        <f>IF(AND(ISNUMBER(AX270),ISNUMBER(AX280)),AX280-N(AX206)-AX270,"")</f>
        <v>974</v>
      </c>
      <c r="AY281" s="211">
        <f>IF(AND(ISNUMBER(AY270),ISNUMBER(AY280)),AY280-N(AY206)-AY270,"")</f>
        <v>269</v>
      </c>
      <c r="AZ281" s="211">
        <f>IF(AND(ISNUMBER(AZ270),ISNUMBER(AZ280)),AZ280-N(AZ206)-AZ270,"")</f>
        <v>279</v>
      </c>
      <c r="BA281" s="211">
        <f>IF(AND(ISNUMBER(BA270),ISNUMBER(BA280)),BA280-N(BA206)-BA270,"")</f>
        <v>246</v>
      </c>
      <c r="BB281" s="211">
        <f>IF(AND(ISNUMBER(BB270),ISNUMBER(BB280)),BB280-N(BB206)-BB270,"")</f>
        <v>233</v>
      </c>
      <c r="BC281" s="211">
        <f>IF(AND(ISNUMBER(BC270),ISNUMBER(BC280)),BC280-N(BC206)-BC270,"")</f>
        <v>1027</v>
      </c>
      <c r="BD281" s="211">
        <f>IF(AND(ISNUMBER(BD270),ISNUMBER(BD280)),BD280-N(BD206)-BD270,"")</f>
        <v>279</v>
      </c>
      <c r="BE281" s="211">
        <f>IF(AND(ISNUMBER(BE270),ISNUMBER(BE280)),BE280-N(BE206)-BE270,"")</f>
        <v>289</v>
      </c>
      <c r="BF281" s="211">
        <f>IF(AND(ISNUMBER(BF270),ISNUMBER(BF280)),BF280-N(BF206)-BF270,"")</f>
        <v>270</v>
      </c>
      <c r="BG281" s="211">
        <f>IF(AND(ISNUMBER(BG270),ISNUMBER(BG280)),BG280-N(BG206)-BG270,"")</f>
        <v>258</v>
      </c>
      <c r="BH281" s="211">
        <f>IF(AND(ISNUMBER(BH270),ISNUMBER(BH280)),BH280-N(BH206)-BH270,"")</f>
        <v>1093</v>
      </c>
      <c r="BI281" s="211">
        <f>IF(AND(ISNUMBER(BI270),ISNUMBER(BI280)),BI280-N(BI206)-BI270,"")</f>
        <v>327</v>
      </c>
      <c r="BJ281" s="211">
        <f>IF(AND(ISNUMBER(BJ270),ISNUMBER(BJ280)),BJ280-N(BJ206)-BJ270,"")</f>
        <v>379</v>
      </c>
      <c r="BK281" s="211">
        <f>IF(AND(ISNUMBER(BK270),ISNUMBER(BK280)),BK280-N(BK206)-BK270,"")</f>
        <v>378</v>
      </c>
      <c r="BL281" s="211">
        <f>IF(AND(ISNUMBER(BL270),ISNUMBER(BL280)),BL280-N(BL206)-BL270,"")</f>
        <v>372</v>
      </c>
      <c r="BM281" s="211">
        <f>IF(AND(ISNUMBER(BM270),ISNUMBER(BM280)),BM280-N(BM206)-BM270,"")</f>
        <v>1453</v>
      </c>
      <c r="BN281" s="211">
        <f>IF(AND(ISNUMBER(BN270),ISNUMBER(BN280)),BN280-N(BN206)-BN270,"")</f>
        <v>375</v>
      </c>
      <c r="BO281" s="211">
        <f>IF(AND(ISNUMBER(BO270),ISNUMBER(BO280)),BO280-N(BO206)-BO270,"")</f>
        <v>390</v>
      </c>
      <c r="BP281" s="211">
        <f>IF(AND(ISNUMBER(BP270),ISNUMBER(BP280)),BP280-N(BP206)-BP270,"")</f>
        <v>369</v>
      </c>
      <c r="BQ281" s="211">
        <f>IF(AND(ISNUMBER(BQ270),ISNUMBER(BQ280)),BQ280-N(BQ206)-BQ270,"")</f>
        <v>380</v>
      </c>
      <c r="BR281" s="211">
        <f>IF(AND(ISNUMBER(BR270),ISNUMBER(BR280)),BR280-N(BR206)-BR270,"")</f>
        <v>1515</v>
      </c>
      <c r="BS281" s="211">
        <f>IF(AND(ISNUMBER(BS270),ISNUMBER(BS280)),BS280-N(BS206)-BS270,"")</f>
        <v>435</v>
      </c>
      <c r="BT281" s="211">
        <f>IF(AND(ISNUMBER(BT270),ISNUMBER(BT280)),BT280-N(BT206)-BT270,"")</f>
        <v>378</v>
      </c>
      <c r="BU281" s="254">
        <f>IF(AND(ISNUMBER(BU270),ISNUMBER(BU280)),BU280-N(BU206)-BU270,"")</f>
        <v>393.261319580179</v>
      </c>
      <c r="BV281" s="254">
        <f>IF(AND(ISNUMBER(BV270),ISNUMBER(BV280)),BV280-N(BV206)-BV270,"")</f>
        <v>362.127213713698</v>
      </c>
      <c r="BW281" s="254">
        <f>IF(AND(ISNUMBER(BW270),ISNUMBER(BW280)),BW280-N(BW206)-BW270,"")</f>
        <v>1568.38853329388</v>
      </c>
      <c r="BX281" s="254">
        <f>IF(AND(ISNUMBER(BX270),ISNUMBER(BX280)),BX280-N(BX206)-BX270,"")</f>
        <v>1745.4812824421</v>
      </c>
      <c r="BY281" s="254">
        <f>IF(AND(ISNUMBER(BY270),ISNUMBER(BY280)),BY280-N(BY206)-BY270,"")</f>
        <v>1889.87894392686</v>
      </c>
      <c r="BZ281" s="254">
        <f>IF(AND(ISNUMBER(BZ270),ISNUMBER(BZ280)),BZ280-N(BZ206)-BZ270,"")</f>
        <v>2018.35582419472</v>
      </c>
      <c r="CA281" s="254">
        <f>IF(AND(ISNUMBER(CA270),ISNUMBER(CA280)),CA280-N(CA206)-CA270,"")</f>
        <v>2156.50852940489</v>
      </c>
      <c r="CB281" s="254">
        <f>IF(AND(ISNUMBER(CB270),ISNUMBER(CB280)),CB280-N(CB206)-CB270,"")</f>
        <v>2298.68654994502</v>
      </c>
      <c r="CC281" s="19" t="n"/>
    </row>
    <row r="282" ht="15" customHeight="1" s="251">
      <c r="B282" s="25" t="inlineStr">
        <is>
          <t xml:space="preserve">  Adjusted effective tax rate</t>
        </is>
      </c>
      <c r="C282" s="215">
        <f>IF(AND(ISNUMBER(C281),ISNUMBER(C280)),IFERROR(C281/C280,""),"")</f>
      </c>
      <c r="D282" s="215">
        <f>IF(AND(ISNUMBER(D281),ISNUMBER(D280)),IFERROR(D281/D280,""),"")</f>
        <v>0.369481765834933</v>
      </c>
      <c r="E282" s="215">
        <f>IF(AND(ISNUMBER(E281),ISNUMBER(E280)),IFERROR(E281/E280,""),"")</f>
        <v>0.357361963190184</v>
      </c>
      <c r="F282" s="215">
        <f>IF(AND(ISNUMBER(F281),ISNUMBER(F280)),IFERROR(F281/F280,""),"")</f>
        <v>0.354166666666667</v>
      </c>
      <c r="G282" s="215">
        <f>IF(AND(ISNUMBER(G281),ISNUMBER(G280)),IFERROR(G281/G280,""),"")</f>
        <v>0.348837209302326</v>
      </c>
      <c r="H282" s="215">
        <f>IF(AND(ISNUMBER(H281),ISNUMBER(H280)),IFERROR(H281/H280,""),"")</f>
        <v>0.340314136125655</v>
      </c>
      <c r="I282" s="215">
        <f>IF(AND(ISNUMBER(I281),ISNUMBER(I280)),IFERROR(I281/I280,""),"")</f>
        <v>0.30835734870317</v>
      </c>
      <c r="J282" s="215">
        <f>IF(AND(ISNUMBER(J281),ISNUMBER(J280)),IFERROR(J281/J280,""),"")</f>
        <v>0.338302009073234</v>
      </c>
      <c r="K282" s="215">
        <f>IF(AND(ISNUMBER(K281),ISNUMBER(K280)),IFERROR(K281/K280,""),"")</f>
        <v>0.338942307692308</v>
      </c>
      <c r="L282" s="215">
        <f>IF(AND(ISNUMBER(L281),ISNUMBER(L280)),IFERROR(L281/L280,""),"")</f>
        <v>0.330508474576271</v>
      </c>
      <c r="M282" s="215">
        <f>IF(AND(ISNUMBER(M281),ISNUMBER(M280)),IFERROR(M281/M280,""),"")</f>
        <v>0.334773218142549</v>
      </c>
      <c r="N282" s="215">
        <f>IF(AND(ISNUMBER(N281),ISNUMBER(N280)),IFERROR(N281/N280,""),"")</f>
        <v>0.32</v>
      </c>
      <c r="O282" s="215">
        <f>IF(AND(ISNUMBER(O281),ISNUMBER(O280)),IFERROR(O281/O280,""),"")</f>
        <v>0.330865603644647</v>
      </c>
      <c r="P282" s="215">
        <f>IF(AND(ISNUMBER(P281),ISNUMBER(P280)),IFERROR(P281/P280,""),"")</f>
        <v>0.321503131524008</v>
      </c>
      <c r="Q282" s="215">
        <f>IF(AND(ISNUMBER(Q281),ISNUMBER(Q280)),IFERROR(Q281/Q280,""),"")</f>
        <v>0.322761194029851</v>
      </c>
      <c r="R282" s="215">
        <f>IF(AND(ISNUMBER(R281),ISNUMBER(R280)),IFERROR(R281/R280,""),"")</f>
        <v>0.289156626506024</v>
      </c>
      <c r="S282" s="215">
        <f>IF(AND(ISNUMBER(S281),ISNUMBER(S280)),IFERROR(S281/S280,""),"")</f>
        <v>0.287671232876712</v>
      </c>
      <c r="T282" s="215">
        <f>IF(AND(ISNUMBER(T281),ISNUMBER(T280)),IFERROR(T281/T280,""),"")</f>
        <v>0.304971809328549</v>
      </c>
      <c r="U282" s="215">
        <f>IF(AND(ISNUMBER(U281),ISNUMBER(U280)),IFERROR(U281/U280,""),"")</f>
        <v>0.315686274509804</v>
      </c>
      <c r="V282" s="215">
        <f>IF(AND(ISNUMBER(V281),ISNUMBER(V280)),IFERROR(V281/V280,""),"")</f>
        <v>0.321311475409836</v>
      </c>
      <c r="W282" s="215">
        <f>IF(AND(ISNUMBER(W281),ISNUMBER(W280)),IFERROR(W281/W280,""),"")</f>
        <v>0.312186978297162</v>
      </c>
      <c r="X282" s="215">
        <f>IF(AND(ISNUMBER(X281),ISNUMBER(X280)),IFERROR(X281/X280,""),"")</f>
        <v>0.334545454545455</v>
      </c>
      <c r="Y282" s="215">
        <f>IF(AND(ISNUMBER(Y281),ISNUMBER(Y280)),IFERROR(Y281/Y280,""),"")</f>
        <v>0.321003963011889</v>
      </c>
      <c r="Z282" s="215">
        <f>IF(AND(ISNUMBER(Z281),ISNUMBER(Z280)),IFERROR(Z281/Z280,""),"")</f>
        <v>0.30521472392638</v>
      </c>
      <c r="AA282" s="215">
        <f>IF(AND(ISNUMBER(AA281),ISNUMBER(AA280)),IFERROR(AA281/AA280,""),"")</f>
        <v>0.289085545722714</v>
      </c>
      <c r="AB282" s="215">
        <f>IF(AND(ISNUMBER(AB281),ISNUMBER(AB280)),IFERROR(AB281/AB280,""),"")</f>
        <v>0.27710843373494</v>
      </c>
      <c r="AC282" s="215">
        <f>IF(AND(ISNUMBER(AC281),ISNUMBER(AC280)),IFERROR(AC281/AC280,""),"")</f>
        <v>0.284712482468443</v>
      </c>
      <c r="AD282" s="215">
        <f>IF(AND(ISNUMBER(AD281),ISNUMBER(AD280)),IFERROR(AD281/AD280,""),"")</f>
        <v>0.28877400295421</v>
      </c>
      <c r="AE282" s="215">
        <f>IF(AND(ISNUMBER(AE281),ISNUMBER(AE280)),IFERROR(AE281/AE280,""),"")</f>
        <v>0.217021276595745</v>
      </c>
      <c r="AF282" s="215">
        <f>IF(AND(ISNUMBER(AF281),ISNUMBER(AF280)),IFERROR(AF281/AF280,""),"")</f>
        <v>0.24</v>
      </c>
      <c r="AG282" s="215">
        <f>IF(AND(ISNUMBER(AG281),ISNUMBER(AG280)),IFERROR(AG281/AG280,""),"")</f>
        <v>0.216326530612245</v>
      </c>
      <c r="AH282" s="215">
        <f>IF(AND(ISNUMBER(AH281),ISNUMBER(AH280)),IFERROR(AH281/AH280,""),"")</f>
        <v>0.183060109289618</v>
      </c>
      <c r="AI282" s="215">
        <f>IF(AND(ISNUMBER(AI281),ISNUMBER(AI280)),IFERROR(AI281/AI280,""),"")</f>
        <v>0.21472184531886</v>
      </c>
      <c r="AJ282" s="215">
        <f>IF(AND(ISNUMBER(AJ281),ISNUMBER(AJ280)),IFERROR(AJ281/AJ280,""),"")</f>
        <v>0.209205020920502</v>
      </c>
      <c r="AK282" s="215">
        <f>IF(AND(ISNUMBER(AK281),ISNUMBER(AK280)),IFERROR(AK281/AK280,""),"")</f>
        <v>0.231316725978648</v>
      </c>
      <c r="AL282" s="215">
        <f>IF(AND(ISNUMBER(AL281),ISNUMBER(AL280)),IFERROR(AL281/AL280,""),"")</f>
        <v>0.222222222222222</v>
      </c>
      <c r="AM282" s="215">
        <f>IF(AND(ISNUMBER(AM281),ISNUMBER(AM280)),IFERROR(AM281/AM280,""),"")</f>
        <v>0.204545454545455</v>
      </c>
      <c r="AN282" s="215">
        <f>IF(AND(ISNUMBER(AN281),ISNUMBER(AN280)),IFERROR(AN281/AN280,""),"")</f>
        <v>0.217068645640074</v>
      </c>
      <c r="AO282" s="215">
        <f>IF(AND(ISNUMBER(AO281),ISNUMBER(AO280)),IFERROR(AO281/AO280,""),"")</f>
        <v>0.216867469879518</v>
      </c>
      <c r="AP282" s="215">
        <f>IF(AND(ISNUMBER(AP281),ISNUMBER(AP280)),IFERROR(AP281/AP280,""),"")</f>
        <v>0.217235188509874</v>
      </c>
      <c r="AQ282" s="215">
        <f>IF(AND(ISNUMBER(AQ281),ISNUMBER(AQ280)),IFERROR(AQ281/AQ280,""),"")</f>
        <v>0.227032734952482</v>
      </c>
      <c r="AR282" s="215">
        <f>IF(AND(ISNUMBER(AR281),ISNUMBER(AR280)),IFERROR(AR281/AR280,""),"")</f>
        <v>0.205186020293123</v>
      </c>
      <c r="AS282" s="215">
        <f>IF(AND(ISNUMBER(AS281),ISNUMBER(AS280)),IFERROR(AS281/AS280,""),"")</f>
        <v>0.216321243523316</v>
      </c>
      <c r="AT282" s="215">
        <f>IF(AND(ISNUMBER(AT281),ISNUMBER(AT280)),IFERROR(AT281/AT280,""),"")</f>
        <v>0.232189973614776</v>
      </c>
      <c r="AU282" s="215">
        <f>IF(AND(ISNUMBER(AU281),ISNUMBER(AU280)),IFERROR(AU281/AU280,""),"")</f>
        <v>0.233169129720854</v>
      </c>
      <c r="AV282" s="215">
        <f>IF(AND(ISNUMBER(AV281),ISNUMBER(AV280)),IFERROR(AV281/AV280,""),"")</f>
        <v>0.198080279232112</v>
      </c>
      <c r="AW282" s="215">
        <f>IF(AND(ISNUMBER(AW281),ISNUMBER(AW280)),IFERROR(AW281/AW280,""),"")</f>
        <v>0.193737769080235</v>
      </c>
      <c r="AX282" s="215">
        <f>IF(AND(ISNUMBER(AX281),ISNUMBER(AX280)),IFERROR(AX281/AX280,""),"")</f>
        <v>0.215296198054819</v>
      </c>
      <c r="AY282" s="215">
        <f>IF(AND(ISNUMBER(AY281),ISNUMBER(AY280)),IFERROR(AY281/AY280,""),"")</f>
        <v>0.225481978206203</v>
      </c>
      <c r="AZ282" s="215">
        <f>IF(AND(ISNUMBER(AZ281),ISNUMBER(AZ280)),IFERROR(AZ281/AZ280,""),"")</f>
        <v>0.212490479817213</v>
      </c>
      <c r="BA282" s="215">
        <f>IF(AND(ISNUMBER(BA281),ISNUMBER(BA280)),IFERROR(BA281/BA280,""),"")</f>
        <v>0.191588785046729</v>
      </c>
      <c r="BB282" s="215">
        <f>IF(AND(ISNUMBER(BB281),ISNUMBER(BB280)),IFERROR(BB281/BB280,""),"")</f>
        <v>0.207850133809099</v>
      </c>
      <c r="BC282" s="215">
        <f>IF(AND(ISNUMBER(BC281),ISNUMBER(BC280)),IFERROR(BC281/BC280,""),"")</f>
        <v>0.209122378334351</v>
      </c>
      <c r="BD282" s="215">
        <f>IF(AND(ISNUMBER(BD281),ISNUMBER(BD280)),IFERROR(BD281/BD280,""),"")</f>
        <v>0.205600589535741</v>
      </c>
      <c r="BE282" s="215">
        <f>IF(AND(ISNUMBER(BE281),ISNUMBER(BE280)),IFERROR(BE281/BE280,""),"")</f>
        <v>0.214232765011119</v>
      </c>
      <c r="BF282" s="215">
        <f>IF(AND(ISNUMBER(BF281),ISNUMBER(BF280)),IFERROR(BF281/BF280,""),"")</f>
        <v>0.197947214076246</v>
      </c>
      <c r="BG282" s="215">
        <f>IF(AND(ISNUMBER(BG281),ISNUMBER(BG280)),IFERROR(BG281/BG280,""),"")</f>
        <v>0.196796338672769</v>
      </c>
      <c r="BH282" s="215">
        <f>IF(AND(ISNUMBER(BH281),ISNUMBER(BH280)),IFERROR(BH281/BH280,""),"")</f>
        <v>0.203197620375535</v>
      </c>
      <c r="BI282" s="215">
        <f>IF(AND(ISNUMBER(BI281),ISNUMBER(BI280)),IFERROR(BI281/BI280,""),"")</f>
        <v>0.196750902527076</v>
      </c>
      <c r="BJ282" s="215">
        <f>IF(AND(ISNUMBER(BJ281),ISNUMBER(BJ280)),IFERROR(BJ281/BJ280,""),"")</f>
        <v>0.220348837209302</v>
      </c>
      <c r="BK282" s="215">
        <f>IF(AND(ISNUMBER(BK281),ISNUMBER(BK280)),IFERROR(BK281/BK280,""),"")</f>
        <v>0.227163461538462</v>
      </c>
      <c r="BL282" s="215">
        <f>IF(AND(ISNUMBER(BL281),ISNUMBER(BL280)),IFERROR(BL281/BL280,""),"")</f>
        <v>0.229346485819975</v>
      </c>
      <c r="BM282" s="215">
        <f>IF(AND(ISNUMBER(BM281),ISNUMBER(BM280)),IFERROR(BM281/BM280,""),"")</f>
        <v>0.217971797179718</v>
      </c>
      <c r="BN282" s="215">
        <f>IF(AND(ISNUMBER(BN281),ISNUMBER(BN280)),IFERROR(BN281/BN280,""),"")</f>
        <v>0.226723095525998</v>
      </c>
      <c r="BO282" s="215">
        <f>IF(AND(ISNUMBER(BO281),ISNUMBER(BO280)),IFERROR(BO281/BO280,""),"")</f>
        <v>0.232281119714116</v>
      </c>
      <c r="BP282" s="215">
        <f>IF(AND(ISNUMBER(BP281),ISNUMBER(BP280)),IFERROR(BP281/BP280,""),"")</f>
        <v>0.212557603686636</v>
      </c>
      <c r="BQ282" s="215">
        <f>IF(AND(ISNUMBER(BQ281),ISNUMBER(BQ280)),IFERROR(BQ281/BQ280,""),"")</f>
        <v>0.23370233702337</v>
      </c>
      <c r="BR282" s="215">
        <f>IF(AND(ISNUMBER(BR281),ISNUMBER(BR280)),IFERROR(BR281/BR280,""),"")</f>
        <v>0.226254480286738</v>
      </c>
      <c r="BS282" s="215">
        <f>IF(AND(ISNUMBER(BS281),ISNUMBER(BS280)),IFERROR(BS281/BS280,""),"")</f>
        <v>0.232994108194965</v>
      </c>
      <c r="BT282" s="215">
        <f>IF(AND(ISNUMBER(BT281),ISNUMBER(BT280)),IFERROR(BT281/BT280,""),"")</f>
        <v>0.197595399895452</v>
      </c>
      <c r="BU282" s="256">
        <f>IF(AND(ISNUMBER(BU281),ISNUMBER(BU280)),IFERROR(BU281/BU280,""),"")</f>
        <v>0.225</v>
      </c>
      <c r="BV282" s="256">
        <f>IF(AND(ISNUMBER(BV281),ISNUMBER(BV280)),IFERROR(BV281/BV280,""),"")</f>
        <v>0.225</v>
      </c>
      <c r="BW282" s="256">
        <f>IF(AND(ISNUMBER(BW281),ISNUMBER(BW280)),IFERROR(BW281/BW280,""),"")</f>
        <v>0.21974589934166</v>
      </c>
      <c r="BX282" s="256">
        <f>IF(AND(ISNUMBER(BX281),ISNUMBER(BX280)),IFERROR(BX281/BX280,""),"")</f>
        <v>0.225</v>
      </c>
      <c r="BY282" s="256">
        <f>IF(AND(ISNUMBER(BY281),ISNUMBER(BY280)),IFERROR(BY281/BY280,""),"")</f>
        <v>0.225</v>
      </c>
      <c r="BZ282" s="256">
        <f>IF(AND(ISNUMBER(BZ281),ISNUMBER(BZ280)),IFERROR(BZ281/BZ280,""),"")</f>
        <v>0.225</v>
      </c>
      <c r="CA282" s="256">
        <f>IF(AND(ISNUMBER(CA281),ISNUMBER(CA280)),IFERROR(CA281/CA280,""),"")</f>
        <v>0.225</v>
      </c>
      <c r="CB282" s="256">
        <f>IF(AND(ISNUMBER(CB281),ISNUMBER(CB280)),IFERROR(CB281/CB280,""),"")</f>
        <v>0.225</v>
      </c>
      <c r="CC282" s="153" t="n"/>
      <c r="CE282" s="37">
        <f>IFERROR(AVERAGE(BX282,BY282,BZ282,CA282,CB282),"n/m")</f>
        <v>0.225</v>
      </c>
      <c r="CF282" s="37">
        <f>IFERROR(AVERAGE(AX282,BC282,BH282,BM282,BR282),"n/m")</f>
        <v>0.214368494846232</v>
      </c>
      <c r="CG282" s="37">
        <f>IFERROR(AVERAGE(Y282,AD282,AI282,AN282,AS282,AX282,BC282,BH282,BM282,BR282),"n/m")</f>
        <v>0.232973217467951</v>
      </c>
      <c r="CH282" s="37">
        <f>IFERROR(AVERAGE(C282,D282,E282,J282,O282,T282,Y282,AD282,AI282,AN282,AS282,AX282,BC282,BH282,BM282,BR282),"n/m")</f>
        <v>0.26871435505007</v>
      </c>
    </row>
    <row r="283" ht="15" customHeight="1" s="251">
      <c r="B283" s="158" t="inlineStr">
        <is>
          <t xml:space="preserve">  Definition / basis (company adjusted EPS definition)</t>
        </is>
      </c>
      <c r="D283" s="284" t="inlineStr">
        <is>
          <t>FY2011–13: adjusted diluted EPS from continuing operations; FY2014–24 adjusted diluted EPS (start: total net income attributable)</t>
        </is>
      </c>
      <c r="U283" s="284" t="inlineStr">
        <is>
          <t>2016+: deal-related amortization excluded (after tax)</t>
        </is>
      </c>
      <c r="BN283" s="284" t="inlineStr">
        <is>
          <t>2025–1H26: pro forma non-GAAP adjusted diluted EPS from continuing operations excluding Mobility (originally published figures in the memo row)</t>
        </is>
      </c>
      <c r="BU283" s="153" t="n"/>
      <c r="BV283" s="153" t="n"/>
      <c r="BW283" s="153" t="n"/>
      <c r="BX283" s="153" t="n"/>
      <c r="BY283" s="153" t="n"/>
      <c r="BZ283" s="153" t="n"/>
      <c r="CA283" s="153" t="n"/>
      <c r="CB283" s="153" t="n"/>
      <c r="CC283" s="19" t="n"/>
    </row>
    <row r="284" ht="15" customHeight="1" s="251">
      <c r="CK284" s="11" t="n"/>
      <c r="CL284" s="12" t="n"/>
      <c r="CM284" s="12" t="n"/>
      <c r="CN284" s="12" t="n"/>
      <c r="CO284" s="13" t="n"/>
    </row>
    <row r="285" ht="15" customHeight="1" s="251">
      <c r="B285" s="14" t="inlineStr">
        <is>
          <t>Memo: pro forma continuing operations excluding Mobility (Article 11; 8-K/A 6-Jul-2026) — annual</t>
        </is>
      </c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  <c r="AH285" s="14" t="n"/>
      <c r="AI285" s="14" t="n"/>
      <c r="AJ285" s="14" t="n"/>
      <c r="AK285" s="14" t="n"/>
      <c r="AL285" s="14" t="n"/>
      <c r="AM285" s="14" t="n"/>
      <c r="AN285" s="14" t="n"/>
      <c r="AO285" s="14" t="n"/>
      <c r="AP285" s="14" t="n"/>
      <c r="AQ285" s="14" t="n"/>
      <c r="AR285" s="14" t="n"/>
      <c r="AS285" s="14" t="n"/>
      <c r="AT285" s="14" t="n"/>
      <c r="AU285" s="14" t="n"/>
      <c r="AV285" s="14" t="n"/>
      <c r="AW285" s="14" t="n"/>
      <c r="AX285" s="14" t="n"/>
      <c r="AY285" s="14" t="n"/>
      <c r="AZ285" s="14" t="n"/>
      <c r="BA285" s="14" t="n"/>
      <c r="BB285" s="14" t="n"/>
      <c r="BC285" s="14" t="n"/>
      <c r="BD285" s="14" t="n"/>
      <c r="BE285" s="14" t="n"/>
      <c r="BF285" s="14" t="n"/>
      <c r="BG285" s="14" t="n"/>
      <c r="BH285" s="14" t="n"/>
      <c r="BI285" s="14" t="n"/>
      <c r="BJ285" s="14" t="n"/>
      <c r="BK285" s="14" t="n"/>
      <c r="BL285" s="14" t="n"/>
      <c r="BM285" s="14" t="n"/>
      <c r="BN285" s="14" t="n"/>
      <c r="BO285" s="14" t="n"/>
      <c r="BP285" s="14" t="n"/>
      <c r="BQ285" s="14" t="n"/>
      <c r="BR285" s="14" t="n"/>
      <c r="BS285" s="14" t="n"/>
      <c r="BT285" s="14" t="n"/>
      <c r="BU285" s="14" t="n"/>
      <c r="BV285" s="14" t="n"/>
      <c r="BW285" s="14" t="n"/>
      <c r="BX285" s="14" t="n"/>
      <c r="BY285" s="14" t="n"/>
      <c r="BZ285" s="14" t="n"/>
      <c r="CA285" s="14" t="n"/>
      <c r="CB285" s="14" t="n"/>
      <c r="CC285" s="15" t="inlineStr">
        <is>
          <t>PRO FORMA MEMO — FY2023–FY2024 are published only as annual pro forma statements; the main rows keep FY2023–24 as reported (incl. Mobility)</t>
        </is>
      </c>
    </row>
    <row r="286" ht="15" customHeight="1" s="251">
      <c r="B286" s="156" t="inlineStr">
        <is>
          <t xml:space="preserve">  Pro forma revenue</t>
        </is>
      </c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4" t="n"/>
      <c r="N286" s="34" t="n"/>
      <c r="O286" s="34" t="n"/>
      <c r="P286" s="34" t="n"/>
      <c r="Q286" s="34" t="n"/>
      <c r="R286" s="34" t="n"/>
      <c r="S286" s="34" t="n"/>
      <c r="T286" s="34" t="n"/>
      <c r="U286" s="34" t="n"/>
      <c r="V286" s="34" t="n"/>
      <c r="W286" s="34" t="n"/>
      <c r="X286" s="34" t="n"/>
      <c r="Y286" s="34" t="n"/>
      <c r="Z286" s="34" t="n"/>
      <c r="AA286" s="34" t="n"/>
      <c r="AB286" s="34" t="n"/>
      <c r="AC286" s="34" t="n"/>
      <c r="AD286" s="34" t="n"/>
      <c r="AE286" s="34" t="n"/>
      <c r="AF286" s="34" t="n"/>
      <c r="AG286" s="34" t="n"/>
      <c r="AH286" s="34" t="n"/>
      <c r="AI286" s="34" t="n"/>
      <c r="AJ286" s="34" t="n"/>
      <c r="AK286" s="34" t="n"/>
      <c r="AL286" s="34" t="n"/>
      <c r="AM286" s="34" t="n"/>
      <c r="AN286" s="34" t="n"/>
      <c r="AO286" s="34" t="n"/>
      <c r="AP286" s="34" t="n"/>
      <c r="AQ286" s="34" t="n"/>
      <c r="AR286" s="34" t="n"/>
      <c r="AS286" s="34" t="n"/>
      <c r="AT286" s="34" t="n"/>
      <c r="AU286" s="34" t="n"/>
      <c r="AV286" s="34" t="n"/>
      <c r="AW286" s="34" t="n"/>
      <c r="AX286" s="34" t="n"/>
      <c r="AY286" s="34" t="n"/>
      <c r="AZ286" s="34" t="n"/>
      <c r="BA286" s="34" t="n"/>
      <c r="BB286" s="34" t="n"/>
      <c r="BC286" s="34" t="n"/>
      <c r="BD286" s="34" t="n"/>
      <c r="BE286" s="34" t="n"/>
      <c r="BF286" s="34" t="n"/>
      <c r="BG286" s="34" t="n"/>
      <c r="BH286" s="253" t="n">
        <v>11013</v>
      </c>
      <c r="BI286" s="34" t="n"/>
      <c r="BJ286" s="34" t="n"/>
      <c r="BK286" s="34" t="n"/>
      <c r="BL286" s="34" t="n"/>
      <c r="BM286" s="253" t="n">
        <v>12599</v>
      </c>
      <c r="BN286" s="253" t="n">
        <v>3357</v>
      </c>
      <c r="BO286" s="253" t="n">
        <v>3317</v>
      </c>
      <c r="BP286" s="253" t="n">
        <v>3443</v>
      </c>
      <c r="BQ286" s="253" t="n">
        <v>3472</v>
      </c>
      <c r="BR286" s="253" t="n">
        <v>13589</v>
      </c>
      <c r="BS286" s="253" t="n">
        <v>3717</v>
      </c>
      <c r="BT286" s="253" t="n">
        <v>3678</v>
      </c>
      <c r="BU286" s="153" t="n"/>
      <c r="BV286" s="153" t="n"/>
      <c r="BW286" s="153" t="n"/>
      <c r="BX286" s="153" t="n"/>
      <c r="BY286" s="153" t="n"/>
      <c r="BZ286" s="153" t="n"/>
      <c r="CA286" s="153" t="n"/>
      <c r="CB286" s="153" t="n"/>
      <c r="CC286" s="153" t="n"/>
    </row>
    <row r="287" ht="15" customHeight="1" s="251">
      <c r="B287" s="156" t="inlineStr">
        <is>
          <t xml:space="preserve">  Pro forma operating profit</t>
        </is>
      </c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  <c r="S287" s="34" t="n"/>
      <c r="T287" s="34" t="n"/>
      <c r="U287" s="34" t="n"/>
      <c r="V287" s="34" t="n"/>
      <c r="W287" s="34" t="n"/>
      <c r="X287" s="34" t="n"/>
      <c r="Y287" s="34" t="n"/>
      <c r="Z287" s="34" t="n"/>
      <c r="AA287" s="34" t="n"/>
      <c r="AB287" s="34" t="n"/>
      <c r="AC287" s="34" t="n"/>
      <c r="AD287" s="34" t="n"/>
      <c r="AE287" s="34" t="n"/>
      <c r="AF287" s="34" t="n"/>
      <c r="AG287" s="34" t="n"/>
      <c r="AH287" s="34" t="n"/>
      <c r="AI287" s="34" t="n"/>
      <c r="AJ287" s="34" t="n"/>
      <c r="AK287" s="34" t="n"/>
      <c r="AL287" s="34" t="n"/>
      <c r="AM287" s="34" t="n"/>
      <c r="AN287" s="34" t="n"/>
      <c r="AO287" s="34" t="n"/>
      <c r="AP287" s="34" t="n"/>
      <c r="AQ287" s="34" t="n"/>
      <c r="AR287" s="34" t="n"/>
      <c r="AS287" s="34" t="n"/>
      <c r="AT287" s="34" t="n"/>
      <c r="AU287" s="34" t="n"/>
      <c r="AV287" s="34" t="n"/>
      <c r="AW287" s="34" t="n"/>
      <c r="AX287" s="34" t="n"/>
      <c r="AY287" s="34" t="n"/>
      <c r="AZ287" s="34" t="n"/>
      <c r="BA287" s="34" t="n"/>
      <c r="BB287" s="34" t="n"/>
      <c r="BC287" s="34" t="n"/>
      <c r="BD287" s="34" t="n"/>
      <c r="BE287" s="34" t="n"/>
      <c r="BF287" s="34" t="n"/>
      <c r="BG287" s="34" t="n"/>
      <c r="BH287" s="253" t="n">
        <v>3703</v>
      </c>
      <c r="BI287" s="34" t="n"/>
      <c r="BJ287" s="34" t="n"/>
      <c r="BK287" s="34" t="n"/>
      <c r="BL287" s="34" t="n"/>
      <c r="BM287" s="253" t="n">
        <v>5206</v>
      </c>
      <c r="BN287" s="253" t="n">
        <v>1486</v>
      </c>
      <c r="BO287" s="253" t="n">
        <v>1450</v>
      </c>
      <c r="BP287" s="253" t="n">
        <v>1565</v>
      </c>
      <c r="BQ287" s="253" t="n">
        <v>1638</v>
      </c>
      <c r="BR287" s="253" t="n">
        <v>6140</v>
      </c>
      <c r="BS287" s="253" t="n">
        <v>1927</v>
      </c>
      <c r="BT287" s="253" t="n">
        <v>1757</v>
      </c>
      <c r="BU287" s="153" t="n"/>
      <c r="BV287" s="153" t="n"/>
      <c r="BW287" s="153" t="n"/>
      <c r="BX287" s="153" t="n"/>
      <c r="BY287" s="153" t="n"/>
      <c r="BZ287" s="153" t="n"/>
      <c r="CA287" s="153" t="n"/>
      <c r="CB287" s="153" t="n"/>
      <c r="CC287" s="153" t="n"/>
    </row>
    <row r="288" ht="15" customHeight="1" s="251">
      <c r="B288" s="156" t="inlineStr">
        <is>
          <t xml:space="preserve">  Pro forma net income from continuing operations attributable</t>
        </is>
      </c>
      <c r="C288" s="34" t="n"/>
      <c r="D288" s="34" t="n"/>
      <c r="E288" s="34" t="n"/>
      <c r="F288" s="34" t="n"/>
      <c r="G288" s="34" t="n"/>
      <c r="H288" s="34" t="n"/>
      <c r="I288" s="34" t="n"/>
      <c r="J288" s="34" t="n"/>
      <c r="K288" s="34" t="n"/>
      <c r="L288" s="34" t="n"/>
      <c r="M288" s="34" t="n"/>
      <c r="N288" s="34" t="n"/>
      <c r="O288" s="34" t="n"/>
      <c r="P288" s="34" t="n"/>
      <c r="Q288" s="34" t="n"/>
      <c r="R288" s="34" t="n"/>
      <c r="S288" s="34" t="n"/>
      <c r="T288" s="34" t="n"/>
      <c r="U288" s="34" t="n"/>
      <c r="V288" s="34" t="n"/>
      <c r="W288" s="34" t="n"/>
      <c r="X288" s="34" t="n"/>
      <c r="Y288" s="34" t="n"/>
      <c r="Z288" s="34" t="n"/>
      <c r="AA288" s="34" t="n"/>
      <c r="AB288" s="34" t="n"/>
      <c r="AC288" s="34" t="n"/>
      <c r="AD288" s="34" t="n"/>
      <c r="AE288" s="34" t="n"/>
      <c r="AF288" s="34" t="n"/>
      <c r="AG288" s="34" t="n"/>
      <c r="AH288" s="34" t="n"/>
      <c r="AI288" s="34" t="n"/>
      <c r="AJ288" s="34" t="n"/>
      <c r="AK288" s="34" t="n"/>
      <c r="AL288" s="34" t="n"/>
      <c r="AM288" s="34" t="n"/>
      <c r="AN288" s="34" t="n"/>
      <c r="AO288" s="34" t="n"/>
      <c r="AP288" s="34" t="n"/>
      <c r="AQ288" s="34" t="n"/>
      <c r="AR288" s="34" t="n"/>
      <c r="AS288" s="34" t="n"/>
      <c r="AT288" s="34" t="n"/>
      <c r="AU288" s="34" t="n"/>
      <c r="AV288" s="34" t="n"/>
      <c r="AW288" s="34" t="n"/>
      <c r="AX288" s="34" t="n"/>
      <c r="AY288" s="34" t="n"/>
      <c r="AZ288" s="34" t="n"/>
      <c r="BA288" s="34" t="n"/>
      <c r="BB288" s="34" t="n"/>
      <c r="BC288" s="34" t="n"/>
      <c r="BD288" s="34" t="n"/>
      <c r="BE288" s="34" t="n"/>
      <c r="BF288" s="34" t="n"/>
      <c r="BG288" s="34" t="n"/>
      <c r="BH288" s="253" t="n">
        <v>2371</v>
      </c>
      <c r="BI288" s="34" t="n"/>
      <c r="BJ288" s="34" t="n"/>
      <c r="BK288" s="34" t="n"/>
      <c r="BL288" s="34" t="n"/>
      <c r="BM288" s="253" t="n">
        <v>3569</v>
      </c>
      <c r="BN288" s="253" t="n">
        <v>1008</v>
      </c>
      <c r="BO288" s="253" t="n">
        <v>988</v>
      </c>
      <c r="BP288" s="253" t="n">
        <v>1084</v>
      </c>
      <c r="BQ288" s="253" t="n">
        <v>1112</v>
      </c>
      <c r="BR288" s="253" t="n">
        <v>4192</v>
      </c>
      <c r="BS288" s="253" t="n">
        <v>1334</v>
      </c>
      <c r="BT288" s="253" t="n">
        <v>1205</v>
      </c>
      <c r="BU288" s="153" t="n"/>
      <c r="BV288" s="153" t="n"/>
      <c r="BW288" s="153" t="n"/>
      <c r="BX288" s="153" t="n"/>
      <c r="BY288" s="153" t="n"/>
      <c r="BZ288" s="153" t="n"/>
      <c r="CA288" s="153" t="n"/>
      <c r="CB288" s="153" t="n"/>
      <c r="CC288" s="153" t="n"/>
    </row>
    <row r="289" ht="15" customHeight="1" s="251">
      <c r="B289" s="22" t="inlineStr">
        <is>
          <t xml:space="preserve">  Pro forma revenue y/y %</t>
        </is>
      </c>
      <c r="C289" s="23" t="n"/>
      <c r="D289" s="255">
        <f>IF(AND(ISNUMBER(D286),ISNUMBER(C286)),IFERROR(D286/C286-1,""),"")</f>
      </c>
      <c r="E289" s="255">
        <f>IF(AND(ISNUMBER(E286),ISNUMBER(D286)),IFERROR(E286/D286-1,""),"")</f>
      </c>
      <c r="F289" s="23" t="n"/>
      <c r="G289" s="23" t="n"/>
      <c r="H289" s="23" t="n"/>
      <c r="I289" s="23" t="n"/>
      <c r="J289" s="255">
        <f>IF(AND(ISNUMBER(J286),ISNUMBER(E286)),IFERROR(J286/E286-1,""),"")</f>
      </c>
      <c r="K289" s="255">
        <f>IF(AND(ISNUMBER(K286),ISNUMBER(F286)),IFERROR(K286/F286-1,""),"")</f>
      </c>
      <c r="L289" s="255">
        <f>IF(AND(ISNUMBER(L286),ISNUMBER(G286)),IFERROR(L286/G286-1,""),"")</f>
      </c>
      <c r="M289" s="255">
        <f>IF(AND(ISNUMBER(M286),ISNUMBER(H286)),IFERROR(M286/H286-1,""),"")</f>
      </c>
      <c r="N289" s="255">
        <f>IF(AND(ISNUMBER(N286),ISNUMBER(I286)),IFERROR(N286/I286-1,""),"")</f>
      </c>
      <c r="O289" s="255">
        <f>IF(AND(ISNUMBER(O286),ISNUMBER(J286)),IFERROR(O286/J286-1,""),"")</f>
      </c>
      <c r="P289" s="255">
        <f>IF(AND(ISNUMBER(P286),ISNUMBER(K286)),IFERROR(P286/K286-1,""),"")</f>
      </c>
      <c r="Q289" s="255">
        <f>IF(AND(ISNUMBER(Q286),ISNUMBER(L286)),IFERROR(Q286/L286-1,""),"")</f>
      </c>
      <c r="R289" s="255">
        <f>IF(AND(ISNUMBER(R286),ISNUMBER(M286)),IFERROR(R286/M286-1,""),"")</f>
      </c>
      <c r="S289" s="255">
        <f>IF(AND(ISNUMBER(S286),ISNUMBER(N286)),IFERROR(S286/N286-1,""),"")</f>
      </c>
      <c r="T289" s="255">
        <f>IF(AND(ISNUMBER(T286),ISNUMBER(O286)),IFERROR(T286/O286-1,""),"")</f>
      </c>
      <c r="U289" s="255">
        <f>IF(AND(ISNUMBER(U286),ISNUMBER(P286)),IFERROR(U286/P286-1,""),"")</f>
      </c>
      <c r="V289" s="255">
        <f>IF(AND(ISNUMBER(V286),ISNUMBER(Q286)),IFERROR(V286/Q286-1,""),"")</f>
      </c>
      <c r="W289" s="255">
        <f>IF(AND(ISNUMBER(W286),ISNUMBER(R286)),IFERROR(W286/R286-1,""),"")</f>
      </c>
      <c r="X289" s="255">
        <f>IF(AND(ISNUMBER(X286),ISNUMBER(S286)),IFERROR(X286/S286-1,""),"")</f>
      </c>
      <c r="Y289" s="255">
        <f>IF(AND(ISNUMBER(Y286),ISNUMBER(T286)),IFERROR(Y286/T286-1,""),"")</f>
      </c>
      <c r="Z289" s="255">
        <f>IF(AND(ISNUMBER(Z286),ISNUMBER(U286)),IFERROR(Z286/U286-1,""),"")</f>
      </c>
      <c r="AA289" s="255">
        <f>IF(AND(ISNUMBER(AA286),ISNUMBER(V286)),IFERROR(AA286/V286-1,""),"")</f>
      </c>
      <c r="AB289" s="255">
        <f>IF(AND(ISNUMBER(AB286),ISNUMBER(W286)),IFERROR(AB286/W286-1,""),"")</f>
      </c>
      <c r="AC289" s="255">
        <f>IF(AND(ISNUMBER(AC286),ISNUMBER(X286)),IFERROR(AC286/X286-1,""),"")</f>
      </c>
      <c r="AD289" s="255">
        <f>IF(AND(ISNUMBER(AD286),ISNUMBER(Y286)),IFERROR(AD286/Y286-1,""),"")</f>
      </c>
      <c r="AE289" s="255">
        <f>IF(AND(ISNUMBER(AE286),ISNUMBER(Z286)),IFERROR(AE286/Z286-1,""),"")</f>
      </c>
      <c r="AF289" s="255">
        <f>IF(AND(ISNUMBER(AF286),ISNUMBER(AA286)),IFERROR(AF286/AA286-1,""),"")</f>
      </c>
      <c r="AG289" s="255">
        <f>IF(AND(ISNUMBER(AG286),ISNUMBER(AB286)),IFERROR(AG286/AB286-1,""),"")</f>
      </c>
      <c r="AH289" s="255">
        <f>IF(AND(ISNUMBER(AH286),ISNUMBER(AC286)),IFERROR(AH286/AC286-1,""),"")</f>
      </c>
      <c r="AI289" s="255">
        <f>IF(AND(ISNUMBER(AI286),ISNUMBER(AD286)),IFERROR(AI286/AD286-1,""),"")</f>
      </c>
      <c r="AJ289" s="255">
        <f>IF(AND(ISNUMBER(AJ286),ISNUMBER(AE286)),IFERROR(AJ286/AE286-1,""),"")</f>
      </c>
      <c r="AK289" s="255">
        <f>IF(AND(ISNUMBER(AK286),ISNUMBER(AF286)),IFERROR(AK286/AF286-1,""),"")</f>
      </c>
      <c r="AL289" s="255">
        <f>IF(AND(ISNUMBER(AL286),ISNUMBER(AG286)),IFERROR(AL286/AG286-1,""),"")</f>
      </c>
      <c r="AM289" s="255">
        <f>IF(AND(ISNUMBER(AM286),ISNUMBER(AH286)),IFERROR(AM286/AH286-1,""),"")</f>
      </c>
      <c r="AN289" s="255">
        <f>IF(AND(ISNUMBER(AN286),ISNUMBER(AI286)),IFERROR(AN286/AI286-1,""),"")</f>
      </c>
      <c r="AO289" s="255">
        <f>IF(AND(ISNUMBER(AO286),ISNUMBER(AJ286)),IFERROR(AO286/AJ286-1,""),"")</f>
      </c>
      <c r="AP289" s="255">
        <f>IF(AND(ISNUMBER(AP286),ISNUMBER(AK286)),IFERROR(AP286/AK286-1,""),"")</f>
      </c>
      <c r="AQ289" s="255">
        <f>IF(AND(ISNUMBER(AQ286),ISNUMBER(AL286)),IFERROR(AQ286/AL286-1,""),"")</f>
      </c>
      <c r="AR289" s="255">
        <f>IF(AND(ISNUMBER(AR286),ISNUMBER(AM286)),IFERROR(AR286/AM286-1,""),"")</f>
      </c>
      <c r="AS289" s="255">
        <f>IF(AND(ISNUMBER(AS286),ISNUMBER(AN286)),IFERROR(AS286/AN286-1,""),"")</f>
      </c>
      <c r="AT289" s="255">
        <f>IF(AND(ISNUMBER(AT286),ISNUMBER(AO286)),IFERROR(AT286/AO286-1,""),"")</f>
      </c>
      <c r="AU289" s="255">
        <f>IF(AND(ISNUMBER(AU286),ISNUMBER(AP286)),IFERROR(AU286/AP286-1,""),"")</f>
      </c>
      <c r="AV289" s="255">
        <f>IF(AND(ISNUMBER(AV286),ISNUMBER(AQ286)),IFERROR(AV286/AQ286-1,""),"")</f>
      </c>
      <c r="AW289" s="255">
        <f>IF(AND(ISNUMBER(AW286),ISNUMBER(AR286)),IFERROR(AW286/AR286-1,""),"")</f>
      </c>
      <c r="AX289" s="255">
        <f>IF(AND(ISNUMBER(AX286),ISNUMBER(AS286)),IFERROR(AX286/AS286-1,""),"")</f>
      </c>
      <c r="AY289" s="255">
        <f>IF(AND(ISNUMBER(AY286),ISNUMBER(AT286)),IFERROR(AY286/AT286-1,""),"")</f>
      </c>
      <c r="AZ289" s="255">
        <f>IF(AND(ISNUMBER(AZ286),ISNUMBER(AU286)),IFERROR(AZ286/AU286-1,""),"")</f>
      </c>
      <c r="BA289" s="255">
        <f>IF(AND(ISNUMBER(BA286),ISNUMBER(AV286)),IFERROR(BA286/AV286-1,""),"")</f>
      </c>
      <c r="BB289" s="255">
        <f>IF(AND(ISNUMBER(BB286),ISNUMBER(AW286)),IFERROR(BB286/AW286-1,""),"")</f>
      </c>
      <c r="BC289" s="255">
        <f>IF(AND(ISNUMBER(BC286),ISNUMBER(AX286)),IFERROR(BC286/AX286-1,""),"")</f>
      </c>
      <c r="BD289" s="255">
        <f>IF(AND(ISNUMBER(BD286),ISNUMBER(AY286)),IFERROR(BD286/AY286-1,""),"")</f>
      </c>
      <c r="BE289" s="255">
        <f>IF(AND(ISNUMBER(BE286),ISNUMBER(AZ286)),IFERROR(BE286/AZ286-1,""),"")</f>
      </c>
      <c r="BF289" s="255">
        <f>IF(AND(ISNUMBER(BF286),ISNUMBER(BA286)),IFERROR(BF286/BA286-1,""),"")</f>
      </c>
      <c r="BG289" s="255">
        <f>IF(AND(ISNUMBER(BG286),ISNUMBER(BB286)),IFERROR(BG286/BB286-1,""),"")</f>
      </c>
      <c r="BH289" s="255">
        <f>IF(AND(ISNUMBER(BH286),ISNUMBER(BC286)),IFERROR(BH286/BC286-1,""),"")</f>
      </c>
      <c r="BI289" s="255">
        <f>IF(AND(ISNUMBER(BI286),ISNUMBER(BD286)),IFERROR(BI286/BD286-1,""),"")</f>
      </c>
      <c r="BJ289" s="255">
        <f>IF(AND(ISNUMBER(BJ286),ISNUMBER(BE286)),IFERROR(BJ286/BE286-1,""),"")</f>
      </c>
      <c r="BK289" s="255">
        <f>IF(AND(ISNUMBER(BK286),ISNUMBER(BF286)),IFERROR(BK286/BF286-1,""),"")</f>
      </c>
      <c r="BL289" s="255">
        <f>IF(AND(ISNUMBER(BL286),ISNUMBER(BG286)),IFERROR(BL286/BG286-1,""),"")</f>
      </c>
      <c r="BM289" s="255">
        <f>IF(AND(ISNUMBER(BM286),ISNUMBER(BH286)),IFERROR(BM286/BH286-1,""),"")</f>
        <v>0.144011622627803</v>
      </c>
      <c r="BN289" s="255">
        <f>IF(AND(ISNUMBER(BN286),ISNUMBER(BI286)),IFERROR(BN286/BI286-1,""),"")</f>
      </c>
      <c r="BO289" s="255">
        <f>IF(AND(ISNUMBER(BO286),ISNUMBER(BJ286)),IFERROR(BO286/BJ286-1,""),"")</f>
      </c>
      <c r="BP289" s="255">
        <f>IF(AND(ISNUMBER(BP286),ISNUMBER(BK286)),IFERROR(BP286/BK286-1,""),"")</f>
      </c>
      <c r="BQ289" s="255">
        <f>IF(AND(ISNUMBER(BQ286),ISNUMBER(BL286)),IFERROR(BQ286/BL286-1,""),"")</f>
      </c>
      <c r="BR289" s="255">
        <f>IF(AND(ISNUMBER(BR286),ISNUMBER(BM286)),IFERROR(BR286/BM286-1,""),"")</f>
        <v>0.0785776648940393</v>
      </c>
      <c r="BS289" s="255">
        <f>IF(AND(ISNUMBER(BS286),ISNUMBER(BN286)),IFERROR(BS286/BN286-1,""),"")</f>
        <v>0.107238605898123</v>
      </c>
      <c r="BT289" s="255">
        <f>IF(AND(ISNUMBER(BT286),ISNUMBER(BO286)),IFERROR(BT286/BO286-1,""),"")</f>
        <v>0.108833283087127</v>
      </c>
      <c r="BU289" s="256">
        <f>IF(AND(ISNUMBER(BU286),ISNUMBER(BP286)),IFERROR(BU286/BP286-1,""),"")</f>
      </c>
      <c r="BV289" s="256">
        <f>IF(AND(ISNUMBER(BV286),ISNUMBER(BQ286)),IFERROR(BV286/BQ286-1,""),"")</f>
      </c>
      <c r="BW289" s="256">
        <f>IF(AND(ISNUMBER(BW286),ISNUMBER(BR286)),IFERROR(BW286/BR286-1,""),"")</f>
      </c>
      <c r="BX289" s="256">
        <f>IF(AND(ISNUMBER(BX286),ISNUMBER(BW286)),IFERROR(BX286/BW286-1,""),"")</f>
      </c>
      <c r="BY289" s="256">
        <f>IF(AND(ISNUMBER(BY286),ISNUMBER(BX286)),IFERROR(BY286/BX286-1,""),"")</f>
      </c>
      <c r="BZ289" s="256">
        <f>IF(AND(ISNUMBER(BZ286),ISNUMBER(BY286)),IFERROR(BZ286/BY286-1,""),"")</f>
      </c>
      <c r="CA289" s="256">
        <f>IF(AND(ISNUMBER(CA286),ISNUMBER(BZ286)),IFERROR(CA286/BZ286-1,""),"")</f>
      </c>
      <c r="CB289" s="256">
        <f>IF(AND(ISNUMBER(CB286),ISNUMBER(CA286)),IFERROR(CB286/CA286-1,""),"")</f>
      </c>
      <c r="CC289" s="153" t="n"/>
    </row>
    <row r="290" ht="15" customHeight="1" s="251">
      <c r="CK290" s="11" t="n"/>
      <c r="CL290" s="12" t="n"/>
      <c r="CM290" s="12" t="n"/>
      <c r="CN290" s="12" t="n"/>
      <c r="CO290" s="13" t="n"/>
    </row>
    <row r="291" ht="15" customHeight="1" s="251">
      <c r="B291" s="10" t="inlineStr">
        <is>
          <t>GROWTH &amp; MARGINS</t>
        </is>
      </c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  <c r="AG291" s="10" t="n"/>
      <c r="AH291" s="10" t="n"/>
      <c r="AI291" s="10" t="n"/>
      <c r="AJ291" s="10" t="n"/>
      <c r="AK291" s="10" t="n"/>
      <c r="AL291" s="10" t="n"/>
      <c r="AM291" s="10" t="n"/>
      <c r="AN291" s="10" t="n"/>
      <c r="AO291" s="10" t="n"/>
      <c r="AP291" s="10" t="n"/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0" t="n"/>
      <c r="BC291" s="10" t="n"/>
      <c r="BD291" s="10" t="n"/>
      <c r="BE291" s="10" t="n"/>
      <c r="BF291" s="10" t="n"/>
      <c r="BG291" s="10" t="n"/>
      <c r="BH291" s="10" t="n"/>
      <c r="BI291" s="10" t="n"/>
      <c r="BJ291" s="10" t="n"/>
      <c r="BK291" s="10" t="n"/>
      <c r="BL291" s="10" t="n"/>
      <c r="BM291" s="10" t="n"/>
      <c r="BN291" s="10" t="n"/>
      <c r="BO291" s="10" t="n"/>
      <c r="BP291" s="10" t="n"/>
      <c r="BQ291" s="10" t="n"/>
      <c r="BR291" s="10" t="n"/>
      <c r="BS291" s="10" t="n"/>
      <c r="BT291" s="10" t="n"/>
      <c r="BU291" s="10" t="n"/>
      <c r="BV291" s="10" t="n"/>
      <c r="BW291" s="10" t="n"/>
      <c r="BX291" s="10" t="n"/>
      <c r="BY291" s="10" t="n"/>
      <c r="BZ291" s="10" t="n"/>
      <c r="CA291" s="10" t="n"/>
      <c r="CB291" s="10" t="n"/>
      <c r="CC291" s="10" t="inlineStr">
        <is>
          <t>GROWTH &amp; MARGINS (consolidated) — forecast outputs</t>
        </is>
      </c>
    </row>
    <row r="292" ht="15" customHeight="1" s="251">
      <c r="B292" s="22" t="inlineStr">
        <is>
          <t xml:space="preserve">  Revenue y/y %</t>
        </is>
      </c>
      <c r="C292" s="23" t="n"/>
      <c r="D292" s="255">
        <f>IF(AND(ISNUMBER(D187),ISNUMBER(C187)),IFERROR(D187/C187-1,""),"")</f>
        <v>0.0865622423742787</v>
      </c>
      <c r="E292" s="255">
        <f>IF(AND(ISNUMBER(E187),ISNUMBER(D187)),IFERROR(E187/D187-1,""),"")</f>
        <v>0.125442589782499</v>
      </c>
      <c r="F292" s="23" t="n"/>
      <c r="G292" s="23" t="n"/>
      <c r="H292" s="23" t="n"/>
      <c r="I292" s="23" t="n"/>
      <c r="J292" s="255">
        <f>IF(AND(ISNUMBER(J187),ISNUMBER(E187)),IFERROR(J187/E187-1,""),"")</f>
        <v>0.095505617977528</v>
      </c>
      <c r="K292" s="255">
        <f>IF(AND(ISNUMBER(K187),ISNUMBER(F187)),IFERROR(K187/F187-1,""),"")</f>
        <v>0.0465707027942421</v>
      </c>
      <c r="L292" s="255">
        <f>IF(AND(ISNUMBER(L187),ISNUMBER(G187)),IFERROR(L187/G187-1,""),"")</f>
        <v>0.0768</v>
      </c>
      <c r="M292" s="255">
        <f>IF(AND(ISNUMBER(M187),ISNUMBER(H187)),IFERROR(M187/H187-1,""),"")</f>
        <v>0.0577889447236182</v>
      </c>
      <c r="N292" s="255">
        <f>IF(AND(ISNUMBER(N187),ISNUMBER(I187)),IFERROR(N187/I187-1,""),"")</f>
        <v>0.032</v>
      </c>
      <c r="O292" s="255">
        <f>IF(AND(ISNUMBER(O187),ISNUMBER(J187)),IFERROR(O187/J187-1,""),"")</f>
        <v>0.0361025641025641</v>
      </c>
      <c r="P292" s="255">
        <f>IF(AND(ISNUMBER(P187),ISNUMBER(K187)),IFERROR(P187/K187-1,""),"")</f>
        <v>0.0299352750809061</v>
      </c>
      <c r="Q292" s="255">
        <f>IF(AND(ISNUMBER(Q187),ISNUMBER(L187)),IFERROR(Q187/L187-1,""),"")</f>
        <v>-0.00297176820208023</v>
      </c>
      <c r="R292" s="255">
        <f>IF(AND(ISNUMBER(R187),ISNUMBER(M187)),IFERROR(R187/M187-1,""),"")</f>
        <v>0.0482977038796517</v>
      </c>
      <c r="S292" s="255">
        <f>IF(AND(ISNUMBER(S187),ISNUMBER(N187)),IFERROR(S187/N187-1,""),"")</f>
        <v>0.0651162790697675</v>
      </c>
      <c r="T292" s="255">
        <f>IF(AND(ISNUMBER(T187),ISNUMBER(O187)),IFERROR(T187/O187-1,""),"")</f>
        <v>0.0518709166501683</v>
      </c>
      <c r="U292" s="255">
        <f>IF(AND(ISNUMBER(U187),ISNUMBER(P187)),IFERROR(U187/P187-1,""),"")</f>
        <v>0.0534171249018067</v>
      </c>
      <c r="V292" s="255">
        <f>IF(AND(ISNUMBER(V187),ISNUMBER(Q187)),IFERROR(V187/Q187-1,""),"")</f>
        <v>0.104321907600596</v>
      </c>
      <c r="W292" s="255">
        <f>IF(AND(ISNUMBER(W187),ISNUMBER(R187)),IFERROR(W187/R187-1,""),"")</f>
        <v>0.0868580060422961</v>
      </c>
      <c r="X292" s="255">
        <f>IF(AND(ISNUMBER(X187),ISNUMBER(S187)),IFERROR(X187/S187-1,""),"")</f>
        <v>0.0181950509461426</v>
      </c>
      <c r="Y292" s="255">
        <f>IF(AND(ISNUMBER(Y187),ISNUMBER(T187)),IFERROR(Y187/T187-1,""),"")</f>
        <v>0.0654997176736307</v>
      </c>
      <c r="Z292" s="255">
        <f>IF(AND(ISNUMBER(Z187),ISNUMBER(U187)),IFERROR(Z187/U187-1,""),"")</f>
        <v>0.0835197613721104</v>
      </c>
      <c r="AA292" s="255">
        <f>IF(AND(ISNUMBER(AA187),ISNUMBER(V187)),IFERROR(AA187/V187-1,""),"")</f>
        <v>0.0182186234817814</v>
      </c>
      <c r="AB292" s="255">
        <f>IF(AND(ISNUMBER(AB187),ISNUMBER(W187)),IFERROR(AB187/W187-1,""),"")</f>
        <v>0.0514246004169563</v>
      </c>
      <c r="AC292" s="255">
        <f>IF(AND(ISNUMBER(AC187),ISNUMBER(X187)),IFERROR(AC187/X187-1,""),"")</f>
        <v>0.135811293781272</v>
      </c>
      <c r="AD292" s="255">
        <f>IF(AND(ISNUMBER(AD187),ISNUMBER(Y187)),IFERROR(AD187/Y187-1,""),"")</f>
        <v>0.0710121886592474</v>
      </c>
      <c r="AE292" s="255">
        <f>IF(AND(ISNUMBER(AE187),ISNUMBER(Z187)),IFERROR(AE187/Z187-1,""),"")</f>
        <v>0.0784583620096353</v>
      </c>
      <c r="AF292" s="255">
        <f>IF(AND(ISNUMBER(AF187),ISNUMBER(AA187)),IFERROR(AF187/AA187-1,""),"")</f>
        <v>0.0662690523525513</v>
      </c>
      <c r="AG292" s="255">
        <f>IF(AND(ISNUMBER(AG187),ISNUMBER(AB187)),IFERROR(AG187/AB187-1,""),"")</f>
        <v>0.0218109715796431</v>
      </c>
      <c r="AH292" s="255">
        <f>IF(AND(ISNUMBER(AH187),ISNUMBER(AC187)),IFERROR(AH187/AC187-1,""),"")</f>
        <v>-0.0333543108873505</v>
      </c>
      <c r="AI292" s="255">
        <f>IF(AND(ISNUMBER(AI187),ISNUMBER(AD187)),IFERROR(AI187/AD187-1,""),"")</f>
        <v>0.0321622958931223</v>
      </c>
      <c r="AJ292" s="255">
        <f>IF(AND(ISNUMBER(AJ187),ISNUMBER(AE187)),IFERROR(AJ187/AE187-1,""),"")</f>
        <v>0.00255264837268676</v>
      </c>
      <c r="AK292" s="255">
        <f>IF(AND(ISNUMBER(AK187),ISNUMBER(AF187)),IFERROR(AK187/AF187-1,""),"")</f>
        <v>0.0590428837787447</v>
      </c>
      <c r="AL292" s="255">
        <f>IF(AND(ISNUMBER(AL187),ISNUMBER(AG187)),IFERROR(AL187/AG187-1,""),"")</f>
        <v>0.0924967658473479</v>
      </c>
      <c r="AM292" s="255">
        <f>IF(AND(ISNUMBER(AM187),ISNUMBER(AH187)),IFERROR(AM187/AH187-1,""),"")</f>
        <v>0.129557291666667</v>
      </c>
      <c r="AN292" s="255">
        <f>IF(AND(ISNUMBER(AN187),ISNUMBER(AI187)),IFERROR(AN187/AI187-1,""),"")</f>
        <v>0.0704697986577181</v>
      </c>
      <c r="AO292" s="255">
        <f>IF(AND(ISNUMBER(AO187),ISNUMBER(AJ187)),IFERROR(AO187/AJ187-1,""),"")</f>
        <v>0.136855506047104</v>
      </c>
      <c r="AP292" s="255">
        <f>IF(AND(ISNUMBER(AP187),ISNUMBER(AK187)),IFERROR(AP187/AK187-1,""),"")</f>
        <v>0.140258215962441</v>
      </c>
      <c r="AQ292" s="255">
        <f>IF(AND(ISNUMBER(AQ187),ISNUMBER(AL187)),IFERROR(AQ187/AL187-1,""),"")</f>
        <v>0.0929544108940201</v>
      </c>
      <c r="AR292" s="255">
        <f>IF(AND(ISNUMBER(AR187),ISNUMBER(AM187)),IFERROR(AR187/AM187-1,""),"")</f>
        <v>0.0760806916426513</v>
      </c>
      <c r="AS292" s="255">
        <f>IF(AND(ISNUMBER(AS187),ISNUMBER(AN187)),IFERROR(AS187/AN187-1,""),"")</f>
        <v>0.110912076429318</v>
      </c>
      <c r="AT292" s="255">
        <f>IF(AND(ISNUMBER(AT187),ISNUMBER(AO187)),IFERROR(AT187/AO187-1,""),"")</f>
        <v>0.128779395296752</v>
      </c>
      <c r="AU292" s="255">
        <f>IF(AND(ISNUMBER(AU187),ISNUMBER(AP187)),IFERROR(AU187/AP187-1,""),"")</f>
        <v>0.0838908903757076</v>
      </c>
      <c r="AV292" s="255">
        <f>IF(AND(ISNUMBER(AV187),ISNUMBER(AQ187)),IFERROR(AV187/AQ187-1,""),"")</f>
        <v>0.130552546045504</v>
      </c>
      <c r="AW292" s="255">
        <f>IF(AND(ISNUMBER(AW187),ISNUMBER(AR187)),IFERROR(AW187/AR187-1,""),"")</f>
        <v>0.118371719335833</v>
      </c>
      <c r="AX292" s="255">
        <f>IF(AND(ISNUMBER(AX187),ISNUMBER(AS187)),IFERROR(AX187/AS187-1,""),"")</f>
        <v>0.114888470841172</v>
      </c>
      <c r="AY292" s="255">
        <f>IF(AND(ISNUMBER(AY187),ISNUMBER(AT187)),IFERROR(AY187/AT187-1,""),"")</f>
        <v>0.185019841269841</v>
      </c>
      <c r="AZ292" s="255">
        <f>IF(AND(ISNUMBER(AZ187),ISNUMBER(AU187)),IFERROR(AZ187/AU187-1,""),"")</f>
        <v>0.421177587844255</v>
      </c>
      <c r="BA292" s="255">
        <f>IF(AND(ISNUMBER(BA187),ISNUMBER(AV187)),IFERROR(BA187/AV187-1,""),"")</f>
        <v>0.370867273598467</v>
      </c>
      <c r="BB292" s="255">
        <f>IF(AND(ISNUMBER(BB187),ISNUMBER(AW187)),IFERROR(BB187/AW187-1,""),"")</f>
        <v>0.406609195402299</v>
      </c>
      <c r="BC292" s="255">
        <f>IF(AND(ISNUMBER(BC187),ISNUMBER(AX187)),IFERROR(BC187/AX187-1,""),"")</f>
        <v>0.34759551645173</v>
      </c>
      <c r="BD292" s="255">
        <f>IF(AND(ISNUMBER(BD187),ISNUMBER(AY187)),IFERROR(BD187/AY187-1,""),"")</f>
        <v>0.322729175387191</v>
      </c>
      <c r="BE292" s="255">
        <f>IF(AND(ISNUMBER(BE187),ISNUMBER(AZ187)),IFERROR(BE187/AZ187-1,""),"")</f>
        <v>0.0360841964584029</v>
      </c>
      <c r="BF292" s="255">
        <f>IF(AND(ISNUMBER(BF187),ISNUMBER(BA187)),IFERROR(BF187/BA187-1,""),"")</f>
        <v>0.0779447745543516</v>
      </c>
      <c r="BG292" s="255">
        <f>IF(AND(ISNUMBER(BG187),ISNUMBER(BB187)),IFERROR(BG187/BB187-1,""),"")</f>
        <v>0.073203949608444</v>
      </c>
      <c r="BH292" s="255">
        <f>IF(AND(ISNUMBER(BH187),ISNUMBER(BC187)),IFERROR(BH187/BC187-1,""),"")</f>
        <v>0.117699669081478</v>
      </c>
      <c r="BI292" s="255">
        <f>IF(AND(ISNUMBER(BI187),ISNUMBER(BD187)),IFERROR(BI187/BD187-1,""),"")</f>
        <v>0.104746835443038</v>
      </c>
      <c r="BJ292" s="255">
        <f>IF(AND(ISNUMBER(BJ187),ISNUMBER(BE187)),IFERROR(BJ187/BE187-1,""),"")</f>
        <v>0.144469525959368</v>
      </c>
      <c r="BK292" s="255">
        <f>IF(AND(ISNUMBER(BK187),ISNUMBER(BF187)),IFERROR(BK187/BF187-1,""),"")</f>
        <v>0.159208819714656</v>
      </c>
      <c r="BL292" s="255">
        <f>IF(AND(ISNUMBER(BL187),ISNUMBER(BG187)),IFERROR(BL187/BG187-1,""),"")</f>
        <v>0.139593908629442</v>
      </c>
      <c r="BM292" s="255">
        <f>IF(AND(ISNUMBER(BM187),ISNUMBER(BH187)),IFERROR(BM187/BH187-1,""),"")</f>
        <v>0.136912859086181</v>
      </c>
      <c r="BN292" s="255">
        <f>IF(AND(ISNUMBER(BN187),ISNUMBER(BI187)),IFERROR(BN187/BI187-1,""),"")</f>
        <v>-0.0383844170724721</v>
      </c>
      <c r="BO292" s="255">
        <f>IF(AND(ISNUMBER(BO187),ISNUMBER(BJ187)),IFERROR(BO187/BJ187-1,""),"")</f>
        <v>-0.0653705269089885</v>
      </c>
      <c r="BP292" s="255">
        <f>IF(AND(ISNUMBER(BP187),ISNUMBER(BK187)),IFERROR(BP187/BK187-1,""),"")</f>
        <v>-0.036923076923077</v>
      </c>
      <c r="BQ292" s="255">
        <f>IF(AND(ISNUMBER(BQ187),ISNUMBER(BL187)),IFERROR(BQ187/BL187-1,""),"")</f>
        <v>-0.0334075723830735</v>
      </c>
      <c r="BR292" s="255">
        <f>IF(AND(ISNUMBER(BR187),ISNUMBER(BM187)),IFERROR(BR187/BM187-1,""),"")</f>
        <v>-0.0435670045045045</v>
      </c>
      <c r="BS292" s="255">
        <f>IF(AND(ISNUMBER(BS187),ISNUMBER(BN187)),IFERROR(BS187/BN187-1,""),"")</f>
        <v>0.107238605898123</v>
      </c>
      <c r="BT292" s="255">
        <f>IF(AND(ISNUMBER(BT187),ISNUMBER(BO187)),IFERROR(BT187/BO187-1,""),"")</f>
        <v>0.108833283087127</v>
      </c>
      <c r="BU292" s="256">
        <f>IF(AND(ISNUMBER(BU187),ISNUMBER(BP187)),IFERROR(BU187/BP187-1,""),"")</f>
        <v>0.0323658495853614</v>
      </c>
      <c r="BV292" s="256">
        <f>IF(AND(ISNUMBER(BV187),ISNUMBER(BQ187)),IFERROR(BV187/BQ187-1,""),"")</f>
        <v>0.0303010886744239</v>
      </c>
      <c r="BW292" s="256">
        <f>IF(AND(ISNUMBER(BW187),ISNUMBER(BR187)),IFERROR(BW187/BR187-1,""),"")</f>
        <v>0.069</v>
      </c>
      <c r="BX292" s="256">
        <f>IF(AND(ISNUMBER(BX187),ISNUMBER(BW187)),IFERROR(BX187/BW187-1,""),"")</f>
        <v>0.0619249871563388</v>
      </c>
      <c r="BY292" s="256">
        <f>IF(AND(ISNUMBER(BY187),ISNUMBER(BX187)),IFERROR(BY187/BX187-1,""),"")</f>
        <v>0.0706966023932503</v>
      </c>
      <c r="BZ292" s="256">
        <f>IF(AND(ISNUMBER(BZ187),ISNUMBER(BY187)),IFERROR(BZ187/BY187-1,""),"")</f>
        <v>0.0686610537844257</v>
      </c>
      <c r="CA292" s="256">
        <f>IF(AND(ISNUMBER(CA187),ISNUMBER(BZ187)),IFERROR(CA187/BZ187-1,""),"")</f>
        <v>0.0656323284792579</v>
      </c>
      <c r="CB292" s="256">
        <f>IF(AND(ISNUMBER(CB187),ISNUMBER(CA187)),IFERROR(CB187/CA187-1,""),"")</f>
        <v>0.0655363576432377</v>
      </c>
      <c r="CC292" s="153" t="n"/>
      <c r="CE292" s="37">
        <f>IFERROR(AVERAGE(BX292,BY292,BZ292,CA292,CB292),"n/m")</f>
        <v>0.0664902658913021</v>
      </c>
      <c r="CF292" s="37">
        <f>IFERROR(AVERAGE(AX292,BC292,BH292,BM292,BR292),"n/m")</f>
        <v>0.134705902191211</v>
      </c>
      <c r="CG292" s="37">
        <f>IFERROR(AVERAGE(Y292,AD292,AI292,AN292,AS292,AX292,BC292,BH292,BM292,BR292),"n/m")</f>
        <v>0.102358558826909</v>
      </c>
      <c r="CH292" s="37">
        <f>IFERROR(AVERAGE(C292,D292,E292,J292,O292,T292,Y292,AD292,AI292,AN292,AS292,AX292,BC292,BH292,BM292,BR292),"n/m")</f>
        <v>0.0946046346104086</v>
      </c>
    </row>
    <row r="293" ht="15" customHeight="1" s="251">
      <c r="B293" s="22" t="inlineStr">
        <is>
          <t xml:space="preserve">  Ratings revenue y/y %</t>
        </is>
      </c>
      <c r="C293" s="23" t="n"/>
      <c r="D293" s="255">
        <f>IF(AND(ISNUMBER(D18),ISNUMBER(C18)),IFERROR(D18/C18-1,""),"")</f>
        <v>0.0424778761061948</v>
      </c>
      <c r="E293" s="255">
        <f>IF(AND(ISNUMBER(E18),ISNUMBER(D18)),IFERROR(E18/D18-1,""),"")</f>
        <v>0.151103565365025</v>
      </c>
      <c r="F293" s="23" t="n"/>
      <c r="G293" s="23" t="n"/>
      <c r="H293" s="23" t="n"/>
      <c r="I293" s="23" t="n"/>
      <c r="J293" s="255">
        <f>IF(AND(ISNUMBER(J18),ISNUMBER(E18)),IFERROR(J18/E18-1,""),"")</f>
        <v>0.117994100294985</v>
      </c>
      <c r="K293" s="255">
        <f>IF(AND(ISNUMBER(K18),ISNUMBER(F18)),IFERROR(K18/F18-1,""),"")</f>
        <v>0.0142602495543671</v>
      </c>
      <c r="L293" s="255">
        <f>IF(AND(ISNUMBER(L18),ISNUMBER(G18)),IFERROR(L18/G18-1,""),"")</f>
        <v>0.108514190317195</v>
      </c>
      <c r="M293" s="255">
        <f>IF(AND(ISNUMBER(M18),ISNUMBER(H18)),IFERROR(M18/H18-1,""),"")</f>
        <v>0.118518518518518</v>
      </c>
      <c r="N293" s="255">
        <f>IF(AND(ISNUMBER(N18),ISNUMBER(I18)),IFERROR(N18/I18-1,""),"")</f>
        <v>0.0766550522648084</v>
      </c>
      <c r="O293" s="255">
        <f>IF(AND(ISNUMBER(O18),ISNUMBER(J18)),IFERROR(O18/J18-1,""),"")</f>
        <v>0.0795954265611258</v>
      </c>
      <c r="P293" s="255">
        <f>IF(AND(ISNUMBER(P18),ISNUMBER(K18)),IFERROR(P18/K18-1,""),"")</f>
        <v>0.0650263620386644</v>
      </c>
      <c r="Q293" s="255">
        <f>IF(AND(ISNUMBER(Q18),ISNUMBER(L18)),IFERROR(Q18/L18-1,""),"")</f>
        <v>-0.00903614457831325</v>
      </c>
      <c r="R293" s="255">
        <f>IF(AND(ISNUMBER(R18),ISNUMBER(M18)),IFERROR(R18/M18-1,""),"")</f>
        <v>-0.0281456953642384</v>
      </c>
      <c r="S293" s="255">
        <f>IF(AND(ISNUMBER(S18),ISNUMBER(N18)),IFERROR(S18/N18-1,""),"")</f>
        <v>-0.0647249190938511</v>
      </c>
      <c r="T293" s="255">
        <f>IF(AND(ISNUMBER(T18),ISNUMBER(O18)),IFERROR(T18/O18-1,""),"")</f>
        <v>-0.0109979633401222</v>
      </c>
      <c r="U293" s="255">
        <f>IF(AND(ISNUMBER(U18),ISNUMBER(P18)),IFERROR(U18/P18-1,""),"")</f>
        <v>-0.0891089108910891</v>
      </c>
      <c r="V293" s="255">
        <f>IF(AND(ISNUMBER(V18),ISNUMBER(Q18)),IFERROR(V18/Q18-1,""),"")</f>
        <v>0.0364741641337385</v>
      </c>
      <c r="W293" s="255">
        <f>IF(AND(ISNUMBER(W18),ISNUMBER(R18)),IFERROR(W18/R18-1,""),"")</f>
        <v>0.0936967632027257</v>
      </c>
      <c r="X293" s="255">
        <f>IF(AND(ISNUMBER(X18),ISNUMBER(S18)),IFERROR(X18/S18-1,""),"")</f>
        <v>0.13840830449827</v>
      </c>
      <c r="Y293" s="255">
        <f>IF(AND(ISNUMBER(Y18),ISNUMBER(T18)),IFERROR(Y18/T18-1,""),"")</f>
        <v>0.0440691927512356</v>
      </c>
      <c r="Z293" s="255">
        <f>IF(AND(ISNUMBER(Z18),ISNUMBER(U18)),IFERROR(Z18/U18-1,""),"")</f>
        <v>0.293478260869565</v>
      </c>
      <c r="AA293" s="255">
        <f>IF(AND(ISNUMBER(AA18),ISNUMBER(V18)),IFERROR(AA18/V18-1,""),"")</f>
        <v>0.095307917888563</v>
      </c>
      <c r="AB293" s="255">
        <f>IF(AND(ISNUMBER(AB18),ISNUMBER(W18)),IFERROR(AB18/W18-1,""),"")</f>
        <v>0.151090342679128</v>
      </c>
      <c r="AC293" s="255">
        <f>IF(AND(ISNUMBER(AC18),ISNUMBER(X18)),IFERROR(AC18/X18-1,""),"")</f>
        <v>0.199088145896656</v>
      </c>
      <c r="AD293" s="255">
        <f>IF(AND(ISNUMBER(AD18),ISNUMBER(Y18)),IFERROR(AD18/Y18-1,""),"")</f>
        <v>0.178698224852071</v>
      </c>
      <c r="AE293" s="255">
        <f>IF(AND(ISNUMBER(AE18),ISNUMBER(Z18)),IFERROR(AE18/Z18-1,""),"")</f>
        <v>0.0476190476190477</v>
      </c>
      <c r="AF293" s="255">
        <f>IF(AND(ISNUMBER(AF18),ISNUMBER(AA18)),IFERROR(AF18/AA18-1,""),"")</f>
        <v>0.0374832663989291</v>
      </c>
      <c r="AG293" s="255">
        <f>IF(AND(ISNUMBER(AG18),ISNUMBER(AB18)),IFERROR(AG18/AB18-1,""),"")</f>
        <v>-0.0527740189445196</v>
      </c>
      <c r="AH293" s="255">
        <f>IF(AND(ISNUMBER(AH18),ISNUMBER(AC18)),IFERROR(AH18/AC18-1,""),"")</f>
        <v>-0.162230671736375</v>
      </c>
      <c r="AI293" s="255">
        <f>IF(AND(ISNUMBER(AI18),ISNUMBER(AD18)),IFERROR(AI18/AD18-1,""),"")</f>
        <v>-0.035140562248996</v>
      </c>
      <c r="AJ293" s="255">
        <f>IF(AND(ISNUMBER(AJ18),ISNUMBER(AE18)),IFERROR(AJ18/AE18-1,""),"")</f>
        <v>-0.0695187165775401</v>
      </c>
      <c r="AK293" s="255">
        <f>IF(AND(ISNUMBER(AK18),ISNUMBER(AF18)),IFERROR(AK18/AF18-1,""),"")</f>
        <v>0.0335483870967741</v>
      </c>
      <c r="AL293" s="255">
        <f>IF(AND(ISNUMBER(AL18),ISNUMBER(AG18)),IFERROR(AL18/AG18-1,""),"")</f>
        <v>0.127142857142857</v>
      </c>
      <c r="AM293" s="255">
        <f>IF(AND(ISNUMBER(AM18),ISNUMBER(AH18)),IFERROR(AM18/AH18-1,""),"")</f>
        <v>0.24054462934947</v>
      </c>
      <c r="AN293" s="255">
        <f>IF(AND(ISNUMBER(AN18),ISNUMBER(AI18)),IFERROR(AN18/AI18-1,""),"")</f>
        <v>0.0773499826569546</v>
      </c>
      <c r="AO293" s="255">
        <f>IF(AND(ISNUMBER(AO18),ISNUMBER(AJ18)),IFERROR(AO18/AJ18-1,""),"")</f>
        <v>0.185344827586207</v>
      </c>
      <c r="AP293" s="255">
        <f>IF(AND(ISNUMBER(AP18),ISNUMBER(AK18)),IFERROR(AP18/AK18-1,""),"")</f>
        <v>0.255930087390762</v>
      </c>
      <c r="AQ293" s="255">
        <f>IF(AND(ISNUMBER(AQ18),ISNUMBER(AL18)),IFERROR(AQ18/AL18-1,""),"")</f>
        <v>0.133079847908745</v>
      </c>
      <c r="AR293" s="255">
        <f>IF(AND(ISNUMBER(AR18),ISNUMBER(AM18)),IFERROR(AR18/AM18-1,""),"")</f>
        <v>0.0743902439024391</v>
      </c>
      <c r="AS293" s="255">
        <f>IF(AND(ISNUMBER(AS18),ISNUMBER(AN18)),IFERROR(AS18/AN18-1,""),"")</f>
        <v>0.160978750804894</v>
      </c>
      <c r="AT293" s="255">
        <f>IF(AND(ISNUMBER(AT18),ISNUMBER(AO18)),IFERROR(AT18/AO18-1,""),"")</f>
        <v>0.232727272727273</v>
      </c>
      <c r="AU293" s="255">
        <f>IF(AND(ISNUMBER(AU18),ISNUMBER(AP18)),IFERROR(AU18/AP18-1,""),"")</f>
        <v>0.0666003976143141</v>
      </c>
      <c r="AV293" s="255">
        <f>IF(AND(ISNUMBER(AV18),ISNUMBER(AQ18)),IFERROR(AV18/AQ18-1,""),"")</f>
        <v>0.13758389261745</v>
      </c>
      <c r="AW293" s="255">
        <f>IF(AND(ISNUMBER(AW18),ISNUMBER(AR18)),IFERROR(AW18/AR18-1,""),"")</f>
        <v>0.122587968217934</v>
      </c>
      <c r="AX293" s="255">
        <f>IF(AND(ISNUMBER(AX18),ISNUMBER(AS18)),IFERROR(AX18/AS18-1,""),"")</f>
        <v>0.136161952301719</v>
      </c>
      <c r="AY293" s="255">
        <f>IF(AND(ISNUMBER(AY18),ISNUMBER(AT18)),IFERROR(AY18/AT18-1,""),"")</f>
        <v>-0.146509341199607</v>
      </c>
      <c r="AZ293" s="255">
        <f>IF(AND(ISNUMBER(AZ18),ISNUMBER(AU18)),IFERROR(AZ18/AU18-1,""),"")</f>
        <v>-0.258154706430569</v>
      </c>
      <c r="BA293" s="255">
        <f>IF(AND(ISNUMBER(BA18),ISNUMBER(AV18)),IFERROR(BA18/AV18-1,""),"")</f>
        <v>-0.330383480825959</v>
      </c>
      <c r="BB293" s="255">
        <f>IF(AND(ISNUMBER(BB18),ISNUMBER(AW18)),IFERROR(BB18/AW18-1,""),"")</f>
        <v>-0.287158746208291</v>
      </c>
      <c r="BC293" s="255">
        <f>IF(AND(ISNUMBER(BC18),ISNUMBER(AX18)),IFERROR(BC18/AX18-1,""),"")</f>
        <v>-0.255552843544057</v>
      </c>
      <c r="BD293" s="255">
        <f>IF(AND(ISNUMBER(BD18),ISNUMBER(AY18)),IFERROR(BD18/AY18-1,""),"")</f>
        <v>-0.0506912442396313</v>
      </c>
      <c r="BE293" s="255">
        <f>IF(AND(ISNUMBER(BE18),ISNUMBER(AZ18)),IFERROR(BE18/AZ18-1,""),"")</f>
        <v>0.0690954773869348</v>
      </c>
      <c r="BF293" s="255">
        <f>IF(AND(ISNUMBER(BF18),ISNUMBER(BA18)),IFERROR(BF18/BA18-1,""),"")</f>
        <v>0.202643171806167</v>
      </c>
      <c r="BG293" s="255">
        <f>IF(AND(ISNUMBER(BG18),ISNUMBER(BB18)),IFERROR(BG18/BB18-1,""),"")</f>
        <v>0.188652482269503</v>
      </c>
      <c r="BH293" s="255">
        <f>IF(AND(ISNUMBER(BH18),ISNUMBER(BC18)),IFERROR(BH18/BC18-1,""),"")</f>
        <v>0.0924590163934427</v>
      </c>
      <c r="BI293" s="255">
        <f>IF(AND(ISNUMBER(BI18),ISNUMBER(BD18)),IFERROR(BI18/BD18-1,""),"")</f>
        <v>0.288834951456311</v>
      </c>
      <c r="BJ293" s="255">
        <f>IF(AND(ISNUMBER(BJ18),ISNUMBER(BE18)),IFERROR(BJ18/BE18-1,""),"")</f>
        <v>0.333725029377203</v>
      </c>
      <c r="BK293" s="255">
        <f>IF(AND(ISNUMBER(BK18),ISNUMBER(BF18)),IFERROR(BK18/BF18-1,""),"")</f>
        <v>0.355311355311355</v>
      </c>
      <c r="BL293" s="255">
        <f>IF(AND(ISNUMBER(BL18),ISNUMBER(BG18)),IFERROR(BL18/BG18-1,""),"")</f>
        <v>0.267303102625298</v>
      </c>
      <c r="BM293" s="255">
        <f>IF(AND(ISNUMBER(BM18),ISNUMBER(BH18)),IFERROR(BM18/BH18-1,""),"")</f>
        <v>0.311524609843938</v>
      </c>
      <c r="BN293" s="255">
        <f>IF(AND(ISNUMBER(BN18),ISNUMBER(BI18)),IFERROR(BN18/BI18-1,""),"")</f>
        <v>0.0819209039548023</v>
      </c>
      <c r="BO293" s="255">
        <f>IF(AND(ISNUMBER(BO18),ISNUMBER(BJ18)),IFERROR(BO18/BJ18-1,""),"")</f>
        <v>0.011453744493392</v>
      </c>
      <c r="BP293" s="255">
        <f>IF(AND(ISNUMBER(BP18),ISNUMBER(BK18)),IFERROR(BP18/BK18-1,""),"")</f>
        <v>0.117117117117117</v>
      </c>
      <c r="BQ293" s="255">
        <f>IF(AND(ISNUMBER(BQ18),ISNUMBER(BL18)),IFERROR(BQ18/BL18-1,""),"")</f>
        <v>0.117702448210923</v>
      </c>
      <c r="BR293" s="255">
        <f>IF(AND(ISNUMBER(BR18),ISNUMBER(BM18)),IFERROR(BR18/BM18-1,""),"")</f>
        <v>0.0810068649885583</v>
      </c>
      <c r="BS293" s="255">
        <f>IF(AND(ISNUMBER(BS18),ISNUMBER(BN18)),IFERROR(BS18/BN18-1,""),"")</f>
        <v>0.133159268929504</v>
      </c>
      <c r="BT293" s="255">
        <f>IF(AND(ISNUMBER(BT18),ISNUMBER(BO18)),IFERROR(BT18/BO18-1,""),"")</f>
        <v>0.166376306620209</v>
      </c>
      <c r="BU293" s="256">
        <f>IF(AND(ISNUMBER(BU18),ISNUMBER(BP18)),IFERROR(BU18/BP18-1,""),"")</f>
        <v>0.0745452673823401</v>
      </c>
      <c r="BV293" s="256">
        <f>IF(AND(ISNUMBER(BV18),ISNUMBER(BQ18)),IFERROR(BV18/BQ18-1,""),"")</f>
        <v>0.0698363044874093</v>
      </c>
      <c r="BW293" s="256">
        <f>IF(AND(ISNUMBER(BW18),ISNUMBER(BR18)),IFERROR(BW18/BR18-1,""),"")</f>
        <v>0.109934763967116</v>
      </c>
      <c r="BX293" s="256">
        <f>IF(AND(ISNUMBER(BX18),ISNUMBER(BW18)),IFERROR(BX18/BW18-1,""),"")</f>
        <v>0.0481532730843881</v>
      </c>
      <c r="BY293" s="256">
        <f>IF(AND(ISNUMBER(BY18),ISNUMBER(BX18)),IFERROR(BY18/BX18-1,""),"")</f>
        <v>0.0646329107343091</v>
      </c>
      <c r="BZ293" s="256">
        <f>IF(AND(ISNUMBER(BZ18),ISNUMBER(BY18)),IFERROR(BZ18/BY18-1,""),"")</f>
        <v>0.0599999999999998</v>
      </c>
      <c r="CA293" s="256">
        <f>IF(AND(ISNUMBER(CA18),ISNUMBER(BZ18)),IFERROR(CA18/BZ18-1,""),"")</f>
        <v>0.0546562664329919</v>
      </c>
      <c r="CB293" s="256">
        <f>IF(AND(ISNUMBER(CB18),ISNUMBER(CA18)),IFERROR(CB18/CA18-1,""),"")</f>
        <v>0.054679858809036</v>
      </c>
      <c r="CC293" s="153" t="n"/>
      <c r="CE293" s="37">
        <f>IFERROR(AVERAGE(BX293,BY293,BZ293,CA293,CB293),"n/m")</f>
        <v>0.056424461812145</v>
      </c>
      <c r="CF293" s="37">
        <f>IFERROR(AVERAGE(AX293,BC293,BH293,BM293,BR293),"n/m")</f>
        <v>0.0731199199967203</v>
      </c>
      <c r="CG293" s="37">
        <f>IFERROR(AVERAGE(Y293,AD293,AI293,AN293,AS293,AX293,BC293,BH293,BM293,BR293),"n/m")</f>
        <v>0.079155518879976</v>
      </c>
      <c r="CH293" s="37">
        <f>IFERROR(AVERAGE(C293,D293,E293,J293,O293,T293,Y293,AD293,AI293,AN293,AS293,AX293,BC293,BH293,BM293,BR293),"n/m")</f>
        <v>0.0781152129191313</v>
      </c>
    </row>
    <row r="294" ht="15" customHeight="1" s="251">
      <c r="B294" s="22" t="inlineStr">
        <is>
          <t xml:space="preserve">  Indices revenue y/y %</t>
        </is>
      </c>
      <c r="C294" s="23" t="n"/>
      <c r="D294" s="255">
        <f>IF(AND(ISNUMBER(D40),ISNUMBER(C40)),IFERROR(D40/C40-1,""),"")</f>
        <v>0.183150183150183</v>
      </c>
      <c r="E294" s="255">
        <f>IF(AND(ISNUMBER(E40),ISNUMBER(D40)),IFERROR(E40/D40-1,""),"")</f>
        <v>0.201238390092879</v>
      </c>
      <c r="F294" s="23" t="n"/>
      <c r="G294" s="23" t="n"/>
      <c r="H294" s="23" t="n"/>
      <c r="I294" s="23" t="n"/>
      <c r="J294" s="255">
        <f>IF(AND(ISNUMBER(J40),ISNUMBER(E40)),IFERROR(J40/E40-1,""),"")</f>
        <v>0.270618556701031</v>
      </c>
      <c r="K294" s="255">
        <f>IF(AND(ISNUMBER(K40),ISNUMBER(F40)),IFERROR(K40/F40-1,""),"")</f>
        <v>0.191304347826087</v>
      </c>
      <c r="L294" s="255">
        <f>IF(AND(ISNUMBER(L40),ISNUMBER(G40)),IFERROR(L40/G40-1,""),"")</f>
        <v>0.0813008130081301</v>
      </c>
      <c r="M294" s="255">
        <f>IF(AND(ISNUMBER(M40),ISNUMBER(H40)),IFERROR(M40/H40-1,""),"")</f>
        <v>0.153225806451613</v>
      </c>
      <c r="N294" s="255">
        <f>IF(AND(ISNUMBER(N40),ISNUMBER(I40)),IFERROR(N40/I40-1,""),"")</f>
        <v>0.0769230769230769</v>
      </c>
      <c r="O294" s="255">
        <f>IF(AND(ISNUMBER(O40),ISNUMBER(J40)),IFERROR(O40/J40-1,""),"")</f>
        <v>0.119675456389452</v>
      </c>
      <c r="P294" s="255">
        <f>IF(AND(ISNUMBER(P40),ISNUMBER(K40)),IFERROR(P40/K40-1,""),"")</f>
        <v>0.0437956204379562</v>
      </c>
      <c r="Q294" s="255">
        <f>IF(AND(ISNUMBER(Q40),ISNUMBER(L40)),IFERROR(Q40/L40-1,""),"")</f>
        <v>0.112781954887218</v>
      </c>
      <c r="R294" s="255">
        <f>IF(AND(ISNUMBER(R40),ISNUMBER(M40)),IFERROR(R40/M40-1,""),"")</f>
        <v>0.0909090909090908</v>
      </c>
      <c r="S294" s="255">
        <f>IF(AND(ISNUMBER(S40),ISNUMBER(N40)),IFERROR(S40/N40-1,""),"")</f>
        <v>0.0785714285714285</v>
      </c>
      <c r="T294" s="255">
        <f>IF(AND(ISNUMBER(T40),ISNUMBER(O40)),IFERROR(T40/O40-1,""),"")</f>
        <v>0.0815217391304348</v>
      </c>
      <c r="U294" s="255">
        <f>IF(AND(ISNUMBER(U40),ISNUMBER(P40)),IFERROR(U40/P40-1,""),"")</f>
        <v>0.0559440559440561</v>
      </c>
      <c r="V294" s="255">
        <f>IF(AND(ISNUMBER(V40),ISNUMBER(Q40)),IFERROR(V40/Q40-1,""),"")</f>
        <v>0.0337837837837838</v>
      </c>
      <c r="W294" s="255">
        <f>IF(AND(ISNUMBER(W40),ISNUMBER(R40)),IFERROR(W40/R40-1,""),"")</f>
        <v>0.0512820512820513</v>
      </c>
      <c r="X294" s="255">
        <f>IF(AND(ISNUMBER(X40),ISNUMBER(S40)),IFERROR(X40/S40-1,""),"")</f>
        <v>0.132450331125828</v>
      </c>
      <c r="Y294" s="255">
        <f>IF(AND(ISNUMBER(Y40),ISNUMBER(T40)),IFERROR(Y40/T40-1,""),"")</f>
        <v>0.0703517587939699</v>
      </c>
      <c r="Z294" s="255">
        <f>IF(AND(ISNUMBER(Z40),ISNUMBER(U40)),IFERROR(Z40/U40-1,""),"")</f>
        <v>0.132450331125828</v>
      </c>
      <c r="AA294" s="255">
        <f>IF(AND(ISNUMBER(AA40),ISNUMBER(V40)),IFERROR(AA40/V40-1,""),"")</f>
        <v>0.202614379084967</v>
      </c>
      <c r="AB294" s="255">
        <f>IF(AND(ISNUMBER(AB40),ISNUMBER(W40)),IFERROR(AB40/W40-1,""),"")</f>
        <v>0.140243902439024</v>
      </c>
      <c r="AC294" s="255">
        <f>IF(AND(ISNUMBER(AC40),ISNUMBER(X40)),IFERROR(AC40/X40-1,""),"")</f>
        <v>0.116959064327485</v>
      </c>
      <c r="AD294" s="255">
        <f>IF(AND(ISNUMBER(AD40),ISNUMBER(Y40)),IFERROR(AD40/Y40-1,""),"")</f>
        <v>0.147104851330203</v>
      </c>
      <c r="AE294" s="255">
        <f>IF(AND(ISNUMBER(AE40),ISNUMBER(Z40)),IFERROR(AE40/Z40-1,""),"")</f>
        <v>0.251461988304094</v>
      </c>
      <c r="AF294" s="255">
        <f>IF(AND(ISNUMBER(AF40),ISNUMBER(AA40)),IFERROR(AF40/AA40-1,""),"")</f>
        <v>0.135869565217391</v>
      </c>
      <c r="AG294" s="255">
        <f>IF(AND(ISNUMBER(AG40),ISNUMBER(AB40)),IFERROR(AG40/AB40-1,""),"")</f>
        <v>0.0962566844919786</v>
      </c>
      <c r="AH294" s="255">
        <f>IF(AND(ISNUMBER(AH40),ISNUMBER(AC40)),IFERROR(AH40/AC40-1,""),"")</f>
        <v>0.12565445026178</v>
      </c>
      <c r="AI294" s="255">
        <f>IF(AND(ISNUMBER(AI40),ISNUMBER(AD40)),IFERROR(AI40/AD40-1,""),"")</f>
        <v>0.141882673942701</v>
      </c>
      <c r="AJ294" s="255">
        <f>IF(AND(ISNUMBER(AJ40),ISNUMBER(AE40)),IFERROR(AJ40/AE40-1,""),"")</f>
        <v>0.014018691588785</v>
      </c>
      <c r="AK294" s="255">
        <f>IF(AND(ISNUMBER(AK40),ISNUMBER(AF40)),IFERROR(AK40/AF40-1,""),"")</f>
        <v>0.124401913875598</v>
      </c>
      <c r="AL294" s="255">
        <f>IF(AND(ISNUMBER(AL40),ISNUMBER(AG40)),IFERROR(AL40/AG40-1,""),"")</f>
        <v>0.131707317073171</v>
      </c>
      <c r="AM294" s="255">
        <f>IF(AND(ISNUMBER(AM40),ISNUMBER(AH40)),IFERROR(AM40/AH40-1,""),"")</f>
        <v>0.0837209302325581</v>
      </c>
      <c r="AN294" s="255">
        <f>IF(AND(ISNUMBER(AN40),ISNUMBER(AI40)),IFERROR(AN40/AI40-1,""),"")</f>
        <v>0.096774193548387</v>
      </c>
      <c r="AO294" s="255">
        <f>IF(AND(ISNUMBER(AO40),ISNUMBER(AJ40)),IFERROR(AO40/AJ40-1,""),"")</f>
        <v>0.193548387096774</v>
      </c>
      <c r="AP294" s="255">
        <f>IF(AND(ISNUMBER(AP40),ISNUMBER(AK40)),IFERROR(AP40/AK40-1,""),"")</f>
        <v>0.0212765957446808</v>
      </c>
      <c r="AQ294" s="255">
        <f>IF(AND(ISNUMBER(AQ40),ISNUMBER(AL40)),IFERROR(AQ40/AL40-1,""),"")</f>
        <v>0.00862068965517238</v>
      </c>
      <c r="AR294" s="255">
        <f>IF(AND(ISNUMBER(AR40),ISNUMBER(AM40)),IFERROR(AR40/AM40-1,""),"")</f>
        <v>0.103004291845494</v>
      </c>
      <c r="AS294" s="255">
        <f>IF(AND(ISNUMBER(AS40),ISNUMBER(AN40)),IFERROR(AS40/AN40-1,""),"")</f>
        <v>0.0773420479302833</v>
      </c>
      <c r="AT294" s="255">
        <f>IF(AND(ISNUMBER(AT40),ISNUMBER(AO40)),IFERROR(AT40/AO40-1,""),"")</f>
        <v>0.0424710424710424</v>
      </c>
      <c r="AU294" s="255">
        <f>IF(AND(ISNUMBER(AU40),ISNUMBER(AP40)),IFERROR(AU40/AP40-1,""),"")</f>
        <v>0.158333333333333</v>
      </c>
      <c r="AV294" s="255">
        <f>IF(AND(ISNUMBER(AV40),ISNUMBER(AQ40)),IFERROR(AV40/AQ40-1,""),"")</f>
        <v>0.273504273504273</v>
      </c>
      <c r="AW294" s="255">
        <f>IF(AND(ISNUMBER(AW40),ISNUMBER(AR40)),IFERROR(AW40/AR40-1,""),"")</f>
        <v>0.178988326848249</v>
      </c>
      <c r="AX294" s="255">
        <f>IF(AND(ISNUMBER(AX40),ISNUMBER(AS40)),IFERROR(AX40/AS40-1,""),"")</f>
        <v>0.161779575328615</v>
      </c>
      <c r="AY294" s="255">
        <f>IF(AND(ISNUMBER(AY40),ISNUMBER(AT40)),IFERROR(AY40/AT40-1,""),"")</f>
        <v>0.192592592592593</v>
      </c>
      <c r="AZ294" s="255">
        <f>IF(AND(ISNUMBER(AZ40),ISNUMBER(AU40)),IFERROR(AZ40/AU40-1,""),"")</f>
        <v>0.219424460431655</v>
      </c>
      <c r="BA294" s="255">
        <f>IF(AND(ISNUMBER(BA40),ISNUMBER(AV40)),IFERROR(BA40/AV40-1,""),"")</f>
        <v>0.120805369127517</v>
      </c>
      <c r="BB294" s="255">
        <f>IF(AND(ISNUMBER(BB40),ISNUMBER(AW40)),IFERROR(BB40/AW40-1,""),"")</f>
        <v>0.135313531353135</v>
      </c>
      <c r="BC294" s="255">
        <f>IF(AND(ISNUMBER(BC40),ISNUMBER(AX40)),IFERROR(BC40/AX40-1,""),"")</f>
        <v>0.165361183637946</v>
      </c>
      <c r="BD294" s="255">
        <f>IF(AND(ISNUMBER(BD40),ISNUMBER(AY40)),IFERROR(BD40/AY40-1,""),"")</f>
        <v>0.0590062111801242</v>
      </c>
      <c r="BE294" s="255">
        <f>IF(AND(ISNUMBER(BE40),ISNUMBER(AZ40)),IFERROR(BE40/AZ40-1,""),"")</f>
        <v>0.0265486725663717</v>
      </c>
      <c r="BF294" s="255">
        <f>IF(AND(ISNUMBER(BF40),ISNUMBER(BA40)),IFERROR(BF40/BA40-1,""),"")</f>
        <v>0.0598802395209581</v>
      </c>
      <c r="BG294" s="255">
        <f>IF(AND(ISNUMBER(BG40),ISNUMBER(BB40)),IFERROR(BG40/BB40-1,""),"")</f>
        <v>0.0465116279069768</v>
      </c>
      <c r="BH294" s="255">
        <f>IF(AND(ISNUMBER(BH40),ISNUMBER(BC40)),IFERROR(BH40/BC40-1,""),"")</f>
        <v>0.0477968633308439</v>
      </c>
      <c r="BI294" s="255">
        <f>IF(AND(ISNUMBER(BI40),ISNUMBER(BD40)),IFERROR(BI40/BD40-1,""),"")</f>
        <v>0.134897360703812</v>
      </c>
      <c r="BJ294" s="255">
        <f>IF(AND(ISNUMBER(BJ40),ISNUMBER(BE40)),IFERROR(BJ40/BE40-1,""),"")</f>
        <v>0.117816091954023</v>
      </c>
      <c r="BK294" s="255">
        <f>IF(AND(ISNUMBER(BK40),ISNUMBER(BF40)),IFERROR(BK40/BF40-1,""),"")</f>
        <v>0.175141242937853</v>
      </c>
      <c r="BL294" s="255">
        <f>IF(AND(ISNUMBER(BL40),ISNUMBER(BG40)),IFERROR(BL40/BG40-1,""),"")</f>
        <v>0.211111111111111</v>
      </c>
      <c r="BM294" s="255">
        <f>IF(AND(ISNUMBER(BM40),ISNUMBER(BH40)),IFERROR(BM40/BH40-1,""),"")</f>
        <v>0.160370634354954</v>
      </c>
      <c r="BN294" s="255">
        <f>IF(AND(ISNUMBER(BN40),ISNUMBER(BI40)),IFERROR(BN40/BI40-1,""),"")</f>
        <v>0.149870801033592</v>
      </c>
      <c r="BO294" s="255">
        <f>IF(AND(ISNUMBER(BO40),ISNUMBER(BJ40)),IFERROR(BO40/BJ40-1,""),"")</f>
        <v>0.146529562982005</v>
      </c>
      <c r="BP294" s="255">
        <f>IF(AND(ISNUMBER(BP40),ISNUMBER(BK40)),IFERROR(BP40/BK40-1,""),"")</f>
        <v>0.110576923076923</v>
      </c>
      <c r="BQ294" s="255">
        <f>IF(AND(ISNUMBER(BQ40),ISNUMBER(BL40)),IFERROR(BQ40/BL40-1,""),"")</f>
        <v>0.142201834862385</v>
      </c>
      <c r="BR294" s="255">
        <f>IF(AND(ISNUMBER(BR40),ISNUMBER(BM40)),IFERROR(BR40/BM40-1,""),"")</f>
        <v>0.136363636363636</v>
      </c>
      <c r="BS294" s="255">
        <f>IF(AND(ISNUMBER(BS40),ISNUMBER(BN40)),IFERROR(BS40/BN40-1,""),"")</f>
        <v>0.166292134831461</v>
      </c>
      <c r="BT294" s="255">
        <f>IF(AND(ISNUMBER(BT40),ISNUMBER(BO40)),IFERROR(BT40/BO40-1,""),"")</f>
        <v>0.197309417040359</v>
      </c>
      <c r="BU294" s="256">
        <f>IF(AND(ISNUMBER(BU40),ISNUMBER(BP40)),IFERROR(BU40/BP40-1,""),"")</f>
        <v>0.105247403569698</v>
      </c>
      <c r="BV294" s="256">
        <f>IF(AND(ISNUMBER(BV40),ISNUMBER(BQ40)),IFERROR(BV40/BQ40-1,""),"")</f>
        <v>0.106192606084852</v>
      </c>
      <c r="BW294" s="256">
        <f>IF(AND(ISNUMBER(BW40),ISNUMBER(BR40)),IFERROR(BW40/BR40-1,""),"")</f>
        <v>0.142977415286193</v>
      </c>
      <c r="BX294" s="256">
        <f>IF(AND(ISNUMBER(BX40),ISNUMBER(BW40)),IFERROR(BX40/BW40-1,""),"")</f>
        <v>0.087822033085355</v>
      </c>
      <c r="BY294" s="256">
        <f>IF(AND(ISNUMBER(BY40),ISNUMBER(BX40)),IFERROR(BY40/BX40-1,""),"")</f>
        <v>0.0814840771038512</v>
      </c>
      <c r="BZ294" s="256">
        <f>IF(AND(ISNUMBER(BZ40),ISNUMBER(BY40)),IFERROR(BZ40/BY40-1,""),"")</f>
        <v>0.0800919597379448</v>
      </c>
      <c r="CA294" s="256">
        <f>IF(AND(ISNUMBER(CA40),ISNUMBER(BZ40)),IFERROR(CA40/BZ40-1,""),"")</f>
        <v>0.0735220796775193</v>
      </c>
      <c r="CB294" s="256">
        <f>IF(AND(ISNUMBER(CB40),ISNUMBER(CA40)),IFERROR(CB40/CA40-1,""),"")</f>
        <v>0.0736345675461774</v>
      </c>
      <c r="CC294" s="153" t="n"/>
      <c r="CE294" s="37">
        <f>IFERROR(AVERAGE(BX294,BY294,BZ294,CA294,CB294),"n/m")</f>
        <v>0.0793109434301695</v>
      </c>
      <c r="CF294" s="37">
        <f>IFERROR(AVERAGE(AX294,BC294,BH294,BM294,BR294),"n/m")</f>
        <v>0.134334378603199</v>
      </c>
      <c r="CG294" s="37">
        <f>IFERROR(AVERAGE(Y294,AD294,AI294,AN294,AS294,AX294,BC294,BH294,BM294,BR294),"n/m")</f>
        <v>0.120512741856154</v>
      </c>
      <c r="CH294" s="37">
        <f>IFERROR(AVERAGE(C294,D294,E294,J294,O294,T294,Y294,AD294,AI294,AN294,AS294,AX294,BC294,BH294,BM294,BR294),"n/m")</f>
        <v>0.137422116268368</v>
      </c>
    </row>
    <row r="295" ht="15" customHeight="1" s="251">
      <c r="B295" s="22" t="inlineStr">
        <is>
          <t xml:space="preserve">  Energy revenue y/y %</t>
        </is>
      </c>
      <c r="C295" s="23" t="n"/>
      <c r="D295" s="255">
        <f>IF(AND(ISNUMBER(D62),ISNUMBER(C62)),IFERROR(D62/C62-1,""),"")</f>
        <v>0.104808877928483</v>
      </c>
      <c r="E295" s="255">
        <f>IF(AND(ISNUMBER(E62),ISNUMBER(D62)),IFERROR(E62/D62-1,""),"")</f>
        <v>0.0859375</v>
      </c>
      <c r="F295" s="23" t="n"/>
      <c r="G295" s="23" t="n"/>
      <c r="H295" s="23" t="n"/>
      <c r="I295" s="23" t="n"/>
      <c r="J295" s="255">
        <f>IF(AND(ISNUMBER(J62),ISNUMBER(E62)),IFERROR(J62/E62-1,""),"")</f>
        <v>0.0421377183967111</v>
      </c>
      <c r="K295" s="255">
        <f>IF(AND(ISNUMBER(K62),ISNUMBER(F62)),IFERROR(K62/F62-1,""),"")</f>
        <v>0.0635593220338984</v>
      </c>
      <c r="L295" s="255">
        <f>IF(AND(ISNUMBER(L62),ISNUMBER(G62)),IFERROR(L62/G62-1,""),"")</f>
        <v>0.0154440154440154</v>
      </c>
      <c r="M295" s="255">
        <f>IF(AND(ISNUMBER(M62),ISNUMBER(H62)),IFERROR(M62/H62-1,""),"")</f>
        <v>-0.109803921568628</v>
      </c>
      <c r="N295" s="255">
        <f>IF(AND(ISNUMBER(N62),ISNUMBER(I62)),IFERROR(N62/I62-1,""),"")</f>
        <v>-0.106060606060606</v>
      </c>
      <c r="O295" s="255">
        <f>IF(AND(ISNUMBER(O62),ISNUMBER(J62)),IFERROR(O62/J62-1,""),"")</f>
        <v>-0.119329388560158</v>
      </c>
      <c r="P295" s="255">
        <f>IF(AND(ISNUMBER(P62),ISNUMBER(K62)),IFERROR(P62/K62-1,""),"")</f>
        <v>-0.103585657370518</v>
      </c>
      <c r="Q295" s="255">
        <f>IF(AND(ISNUMBER(Q62),ISNUMBER(L62)),IFERROR(Q62/L62-1,""),"")</f>
        <v>-0.110266159695818</v>
      </c>
      <c r="R295" s="255">
        <f>IF(AND(ISNUMBER(R62),ISNUMBER(M62)),IFERROR(R62/M62-1,""),"")</f>
        <v>0.0925110132158591</v>
      </c>
      <c r="S295" s="255">
        <f>IF(AND(ISNUMBER(S62),ISNUMBER(N62)),IFERROR(S62/N62-1,""),"")</f>
        <v>0.11864406779661</v>
      </c>
      <c r="T295" s="255">
        <f>IF(AND(ISNUMBER(T62),ISNUMBER(O62)),IFERROR(T62/O62-1,""),"")</f>
        <v>0.0873460246360582</v>
      </c>
      <c r="U295" s="255">
        <f>IF(AND(ISNUMBER(U62),ISNUMBER(P62)),IFERROR(U62/P62-1,""),"")</f>
        <v>0.128888888888889</v>
      </c>
      <c r="V295" s="255">
        <f>IF(AND(ISNUMBER(V62),ISNUMBER(Q62)),IFERROR(V62/Q62-1,""),"")</f>
        <v>0.0897435897435897</v>
      </c>
      <c r="W295" s="255">
        <f>IF(AND(ISNUMBER(W62),ISNUMBER(R62)),IFERROR(W62/R62-1,""),"")</f>
        <v>-0.0766129032258065</v>
      </c>
      <c r="X295" s="255">
        <f>IF(AND(ISNUMBER(X62),ISNUMBER(S62)),IFERROR(X62/S62-1,""),"")</f>
        <v>-0.287878787878788</v>
      </c>
      <c r="Y295" s="255">
        <f>IF(AND(ISNUMBER(Y62),ISNUMBER(T62)),IFERROR(Y62/T62-1,""),"")</f>
        <v>-0.266735324407827</v>
      </c>
      <c r="Z295" s="255">
        <f>IF(AND(ISNUMBER(Z62),ISNUMBER(U62)),IFERROR(Z62/U62-1,""),"")</f>
        <v>-0.248031496062992</v>
      </c>
      <c r="AA295" s="255">
        <f>IF(AND(ISNUMBER(AA62),ISNUMBER(V62)),IFERROR(AA62/V62-1,""),"")</f>
        <v>-0.247058823529412</v>
      </c>
      <c r="AB295" s="255">
        <f>IF(AND(ISNUMBER(AB62),ISNUMBER(W62)),IFERROR(AB62/W62-1,""),"")</f>
        <v>-0.157205240174673</v>
      </c>
      <c r="AC295" s="255">
        <f>IF(AND(ISNUMBER(AC62),ISNUMBER(X62)),IFERROR(AC62/X62-1,""),"")</f>
        <v>0.0478723404255319</v>
      </c>
      <c r="AD295" s="255">
        <f>IF(AND(ISNUMBER(AD62),ISNUMBER(Y62)),IFERROR(AD62/Y62-1,""),"")</f>
        <v>0.0870786516853932</v>
      </c>
      <c r="AE295" s="255">
        <f>IF(AND(ISNUMBER(AE62),ISNUMBER(Z62)),IFERROR(AE62/Z62-1,""),"")</f>
        <v>0.0261780104712042</v>
      </c>
      <c r="AF295" s="255">
        <f>IF(AND(ISNUMBER(AF62),ISNUMBER(AA62)),IFERROR(AF62/AA62-1,""),"")</f>
        <v>0.0677083333333333</v>
      </c>
      <c r="AG295" s="255">
        <f>IF(AND(ISNUMBER(AG62),ISNUMBER(AB62)),IFERROR(AG62/AB62-1,""),"")</f>
        <v>0.0569948186528497</v>
      </c>
      <c r="AH295" s="255">
        <f>IF(AND(ISNUMBER(AH62),ISNUMBER(AC62)),IFERROR(AH62/AC62-1,""),"")</f>
        <v>0.0659898477157361</v>
      </c>
      <c r="AI295" s="255">
        <f>IF(AND(ISNUMBER(AI62),ISNUMBER(AD62)),IFERROR(AI62/AD62-1,""),"")</f>
        <v>0.0529715762273901</v>
      </c>
      <c r="AJ295" s="255">
        <f>IF(AND(ISNUMBER(AJ62),ISNUMBER(AE62)),IFERROR(AJ62/AE62-1,""),"")</f>
        <v>0.0561224489795917</v>
      </c>
      <c r="AK295" s="255">
        <f>IF(AND(ISNUMBER(AK62),ISNUMBER(AF62)),IFERROR(AK62/AF62-1,""),"")</f>
        <v>0.0390243902439025</v>
      </c>
      <c r="AL295" s="255">
        <f>IF(AND(ISNUMBER(AL62),ISNUMBER(AG62)),IFERROR(AL62/AG62-1,""),"")</f>
        <v>0.0392156862745099</v>
      </c>
      <c r="AM295" s="255">
        <f>IF(AND(ISNUMBER(AM62),ISNUMBER(AH62)),IFERROR(AM62/AH62-1,""),"")</f>
        <v>0.0142857142857142</v>
      </c>
      <c r="AN295" s="255">
        <f>IF(AND(ISNUMBER(AN62),ISNUMBER(AI62)),IFERROR(AN62/AI62-1,""),"")</f>
        <v>0.0355828220858896</v>
      </c>
      <c r="AO295" s="255">
        <f>IF(AND(ISNUMBER(AO62),ISNUMBER(AJ62)),IFERROR(AO62/AJ62-1,""),"")</f>
        <v>0.038647342995169</v>
      </c>
      <c r="AP295" s="255">
        <f>IF(AND(ISNUMBER(AP62),ISNUMBER(AK62)),IFERROR(AP62/AK62-1,""),"")</f>
        <v>0.0187793427230047</v>
      </c>
      <c r="AQ295" s="255">
        <f>IF(AND(ISNUMBER(AQ62),ISNUMBER(AL62)),IFERROR(AQ62/AL62-1,""),"")</f>
        <v>0.0471698113207548</v>
      </c>
      <c r="AR295" s="255">
        <f>IF(AND(ISNUMBER(AR62),ISNUMBER(AM62)),IFERROR(AR62/AM62-1,""),"")</f>
        <v>0.0469483568075118</v>
      </c>
      <c r="AS295" s="255">
        <f>IF(AND(ISNUMBER(AS62),ISNUMBER(AN62)),IFERROR(AS62/AN62-1,""),"")</f>
        <v>0.0402843601895735</v>
      </c>
      <c r="AT295" s="255">
        <f>IF(AND(ISNUMBER(AT62),ISNUMBER(AO62)),IFERROR(AT62/AO62-1,""),"")</f>
        <v>0.0465116279069768</v>
      </c>
      <c r="AU295" s="255">
        <f>IF(AND(ISNUMBER(AU62),ISNUMBER(AP62)),IFERROR(AU62/AP62-1,""),"")</f>
        <v>0.0875576036866359</v>
      </c>
      <c r="AV295" s="255">
        <f>IF(AND(ISNUMBER(AV62),ISNUMBER(AQ62)),IFERROR(AV62/AQ62-1,""),"")</f>
        <v>0.0765765765765767</v>
      </c>
      <c r="AW295" s="255">
        <f>IF(AND(ISNUMBER(AW62),ISNUMBER(AR62)),IFERROR(AW62/AR62-1,""),"")</f>
        <v>0.116591928251121</v>
      </c>
      <c r="AX295" s="255">
        <f>IF(AND(ISNUMBER(AX62),ISNUMBER(AS62)),IFERROR(AX62/AS62-1,""),"")</f>
        <v>0.082004555808656</v>
      </c>
      <c r="AY295" s="255">
        <f>IF(AND(ISNUMBER(AY62),ISNUMBER(AT62)),IFERROR(AY62/AT62-1,""),"")</f>
        <v>0.613333333333333</v>
      </c>
      <c r="AZ295" s="255">
        <f>IF(AND(ISNUMBER(AZ62),ISNUMBER(AU62)),IFERROR(AZ62/AU62-1,""),"")</f>
        <v>0.85593220338983</v>
      </c>
      <c r="BA295" s="255">
        <f>IF(AND(ISNUMBER(BA62),ISNUMBER(AV62)),IFERROR(BA62/AV62-1,""),"")</f>
        <v>0.807531380753138</v>
      </c>
      <c r="BB295" s="255">
        <f>IF(AND(ISNUMBER(BB62),ISNUMBER(AW62)),IFERROR(BB62/AW62-1,""),"")</f>
        <v>0.811244979919679</v>
      </c>
      <c r="BC295" s="255">
        <f>IF(AND(ISNUMBER(BC62),ISNUMBER(AX62)),IFERROR(BC62/AX62-1,""),"")</f>
        <v>0.773684210526316</v>
      </c>
      <c r="BD295" s="255">
        <f>IF(AND(ISNUMBER(BD62),ISNUMBER(AY62)),IFERROR(BD62/AY62-1,""),"")</f>
        <v>0.399449035812672</v>
      </c>
      <c r="BE295" s="255">
        <f>IF(AND(ISNUMBER(BE62),ISNUMBER(AZ62)),IFERROR(BE62/AZ62-1,""),"")</f>
        <v>0.0547945205479452</v>
      </c>
      <c r="BF295" s="255">
        <f>IF(AND(ISNUMBER(BF62),ISNUMBER(BA62)),IFERROR(BF62/BA62-1,""),"")</f>
        <v>0.108796296296296</v>
      </c>
      <c r="BG295" s="255">
        <f>IF(AND(ISNUMBER(BG62),ISNUMBER(BB62)),IFERROR(BG62/BB62-1,""),"")</f>
        <v>0.1019955654102</v>
      </c>
      <c r="BH295" s="255">
        <f>IF(AND(ISNUMBER(BH62),ISNUMBER(BC62)),IFERROR(BH62/BC62-1,""),"")</f>
        <v>0.154896142433234</v>
      </c>
      <c r="BI295" s="255">
        <f>IF(AND(ISNUMBER(BI62),ISNUMBER(BD62)),IFERROR(BI62/BD62-1,""),"")</f>
        <v>0.100393700787402</v>
      </c>
      <c r="BJ295" s="255">
        <f>IF(AND(ISNUMBER(BJ62),ISNUMBER(BE62)),IFERROR(BJ62/BE62-1,""),"")</f>
        <v>0.116883116883117</v>
      </c>
      <c r="BK295" s="255">
        <f>IF(AND(ISNUMBER(BK62),ISNUMBER(BF62)),IFERROR(BK62/BF62-1,""),"")</f>
        <v>0.0897703549060542</v>
      </c>
      <c r="BL295" s="255">
        <f>IF(AND(ISNUMBER(BL62),ISNUMBER(BG62)),IFERROR(BL62/BG62-1,""),"")</f>
        <v>0.096579476861167</v>
      </c>
      <c r="BM295" s="255">
        <f>IF(AND(ISNUMBER(BM62),ISNUMBER(BH62)),IFERROR(BM62/BH62-1,""),"")</f>
        <v>0.100719424460432</v>
      </c>
      <c r="BN295" s="255">
        <f>IF(AND(ISNUMBER(BN62),ISNUMBER(BI62)),IFERROR(BN62/BI62-1,""),"")</f>
        <v>0.216457960644007</v>
      </c>
      <c r="BO295" s="255">
        <f>IF(AND(ISNUMBER(BO62),ISNUMBER(BJ62)),IFERROR(BO62/BJ62-1,""),"")</f>
        <v>0.176356589147287</v>
      </c>
      <c r="BP295" s="255">
        <f>IF(AND(ISNUMBER(BP62),ISNUMBER(BK62)),IFERROR(BP62/BK62-1,""),"")</f>
        <v>0.166666666666667</v>
      </c>
      <c r="BQ295" s="255">
        <f>IF(AND(ISNUMBER(BQ62),ISNUMBER(BL62)),IFERROR(BQ62/BL62-1,""),"")</f>
        <v>0.154128440366972</v>
      </c>
      <c r="BR295" s="255">
        <f>IF(AND(ISNUMBER(BR62),ISNUMBER(BM62)),IFERROR(BR62/BM62-1,""),"")</f>
        <v>0.178804855275444</v>
      </c>
      <c r="BS295" s="255">
        <f>IF(AND(ISNUMBER(BS62),ISNUMBER(BN62)),IFERROR(BS62/BN62-1,""),"")</f>
        <v>0.0647058823529412</v>
      </c>
      <c r="BT295" s="255">
        <f>IF(AND(ISNUMBER(BT62),ISNUMBER(BO62)),IFERROR(BT62/BO62-1,""),"")</f>
        <v>0.0263591433278418</v>
      </c>
      <c r="BU295" s="256">
        <f>IF(AND(ISNUMBER(BU62),ISNUMBER(BP62)),IFERROR(BU62/BP62-1,""),"")</f>
        <v>-0.0319499373062128</v>
      </c>
      <c r="BV295" s="256">
        <f>IF(AND(ISNUMBER(BV62),ISNUMBER(BQ62)),IFERROR(BV62/BQ62-1,""),"")</f>
        <v>-0.0318591631739957</v>
      </c>
      <c r="BW295" s="256">
        <f>IF(AND(ISNUMBER(BW62),ISNUMBER(BR62)),IFERROR(BW62/BR62-1,""),"")</f>
        <v>0.00812002952240531</v>
      </c>
      <c r="BX295" s="256">
        <f>IF(AND(ISNUMBER(BX62),ISNUMBER(BW62)),IFERROR(BX62/BW62-1,""),"")</f>
        <v>0.0600000000000001</v>
      </c>
      <c r="BY295" s="256">
        <f>IF(AND(ISNUMBER(BY62),ISNUMBER(BX62)),IFERROR(BY62/BX62-1,""),"")</f>
        <v>0.0600000000000001</v>
      </c>
      <c r="BZ295" s="256">
        <f>IF(AND(ISNUMBER(BZ62),ISNUMBER(BY62)),IFERROR(BZ62/BY62-1,""),"")</f>
        <v>0.0600000000000001</v>
      </c>
      <c r="CA295" s="256">
        <f>IF(AND(ISNUMBER(CA62),ISNUMBER(BZ62)),IFERROR(CA62/BZ62-1,""),"")</f>
        <v>0.0600000000000001</v>
      </c>
      <c r="CB295" s="256">
        <f>IF(AND(ISNUMBER(CB62),ISNUMBER(CA62)),IFERROR(CB62/CA62-1,""),"")</f>
        <v>0.0600000000000001</v>
      </c>
      <c r="CC295" s="153" t="n"/>
      <c r="CE295" s="37">
        <f>IFERROR(AVERAGE(BX295,BY295,BZ295,CA295,CB295),"n/m")</f>
        <v>0.0600000000000001</v>
      </c>
      <c r="CF295" s="37">
        <f>IFERROR(AVERAGE(AX295,BC295,BH295,BM295,BR295),"n/m")</f>
        <v>0.258021837700816</v>
      </c>
      <c r="CG295" s="37">
        <f>IFERROR(AVERAGE(Y295,AD295,AI295,AN295,AS295,AX295,BC295,BH295,BM295,BR295),"n/m")</f>
        <v>0.12392912742845</v>
      </c>
      <c r="CH295" s="37">
        <f>IFERROR(AVERAGE(C295,D295,E295,J295,O295,T295,Y295,AD295,AI295,AN295,AS295,AX295,BC295,BH295,BM295,BR295),"n/m")</f>
        <v>0.0960128004457064</v>
      </c>
    </row>
    <row r="296" ht="15" customHeight="1" s="251">
      <c r="B296" s="22" t="inlineStr">
        <is>
          <t xml:space="preserve">  Market Intelligence revenue y/y %</t>
        </is>
      </c>
      <c r="C296" s="23" t="n"/>
      <c r="D296" s="255">
        <f>IF(AND(ISNUMBER(D84),ISNUMBER(C84)),IFERROR(D84/C84-1,""),"")</f>
        <v>0.125545851528384</v>
      </c>
      <c r="E296" s="255">
        <f>IF(AND(ISNUMBER(E84),ISNUMBER(D84)),IFERROR(E84/D84-1,""),"")</f>
        <v>0.0902036857419981</v>
      </c>
      <c r="F296" s="23" t="n"/>
      <c r="G296" s="23" t="n"/>
      <c r="H296" s="23" t="n"/>
      <c r="I296" s="23" t="n"/>
      <c r="J296" s="255">
        <f>IF(AND(ISNUMBER(J84),ISNUMBER(E84)),IFERROR(J84/E84-1,""),"")</f>
        <v>0.0409252669039146</v>
      </c>
      <c r="K296" s="255">
        <f>IF(AND(ISNUMBER(K84),ISNUMBER(F84)),IFERROR(K84/F84-1,""),"")</f>
        <v>0.0451388888888888</v>
      </c>
      <c r="L296" s="255">
        <f>IF(AND(ISNUMBER(L84),ISNUMBER(G84)),IFERROR(L84/G84-1,""),"")</f>
        <v>0.0696864111498259</v>
      </c>
      <c r="M296" s="255">
        <f>IF(AND(ISNUMBER(M84),ISNUMBER(H84)),IFERROR(M84/H84-1,""),"")</f>
        <v>0.0614334470989761</v>
      </c>
      <c r="N296" s="255">
        <f>IF(AND(ISNUMBER(N84),ISNUMBER(I84)),IFERROR(N84/I84-1,""),"")</f>
        <v>0.0564784053156147</v>
      </c>
      <c r="O296" s="255">
        <f>IF(AND(ISNUMBER(O84),ISNUMBER(J84)),IFERROR(O84/J84-1,""),"")</f>
        <v>0.0572649572649573</v>
      </c>
      <c r="P296" s="255">
        <f>IF(AND(ISNUMBER(P84),ISNUMBER(K84)),IFERROR(P84/K84-1,""),"")</f>
        <v>0.06312292358804</v>
      </c>
      <c r="Q296" s="255">
        <f>IF(AND(ISNUMBER(Q84),ISNUMBER(L84)),IFERROR(Q84/L84-1,""),"")</f>
        <v>0.0553745928338762</v>
      </c>
      <c r="R296" s="255">
        <f>IF(AND(ISNUMBER(R84),ISNUMBER(M84)),IFERROR(R84/M84-1,""),"")</f>
        <v>0.144694533762058</v>
      </c>
      <c r="S296" s="255">
        <f>IF(AND(ISNUMBER(S84),ISNUMBER(N84)),IFERROR(S84/N84-1,""),"")</f>
        <v>0.273584905660377</v>
      </c>
      <c r="T296" s="255">
        <f>IF(AND(ISNUMBER(T84),ISNUMBER(O84)),IFERROR(T84/O84-1,""),"")</f>
        <v>0.135812449474535</v>
      </c>
      <c r="U296" s="255">
        <f>IF(AND(ISNUMBER(U84),ISNUMBER(P84)),IFERROR(U84/P84-1,""),"")</f>
        <v>0.271875</v>
      </c>
      <c r="V296" s="255">
        <f>IF(AND(ISNUMBER(V84),ISNUMBER(Q84)),IFERROR(V84/Q84-1,""),"")</f>
        <v>0.283950617283951</v>
      </c>
      <c r="W296" s="255">
        <f>IF(AND(ISNUMBER(W84),ISNUMBER(R84)),IFERROR(W84/R84-1,""),"")</f>
        <v>0.205056179775281</v>
      </c>
      <c r="X296" s="255">
        <f>IF(AND(ISNUMBER(X84),ISNUMBER(S84)),IFERROR(X84/S84-1,""),"")</f>
        <v>0.00493827160493821</v>
      </c>
      <c r="Y296" s="255">
        <f>IF(AND(ISNUMBER(Y84),ISNUMBER(T84)),IFERROR(Y84/T84-1,""),"")</f>
        <v>0.180782918149466</v>
      </c>
      <c r="Z296" s="255">
        <f>IF(AND(ISNUMBER(Z84),ISNUMBER(U84)),IFERROR(Z84/U84-1,""),"")</f>
        <v>-0.0122850122850123</v>
      </c>
      <c r="AA296" s="255">
        <f>IF(AND(ISNUMBER(AA84),ISNUMBER(V84)),IFERROR(AA84/V84-1,""),"")</f>
        <v>-0.00480769230769229</v>
      </c>
      <c r="AB296" s="255">
        <f>IF(AND(ISNUMBER(AB84),ISNUMBER(W84)),IFERROR(AB84/W84-1,""),"")</f>
        <v>-0.0163170163170163</v>
      </c>
      <c r="AC296" s="255">
        <f>IF(AND(ISNUMBER(AC84),ISNUMBER(X84)),IFERROR(AC84/X84-1,""),"")</f>
        <v>0.0810810810810811</v>
      </c>
      <c r="AD296" s="255">
        <f>IF(AND(ISNUMBER(AD84),ISNUMBER(Y84)),IFERROR(AD84/Y84-1,""),"")</f>
        <v>0.0114526823387582</v>
      </c>
      <c r="AE296" s="255">
        <f>IF(AND(ISNUMBER(AE84),ISNUMBER(Z84)),IFERROR(AE84/Z84-1,""),"")</f>
        <v>0.0870646766169154</v>
      </c>
      <c r="AF296" s="255">
        <f>IF(AND(ISNUMBER(AF84),ISNUMBER(AA84)),IFERROR(AF84/AA84-1,""),"")</f>
        <v>0.0797101449275361</v>
      </c>
      <c r="AG296" s="255">
        <f>IF(AND(ISNUMBER(AG84),ISNUMBER(AB84)),IFERROR(AG84/AB84-1,""),"")</f>
        <v>0.0995260663507109</v>
      </c>
      <c r="AH296" s="255">
        <f>IF(AND(ISNUMBER(AH84),ISNUMBER(AC84)),IFERROR(AH84/AC84-1,""),"")</f>
        <v>0.0863636363636364</v>
      </c>
      <c r="AI296" s="255">
        <f>IF(AND(ISNUMBER(AI84),ISNUMBER(AD84)),IFERROR(AI84/AD84-1,""),"")</f>
        <v>0.0923718712753279</v>
      </c>
      <c r="AJ296" s="255">
        <f>IF(AND(ISNUMBER(AJ84),ISNUMBER(AE84)),IFERROR(AJ84/AE84-1,""),"")</f>
        <v>0.102974828375286</v>
      </c>
      <c r="AK296" s="255">
        <f>IF(AND(ISNUMBER(AK84),ISNUMBER(AF84)),IFERROR(AK84/AF84-1,""),"")</f>
        <v>0.0894854586129754</v>
      </c>
      <c r="AL296" s="255">
        <f>IF(AND(ISNUMBER(AL84),ISNUMBER(AG84)),IFERROR(AL84/AG84-1,""),"")</f>
        <v>0.0517241379310345</v>
      </c>
      <c r="AM296" s="255">
        <f>IF(AND(ISNUMBER(AM84),ISNUMBER(AH84)),IFERROR(AM84/AH84-1,""),"")</f>
        <v>0.0502092050209204</v>
      </c>
      <c r="AN296" s="255">
        <f>IF(AND(ISNUMBER(AN84),ISNUMBER(AI84)),IFERROR(AN84/AI84-1,""),"")</f>
        <v>0.0687397708674304</v>
      </c>
      <c r="AO296" s="255">
        <f>IF(AND(ISNUMBER(AO84),ISNUMBER(AJ84)),IFERROR(AO84/AJ84-1,""),"")</f>
        <v>0.0767634854771784</v>
      </c>
      <c r="AP296" s="255">
        <f>IF(AND(ISNUMBER(AP84),ISNUMBER(AK84)),IFERROR(AP84/AK84-1,""),"")</f>
        <v>0.0595482546201231</v>
      </c>
      <c r="AQ296" s="255">
        <f>IF(AND(ISNUMBER(AQ84),ISNUMBER(AL84)),IFERROR(AQ84/AL84-1,""),"")</f>
        <v>0.0860655737704918</v>
      </c>
      <c r="AR296" s="255">
        <f>IF(AND(ISNUMBER(AR84),ISNUMBER(AM84)),IFERROR(AR84/AM84-1,""),"")</f>
        <v>0.0796812749003983</v>
      </c>
      <c r="AS296" s="255">
        <f>IF(AND(ISNUMBER(AS84),ISNUMBER(AN84)),IFERROR(AS84/AN84-1,""),"")</f>
        <v>0.0750382848392037</v>
      </c>
      <c r="AT296" s="255">
        <f>IF(AND(ISNUMBER(AT84),ISNUMBER(AO84)),IFERROR(AT84/AO84-1,""),"")</f>
        <v>0.0385356454720616</v>
      </c>
      <c r="AU296" s="255">
        <f>IF(AND(ISNUMBER(AU84),ISNUMBER(AP84)),IFERROR(AU84/AP84-1,""),"")</f>
        <v>0.0755813953488371</v>
      </c>
      <c r="AV296" s="255">
        <f>IF(AND(ISNUMBER(AV84),ISNUMBER(AQ84)),IFERROR(AV84/AQ84-1,""),"")</f>
        <v>0.0754716981132075</v>
      </c>
      <c r="AW296" s="255">
        <f>IF(AND(ISNUMBER(AW84),ISNUMBER(AR84)),IFERROR(AW84/AR84-1,""),"")</f>
        <v>0.0774907749077491</v>
      </c>
      <c r="AX296" s="255">
        <f>IF(AND(ISNUMBER(AX84),ISNUMBER(AS84)),IFERROR(AX84/AS84-1,""),"")</f>
        <v>0.066951566951567</v>
      </c>
      <c r="AY296" s="255">
        <f>IF(AND(ISNUMBER(AY84),ISNUMBER(AT84)),IFERROR(AY84/AT84-1,""),"")</f>
        <v>0.348794063079777</v>
      </c>
      <c r="AZ296" s="255">
        <f>IF(AND(ISNUMBER(AZ84),ISNUMBER(AU84)),IFERROR(AZ84/AU84-1,""),"")</f>
        <v>0.855855855855856</v>
      </c>
      <c r="BA296" s="255">
        <f>IF(AND(ISNUMBER(BA84),ISNUMBER(AV84)),IFERROR(BA84/AV84-1,""),"")</f>
        <v>0.782456140350877</v>
      </c>
      <c r="BB296" s="255">
        <f>IF(AND(ISNUMBER(BB84),ISNUMBER(AW84)),IFERROR(BB84/AW84-1,""),"")</f>
        <v>0.775684931506849</v>
      </c>
      <c r="BC296" s="255">
        <f>IF(AND(ISNUMBER(BC84),ISNUMBER(AX84)),IFERROR(BC84/AX84-1,""),"")</f>
        <v>0.696039163328883</v>
      </c>
      <c r="BD296" s="255">
        <f>IF(AND(ISNUMBER(BD84),ISNUMBER(AY84)),IFERROR(BD84/AY84-1,""),"")</f>
        <v>0.473177441540578</v>
      </c>
      <c r="BE296" s="255">
        <f>IF(AND(ISNUMBER(BE84),ISNUMBER(AZ84)),IFERROR(BE84/AZ84-1,""),"")</f>
        <v>0.0475728155339805</v>
      </c>
      <c r="BF296" s="255">
        <f>IF(AND(ISNUMBER(BF84),ISNUMBER(BA84)),IFERROR(BF84/BA84-1,""),"")</f>
        <v>0.0816929133858269</v>
      </c>
      <c r="BG296" s="255">
        <f>IF(AND(ISNUMBER(BG84),ISNUMBER(BB84)),IFERROR(BG84/BB84-1,""),"")</f>
        <v>0.0867888138862103</v>
      </c>
      <c r="BH296" s="255">
        <f>IF(AND(ISNUMBER(BH84),ISNUMBER(BC84)),IFERROR(BH84/BC84-1,""),"")</f>
        <v>0.148255051167673</v>
      </c>
      <c r="BI296" s="255">
        <f>IF(AND(ISNUMBER(BI84),ISNUMBER(BD84)),IFERROR(BI84/BD84-1,""),"")</f>
        <v>0.0662931839402428</v>
      </c>
      <c r="BJ296" s="255">
        <f>IF(AND(ISNUMBER(BJ84),ISNUMBER(BE84)),IFERROR(BJ84/BE84-1,""),"")</f>
        <v>0.0704355885078776</v>
      </c>
      <c r="BK296" s="255">
        <f>IF(AND(ISNUMBER(BK84),ISNUMBER(BF84)),IFERROR(BK84/BF84-1,""),"")</f>
        <v>0.0573248407643312</v>
      </c>
      <c r="BL296" s="255">
        <f>IF(AND(ISNUMBER(BL84),ISNUMBER(BG84)),IFERROR(BL84/BG84-1,""),"")</f>
        <v>0.0523513753327418</v>
      </c>
      <c r="BM296" s="255">
        <f>IF(AND(ISNUMBER(BM84),ISNUMBER(BH84)),IFERROR(BM84/BH84-1,""),"")</f>
        <v>0.0614716636197441</v>
      </c>
      <c r="BN296" s="255">
        <f>IF(AND(ISNUMBER(BN84),ISNUMBER(BI84)),IFERROR(BN84/BI84-1,""),"")</f>
        <v>-0.00963222416812615</v>
      </c>
      <c r="BO296" s="255">
        <f>IF(AND(ISNUMBER(BO84),ISNUMBER(BJ84)),IFERROR(BO84/BJ84-1,""),"")</f>
        <v>0.00865800865800859</v>
      </c>
      <c r="BP296" s="255">
        <f>IF(AND(ISNUMBER(BP84),ISNUMBER(BK84)),IFERROR(BP84/BK84-1,""),"")</f>
        <v>0.0180722891566265</v>
      </c>
      <c r="BQ296" s="255">
        <f>IF(AND(ISNUMBER(BQ84),ISNUMBER(BL84)),IFERROR(BQ84/BL84-1,""),"")</f>
        <v>0.021079258010118</v>
      </c>
      <c r="BR296" s="255">
        <f>IF(AND(ISNUMBER(BR84),ISNUMBER(BM84)),IFERROR(BR84/BM84-1,""),"")</f>
        <v>0.0096878363832078</v>
      </c>
      <c r="BS296" s="255">
        <f>IF(AND(ISNUMBER(BS84),ISNUMBER(BN84)),IFERROR(BS84/BN84-1,""),"")</f>
        <v>0.0822281167108754</v>
      </c>
      <c r="BT296" s="255">
        <f>IF(AND(ISNUMBER(BT84),ISNUMBER(BO84)),IFERROR(BT84/BO84-1,""),"")</f>
        <v>0.0600858369098714</v>
      </c>
      <c r="BU296" s="256">
        <f>IF(AND(ISNUMBER(BU84),ISNUMBER(BP84)),IFERROR(BU84/BP84-1,""),"")</f>
        <v>-0.00503898097583178</v>
      </c>
      <c r="BV296" s="256">
        <f>IF(AND(ISNUMBER(BV84),ISNUMBER(BQ84)),IFERROR(BV84/BQ84-1,""),"")</f>
        <v>-0.0050897470868283</v>
      </c>
      <c r="BW296" s="256">
        <f>IF(AND(ISNUMBER(BW84),ISNUMBER(BR84)),IFERROR(BW84/BR84-1,""),"")</f>
        <v>0.0321695526190708</v>
      </c>
      <c r="BX296" s="256">
        <f>IF(AND(ISNUMBER(BX84),ISNUMBER(BW84)),IFERROR(BX84/BW84-1,""),"")</f>
        <v>0.0600000000000001</v>
      </c>
      <c r="BY296" s="256">
        <f>IF(AND(ISNUMBER(BY84),ISNUMBER(BX84)),IFERROR(BY84/BX84-1,""),"")</f>
        <v>0.065</v>
      </c>
      <c r="BZ296" s="256">
        <f>IF(AND(ISNUMBER(BZ84),ISNUMBER(BY84)),IFERROR(BZ84/BY84-1,""),"")</f>
        <v>0.065</v>
      </c>
      <c r="CA296" s="256">
        <f>IF(AND(ISNUMBER(CA84),ISNUMBER(BZ84)),IFERROR(CA84/BZ84-1,""),"")</f>
        <v>0.065</v>
      </c>
      <c r="CB296" s="256">
        <f>IF(AND(ISNUMBER(CB84),ISNUMBER(CA84)),IFERROR(CB84/CA84-1,""),"")</f>
        <v>0.065</v>
      </c>
      <c r="CC296" s="153" t="n"/>
      <c r="CE296" s="37">
        <f>IFERROR(AVERAGE(BX296,BY296,BZ296,CA296,CB296),"n/m")</f>
        <v>0.064</v>
      </c>
      <c r="CF296" s="37">
        <f>IFERROR(AVERAGE(AX296,BC296,BH296,BM296,BR296),"n/m")</f>
        <v>0.196481056290215</v>
      </c>
      <c r="CG296" s="37">
        <f>IFERROR(AVERAGE(Y296,AD296,AI296,AN296,AS296,AX296,BC296,BH296,BM296,BR296),"n/m")</f>
        <v>0.141079080892126</v>
      </c>
      <c r="CH296" s="37">
        <f>IFERROR(AVERAGE(C296,D296,E296,J296,O296,T296,Y296,AD296,AI296,AN296,AS296,AX296,BC296,BH296,BM296,BR296),"n/m")</f>
        <v>0.124036201322337</v>
      </c>
    </row>
    <row r="297" ht="15" customHeight="1" s="251">
      <c r="B297" s="22" t="inlineStr">
        <is>
          <t xml:space="preserve">  Adjusted OP y/y %</t>
        </is>
      </c>
      <c r="C297" s="23" t="n"/>
      <c r="D297" s="255">
        <f>IF(AND(ISNUMBER(D237),ISNUMBER(C237)),IFERROR(D237/C237-1,""),"")</f>
      </c>
      <c r="E297" s="255">
        <f>IF(AND(ISNUMBER(E237),ISNUMBER(D237)),IFERROR(E237/D237-1,""),"")</f>
        <v>0.237712243074173</v>
      </c>
      <c r="F297" s="23" t="n"/>
      <c r="G297" s="23" t="n"/>
      <c r="H297" s="23" t="n"/>
      <c r="I297" s="23" t="n"/>
      <c r="J297" s="255">
        <f>IF(AND(ISNUMBER(J237),ISNUMBER(E237)),IFERROR(J237/E237-1,""),"")</f>
        <v>0.156678700361011</v>
      </c>
      <c r="K297" s="255">
        <f>IF(AND(ISNUMBER(K237),ISNUMBER(F237)),IFERROR(K237/F237-1,""),"")</f>
        <v>0.0776942355889725</v>
      </c>
      <c r="L297" s="255">
        <f>IF(AND(ISNUMBER(L237),ISNUMBER(G237)),IFERROR(L237/G237-1,""),"")</f>
        <v>0.0896860986547086</v>
      </c>
      <c r="M297" s="255">
        <f>IF(AND(ISNUMBER(M237),ISNUMBER(H237)),IFERROR(M237/H237-1,""),"")</f>
        <v>0.199494949494949</v>
      </c>
      <c r="N297" s="255">
        <f>IF(AND(ISNUMBER(N237),ISNUMBER(I237)),IFERROR(N237/I237-1,""),"")</f>
        <v>0.229916897506925</v>
      </c>
      <c r="O297" s="255">
        <f>IF(AND(ISNUMBER(O237),ISNUMBER(J237)),IFERROR(O237/J237-1,""),"")</f>
        <v>0.132958801498127</v>
      </c>
      <c r="P297" s="255">
        <f>IF(AND(ISNUMBER(P237),ISNUMBER(K237)),IFERROR(P237/K237-1,""),"")</f>
        <v>0.151162790697674</v>
      </c>
      <c r="Q297" s="255">
        <f>IF(AND(ISNUMBER(Q237),ISNUMBER(L237)),IFERROR(Q237/L237-1,""),"")</f>
        <v>0.135802469135802</v>
      </c>
      <c r="R297" s="255">
        <f>IF(AND(ISNUMBER(R237),ISNUMBER(M237)),IFERROR(R237/M237-1,""),"")</f>
        <v>0.111578947368421</v>
      </c>
      <c r="S297" s="255">
        <f>IF(AND(ISNUMBER(S237),ISNUMBER(N237)),IFERROR(S237/N237-1,""),"")</f>
        <v>0.0765765765765767</v>
      </c>
      <c r="T297" s="255">
        <f>IF(AND(ISNUMBER(T237),ISNUMBER(O237)),IFERROR(T237/O237-1,""),"")</f>
        <v>0.131129476584022</v>
      </c>
      <c r="U297" s="255">
        <f>IF(AND(ISNUMBER(U237),ISNUMBER(P237)),IFERROR(U237/P237-1,""),"")</f>
        <v>0.111111111111111</v>
      </c>
      <c r="V297" s="255">
        <f>IF(AND(ISNUMBER(V237),ISNUMBER(Q237)),IFERROR(V237/Q237-1,""),"")</f>
        <v>0.181159420289855</v>
      </c>
      <c r="W297" s="255">
        <f>IF(AND(ISNUMBER(W237),ISNUMBER(R237)),IFERROR(W237/R237-1,""),"")</f>
        <v>0.208333333333333</v>
      </c>
      <c r="X297" s="255">
        <f>IF(AND(ISNUMBER(X237),ISNUMBER(S237)),IFERROR(X237/S237-1,""),"")</f>
        <v>0.232217573221757</v>
      </c>
      <c r="Y297" s="255">
        <f>IF(AND(ISNUMBER(Y237),ISNUMBER(T237)),IFERROR(Y237/T237-1,""),"")</f>
        <v>0.184120798830979</v>
      </c>
      <c r="Z297" s="255">
        <f>IF(AND(ISNUMBER(Z237),ISNUMBER(U237)),IFERROR(Z237/U237-1,""),"")</f>
        <v>0.252727272727273</v>
      </c>
      <c r="AA297" s="255">
        <f>IF(AND(ISNUMBER(AA237),ISNUMBER(V237)),IFERROR(AA237/V237-1,""),"")</f>
        <v>0.0966257668711656</v>
      </c>
      <c r="AB297" s="255">
        <f>IF(AND(ISNUMBER(AB237),ISNUMBER(W237)),IFERROR(AB237/W237-1,""),"")</f>
        <v>0.0987460815047021</v>
      </c>
      <c r="AC297" s="255">
        <f>IF(AND(ISNUMBER(AC237),ISNUMBER(X237)),IFERROR(AC237/X237-1,""),"")</f>
        <v>0.276740237691002</v>
      </c>
      <c r="AD297" s="255">
        <f>IF(AND(ISNUMBER(AD237),ISNUMBER(Y237)),IFERROR(AD237/Y237-1,""),"")</f>
        <v>0.175236528177705</v>
      </c>
      <c r="AE297" s="255">
        <f>IF(AND(ISNUMBER(AE237),ISNUMBER(Z237)),IFERROR(AE237/Z237-1,""),"")</f>
        <v>0.0667634252539913</v>
      </c>
      <c r="AF297" s="255">
        <f>IF(AND(ISNUMBER(AF237),ISNUMBER(AA237)),IFERROR(AF237/AA237-1,""),"")</f>
        <v>0.104895104895105</v>
      </c>
      <c r="AG297" s="255">
        <f>IF(AND(ISNUMBER(AG237),ISNUMBER(AB237)),IFERROR(AG237/AB237-1,""),"")</f>
        <v>0.0941512125534949</v>
      </c>
      <c r="AH297" s="255">
        <f>IF(AND(ISNUMBER(AH237),ISNUMBER(AC237)),IFERROR(AH237/AC237-1,""),"")</f>
        <v>0.011968085106383</v>
      </c>
      <c r="AI297" s="255">
        <f>IF(AND(ISNUMBER(AI237),ISNUMBER(AD237)),IFERROR(AI237/AD237-1,""),"")</f>
        <v>0.0682534126706336</v>
      </c>
      <c r="AJ297" s="255">
        <f>IF(AND(ISNUMBER(AJ237),ISNUMBER(AE237)),IFERROR(AJ237/AE237-1,""),"")</f>
        <v>0.0108843537414967</v>
      </c>
      <c r="AK297" s="255">
        <f>IF(AND(ISNUMBER(AK237),ISNUMBER(AF237)),IFERROR(AK237/AF237-1,""),"")</f>
        <v>0.106329113924051</v>
      </c>
      <c r="AL297" s="255">
        <f>IF(AND(ISNUMBER(AL237),ISNUMBER(AG237)),IFERROR(AL237/AG237-1,""),"")</f>
        <v>0.14341590612777</v>
      </c>
      <c r="AM297" s="255">
        <f>IF(AND(ISNUMBER(AM237),ISNUMBER(AH237)),IFERROR(AM237/AH237-1,""),"")</f>
        <v>0.137976346911958</v>
      </c>
      <c r="AN297" s="255">
        <f>IF(AND(ISNUMBER(AN237),ISNUMBER(AI237)),IFERROR(AN237/AI237-1,""),"")</f>
        <v>0.100917431192661</v>
      </c>
      <c r="AO297" s="255">
        <f>IF(AND(ISNUMBER(AO237),ISNUMBER(AJ237)),IFERROR(AO237/AJ237-1,""),"")</f>
        <v>0.275908479138627</v>
      </c>
      <c r="AP297" s="255">
        <f>IF(AND(ISNUMBER(AP237),ISNUMBER(AK237)),IFERROR(AP237/AK237-1,""),"")</f>
        <v>0.305491990846682</v>
      </c>
      <c r="AQ297" s="255">
        <f>IF(AND(ISNUMBER(AQ237),ISNUMBER(AL237)),IFERROR(AQ237/AL237-1,""),"")</f>
        <v>0.112884834663626</v>
      </c>
      <c r="AR297" s="255">
        <f>IF(AND(ISNUMBER(AR237),ISNUMBER(AM237)),IFERROR(AR237/AM237-1,""),"")</f>
        <v>0.0427251732101617</v>
      </c>
      <c r="AS297" s="255">
        <f>IF(AND(ISNUMBER(AS237),ISNUMBER(AN237)),IFERROR(AS237/AN237-1,""),"")</f>
        <v>0.180654761904762</v>
      </c>
      <c r="AT297" s="255">
        <f>IF(AND(ISNUMBER(AT237),ISNUMBER(AO237)),IFERROR(AT237/AO237-1,""),"")</f>
        <v>0.225738396624473</v>
      </c>
      <c r="AU297" s="255">
        <f>IF(AND(ISNUMBER(AU237),ISNUMBER(AP237)),IFERROR(AU237/AP237-1,""),"")</f>
        <v>0.0762489044697634</v>
      </c>
      <c r="AV297" s="255">
        <f>IF(AND(ISNUMBER(AV237),ISNUMBER(AQ237)),IFERROR(AV237/AQ237-1,""),"")</f>
        <v>0.183401639344262</v>
      </c>
      <c r="AW297" s="255">
        <f>IF(AND(ISNUMBER(AW237),ISNUMBER(AR237)),IFERROR(AW237/AR237-1,""),"")</f>
        <v>0.147286821705426</v>
      </c>
      <c r="AX297" s="255">
        <f>IF(AND(ISNUMBER(AX237),ISNUMBER(AS237)),IFERROR(AX237/AS237-1,""),"")</f>
        <v>0.154776909503403</v>
      </c>
      <c r="AY297" s="255">
        <f>IF(AND(ISNUMBER(AY237),ISNUMBER(AT237)),IFERROR(AY237/AT237-1,""),"")</f>
        <v>0.0335628227194493</v>
      </c>
      <c r="AZ297" s="255">
        <f>IF(AND(ISNUMBER(AZ237),ISNUMBER(AU237)),IFERROR(AZ237/AU237-1,""),"")</f>
        <v>0.141693811074919</v>
      </c>
      <c r="BA297" s="255">
        <f>IF(AND(ISNUMBER(BA237),ISNUMBER(AV237)),IFERROR(BA237/AV237-1,""),"")</f>
        <v>0.141125541125541</v>
      </c>
      <c r="BB297" s="255">
        <f>IF(AND(ISNUMBER(BB237),ISNUMBER(AW237)),IFERROR(BB237/AW237-1,""),"")</f>
        <v>0.168918918918919</v>
      </c>
      <c r="BC297" s="255">
        <f>IF(AND(ISNUMBER(BC237),ISNUMBER(AX237)),IFERROR(BC237/AX237-1,""),"")</f>
        <v>0.120279414974896</v>
      </c>
      <c r="BD297" s="255">
        <f>IF(AND(ISNUMBER(BD237),ISNUMBER(AY237)),IFERROR(BD237/AY237-1,""),"")</f>
        <v>0.215653621981682</v>
      </c>
      <c r="BE297" s="255">
        <f>IF(AND(ISNUMBER(BE237),ISNUMBER(AZ237)),IFERROR(BE237/AZ237-1,""),"")</f>
        <v>0.0213980028530671</v>
      </c>
      <c r="BF297" s="255">
        <f>IF(AND(ISNUMBER(BF237),ISNUMBER(BA237)),IFERROR(BF237/BA237-1,""),"")</f>
        <v>0.100151745068285</v>
      </c>
      <c r="BG297" s="255">
        <f>IF(AND(ISNUMBER(BG237),ISNUMBER(BB237)),IFERROR(BG237/BB237-1,""),"")</f>
        <v>0.147811725846408</v>
      </c>
      <c r="BH297" s="255">
        <f>IF(AND(ISNUMBER(BH237),ISNUMBER(BC237)),IFERROR(BH237/BC237-1,""),"")</f>
        <v>0.116913484021824</v>
      </c>
      <c r="BI297" s="255">
        <f>IF(AND(ISNUMBER(BI237),ISNUMBER(BD237)),IFERROR(BI237/BD237-1,""),"")</f>
        <v>0.19041095890411</v>
      </c>
      <c r="BJ297" s="255">
        <f>IF(AND(ISNUMBER(BJ237),ISNUMBER(BE237)),IFERROR(BJ237/BE237-1,""),"")</f>
        <v>0.256983240223464</v>
      </c>
      <c r="BK297" s="255">
        <f>IF(AND(ISNUMBER(BK237),ISNUMBER(BF237)),IFERROR(BK237/BF237-1,""),"")</f>
        <v>0.202758620689655</v>
      </c>
      <c r="BL297" s="255">
        <f>IF(AND(ISNUMBER(BL237),ISNUMBER(BG237)),IFERROR(BL237/BG237-1,""),"")</f>
        <v>0.206474820143885</v>
      </c>
      <c r="BM297" s="255">
        <f>IF(AND(ISNUMBER(BM237),ISNUMBER(BH237)),IFERROR(BM237/BH237-1,""),"")</f>
        <v>0.213886950453594</v>
      </c>
      <c r="BN297" s="255">
        <f>IF(AND(ISNUMBER(BN237),ISNUMBER(BI237)),IFERROR(BN237/BI237-1,""),"")</f>
        <v>0.00230149597238194</v>
      </c>
      <c r="BO297" s="255">
        <f>IF(AND(ISNUMBER(BO237),ISNUMBER(BJ237)),IFERROR(BO237/BJ237-1,""),"")</f>
        <v>-0.0366666666666666</v>
      </c>
      <c r="BP297" s="255">
        <f>IF(AND(ISNUMBER(BP237),ISNUMBER(BK237)),IFERROR(BP237/BK237-1,""),"")</f>
        <v>0.0430045871559632</v>
      </c>
      <c r="BQ297" s="255">
        <f>IF(AND(ISNUMBER(BQ237),ISNUMBER(BL237)),IFERROR(BQ237/BL237-1,""),"")</f>
        <v>-0.000596302921884284</v>
      </c>
      <c r="BR297" s="255">
        <f>IF(AND(ISNUMBER(BR237),ISNUMBER(BM237)),IFERROR(BR237/BM237-1,""),"")</f>
        <v>0.00229951135383732</v>
      </c>
      <c r="BS297" s="255">
        <f>IF(AND(ISNUMBER(BS237),ISNUMBER(BN237)),IFERROR(BS237/BN237-1,""),"")</f>
        <v>0.129161882893226</v>
      </c>
      <c r="BT297" s="255">
        <f>IF(AND(ISNUMBER(BT237),ISNUMBER(BO237)),IFERROR(BT237/BO237-1,""),"")</f>
        <v>0.152249134948097</v>
      </c>
      <c r="BU297" s="256">
        <f>IF(AND(ISNUMBER(BU237),ISNUMBER(BP237)),IFERROR(BU237/BP237-1,""),"")</f>
        <v>0.0163980687317311</v>
      </c>
      <c r="BV297" s="256">
        <f>IF(AND(ISNUMBER(BV237),ISNUMBER(BQ237)),IFERROR(BV237/BQ237-1,""),"")</f>
        <v>0.0205574481933126</v>
      </c>
      <c r="BW297" s="256">
        <f>IF(AND(ISNUMBER(BW237),ISNUMBER(BR237)),IFERROR(BW237/BR237-1,""),"")</f>
        <v>0.078904842299256</v>
      </c>
      <c r="BX297" s="256">
        <f>IF(AND(ISNUMBER(BX237),ISNUMBER(BW237)),IFERROR(BX237/BW237-1,""),"")</f>
        <v>0.0879211964127484</v>
      </c>
      <c r="BY297" s="256">
        <f>IF(AND(ISNUMBER(BY237),ISNUMBER(BX237)),IFERROR(BY237/BX237-1,""),"")</f>
        <v>0.0798032848534935</v>
      </c>
      <c r="BZ297" s="256">
        <f>IF(AND(ISNUMBER(BZ237),ISNUMBER(BY237)),IFERROR(BZ237/BY237-1,""),"")</f>
        <v>0.0722386841464899</v>
      </c>
      <c r="CA297" s="256">
        <f>IF(AND(ISNUMBER(CA237),ISNUMBER(BZ237)),IFERROR(CA237/BZ237-1,""),"")</f>
        <v>0.0700394257822994</v>
      </c>
      <c r="CB297" s="256">
        <f>IF(AND(ISNUMBER(CB237),ISNUMBER(CA237)),IFERROR(CB237/CA237-1,""),"")</f>
        <v>0.0668199664154294</v>
      </c>
      <c r="CC297" s="153" t="n"/>
    </row>
    <row r="298" ht="15" customHeight="1" s="251">
      <c r="B298" s="22" t="inlineStr">
        <is>
          <t xml:space="preserve">  Adjusted EBITDA y/y %</t>
        </is>
      </c>
      <c r="C298" s="23" t="n"/>
      <c r="D298" s="255">
        <f>IF(AND(ISNUMBER(D256),ISNUMBER(C256)),IFERROR(D256/C256-1,""),"")</f>
        <v>0.0668449197860963</v>
      </c>
      <c r="E298" s="255">
        <f>IF(AND(ISNUMBER(E256),ISNUMBER(D256)),IFERROR(E256/D256-1,""),"")</f>
        <v>0.218880534670008</v>
      </c>
      <c r="F298" s="23" t="n"/>
      <c r="G298" s="23" t="n"/>
      <c r="H298" s="23" t="n"/>
      <c r="I298" s="23" t="n"/>
      <c r="J298" s="255">
        <f>IF(AND(ISNUMBER(J256),ISNUMBER(E256)),IFERROR(J256/E256-1,""),"")</f>
        <v>0.156956819739548</v>
      </c>
      <c r="K298" s="255">
        <f>IF(AND(ISNUMBER(K256),ISNUMBER(F256)),IFERROR(K256/F256-1,""),"")</f>
        <v>0.0687203791469195</v>
      </c>
      <c r="L298" s="255">
        <f>IF(AND(ISNUMBER(L256),ISNUMBER(G256)),IFERROR(L256/G256-1,""),"")</f>
        <v>0.0854700854700854</v>
      </c>
      <c r="M298" s="255">
        <f>IF(AND(ISNUMBER(M256),ISNUMBER(H256)),IFERROR(M256/H256-1,""),"")</f>
        <v>0.192307692307692</v>
      </c>
      <c r="N298" s="255">
        <f>IF(AND(ISNUMBER(N256),ISNUMBER(I256)),IFERROR(N256/I256-1,""),"")</f>
        <v>0.219895287958115</v>
      </c>
      <c r="O298" s="255">
        <f>IF(AND(ISNUMBER(O256),ISNUMBER(J256)),IFERROR(O256/J256-1,""),"")</f>
        <v>0.126184834123223</v>
      </c>
      <c r="P298" s="255">
        <f>IF(AND(ISNUMBER(P256),ISNUMBER(K256)),IFERROR(P256/K256-1,""),"")</f>
        <v>0.146341463414634</v>
      </c>
      <c r="Q298" s="255">
        <f>IF(AND(ISNUMBER(Q256),ISNUMBER(L256)),IFERROR(Q256/L256-1,""),"")</f>
        <v>0.12992125984252</v>
      </c>
      <c r="R298" s="255">
        <f>IF(AND(ISNUMBER(R256),ISNUMBER(M256)),IFERROR(R256/M256-1,""),"")</f>
        <v>0.104838709677419</v>
      </c>
      <c r="S298" s="255">
        <f>IF(AND(ISNUMBER(S256),ISNUMBER(N256)),IFERROR(S256/N256-1,""),"")</f>
        <v>0.0815450643776825</v>
      </c>
      <c r="T298" s="255">
        <f>IF(AND(ISNUMBER(T256),ISNUMBER(O256)),IFERROR(T256/O256-1,""),"")</f>
        <v>0.127301420305103</v>
      </c>
      <c r="U298" s="255">
        <f>IF(AND(ISNUMBER(U256),ISNUMBER(P256)),IFERROR(U256/P256-1,""),"")</f>
        <v>0.0986460348162477</v>
      </c>
      <c r="V298" s="255">
        <f>IF(AND(ISNUMBER(V256),ISNUMBER(Q256)),IFERROR(V256/Q256-1,""),"")</f>
        <v>0.174216027874564</v>
      </c>
      <c r="W298" s="255">
        <f>IF(AND(ISNUMBER(W256),ISNUMBER(R256)),IFERROR(W256/R256-1,""),"")</f>
        <v>0.204379562043796</v>
      </c>
      <c r="X298" s="255">
        <f>IF(AND(ISNUMBER(X256),ISNUMBER(S256)),IFERROR(X256/S256-1,""),"")</f>
        <v>0.212301587301587</v>
      </c>
      <c r="Y298" s="255">
        <f>IF(AND(ISNUMBER(Y256),ISNUMBER(T256)),IFERROR(Y256/T256-1,""),"")</f>
        <v>0.1740550629958</v>
      </c>
      <c r="Z298" s="255">
        <f>IF(AND(ISNUMBER(Z256),ISNUMBER(U256)),IFERROR(Z256/U256-1,""),"")</f>
        <v>0.246478873239437</v>
      </c>
      <c r="AA298" s="255">
        <f>IF(AND(ISNUMBER(AA256),ISNUMBER(V256)),IFERROR(AA256/V256-1,""),"")</f>
        <v>0.0905044510385757</v>
      </c>
      <c r="AB298" s="255">
        <f>IF(AND(ISNUMBER(AB256),ISNUMBER(W256)),IFERROR(AB256/W256-1,""),"")</f>
        <v>0.0954545454545455</v>
      </c>
      <c r="AC298" s="255">
        <f>IF(AND(ISNUMBER(AC256),ISNUMBER(X256)),IFERROR(AC256/X256-1,""),"")</f>
        <v>0.265139116202946</v>
      </c>
      <c r="AD298" s="255">
        <f>IF(AND(ISNUMBER(AD256),ISNUMBER(Y256)),IFERROR(AD256/Y256-1,""),"")</f>
        <v>0.168124006359301</v>
      </c>
      <c r="AE298" s="255">
        <f>IF(AND(ISNUMBER(AE256),ISNUMBER(Z256)),IFERROR(AE256/Z256-1,""),"")</f>
        <v>0.0677966101694916</v>
      </c>
      <c r="AF298" s="255">
        <f>IF(AND(ISNUMBER(AF256),ISNUMBER(AA256)),IFERROR(AF256/AA256-1,""),"")</f>
        <v>0.100680272108844</v>
      </c>
      <c r="AG298" s="255">
        <f>IF(AND(ISNUMBER(AG256),ISNUMBER(AB256)),IFERROR(AG256/AB256-1,""),"")</f>
        <v>0.0885200553250345</v>
      </c>
      <c r="AH298" s="255">
        <f>IF(AND(ISNUMBER(AH256),ISNUMBER(AC256)),IFERROR(AH256/AC256-1,""),"")</f>
        <v>0.0155239327296248</v>
      </c>
      <c r="AI298" s="255">
        <f>IF(AND(ISNUMBER(AI256),ISNUMBER(AD256)),IFERROR(AI256/AD256-1,""),"")</f>
        <v>0.06702960190541</v>
      </c>
      <c r="AJ298" s="255">
        <f>IF(AND(ISNUMBER(AJ256),ISNUMBER(AE256)),IFERROR(AJ256/AE256-1,""),"")</f>
        <v>0.0092592592592593</v>
      </c>
      <c r="AK298" s="255">
        <f>IF(AND(ISNUMBER(AK256),ISNUMBER(AF256)),IFERROR(AK256/AF256-1,""),"")</f>
        <v>0.106304079110012</v>
      </c>
      <c r="AL298" s="255">
        <f>IF(AND(ISNUMBER(AL256),ISNUMBER(AG256)),IFERROR(AL256/AG256-1,""),"")</f>
        <v>0.139771283354511</v>
      </c>
      <c r="AM298" s="255">
        <f>IF(AND(ISNUMBER(AM256),ISNUMBER(AH256)),IFERROR(AM256/AH256-1,""),"")</f>
        <v>0.129936305732484</v>
      </c>
      <c r="AN298" s="255">
        <f>IF(AND(ISNUMBER(AN256),ISNUMBER(AI256)),IFERROR(AN256/AI256-1,""),"")</f>
        <v>0.0975765306122449</v>
      </c>
      <c r="AO298" s="255">
        <f>IF(AND(ISNUMBER(AO256),ISNUMBER(AJ256)),IFERROR(AO256/AJ256-1,""),"")</f>
        <v>0.26867627785059</v>
      </c>
      <c r="AP298" s="255">
        <f>IF(AND(ISNUMBER(AP256),ISNUMBER(AK256)),IFERROR(AP256/AK256-1,""),"")</f>
        <v>0.29608938547486</v>
      </c>
      <c r="AQ298" s="255">
        <f>IF(AND(ISNUMBER(AQ256),ISNUMBER(AL256)),IFERROR(AQ256/AL256-1,""),"")</f>
        <v>0.110367892976589</v>
      </c>
      <c r="AR298" s="255">
        <f>IF(AND(ISNUMBER(AR256),ISNUMBER(AM256)),IFERROR(AR256/AM256-1,""),"")</f>
        <v>0.043968432919955</v>
      </c>
      <c r="AS298" s="255">
        <f>IF(AND(ISNUMBER(AS256),ISNUMBER(AN256)),IFERROR(AS256/AN256-1,""),"")</f>
        <v>0.176641487507263</v>
      </c>
      <c r="AT298" s="255">
        <f>IF(AND(ISNUMBER(AT256),ISNUMBER(AO256)),IFERROR(AT256/AO256-1,""),"")</f>
        <v>0.22004132231405</v>
      </c>
      <c r="AU298" s="255">
        <f>IF(AND(ISNUMBER(AU256),ISNUMBER(AP256)),IFERROR(AU256/AP256-1,""),"")</f>
        <v>0.078448275862069</v>
      </c>
      <c r="AV298" s="255">
        <f>IF(AND(ISNUMBER(AV256),ISNUMBER(AQ256)),IFERROR(AV256/AQ256-1,""),"")</f>
        <v>0.179718875502008</v>
      </c>
      <c r="AW298" s="255">
        <f>IF(AND(ISNUMBER(AW256),ISNUMBER(AR256)),IFERROR(AW256/AR256-1,""),"")</f>
        <v>0.139308855291577</v>
      </c>
      <c r="AX298" s="255">
        <f>IF(AND(ISNUMBER(AX256),ISNUMBER(AS256)),IFERROR(AX256/AS256-1,""),"")</f>
        <v>0.151358024691358</v>
      </c>
      <c r="AY298" s="255">
        <f>IF(AND(ISNUMBER(AY256),ISNUMBER(AT256)),IFERROR(AY256/AT256-1,""),"")</f>
        <v>0.0389500423370026</v>
      </c>
      <c r="AZ298" s="255">
        <f>IF(AND(ISNUMBER(AZ256),ISNUMBER(AU256)),IFERROR(AZ256/AU256-1,""),"")</f>
        <v>0.149480415667466</v>
      </c>
      <c r="BA298" s="255">
        <f>IF(AND(ISNUMBER(BA256),ISNUMBER(AV256)),IFERROR(BA256/AV256-1,""),"")</f>
        <v>0.148085106382979</v>
      </c>
      <c r="BB298" s="255">
        <f>IF(AND(ISNUMBER(BB256),ISNUMBER(AW256)),IFERROR(BB256/AW256-1,""),"")</f>
        <v>0.162085308056872</v>
      </c>
      <c r="BC298" s="255">
        <f>IF(AND(ISNUMBER(BC256),ISNUMBER(AX256)),IFERROR(BC256/AX256-1,""),"")</f>
        <v>0.123740081492601</v>
      </c>
      <c r="BD298" s="255">
        <f>IF(AND(ISNUMBER(BD256),ISNUMBER(AY256)),IFERROR(BD256/AY256-1,""),"")</f>
        <v>0.210268948655257</v>
      </c>
      <c r="BE298" s="255">
        <f>IF(AND(ISNUMBER(BE256),ISNUMBER(AZ256)),IFERROR(BE256/AZ256-1,""),"")</f>
        <v>0.0125173852573017</v>
      </c>
      <c r="BF298" s="255">
        <f>IF(AND(ISNUMBER(BF256),ISNUMBER(BA256)),IFERROR(BF256/BA256-1,""),"")</f>
        <v>0.0911786508524832</v>
      </c>
      <c r="BG298" s="255">
        <f>IF(AND(ISNUMBER(BG256),ISNUMBER(BB256)),IFERROR(BG256/BB256-1,""),"")</f>
        <v>0.158238172920065</v>
      </c>
      <c r="BH298" s="255">
        <f>IF(AND(ISNUMBER(BH256),ISNUMBER(BC256)),IFERROR(BH256/BC256-1,""),"")</f>
        <v>0.113167938931298</v>
      </c>
      <c r="BI298" s="255">
        <f>IF(AND(ISNUMBER(BI256),ISNUMBER(BD256)),IFERROR(BI256/BD256-1,""),"")</f>
        <v>0.185858585858586</v>
      </c>
      <c r="BJ298" s="255">
        <f>IF(AND(ISNUMBER(BJ256),ISNUMBER(BE256)),IFERROR(BJ256/BE256-1,""),"")</f>
        <v>0.253434065934066</v>
      </c>
      <c r="BK298" s="255">
        <f>IF(AND(ISNUMBER(BK256),ISNUMBER(BF256)),IFERROR(BK256/BF256-1,""),"")</f>
        <v>0.199728260869565</v>
      </c>
      <c r="BL298" s="255">
        <f>IF(AND(ISNUMBER(BL256),ISNUMBER(BG256)),IFERROR(BL256/BG256-1,""),"")</f>
        <v>0.199295774647887</v>
      </c>
      <c r="BM298" s="255">
        <f>IF(AND(ISNUMBER(BM256),ISNUMBER(BH256)),IFERROR(BM256/BH256-1,""),"")</f>
        <v>0.209326247214127</v>
      </c>
      <c r="BN298" s="255">
        <f>IF(AND(ISNUMBER(BN256),ISNUMBER(BI256)),IFERROR(BN256/BI256-1,""),"")</f>
        <v>0.00113571834185122</v>
      </c>
      <c r="BO298" s="255">
        <f>IF(AND(ISNUMBER(BO256),ISNUMBER(BJ256)),IFERROR(BO256/BJ256-1,""),"")</f>
        <v>-0.0378082191780822</v>
      </c>
      <c r="BP298" s="255">
        <f>IF(AND(ISNUMBER(BP256),ISNUMBER(BK256)),IFERROR(BP256/BK256-1,""),"")</f>
        <v>0.0441676104190261</v>
      </c>
      <c r="BQ298" s="255">
        <f>IF(AND(ISNUMBER(BQ256),ISNUMBER(BL256)),IFERROR(BQ256/BL256-1,""),"")</f>
        <v>0.000587199060481547</v>
      </c>
      <c r="BR298" s="255">
        <f>IF(AND(ISNUMBER(BR256),ISNUMBER(BM256)),IFERROR(BR256/BM256-1,""),"")</f>
        <v>0.00226821661468679</v>
      </c>
      <c r="BS298" s="255">
        <f>IF(AND(ISNUMBER(BS256),ISNUMBER(BN256)),IFERROR(BS256/BN256-1,""),"")</f>
        <v>0.1310266591038</v>
      </c>
      <c r="BT298" s="255">
        <f>IF(AND(ISNUMBER(BT256),ISNUMBER(BO256)),IFERROR(BT256/BO256-1,""),"")</f>
        <v>0.154328018223235</v>
      </c>
      <c r="BU298" s="256">
        <f>IF(AND(ISNUMBER(BU256),ISNUMBER(BP256)),IFERROR(BU256/BP256-1,""),"")</f>
        <v>0.0183449495786436</v>
      </c>
      <c r="BV298" s="256">
        <f>IF(AND(ISNUMBER(BV256),ISNUMBER(BQ256)),IFERROR(BV256/BQ256-1,""),"")</f>
        <v>0.0208065042089156</v>
      </c>
      <c r="BW298" s="256">
        <f>IF(AND(ISNUMBER(BW256),ISNUMBER(BR256)),IFERROR(BW256/BR256-1,""),"")</f>
        <v>0.0803794017248956</v>
      </c>
      <c r="BX298" s="256">
        <f>IF(AND(ISNUMBER(BX256),ISNUMBER(BW256)),IFERROR(BX256/BW256-1,""),"")</f>
        <v>0.0878408914564079</v>
      </c>
      <c r="BY298" s="256">
        <f>IF(AND(ISNUMBER(BY256),ISNUMBER(BX256)),IFERROR(BY256/BX256-1,""),"")</f>
        <v>0.0796680314709162</v>
      </c>
      <c r="BZ298" s="256">
        <f>IF(AND(ISNUMBER(BZ256),ISNUMBER(BY256)),IFERROR(BZ256/BY256-1,""),"")</f>
        <v>0.072185990337645</v>
      </c>
      <c r="CA298" s="256">
        <f>IF(AND(ISNUMBER(CA256),ISNUMBER(BZ256)),IFERROR(CA256/BZ256-1,""),"")</f>
        <v>0.0699747284136758</v>
      </c>
      <c r="CB298" s="256">
        <f>IF(AND(ISNUMBER(CB256),ISNUMBER(CA256)),IFERROR(CB256/CA256-1,""),"")</f>
        <v>0.0668011991705155</v>
      </c>
      <c r="CC298" s="153" t="n"/>
    </row>
    <row r="299" ht="15" customHeight="1" s="251">
      <c r="B299" s="22" t="inlineStr">
        <is>
          <t xml:space="preserve">  Operating profit (GAAP) y/y %</t>
        </is>
      </c>
      <c r="C299" s="23" t="n"/>
      <c r="D299" s="255">
        <f>IF(AND(ISNUMBER(D196),ISNUMBER(C196)),IFERROR(D196/C196-1,""),"")</f>
        <v>0.0497076023391814</v>
      </c>
      <c r="E299" s="255">
        <f>IF(AND(ISNUMBER(E196),ISNUMBER(D196)),IFERROR(E196/D196-1,""),"")</f>
        <v>0.124419684308264</v>
      </c>
      <c r="F299" s="23" t="n"/>
      <c r="G299" s="23" t="n"/>
      <c r="H299" s="23" t="n"/>
      <c r="I299" s="23" t="n"/>
      <c r="J299" s="255">
        <f>IF(AND(ISNUMBER(J196),ISNUMBER(E196)),IFERROR(J196/E196-1,""),"")</f>
        <v>0.160198183319571</v>
      </c>
      <c r="K299" s="255">
        <f>IF(AND(ISNUMBER(K196),ISNUMBER(F196)),IFERROR(K196/F196-1,""),"")</f>
        <v>0.546762589928058</v>
      </c>
      <c r="L299" s="255">
        <f>IF(AND(ISNUMBER(L196),ISNUMBER(G196)),IFERROR(L196/G196-1,""),"")</f>
        <v>0.114678899082569</v>
      </c>
      <c r="M299" s="255">
        <f>IF(AND(ISNUMBER(M196),ISNUMBER(H196)),IFERROR(M196/H196-1,""),"")</f>
        <v>-0.100737100737101</v>
      </c>
      <c r="N299" s="255">
        <f>IF(AND(ISNUMBER(N196),ISNUMBER(I196)),IFERROR(N196/I196-1,""),"")</f>
        <v>-5.04225352112676</v>
      </c>
      <c r="O299" s="255">
        <f>IF(AND(ISNUMBER(O196),ISNUMBER(J196)),IFERROR(O196/J196-1,""),"")</f>
        <v>-0.919572953736655</v>
      </c>
      <c r="P299" s="255">
        <f>IF(AND(ISNUMBER(P196),ISNUMBER(K196)),IFERROR(P196/K196-1,""),"")</f>
        <v>0.165116279069767</v>
      </c>
      <c r="Q299" s="255">
        <f>IF(AND(ISNUMBER(Q196),ISNUMBER(L196)),IFERROR(Q196/L196-1,""),"")</f>
        <v>0.197530864197531</v>
      </c>
      <c r="R299" s="255">
        <f>IF(AND(ISNUMBER(R196),ISNUMBER(M196)),IFERROR(R196/M196-1,""),"")</f>
        <v>0.120218579234973</v>
      </c>
      <c r="S299" s="255">
        <f>IF(AND(ISNUMBER(S196),ISNUMBER(N196)),IFERROR(S196/N196-1,""),"")</f>
        <v>-1.36933797909408</v>
      </c>
      <c r="T299" s="255">
        <f>IF(AND(ISNUMBER(T196),ISNUMBER(O196)),IFERROR(T196/O196-1,""),"")</f>
        <v>15.9646017699115</v>
      </c>
      <c r="U299" s="255">
        <f>IF(AND(ISNUMBER(U196),ISNUMBER(P196)),IFERROR(U196/P196-1,""),"")</f>
        <v>0.0219560878243512</v>
      </c>
      <c r="V299" s="255">
        <f>IF(AND(ISNUMBER(V196),ISNUMBER(Q196)),IFERROR(V196/Q196-1,""),"")</f>
        <v>0.118556701030928</v>
      </c>
      <c r="W299" s="255">
        <f>IF(AND(ISNUMBER(W196),ISNUMBER(R196)),IFERROR(W196/R196-1,""),"")</f>
        <v>2.28780487804878</v>
      </c>
      <c r="X299" s="255">
        <f>IF(AND(ISNUMBER(X196),ISNUMBER(S196)),IFERROR(X196/S196-1,""),"")</f>
        <v>1.02122641509434</v>
      </c>
      <c r="Y299" s="255">
        <f>IF(AND(ISNUMBER(Y196),ISNUMBER(T196)),IFERROR(Y196/T196-1,""),"")</f>
        <v>0.757433489827856</v>
      </c>
      <c r="Z299" s="255">
        <f>IF(AND(ISNUMBER(Z196),ISNUMBER(U196)),IFERROR(Z196/U196-1,""),"")</f>
        <v>0.265625</v>
      </c>
      <c r="AA299" s="255">
        <f>IF(AND(ISNUMBER(AA196),ISNUMBER(V196)),IFERROR(AA196/V196-1,""),"")</f>
        <v>0.0399385560675882</v>
      </c>
      <c r="AB299" s="255">
        <f>IF(AND(ISNUMBER(AB196),ISNUMBER(W196)),IFERROR(AB196/W196-1,""),"")</f>
        <v>-0.51186943620178</v>
      </c>
      <c r="AC299" s="255">
        <f>IF(AND(ISNUMBER(AC196),ISNUMBER(X196)),IFERROR(AC196/X196-1,""),"")</f>
        <v>-0.267211201866978</v>
      </c>
      <c r="AD299" s="255">
        <f>IF(AND(ISNUMBER(AD196),ISNUMBER(Y196)),IFERROR(AD196/Y196-1,""),"")</f>
        <v>-0.225289403383793</v>
      </c>
      <c r="AE299" s="255">
        <f>IF(AND(ISNUMBER(AE196),ISNUMBER(Z196)),IFERROR(AE196/Z196-1,""),"")</f>
        <v>0.0972222222222223</v>
      </c>
      <c r="AF299" s="255">
        <f>IF(AND(ISNUMBER(AF196),ISNUMBER(AA196)),IFERROR(AF196/AA196-1,""),"")</f>
        <v>-0.00738552437223039</v>
      </c>
      <c r="AG299" s="255">
        <f>IF(AND(ISNUMBER(AG196),ISNUMBER(AB196)),IFERROR(AG196/AB196-1,""),"")</f>
        <v>0.0699088145896656</v>
      </c>
      <c r="AH299" s="255">
        <f>IF(AND(ISNUMBER(AH196),ISNUMBER(AC196)),IFERROR(AH196/AC196-1,""),"")</f>
        <v>0.121019108280255</v>
      </c>
      <c r="AI299" s="255">
        <f>IF(AND(ISNUMBER(AI196),ISNUMBER(AD196)),IFERROR(AI196/AD196-1,""),"")</f>
        <v>0.0689655172413792</v>
      </c>
      <c r="AJ299" s="255">
        <f>IF(AND(ISNUMBER(AJ196),ISNUMBER(AE196)),IFERROR(AJ196/AE196-1,""),"")</f>
        <v>-0.00843881856540085</v>
      </c>
      <c r="AK299" s="255">
        <f>IF(AND(ISNUMBER(AK196),ISNUMBER(AF196)),IFERROR(AK196/AF196-1,""),"")</f>
        <v>0.209821428571429</v>
      </c>
      <c r="AL299" s="255">
        <f>IF(AND(ISNUMBER(AL196),ISNUMBER(AG196)),IFERROR(AL196/AG196-1,""),"")</f>
        <v>0.265625</v>
      </c>
      <c r="AM299" s="255">
        <f>IF(AND(ISNUMBER(AM196),ISNUMBER(AH196)),IFERROR(AM196/AH196-1,""),"")</f>
        <v>0.161931818181818</v>
      </c>
      <c r="AN299" s="255">
        <f>IF(AND(ISNUMBER(AN196),ISNUMBER(AI196)),IFERROR(AN196/AI196-1,""),"")</f>
        <v>0.156272401433692</v>
      </c>
      <c r="AO299" s="255">
        <f>IF(AND(ISNUMBER(AO196),ISNUMBER(AJ196)),IFERROR(AO196/AJ196-1,""),"")</f>
        <v>0.293617021276596</v>
      </c>
      <c r="AP299" s="255">
        <f>IF(AND(ISNUMBER(AP196),ISNUMBER(AK196)),IFERROR(AP196/AK196-1,""),"")</f>
        <v>0.359163591635916</v>
      </c>
      <c r="AQ299" s="255">
        <f>IF(AND(ISNUMBER(AQ196),ISNUMBER(AL196)),IFERROR(AQ196/AL196-1,""),"")</f>
        <v>0.0594837261503929</v>
      </c>
      <c r="AR299" s="255">
        <f>IF(AND(ISNUMBER(AR196),ISNUMBER(AM196)),IFERROR(AR196/AM196-1,""),"")</f>
        <v>-0.198044009779951</v>
      </c>
      <c r="AS299" s="255">
        <f>IF(AND(ISNUMBER(AS196),ISNUMBER(AN196)),IFERROR(AS196/AN196-1,""),"")</f>
        <v>0.12120272783633</v>
      </c>
      <c r="AT299" s="255">
        <f>IF(AND(ISNUMBER(AT196),ISNUMBER(AO196)),IFERROR(AT196/AO196-1,""),"")</f>
        <v>0.18530701754386</v>
      </c>
      <c r="AU299" s="255">
        <f>IF(AND(ISNUMBER(AU196),ISNUMBER(AP196)),IFERROR(AU196/AP196-1,""),"")</f>
        <v>0.044343891402715</v>
      </c>
      <c r="AV299" s="255">
        <f>IF(AND(ISNUMBER(AV196),ISNUMBER(AQ196)),IFERROR(AV196/AQ196-1,""),"")</f>
        <v>0.147245762711864</v>
      </c>
      <c r="AW299" s="255">
        <f>IF(AND(ISNUMBER(AW196),ISNUMBER(AR196)),IFERROR(AW196/AR196-1,""),"")</f>
        <v>0.378048780487805</v>
      </c>
      <c r="AX299" s="255">
        <f>IF(AND(ISNUMBER(AX196),ISNUMBER(AS196)),IFERROR(AX196/AS196-1,""),"")</f>
        <v>0.166989217583633</v>
      </c>
      <c r="AY299" s="255">
        <f>IF(AND(ISNUMBER(AY196),ISNUMBER(AT196)),IFERROR(AY196/AT196-1,""),"")</f>
        <v>0.750231267345051</v>
      </c>
      <c r="AZ299" s="255">
        <f>IF(AND(ISNUMBER(AZ196),ISNUMBER(AU196)),IFERROR(AZ196/AU196-1,""),"")</f>
        <v>0.2842287694974</v>
      </c>
      <c r="BA299" s="255">
        <f>IF(AND(ISNUMBER(BA196),ISNUMBER(AV196)),IFERROR(BA196/AV196-1,""),"")</f>
        <v>-0.212373037857802</v>
      </c>
      <c r="BB299" s="255">
        <f>IF(AND(ISNUMBER(BB196),ISNUMBER(AW196)),IFERROR(BB196/AW196-1,""),"")</f>
        <v>-0.206858407079646</v>
      </c>
      <c r="BC299" s="255">
        <f>IF(AND(ISNUMBER(BC196),ISNUMBER(AX196)),IFERROR(BC196/AX196-1,""),"")</f>
        <v>0.171286425017768</v>
      </c>
      <c r="BD299" s="255">
        <f>IF(AND(ISNUMBER(BD196),ISNUMBER(AY196)),IFERROR(BD196/AY196-1,""),"")</f>
        <v>-0.395348837209302</v>
      </c>
      <c r="BE299" s="255">
        <f>IF(AND(ISNUMBER(BE196),ISNUMBER(AZ196)),IFERROR(BE196/AZ196-1,""),"")</f>
        <v>-0.385290148448043</v>
      </c>
      <c r="BF299" s="255">
        <f>IF(AND(ISNUMBER(BF196),ISNUMBER(BA196)),IFERROR(BF196/BA196-1,""),"")</f>
        <v>0.259085580304807</v>
      </c>
      <c r="BG299" s="255">
        <f>IF(AND(ISNUMBER(BG196),ISNUMBER(BB196)),IFERROR(BG196/BB196-1,""),"")</f>
        <v>0.241283124128312</v>
      </c>
      <c r="BH299" s="255">
        <f>IF(AND(ISNUMBER(BH196),ISNUMBER(BC196)),IFERROR(BH196/BC196-1,""),"")</f>
        <v>-0.186893203883495</v>
      </c>
      <c r="BI299" s="255">
        <f>IF(AND(ISNUMBER(BI196),ISNUMBER(BD196)),IFERROR(BI196/BD196-1,""),"")</f>
        <v>0.210664335664336</v>
      </c>
      <c r="BJ299" s="255">
        <f>IF(AND(ISNUMBER(BJ196),ISNUMBER(BE196)),IFERROR(BJ196/BE196-1,""),"")</f>
        <v>0.593852908891328</v>
      </c>
      <c r="BK299" s="255">
        <f>IF(AND(ISNUMBER(BK196),ISNUMBER(BF196)),IFERROR(BK196/BF196-1,""),"")</f>
        <v>0.335195530726257</v>
      </c>
      <c r="BL299" s="255">
        <f>IF(AND(ISNUMBER(BL196),ISNUMBER(BG196)),IFERROR(BL196/BG196-1,""),"")</f>
        <v>0.470786516853933</v>
      </c>
      <c r="BM299" s="255">
        <f>IF(AND(ISNUMBER(BM196),ISNUMBER(BH196)),IFERROR(BM196/BH196-1,""),"")</f>
        <v>0.388059701492537</v>
      </c>
      <c r="BN299" s="255">
        <f>IF(AND(ISNUMBER(BN196),ISNUMBER(BI196)),IFERROR(BN196/BI196-1,""),"")</f>
        <v>0.0729241877256317</v>
      </c>
      <c r="BO299" s="255">
        <f>IF(AND(ISNUMBER(BO196),ISNUMBER(BJ196)),IFERROR(BO196/BJ196-1,""),"")</f>
        <v>-0.00137741046831952</v>
      </c>
      <c r="BP299" s="255">
        <f>IF(AND(ISNUMBER(BP196),ISNUMBER(BK196)),IFERROR(BP196/BK196-1,""),"")</f>
        <v>0.0913528591352859</v>
      </c>
      <c r="BQ299" s="255">
        <f>IF(AND(ISNUMBER(BQ196),ISNUMBER(BL196)),IFERROR(BQ196/BL196-1,""),"")</f>
        <v>0.251336898395722</v>
      </c>
      <c r="BR299" s="255">
        <f>IF(AND(ISNUMBER(BR196),ISNUMBER(BM196)),IFERROR(BR196/BM196-1,""),"")</f>
        <v>0.100358422939068</v>
      </c>
      <c r="BS299" s="255">
        <f>IF(AND(ISNUMBER(BS196),ISNUMBER(BN196)),IFERROR(BS196/BN196-1,""),"")</f>
        <v>0.296769851951548</v>
      </c>
      <c r="BT299" s="255">
        <f>IF(AND(ISNUMBER(BT196),ISNUMBER(BO196)),IFERROR(BT196/BO196-1,""),"")</f>
        <v>0.211724137931034</v>
      </c>
      <c r="BU299" s="256">
        <f>IF(AND(ISNUMBER(BU196),ISNUMBER(BP196)),IFERROR(BU196/BP196-1,""),"")</f>
        <v>0.0420626754140696</v>
      </c>
      <c r="BV299" s="256">
        <f>IF(AND(ISNUMBER(BV196),ISNUMBER(BQ196)),IFERROR(BV196/BQ196-1,""),"")</f>
        <v>0.0637694036459049</v>
      </c>
      <c r="BW299" s="256">
        <f>IF(AND(ISNUMBER(BW196),ISNUMBER(BR196)),IFERROR(BW196/BR196-1,""),"")</f>
        <v>0.149394522833064</v>
      </c>
      <c r="BX299" s="256">
        <f>IF(AND(ISNUMBER(BX196),ISNUMBER(BW196)),IFERROR(BX196/BW196-1,""),"")</f>
        <v>0.0399177133667359</v>
      </c>
      <c r="BY299" s="256">
        <f>IF(AND(ISNUMBER(BY196),ISNUMBER(BX196)),IFERROR(BY196/BX196-1,""),"")</f>
        <v>0.0898746142049078</v>
      </c>
      <c r="BZ299" s="256">
        <f>IF(AND(ISNUMBER(BZ196),ISNUMBER(BY196)),IFERROR(BZ196/BY196-1,""),"")</f>
        <v>0.0816215905638009</v>
      </c>
      <c r="CA299" s="256">
        <f>IF(AND(ISNUMBER(CA196),ISNUMBER(BZ196)),IFERROR(CA196/BZ196-1,""),"")</f>
        <v>0.078384577548098</v>
      </c>
      <c r="CB299" s="256">
        <f>IF(AND(ISNUMBER(CB196),ISNUMBER(CA196)),IFERROR(CB196/CA196-1,""),"")</f>
        <v>0.0740635958486928</v>
      </c>
      <c r="CC299" s="153" t="n"/>
    </row>
    <row r="300" ht="15" customHeight="1" s="251">
      <c r="B300" s="22" t="inlineStr">
        <is>
          <t xml:space="preserve">  Net income from continuing operations attributable y/y %</t>
        </is>
      </c>
      <c r="C300" s="23" t="n"/>
      <c r="D300" s="255">
        <f>IF(AND(ISNUMBER(D208),ISNUMBER(C208)),IFERROR(D208/C208-1,""),"")</f>
        <v>0.039655172413793</v>
      </c>
      <c r="E300" s="255">
        <f>IF(AND(ISNUMBER(E208),ISNUMBER(D208)),IFERROR(E208/D208-1,""),"")</f>
        <v>0.112769485903814</v>
      </c>
      <c r="F300" s="23" t="n"/>
      <c r="G300" s="23" t="n"/>
      <c r="H300" s="23" t="n"/>
      <c r="I300" s="23" t="n"/>
      <c r="J300" s="255">
        <f>IF(AND(ISNUMBER(J208),ISNUMBER(E208)),IFERROR(J208/E208-1,""),"")</f>
        <v>0.211624441132638</v>
      </c>
      <c r="K300" s="255">
        <f>IF(AND(ISNUMBER(K208),ISNUMBER(F208)),IFERROR(K208/F208-1,""),"")</f>
        <v>0.610389610389611</v>
      </c>
      <c r="L300" s="255">
        <f>IF(AND(ISNUMBER(L208),ISNUMBER(G208)),IFERROR(L208/G208-1,""),"")</f>
        <v>0.168</v>
      </c>
      <c r="M300" s="255">
        <f>IF(AND(ISNUMBER(M208),ISNUMBER(H208)),IFERROR(M208/H208-1,""),"")</f>
        <v>-0.2</v>
      </c>
      <c r="N300" s="255">
        <f>IF(AND(ISNUMBER(N208),ISNUMBER(I208)),IFERROR(N208/I208-1,""),"")</f>
        <v>-6.83236994219653</v>
      </c>
      <c r="O300" s="255">
        <f>IF(AND(ISNUMBER(O208),ISNUMBER(J208)),IFERROR(O208/J208-1,""),"")</f>
        <v>-1.36039360393604</v>
      </c>
      <c r="P300" s="255">
        <f>IF(AND(ISNUMBER(P208),ISNUMBER(K208)),IFERROR(P208/K208-1,""),"")</f>
        <v>0.221774193548387</v>
      </c>
      <c r="Q300" s="255">
        <f>IF(AND(ISNUMBER(Q208),ISNUMBER(L208)),IFERROR(Q208/L208-1,""),"")</f>
        <v>0.208904109589041</v>
      </c>
      <c r="R300" s="255">
        <f>IF(AND(ISNUMBER(R208),ISNUMBER(M208)),IFERROR(R208/M208-1,""),"")</f>
        <v>0.340425531914894</v>
      </c>
      <c r="S300" s="255">
        <f>IF(AND(ISNUMBER(S208),ISNUMBER(N208)),IFERROR(S208/N208-1,""),"")</f>
        <v>-1.24578790882061</v>
      </c>
      <c r="T300" s="255">
        <f>IF(AND(ISNUMBER(T208),ISNUMBER(O208)),IFERROR(T208/O208-1,""),"")</f>
        <v>-4.94539249146758</v>
      </c>
      <c r="U300" s="255">
        <f>IF(AND(ISNUMBER(U208),ISNUMBER(P208)),IFERROR(U208/P208-1,""),"")</f>
        <v>-0.0297029702970297</v>
      </c>
      <c r="V300" s="255">
        <f>IF(AND(ISNUMBER(V208),ISNUMBER(Q208)),IFERROR(V208/Q208-1,""),"")</f>
        <v>0.0849858356940509</v>
      </c>
      <c r="W300" s="255">
        <f>IF(AND(ISNUMBER(W208),ISNUMBER(R208)),IFERROR(W208/R208-1,""),"")</f>
        <v>2.53968253968254</v>
      </c>
      <c r="X300" s="255">
        <f>IF(AND(ISNUMBER(X208),ISNUMBER(S208)),IFERROR(X208/S208-1,""),"")</f>
        <v>1.16532258064516</v>
      </c>
      <c r="Y300" s="255">
        <f>IF(AND(ISNUMBER(Y208),ISNUMBER(T208)),IFERROR(Y208/T208-1,""),"")</f>
        <v>0.821799307958478</v>
      </c>
      <c r="Z300" s="255">
        <f>IF(AND(ISNUMBER(Z208),ISNUMBER(U208)),IFERROR(Z208/U208-1,""),"")</f>
        <v>0.357142857142857</v>
      </c>
      <c r="AA300" s="255">
        <f>IF(AND(ISNUMBER(AA208),ISNUMBER(V208)),IFERROR(AA208/V208-1,""),"")</f>
        <v>0.0992167101827677</v>
      </c>
      <c r="AB300" s="255">
        <f>IF(AND(ISNUMBER(AB208),ISNUMBER(W208)),IFERROR(AB208/W208-1,""),"")</f>
        <v>-0.535874439461883</v>
      </c>
      <c r="AC300" s="255">
        <f>IF(AND(ISNUMBER(AC208),ISNUMBER(X208)),IFERROR(AC208/X208-1,""),"")</f>
        <v>-0.51024208566108</v>
      </c>
      <c r="AD300" s="255">
        <f>IF(AND(ISNUMBER(AD208),ISNUMBER(Y208)),IFERROR(AD208/Y208-1,""),"")</f>
        <v>-0.289648622981956</v>
      </c>
      <c r="AE300" s="255">
        <f>IF(AND(ISNUMBER(AE208),ISNUMBER(Z208)),IFERROR(AE208/Z208-1,""),"")</f>
        <v>0.230576441102757</v>
      </c>
      <c r="AF300" s="255">
        <f>IF(AND(ISNUMBER(AF208),ISNUMBER(AA208)),IFERROR(AF208/AA208-1,""),"")</f>
        <v>0.0950118764845607</v>
      </c>
      <c r="AG300" s="255">
        <f>IF(AND(ISNUMBER(AG208),ISNUMBER(AB208)),IFERROR(AG208/AB208-1,""),"")</f>
        <v>0.195652173913043</v>
      </c>
      <c r="AH300" s="255">
        <f>IF(AND(ISNUMBER(AH208),ISNUMBER(AC208)),IFERROR(AH208/AC208-1,""),"")</f>
        <v>0.946768060836502</v>
      </c>
      <c r="AI300" s="255">
        <f>IF(AND(ISNUMBER(AI208),ISNUMBER(AD208)),IFERROR(AI208/AD208-1,""),"")</f>
        <v>0.308823529411765</v>
      </c>
      <c r="AJ300" s="255">
        <f>IF(AND(ISNUMBER(AJ208),ISNUMBER(AE208)),IFERROR(AJ208/AE208-1,""),"")</f>
        <v>-0.164969450101833</v>
      </c>
      <c r="AK300" s="255">
        <f>IF(AND(ISNUMBER(AK208),ISNUMBER(AF208)),IFERROR(AK208/AF208-1,""),"")</f>
        <v>0.203904555314534</v>
      </c>
      <c r="AL300" s="255">
        <f>IF(AND(ISNUMBER(AL208),ISNUMBER(AG208)),IFERROR(AL208/AG208-1,""),"")</f>
        <v>0.246464646464647</v>
      </c>
      <c r="AM300" s="255">
        <f>IF(AND(ISNUMBER(AM208),ISNUMBER(AH208)),IFERROR(AM208/AH208-1,""),"")</f>
        <v>0.056640625</v>
      </c>
      <c r="AN300" s="255">
        <f>IF(AND(ISNUMBER(AN208),ISNUMBER(AI208)),IFERROR(AN208/AI208-1,""),"")</f>
        <v>0.0842696629213484</v>
      </c>
      <c r="AO300" s="255">
        <f>IF(AND(ISNUMBER(AO208),ISNUMBER(AJ208)),IFERROR(AO208/AJ208-1,""),"")</f>
        <v>0.558536585365854</v>
      </c>
      <c r="AP300" s="255">
        <f>IF(AND(ISNUMBER(AP208),ISNUMBER(AK208)),IFERROR(AP208/AK208-1,""),"")</f>
        <v>0.427027027027027</v>
      </c>
      <c r="AQ300" s="255">
        <f>IF(AND(ISNUMBER(AQ208),ISNUMBER(AL208)),IFERROR(AQ208/AL208-1,""),"")</f>
        <v>-0.262560777957861</v>
      </c>
      <c r="AR300" s="255">
        <f>IF(AND(ISNUMBER(AR208),ISNUMBER(AM208)),IFERROR(AR208/AM208-1,""),"")</f>
        <v>-0.160813308687616</v>
      </c>
      <c r="AS300" s="255">
        <f>IF(AND(ISNUMBER(AS208),ISNUMBER(AN208)),IFERROR(AS208/AN208-1,""),"")</f>
        <v>0.101742816768724</v>
      </c>
      <c r="AT300" s="255">
        <f>IF(AND(ISNUMBER(AT208),ISNUMBER(AO208)),IFERROR(AT208/AO208-1,""),"")</f>
        <v>0.181533646322379</v>
      </c>
      <c r="AU300" s="255">
        <f>IF(AND(ISNUMBER(AU208),ISNUMBER(AP208)),IFERROR(AU208/AP208-1,""),"")</f>
        <v>0.00757575757575757</v>
      </c>
      <c r="AV300" s="255">
        <f>IF(AND(ISNUMBER(AV208),ISNUMBER(AQ208)),IFERROR(AV208/AQ208-1,""),"")</f>
        <v>0.751648351648352</v>
      </c>
      <c r="AW300" s="255">
        <f>IF(AND(ISNUMBER(AW208),ISNUMBER(AR208)),IFERROR(AW208/AR208-1,""),"")</f>
        <v>0.486784140969163</v>
      </c>
      <c r="AX300" s="255">
        <f>IF(AND(ISNUMBER(AX208),ISNUMBER(AS208)),IFERROR(AX208/AS208-1,""),"")</f>
        <v>0.292860196665242</v>
      </c>
      <c r="AY300" s="255">
        <f>IF(AND(ISNUMBER(AY208),ISNUMBER(AT208)),IFERROR(AY208/AT208-1,""),"")</f>
        <v>0.635761589403973</v>
      </c>
      <c r="AZ300" s="255">
        <f>IF(AND(ISNUMBER(AZ208),ISNUMBER(AU208)),IFERROR(AZ208/AU208-1,""),"")</f>
        <v>0.218045112781955</v>
      </c>
      <c r="BA300" s="255">
        <f>IF(AND(ISNUMBER(BA208),ISNUMBER(AV208)),IFERROR(BA208/AV208-1,""),"")</f>
        <v>-0.237139272271016</v>
      </c>
      <c r="BB300" s="255">
        <f>IF(AND(ISNUMBER(BB208),ISNUMBER(AW208)),IFERROR(BB208/AW208-1,""),"")</f>
        <v>-0.358518518518519</v>
      </c>
      <c r="BC300" s="255">
        <f>IF(AND(ISNUMBER(BC208),ISNUMBER(AX208)),IFERROR(BC208/AX208-1,""),"")</f>
        <v>0.0740740740740742</v>
      </c>
      <c r="BD300" s="255">
        <f>IF(AND(ISNUMBER(BD208),ISNUMBER(AY208)),IFERROR(BD208/AY208-1,""),"")</f>
        <v>-0.356275303643725</v>
      </c>
      <c r="BE300" s="255">
        <f>IF(AND(ISNUMBER(BE208),ISNUMBER(AZ208)),IFERROR(BE208/AZ208-1,""),"")</f>
        <v>-0.474279835390947</v>
      </c>
      <c r="BF300" s="255">
        <f>IF(AND(ISNUMBER(BF208),ISNUMBER(BA208)),IFERROR(BF208/BA208-1,""),"")</f>
        <v>0.220394736842105</v>
      </c>
      <c r="BG300" s="255">
        <f>IF(AND(ISNUMBER(BG208),ISNUMBER(BB208)),IFERROR(BG208/BB208-1,""),"")</f>
        <v>0.337182448036951</v>
      </c>
      <c r="BH300" s="255">
        <f>IF(AND(ISNUMBER(BH208),ISNUMBER(BC208)),IFERROR(BH208/BC208-1,""),"")</f>
        <v>-0.191502463054187</v>
      </c>
      <c r="BI300" s="255">
        <f>IF(AND(ISNUMBER(BI208),ISNUMBER(BD208)),IFERROR(BI208/BD208-1,""),"")</f>
        <v>0.246540880503145</v>
      </c>
      <c r="BJ300" s="255">
        <f>IF(AND(ISNUMBER(BJ208),ISNUMBER(BE208)),IFERROR(BJ208/BE208-1,""),"")</f>
        <v>0.978473581213307</v>
      </c>
      <c r="BK300" s="255">
        <f>IF(AND(ISNUMBER(BK208),ISNUMBER(BF208)),IFERROR(BK208/BF208-1,""),"")</f>
        <v>0.308625336927224</v>
      </c>
      <c r="BL300" s="255">
        <f>IF(AND(ISNUMBER(BL208),ISNUMBER(BG208)),IFERROR(BL208/BG208-1,""),"")</f>
        <v>0.51986183074266</v>
      </c>
      <c r="BM300" s="255">
        <f>IF(AND(ISNUMBER(BM208),ISNUMBER(BH208)),IFERROR(BM208/BH208-1,""),"")</f>
        <v>0.466869763899467</v>
      </c>
      <c r="BN300" s="255">
        <f>IF(AND(ISNUMBER(BN208),ISNUMBER(BI208)),IFERROR(BN208/BI208-1,""),"")</f>
        <v>0.0171543895055499</v>
      </c>
      <c r="BO300" s="255">
        <f>IF(AND(ISNUMBER(BO208),ISNUMBER(BJ208)),IFERROR(BO208/BJ208-1,""),"")</f>
        <v>-0.0227497527200792</v>
      </c>
      <c r="BP300" s="255">
        <f>IF(AND(ISNUMBER(BP208),ISNUMBER(BK208)),IFERROR(BP208/BK208-1,""),"")</f>
        <v>0.116374871266735</v>
      </c>
      <c r="BQ300" s="255">
        <f>IF(AND(ISNUMBER(BQ208),ISNUMBER(BL208)),IFERROR(BQ208/BL208-1,""),"")</f>
        <v>0.263636363636364</v>
      </c>
      <c r="BR300" s="255">
        <f>IF(AND(ISNUMBER(BR208),ISNUMBER(BM208)),IFERROR(BR208/BM208-1,""),"")</f>
        <v>0.0882658359293873</v>
      </c>
      <c r="BS300" s="255">
        <f>IF(AND(ISNUMBER(BS208),ISNUMBER(BN208)),IFERROR(BS208/BN208-1,""),"")</f>
        <v>0.323412698412698</v>
      </c>
      <c r="BT300" s="255">
        <f>IF(AND(ISNUMBER(BT208),ISNUMBER(BO208)),IFERROR(BT208/BO208-1,""),"")</f>
        <v>0.219635627530364</v>
      </c>
      <c r="BU300" s="256">
        <f>IF(AND(ISNUMBER(BU208),ISNUMBER(BP208)),IFERROR(BU208/BP208-1,""),"")</f>
        <v>0.00660943450719498</v>
      </c>
      <c r="BV300" s="256">
        <f>IF(AND(ISNUMBER(BV208),ISNUMBER(BQ208)),IFERROR(BV208/BQ208-1,""),"")</f>
        <v>0.0549352933336074</v>
      </c>
      <c r="BW300" s="256">
        <f>IF(AND(ISNUMBER(BW208),ISNUMBER(BR208)),IFERROR(BW208/BR208-1,""),"")</f>
        <v>0.145814091887589</v>
      </c>
      <c r="BX300" s="256">
        <f>IF(AND(ISNUMBER(BX208),ISNUMBER(BW208)),IFERROR(BX208/BW208-1,""),"")</f>
        <v>0.0221961233403298</v>
      </c>
      <c r="BY300" s="256">
        <f>IF(AND(ISNUMBER(BY208),ISNUMBER(BX208)),IFERROR(BY208/BX208-1,""),"")</f>
        <v>0.0938726801125576</v>
      </c>
      <c r="BZ300" s="256">
        <f>IF(AND(ISNUMBER(BZ208),ISNUMBER(BY208)),IFERROR(BZ208/BY208-1,""),"")</f>
        <v>0.0769184360831319</v>
      </c>
      <c r="CA300" s="256">
        <f>IF(AND(ISNUMBER(CA208),ISNUMBER(BZ208)),IFERROR(CA208/BZ208-1,""),"")</f>
        <v>0.0765419038372714</v>
      </c>
      <c r="CB300" s="256">
        <f>IF(AND(ISNUMBER(CB208),ISNUMBER(CA208)),IFERROR(CB208/CA208-1,""),"")</f>
        <v>0.073323178001812</v>
      </c>
      <c r="CC300" s="153" t="n"/>
    </row>
    <row r="301" ht="15" customHeight="1" s="251">
      <c r="B301" s="22" t="inlineStr">
        <is>
          <t xml:space="preserve">  Adjusted EPS y/y %</t>
        </is>
      </c>
      <c r="C301" s="23" t="n"/>
      <c r="D301" s="255">
        <f>IF(AND(ISNUMBER(D274),ISNUMBER(C274)),IFERROR(D274/C274-1,""),"")</f>
      </c>
      <c r="E301" s="255">
        <f>IF(AND(ISNUMBER(E274),ISNUMBER(D274)),IFERROR(E274/D274-1,""),"")</f>
        <v>0.317465877173342</v>
      </c>
      <c r="F301" s="23" t="n"/>
      <c r="G301" s="23" t="n"/>
      <c r="H301" s="23" t="n"/>
      <c r="I301" s="23" t="n"/>
      <c r="J301" s="255">
        <f>IF(AND(ISNUMBER(J274),ISNUMBER(E274)),IFERROR(J274/E274-1,""),"")</f>
        <v>0.209414314366127</v>
      </c>
      <c r="K301" s="255">
        <f>IF(AND(ISNUMBER(K274),ISNUMBER(F274)),IFERROR(K274/F274-1,""),"")</f>
        <v>0.115579352421458</v>
      </c>
      <c r="L301" s="255">
        <f>IF(AND(ISNUMBER(L274),ISNUMBER(G274)),IFERROR(L274/G274-1,""),"")</f>
        <v>0.145240051467283</v>
      </c>
      <c r="M301" s="255">
        <f>IF(AND(ISNUMBER(M274),ISNUMBER(H274)),IFERROR(M274/H274-1,""),"")</f>
        <v>0.281392503614726</v>
      </c>
      <c r="N301" s="255">
        <f>IF(AND(ISNUMBER(N274),ISNUMBER(I274)),IFERROR(N274/I274-1,""),"")</f>
        <v>0.191571714783919</v>
      </c>
      <c r="O301" s="255">
        <f>IF(AND(ISNUMBER(O274),ISNUMBER(J274)),IFERROR(O274/J274-1,""),"")</f>
        <v>0.167546205951415</v>
      </c>
      <c r="P301" s="255">
        <f>IF(AND(ISNUMBER(P274),ISNUMBER(K274)),IFERROR(P274/K274-1,""),"")</f>
        <v>0.209572344226122</v>
      </c>
      <c r="Q301" s="255">
        <f>IF(AND(ISNUMBER(Q274),ISNUMBER(L274)),IFERROR(Q274/L274-1,""),"")</f>
        <v>0.148924779266723</v>
      </c>
      <c r="R301" s="255">
        <f>IF(AND(ISNUMBER(R274),ISNUMBER(M274)),IFERROR(R274/M274-1,""),"")</f>
        <v>0.160798584812674</v>
      </c>
      <c r="S301" s="255">
        <f>IF(AND(ISNUMBER(S274),ISNUMBER(N274)),IFERROR(S274/N274-1,""),"")</f>
        <v>0.0919670798391856</v>
      </c>
      <c r="T301" s="255">
        <f>IF(AND(ISNUMBER(T274),ISNUMBER(O274)),IFERROR(T274/O274-1,""),"")</f>
        <v>0.166121492313822</v>
      </c>
      <c r="U301" s="255">
        <f>IF(AND(ISNUMBER(U274),ISNUMBER(P274)),IFERROR(U274/P274-1,""),"")</f>
        <v>0.106682955159914</v>
      </c>
      <c r="V301" s="255">
        <f>IF(AND(ISNUMBER(V274),ISNUMBER(Q274)),IFERROR(V274/Q274-1,""),"")</f>
        <v>0.188036196967916</v>
      </c>
      <c r="W301" s="255">
        <f>IF(AND(ISNUMBER(W274),ISNUMBER(R274)),IFERROR(W274/R274-1,""),"")</f>
        <v>0.212518774101887</v>
      </c>
      <c r="X301" s="255">
        <f>IF(AND(ISNUMBER(X274),ISNUMBER(S274)),IFERROR(X274/S274-1,""),"")</f>
        <v>0.223260434164621</v>
      </c>
      <c r="Y301" s="255">
        <f>IF(AND(ISNUMBER(Y274),ISNUMBER(T274)),IFERROR(Y274/T274-1,""),"")</f>
        <v>0.181938766107482</v>
      </c>
      <c r="Z301" s="255">
        <f>IF(AND(ISNUMBER(Z274),ISNUMBER(U274)),IFERROR(Z274/U274-1,""),"")</f>
        <v>0.351111963190184</v>
      </c>
      <c r="AA301" s="255">
        <f>IF(AND(ISNUMBER(AA274),ISNUMBER(V274)),IFERROR(AA274/V274-1,""),"")</f>
        <v>0.188750918185316</v>
      </c>
      <c r="AB301" s="255">
        <f>IF(AND(ISNUMBER(AB274),ISNUMBER(W274)),IFERROR(AB274/W274-1,""),"")</f>
        <v>0.19339221798516</v>
      </c>
      <c r="AC301" s="255">
        <f>IF(AND(ISNUMBER(AC274),ISNUMBER(X274)),IFERROR(AC274/X274-1,""),"")</f>
        <v>0.444563014049722</v>
      </c>
      <c r="AD301" s="255">
        <f>IF(AND(ISNUMBER(AD274),ISNUMBER(Y274)),IFERROR(AD274/Y274-1,""),"")</f>
        <v>0.28690940544775</v>
      </c>
      <c r="AE301" s="255">
        <f>IF(AND(ISNUMBER(AE274),ISNUMBER(Z274)),IFERROR(AE274/Z274-1,""),"")</f>
        <v>0.236504813854362</v>
      </c>
      <c r="AF301" s="255">
        <f>IF(AND(ISNUMBER(AF274),ISNUMBER(AA274)),IFERROR(AF274/AA274-1,""),"")</f>
        <v>0.263015194942454</v>
      </c>
      <c r="AG301" s="255">
        <f>IF(AND(ISNUMBER(AG274),ISNUMBER(AB274)),IFERROR(AG274/AB274-1,""),"")</f>
        <v>0.23371799334208</v>
      </c>
      <c r="AH301" s="255">
        <f>IF(AND(ISNUMBER(AH274),ISNUMBER(AC274)),IFERROR(AH274/AC274-1,""),"")</f>
        <v>0.205115299762606</v>
      </c>
      <c r="AI301" s="255">
        <f>IF(AND(ISNUMBER(AI274),ISNUMBER(AD274)),IFERROR(AI274/AD274-1,""),"")</f>
        <v>0.233433574904895</v>
      </c>
      <c r="AJ301" s="255">
        <f>IF(AND(ISNUMBER(AJ274),ISNUMBER(AE274)),IFERROR(AJ274/AE274-1,""),"")</f>
        <v>0.054760584152987</v>
      </c>
      <c r="AK301" s="255">
        <f>IF(AND(ISNUMBER(AK274),ISNUMBER(AF274)),IFERROR(AK274/AF274-1,""),"")</f>
        <v>0.120824516685736</v>
      </c>
      <c r="AL301" s="255">
        <f>IF(AND(ISNUMBER(AL274),ISNUMBER(AG274)),IFERROR(AL274/AG274-1,""),"")</f>
        <v>0.162703218188974</v>
      </c>
      <c r="AM301" s="255">
        <f>IF(AND(ISNUMBER(AM274),ISNUMBER(AH274)),IFERROR(AM274/AH274-1,""),"")</f>
        <v>0.137599569962648</v>
      </c>
      <c r="AN301" s="255">
        <f>IF(AND(ISNUMBER(AN274),ISNUMBER(AI274)),IFERROR(AN274/AI274-1,""),"")</f>
        <v>0.120824619331758</v>
      </c>
      <c r="AO301" s="255">
        <f>IF(AND(ISNUMBER(AO274),ISNUMBER(AJ274)),IFERROR(AO274/AJ274-1,""),"")</f>
        <v>0.295164610021868</v>
      </c>
      <c r="AP301" s="255">
        <f>IF(AND(ISNUMBER(AP274),ISNUMBER(AK274)),IFERROR(AP274/AK274-1,""),"")</f>
        <v>0.398817872100997</v>
      </c>
      <c r="AQ301" s="255">
        <f>IF(AND(ISNUMBER(AQ274),ISNUMBER(AL274)),IFERROR(AQ274/AL274-1,""),"")</f>
        <v>0.160022976635412</v>
      </c>
      <c r="AR301" s="255">
        <f>IF(AND(ISNUMBER(AR274),ISNUMBER(AM274)),IFERROR(AR274/AM274-1,""),"")</f>
        <v>0.0701332549833207</v>
      </c>
      <c r="AS301" s="255">
        <f>IF(AND(ISNUMBER(AS274),ISNUMBER(AN274)),IFERROR(AS274/AN274-1,""),"")</f>
        <v>0.227087179357493</v>
      </c>
      <c r="AT301" s="255">
        <f>IF(AND(ISNUMBER(AT274),ISNUMBER(AO274)),IFERROR(AT274/AO274-1,""),"")</f>
        <v>0.24175919932281</v>
      </c>
      <c r="AU301" s="255">
        <f>IF(AND(ISNUMBER(AU274),ISNUMBER(AP274)),IFERROR(AU274/AP274-1,""),"")</f>
        <v>0.0649171159531412</v>
      </c>
      <c r="AV301" s="255">
        <f>IF(AND(ISNUMBER(AV274),ISNUMBER(AQ274)),IFERROR(AV274/AQ274-1,""),"")</f>
        <v>0.240415465441031</v>
      </c>
      <c r="AW301" s="255">
        <f>IF(AND(ISNUMBER(AW274),ISNUMBER(AR274)),IFERROR(AW274/AR274-1,""),"")</f>
        <v>0.163212562857868</v>
      </c>
      <c r="AX301" s="255">
        <f>IF(AND(ISNUMBER(AX274),ISNUMBER(AS274)),IFERROR(AX274/AS274-1,""),"")</f>
        <v>0.171416233373375</v>
      </c>
      <c r="AY301" s="255">
        <f>IF(AND(ISNUMBER(AY274),ISNUMBER(AT274)),IFERROR(AY274/AT274-1,""),"")</f>
        <v>-0.0829338912281631</v>
      </c>
      <c r="AZ301" s="255">
        <f>IF(AND(ISNUMBER(AZ274),ISNUMBER(AU274)),IFERROR(AZ274/AU274-1,""),"")</f>
        <v>-0.222200328407225</v>
      </c>
      <c r="BA301" s="255">
        <f>IF(AND(ISNUMBER(BA274),ISNUMBER(AV274)),IFERROR(BA274/AV274-1,""),"")</f>
        <v>-0.173031197920256</v>
      </c>
      <c r="BB301" s="255">
        <f>IF(AND(ISNUMBER(BB274),ISNUMBER(AW274)),IFERROR(BB274/AW274-1,""),"")</f>
        <v>-0.192030827788593</v>
      </c>
      <c r="BC301" s="255">
        <f>IF(AND(ISNUMBER(BC274),ISNUMBER(AX274)),IFERROR(BC274/AX274-1,""),"")</f>
        <v>-0.172258211650713</v>
      </c>
      <c r="BD301" s="255">
        <f>IF(AND(ISNUMBER(BD274),ISNUMBER(AY274)),IFERROR(BD274/AY274-1,""),"")</f>
        <v>0.0104181858876702</v>
      </c>
      <c r="BE301" s="255">
        <f>IF(AND(ISNUMBER(BE274),ISNUMBER(AZ274)),IFERROR(BE274/AZ274-1,""),"")</f>
        <v>0.106525347975993</v>
      </c>
      <c r="BF301" s="255">
        <f>IF(AND(ISNUMBER(BF274),ISNUMBER(BA274)),IFERROR(BF274/BA274-1,""),"")</f>
        <v>0.0986141431467331</v>
      </c>
      <c r="BG301" s="255">
        <f>IF(AND(ISNUMBER(BG274),ISNUMBER(BB274)),IFERROR(BG274/BB274-1,""),"")</f>
        <v>0.229850568020661</v>
      </c>
      <c r="BH301" s="255">
        <f>IF(AND(ISNUMBER(BH274),ISNUMBER(BC274)),IFERROR(BH274/BC274-1,""),"")</f>
        <v>0.111899978197214</v>
      </c>
      <c r="BI301" s="255">
        <f>IF(AND(ISNUMBER(BI274),ISNUMBER(BD274)),IFERROR(BI274/BD274-1,""),"")</f>
        <v>0.273891009236612</v>
      </c>
      <c r="BJ301" s="255">
        <f>IF(AND(ISNUMBER(BJ274),ISNUMBER(BE274)),IFERROR(BJ274/BE274-1,""),"")</f>
        <v>0.298894812968349</v>
      </c>
      <c r="BK301" s="255">
        <f>IF(AND(ISNUMBER(BK274),ISNUMBER(BF274)),IFERROR(BK274/BF274-1,""),"")</f>
        <v>0.20865831325604</v>
      </c>
      <c r="BL301" s="255">
        <f>IF(AND(ISNUMBER(BL274),ISNUMBER(BG274)),IFERROR(BL274/BG274-1,""),"")</f>
        <v>0.203800412328977</v>
      </c>
      <c r="BM301" s="255">
        <f>IF(AND(ISNUMBER(BM274),ISNUMBER(BH274)),IFERROR(BM274/BH274-1,""),"")</f>
        <v>0.246062766463339</v>
      </c>
      <c r="BN301" s="255">
        <f>IF(AND(ISNUMBER(BN274),ISNUMBER(BI274)),IFERROR(BN274/BI274-1,""),"")</f>
        <v>-0.0281967911056595</v>
      </c>
      <c r="BO301" s="255">
        <f>IF(AND(ISNUMBER(BO274),ISNUMBER(BJ274)),IFERROR(BO274/BJ274-1,""),"")</f>
        <v>-0.03010478595318</v>
      </c>
      <c r="BP301" s="255">
        <f>IF(AND(ISNUMBER(BP274),ISNUMBER(BK274)),IFERROR(BP274/BK274-1,""),"")</f>
        <v>0.0804787688800228</v>
      </c>
      <c r="BQ301" s="255">
        <f>IF(AND(ISNUMBER(BQ274),ISNUMBER(BL274)),IFERROR(BQ274/BL274-1,""),"")</f>
        <v>0.0163547059377704</v>
      </c>
      <c r="BR301" s="255">
        <f>IF(AND(ISNUMBER(BR274),ISNUMBER(BM274)),IFERROR(BR274/BM274-1,""),"")</f>
        <v>0.00851256153221547</v>
      </c>
      <c r="BS301" s="255">
        <f>IF(AND(ISNUMBER(BS274),ISNUMBER(BN274)),IFERROR(BS274/BN274-1,""),"")</f>
        <v>0.141819867790403</v>
      </c>
      <c r="BT301" s="255">
        <f>IF(AND(ISNUMBER(BT274),ISNUMBER(BO274)),IFERROR(BT274/BO274-1,""),"")</f>
        <v>0.232523094826505</v>
      </c>
      <c r="BU301" s="256">
        <f>IF(AND(ISNUMBER(BU274),ISNUMBER(BP274)),IFERROR(BU274/BP274-1,""),"")</f>
        <v>0.0264020506697975</v>
      </c>
      <c r="BV301" s="256">
        <f>IF(AND(ISNUMBER(BV274),ISNUMBER(BQ274)),IFERROR(BV274/BQ274-1,""),"")</f>
        <v>0.0504764998997427</v>
      </c>
      <c r="BW301" s="256">
        <f>IF(AND(ISNUMBER(BW274),ISNUMBER(BR274)),IFERROR(BW274/BR274-1,""),"")</f>
        <v>0.112869929635761</v>
      </c>
      <c r="BX301" s="256">
        <f>IF(AND(ISNUMBER(BX274),ISNUMBER(BW274)),IFERROR(BX274/BW274-1,""),"")</f>
        <v>0.134690484499575</v>
      </c>
      <c r="BY301" s="256">
        <f>IF(AND(ISNUMBER(BY274),ISNUMBER(BX274)),IFERROR(BY274/BX274-1,""),"")</f>
        <v>0.121498366887187</v>
      </c>
      <c r="BZ301" s="256">
        <f>IF(AND(ISNUMBER(BZ274),ISNUMBER(BY274)),IFERROR(BZ274/BY274-1,""),"")</f>
        <v>0.111266577500032</v>
      </c>
      <c r="CA301" s="256">
        <f>IF(AND(ISNUMBER(CA274),ISNUMBER(BZ274)),IFERROR(CA274/BZ274-1,""),"")</f>
        <v>0.113263388719305</v>
      </c>
      <c r="CB301" s="256">
        <f>IF(AND(ISNUMBER(CB274),ISNUMBER(CA274)),IFERROR(CB274/CA274-1,""),"")</f>
        <v>0.112903217657011</v>
      </c>
      <c r="CC301" s="153" t="n"/>
    </row>
    <row r="302" ht="15" customHeight="1" s="251">
      <c r="B302" s="25" t="inlineStr">
        <is>
          <t xml:space="preserve">  Adjusted operating margin %</t>
        </is>
      </c>
      <c r="C302" s="215">
        <f>IF(AND(ISNUMBER(C237),ISNUMBER(C187)),IFERROR(C237/C187,""),"")</f>
      </c>
      <c r="D302" s="215">
        <f>IF(AND(ISNUMBER(D237),ISNUMBER(D187)),IFERROR(D237/D187,""),"")</f>
        <v>0.283004552352049</v>
      </c>
      <c r="E302" s="215">
        <f>IF(AND(ISNUMBER(E237),ISNUMBER(E187)),IFERROR(E237/E187,""),"")</f>
        <v>0.31123595505618</v>
      </c>
      <c r="F302" s="215">
        <f>IF(AND(ISNUMBER(F237),ISNUMBER(F187)),IFERROR(F237/F187,""),"")</f>
        <v>0.337849280270957</v>
      </c>
      <c r="G302" s="215">
        <f>IF(AND(ISNUMBER(G237),ISNUMBER(G187)),IFERROR(G237/G187,""),"")</f>
        <v>0.3568</v>
      </c>
      <c r="H302" s="215">
        <f>IF(AND(ISNUMBER(H237),ISNUMBER(H187)),IFERROR(H237/H187,""),"")</f>
        <v>0.331658291457286</v>
      </c>
      <c r="I302" s="215">
        <f>IF(AND(ISNUMBER(I237),ISNUMBER(I187)),IFERROR(I237/I187,""),"")</f>
        <v>0.2888</v>
      </c>
      <c r="J302" s="215">
        <f>IF(AND(ISNUMBER(J237),ISNUMBER(J187)),IFERROR(J237/J187,""),"")</f>
        <v>0.328615384615385</v>
      </c>
      <c r="K302" s="215">
        <f>IF(AND(ISNUMBER(K237),ISNUMBER(K187)),IFERROR(K237/K187,""),"")</f>
        <v>0.34789644012945</v>
      </c>
      <c r="L302" s="215">
        <f>IF(AND(ISNUMBER(L237),ISNUMBER(L187)),IFERROR(L237/L187,""),"")</f>
        <v>0.361069836552749</v>
      </c>
      <c r="M302" s="215">
        <f>IF(AND(ISNUMBER(M237),ISNUMBER(M187)),IFERROR(M237/M187,""),"")</f>
        <v>0.376088677751386</v>
      </c>
      <c r="N302" s="215">
        <f>IF(AND(ISNUMBER(N237),ISNUMBER(N187)),IFERROR(N237/N187,""),"")</f>
        <v>0.344186046511628</v>
      </c>
      <c r="O302" s="215">
        <f>IF(AND(ISNUMBER(O237),ISNUMBER(O187)),IFERROR(O237/O187,""),"")</f>
        <v>0.359334785191051</v>
      </c>
      <c r="P302" s="215">
        <f>IF(AND(ISNUMBER(P237),ISNUMBER(P187)),IFERROR(P237/P187,""),"")</f>
        <v>0.388845247446976</v>
      </c>
      <c r="Q302" s="215">
        <f>IF(AND(ISNUMBER(Q237),ISNUMBER(Q187)),IFERROR(Q237/Q187,""),"")</f>
        <v>0.411326378539493</v>
      </c>
      <c r="R302" s="215">
        <f>IF(AND(ISNUMBER(R237),ISNUMBER(R187)),IFERROR(R237/R187,""),"")</f>
        <v>0.398791540785499</v>
      </c>
      <c r="S302" s="215">
        <f>IF(AND(ISNUMBER(S237),ISNUMBER(S187)),IFERROR(S237/S187,""),"")</f>
        <v>0.347889374090247</v>
      </c>
      <c r="T302" s="215">
        <f>IF(AND(ISNUMBER(T237),ISNUMBER(T187)),IFERROR(T237/T187,""),"")</f>
        <v>0.386410690758517</v>
      </c>
      <c r="U302" s="215">
        <f>IF(AND(ISNUMBER(U237),ISNUMBER(U187)),IFERROR(U237/U187,""),"")</f>
        <v>0.410141685309471</v>
      </c>
      <c r="V302" s="215">
        <f>IF(AND(ISNUMBER(V237),ISNUMBER(V187)),IFERROR(V237/V187,""),"")</f>
        <v>0.439946018893387</v>
      </c>
      <c r="W302" s="215">
        <f>IF(AND(ISNUMBER(W237),ISNUMBER(W187)),IFERROR(W237/W187,""),"")</f>
        <v>0.443363446838082</v>
      </c>
      <c r="X302" s="215">
        <f>IF(AND(ISNUMBER(X237),ISNUMBER(X187)),IFERROR(X237/X187,""),"")</f>
        <v>0.421015010721944</v>
      </c>
      <c r="Y302" s="215">
        <f>IF(AND(ISNUMBER(Y237),ISNUMBER(Y187)),IFERROR(Y237/Y187,""),"")</f>
        <v>0.429429429429429</v>
      </c>
      <c r="Z302" s="215">
        <f>IF(AND(ISNUMBER(Z237),ISNUMBER(Z187)),IFERROR(Z237/Z187,""),"")</f>
        <v>0.474191328286304</v>
      </c>
      <c r="AA302" s="215">
        <f>IF(AND(ISNUMBER(AA237),ISNUMBER(AA187)),IFERROR(AA237/AA187,""),"")</f>
        <v>0.473823724320742</v>
      </c>
      <c r="AB302" s="215">
        <f>IF(AND(ISNUMBER(AB237),ISNUMBER(AB187)),IFERROR(AB237/AB187,""),"")</f>
        <v>0.463317911434237</v>
      </c>
      <c r="AC302" s="215">
        <f>IF(AND(ISNUMBER(AC237),ISNUMBER(AC187)),IFERROR(AC237/AC187,""),"")</f>
        <v>0.473253618628068</v>
      </c>
      <c r="AD302" s="215">
        <f>IF(AND(ISNUMBER(AD237),ISNUMBER(AD187)),IFERROR(AD237/AD187,""),"")</f>
        <v>0.471218868546924</v>
      </c>
      <c r="AE302" s="215">
        <f>IF(AND(ISNUMBER(AE237),ISNUMBER(AE187)),IFERROR(AE237/AE187,""),"")</f>
        <v>0.469049138481174</v>
      </c>
      <c r="AF302" s="215">
        <f>IF(AND(ISNUMBER(AF237),ISNUMBER(AF187)),IFERROR(AF237/AF187,""),"")</f>
        <v>0.490988191423244</v>
      </c>
      <c r="AG302" s="215">
        <f>IF(AND(ISNUMBER(AG237),ISNUMBER(AG187)),IFERROR(AG237/AG187,""),"")</f>
        <v>0.496119016817594</v>
      </c>
      <c r="AH302" s="215">
        <f>IF(AND(ISNUMBER(AH237),ISNUMBER(AH187)),IFERROR(AH237/AH187,""),"")</f>
        <v>0.495442708333333</v>
      </c>
      <c r="AI302" s="215">
        <f>IF(AND(ISNUMBER(AI237),ISNUMBER(AI187)),IFERROR(AI237/AI187,""),"")</f>
        <v>0.487695749440716</v>
      </c>
      <c r="AJ302" s="215">
        <f>IF(AND(ISNUMBER(AJ237),ISNUMBER(AJ187)),IFERROR(AJ237/AJ187,""),"")</f>
        <v>0.472947167409293</v>
      </c>
      <c r="AK302" s="215">
        <f>IF(AND(ISNUMBER(AK237),ISNUMBER(AK187)),IFERROR(AK237/AK187,""),"")</f>
        <v>0.512910798122066</v>
      </c>
      <c r="AL302" s="215">
        <f>IF(AND(ISNUMBER(AL237),ISNUMBER(AL187)),IFERROR(AL237/AL187,""),"")</f>
        <v>0.519242155121374</v>
      </c>
      <c r="AM302" s="215">
        <f>IF(AND(ISNUMBER(AM237),ISNUMBER(AM187)),IFERROR(AM237/AM187,""),"")</f>
        <v>0.499135446685879</v>
      </c>
      <c r="AN302" s="215">
        <f>IF(AND(ISNUMBER(AN237),ISNUMBER(AN187)),IFERROR(AN237/AN187,""),"")</f>
        <v>0.501567398119122</v>
      </c>
      <c r="AO302" s="215">
        <f>IF(AND(ISNUMBER(AO237),ISNUMBER(AO187)),IFERROR(AO237/AO187,""),"")</f>
        <v>0.530795072788354</v>
      </c>
      <c r="AP302" s="215">
        <f>IF(AND(ISNUMBER(AP237),ISNUMBER(AP187)),IFERROR(AP237/AP187,""),"")</f>
        <v>0.587236232629954</v>
      </c>
      <c r="AQ302" s="215">
        <f>IF(AND(ISNUMBER(AQ237),ISNUMBER(AQ187)),IFERROR(AQ237/AQ187,""),"")</f>
        <v>0.528710725893825</v>
      </c>
      <c r="AR302" s="215">
        <f>IF(AND(ISNUMBER(AR237),ISNUMBER(AR187)),IFERROR(AR237/AR187,""),"")</f>
        <v>0.483663631494376</v>
      </c>
      <c r="AS302" s="215">
        <f>IF(AND(ISNUMBER(AS237),ISNUMBER(AS187)),IFERROR(AS237/AS187,""),"")</f>
        <v>0.533055630206934</v>
      </c>
      <c r="AT302" s="215">
        <f>IF(AND(ISNUMBER(AT237),ISNUMBER(AT187)),IFERROR(AT237/AT187,""),"")</f>
        <v>0.576388888888889</v>
      </c>
      <c r="AU302" s="215">
        <f>IF(AND(ISNUMBER(AU237),ISNUMBER(AU187)),IFERROR(AU237/AU187,""),"")</f>
        <v>0.58309591642925</v>
      </c>
      <c r="AV302" s="215">
        <f>IF(AND(ISNUMBER(AV237),ISNUMBER(AV187)),IFERROR(AV237/AV187,""),"")</f>
        <v>0.553425970292286</v>
      </c>
      <c r="AW302" s="215">
        <f>IF(AND(ISNUMBER(AW237),ISNUMBER(AW187)),IFERROR(AW237/AW187,""),"")</f>
        <v>0.496168582375479</v>
      </c>
      <c r="AX302" s="215">
        <f>IF(AND(ISNUMBER(AX237),ISNUMBER(AX187)),IFERROR(AX237/AX187,""),"")</f>
        <v>0.552127274918645</v>
      </c>
      <c r="AY302" s="215">
        <f>IF(AND(ISNUMBER(AY237),ISNUMBER(AY187)),IFERROR(AY237/AY187,""),"")</f>
        <v>0.50272080368355</v>
      </c>
      <c r="AZ302" s="215">
        <f>IF(AND(ISNUMBER(AZ237),ISNUMBER(AZ187)),IFERROR(AZ237/AZ187,""),"")</f>
        <v>0.468426328098897</v>
      </c>
      <c r="BA302" s="215">
        <f>IF(AND(ISNUMBER(BA237),ISNUMBER(BA187)),IFERROR(BA237/BA187,""),"")</f>
        <v>0.460678084585809</v>
      </c>
      <c r="BB302" s="215">
        <f>IF(AND(ISNUMBER(BB237),ISNUMBER(BB187)),IFERROR(BB237/BB187,""),"")</f>
        <v>0.412325502213143</v>
      </c>
      <c r="BC302" s="215">
        <f>IF(AND(ISNUMBER(BC237),ISNUMBER(BC187)),IFERROR(BC237/BC187,""),"")</f>
        <v>0.458992934442358</v>
      </c>
      <c r="BD302" s="215">
        <f>IF(AND(ISNUMBER(BD237),ISNUMBER(BD187)),IFERROR(BD237/BD187,""),"")</f>
        <v>0.462025316455696</v>
      </c>
      <c r="BE302" s="215">
        <f>IF(AND(ISNUMBER(BE237),ISNUMBER(BE187)),IFERROR(BE237/BE187,""),"")</f>
        <v>0.461786520477265</v>
      </c>
      <c r="BF302" s="215">
        <f>IF(AND(ISNUMBER(BF237),ISNUMBER(BF187)),IFERROR(BF237/BF187,""),"")</f>
        <v>0.470168612191959</v>
      </c>
      <c r="BG302" s="215">
        <f>IF(AND(ISNUMBER(BG237),ISNUMBER(BG187)),IFERROR(BG237/BG187,""),"")</f>
        <v>0.440989847715736</v>
      </c>
      <c r="BH302" s="215">
        <f>IF(AND(ISNUMBER(BH237),ISNUMBER(BH187)),IFERROR(BH237/BH187,""),"")</f>
        <v>0.458670080819397</v>
      </c>
      <c r="BI302" s="215">
        <f>IF(AND(ISNUMBER(BI237),ISNUMBER(BI187)),IFERROR(BI237/BI187,""),"")</f>
        <v>0.497851618447436</v>
      </c>
      <c r="BJ302" s="215">
        <f>IF(AND(ISNUMBER(BJ237),ISNUMBER(BJ187)),IFERROR(BJ237/BJ187,""),"")</f>
        <v>0.507185122569738</v>
      </c>
      <c r="BK302" s="215">
        <f>IF(AND(ISNUMBER(BK237),ISNUMBER(BK187)),IFERROR(BK237/BK187,""),"")</f>
        <v>0.487832167832168</v>
      </c>
      <c r="BL302" s="215">
        <f>IF(AND(ISNUMBER(BL237),ISNUMBER(BL187)),IFERROR(BL237/BL187,""),"")</f>
        <v>0.466870824053452</v>
      </c>
      <c r="BM302" s="215">
        <f>IF(AND(ISNUMBER(BM237),ISNUMBER(BM187)),IFERROR(BM237/BM187,""),"")</f>
        <v>0.489724099099099</v>
      </c>
      <c r="BN302" s="215">
        <f>IF(AND(ISNUMBER(BN237),ISNUMBER(BN187)),IFERROR(BN237/BN187,""),"")</f>
        <v>0.518915698540364</v>
      </c>
      <c r="BO302" s="215">
        <f>IF(AND(ISNUMBER(BO237),ISNUMBER(BO187)),IFERROR(BO237/BO187,""),"")</f>
        <v>0.522761531504371</v>
      </c>
      <c r="BP302" s="215">
        <f>IF(AND(ISNUMBER(BP237),ISNUMBER(BP187)),IFERROR(BP237/BP187,""),"")</f>
        <v>0.528318327040372</v>
      </c>
      <c r="BQ302" s="215">
        <f>IF(AND(ISNUMBER(BQ237),ISNUMBER(BQ187)),IFERROR(BQ237/BQ187,""),"")</f>
        <v>0.482718894009217</v>
      </c>
      <c r="BR302" s="215">
        <f>IF(AND(ISNUMBER(BR237),ISNUMBER(BR187)),IFERROR(BR237/BR187,""),"")</f>
        <v>0.513209213334315</v>
      </c>
      <c r="BS302" s="215">
        <f>IF(AND(ISNUMBER(BS237),ISNUMBER(BS187)),IFERROR(BS237/BS187,""),"")</f>
        <v>0.529190207156309</v>
      </c>
      <c r="BT302" s="215">
        <f>IF(AND(ISNUMBER(BT237),ISNUMBER(BT187)),IFERROR(BT237/BT187,""),"")</f>
        <v>0.543230016313214</v>
      </c>
      <c r="BU302" s="256">
        <f>IF(AND(ISNUMBER(BU237),ISNUMBER(BU187)),IFERROR(BU237/BU187,""),"")</f>
        <v>0.520146736251578</v>
      </c>
      <c r="BV302" s="256">
        <f>IF(AND(ISNUMBER(BV237),ISNUMBER(BV187)),IFERROR(BV237/BV187,""),"")</f>
        <v>0.478153782501165</v>
      </c>
      <c r="BW302" s="256">
        <f>IF(AND(ISNUMBER(BW237),ISNUMBER(BW187)),IFERROR(BW237/BW187,""),"")</f>
        <v>0.517964364246009</v>
      </c>
      <c r="BX302" s="256">
        <f>IF(AND(ISNUMBER(BX237),ISNUMBER(BX187)),IFERROR(BX237/BX187,""),"")</f>
        <v>0.530644271172731</v>
      </c>
      <c r="BY302" s="256">
        <f>IF(AND(ISNUMBER(BY237),ISNUMBER(BY187)),IFERROR(BY237/BY187,""),"")</f>
        <v>0.535157602835609</v>
      </c>
      <c r="BZ302" s="256">
        <f>IF(AND(ISNUMBER(BZ237),ISNUMBER(BZ187)),IFERROR(BZ237/BZ187,""),"")</f>
        <v>0.536949186875856</v>
      </c>
      <c r="CA302" s="256">
        <f>IF(AND(ISNUMBER(CA237),ISNUMBER(CA187)),IFERROR(CA237/CA187,""),"")</f>
        <v>0.539169828320479</v>
      </c>
      <c r="CB302" s="256">
        <f>IF(AND(ISNUMBER(CB237),ISNUMBER(CB187)),IFERROR(CB237/CB187,""),"")</f>
        <v>0.53981934451612</v>
      </c>
      <c r="CC302" s="153" t="n"/>
      <c r="CE302" s="37">
        <f>IFERROR(AVERAGE(BX302,BY302,BZ302,CA302,CB302),"n/m")</f>
        <v>0.536348046744159</v>
      </c>
      <c r="CF302" s="37">
        <f>IFERROR(AVERAGE(AX302,BC302,BH302,BM302,BR302),"n/m")</f>
        <v>0.494544720522763</v>
      </c>
      <c r="CG302" s="37">
        <f>IFERROR(AVERAGE(Y302,AD302,AI302,AN302,AS302,AX302,BC302,BH302,BM302,BR302),"n/m")</f>
        <v>0.489569067835694</v>
      </c>
      <c r="CH302" s="37">
        <f>IFERROR(AVERAGE(C302,D302,E302,J302,O302,T302,Y302,AD302,AI302,AN302,AS302,AX302,BC302,BH302,BM302,BR302),"n/m")</f>
        <v>0.437619469755341</v>
      </c>
    </row>
    <row r="303" ht="15" customHeight="1" s="251">
      <c r="B303" s="25" t="inlineStr">
        <is>
          <t xml:space="preserve">  Incremental adjusted margin (Δ adjusted OP / Δ revenue)</t>
        </is>
      </c>
      <c r="C303" s="36" t="n"/>
      <c r="D303" s="215">
        <f>IFERROR((D237-C237)/(D187-C187),"")</f>
      </c>
      <c r="E303" s="215">
        <f>IFERROR((E237-D237)/(E187-D187),"")</f>
        <v>0.536290322580645</v>
      </c>
      <c r="F303" s="36" t="n"/>
      <c r="G303" s="36" t="n"/>
      <c r="H303" s="36" t="n"/>
      <c r="I303" s="36" t="n"/>
      <c r="J303" s="215">
        <f>IFERROR((J237-E237)/(J187-E187),"")</f>
        <v>0.510588235294118</v>
      </c>
      <c r="K303" s="215">
        <f>IFERROR((K237-F237)/(K187-F187),"")</f>
        <v>0.563636363636364</v>
      </c>
      <c r="L303" s="215">
        <f>IFERROR((L237-G237)/(L187-G187),"")</f>
        <v>0.416666666666667</v>
      </c>
      <c r="M303" s="215">
        <f>IFERROR((M237-H237)/(M187-H187),"")</f>
        <v>1.14492753623188</v>
      </c>
      <c r="N303" s="215">
        <f>IFERROR((N237-I237)/(N187-I187),"")</f>
        <v>2.075</v>
      </c>
      <c r="O303" s="215">
        <f>IFERROR((O237-J237)/(O187-J187),"")</f>
        <v>1.21022727272727</v>
      </c>
      <c r="P303" s="215">
        <f>IFERROR((P237-K237)/(P187-K187),"")</f>
        <v>1.75675675675676</v>
      </c>
      <c r="Q303" s="215">
        <f>IFERROR((Q237-L237)/(Q187-L187),"")</f>
        <v>-16.5</v>
      </c>
      <c r="R303" s="215">
        <f>IFERROR((R237-M237)/(R187-M187),"")</f>
        <v>0.868852459016393</v>
      </c>
      <c r="S303" s="215">
        <f>IFERROR((S237-N237)/(S187-N187),"")</f>
        <v>0.404761904761905</v>
      </c>
      <c r="T303" s="215">
        <f>IFERROR((T237-O237)/(T187-O187),"")</f>
        <v>0.908396946564886</v>
      </c>
      <c r="U303" s="215">
        <f>IFERROR((U237-P237)/(U187-P187),"")</f>
        <v>0.808823529411765</v>
      </c>
      <c r="V303" s="215">
        <f>IFERROR((V237-Q237)/(V187-Q187),"")</f>
        <v>0.714285714285714</v>
      </c>
      <c r="W303" s="215">
        <f>IFERROR((W237-R237)/(W187-R187),"")</f>
        <v>0.956521739130435</v>
      </c>
      <c r="X303" s="215">
        <f>IFERROR((X237-S237)/(X187-S187),"")</f>
        <v>4.44</v>
      </c>
      <c r="Y303" s="215">
        <f>IFERROR((Y237-T237)/(Y187-T187),"")</f>
        <v>1.08620689655172</v>
      </c>
      <c r="Z303" s="215">
        <f>IFERROR((Z237-U237)/(Z187-U187),"")</f>
        <v>1.24107142857143</v>
      </c>
      <c r="AA303" s="215">
        <f>IFERROR((AA237-V237)/(AA187-V187),"")</f>
        <v>2.33333333333333</v>
      </c>
      <c r="AB303" s="215">
        <f>IFERROR((AB237-W237)/(AB187-W187),"")</f>
        <v>0.851351351351351</v>
      </c>
      <c r="AC303" s="215">
        <f>IFERROR((AC237-X237)/(AC187-X187),"")</f>
        <v>0.857894736842105</v>
      </c>
      <c r="AD303" s="215">
        <f>IFERROR((AD237-Y237)/(AD187-Y187),"")</f>
        <v>1.05970149253731</v>
      </c>
      <c r="AE303" s="215">
        <f>IFERROR((AE237-Z237)/(AE187-Z187),"")</f>
        <v>0.403508771929825</v>
      </c>
      <c r="AF303" s="215">
        <f>IFERROR((AF237-AA237)/(AF187-AA187),"")</f>
        <v>0.75</v>
      </c>
      <c r="AG303" s="215">
        <f>IFERROR((AG237-AB237)/(AG187-AB187),"")</f>
        <v>2</v>
      </c>
      <c r="AH303" s="215">
        <f>IFERROR((AH237-AC237)/(AH187-AC187),"")</f>
        <v>-0.169811320754717</v>
      </c>
      <c r="AI303" s="215">
        <f>IFERROR((AI237-AD237)/(AI187-AD187),"")</f>
        <v>1</v>
      </c>
      <c r="AJ303" s="215">
        <f>IFERROR((AJ237-AE237)/(AJ187-AE187),"")</f>
        <v>2</v>
      </c>
      <c r="AK303" s="215">
        <f>IFERROR((AK237-AF237)/(AK187-AF187),"")</f>
        <v>0.884210526315789</v>
      </c>
      <c r="AL303" s="215">
        <f>IFERROR((AL237-AG237)/(AL187-AG187),"")</f>
        <v>0.769230769230769</v>
      </c>
      <c r="AM303" s="215">
        <f>IFERROR((AM237-AH237)/(AM187-AH187),"")</f>
        <v>0.527638190954774</v>
      </c>
      <c r="AN303" s="215">
        <f>IFERROR((AN237-AI237)/(AN187-AI187),"")</f>
        <v>0.698412698412698</v>
      </c>
      <c r="AO303" s="215">
        <f>IFERROR((AO237-AJ237)/(AO187-AJ187),"")</f>
        <v>0.953488372093023</v>
      </c>
      <c r="AP303" s="215">
        <f>IFERROR((AP237-AK237)/(AP187-AK187),"")</f>
        <v>1.11715481171548</v>
      </c>
      <c r="AQ303" s="215">
        <f>IFERROR((AQ237-AL237)/(AQ187-AL187),"")</f>
        <v>0.630573248407643</v>
      </c>
      <c r="AR303" s="215">
        <f>IFERROR((AR237-AM237)/(AR187-AM187),"")</f>
        <v>0.28030303030303</v>
      </c>
      <c r="AS303" s="215">
        <f>IFERROR((AS237-AN237)/(AS187-AN187),"")</f>
        <v>0.816958277254374</v>
      </c>
      <c r="AT303" s="215">
        <f>IFERROR((AT237-AO237)/(AT187-AO187),"")</f>
        <v>0.930434782608696</v>
      </c>
      <c r="AU303" s="215">
        <f>IFERROR((AU237-AP237)/(AU187-AP187),"")</f>
        <v>0.533742331288344</v>
      </c>
      <c r="AV303" s="215">
        <f>IFERROR((AV237-AQ237)/(AV187-AQ187),"")</f>
        <v>0.742738589211618</v>
      </c>
      <c r="AW303" s="215">
        <f>IFERROR((AW237-AR237)/(AW187-AR187),"")</f>
        <v>0.601809954751131</v>
      </c>
      <c r="AX303" s="215">
        <f>IFERROR((AX237-AS237)/(AX187-AS187),"")</f>
        <v>0.71812865497076</v>
      </c>
      <c r="AY303" s="215">
        <f>IFERROR((AY237-AT237)/(AY187-AT187),"")</f>
        <v>0.10455764075067</v>
      </c>
      <c r="AZ303" s="215">
        <f>IFERROR((AZ237-AU237)/(AZ187-AU187),"")</f>
        <v>0.196166854565953</v>
      </c>
      <c r="BA303" s="215">
        <f>IFERROR((BA237-AV237)/(BA187-AV187),"")</f>
        <v>0.210594315245478</v>
      </c>
      <c r="BB303" s="215">
        <f>IFERROR((BB237-AW237)/(BB187-AW187),"")</f>
        <v>0.206124852767962</v>
      </c>
      <c r="BC303" s="215">
        <f>IFERROR((BC237-AX237)/(BC187-AX187),"")</f>
        <v>0.191054091539528</v>
      </c>
      <c r="BD303" s="215">
        <f>IFERROR((BD237-AY237)/(BD187-AY187),"")</f>
        <v>0.335927367055772</v>
      </c>
      <c r="BE303" s="215">
        <f>IFERROR((BE237-AZ237)/(BE187-AZ187),"")</f>
        <v>0.277777777777778</v>
      </c>
      <c r="BF303" s="215">
        <f>IFERROR((BF237-BA237)/(BF187-BA187),"")</f>
        <v>0.591928251121076</v>
      </c>
      <c r="BG303" s="215">
        <f>IFERROR((BG237-BB237)/(BG187-BB187),"")</f>
        <v>0.832558139534884</v>
      </c>
      <c r="BH303" s="215">
        <f>IFERROR((BH237-BC237)/(BH187-BC187),"")</f>
        <v>0.455927051671733</v>
      </c>
      <c r="BI303" s="215">
        <f>IFERROR((BI237-BD237)/(BI187-BD187),"")</f>
        <v>0.83987915407855</v>
      </c>
      <c r="BJ303" s="215">
        <f>IFERROR((BJ237-BE237)/(BJ187-BE187),"")</f>
        <v>0.821428571428571</v>
      </c>
      <c r="BK303" s="215">
        <f>IFERROR((BK237-BF237)/(BK187-BF187),"")</f>
        <v>0.59877800407332</v>
      </c>
      <c r="BL303" s="215">
        <f>IFERROR((BL237-BG237)/(BL187-BG187),"")</f>
        <v>0.652272727272727</v>
      </c>
      <c r="BM303" s="215">
        <f>IFERROR((BM237-BH237)/(BM187-BH187),"")</f>
        <v>0.716540035067212</v>
      </c>
      <c r="BN303" s="215">
        <f>IFERROR((BN237-BI237)/(BN187-BI187),"")</f>
        <v>-0.0298507462686567</v>
      </c>
      <c r="BO303" s="215">
        <f>IFERROR((BO237-BJ237)/(BO187-BJ187),"")</f>
        <v>0.28448275862069</v>
      </c>
      <c r="BP303" s="215">
        <f>IFERROR((BP237-BK237)/(BP187-BK187),"")</f>
        <v>-0.568181818181818</v>
      </c>
      <c r="BQ303" s="215">
        <f>IFERROR((BQ237-BL237)/(BQ187-BL187),"")</f>
        <v>0.00833333333333333</v>
      </c>
      <c r="BR303" s="215">
        <f>IFERROR((BR237-BM237)/(BR187-BM187),"")</f>
        <v>-0.0258481421647819</v>
      </c>
      <c r="BS303" s="215">
        <f>IFERROR((BS237-BN237)/(BS187-BN187),"")</f>
        <v>0.625</v>
      </c>
      <c r="BT303" s="215">
        <f>IFERROR((BT237-BO237)/(BT187-BO187),"")</f>
        <v>0.731301939058172</v>
      </c>
      <c r="BU303" s="256">
        <f>IFERROR((BU237-BP237)/(BU187-BP187),"")</f>
        <v>0.267671028260588</v>
      </c>
      <c r="BV303" s="256">
        <f>IFERROR((BV237-BQ237)/(BV187-BQ187),"")</f>
        <v>0.327495449492008</v>
      </c>
      <c r="BW303" s="256">
        <f>IFERROR((BW237-BR237)/(BW187-BR187),"")</f>
        <v>0.58687959485028</v>
      </c>
      <c r="BX303" s="256">
        <f>IFERROR((BX237-BW237)/(BX187-BW187),"")</f>
        <v>0.735406637852103</v>
      </c>
      <c r="BY303" s="256">
        <f>IFERROR((BY237-BX237)/(BY187-BX187),"")</f>
        <v>0.598998459540044</v>
      </c>
      <c r="BZ303" s="256">
        <f>IFERROR((BZ237-BY237)/(BZ187-BY187),"")</f>
        <v>0.563042349469493</v>
      </c>
      <c r="CA303" s="256">
        <f>IFERROR((CA237-BZ237)/(CA187-BZ187),"")</f>
        <v>0.57300439576729</v>
      </c>
      <c r="CB303" s="256">
        <f>IFERROR((CB237-CA237)/(CB187-CA187),"")</f>
        <v>0.549730121052962</v>
      </c>
      <c r="CC303" s="153" t="n"/>
    </row>
    <row r="304" ht="15" customHeight="1" s="251">
      <c r="B304" s="25" t="inlineStr">
        <is>
          <t xml:space="preserve">  Adjusted EBITDA margin %</t>
        </is>
      </c>
      <c r="C304" s="215">
        <f>IF(AND(ISNUMBER(C256),ISNUMBER(C187)),IFERROR(C256/C187,""),"")</f>
        <v>0.308326463314097</v>
      </c>
      <c r="D304" s="215">
        <f>IF(AND(ISNUMBER(D256),ISNUMBER(D187)),IFERROR(D256/D187,""),"")</f>
        <v>0.302731411229135</v>
      </c>
      <c r="E304" s="215">
        <f>IF(AND(ISNUMBER(E256),ISNUMBER(E187)),IFERROR(E256/E187,""),"")</f>
        <v>0.327865168539326</v>
      </c>
      <c r="F304" s="215">
        <f>IF(AND(ISNUMBER(F256),ISNUMBER(F187)),IFERROR(F256/F187,""),"")</f>
        <v>0.357324301439458</v>
      </c>
      <c r="G304" s="215">
        <f>IF(AND(ISNUMBER(G256),ISNUMBER(G187)),IFERROR(G256/G187,""),"")</f>
        <v>0.3744</v>
      </c>
      <c r="H304" s="215">
        <f>IF(AND(ISNUMBER(H256),ISNUMBER(H187)),IFERROR(H256/H187,""),"")</f>
        <v>0.348408710217755</v>
      </c>
      <c r="I304" s="215">
        <f>IF(AND(ISNUMBER(I256),ISNUMBER(I187)),IFERROR(I256/I187,""),"")</f>
        <v>0.3056</v>
      </c>
      <c r="J304" s="215">
        <f>IF(AND(ISNUMBER(J256),ISNUMBER(J187)),IFERROR(J256/J187,""),"")</f>
        <v>0.34625641025641</v>
      </c>
      <c r="K304" s="215">
        <f>IF(AND(ISNUMBER(K256),ISNUMBER(K187)),IFERROR(K256/K187,""),"")</f>
        <v>0.364886731391586</v>
      </c>
      <c r="L304" s="215">
        <f>IF(AND(ISNUMBER(L256),ISNUMBER(L187)),IFERROR(L256/L187,""),"")</f>
        <v>0.37741456166419</v>
      </c>
      <c r="M304" s="215">
        <f>IF(AND(ISNUMBER(M256),ISNUMBER(M187)),IFERROR(M256/M187,""),"")</f>
        <v>0.392715756136184</v>
      </c>
      <c r="N304" s="215">
        <f>IF(AND(ISNUMBER(N256),ISNUMBER(N187)),IFERROR(N256/N187,""),"")</f>
        <v>0.361240310077519</v>
      </c>
      <c r="O304" s="215">
        <f>IF(AND(ISNUMBER(O256),ISNUMBER(O187)),IFERROR(O256/O187,""),"")</f>
        <v>0.376361116610572</v>
      </c>
      <c r="P304" s="215">
        <f>IF(AND(ISNUMBER(P256),ISNUMBER(P187)),IFERROR(P256/P187,""),"")</f>
        <v>0.406127258444619</v>
      </c>
      <c r="Q304" s="215">
        <f>IF(AND(ISNUMBER(Q256),ISNUMBER(Q187)),IFERROR(Q256/Q187,""),"")</f>
        <v>0.427719821162444</v>
      </c>
      <c r="R304" s="215">
        <f>IF(AND(ISNUMBER(R256),ISNUMBER(R187)),IFERROR(R256/R187,""),"")</f>
        <v>0.413897280966767</v>
      </c>
      <c r="S304" s="215">
        <f>IF(AND(ISNUMBER(S256),ISNUMBER(S187)),IFERROR(S256/S187,""),"")</f>
        <v>0.366812227074236</v>
      </c>
      <c r="T304" s="215">
        <f>IF(AND(ISNUMBER(T256),ISNUMBER(T187)),IFERROR(T256/T187,""),"")</f>
        <v>0.40335027291549</v>
      </c>
      <c r="U304" s="215">
        <f>IF(AND(ISNUMBER(U256),ISNUMBER(U187)),IFERROR(U256/U187,""),"")</f>
        <v>0.423564504101417</v>
      </c>
      <c r="V304" s="215">
        <f>IF(AND(ISNUMBER(V256),ISNUMBER(V187)),IFERROR(V256/V187,""),"")</f>
        <v>0.454790823211876</v>
      </c>
      <c r="W304" s="215">
        <f>IF(AND(ISNUMBER(W256),ISNUMBER(W187)),IFERROR(W256/W187,""),"")</f>
        <v>0.458651841556637</v>
      </c>
      <c r="X304" s="215">
        <f>IF(AND(ISNUMBER(X256),ISNUMBER(X187)),IFERROR(X256/X187,""),"")</f>
        <v>0.43674052894925</v>
      </c>
      <c r="Y304" s="215">
        <f>IF(AND(ISNUMBER(Y256),ISNUMBER(Y187)),IFERROR(Y256/Y187,""),"")</f>
        <v>0.444444444444444</v>
      </c>
      <c r="Z304" s="215">
        <f>IF(AND(ISNUMBER(Z256),ISNUMBER(Z187)),IFERROR(Z256/Z187,""),"")</f>
        <v>0.487267721954577</v>
      </c>
      <c r="AA304" s="215">
        <f>IF(AND(ISNUMBER(AA256),ISNUMBER(AA187)),IFERROR(AA256/AA187,""),"")</f>
        <v>0.487077534791253</v>
      </c>
      <c r="AB304" s="215">
        <f>IF(AND(ISNUMBER(AB256),ISNUMBER(AB187)),IFERROR(AB256/AB187,""),"")</f>
        <v>0.477858559153999</v>
      </c>
      <c r="AC304" s="215">
        <f>IF(AND(ISNUMBER(AC256),ISNUMBER(AC187)),IFERROR(AC256/AC187,""),"")</f>
        <v>0.486469477658905</v>
      </c>
      <c r="AD304" s="215">
        <f>IF(AND(ISNUMBER(AD256),ISNUMBER(AD187)),IFERROR(AD256/AD187,""),"")</f>
        <v>0.484743526307109</v>
      </c>
      <c r="AE304" s="215">
        <f>IF(AND(ISNUMBER(AE256),ISNUMBER(AE187)),IFERROR(AE256/AE187,""),"")</f>
        <v>0.482450542437779</v>
      </c>
      <c r="AF304" s="215">
        <f>IF(AND(ISNUMBER(AF256),ISNUMBER(AF187)),IFERROR(AF256/AF187,""),"")</f>
        <v>0.502796768178993</v>
      </c>
      <c r="AG304" s="215">
        <f>IF(AND(ISNUMBER(AG256),ISNUMBER(AG187)),IFERROR(AG256/AG187,""),"")</f>
        <v>0.509055627425615</v>
      </c>
      <c r="AH304" s="215">
        <f>IF(AND(ISNUMBER(AH256),ISNUMBER(AH187)),IFERROR(AH256/AH187,""),"")</f>
        <v>0.511067708333333</v>
      </c>
      <c r="AI304" s="215">
        <f>IF(AND(ISNUMBER(AI256),ISNUMBER(AI187)),IFERROR(AI256/AI187,""),"")</f>
        <v>0.501118568232662</v>
      </c>
      <c r="AJ304" s="215">
        <f>IF(AND(ISNUMBER(AJ256),ISNUMBER(AJ187)),IFERROR(AJ256/AJ187,""),"")</f>
        <v>0.485677912157861</v>
      </c>
      <c r="AK304" s="215">
        <f>IF(AND(ISNUMBER(AK256),ISNUMBER(AK187)),IFERROR(AK256/AK187,""),"")</f>
        <v>0.525234741784038</v>
      </c>
      <c r="AL304" s="215">
        <f>IF(AND(ISNUMBER(AL256),ISNUMBER(AL187)),IFERROR(AL256/AL187,""),"")</f>
        <v>0.531083481349911</v>
      </c>
      <c r="AM304" s="215">
        <f>IF(AND(ISNUMBER(AM256),ISNUMBER(AM187)),IFERROR(AM256/AM187,""),"")</f>
        <v>0.511239193083574</v>
      </c>
      <c r="AN304" s="215">
        <f>IF(AND(ISNUMBER(AN256),ISNUMBER(AN187)),IFERROR(AN256/AN187,""),"")</f>
        <v>0.51380803104941</v>
      </c>
      <c r="AO304" s="215">
        <f>IF(AND(ISNUMBER(AO256),ISNUMBER(AO187)),IFERROR(AO256/AO187,""),"")</f>
        <v>0.541993281075028</v>
      </c>
      <c r="AP304" s="215">
        <f>IF(AND(ISNUMBER(AP256),ISNUMBER(AP187)),IFERROR(AP256/AP187,""),"")</f>
        <v>0.597014925373134</v>
      </c>
      <c r="AQ304" s="215">
        <f>IF(AND(ISNUMBER(AQ256),ISNUMBER(AQ187)),IFERROR(AQ256/AQ187,""),"")</f>
        <v>0.539544962080173</v>
      </c>
      <c r="AR304" s="215">
        <f>IF(AND(ISNUMBER(AR256),ISNUMBER(AR187)),IFERROR(AR256/AR187,""),"")</f>
        <v>0.495982860203535</v>
      </c>
      <c r="AS304" s="215">
        <f>IF(AND(ISNUMBER(AS256),ISNUMBER(AS187)),IFERROR(AS256/AS187,""),"")</f>
        <v>0.544208546089761</v>
      </c>
      <c r="AT304" s="215">
        <f>IF(AND(ISNUMBER(AT256),ISNUMBER(AT187)),IFERROR(AT256/AT187,""),"")</f>
        <v>0.585813492063492</v>
      </c>
      <c r="AU304" s="215">
        <f>IF(AND(ISNUMBER(AU256),ISNUMBER(AU187)),IFERROR(AU256/AU187,""),"")</f>
        <v>0.594017094017094</v>
      </c>
      <c r="AV304" s="215">
        <f>IF(AND(ISNUMBER(AV256),ISNUMBER(AV187)),IFERROR(AV256/AV187,""),"")</f>
        <v>0.563009103977</v>
      </c>
      <c r="AW304" s="215">
        <f>IF(AND(ISNUMBER(AW256),ISNUMBER(AW187)),IFERROR(AW256/AW187,""),"")</f>
        <v>0.505268199233717</v>
      </c>
      <c r="AX304" s="215">
        <f>IF(AND(ISNUMBER(AX256),ISNUMBER(AX187)),IFERROR(AX256/AX187,""),"")</f>
        <v>0.562010365192238</v>
      </c>
      <c r="AY304" s="215">
        <f>IF(AND(ISNUMBER(AY256),ISNUMBER(AY187)),IFERROR(AY256/AY187,""),"")</f>
        <v>0.513604018417748</v>
      </c>
      <c r="AZ304" s="215">
        <f>IF(AND(ISNUMBER(AZ256),ISNUMBER(AZ187)),IFERROR(AZ256/AZ187,""),"")</f>
        <v>0.480454393585032</v>
      </c>
      <c r="BA304" s="215">
        <f>IF(AND(ISNUMBER(BA256),ISNUMBER(BA187)),IFERROR(BA256/BA187,""),"")</f>
        <v>0.471513456833275</v>
      </c>
      <c r="BB304" s="215">
        <f>IF(AND(ISNUMBER(BB256),ISNUMBER(BB187)),IFERROR(BB256/BB187,""),"")</f>
        <v>0.417432754511406</v>
      </c>
      <c r="BC304" s="215">
        <f>IF(AND(ISNUMBER(BC256),ISNUMBER(BC187)),IFERROR(BC256/BC187,""),"")</f>
        <v>0.468652177801628</v>
      </c>
      <c r="BD304" s="215">
        <f>IF(AND(ISNUMBER(BD256),ISNUMBER(BD187)),IFERROR(BD256/BD187,""),"")</f>
        <v>0.46993670886076</v>
      </c>
      <c r="BE304" s="215">
        <f>IF(AND(ISNUMBER(BE256),ISNUMBER(BE187)),IFERROR(BE256/BE187,""),"")</f>
        <v>0.469525959367946</v>
      </c>
      <c r="BF304" s="215">
        <f>IF(AND(ISNUMBER(BF256),ISNUMBER(BF187)),IFERROR(BF256/BF187,""),"")</f>
        <v>0.477302204928664</v>
      </c>
      <c r="BG304" s="215">
        <f>IF(AND(ISNUMBER(BG256),ISNUMBER(BG187)),IFERROR(BG256/BG187,""),"")</f>
        <v>0.450507614213198</v>
      </c>
      <c r="BH304" s="215">
        <f>IF(AND(ISNUMBER(BH256),ISNUMBER(BH187)),IFERROR(BH256/BH187,""),"")</f>
        <v>0.466752020484916</v>
      </c>
      <c r="BI304" s="215">
        <f>IF(AND(ISNUMBER(BI256),ISNUMBER(BI187)),IFERROR(BI256/BI187,""),"")</f>
        <v>0.504439988541965</v>
      </c>
      <c r="BJ304" s="215">
        <f>IF(AND(ISNUMBER(BJ256),ISNUMBER(BJ187)),IFERROR(BJ256/BJ187,""),"")</f>
        <v>0.514229360383207</v>
      </c>
      <c r="BK304" s="215">
        <f>IF(AND(ISNUMBER(BK256),ISNUMBER(BK187)),IFERROR(BK256/BK187,""),"")</f>
        <v>0.493986013986014</v>
      </c>
      <c r="BL304" s="215">
        <f>IF(AND(ISNUMBER(BL256),ISNUMBER(BL187)),IFERROR(BL256/BL187,""),"")</f>
        <v>0.474109131403118</v>
      </c>
      <c r="BM304" s="215">
        <f>IF(AND(ISNUMBER(BM256),ISNUMBER(BM187)),IFERROR(BM256/BM187,""),"")</f>
        <v>0.496480855855856</v>
      </c>
      <c r="BN304" s="215">
        <f>IF(AND(ISNUMBER(BN256),ISNUMBER(BN187)),IFERROR(BN256/BN187,""),"")</f>
        <v>0.525171283884421</v>
      </c>
      <c r="BO304" s="215">
        <f>IF(AND(ISNUMBER(BO256),ISNUMBER(BO187)),IFERROR(BO256/BO187,""),"")</f>
        <v>0.529394030750678</v>
      </c>
      <c r="BP304" s="215">
        <f>IF(AND(ISNUMBER(BP256),ISNUMBER(BP187)),IFERROR(BP256/BP187,""),"")</f>
        <v>0.535579436537903</v>
      </c>
      <c r="BQ304" s="215">
        <f>IF(AND(ISNUMBER(BQ256),ISNUMBER(BQ187)),IFERROR(BQ256/BQ187,""),"")</f>
        <v>0.490783410138249</v>
      </c>
      <c r="BR304" s="215">
        <f>IF(AND(ISNUMBER(BR256),ISNUMBER(BR187)),IFERROR(BR256/BR187,""),"")</f>
        <v>0.520273750827876</v>
      </c>
      <c r="BS304" s="215">
        <f>IF(AND(ISNUMBER(BS256),ISNUMBER(BS187)),IFERROR(BS256/BS187,""),"")</f>
        <v>0.536454129674469</v>
      </c>
      <c r="BT304" s="215">
        <f>IF(AND(ISNUMBER(BT256),ISNUMBER(BT187)),IFERROR(BT256/BT187,""),"")</f>
        <v>0.551114736269712</v>
      </c>
      <c r="BU304" s="256">
        <f>IF(AND(ISNUMBER(BU256),ISNUMBER(BU187)),IFERROR(BU256/BU187,""),"")</f>
        <v>0.528305556131681</v>
      </c>
      <c r="BV304" s="256">
        <f>IF(AND(ISNUMBER(BV256),ISNUMBER(BV187)),IFERROR(BV256/BV187,""),"")</f>
        <v>0.486260669559742</v>
      </c>
      <c r="BW304" s="256">
        <f>IF(AND(ISNUMBER(BW256),ISNUMBER(BW187)),IFERROR(BW256/BW187,""),"")</f>
        <v>0.525812014642271</v>
      </c>
      <c r="BX304" s="256">
        <f>IF(AND(ISNUMBER(BX256),ISNUMBER(BX187)),IFERROR(BX256/BX187,""),"")</f>
        <v>0.538644271172731</v>
      </c>
      <c r="BY304" s="256">
        <f>IF(AND(ISNUMBER(BY256),ISNUMBER(BY187)),IFERROR(BY256/BY187,""),"")</f>
        <v>0.543157602835609</v>
      </c>
      <c r="BZ304" s="256">
        <f>IF(AND(ISNUMBER(BZ256),ISNUMBER(BZ187)),IFERROR(BZ256/BZ187,""),"")</f>
        <v>0.544949186875856</v>
      </c>
      <c r="CA304" s="256">
        <f>IF(AND(ISNUMBER(CA256),ISNUMBER(CA187)),IFERROR(CA256/CA187,""),"")</f>
        <v>0.547169828320479</v>
      </c>
      <c r="CB304" s="256">
        <f>IF(AND(ISNUMBER(CB256),ISNUMBER(CB187)),IFERROR(CB256/CB187,""),"")</f>
        <v>0.54781934451612</v>
      </c>
      <c r="CC304" s="153" t="n"/>
      <c r="CE304" s="37">
        <f>IFERROR(AVERAGE(BX304,BY304,BZ304,CA304,CB304),"n/m")</f>
        <v>0.544348046744159</v>
      </c>
      <c r="CF304" s="37">
        <f>IFERROR(AVERAGE(AX304,BC304,BH304,BM304,BR304),"n/m")</f>
        <v>0.502833834032503</v>
      </c>
      <c r="CG304" s="37">
        <f>IFERROR(AVERAGE(Y304,AD304,AI304,AN304,AS304,AX304,BC304,BH304,BM304,BR304),"n/m")</f>
        <v>0.50024922862859</v>
      </c>
      <c r="CH304" s="37">
        <f>IFERROR(AVERAGE(C304,D304,E304,J304,O304,T304,Y304,AD304,AI304,AN304,AS304,AX304,BC304,BH304,BM304,BR304),"n/m")</f>
        <v>0.441711445571933</v>
      </c>
    </row>
    <row r="305" ht="15" customHeight="1" s="251">
      <c r="B305" s="25" t="inlineStr">
        <is>
          <t xml:space="preserve">  Operating margin (GAAP) %</t>
        </is>
      </c>
      <c r="C305" s="215">
        <f>IF(AND(ISNUMBER(C196),ISNUMBER(C187)),IFERROR(C196/C187,""),"")</f>
        <v>0.28194558944765</v>
      </c>
      <c r="D305" s="215">
        <f>IF(AND(ISNUMBER(D196),ISNUMBER(D187)),IFERROR(D196/D187,""),"")</f>
        <v>0.272382397572079</v>
      </c>
      <c r="E305" s="215">
        <f>IF(AND(ISNUMBER(E196),ISNUMBER(E187)),IFERROR(E196/E187,""),"")</f>
        <v>0.272134831460674</v>
      </c>
      <c r="F305" s="215">
        <f>IF(AND(ISNUMBER(F196),ISNUMBER(F187)),IFERROR(F196/F187,""),"")</f>
        <v>0.235393734123624</v>
      </c>
      <c r="G305" s="215">
        <f>IF(AND(ISNUMBER(G196),ISNUMBER(G187)),IFERROR(G196/G187,""),"")</f>
        <v>0.3488</v>
      </c>
      <c r="H305" s="215">
        <f>IF(AND(ISNUMBER(H196),ISNUMBER(H187)),IFERROR(H196/H187,""),"")</f>
        <v>0.340871021775544</v>
      </c>
      <c r="I305" s="215">
        <f>IF(AND(ISNUMBER(I196),ISNUMBER(I187)),IFERROR(I196/I187,""),"")</f>
        <v>0.2272</v>
      </c>
      <c r="J305" s="215">
        <f>IF(AND(ISNUMBER(J196),ISNUMBER(J187)),IFERROR(J196/J187,""),"")</f>
        <v>0.288205128205128</v>
      </c>
      <c r="K305" s="215">
        <f>IF(AND(ISNUMBER(K196),ISNUMBER(K187)),IFERROR(K196/K187,""),"")</f>
        <v>0.34789644012945</v>
      </c>
      <c r="L305" s="215">
        <f>IF(AND(ISNUMBER(L196),ISNUMBER(L187)),IFERROR(L196/L187,""),"")</f>
        <v>0.361069836552749</v>
      </c>
      <c r="M305" s="215">
        <f>IF(AND(ISNUMBER(M196),ISNUMBER(M187)),IFERROR(M196/M187,""),"")</f>
        <v>0.28978622327791</v>
      </c>
      <c r="N305" s="215">
        <f>IF(AND(ISNUMBER(N196),ISNUMBER(N187)),IFERROR(N196/N187,""),"")</f>
        <v>-0.889922480620155</v>
      </c>
      <c r="O305" s="215">
        <f>IF(AND(ISNUMBER(O196),ISNUMBER(O187)),IFERROR(O196/O187,""),"")</f>
        <v>0.0223718075628588</v>
      </c>
      <c r="P305" s="215">
        <f>IF(AND(ISNUMBER(P196),ISNUMBER(P187)),IFERROR(P196/P187,""),"")</f>
        <v>0.393558523173606</v>
      </c>
      <c r="Q305" s="215">
        <f>IF(AND(ISNUMBER(Q196),ISNUMBER(Q187)),IFERROR(Q196/Q187,""),"")</f>
        <v>0.433681073025335</v>
      </c>
      <c r="R305" s="215">
        <f>IF(AND(ISNUMBER(R196),ISNUMBER(R187)),IFERROR(R196/R187,""),"")</f>
        <v>0.309667673716012</v>
      </c>
      <c r="S305" s="215">
        <f>IF(AND(ISNUMBER(S196),ISNUMBER(S187)),IFERROR(S196/S187,""),"")</f>
        <v>0.308588064046579</v>
      </c>
      <c r="T305" s="215">
        <f>IF(AND(ISNUMBER(T196),ISNUMBER(T187)),IFERROR(T196/T187,""),"")</f>
        <v>0.360813099943535</v>
      </c>
      <c r="U305" s="215">
        <f>IF(AND(ISNUMBER(U196),ISNUMBER(U187)),IFERROR(U196/U187,""),"")</f>
        <v>0.381804623415362</v>
      </c>
      <c r="V305" s="215">
        <f>IF(AND(ISNUMBER(V196),ISNUMBER(V187)),IFERROR(V196/V187,""),"")</f>
        <v>0.439271255060729</v>
      </c>
      <c r="W305" s="215">
        <f>IF(AND(ISNUMBER(W196),ISNUMBER(W187)),IFERROR(W196/W187,""),"")</f>
        <v>0.936761640027797</v>
      </c>
      <c r="X305" s="215">
        <f>IF(AND(ISNUMBER(X196),ISNUMBER(X187)),IFERROR(X196/X187,""),"")</f>
        <v>0.612580414581844</v>
      </c>
      <c r="Y305" s="215">
        <f>IF(AND(ISNUMBER(Y196),ISNUMBER(Y187)),IFERROR(Y196/Y187,""),"")</f>
        <v>0.595124536301007</v>
      </c>
      <c r="Z305" s="215">
        <f>IF(AND(ISNUMBER(Z196),ISNUMBER(Z187)),IFERROR(Z196/Z187,""),"")</f>
        <v>0.445973847212664</v>
      </c>
      <c r="AA305" s="215">
        <f>IF(AND(ISNUMBER(AA196),ISNUMBER(AA187)),IFERROR(AA196/AA187,""),"")</f>
        <v>0.448641484426773</v>
      </c>
      <c r="AB305" s="215">
        <f>IF(AND(ISNUMBER(AB196),ISNUMBER(AB187)),IFERROR(AB196/AB187,""),"")</f>
        <v>0.434897554527429</v>
      </c>
      <c r="AC305" s="215">
        <f>IF(AND(ISNUMBER(AC196),ISNUMBER(AC187)),IFERROR(AC196/AC187,""),"")</f>
        <v>0.395217117684078</v>
      </c>
      <c r="AD305" s="215">
        <f>IF(AND(ISNUMBER(AD196),ISNUMBER(AD187)),IFERROR(AD196/AD187,""),"")</f>
        <v>0.430479960415636</v>
      </c>
      <c r="AE305" s="215">
        <f>IF(AND(ISNUMBER(AE196),ISNUMBER(AE187)),IFERROR(AE196/AE187,""),"")</f>
        <v>0.453733248245054</v>
      </c>
      <c r="AF305" s="215">
        <f>IF(AND(ISNUMBER(AF196),ISNUMBER(AF187)),IFERROR(AF196/AF187,""),"")</f>
        <v>0.417650714729646</v>
      </c>
      <c r="AG305" s="215">
        <f>IF(AND(ISNUMBER(AG196),ISNUMBER(AG187)),IFERROR(AG196/AG187,""),"")</f>
        <v>0.455368693402329</v>
      </c>
      <c r="AH305" s="215">
        <f>IF(AND(ISNUMBER(AH196),ISNUMBER(AH187)),IFERROR(AH196/AH187,""),"")</f>
        <v>0.458333333333333</v>
      </c>
      <c r="AI305" s="215">
        <f>IF(AND(ISNUMBER(AI196),ISNUMBER(AI187)),IFERROR(AI196/AI187,""),"")</f>
        <v>0.445829338446788</v>
      </c>
      <c r="AJ305" s="215">
        <f>IF(AND(ISNUMBER(AJ196),ISNUMBER(AJ187)),IFERROR(AJ196/AJ187,""),"")</f>
        <v>0.448758752387015</v>
      </c>
      <c r="AK305" s="215">
        <f>IF(AND(ISNUMBER(AK196),ISNUMBER(AK187)),IFERROR(AK196/AK187,""),"")</f>
        <v>0.477112676056338</v>
      </c>
      <c r="AL305" s="215">
        <f>IF(AND(ISNUMBER(AL196),ISNUMBER(AL187)),IFERROR(AL196/AL187,""),"")</f>
        <v>0.52753108348135</v>
      </c>
      <c r="AM305" s="215">
        <f>IF(AND(ISNUMBER(AM196),ISNUMBER(AM187)),IFERROR(AM196/AM187,""),"")</f>
        <v>0.471469740634006</v>
      </c>
      <c r="AN305" s="215">
        <f>IF(AND(ISNUMBER(AN196),ISNUMBER(AN187)),IFERROR(AN196/AN187,""),"")</f>
        <v>0.481564412598895</v>
      </c>
      <c r="AO305" s="215">
        <f>IF(AND(ISNUMBER(AO196),ISNUMBER(AO187)),IFERROR(AO196/AO187,""),"")</f>
        <v>0.51063829787234</v>
      </c>
      <c r="AP305" s="215">
        <f>IF(AND(ISNUMBER(AP196),ISNUMBER(AP187)),IFERROR(AP196/AP187,""),"")</f>
        <v>0.568708183221822</v>
      </c>
      <c r="AQ305" s="215">
        <f>IF(AND(ISNUMBER(AQ196),ISNUMBER(AQ187)),IFERROR(AQ196/AQ187,""),"")</f>
        <v>0.511375947995666</v>
      </c>
      <c r="AR305" s="215">
        <f>IF(AND(ISNUMBER(AR196),ISNUMBER(AR187)),IFERROR(AR196/AR187,""),"")</f>
        <v>0.351365827530798</v>
      </c>
      <c r="AS305" s="215">
        <f>IF(AND(ISNUMBER(AS196),ISNUMBER(AS187)),IFERROR(AS196/AS187,""),"")</f>
        <v>0.486025262026337</v>
      </c>
      <c r="AT305" s="215">
        <f>IF(AND(ISNUMBER(AT196),ISNUMBER(AT187)),IFERROR(AT196/AT187,""),"")</f>
        <v>0.536210317460317</v>
      </c>
      <c r="AU305" s="215">
        <f>IF(AND(ISNUMBER(AU196),ISNUMBER(AU187)),IFERROR(AU196/AU187,""),"")</f>
        <v>0.547958214624881</v>
      </c>
      <c r="AV305" s="215">
        <f>IF(AND(ISNUMBER(AV196),ISNUMBER(AV187)),IFERROR(AV196/AV187,""),"")</f>
        <v>0.518926689027312</v>
      </c>
      <c r="AW305" s="215">
        <f>IF(AND(ISNUMBER(AW196),ISNUMBER(AW187)),IFERROR(AW196/AW187,""),"")</f>
        <v>0.432950191570881</v>
      </c>
      <c r="AX305" s="215">
        <f>IF(AND(ISNUMBER(AX196),ISNUMBER(AX187)),IFERROR(AX196/AX187,""),"")</f>
        <v>0.50873809810775</v>
      </c>
      <c r="AY305" s="215">
        <f>IF(AND(ISNUMBER(AY196),ISNUMBER(AY187)),IFERROR(AY196/AY187,""),"")</f>
        <v>0.791963164503977</v>
      </c>
      <c r="AZ305" s="215">
        <f>IF(AND(ISNUMBER(AZ196),ISNUMBER(AZ187)),IFERROR(AZ196/AZ187,""),"")</f>
        <v>0.495155362512529</v>
      </c>
      <c r="BA305" s="215">
        <f>IF(AND(ISNUMBER(BA196),ISNUMBER(BA187)),IFERROR(BA196/BA187,""),"")</f>
        <v>0.29814750087382</v>
      </c>
      <c r="BB305" s="215">
        <f>IF(AND(ISNUMBER(BB196),ISNUMBER(BB187)),IFERROR(BB196/BB187,""),"")</f>
        <v>0.244126659856997</v>
      </c>
      <c r="BC305" s="215">
        <f>IF(AND(ISNUMBER(BC196),ISNUMBER(BC187)),IFERROR(BC196/BC187,""),"")</f>
        <v>0.442178696002147</v>
      </c>
      <c r="BD305" s="215">
        <f>IF(AND(ISNUMBER(BD196),ISNUMBER(BD187)),IFERROR(BD196/BD187,""),"")</f>
        <v>0.362025316455696</v>
      </c>
      <c r="BE305" s="215">
        <f>IF(AND(ISNUMBER(BE196),ISNUMBER(BE187)),IFERROR(BE196/BE187,""),"")</f>
        <v>0.293776201225411</v>
      </c>
      <c r="BF305" s="215">
        <f>IF(AND(ISNUMBER(BF196),ISNUMBER(BF187)),IFERROR(BF196/BF187,""),"")</f>
        <v>0.348249027237354</v>
      </c>
      <c r="BG305" s="215">
        <f>IF(AND(ISNUMBER(BG196),ISNUMBER(BG187)),IFERROR(BG196/BG187,""),"")</f>
        <v>0.282360406091371</v>
      </c>
      <c r="BH305" s="215">
        <f>IF(AND(ISNUMBER(BH196),ISNUMBER(BH187)),IFERROR(BH196/BH187,""),"")</f>
        <v>0.321677202528607</v>
      </c>
      <c r="BI305" s="215">
        <f>IF(AND(ISNUMBER(BI196),ISNUMBER(BI187)),IFERROR(BI196/BI187,""),"")</f>
        <v>0.396734460040103</v>
      </c>
      <c r="BJ305" s="215">
        <f>IF(AND(ISNUMBER(BJ196),ISNUMBER(BJ187)),IFERROR(BJ196/BJ187,""),"")</f>
        <v>0.409129332206255</v>
      </c>
      <c r="BK305" s="215">
        <f>IF(AND(ISNUMBER(BK196),ISNUMBER(BK187)),IFERROR(BK196/BK187,""),"")</f>
        <v>0.401118881118881</v>
      </c>
      <c r="BL305" s="215">
        <f>IF(AND(ISNUMBER(BL196),ISNUMBER(BL187)),IFERROR(BL196/BL187,""),"")</f>
        <v>0.364420935412027</v>
      </c>
      <c r="BM305" s="215">
        <f>IF(AND(ISNUMBER(BM196),ISNUMBER(BM187)),IFERROR(BM196/BM187,""),"")</f>
        <v>0.392736486486487</v>
      </c>
      <c r="BN305" s="215">
        <f>IF(AND(ISNUMBER(BN196),ISNUMBER(BN187)),IFERROR(BN196/BN187,""),"")</f>
        <v>0.442657134346142</v>
      </c>
      <c r="BO305" s="215">
        <f>IF(AND(ISNUMBER(BO196),ISNUMBER(BO187)),IFERROR(BO196/BO187,""),"")</f>
        <v>0.437141995779319</v>
      </c>
      <c r="BP305" s="215">
        <f>IF(AND(ISNUMBER(BP196),ISNUMBER(BP187)),IFERROR(BP196/BP187,""),"")</f>
        <v>0.454545454545455</v>
      </c>
      <c r="BQ305" s="215">
        <f>IF(AND(ISNUMBER(BQ196),ISNUMBER(BQ187)),IFERROR(BQ196/BQ187,""),"")</f>
        <v>0.471774193548387</v>
      </c>
      <c r="BR305" s="215">
        <f>IF(AND(ISNUMBER(BR196),ISNUMBER(BR187)),IFERROR(BR196/BR187,""),"")</f>
        <v>0.451836043859004</v>
      </c>
      <c r="BS305" s="215">
        <f>IF(AND(ISNUMBER(BS196),ISNUMBER(BS187)),IFERROR(BS196/BS187,""),"")</f>
        <v>0.518428840462739</v>
      </c>
      <c r="BT305" s="215">
        <f>IF(AND(ISNUMBER(BT196),ISNUMBER(BT187)),IFERROR(BT196/BT187,""),"")</f>
        <v>0.477705274605764</v>
      </c>
      <c r="BU305" s="256">
        <f>IF(AND(ISNUMBER(BU196),ISNUMBER(BU187)),IFERROR(BU196/BU187,""),"")</f>
        <v>0.458814917842529</v>
      </c>
      <c r="BV305" s="256">
        <f>IF(AND(ISNUMBER(BV196),ISNUMBER(BV187)),IFERROR(BV196/BV187,""),"")</f>
        <v>0.48709931304856</v>
      </c>
      <c r="BW305" s="256">
        <f>IF(AND(ISNUMBER(BW196),ISNUMBER(BW187)),IFERROR(BW196/BW187,""),"")</f>
        <v>0.485816533236762</v>
      </c>
      <c r="BX305" s="256">
        <f>IF(AND(ISNUMBER(BX196),ISNUMBER(BX187)),IFERROR(BX196/BX187,""),"")</f>
        <v>0.475748498688402</v>
      </c>
      <c r="BY305" s="256">
        <f>IF(AND(ISNUMBER(BY196),ISNUMBER(BY187)),IFERROR(BY196/BY187,""),"")</f>
        <v>0.484269969950037</v>
      </c>
      <c r="BZ305" s="256">
        <f>IF(AND(ISNUMBER(BZ196),ISNUMBER(BZ187)),IFERROR(BZ196/BZ187,""),"")</f>
        <v>0.490143112546988</v>
      </c>
      <c r="CA305" s="256">
        <f>IF(AND(ISNUMBER(CA196),ISNUMBER(CA187)),IFERROR(CA196/CA187,""),"")</f>
        <v>0.496008575599799</v>
      </c>
      <c r="CB305" s="256">
        <f>IF(AND(ISNUMBER(CB196),ISNUMBER(CB187)),IFERROR(CB196/CB187,""),"")</f>
        <v>0.499978016197249</v>
      </c>
      <c r="CC305" s="153" t="n"/>
      <c r="CE305" s="37">
        <f>IFERROR(AVERAGE(BX305,BY305,BZ305,CA305,CB305),"n/m")</f>
        <v>0.489229634596495</v>
      </c>
      <c r="CF305" s="37">
        <f>IFERROR(AVERAGE(AX305,BC305,BH305,BM305,BR305),"n/m")</f>
        <v>0.423433305396799</v>
      </c>
      <c r="CG305" s="37">
        <f>IFERROR(AVERAGE(Y305,AD305,AI305,AN305,AS305,AX305,BC305,BH305,BM305,BR305),"n/m")</f>
        <v>0.455619003677266</v>
      </c>
      <c r="CH305" s="37">
        <f>IFERROR(AVERAGE(C305,D305,E305,J305,O305,T305,Y305,AD305,AI305,AN305,AS305,AX305,BC305,BH305,BM305,BR305),"n/m")</f>
        <v>0.378377680685286</v>
      </c>
    </row>
    <row r="306" ht="15" customHeight="1" s="251">
      <c r="B306" s="25" t="inlineStr">
        <is>
          <t xml:space="preserve">  Net margin (continuing, attributable) %</t>
        </is>
      </c>
      <c r="C306" s="215">
        <f>IF(AND(ISNUMBER(C208),ISNUMBER(C187)),IFERROR(C208/C187,""),"")</f>
        <v>0.15938444627645</v>
      </c>
      <c r="D306" s="215">
        <f>IF(AND(ISNUMBER(D208),ISNUMBER(D187)),IFERROR(D208/D187,""),"")</f>
        <v>0.152503793626707</v>
      </c>
      <c r="E306" s="215">
        <f>IF(AND(ISNUMBER(E208),ISNUMBER(E187)),IFERROR(E208/E187,""),"")</f>
        <v>0.150786516853933</v>
      </c>
      <c r="F306" s="215">
        <f>IF(AND(ISNUMBER(F208),ISNUMBER(F187)),IFERROR(F208/F187,""),"")</f>
        <v>0.130397967823878</v>
      </c>
      <c r="G306" s="215">
        <f>IF(AND(ISNUMBER(G208),ISNUMBER(G187)),IFERROR(G208/G187,""),"")</f>
        <v>0.2</v>
      </c>
      <c r="H306" s="215">
        <f>IF(AND(ISNUMBER(H208),ISNUMBER(H187)),IFERROR(H208/H187,""),"")</f>
        <v>0.196817420435511</v>
      </c>
      <c r="I306" s="215">
        <f>IF(AND(ISNUMBER(I208),ISNUMBER(I187)),IFERROR(I208/I187,""),"")</f>
        <v>0.1384</v>
      </c>
      <c r="J306" s="215">
        <f>IF(AND(ISNUMBER(J208),ISNUMBER(J187)),IFERROR(J208/J187,""),"")</f>
        <v>0.166769230769231</v>
      </c>
      <c r="K306" s="215">
        <f>IF(AND(ISNUMBER(K208),ISNUMBER(K187)),IFERROR(K208/K187,""),"")</f>
        <v>0.200647249190939</v>
      </c>
      <c r="L306" s="215">
        <f>IF(AND(ISNUMBER(L208),ISNUMBER(L187)),IFERROR(L208/L187,""),"")</f>
        <v>0.216939078751857</v>
      </c>
      <c r="M306" s="215">
        <f>IF(AND(ISNUMBER(M208),ISNUMBER(M187)),IFERROR(M208/M187,""),"")</f>
        <v>0.148851939825812</v>
      </c>
      <c r="N306" s="215">
        <f>IF(AND(ISNUMBER(N208),ISNUMBER(N187)),IFERROR(N208/N187,""),"")</f>
        <v>-0.782170542635659</v>
      </c>
      <c r="O306" s="215">
        <f>IF(AND(ISNUMBER(O208),ISNUMBER(O187)),IFERROR(O208/O187,""),"")</f>
        <v>-0.0580083151851119</v>
      </c>
      <c r="P306" s="215">
        <f>IF(AND(ISNUMBER(P208),ISNUMBER(P187)),IFERROR(P208/P187,""),"")</f>
        <v>0.238020424194815</v>
      </c>
      <c r="Q306" s="215">
        <f>IF(AND(ISNUMBER(Q208),ISNUMBER(Q187)),IFERROR(Q208/Q187,""),"")</f>
        <v>0.263040238450075</v>
      </c>
      <c r="R306" s="215">
        <f>IF(AND(ISNUMBER(R208),ISNUMBER(R187)),IFERROR(R208/R187,""),"")</f>
        <v>0.190332326283988</v>
      </c>
      <c r="S306" s="215">
        <f>IF(AND(ISNUMBER(S208),ISNUMBER(S187)),IFERROR(S208/S187,""),"")</f>
        <v>0.180494905385735</v>
      </c>
      <c r="T306" s="215">
        <f>IF(AND(ISNUMBER(T208),ISNUMBER(T187)),IFERROR(T208/T187,""),"")</f>
        <v>0.217579521927348</v>
      </c>
      <c r="U306" s="215">
        <f>IF(AND(ISNUMBER(U208),ISNUMBER(U187)),IFERROR(U208/U187,""),"")</f>
        <v>0.21923937360179</v>
      </c>
      <c r="V306" s="215">
        <f>IF(AND(ISNUMBER(V208),ISNUMBER(V187)),IFERROR(V208/V187,""),"")</f>
        <v>0.258434547908232</v>
      </c>
      <c r="W306" s="215">
        <f>IF(AND(ISNUMBER(W208),ISNUMBER(W187)),IFERROR(W208/W187,""),"")</f>
        <v>0.619874913134121</v>
      </c>
      <c r="X306" s="215">
        <f>IF(AND(ISNUMBER(X208),ISNUMBER(X187)),IFERROR(X208/X187,""),"")</f>
        <v>0.383845604002859</v>
      </c>
      <c r="Y306" s="215">
        <f>IF(AND(ISNUMBER(Y208),ISNUMBER(Y187)),IFERROR(Y208/Y187,""),"")</f>
        <v>0.372019077901431</v>
      </c>
      <c r="Z306" s="215">
        <f>IF(AND(ISNUMBER(Z208),ISNUMBER(Z187)),IFERROR(Z208/Z187,""),"")</f>
        <v>0.274604267033723</v>
      </c>
      <c r="AA306" s="215">
        <f>IF(AND(ISNUMBER(AA208),ISNUMBER(AA187)),IFERROR(AA208/AA187,""),"")</f>
        <v>0.278992710404241</v>
      </c>
      <c r="AB306" s="215">
        <f>IF(AND(ISNUMBER(AB208),ISNUMBER(AB187)),IFERROR(AB208/AB187,""),"")</f>
        <v>0.273628552544613</v>
      </c>
      <c r="AC306" s="215">
        <f>IF(AND(ISNUMBER(AC208),ISNUMBER(AC187)),IFERROR(AC208/AC187,""),"")</f>
        <v>0.165512901195721</v>
      </c>
      <c r="AD306" s="215">
        <f>IF(AND(ISNUMBER(AD208),ISNUMBER(AD187)),IFERROR(AD208/AD187,""),"")</f>
        <v>0.246742536698004</v>
      </c>
      <c r="AE306" s="215">
        <f>IF(AND(ISNUMBER(AE208),ISNUMBER(AE187)),IFERROR(AE208/AE187,""),"")</f>
        <v>0.313337587747288</v>
      </c>
      <c r="AF306" s="215">
        <f>IF(AND(ISNUMBER(AF208),ISNUMBER(AF187)),IFERROR(AF208/AF187,""),"")</f>
        <v>0.286513362336855</v>
      </c>
      <c r="AG306" s="215">
        <f>IF(AND(ISNUMBER(AG208),ISNUMBER(AG187)),IFERROR(AG208/AG187,""),"")</f>
        <v>0.320181112548512</v>
      </c>
      <c r="AH306" s="215">
        <f>IF(AND(ISNUMBER(AH208),ISNUMBER(AH187)),IFERROR(AH208/AH187,""),"")</f>
        <v>0.333333333333333</v>
      </c>
      <c r="AI306" s="215">
        <f>IF(AND(ISNUMBER(AI208),ISNUMBER(AI187)),IFERROR(AI208/AI187,""),"")</f>
        <v>0.312879514221796</v>
      </c>
      <c r="AJ306" s="215">
        <f>IF(AND(ISNUMBER(AJ208),ISNUMBER(AJ187)),IFERROR(AJ208/AJ187,""),"")</f>
        <v>0.26098026734564</v>
      </c>
      <c r="AK306" s="215">
        <f>IF(AND(ISNUMBER(AK208),ISNUMBER(AK187)),IFERROR(AK208/AK187,""),"")</f>
        <v>0.325704225352113</v>
      </c>
      <c r="AL306" s="215">
        <f>IF(AND(ISNUMBER(AL208),ISNUMBER(AL187)),IFERROR(AL208/AL187,""),"")</f>
        <v>0.365304914150385</v>
      </c>
      <c r="AM306" s="215">
        <f>IF(AND(ISNUMBER(AM208),ISNUMBER(AM187)),IFERROR(AM208/AM187,""),"")</f>
        <v>0.311815561959654</v>
      </c>
      <c r="AN306" s="215">
        <f>IF(AND(ISNUMBER(AN208),ISNUMBER(AN187)),IFERROR(AN208/AN187,""),"")</f>
        <v>0.316912972085386</v>
      </c>
      <c r="AO306" s="215">
        <f>IF(AND(ISNUMBER(AO208),ISNUMBER(AO187)),IFERROR(AO208/AO187,""),"")</f>
        <v>0.357782754759239</v>
      </c>
      <c r="AP306" s="215">
        <f>IF(AND(ISNUMBER(AP208),ISNUMBER(AP187)),IFERROR(AP208/AP187,""),"")</f>
        <v>0.407617086978899</v>
      </c>
      <c r="AQ306" s="215">
        <f>IF(AND(ISNUMBER(AQ208),ISNUMBER(AQ187)),IFERROR(AQ208/AQ187,""),"")</f>
        <v>0.246478873239437</v>
      </c>
      <c r="AR306" s="215">
        <f>IF(AND(ISNUMBER(AR208),ISNUMBER(AR187)),IFERROR(AR208/AR187,""),"")</f>
        <v>0.24317086234601</v>
      </c>
      <c r="AS306" s="215">
        <f>IF(AND(ISNUMBER(AS208),ISNUMBER(AS187)),IFERROR(AS208/AS187,""),"")</f>
        <v>0.314297231926901</v>
      </c>
      <c r="AT306" s="215">
        <f>IF(AND(ISNUMBER(AT208),ISNUMBER(AT187)),IFERROR(AT208/AT187,""),"")</f>
        <v>0.374503968253968</v>
      </c>
      <c r="AU306" s="215">
        <f>IF(AND(ISNUMBER(AU208),ISNUMBER(AU187)),IFERROR(AU208/AU187,""),"")</f>
        <v>0.378917378917379</v>
      </c>
      <c r="AV306" s="215">
        <f>IF(AND(ISNUMBER(AV208),ISNUMBER(AV187)),IFERROR(AV208/AV187,""),"")</f>
        <v>0.381887877335889</v>
      </c>
      <c r="AW306" s="215">
        <f>IF(AND(ISNUMBER(AW208),ISNUMBER(AW187)),IFERROR(AW208/AW187,""),"")</f>
        <v>0.323275862068966</v>
      </c>
      <c r="AX306" s="215">
        <f>IF(AND(ISNUMBER(AX208),ISNUMBER(AX187)),IFERROR(AX208/AX187,""),"")</f>
        <v>0.364469085211522</v>
      </c>
      <c r="AY306" s="215">
        <f>IF(AND(ISNUMBER(AY208),ISNUMBER(AY187)),IFERROR(AY208/AY187,""),"")</f>
        <v>0.516952699874425</v>
      </c>
      <c r="AZ306" s="215">
        <f>IF(AND(ISNUMBER(AZ208),ISNUMBER(AZ187)),IFERROR(AZ208/AZ187,""),"")</f>
        <v>0.324757768125626</v>
      </c>
      <c r="BA306" s="215">
        <f>IF(AND(ISNUMBER(BA208),ISNUMBER(BA187)),IFERROR(BA208/BA187,""),"")</f>
        <v>0.212513107305138</v>
      </c>
      <c r="BB306" s="215">
        <f>IF(AND(ISNUMBER(BB208),ISNUMBER(BB187)),IFERROR(BB208/BB187,""),"")</f>
        <v>0.147429349676541</v>
      </c>
      <c r="BC306" s="215">
        <f>IF(AND(ISNUMBER(BC208),ISNUMBER(BC187)),IFERROR(BC208/BC187,""),"")</f>
        <v>0.2904928002862</v>
      </c>
      <c r="BD306" s="215">
        <f>IF(AND(ISNUMBER(BD208),ISNUMBER(BD187)),IFERROR(BD208/BD187,""),"")</f>
        <v>0.251582278481013</v>
      </c>
      <c r="BE306" s="215">
        <f>IF(AND(ISNUMBER(BE208),ISNUMBER(BE187)),IFERROR(BE208/BE187,""),"")</f>
        <v>0.164785553047404</v>
      </c>
      <c r="BF306" s="215">
        <f>IF(AND(ISNUMBER(BF208),ISNUMBER(BF187)),IFERROR(BF208/BF187,""),"")</f>
        <v>0.240596627756161</v>
      </c>
      <c r="BG306" s="215">
        <f>IF(AND(ISNUMBER(BG208),ISNUMBER(BG187)),IFERROR(BG208/BG187,""),"")</f>
        <v>0.183692893401015</v>
      </c>
      <c r="BH306" s="215">
        <f>IF(AND(ISNUMBER(BH208),ISNUMBER(BH187)),IFERROR(BH208/BH187,""),"")</f>
        <v>0.210130431303513</v>
      </c>
      <c r="BI306" s="215">
        <f>IF(AND(ISNUMBER(BI208),ISNUMBER(BI187)),IFERROR(BI208/BI187,""),"")</f>
        <v>0.283872815812088</v>
      </c>
      <c r="BJ306" s="215">
        <f>IF(AND(ISNUMBER(BJ208),ISNUMBER(BJ187)),IFERROR(BJ208/BJ187,""),"")</f>
        <v>0.28486897717667</v>
      </c>
      <c r="BK306" s="215">
        <f>IF(AND(ISNUMBER(BK208),ISNUMBER(BK187)),IFERROR(BK208/BK187,""),"")</f>
        <v>0.271608391608392</v>
      </c>
      <c r="BL306" s="215">
        <f>IF(AND(ISNUMBER(BL208),ISNUMBER(BL187)),IFERROR(BL208/BL187,""),"")</f>
        <v>0.244988864142539</v>
      </c>
      <c r="BM306" s="215">
        <f>IF(AND(ISNUMBER(BM208),ISNUMBER(BM187)),IFERROR(BM208/BM187,""),"")</f>
        <v>0.271114864864865</v>
      </c>
      <c r="BN306" s="215">
        <f>IF(AND(ISNUMBER(BN208),ISNUMBER(BN187)),IFERROR(BN208/BN187,""),"")</f>
        <v>0.300268096514745</v>
      </c>
      <c r="BO306" s="215">
        <f>IF(AND(ISNUMBER(BO208),ISNUMBER(BO187)),IFERROR(BO208/BO187,""),"")</f>
        <v>0.297859511606874</v>
      </c>
      <c r="BP306" s="215">
        <f>IF(AND(ISNUMBER(BP208),ISNUMBER(BP187)),IFERROR(BP208/BP187,""),"")</f>
        <v>0.314841707812954</v>
      </c>
      <c r="BQ306" s="215">
        <f>IF(AND(ISNUMBER(BQ208),ISNUMBER(BQ187)),IFERROR(BQ208/BQ187,""),"")</f>
        <v>0.320276497695853</v>
      </c>
      <c r="BR306" s="215">
        <f>IF(AND(ISNUMBER(BR208),ISNUMBER(BR187)),IFERROR(BR208/BR187,""),"")</f>
        <v>0.308484803885496</v>
      </c>
      <c r="BS306" s="215">
        <f>IF(AND(ISNUMBER(BS208),ISNUMBER(BS187)),IFERROR(BS208/BS187,""),"")</f>
        <v>0.358891579230562</v>
      </c>
      <c r="BT306" s="215">
        <f>IF(AND(ISNUMBER(BT208),ISNUMBER(BT187)),IFERROR(BT208/BT187,""),"")</f>
        <v>0.327623708537249</v>
      </c>
      <c r="BU306" s="256">
        <f>IF(AND(ISNUMBER(BU208),ISNUMBER(BU187)),IFERROR(BU208/BU187,""),"")</f>
        <v>0.306986746595856</v>
      </c>
      <c r="BV306" s="256">
        <f>IF(AND(ISNUMBER(BV208),ISNUMBER(BV187)),IFERROR(BV208/BV187,""),"")</f>
        <v>0.327934217248413</v>
      </c>
      <c r="BW306" s="256">
        <f>IF(AND(ISNUMBER(BW208),ISNUMBER(BW187)),IFERROR(BW208/BW187,""),"")</f>
        <v>0.330651296001104</v>
      </c>
      <c r="BX306" s="256">
        <f>IF(AND(ISNUMBER(BX208),ISNUMBER(BX187)),IFERROR(BX208/BX187,""),"")</f>
        <v>0.318280930421336</v>
      </c>
      <c r="BY306" s="256">
        <f>IF(AND(ISNUMBER(BY208),ISNUMBER(BY187)),IFERROR(BY208/BY187,""),"")</f>
        <v>0.325170373764604</v>
      </c>
      <c r="BZ306" s="256">
        <f>IF(AND(ISNUMBER(BZ208),ISNUMBER(BZ187)),IFERROR(BZ208/BZ187,""),"")</f>
        <v>0.32768291605187</v>
      </c>
      <c r="CA306" s="256">
        <f>IF(AND(ISNUMBER(CA208),ISNUMBER(CA187)),IFERROR(CA208/CA187,""),"")</f>
        <v>0.331037620456628</v>
      </c>
      <c r="CB306" s="256">
        <f>IF(AND(ISNUMBER(CB208),ISNUMBER(CB187)),IFERROR(CB208/CB187,""),"")</f>
        <v>0.333456806309776</v>
      </c>
      <c r="CC306" s="153" t="n"/>
      <c r="CE306" s="37">
        <f>IFERROR(AVERAGE(BX306,BY306,BZ306,CA306,CB306),"n/m")</f>
        <v>0.327125729400843</v>
      </c>
      <c r="CF306" s="37">
        <f>IFERROR(AVERAGE(AX306,BC306,BH306,BM306,BR306),"n/m")</f>
        <v>0.288938397110319</v>
      </c>
      <c r="CG306" s="37">
        <f>IFERROR(AVERAGE(Y306,AD306,AI306,AN306,AS306,AX306,BC306,BH306,BM306,BR306),"n/m")</f>
        <v>0.300754331838511</v>
      </c>
      <c r="CH306" s="37">
        <f>IFERROR(AVERAGE(C306,D306,E306,J306,O306,T306,Y306,AD306,AI306,AN306,AS306,AX306,BC306,BH306,BM306,BR306),"n/m")</f>
        <v>0.237284907040854</v>
      </c>
    </row>
    <row r="307" ht="15" customHeight="1" s="251">
      <c r="B307" s="25" t="inlineStr">
        <is>
          <t xml:space="preserve">  Operating-related expenses % of revenue</t>
        </is>
      </c>
      <c r="C307" s="215">
        <f>IF(AND(ISNUMBER(C188),ISNUMBER(C187)),IFERROR(C188/C187,""),"")</f>
        <v>0.331409727947238</v>
      </c>
      <c r="D307" s="215">
        <f>IF(AND(ISNUMBER(D188),ISNUMBER(D187)),IFERROR(D188/D187,""),"")</f>
        <v>0.352048558421851</v>
      </c>
      <c r="E307" s="215">
        <f>IF(AND(ISNUMBER(E188),ISNUMBER(E187)),IFERROR(E188/E187,""),"")</f>
        <v>0.328089887640449</v>
      </c>
      <c r="F307" s="215">
        <f>IF(AND(ISNUMBER(F188),ISNUMBER(F187)),IFERROR(F188/F187,""),"")</f>
        <v>0.316680779000847</v>
      </c>
      <c r="G307" s="215">
        <f>IF(AND(ISNUMBER(G188),ISNUMBER(G187)),IFERROR(G188/G187,""),"")</f>
        <v>0.3176</v>
      </c>
      <c r="H307" s="215">
        <f>IF(AND(ISNUMBER(H188),ISNUMBER(H187)),IFERROR(H188/H187,""),"")</f>
        <v>0.329145728643216</v>
      </c>
      <c r="I307" s="215">
        <f>IF(AND(ISNUMBER(I188),ISNUMBER(I187)),IFERROR(I188/I187,""),"")</f>
        <v>0.336</v>
      </c>
      <c r="J307" s="215">
        <f>IF(AND(ISNUMBER(J188),ISNUMBER(J187)),IFERROR(J188/J187,""),"")</f>
        <v>0.324923076923077</v>
      </c>
      <c r="K307" s="215">
        <f>IF(AND(ISNUMBER(K188),ISNUMBER(K187)),IFERROR(K188/K187,""),"")</f>
        <v>0.33252427184466</v>
      </c>
      <c r="L307" s="215">
        <f>IF(AND(ISNUMBER(L188),ISNUMBER(L187)),IFERROR(L188/L187,""),"")</f>
        <v>0.312035661218425</v>
      </c>
      <c r="M307" s="215">
        <f>IF(AND(ISNUMBER(M188),ISNUMBER(M187)),IFERROR(M188/M187,""),"")</f>
        <v>0.315914489311164</v>
      </c>
      <c r="N307" s="215">
        <f>IF(AND(ISNUMBER(N188),ISNUMBER(N187)),IFERROR(N188/N187,""),"")</f>
        <v>0.327131782945736</v>
      </c>
      <c r="O307" s="215">
        <f>IF(AND(ISNUMBER(O188),ISNUMBER(O187)),IFERROR(O188/O187,""),"")</f>
        <v>0.322114432785587</v>
      </c>
      <c r="P307" s="215">
        <f>IF(AND(ISNUMBER(P188),ISNUMBER(P187)),IFERROR(P188/P187,""),"")</f>
        <v>0.318931657501964</v>
      </c>
      <c r="Q307" s="215">
        <f>IF(AND(ISNUMBER(Q188),ISNUMBER(Q187)),IFERROR(Q188/Q187,""),"")</f>
        <v>0.302533532041729</v>
      </c>
      <c r="R307" s="215">
        <f>IF(AND(ISNUMBER(R188),ISNUMBER(R187)),IFERROR(R188/R187,""),"")</f>
        <v>0.307401812688822</v>
      </c>
      <c r="S307" s="215">
        <f>IF(AND(ISNUMBER(S188),ISNUMBER(S187)),IFERROR(S188/S187,""),"")</f>
        <v>0.330422125181951</v>
      </c>
      <c r="T307" s="215">
        <f>IF(AND(ISNUMBER(T188),ISNUMBER(T187)),IFERROR(T188/T187,""),"")</f>
        <v>0.314699792960663</v>
      </c>
      <c r="U307" s="215">
        <f>IF(AND(ISNUMBER(U188),ISNUMBER(U187)),IFERROR(U188/U187,""),"")</f>
        <v>0.340790454884415</v>
      </c>
      <c r="V307" s="215">
        <f>IF(AND(ISNUMBER(V188),ISNUMBER(V187)),IFERROR(V188/V187,""),"")</f>
        <v>0.316464237516869</v>
      </c>
      <c r="W307" s="215">
        <f>IF(AND(ISNUMBER(W188),ISNUMBER(W187)),IFERROR(W188/W187,""),"")</f>
        <v>0.304378040305768</v>
      </c>
      <c r="X307" s="215">
        <f>IF(AND(ISNUMBER(X188),ISNUMBER(X187)),IFERROR(X188/X187,""),"")</f>
        <v>0.290207290922087</v>
      </c>
      <c r="Y307" s="215">
        <f>IF(AND(ISNUMBER(Y188),ISNUMBER(Y187)),IFERROR(Y188/Y187,""),"")</f>
        <v>0.312488959547783</v>
      </c>
      <c r="Z307" s="215">
        <f>IF(AND(ISNUMBER(Z188),ISNUMBER(Z187)),IFERROR(Z188/Z187,""),"")</f>
        <v>0.282863041982106</v>
      </c>
      <c r="AA307" s="215">
        <f>IF(AND(ISNUMBER(AA188),ISNUMBER(AA187)),IFERROR(AA188/AA187,""),"")</f>
        <v>0.297548045062956</v>
      </c>
      <c r="AB307" s="215">
        <f>IF(AND(ISNUMBER(AB188),ISNUMBER(AB187)),IFERROR(AB188/AB187,""),"")</f>
        <v>0.278255122273629</v>
      </c>
      <c r="AC307" s="215">
        <f>IF(AND(ISNUMBER(AC188),ISNUMBER(AC187)),IFERROR(AC188/AC187,""),"")</f>
        <v>0.271239773442417</v>
      </c>
      <c r="AD307" s="215">
        <f>IF(AND(ISNUMBER(AD188),ISNUMBER(AD187)),IFERROR(AD188/AD187,""),"")</f>
        <v>0.282533399307274</v>
      </c>
      <c r="AE307" s="215">
        <f>IF(AND(ISNUMBER(AE188),ISNUMBER(AE187)),IFERROR(AE188/AE187,""),"")</f>
        <v>0.280153158902361</v>
      </c>
      <c r="AF307" s="215">
        <f>IF(AND(ISNUMBER(AF188),ISNUMBER(AF187)),IFERROR(AF188/AF187,""),"")</f>
        <v>0.277190801740211</v>
      </c>
      <c r="AG307" s="215">
        <f>IF(AND(ISNUMBER(AG188),ISNUMBER(AG187)),IFERROR(AG188/AG187,""),"")</f>
        <v>0.26261319534282</v>
      </c>
      <c r="AH307" s="215">
        <f>IF(AND(ISNUMBER(AH188),ISNUMBER(AH187)),IFERROR(AH188/AH187,""),"")</f>
        <v>0.267578125</v>
      </c>
      <c r="AI307" s="215">
        <f>IF(AND(ISNUMBER(AI188),ISNUMBER(AI187)),IFERROR(AI188/AI187,""),"")</f>
        <v>0.271812080536913</v>
      </c>
      <c r="AJ307" s="215">
        <f>IF(AND(ISNUMBER(AJ188),ISNUMBER(AJ187)),IFERROR(AJ188/AJ187,""),"")</f>
        <v>0.279439847231063</v>
      </c>
      <c r="AK307" s="215">
        <f>IF(AND(ISNUMBER(AK188),ISNUMBER(AK187)),IFERROR(AK188/AK187,""),"")</f>
        <v>0.265258215962441</v>
      </c>
      <c r="AL307" s="215">
        <f>IF(AND(ISNUMBER(AL188),ISNUMBER(AL187)),IFERROR(AL188/AL187,""),"")</f>
        <v>0.259325044404973</v>
      </c>
      <c r="AM307" s="215">
        <f>IF(AND(ISNUMBER(AM188),ISNUMBER(AM187)),IFERROR(AM188/AM187,""),"")</f>
        <v>0.267435158501441</v>
      </c>
      <c r="AN307" s="215">
        <f>IF(AND(ISNUMBER(AN188),ISNUMBER(AN187)),IFERROR(AN188/AN187,""),"")</f>
        <v>0.268846096432303</v>
      </c>
      <c r="AO307" s="215">
        <f>IF(AND(ISNUMBER(AO188),ISNUMBER(AO187)),IFERROR(AO188/AO187,""),"")</f>
        <v>0.291713325867861</v>
      </c>
      <c r="AP307" s="215">
        <f>IF(AND(ISNUMBER(AP188),ISNUMBER(AP187)),IFERROR(AP188/AP187,""),"")</f>
        <v>0.253731343283582</v>
      </c>
      <c r="AQ307" s="215">
        <f>IF(AND(ISNUMBER(AQ188),ISNUMBER(AQ187)),IFERROR(AQ188/AQ187,""),"")</f>
        <v>0.281148429035753</v>
      </c>
      <c r="AR307" s="215">
        <f>IF(AND(ISNUMBER(AR188),ISNUMBER(AR187)),IFERROR(AR188/AR187,""),"")</f>
        <v>0.299410819496519</v>
      </c>
      <c r="AS307" s="215">
        <f>IF(AND(ISNUMBER(AS188),ISNUMBER(AS187)),IFERROR(AS188/AS187,""),"")</f>
        <v>0.281107229239452</v>
      </c>
      <c r="AT307" s="215">
        <f>IF(AND(ISNUMBER(AT188),ISNUMBER(AT187)),IFERROR(AT188/AT187,""),"")</f>
        <v>0.26140873015873</v>
      </c>
      <c r="AU307" s="215">
        <f>IF(AND(ISNUMBER(AU188),ISNUMBER(AU187)),IFERROR(AU188/AU187,""),"")</f>
        <v>0.253086419753086</v>
      </c>
      <c r="AV307" s="215">
        <f>IF(AND(ISNUMBER(AV188),ISNUMBER(AV187)),IFERROR(AV188/AV187,""),"")</f>
        <v>0.26018207954001</v>
      </c>
      <c r="AW307" s="215">
        <f>IF(AND(ISNUMBER(AW188),ISNUMBER(AW187)),IFERROR(AW188/AW187,""),"")</f>
        <v>0.283524904214559</v>
      </c>
      <c r="AX307" s="215">
        <f>IF(AND(ISNUMBER(AX188),ISNUMBER(AX187)),IFERROR(AX188/AX187,""),"")</f>
        <v>0.264553453055321</v>
      </c>
      <c r="AY307" s="215">
        <f>IF(AND(ISNUMBER(AY188),ISNUMBER(AY187)),IFERROR(AY188/AY187,""),"")</f>
        <v>0.313520301381331</v>
      </c>
      <c r="AZ307" s="215">
        <f>IF(AND(ISNUMBER(AZ188),ISNUMBER(AZ187)),IFERROR(AZ188/AZ187,""),"")</f>
        <v>0.337788172402272</v>
      </c>
      <c r="BA307" s="215">
        <f>IF(AND(ISNUMBER(BA188),ISNUMBER(BA187)),IFERROR(BA188/BA187,""),"")</f>
        <v>0.34743096819294</v>
      </c>
      <c r="BB307" s="215">
        <f>IF(AND(ISNUMBER(BB188),ISNUMBER(BB187)),IFERROR(BB188/BB187,""),"")</f>
        <v>0.344569288389513</v>
      </c>
      <c r="BC307" s="215">
        <f>IF(AND(ISNUMBER(BC188),ISNUMBER(BC187)),IFERROR(BC188/BC187,""),"")</f>
        <v>0.336821393435292</v>
      </c>
      <c r="BD307" s="215">
        <f>IF(AND(ISNUMBER(BD188),ISNUMBER(BD187)),IFERROR(BD188/BD187,""),"")</f>
        <v>0.344303797468354</v>
      </c>
      <c r="BE307" s="215">
        <f>IF(AND(ISNUMBER(BE188),ISNUMBER(BE187)),IFERROR(BE188/BE187,""),"")</f>
        <v>0.330861012576588</v>
      </c>
      <c r="BF307" s="215">
        <f>IF(AND(ISNUMBER(BF188),ISNUMBER(BF187)),IFERROR(BF188/BF187,""),"")</f>
        <v>0.322632944228275</v>
      </c>
      <c r="BG307" s="215">
        <f>IF(AND(ISNUMBER(BG188),ISNUMBER(BG187)),IFERROR(BG188/BG187,""),"")</f>
        <v>0.32741116751269</v>
      </c>
      <c r="BH307" s="215">
        <f>IF(AND(ISNUMBER(BH188),ISNUMBER(BH187)),IFERROR(BH188/BH187,""),"")</f>
        <v>0.331359526286309</v>
      </c>
      <c r="BI307" s="215">
        <f>IF(AND(ISNUMBER(BI188),ISNUMBER(BI187)),IFERROR(BI188/BI187,""),"")</f>
        <v>0.320824978516184</v>
      </c>
      <c r="BJ307" s="215">
        <f>IF(AND(ISNUMBER(BJ188),ISNUMBER(BJ187)),IFERROR(BJ188/BJ187,""),"")</f>
        <v>0.305719921104537</v>
      </c>
      <c r="BK307" s="215">
        <f>IF(AND(ISNUMBER(BK188),ISNUMBER(BK187)),IFERROR(BK188/BK187,""),"")</f>
        <v>0.29986013986014</v>
      </c>
      <c r="BL307" s="215">
        <f>IF(AND(ISNUMBER(BL188),ISNUMBER(BL187)),IFERROR(BL188/BL187,""),"")</f>
        <v>0.301781737193764</v>
      </c>
      <c r="BM307" s="215">
        <f>IF(AND(ISNUMBER(BM188),ISNUMBER(BM187)),IFERROR(BM188/BM187,""),"")</f>
        <v>0.306939752252252</v>
      </c>
      <c r="BN307" s="215">
        <f>IF(AND(ISNUMBER(BN188),ISNUMBER(BN187)),IFERROR(BN188/BN187,""),"")</f>
        <v>0.329460828120346</v>
      </c>
      <c r="BO307" s="215">
        <f>IF(AND(ISNUMBER(BO188),ISNUMBER(BO187)),IFERROR(BO188/BO187,""),"")</f>
        <v>0.272836900813989</v>
      </c>
      <c r="BP307" s="215">
        <f>IF(AND(ISNUMBER(BP188),ISNUMBER(BP187)),IFERROR(BP188/BP187,""),"")</f>
        <v>0.286378158582631</v>
      </c>
      <c r="BQ307" s="215">
        <f>IF(AND(ISNUMBER(BQ188),ISNUMBER(BQ187)),IFERROR(BQ188/BQ187,""),"")</f>
        <v>0.303283410138249</v>
      </c>
      <c r="BR307" s="215">
        <f>IF(AND(ISNUMBER(BR188),ISNUMBER(BR187)),IFERROR(BR188/BR187,""),"")</f>
        <v>0.298035175509603</v>
      </c>
      <c r="BS307" s="215">
        <f>IF(AND(ISNUMBER(BS188),ISNUMBER(BS187)),IFERROR(BS188/BS187,""),"")</f>
        <v>0.295668549905838</v>
      </c>
      <c r="BT307" s="215">
        <f>IF(AND(ISNUMBER(BT188),ISNUMBER(BT187)),IFERROR(BT188/BT187,""),"")</f>
        <v>0.278955954323002</v>
      </c>
      <c r="BU307" s="256">
        <f>IF(AND(ISNUMBER(BU188),ISNUMBER(BU187)),IFERROR(BU188/BU187,""),"")</f>
        <v>0.272415930826267</v>
      </c>
      <c r="BV307" s="256">
        <f>IF(AND(ISNUMBER(BV188),ISNUMBER(BV187)),IFERROR(BV188/BV187,""),"")</f>
        <v>0.289321182381884</v>
      </c>
      <c r="BW307" s="256">
        <f>IF(AND(ISNUMBER(BW188),ISNUMBER(BW187)),IFERROR(BW188/BW187,""),"")</f>
        <v>0.284184497857881</v>
      </c>
      <c r="BX307" s="256">
        <f>IF(AND(ISNUMBER(BX188),ISNUMBER(BX187)),IFERROR(BX188/BX187,""),"")</f>
        <v>0.285</v>
      </c>
      <c r="BY307" s="256">
        <f>IF(AND(ISNUMBER(BY188),ISNUMBER(BY187)),IFERROR(BY188/BY187,""),"")</f>
        <v>0.285</v>
      </c>
      <c r="BZ307" s="256">
        <f>IF(AND(ISNUMBER(BZ188),ISNUMBER(BZ187)),IFERROR(BZ188/BZ187,""),"")</f>
        <v>0.285</v>
      </c>
      <c r="CA307" s="256">
        <f>IF(AND(ISNUMBER(CA188),ISNUMBER(CA187)),IFERROR(CA188/CA187,""),"")</f>
        <v>0.285</v>
      </c>
      <c r="CB307" s="256">
        <f>IF(AND(ISNUMBER(CB188),ISNUMBER(CB187)),IFERROR(CB188/CB187,""),"")</f>
        <v>0.285</v>
      </c>
      <c r="CC307" s="153" t="n"/>
      <c r="CE307" s="37">
        <f>IFERROR(AVERAGE(BX307,BY307,BZ307,CA307,CB307),"n/m")</f>
        <v>0.285</v>
      </c>
      <c r="CF307" s="37">
        <f>IFERROR(AVERAGE(AX307,BC307,BH307,BM307,BR307),"n/m")</f>
        <v>0.307541860107755</v>
      </c>
      <c r="CG307" s="37">
        <f>IFERROR(AVERAGE(Y307,AD307,AI307,AN307,AS307,AX307,BC307,BH307,BM307,BR307),"n/m")</f>
        <v>0.29544970656025</v>
      </c>
      <c r="CH307" s="37">
        <f>IFERROR(AVERAGE(C307,D307,E307,J307,O307,T307,Y307,AD307,AI307,AN307,AS307,AX307,BC307,BH307,BM307,BR307),"n/m")</f>
        <v>0.307986408892585</v>
      </c>
    </row>
    <row r="308" ht="15" customHeight="1" s="251">
      <c r="B308" s="25" t="inlineStr">
        <is>
          <t xml:space="preserve">  Selling &amp; general expenses % of revenue</t>
        </is>
      </c>
      <c r="C308" s="215">
        <f>IF(AND(ISNUMBER(C189),ISNUMBER(C187)),IFERROR(C189/C187,""),"")</f>
        <v>0.36218741412476</v>
      </c>
      <c r="D308" s="215">
        <f>IF(AND(ISNUMBER(D189),ISNUMBER(D187)),IFERROR(D189/D187,""),"")</f>
        <v>0.350784016186141</v>
      </c>
      <c r="E308" s="215">
        <f>IF(AND(ISNUMBER(E189),ISNUMBER(E187)),IFERROR(E189/E187,""),"")</f>
        <v>0.384044943820225</v>
      </c>
      <c r="F308" s="215">
        <f>IF(AND(ISNUMBER(F189),ISNUMBER(F187)),IFERROR(F189/F187,""),"")</f>
        <v>0.418289585097375</v>
      </c>
      <c r="G308" s="215">
        <f>IF(AND(ISNUMBER(G189),ISNUMBER(G187)),IFERROR(G189/G187,""),"")</f>
        <v>0.3056</v>
      </c>
      <c r="H308" s="215">
        <f>IF(AND(ISNUMBER(H189),ISNUMBER(H187)),IFERROR(H189/H187,""),"")</f>
        <v>0.322445561139029</v>
      </c>
      <c r="I308" s="215">
        <f>IF(AND(ISNUMBER(I189),ISNUMBER(I187)),IFERROR(I189/I187,""),"")</f>
        <v>0.3808</v>
      </c>
      <c r="J308" s="215">
        <f>IF(AND(ISNUMBER(J189),ISNUMBER(J187)),IFERROR(J189/J187,""),"")</f>
        <v>0.356307692307692</v>
      </c>
      <c r="K308" s="215">
        <f>IF(AND(ISNUMBER(K189),ISNUMBER(K187)),IFERROR(K189/K187,""),"")</f>
        <v>0.292880258899676</v>
      </c>
      <c r="L308" s="215">
        <f>IF(AND(ISNUMBER(L189),ISNUMBER(L187)),IFERROR(L189/L187,""),"")</f>
        <v>0.294947994056464</v>
      </c>
      <c r="M308" s="215">
        <f>IF(AND(ISNUMBER(M189),ISNUMBER(M187)),IFERROR(M189/M187,""),"")</f>
        <v>0.368171021377672</v>
      </c>
      <c r="N308" s="215">
        <f>IF(AND(ISNUMBER(N189),ISNUMBER(N187)),IFERROR(N189/N187,""),"")</f>
        <v>1.53643410852713</v>
      </c>
      <c r="O308" s="215">
        <f>IF(AND(ISNUMBER(O189),ISNUMBER(O187)),IFERROR(O189/O187,""),"")</f>
        <v>0.627202534151653</v>
      </c>
      <c r="P308" s="215">
        <f>IF(AND(ISNUMBER(P189),ISNUMBER(P187)),IFERROR(P189/P187,""),"")</f>
        <v>0.261586802827965</v>
      </c>
      <c r="Q308" s="215">
        <f>IF(AND(ISNUMBER(Q189),ISNUMBER(Q187)),IFERROR(Q189/Q187,""),"")</f>
        <v>0.247391952309985</v>
      </c>
      <c r="R308" s="215">
        <f>IF(AND(ISNUMBER(R189),ISNUMBER(R187)),IFERROR(R189/R187,""),"")</f>
        <v>0.354984894259819</v>
      </c>
      <c r="S308" s="215">
        <f>IF(AND(ISNUMBER(S189),ISNUMBER(S187)),IFERROR(S189/S187,""),"")</f>
        <v>0.323144104803493</v>
      </c>
      <c r="T308" s="215">
        <f>IF(AND(ISNUMBER(T189),ISNUMBER(T187)),IFERROR(T189/T187,""),"")</f>
        <v>0.297007340485601</v>
      </c>
      <c r="U308" s="215">
        <f>IF(AND(ISNUMBER(U189),ISNUMBER(U187)),IFERROR(U189/U187,""),"")</f>
        <v>0.246085011185682</v>
      </c>
      <c r="V308" s="215">
        <f>IF(AND(ISNUMBER(V189),ISNUMBER(V187)),IFERROR(V189/V187,""),"")</f>
        <v>0.213900134952767</v>
      </c>
      <c r="W308" s="215">
        <f>IF(AND(ISNUMBER(W189),ISNUMBER(W187)),IFERROR(W189/W187,""),"")</f>
        <v>0.229325920778318</v>
      </c>
      <c r="X308" s="215">
        <f>IF(AND(ISNUMBER(X189),ISNUMBER(X187)),IFERROR(X189/X187,""),"")</f>
        <v>0.334524660471766</v>
      </c>
      <c r="Y308" s="215">
        <f>IF(AND(ISNUMBER(Y189),ISNUMBER(Y187)),IFERROR(Y189/Y187,""),"")</f>
        <v>0.254901960784314</v>
      </c>
      <c r="Z308" s="215">
        <f>IF(AND(ISNUMBER(Z189),ISNUMBER(Z187)),IFERROR(Z189/Z187,""),"")</f>
        <v>0.241569167240193</v>
      </c>
      <c r="AA308" s="215">
        <f>IF(AND(ISNUMBER(AA189),ISNUMBER(AA187)),IFERROR(AA189/AA187,""),"")</f>
        <v>0.223989396951624</v>
      </c>
      <c r="AB308" s="215">
        <f>IF(AND(ISNUMBER(AB189),ISNUMBER(AB187)),IFERROR(AB189/AB187,""),"")</f>
        <v>0.256444150693985</v>
      </c>
      <c r="AC308" s="215">
        <f>IF(AND(ISNUMBER(AC189),ISNUMBER(AC187)),IFERROR(AC189/AC187,""),"")</f>
        <v>0.303964757709251</v>
      </c>
      <c r="AD308" s="215">
        <f>IF(AND(ISNUMBER(AD189),ISNUMBER(AD187)),IFERROR(AD189/AD187,""),"")</f>
        <v>0.257298367144978</v>
      </c>
      <c r="AE308" s="215">
        <f>IF(AND(ISNUMBER(AE189),ISNUMBER(AE187)),IFERROR(AE189/AE187,""),"")</f>
        <v>0.23739629865986</v>
      </c>
      <c r="AF308" s="215">
        <f>IF(AND(ISNUMBER(AF189),ISNUMBER(AF187)),IFERROR(AF189/AF187,""),"")</f>
        <v>0.272840273461778</v>
      </c>
      <c r="AG308" s="215">
        <f>IF(AND(ISNUMBER(AG189),ISNUMBER(AG187)),IFERROR(AG189/AG187,""),"")</f>
        <v>0.247736093143596</v>
      </c>
      <c r="AH308" s="215">
        <f>IF(AND(ISNUMBER(AH189),ISNUMBER(AH187)),IFERROR(AH189/AH187,""),"")</f>
        <v>0.238932291666667</v>
      </c>
      <c r="AI308" s="215">
        <f>IF(AND(ISNUMBER(AI189),ISNUMBER(AI187)),IFERROR(AI189/AI187,""),"")</f>
        <v>0.249440715883669</v>
      </c>
      <c r="AJ308" s="215">
        <f>IF(AND(ISNUMBER(AJ189),ISNUMBER(AJ187)),IFERROR(AJ189/AJ187,""),"")</f>
        <v>0.238701464035646</v>
      </c>
      <c r="AK308" s="215">
        <f>IF(AND(ISNUMBER(AK189),ISNUMBER(AK187)),IFERROR(AK189/AK187,""),"")</f>
        <v>0.227112676056338</v>
      </c>
      <c r="AL308" s="215">
        <f>IF(AND(ISNUMBER(AL189),ISNUMBER(AL187)),IFERROR(AL189/AL187,""),"")</f>
        <v>0.213143872113677</v>
      </c>
      <c r="AM308" s="215">
        <f>IF(AND(ISNUMBER(AM189),ISNUMBER(AM187)),IFERROR(AM189/AM187,""),"")</f>
        <v>0.231700288184438</v>
      </c>
      <c r="AN308" s="215">
        <f>IF(AND(ISNUMBER(AN189),ISNUMBER(AN187)),IFERROR(AN189/AN187,""),"")</f>
        <v>0.22645170921033</v>
      </c>
      <c r="AO308" s="215">
        <f>IF(AND(ISNUMBER(AO189),ISNUMBER(AO187)),IFERROR(AO189/AO187,""),"")</f>
        <v>0.174132138857783</v>
      </c>
      <c r="AP308" s="215">
        <f>IF(AND(ISNUMBER(AP189),ISNUMBER(AP187)),IFERROR(AP189/AP187,""),"")</f>
        <v>0.151827071538857</v>
      </c>
      <c r="AQ308" s="215">
        <f>IF(AND(ISNUMBER(AQ189),ISNUMBER(AQ187)),IFERROR(AQ189/AQ187,""),"")</f>
        <v>0.183640303358613</v>
      </c>
      <c r="AR308" s="215">
        <f>IF(AND(ISNUMBER(AR189),ISNUMBER(AR187)),IFERROR(AR189/AR187,""),"")</f>
        <v>0.320835565077665</v>
      </c>
      <c r="AS308" s="215">
        <f>IF(AND(ISNUMBER(AS189),ISNUMBER(AS187)),IFERROR(AS189/AS187,""),"")</f>
        <v>0.207336737436173</v>
      </c>
      <c r="AT308" s="215">
        <f>IF(AND(ISNUMBER(AT189),ISNUMBER(AT187)),IFERROR(AT189/AT187,""),"")</f>
        <v>0.178571428571429</v>
      </c>
      <c r="AU308" s="215">
        <f>IF(AND(ISNUMBER(AU189),ISNUMBER(AU187)),IFERROR(AU189/AU187,""),"")</f>
        <v>0.177587844254511</v>
      </c>
      <c r="AV308" s="215">
        <f>IF(AND(ISNUMBER(AV189),ISNUMBER(AV187)),IFERROR(AV189/AV187,""),"")</f>
        <v>0.20268327743172</v>
      </c>
      <c r="AW308" s="215">
        <f>IF(AND(ISNUMBER(AW189),ISNUMBER(AW187)),IFERROR(AW189/AW187,""),"")</f>
        <v>0.26676245210728</v>
      </c>
      <c r="AX308" s="215">
        <f>IF(AND(ISNUMBER(AX189),ISNUMBER(AX187)),IFERROR(AX189/AX187,""),"")</f>
        <v>0.206580691816319</v>
      </c>
      <c r="AY308" s="215">
        <f>IF(AND(ISNUMBER(AY189),ISNUMBER(AY187)),IFERROR(AY189/AY187,""),"")</f>
        <v>0.401004604437003</v>
      </c>
      <c r="AZ308" s="215">
        <f>IF(AND(ISNUMBER(AZ189),ISNUMBER(AZ187)),IFERROR(AZ189/AZ187,""),"")</f>
        <v>0.255262278650184</v>
      </c>
      <c r="BA308" s="215">
        <f>IF(AND(ISNUMBER(BA189),ISNUMBER(BA187)),IFERROR(BA189/BA187,""),"")</f>
        <v>0.251660258650821</v>
      </c>
      <c r="BB308" s="215">
        <f>IF(AND(ISNUMBER(BB189),ISNUMBER(BB187)),IFERROR(BB189/BB187,""),"")</f>
        <v>0.320394960844399</v>
      </c>
      <c r="BC308" s="215">
        <f>IF(AND(ISNUMBER(BC189),ISNUMBER(BC187)),IFERROR(BC189/BC187,""),"")</f>
        <v>0.302566854485288</v>
      </c>
      <c r="BD308" s="215">
        <f>IF(AND(ISNUMBER(BD189),ISNUMBER(BD187)),IFERROR(BD189/BD187,""),"")</f>
        <v>0.223101265822785</v>
      </c>
      <c r="BE308" s="215">
        <f>IF(AND(ISNUMBER(BE189),ISNUMBER(BE187)),IFERROR(BE189/BE187,""),"")</f>
        <v>0.248629474363109</v>
      </c>
      <c r="BF308" s="215">
        <f>IF(AND(ISNUMBER(BF189),ISNUMBER(BF187)),IFERROR(BF189/BF187,""),"")</f>
        <v>0.240272373540856</v>
      </c>
      <c r="BG308" s="215">
        <f>IF(AND(ISNUMBER(BG189),ISNUMBER(BG187)),IFERROR(BG189/BG187,""),"")</f>
        <v>0.298857868020305</v>
      </c>
      <c r="BH308" s="215">
        <f>IF(AND(ISNUMBER(BH189),ISNUMBER(BH187)),IFERROR(BH189/BH187,""),"")</f>
        <v>0.252780667360166</v>
      </c>
      <c r="BI308" s="215">
        <f>IF(AND(ISNUMBER(BI189),ISNUMBER(BI187)),IFERROR(BI189/BI187,""),"")</f>
        <v>0.201947865940991</v>
      </c>
      <c r="BJ308" s="215">
        <f>IF(AND(ISNUMBER(BJ189),ISNUMBER(BJ187)),IFERROR(BJ189/BJ187,""),"")</f>
        <v>0.206818822203438</v>
      </c>
      <c r="BK308" s="215">
        <f>IF(AND(ISNUMBER(BK189),ISNUMBER(BK187)),IFERROR(BK189/BK187,""),"")</f>
        <v>0.226013986013986</v>
      </c>
      <c r="BL308" s="215">
        <f>IF(AND(ISNUMBER(BL189),ISNUMBER(BL187)),IFERROR(BL189/BL187,""),"")</f>
        <v>0.264198218262806</v>
      </c>
      <c r="BM308" s="215">
        <f>IF(AND(ISNUMBER(BM189),ISNUMBER(BM187)),IFERROR(BM189/BM187,""),"")</f>
        <v>0.224943693693694</v>
      </c>
      <c r="BN308" s="215">
        <f>IF(AND(ISNUMBER(BN189),ISNUMBER(BN187)),IFERROR(BN189/BN187,""),"")</f>
        <v>0.16770926422401</v>
      </c>
      <c r="BO308" s="215">
        <f>IF(AND(ISNUMBER(BO189),ISNUMBER(BO187)),IFERROR(BO189/BO187,""),"")</f>
        <v>0.229122701236057</v>
      </c>
      <c r="BP308" s="215">
        <f>IF(AND(ISNUMBER(BP189),ISNUMBER(BP187)),IFERROR(BP189/BP187,""),"")</f>
        <v>0.198663955852454</v>
      </c>
      <c r="BQ308" s="215">
        <f>IF(AND(ISNUMBER(BQ189),ISNUMBER(BQ187)),IFERROR(BQ189/BQ187,""),"")</f>
        <v>0.23963133640553</v>
      </c>
      <c r="BR308" s="215">
        <f>IF(AND(ISNUMBER(BR189),ISNUMBER(BR187)),IFERROR(BR189/BR187,""),"")</f>
        <v>0.208845389653396</v>
      </c>
      <c r="BS308" s="215">
        <f>IF(AND(ISNUMBER(BS189),ISNUMBER(BS187)),IFERROR(BS189/BS187,""),"")</f>
        <v>0.171912832929782</v>
      </c>
      <c r="BT308" s="215">
        <f>IF(AND(ISNUMBER(BT189),ISNUMBER(BT187)),IFERROR(BT189/BT187,""),"")</f>
        <v>0.184339314845024</v>
      </c>
      <c r="BU308" s="256">
        <f>IF(AND(ISNUMBER(BU189),ISNUMBER(BU187)),IFERROR(BU189/BU187,""),"")</f>
        <v>0.206311978455934</v>
      </c>
      <c r="BV308" s="256">
        <f>IF(AND(ISNUMBER(BV189),ISNUMBER(BV187)),IFERROR(BV189/BV187,""),"")</f>
        <v>0.231406843798526</v>
      </c>
      <c r="BW308" s="256">
        <f>IF(AND(ISNUMBER(BW189),ISNUMBER(BW187)),IFERROR(BW189/BW187,""),"")</f>
        <v>0.198126494050365</v>
      </c>
      <c r="BX308" s="256">
        <f>IF(AND(ISNUMBER(BX189),ISNUMBER(BX187)),IFERROR(BX189/BX187,""),"")</f>
        <v>0.179596967116051</v>
      </c>
      <c r="BY308" s="256">
        <f>IF(AND(ISNUMBER(BY189),ISNUMBER(BY187)),IFERROR(BY189/BY187,""),"")</f>
        <v>0.174869621012432</v>
      </c>
      <c r="BZ308" s="256">
        <f>IF(AND(ISNUMBER(BZ189),ISNUMBER(BZ187)),IFERROR(BZ189/BZ187,""),"")</f>
        <v>0.172883539026637</v>
      </c>
      <c r="CA308" s="256">
        <f>IF(AND(ISNUMBER(CA189),ISNUMBER(CA187)),IFERROR(CA189/CA187,""),"")</f>
        <v>0.170488429904979</v>
      </c>
      <c r="CB308" s="256">
        <f>IF(AND(ISNUMBER(CB189),ISNUMBER(CB187)),IFERROR(CB189/CB187,""),"")</f>
        <v>0.169675416180115</v>
      </c>
      <c r="CC308" s="153" t="n"/>
      <c r="CE308" s="37">
        <f>IFERROR(AVERAGE(BX308,BY308,BZ308,CA308,CB308),"n/m")</f>
        <v>0.173502794648043</v>
      </c>
      <c r="CF308" s="37">
        <f>IFERROR(AVERAGE(AX308,BC308,BH308,BM308,BR308),"n/m")</f>
        <v>0.239143459401773</v>
      </c>
      <c r="CG308" s="37">
        <f>IFERROR(AVERAGE(Y308,AD308,AI308,AN308,AS308,AX308,BC308,BH308,BM308,BR308),"n/m")</f>
        <v>0.239114678746833</v>
      </c>
      <c r="CH308" s="37">
        <f>IFERROR(AVERAGE(C308,D308,E308,J308,O308,T308,Y308,AD308,AI308,AN308,AS308,AX308,BC308,BH308,BM308,BR308),"n/m")</f>
        <v>0.298042545534025</v>
      </c>
    </row>
    <row r="309" ht="15" customHeight="1" s="251">
      <c r="CK309" s="11" t="n"/>
      <c r="CL309" s="12" t="n"/>
      <c r="CM309" s="12" t="n"/>
      <c r="CN309" s="12" t="n"/>
      <c r="CO309" s="13" t="n"/>
    </row>
    <row r="310" ht="15" customHeight="1" s="251">
      <c r="B310" s="10" t="inlineStr">
        <is>
          <t>CONSOLIDATED STATEMENT OF CASH FLOWS (as reported — includes Mobility to 30-Jun-2026)</t>
        </is>
      </c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  <c r="AD310" s="10" t="n"/>
      <c r="AE310" s="10" t="n"/>
      <c r="AF310" s="10" t="n"/>
      <c r="AG310" s="10" t="n"/>
      <c r="AH310" s="10" t="n"/>
      <c r="AI310" s="10" t="n"/>
      <c r="AJ310" s="10" t="n"/>
      <c r="AK310" s="10" t="n"/>
      <c r="AL310" s="10" t="n"/>
      <c r="AM310" s="10" t="n"/>
      <c r="AN310" s="10" t="n"/>
      <c r="AO310" s="10" t="n"/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0" t="n"/>
      <c r="BC310" s="10" t="n"/>
      <c r="BD310" s="10" t="n"/>
      <c r="BE310" s="10" t="n"/>
      <c r="BF310" s="10" t="n"/>
      <c r="BG310" s="10" t="n"/>
      <c r="BH310" s="10" t="n"/>
      <c r="BI310" s="10" t="n"/>
      <c r="BJ310" s="10" t="n"/>
      <c r="BK310" s="10" t="n"/>
      <c r="BL310" s="10" t="n"/>
      <c r="BM310" s="10" t="n"/>
      <c r="BN310" s="10" t="n"/>
      <c r="BO310" s="10" t="n"/>
      <c r="BP310" s="10" t="n"/>
      <c r="BQ310" s="10" t="n"/>
      <c r="BR310" s="10" t="n"/>
      <c r="BS310" s="10" t="n"/>
      <c r="BT310" s="10" t="n"/>
      <c r="BU310" s="10" t="n"/>
      <c r="BV310" s="10" t="n"/>
      <c r="BW310" s="10" t="n"/>
      <c r="BX310" s="10" t="n"/>
      <c r="BY310" s="10" t="n"/>
      <c r="BZ310" s="10" t="n"/>
      <c r="CA310" s="10" t="n"/>
      <c r="CB310" s="10" t="n"/>
      <c r="CC310" s="10" t="inlineStr">
        <is>
          <t>CASH FLOW — forecast logic (annual; 2026E = 1H-26 actual + 2H estimate; quarters = discrete, derived from year-to-date statements)</t>
        </is>
      </c>
    </row>
    <row r="311" ht="15" customHeight="1" s="251">
      <c r="B311" s="25" t="inlineStr">
        <is>
          <t>Net income (incl. noncontrolling interests and discontinued operations)</t>
        </is>
      </c>
      <c r="C311" s="34" t="n"/>
      <c r="D311" s="34" t="n"/>
      <c r="E311" s="253" t="n">
        <v>492</v>
      </c>
      <c r="F311" s="253" t="n">
        <v>755</v>
      </c>
      <c r="G311" s="253" t="n">
        <v>277</v>
      </c>
      <c r="H311" s="253" t="n">
        <v>245</v>
      </c>
      <c r="I311" s="253" t="n">
        <v>189</v>
      </c>
      <c r="J311" s="253" t="n">
        <v>1466</v>
      </c>
      <c r="K311" s="253" t="n">
        <v>275</v>
      </c>
      <c r="L311" s="253" t="n">
        <v>315</v>
      </c>
      <c r="M311" s="253" t="n">
        <v>218</v>
      </c>
      <c r="N311" s="253" t="n">
        <v>-821</v>
      </c>
      <c r="O311" s="253" t="n">
        <v>-13</v>
      </c>
      <c r="P311" s="253" t="n">
        <v>329</v>
      </c>
      <c r="Q311" s="253" t="n">
        <v>382</v>
      </c>
      <c r="R311" s="253" t="n">
        <v>281</v>
      </c>
      <c r="S311" s="253" t="n">
        <v>276</v>
      </c>
      <c r="T311" s="253" t="n">
        <v>1268</v>
      </c>
      <c r="U311" s="253" t="n">
        <v>323</v>
      </c>
      <c r="V311" s="253" t="n">
        <v>412</v>
      </c>
      <c r="W311" s="253" t="n">
        <v>924</v>
      </c>
      <c r="X311" s="253" t="n">
        <v>569</v>
      </c>
      <c r="Y311" s="253" t="n">
        <v>2228</v>
      </c>
      <c r="Z311" s="253" t="n">
        <v>430</v>
      </c>
      <c r="AA311" s="253" t="n">
        <v>457</v>
      </c>
      <c r="AB311" s="253" t="n">
        <v>452</v>
      </c>
      <c r="AC311" s="253" t="n">
        <v>299</v>
      </c>
      <c r="AD311" s="253" t="n">
        <v>1638</v>
      </c>
      <c r="AE311" s="253" t="n">
        <v>534</v>
      </c>
      <c r="AF311" s="253" t="n">
        <v>501</v>
      </c>
      <c r="AG311" s="253" t="n">
        <v>535</v>
      </c>
      <c r="AH311" s="253" t="n">
        <v>551</v>
      </c>
      <c r="AI311" s="253" t="n">
        <v>2121</v>
      </c>
      <c r="AJ311" s="253" t="n">
        <v>453</v>
      </c>
      <c r="AK311" s="253" t="n">
        <v>602</v>
      </c>
      <c r="AL311" s="253" t="n">
        <v>662</v>
      </c>
      <c r="AM311" s="253" t="n">
        <v>586</v>
      </c>
      <c r="AN311" s="253" t="n">
        <v>2303</v>
      </c>
      <c r="AO311" s="253" t="n">
        <v>689</v>
      </c>
      <c r="AP311" s="253" t="n">
        <v>842</v>
      </c>
      <c r="AQ311" s="253" t="n">
        <v>498</v>
      </c>
      <c r="AR311" s="253" t="n">
        <v>505</v>
      </c>
      <c r="AS311" s="253" t="n">
        <v>2534</v>
      </c>
      <c r="AT311" s="253" t="n">
        <v>808</v>
      </c>
      <c r="AU311" s="253" t="n">
        <v>858</v>
      </c>
      <c r="AV311" s="253" t="n">
        <v>861</v>
      </c>
      <c r="AW311" s="253" t="n">
        <v>736</v>
      </c>
      <c r="AX311" s="253" t="n">
        <v>3263</v>
      </c>
      <c r="AY311" s="253" t="n">
        <v>1299</v>
      </c>
      <c r="AZ311" s="253" t="n">
        <v>1051</v>
      </c>
      <c r="BA311" s="253" t="n">
        <v>678</v>
      </c>
      <c r="BB311" s="253" t="n">
        <v>494</v>
      </c>
      <c r="BC311" s="253" t="n">
        <v>3522</v>
      </c>
      <c r="BD311" s="253" t="n">
        <v>860</v>
      </c>
      <c r="BE311" s="253" t="n">
        <v>575</v>
      </c>
      <c r="BF311" s="253" t="n">
        <v>814</v>
      </c>
      <c r="BG311" s="253" t="n">
        <v>644</v>
      </c>
      <c r="BH311" s="253" t="n">
        <v>2893</v>
      </c>
      <c r="BI311" s="253" t="n">
        <v>1068</v>
      </c>
      <c r="BJ311" s="253" t="n">
        <v>1086</v>
      </c>
      <c r="BK311" s="253" t="n">
        <v>1046</v>
      </c>
      <c r="BL311" s="253" t="n">
        <v>967</v>
      </c>
      <c r="BM311" s="253" t="n">
        <v>4167</v>
      </c>
      <c r="BN311" s="253" t="n">
        <v>1171</v>
      </c>
      <c r="BO311" s="253" t="n">
        <v>1160</v>
      </c>
      <c r="BP311" s="253" t="n">
        <v>1265</v>
      </c>
      <c r="BQ311" s="253" t="n">
        <v>1224</v>
      </c>
      <c r="BR311" s="253" t="n">
        <v>4820</v>
      </c>
      <c r="BS311" s="253" t="n">
        <v>1504</v>
      </c>
      <c r="BT311" s="253" t="n">
        <v>1324</v>
      </c>
      <c r="BU311" s="35" t="n"/>
      <c r="BV311" s="35" t="n"/>
      <c r="BW311" s="254">
        <f>SUM(BS311:BT311)+SUM(BU205:BV205)</f>
        <v>5295.04383690113</v>
      </c>
      <c r="BX311" s="254">
        <f>BX205</f>
        <v>5374.51747285612</v>
      </c>
      <c r="BY311" s="254">
        <f>BY205</f>
        <v>5876.79552908141</v>
      </c>
      <c r="BZ311" s="254">
        <f>BZ205</f>
        <v>6330.43533889294</v>
      </c>
      <c r="CA311" s="254">
        <f>CA205</f>
        <v>6817.4029901724</v>
      </c>
      <c r="CB311" s="254">
        <f>CB205</f>
        <v>7317.4606164773</v>
      </c>
      <c r="CC311" s="19" t="n"/>
    </row>
    <row r="312" ht="15" customHeight="1" s="251">
      <c r="B312" s="25" t="inlineStr">
        <is>
          <t>Non-cash items:</t>
        </is>
      </c>
      <c r="CC312" s="153" t="n"/>
    </row>
    <row r="313" ht="15" customHeight="1" s="251">
      <c r="B313" s="25" t="inlineStr">
        <is>
          <t xml:space="preserve">  Depreciation</t>
        </is>
      </c>
      <c r="C313" s="34" t="n"/>
      <c r="D313" s="34" t="n"/>
      <c r="E313" s="253" t="n">
        <v>74</v>
      </c>
      <c r="F313" s="253" t="n">
        <v>23</v>
      </c>
      <c r="G313" s="253" t="n">
        <v>22</v>
      </c>
      <c r="H313" s="253" t="n">
        <v>20</v>
      </c>
      <c r="I313" s="253" t="n">
        <v>21</v>
      </c>
      <c r="J313" s="253" t="n">
        <v>86</v>
      </c>
      <c r="K313" s="253" t="n">
        <v>21</v>
      </c>
      <c r="L313" s="253" t="n">
        <v>21</v>
      </c>
      <c r="M313" s="253" t="n">
        <v>22</v>
      </c>
      <c r="N313" s="253" t="n">
        <v>22</v>
      </c>
      <c r="O313" s="253" t="n">
        <v>86</v>
      </c>
      <c r="P313" s="253" t="n">
        <v>22</v>
      </c>
      <c r="Q313" s="253" t="n">
        <v>21</v>
      </c>
      <c r="R313" s="253" t="n">
        <v>21</v>
      </c>
      <c r="S313" s="253" t="n">
        <v>26</v>
      </c>
      <c r="T313" s="253" t="n">
        <v>90</v>
      </c>
      <c r="U313" s="253" t="n">
        <v>18</v>
      </c>
      <c r="V313" s="253" t="n">
        <v>22</v>
      </c>
      <c r="W313" s="253" t="n">
        <v>23</v>
      </c>
      <c r="X313" s="253" t="n">
        <v>22</v>
      </c>
      <c r="Y313" s="253" t="n">
        <v>85</v>
      </c>
      <c r="Z313" s="253" t="n">
        <v>19</v>
      </c>
      <c r="AA313" s="253" t="n">
        <v>20</v>
      </c>
      <c r="AB313" s="253" t="n">
        <v>22</v>
      </c>
      <c r="AC313" s="253" t="n">
        <v>21</v>
      </c>
      <c r="AD313" s="253" t="n">
        <v>82</v>
      </c>
      <c r="AE313" s="253" t="n">
        <v>21</v>
      </c>
      <c r="AF313" s="253" t="n">
        <v>19</v>
      </c>
      <c r="AG313" s="253" t="n">
        <v>20</v>
      </c>
      <c r="AH313" s="253" t="n">
        <v>24</v>
      </c>
      <c r="AI313" s="253" t="n">
        <v>84</v>
      </c>
      <c r="AJ313" s="253" t="n">
        <v>20</v>
      </c>
      <c r="AK313" s="253" t="n">
        <v>21</v>
      </c>
      <c r="AL313" s="253" t="n">
        <v>20</v>
      </c>
      <c r="AM313" s="253" t="n">
        <v>21</v>
      </c>
      <c r="AN313" s="253" t="n">
        <v>82</v>
      </c>
      <c r="AO313" s="253" t="n">
        <v>20</v>
      </c>
      <c r="AP313" s="253" t="n">
        <v>19</v>
      </c>
      <c r="AQ313" s="253" t="n">
        <v>21</v>
      </c>
      <c r="AR313" s="253" t="n">
        <v>23</v>
      </c>
      <c r="AS313" s="253" t="n">
        <v>83</v>
      </c>
      <c r="AT313" s="253" t="n">
        <v>19</v>
      </c>
      <c r="AU313" s="253" t="n">
        <v>23</v>
      </c>
      <c r="AV313" s="253" t="n">
        <v>21</v>
      </c>
      <c r="AW313" s="253" t="n">
        <v>19</v>
      </c>
      <c r="AX313" s="253" t="n">
        <v>82</v>
      </c>
      <c r="AY313" s="253" t="n">
        <v>26</v>
      </c>
      <c r="AZ313" s="253" t="n">
        <v>36</v>
      </c>
      <c r="BA313" s="253" t="n">
        <v>31</v>
      </c>
      <c r="BB313" s="253" t="n">
        <v>15</v>
      </c>
      <c r="BC313" s="253" t="n">
        <v>108</v>
      </c>
      <c r="BD313" s="253" t="n">
        <v>25</v>
      </c>
      <c r="BE313" s="253" t="n">
        <v>24</v>
      </c>
      <c r="BF313" s="253" t="n">
        <v>22</v>
      </c>
      <c r="BG313" s="253" t="n">
        <v>30</v>
      </c>
      <c r="BH313" s="253" t="n">
        <v>101</v>
      </c>
      <c r="BI313" s="253" t="n">
        <v>23</v>
      </c>
      <c r="BJ313" s="253" t="n">
        <v>25</v>
      </c>
      <c r="BK313" s="253" t="n">
        <v>22</v>
      </c>
      <c r="BL313" s="253" t="n">
        <v>26</v>
      </c>
      <c r="BM313" s="253" t="n">
        <v>96</v>
      </c>
      <c r="BN313" s="253" t="n">
        <v>25</v>
      </c>
      <c r="BO313" s="253" t="n">
        <v>26</v>
      </c>
      <c r="BP313" s="253" t="n">
        <v>28</v>
      </c>
      <c r="BQ313" s="253" t="n">
        <v>31</v>
      </c>
      <c r="BR313" s="253" t="n">
        <v>110</v>
      </c>
      <c r="BS313" s="253" t="n">
        <v>31</v>
      </c>
      <c r="BT313" s="253" t="n">
        <v>33</v>
      </c>
      <c r="BU313" s="35" t="n"/>
      <c r="BV313" s="35" t="n"/>
      <c r="BW313" s="254">
        <f>SUM(BS313:BT313)+SUM(BU190:BV190)</f>
        <v>122</v>
      </c>
      <c r="BX313" s="254">
        <f>BX190</f>
        <v>123.409624458798</v>
      </c>
      <c r="BY313" s="254">
        <f>BY190</f>
        <v>132.134265610662</v>
      </c>
      <c r="BZ313" s="254">
        <f>BZ190</f>
        <v>141.206743528521</v>
      </c>
      <c r="CA313" s="254">
        <f>CA190</f>
        <v>150.474470903271</v>
      </c>
      <c r="CB313" s="254">
        <f>CB190</f>
        <v>160.336019644565</v>
      </c>
      <c r="CC313" s="19" t="n"/>
    </row>
    <row r="314" ht="15" customHeight="1" s="251">
      <c r="B314" s="25" t="inlineStr">
        <is>
          <t xml:space="preserve">  Amortization of intangibles</t>
        </is>
      </c>
      <c r="C314" s="34" t="n"/>
      <c r="D314" s="34" t="n"/>
      <c r="E314" s="253" t="n">
        <v>48</v>
      </c>
      <c r="F314" s="253" t="n">
        <v>12</v>
      </c>
      <c r="G314" s="253" t="n">
        <v>13</v>
      </c>
      <c r="H314" s="253" t="n">
        <v>13</v>
      </c>
      <c r="I314" s="253" t="n">
        <v>13</v>
      </c>
      <c r="J314" s="253" t="n">
        <v>51</v>
      </c>
      <c r="K314" s="253" t="n">
        <v>12</v>
      </c>
      <c r="L314" s="253" t="n">
        <v>12</v>
      </c>
      <c r="M314" s="253" t="n">
        <v>12</v>
      </c>
      <c r="N314" s="253" t="n">
        <v>12</v>
      </c>
      <c r="O314" s="253" t="n">
        <v>48</v>
      </c>
      <c r="P314" s="253" t="n">
        <v>11</v>
      </c>
      <c r="Q314" s="253" t="n">
        <v>12</v>
      </c>
      <c r="R314" s="253" t="n">
        <v>17</v>
      </c>
      <c r="S314" s="253" t="n">
        <v>27</v>
      </c>
      <c r="T314" s="253" t="n">
        <v>67</v>
      </c>
      <c r="U314" s="253" t="n">
        <v>24</v>
      </c>
      <c r="V314" s="253" t="n">
        <v>23</v>
      </c>
      <c r="W314" s="253" t="n">
        <v>24</v>
      </c>
      <c r="X314" s="253" t="n">
        <v>25</v>
      </c>
      <c r="Y314" s="253" t="n">
        <v>96</v>
      </c>
      <c r="Z314" s="253" t="n">
        <v>24</v>
      </c>
      <c r="AA314" s="253" t="n">
        <v>25</v>
      </c>
      <c r="AB314" s="253" t="n">
        <v>24</v>
      </c>
      <c r="AC314" s="253" t="n">
        <v>25</v>
      </c>
      <c r="AD314" s="253" t="n">
        <v>98</v>
      </c>
      <c r="AE314" s="253" t="n">
        <v>24</v>
      </c>
      <c r="AF314" s="253" t="n">
        <v>33</v>
      </c>
      <c r="AG314" s="253" t="n">
        <v>34</v>
      </c>
      <c r="AH314" s="253" t="n">
        <v>31</v>
      </c>
      <c r="AI314" s="253" t="n">
        <v>122</v>
      </c>
      <c r="AJ314" s="253" t="n">
        <v>32</v>
      </c>
      <c r="AK314" s="253" t="n">
        <v>31</v>
      </c>
      <c r="AL314" s="253" t="n">
        <v>29</v>
      </c>
      <c r="AM314" s="253" t="n">
        <v>30</v>
      </c>
      <c r="AN314" s="253" t="n">
        <v>122</v>
      </c>
      <c r="AO314" s="253" t="n">
        <v>29</v>
      </c>
      <c r="AP314" s="253" t="n">
        <v>32</v>
      </c>
      <c r="AQ314" s="253" t="n">
        <v>33</v>
      </c>
      <c r="AR314" s="253" t="n">
        <v>29</v>
      </c>
      <c r="AS314" s="253" t="n">
        <v>123</v>
      </c>
      <c r="AT314" s="253" t="n">
        <v>31</v>
      </c>
      <c r="AU314" s="253" t="n">
        <v>22</v>
      </c>
      <c r="AV314" s="253" t="n">
        <v>21</v>
      </c>
      <c r="AW314" s="253" t="n">
        <v>22</v>
      </c>
      <c r="AX314" s="253" t="n">
        <v>96</v>
      </c>
      <c r="AY314" s="253" t="n">
        <v>111</v>
      </c>
      <c r="AZ314" s="253" t="n">
        <v>268</v>
      </c>
      <c r="BA314" s="253" t="n">
        <v>266</v>
      </c>
      <c r="BB314" s="253" t="n">
        <v>260</v>
      </c>
      <c r="BC314" s="253" t="n">
        <v>905</v>
      </c>
      <c r="BD314" s="253" t="n">
        <v>262</v>
      </c>
      <c r="BE314" s="253" t="n">
        <v>260</v>
      </c>
      <c r="BF314" s="253" t="n">
        <v>260</v>
      </c>
      <c r="BG314" s="253" t="n">
        <v>260</v>
      </c>
      <c r="BH314" s="253" t="n">
        <v>1042</v>
      </c>
      <c r="BI314" s="253" t="n">
        <v>264</v>
      </c>
      <c r="BJ314" s="253" t="n">
        <v>267</v>
      </c>
      <c r="BK314" s="253" t="n">
        <v>272</v>
      </c>
      <c r="BL314" s="253" t="n">
        <v>274</v>
      </c>
      <c r="BM314" s="253" t="n">
        <v>1077</v>
      </c>
      <c r="BN314" s="253" t="n">
        <v>268</v>
      </c>
      <c r="BO314" s="253" t="n">
        <v>269</v>
      </c>
      <c r="BP314" s="253" t="n">
        <v>266</v>
      </c>
      <c r="BQ314" s="253" t="n">
        <v>266</v>
      </c>
      <c r="BR314" s="253" t="n">
        <v>1069</v>
      </c>
      <c r="BS314" s="253" t="n">
        <v>276</v>
      </c>
      <c r="BT314" s="253" t="n">
        <v>275</v>
      </c>
      <c r="BU314" s="35" t="n"/>
      <c r="BV314" s="35" t="n"/>
      <c r="BW314" s="254">
        <f>SUM(BS314:BT314)+SUM(BU191:BV191)</f>
        <v>937</v>
      </c>
      <c r="BX314" s="254">
        <f>BX191</f>
        <v>796.833333333333</v>
      </c>
      <c r="BY314" s="254">
        <f>BY191</f>
        <v>790.5</v>
      </c>
      <c r="BZ314" s="254">
        <f>BZ191</f>
        <v>776.166666666667</v>
      </c>
      <c r="CA314" s="254">
        <f>CA191</f>
        <v>761.833333333333</v>
      </c>
      <c r="CB314" s="254">
        <f>CB191</f>
        <v>748.5</v>
      </c>
      <c r="CC314" s="19" t="n"/>
    </row>
    <row r="315" ht="15" customHeight="1" s="251">
      <c r="B315" s="25" t="inlineStr">
        <is>
          <t xml:space="preserve">  Stock-based compensation</t>
        </is>
      </c>
      <c r="C315" s="34" t="n"/>
      <c r="D315" s="34" t="n"/>
      <c r="E315" s="253" t="n">
        <v>93</v>
      </c>
      <c r="F315" s="253" t="n">
        <v>21</v>
      </c>
      <c r="G315" s="253" t="n">
        <v>26</v>
      </c>
      <c r="H315" s="253" t="n">
        <v>26</v>
      </c>
      <c r="I315" s="253" t="n">
        <v>26</v>
      </c>
      <c r="J315" s="253" t="n">
        <v>99</v>
      </c>
      <c r="K315" s="253" t="n">
        <v>18</v>
      </c>
      <c r="L315" s="253" t="n">
        <v>30</v>
      </c>
      <c r="M315" s="253" t="n">
        <v>24</v>
      </c>
      <c r="N315" s="253" t="n">
        <v>28</v>
      </c>
      <c r="O315" s="253" t="n">
        <v>100</v>
      </c>
      <c r="P315" s="253" t="n">
        <v>18</v>
      </c>
      <c r="Q315" s="253" t="n">
        <v>19</v>
      </c>
      <c r="R315" s="253" t="n">
        <v>18</v>
      </c>
      <c r="S315" s="253" t="n">
        <v>23</v>
      </c>
      <c r="T315" s="253" t="n">
        <v>78</v>
      </c>
      <c r="U315" s="253" t="n">
        <v>14</v>
      </c>
      <c r="V315" s="253" t="n">
        <v>20</v>
      </c>
      <c r="W315" s="253" t="n">
        <v>20</v>
      </c>
      <c r="X315" s="253" t="n">
        <v>22</v>
      </c>
      <c r="Y315" s="253" t="n">
        <v>76</v>
      </c>
      <c r="Z315" s="253" t="n">
        <v>19</v>
      </c>
      <c r="AA315" s="253" t="n">
        <v>22</v>
      </c>
      <c r="AB315" s="253" t="n">
        <v>24</v>
      </c>
      <c r="AC315" s="253" t="n">
        <v>34</v>
      </c>
      <c r="AD315" s="253" t="n">
        <v>99</v>
      </c>
      <c r="AE315" s="253" t="n">
        <v>13</v>
      </c>
      <c r="AF315" s="253" t="n">
        <v>33</v>
      </c>
      <c r="AG315" s="253" t="n">
        <v>27</v>
      </c>
      <c r="AH315" s="253" t="n">
        <v>21</v>
      </c>
      <c r="AI315" s="253" t="n">
        <v>94</v>
      </c>
      <c r="AJ315" s="253" t="n">
        <v>12</v>
      </c>
      <c r="AK315" s="253" t="n">
        <v>21</v>
      </c>
      <c r="AL315" s="253" t="n">
        <v>20</v>
      </c>
      <c r="AM315" s="253" t="n">
        <v>25</v>
      </c>
      <c r="AN315" s="253" t="n">
        <v>78</v>
      </c>
      <c r="AO315" s="253" t="n">
        <v>11</v>
      </c>
      <c r="AP315" s="253" t="n">
        <v>11</v>
      </c>
      <c r="AQ315" s="253" t="n">
        <v>38</v>
      </c>
      <c r="AR315" s="253" t="n">
        <v>30</v>
      </c>
      <c r="AS315" s="253" t="n">
        <v>90</v>
      </c>
      <c r="AT315" s="253" t="n">
        <v>19</v>
      </c>
      <c r="AU315" s="253" t="n">
        <v>31</v>
      </c>
      <c r="AV315" s="253" t="n">
        <v>40</v>
      </c>
      <c r="AW315" s="253" t="n">
        <v>32</v>
      </c>
      <c r="AX315" s="253" t="n">
        <v>122</v>
      </c>
      <c r="AY315" s="253" t="n">
        <v>94</v>
      </c>
      <c r="AZ315" s="253" t="n">
        <v>49</v>
      </c>
      <c r="BA315" s="253" t="n">
        <v>17</v>
      </c>
      <c r="BB315" s="253" t="n">
        <v>54</v>
      </c>
      <c r="BC315" s="253" t="n">
        <v>214</v>
      </c>
      <c r="BD315" s="253" t="n">
        <v>46</v>
      </c>
      <c r="BE315" s="253" t="n">
        <v>51</v>
      </c>
      <c r="BF315" s="253" t="n">
        <v>46</v>
      </c>
      <c r="BG315" s="253" t="n">
        <v>28</v>
      </c>
      <c r="BH315" s="253" t="n">
        <v>171</v>
      </c>
      <c r="BI315" s="253" t="n">
        <v>33</v>
      </c>
      <c r="BJ315" s="253" t="n">
        <v>49</v>
      </c>
      <c r="BK315" s="253" t="n">
        <v>95</v>
      </c>
      <c r="BL315" s="253" t="n">
        <v>70</v>
      </c>
      <c r="BM315" s="253" t="n">
        <v>247</v>
      </c>
      <c r="BN315" s="253" t="n">
        <v>47</v>
      </c>
      <c r="BO315" s="253" t="n">
        <v>45</v>
      </c>
      <c r="BP315" s="253" t="n">
        <v>75</v>
      </c>
      <c r="BQ315" s="253" t="n">
        <v>69</v>
      </c>
      <c r="BR315" s="253" t="n">
        <v>236</v>
      </c>
      <c r="BS315" s="253" t="n">
        <v>39</v>
      </c>
      <c r="BT315" s="253" t="n">
        <v>56</v>
      </c>
      <c r="BU315" s="35" t="n"/>
      <c r="BV315" s="35" t="n"/>
      <c r="BW315" s="254">
        <f>SUM(BS315:BT315)+SUM(BU173:BV173)</f>
        <v>243.695652173913</v>
      </c>
      <c r="BX315" s="254">
        <f>BX173</f>
        <v>185.114436688197</v>
      </c>
      <c r="BY315" s="254">
        <f>BY173</f>
        <v>198.201398415993</v>
      </c>
      <c r="BZ315" s="254">
        <f>BZ173</f>
        <v>211.810115292782</v>
      </c>
      <c r="CA315" s="254">
        <f>CA173</f>
        <v>225.711706354907</v>
      </c>
      <c r="CB315" s="254">
        <f>CB173</f>
        <v>240.504029466848</v>
      </c>
      <c r="CC315" s="19" t="n"/>
    </row>
    <row r="316" ht="15" customHeight="1" s="251">
      <c r="B316" s="25" t="inlineStr">
        <is>
          <t xml:space="preserve">  Deferred income taxes</t>
        </is>
      </c>
      <c r="C316" s="34" t="n"/>
      <c r="D316" s="34" t="n"/>
      <c r="E316" s="253" t="n">
        <v>53</v>
      </c>
      <c r="F316" s="253" t="n">
        <v>1</v>
      </c>
      <c r="G316" s="253" t="n">
        <v>3</v>
      </c>
      <c r="H316" s="253" t="n">
        <v>-1</v>
      </c>
      <c r="I316" s="253" t="n">
        <v>40</v>
      </c>
      <c r="J316" s="253" t="n">
        <v>43</v>
      </c>
      <c r="K316" s="253" t="n">
        <v>0</v>
      </c>
      <c r="L316" s="253" t="n">
        <v>2</v>
      </c>
      <c r="M316" s="253" t="n">
        <v>-35</v>
      </c>
      <c r="N316" s="253" t="n">
        <v>-212</v>
      </c>
      <c r="O316" s="253" t="n">
        <v>-245</v>
      </c>
      <c r="P316" s="253" t="n">
        <v>39</v>
      </c>
      <c r="Q316" s="253" t="n">
        <v>127</v>
      </c>
      <c r="R316" s="253" t="n">
        <v>0</v>
      </c>
      <c r="S316" s="253" t="n">
        <v>114</v>
      </c>
      <c r="T316" s="253" t="n">
        <v>280</v>
      </c>
      <c r="U316" s="253" t="n">
        <v>-1</v>
      </c>
      <c r="V316" s="253" t="n">
        <v>-3</v>
      </c>
      <c r="W316" s="253" t="n">
        <v>-4</v>
      </c>
      <c r="X316" s="253" t="n">
        <v>87</v>
      </c>
      <c r="Y316" s="253" t="n">
        <v>79</v>
      </c>
      <c r="Z316" s="253" t="n">
        <v>-1</v>
      </c>
      <c r="AA316" s="253" t="n">
        <v>1</v>
      </c>
      <c r="AB316" s="253" t="n">
        <v>0</v>
      </c>
      <c r="AC316" s="253" t="n">
        <v>0</v>
      </c>
      <c r="AD316" s="253" t="n">
        <v>0</v>
      </c>
      <c r="AE316" s="253" t="n">
        <v>15</v>
      </c>
      <c r="AF316" s="253" t="n">
        <v>7</v>
      </c>
      <c r="AG316" s="253" t="n">
        <v>-1</v>
      </c>
      <c r="AH316" s="253" t="n">
        <v>60</v>
      </c>
      <c r="AI316" s="253" t="n">
        <v>81</v>
      </c>
      <c r="AJ316" s="253" t="n">
        <v>10</v>
      </c>
      <c r="AK316" s="253" t="n">
        <v>2</v>
      </c>
      <c r="AL316" s="253" t="n">
        <v>3</v>
      </c>
      <c r="AM316" s="253" t="n">
        <v>31</v>
      </c>
      <c r="AN316" s="253" t="n">
        <v>46</v>
      </c>
      <c r="AO316" s="253" t="n">
        <v>-6</v>
      </c>
      <c r="AP316" s="253" t="n">
        <v>9</v>
      </c>
      <c r="AQ316" s="253" t="n">
        <v>-17</v>
      </c>
      <c r="AR316" s="253" t="n">
        <v>-17</v>
      </c>
      <c r="AS316" s="253" t="n">
        <v>-31</v>
      </c>
      <c r="AT316" s="253" t="n">
        <v>-3</v>
      </c>
      <c r="AU316" s="253" t="n">
        <v>-44</v>
      </c>
      <c r="AV316" s="253" t="n">
        <v>48</v>
      </c>
      <c r="AW316" s="253" t="n">
        <v>12</v>
      </c>
      <c r="AX316" s="253" t="n">
        <v>13</v>
      </c>
      <c r="AY316" s="253" t="n">
        <v>-53</v>
      </c>
      <c r="AZ316" s="253" t="n">
        <v>-38</v>
      </c>
      <c r="BA316" s="253" t="n">
        <v>-64</v>
      </c>
      <c r="BB316" s="253" t="n">
        <v>-198</v>
      </c>
      <c r="BC316" s="253" t="n">
        <v>-353</v>
      </c>
      <c r="BD316" s="253" t="n">
        <v>-167</v>
      </c>
      <c r="BE316" s="253" t="n">
        <v>-217</v>
      </c>
      <c r="BF316" s="253" t="n">
        <v>-46</v>
      </c>
      <c r="BG316" s="253" t="n">
        <v>49</v>
      </c>
      <c r="BH316" s="253" t="n">
        <v>-381</v>
      </c>
      <c r="BI316" s="253" t="n">
        <v>-67</v>
      </c>
      <c r="BJ316" s="253" t="n">
        <v>-95</v>
      </c>
      <c r="BK316" s="253" t="n">
        <v>-109</v>
      </c>
      <c r="BL316" s="253" t="n">
        <v>-52</v>
      </c>
      <c r="BM316" s="253" t="n">
        <v>-323</v>
      </c>
      <c r="BN316" s="253" t="n">
        <v>-63</v>
      </c>
      <c r="BO316" s="253" t="n">
        <v>-75</v>
      </c>
      <c r="BP316" s="253" t="n">
        <v>-149</v>
      </c>
      <c r="BQ316" s="253" t="n">
        <v>45</v>
      </c>
      <c r="BR316" s="253" t="n">
        <v>-242</v>
      </c>
      <c r="BS316" s="253" t="n">
        <v>-50</v>
      </c>
      <c r="BT316" s="253" t="n">
        <v>-64</v>
      </c>
      <c r="BU316" s="35" t="n"/>
      <c r="BV316" s="35" t="n"/>
      <c r="BW316" s="254">
        <f>SUM(BS316:BT316)+-100.0</f>
        <v>-214</v>
      </c>
      <c r="BX316" s="265" t="n">
        <v>-180</v>
      </c>
      <c r="BY316" s="265" t="n">
        <v>-180</v>
      </c>
      <c r="BZ316" s="265" t="n">
        <v>-180</v>
      </c>
      <c r="CA316" s="265" t="n">
        <v>-180</v>
      </c>
      <c r="CB316" s="265" t="n">
        <v>-180</v>
      </c>
      <c r="CC316" s="19" t="inlineStr">
        <is>
          <t>XBRL (10-K / 10-Q cash-flow statements). Forecast input (amortization-driven deferred-tax unwind).</t>
        </is>
      </c>
    </row>
    <row r="317" ht="15" customHeight="1" s="251">
      <c r="B317" s="25" t="inlineStr">
        <is>
          <t xml:space="preserve">  (Gain) on dispositions (reclassified to investing proceeds; forecast)</t>
        </is>
      </c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4" t="n"/>
      <c r="L317" s="34" t="n"/>
      <c r="M317" s="34" t="n"/>
      <c r="N317" s="34" t="n"/>
      <c r="O317" s="34" t="n"/>
      <c r="P317" s="34" t="n"/>
      <c r="Q317" s="34" t="n"/>
      <c r="R317" s="34" t="n"/>
      <c r="S317" s="34" t="n"/>
      <c r="T317" s="34" t="n"/>
      <c r="U317" s="34" t="n"/>
      <c r="V317" s="34" t="n"/>
      <c r="W317" s="34" t="n"/>
      <c r="X317" s="34" t="n"/>
      <c r="Y317" s="34" t="n"/>
      <c r="Z317" s="34" t="n"/>
      <c r="AA317" s="34" t="n"/>
      <c r="AB317" s="34" t="n"/>
      <c r="AC317" s="34" t="n"/>
      <c r="AD317" s="34" t="n"/>
      <c r="AE317" s="34" t="n"/>
      <c r="AF317" s="34" t="n"/>
      <c r="AG317" s="34" t="n"/>
      <c r="AH317" s="34" t="n"/>
      <c r="AI317" s="34" t="n"/>
      <c r="AJ317" s="34" t="n"/>
      <c r="AK317" s="34" t="n"/>
      <c r="AL317" s="34" t="n"/>
      <c r="AM317" s="34" t="n"/>
      <c r="AN317" s="34" t="n"/>
      <c r="AO317" s="34" t="n"/>
      <c r="AP317" s="34" t="n"/>
      <c r="AQ317" s="34" t="n"/>
      <c r="AR317" s="34" t="n"/>
      <c r="AS317" s="34" t="n"/>
      <c r="AT317" s="34" t="n"/>
      <c r="AU317" s="34" t="n"/>
      <c r="AV317" s="34" t="n"/>
      <c r="AW317" s="34" t="n"/>
      <c r="AX317" s="34" t="n"/>
      <c r="AY317" s="34" t="n"/>
      <c r="AZ317" s="34" t="n"/>
      <c r="BA317" s="34" t="n"/>
      <c r="BB317" s="34" t="n"/>
      <c r="BC317" s="34" t="n"/>
      <c r="BD317" s="34" t="n"/>
      <c r="BE317" s="34" t="n"/>
      <c r="BF317" s="34" t="n"/>
      <c r="BG317" s="34" t="n"/>
      <c r="BH317" s="34" t="n"/>
      <c r="BI317" s="34" t="n"/>
      <c r="BJ317" s="34" t="n"/>
      <c r="BK317" s="34" t="n"/>
      <c r="BL317" s="34" t="n"/>
      <c r="BM317" s="34" t="n"/>
      <c r="BN317" s="34" t="n"/>
      <c r="BO317" s="34" t="n"/>
      <c r="BP317" s="34" t="n"/>
      <c r="BQ317" s="34" t="n"/>
      <c r="BR317" s="34" t="n"/>
      <c r="BS317" s="34" t="n"/>
      <c r="BT317" s="34" t="n"/>
      <c r="BU317" s="35" t="n"/>
      <c r="BV317" s="35" t="n"/>
      <c r="BW317" s="254">
        <f>-SUM(BU194:BV194)</f>
        <v>-250</v>
      </c>
      <c r="BX317" s="254">
        <f>-BX194</f>
        <v>0</v>
      </c>
      <c r="BY317" s="254">
        <f>-BY194</f>
        <v>0</v>
      </c>
      <c r="BZ317" s="254">
        <f>-BZ194</f>
        <v>0</v>
      </c>
      <c r="CA317" s="254">
        <f>-CA194</f>
        <v>0</v>
      </c>
      <c r="CB317" s="254">
        <f>-CB194</f>
        <v>0</v>
      </c>
      <c r="CC317" s="19" t="n"/>
    </row>
    <row r="318" ht="15" customHeight="1" s="251">
      <c r="B318" s="25" t="inlineStr">
        <is>
          <t xml:space="preserve">  Working capital &amp; other operating items, net (derived)</t>
        </is>
      </c>
      <c r="C318" s="34" t="n"/>
      <c r="D318" s="34" t="n"/>
      <c r="E318" s="253" t="n">
        <v>-13</v>
      </c>
      <c r="F318" s="253" t="n">
        <v>-786</v>
      </c>
      <c r="G318" s="253" t="n">
        <v>-239</v>
      </c>
      <c r="H318" s="253" t="n">
        <v>-124</v>
      </c>
      <c r="I318" s="253" t="n">
        <v>220</v>
      </c>
      <c r="J318" s="253" t="n">
        <v>-929</v>
      </c>
      <c r="K318" s="253" t="n">
        <v>-206</v>
      </c>
      <c r="L318" s="253" t="n">
        <v>-41</v>
      </c>
      <c r="M318" s="253" t="n">
        <v>136</v>
      </c>
      <c r="N318" s="253" t="n">
        <v>1344</v>
      </c>
      <c r="O318" s="253" t="n">
        <v>1233</v>
      </c>
      <c r="P318" s="253" t="n">
        <v>-1897</v>
      </c>
      <c r="Q318" s="253" t="n">
        <v>-109</v>
      </c>
      <c r="R318" s="253" t="n">
        <v>204</v>
      </c>
      <c r="S318" s="253" t="n">
        <v>214</v>
      </c>
      <c r="T318" s="253" t="n">
        <v>-1588</v>
      </c>
      <c r="U318" s="253" t="n">
        <v>-193</v>
      </c>
      <c r="V318" s="253" t="n">
        <v>-19</v>
      </c>
      <c r="W318" s="253" t="n">
        <v>-370</v>
      </c>
      <c r="X318" s="253" t="n">
        <v>-518</v>
      </c>
      <c r="Y318" s="253" t="n">
        <v>-1100</v>
      </c>
      <c r="Z318" s="253" t="n">
        <v>-138</v>
      </c>
      <c r="AA318" s="253" t="n">
        <v>-204</v>
      </c>
      <c r="AB318" s="253" t="n">
        <v>7</v>
      </c>
      <c r="AC318" s="253" t="n">
        <v>434</v>
      </c>
      <c r="AD318" s="253" t="n">
        <v>99</v>
      </c>
      <c r="AE318" s="253" t="n">
        <v>-247</v>
      </c>
      <c r="AF318" s="253" t="n">
        <v>-50</v>
      </c>
      <c r="AG318" s="253" t="n">
        <v>-117</v>
      </c>
      <c r="AH318" s="253" t="n">
        <v>-24</v>
      </c>
      <c r="AI318" s="253" t="n">
        <v>-438</v>
      </c>
      <c r="AJ318" s="253" t="n">
        <v>-234</v>
      </c>
      <c r="AK318" s="253" t="n">
        <v>40</v>
      </c>
      <c r="AL318" s="253" t="n">
        <v>28</v>
      </c>
      <c r="AM318" s="253" t="n">
        <v>311</v>
      </c>
      <c r="AN318" s="253" t="n">
        <v>145</v>
      </c>
      <c r="AO318" s="253" t="n">
        <v>-63</v>
      </c>
      <c r="AP318" s="253" t="n">
        <v>24</v>
      </c>
      <c r="AQ318" s="253" t="n">
        <v>236</v>
      </c>
      <c r="AR318" s="253" t="n">
        <v>571</v>
      </c>
      <c r="AS318" s="253" t="n">
        <v>768</v>
      </c>
      <c r="AT318" s="253" t="n">
        <v>-106</v>
      </c>
      <c r="AU318" s="253" t="n">
        <v>33</v>
      </c>
      <c r="AV318" s="253" t="n">
        <v>-24</v>
      </c>
      <c r="AW318" s="253" t="n">
        <v>119</v>
      </c>
      <c r="AX318" s="253" t="n">
        <v>22</v>
      </c>
      <c r="AY318" s="253" t="n">
        <v>-1255</v>
      </c>
      <c r="AZ318" s="253" t="n">
        <v>-912</v>
      </c>
      <c r="BA318" s="253" t="n">
        <v>-114</v>
      </c>
      <c r="BB318" s="253" t="n">
        <v>488</v>
      </c>
      <c r="BC318" s="253" t="n">
        <v>-1793</v>
      </c>
      <c r="BD318" s="253" t="n">
        <v>-432</v>
      </c>
      <c r="BE318" s="253" t="n">
        <v>76</v>
      </c>
      <c r="BF318" s="253" t="n">
        <v>-83</v>
      </c>
      <c r="BG318" s="253" t="n">
        <v>323</v>
      </c>
      <c r="BH318" s="253" t="n">
        <v>-116</v>
      </c>
      <c r="BI318" s="253" t="n">
        <v>-373</v>
      </c>
      <c r="BJ318" s="253" t="n">
        <v>224</v>
      </c>
      <c r="BK318" s="253" t="n">
        <v>119</v>
      </c>
      <c r="BL318" s="253" t="n">
        <v>455</v>
      </c>
      <c r="BM318" s="253" t="n">
        <v>425</v>
      </c>
      <c r="BN318" s="253" t="n">
        <v>-495</v>
      </c>
      <c r="BO318" s="253" t="n">
        <v>20</v>
      </c>
      <c r="BP318" s="253" t="n">
        <v>20</v>
      </c>
      <c r="BQ318" s="253" t="n">
        <v>113</v>
      </c>
      <c r="BR318" s="253" t="n">
        <v>-342</v>
      </c>
      <c r="BS318" s="253" t="n">
        <v>-763</v>
      </c>
      <c r="BT318" s="253" t="n">
        <v>-185</v>
      </c>
      <c r="BU318" s="35" t="n"/>
      <c r="BV318" s="35" t="n"/>
      <c r="BW318" s="254">
        <f>SUM(BS318:BT318)-(BW364-(BT364-217))+(BW375-(BT375-47))+(BW376-(BT376-24))+(BW379-(BT379-94))+(BW380-(BT380-27-28.0))+(BW378-(BT378-4))</f>
        <v>-385.933699136987</v>
      </c>
      <c r="BX318" s="254">
        <f>-(BX364-BW364)+(BX375-BW375)+(BX376-BW376)+(BX379-BW379)+(BX380-BW380)+(BX378-BW378)</f>
        <v>227.268808543855</v>
      </c>
      <c r="BY318" s="254">
        <f>-(BY364-BX364)+(BY375-BX375)+(BY376-BX376)+(BY379-BX379)+(BY380-BX380)+(BY378-BX378)</f>
        <v>275.528350622991</v>
      </c>
      <c r="BZ318" s="254">
        <f>-(BZ364-BY364)+(BZ375-BY375)+(BZ376-BY376)+(BZ379-BY379)+(BZ380-BY380)+(BZ378-BY378)</f>
        <v>286.513202464174</v>
      </c>
      <c r="CA318" s="254">
        <f>-(CA364-BZ364)+(CA375-BZ375)+(CA376-BZ376)+(CA379-BZ379)+(CA380-BZ380)+(CA378-BZ378)</f>
        <v>292.679273925545</v>
      </c>
      <c r="CB318" s="254">
        <f>-(CB364-CA364)+(CB375-CA375)+(CB376-CA376)+(CB379-CA379)+(CB380-CA380)+(CB378-CA378)</f>
        <v>311.432437389864</v>
      </c>
      <c r="CC318" s="19" t="inlineStr">
        <is>
          <t>History: cash from operations − net income − D&amp;A − SBC − deferred taxes (incl. gains, other non-cash items). Forecast linked to the balance sheet: −Δ receivables + Δ(payables, accrued compensation, unearned revenue, taxes payable, other current liabilities); 2026E excludes the balances that left with Mobility and the geoscience portfolio.</t>
        </is>
      </c>
    </row>
    <row r="319" ht="15" customHeight="1" s="251">
      <c r="B319" s="16" t="inlineStr">
        <is>
          <t>Cash provided by operating activities</t>
        </is>
      </c>
      <c r="C319" s="43" t="n"/>
      <c r="D319" s="43" t="n"/>
      <c r="E319" s="277" t="n">
        <v>747</v>
      </c>
      <c r="F319" s="277" t="n">
        <v>26</v>
      </c>
      <c r="G319" s="277" t="n">
        <v>102</v>
      </c>
      <c r="H319" s="277" t="n">
        <v>179</v>
      </c>
      <c r="I319" s="277" t="n">
        <v>509</v>
      </c>
      <c r="J319" s="277" t="n">
        <v>816</v>
      </c>
      <c r="K319" s="277" t="n">
        <v>120</v>
      </c>
      <c r="L319" s="277" t="n">
        <v>339</v>
      </c>
      <c r="M319" s="277" t="n">
        <v>377</v>
      </c>
      <c r="N319" s="277" t="n">
        <v>373</v>
      </c>
      <c r="O319" s="277" t="n">
        <v>1209</v>
      </c>
      <c r="P319" s="277" t="n">
        <v>-1478</v>
      </c>
      <c r="Q319" s="277" t="n">
        <v>452</v>
      </c>
      <c r="R319" s="277" t="n">
        <v>541</v>
      </c>
      <c r="S319" s="277" t="n">
        <v>680</v>
      </c>
      <c r="T319" s="277" t="n">
        <v>195</v>
      </c>
      <c r="U319" s="277" t="n">
        <v>185</v>
      </c>
      <c r="V319" s="277" t="n">
        <v>455</v>
      </c>
      <c r="W319" s="277" t="n">
        <v>617</v>
      </c>
      <c r="X319" s="277" t="n">
        <v>207</v>
      </c>
      <c r="Y319" s="277" t="n">
        <v>1464</v>
      </c>
      <c r="Z319" s="277" t="n">
        <v>353</v>
      </c>
      <c r="AA319" s="277" t="n">
        <v>321</v>
      </c>
      <c r="AB319" s="277" t="n">
        <v>529</v>
      </c>
      <c r="AC319" s="277" t="n">
        <v>813</v>
      </c>
      <c r="AD319" s="277" t="n">
        <v>2016</v>
      </c>
      <c r="AE319" s="277" t="n">
        <v>360</v>
      </c>
      <c r="AF319" s="277" t="n">
        <v>543</v>
      </c>
      <c r="AG319" s="277" t="n">
        <v>498</v>
      </c>
      <c r="AH319" s="277" t="n">
        <v>663</v>
      </c>
      <c r="AI319" s="277" t="n">
        <v>2064</v>
      </c>
      <c r="AJ319" s="277" t="n">
        <v>293</v>
      </c>
      <c r="AK319" s="277" t="n">
        <v>717</v>
      </c>
      <c r="AL319" s="277" t="n">
        <v>762</v>
      </c>
      <c r="AM319" s="277" t="n">
        <v>1004</v>
      </c>
      <c r="AN319" s="277" t="n">
        <v>2776</v>
      </c>
      <c r="AO319" s="277" t="n">
        <v>680</v>
      </c>
      <c r="AP319" s="277" t="n">
        <v>937</v>
      </c>
      <c r="AQ319" s="277" t="n">
        <v>809</v>
      </c>
      <c r="AR319" s="277" t="n">
        <v>1141</v>
      </c>
      <c r="AS319" s="277" t="n">
        <v>3567</v>
      </c>
      <c r="AT319" s="277" t="n">
        <v>768</v>
      </c>
      <c r="AU319" s="277" t="n">
        <v>923</v>
      </c>
      <c r="AV319" s="277" t="n">
        <v>967</v>
      </c>
      <c r="AW319" s="277" t="n">
        <v>940</v>
      </c>
      <c r="AX319" s="277" t="n">
        <v>3598</v>
      </c>
      <c r="AY319" s="277" t="n">
        <v>222</v>
      </c>
      <c r="AZ319" s="277" t="n">
        <v>454</v>
      </c>
      <c r="BA319" s="277" t="n">
        <v>814</v>
      </c>
      <c r="BB319" s="277" t="n">
        <v>1113</v>
      </c>
      <c r="BC319" s="277" t="n">
        <v>2603</v>
      </c>
      <c r="BD319" s="277" t="n">
        <v>594</v>
      </c>
      <c r="BE319" s="277" t="n">
        <v>769</v>
      </c>
      <c r="BF319" s="277" t="n">
        <v>1013</v>
      </c>
      <c r="BG319" s="277" t="n">
        <v>1334</v>
      </c>
      <c r="BH319" s="277" t="n">
        <v>3710</v>
      </c>
      <c r="BI319" s="277" t="n">
        <v>948</v>
      </c>
      <c r="BJ319" s="277" t="n">
        <v>1556</v>
      </c>
      <c r="BK319" s="277" t="n">
        <v>1445</v>
      </c>
      <c r="BL319" s="277" t="n">
        <v>1740</v>
      </c>
      <c r="BM319" s="277" t="n">
        <v>5689</v>
      </c>
      <c r="BN319" s="277" t="n">
        <v>953</v>
      </c>
      <c r="BO319" s="277" t="n">
        <v>1445</v>
      </c>
      <c r="BP319" s="277" t="n">
        <v>1505</v>
      </c>
      <c r="BQ319" s="277" t="n">
        <v>1748</v>
      </c>
      <c r="BR319" s="277" t="n">
        <v>5651</v>
      </c>
      <c r="BS319" s="277" t="n">
        <v>1037</v>
      </c>
      <c r="BT319" s="277" t="n">
        <v>1439</v>
      </c>
      <c r="BU319" s="32" t="n"/>
      <c r="BV319" s="32" t="n"/>
      <c r="BW319" s="261">
        <f>SUM(BW311:BW318)</f>
        <v>5747.80578993806</v>
      </c>
      <c r="BX319" s="261">
        <f>SUM(BX311:BX318)</f>
        <v>6527.14367588031</v>
      </c>
      <c r="BY319" s="261">
        <f>SUM(BY311:BY318)</f>
        <v>7093.15954373105</v>
      </c>
      <c r="BZ319" s="261">
        <f>SUM(BZ311:BZ318)</f>
        <v>7566.13206684508</v>
      </c>
      <c r="CA319" s="261">
        <f>SUM(CA311:CA318)</f>
        <v>8068.10177468946</v>
      </c>
      <c r="CB319" s="261">
        <f>SUM(CB311:CB318)</f>
        <v>8598.23310297858</v>
      </c>
      <c r="CC319" s="153" t="n"/>
      <c r="CE319" s="20">
        <f>IFERROR((CB319/BW319)^(1/5)-1,"n/m")</f>
        <v>0.0838805570852093</v>
      </c>
      <c r="CF319" s="20">
        <f>IFERROR((BR319/AS319)^(1/5)-1,"n/m")</f>
        <v>0.0963884192349602</v>
      </c>
      <c r="CG319" s="20">
        <f>IFERROR((BR319/T319)^(1/10)-1,"n/m")</f>
        <v>0.400261246851494</v>
      </c>
      <c r="CH319" s="20" t="str">
        <f>IFERROR((BR319/C319)^(1/15)-1,"n/m")</f>
        <v>n/m</v>
      </c>
    </row>
    <row r="320" ht="15" customHeight="1" s="251">
      <c r="B320" s="25" t="inlineStr">
        <is>
          <t>Capital expenditures</t>
        </is>
      </c>
      <c r="C320" s="34" t="n"/>
      <c r="D320" s="34" t="n"/>
      <c r="E320" s="253" t="n">
        <v>-97</v>
      </c>
      <c r="F320" s="253" t="n">
        <v>-22</v>
      </c>
      <c r="G320" s="253" t="n">
        <v>-21</v>
      </c>
      <c r="H320" s="253" t="n">
        <v>-12</v>
      </c>
      <c r="I320" s="253" t="n">
        <v>-62</v>
      </c>
      <c r="J320" s="253" t="n">
        <v>-117</v>
      </c>
      <c r="K320" s="253" t="n">
        <v>-20</v>
      </c>
      <c r="L320" s="253" t="n">
        <v>-17</v>
      </c>
      <c r="M320" s="253" t="n">
        <v>-15</v>
      </c>
      <c r="N320" s="253" t="n">
        <v>-40</v>
      </c>
      <c r="O320" s="253" t="n">
        <v>-92</v>
      </c>
      <c r="P320" s="253" t="n">
        <v>-16</v>
      </c>
      <c r="Q320" s="253" t="n">
        <v>-26</v>
      </c>
      <c r="R320" s="253" t="n">
        <v>-32</v>
      </c>
      <c r="S320" s="253" t="n">
        <v>-65</v>
      </c>
      <c r="T320" s="253" t="n">
        <v>-139</v>
      </c>
      <c r="U320" s="253" t="n">
        <v>-16</v>
      </c>
      <c r="V320" s="253" t="n">
        <v>-20</v>
      </c>
      <c r="W320" s="253" t="n">
        <v>-31</v>
      </c>
      <c r="X320" s="253" t="n">
        <v>-48</v>
      </c>
      <c r="Y320" s="253" t="n">
        <v>-115</v>
      </c>
      <c r="Z320" s="253" t="n">
        <v>-23</v>
      </c>
      <c r="AA320" s="253" t="n">
        <v>-33</v>
      </c>
      <c r="AB320" s="253" t="n">
        <v>-21</v>
      </c>
      <c r="AC320" s="253" t="n">
        <v>-46</v>
      </c>
      <c r="AD320" s="253" t="n">
        <v>-123</v>
      </c>
      <c r="AE320" s="253" t="n">
        <v>-33</v>
      </c>
      <c r="AF320" s="253" t="n">
        <v>-27</v>
      </c>
      <c r="AG320" s="253" t="n">
        <v>-28</v>
      </c>
      <c r="AH320" s="253" t="n">
        <v>-25</v>
      </c>
      <c r="AI320" s="253" t="n">
        <v>-113</v>
      </c>
      <c r="AJ320" s="253" t="n">
        <v>-20</v>
      </c>
      <c r="AK320" s="253" t="n">
        <v>-26</v>
      </c>
      <c r="AL320" s="253" t="n">
        <v>-31</v>
      </c>
      <c r="AM320" s="253" t="n">
        <v>-38</v>
      </c>
      <c r="AN320" s="253" t="n">
        <v>-115</v>
      </c>
      <c r="AO320" s="253" t="n">
        <v>-11</v>
      </c>
      <c r="AP320" s="253" t="n">
        <v>-7</v>
      </c>
      <c r="AQ320" s="253" t="n">
        <v>-25</v>
      </c>
      <c r="AR320" s="253" t="n">
        <v>-33</v>
      </c>
      <c r="AS320" s="253" t="n">
        <v>-76</v>
      </c>
      <c r="AT320" s="253" t="n">
        <v>-18</v>
      </c>
      <c r="AU320" s="253" t="n">
        <v>-7</v>
      </c>
      <c r="AV320" s="253" t="n">
        <v>-8</v>
      </c>
      <c r="AW320" s="253" t="n">
        <v>-2</v>
      </c>
      <c r="AX320" s="253" t="n">
        <v>-35</v>
      </c>
      <c r="AY320" s="253" t="n">
        <v>-16</v>
      </c>
      <c r="AZ320" s="253" t="n">
        <v>-24</v>
      </c>
      <c r="BA320" s="253" t="n">
        <v>-21</v>
      </c>
      <c r="BB320" s="253" t="n">
        <v>-28</v>
      </c>
      <c r="BC320" s="253" t="n">
        <v>-89</v>
      </c>
      <c r="BD320" s="253" t="n">
        <v>-28</v>
      </c>
      <c r="BE320" s="253" t="n">
        <v>-31</v>
      </c>
      <c r="BF320" s="253" t="n">
        <v>-36</v>
      </c>
      <c r="BG320" s="253" t="n">
        <v>-48</v>
      </c>
      <c r="BH320" s="253" t="n">
        <v>-143</v>
      </c>
      <c r="BI320" s="253" t="n">
        <v>-24</v>
      </c>
      <c r="BJ320" s="253" t="n">
        <v>-32</v>
      </c>
      <c r="BK320" s="253" t="n">
        <v>-35</v>
      </c>
      <c r="BL320" s="253" t="n">
        <v>-33</v>
      </c>
      <c r="BM320" s="253" t="n">
        <v>-124</v>
      </c>
      <c r="BN320" s="253" t="n">
        <v>-43</v>
      </c>
      <c r="BO320" s="253" t="n">
        <v>-61</v>
      </c>
      <c r="BP320" s="253" t="n">
        <v>-45</v>
      </c>
      <c r="BQ320" s="253" t="n">
        <v>-46</v>
      </c>
      <c r="BR320" s="253" t="n">
        <v>-195</v>
      </c>
      <c r="BS320" s="253" t="n">
        <v>-27</v>
      </c>
      <c r="BT320" s="253" t="n">
        <v>-38</v>
      </c>
      <c r="BU320" s="35" t="n"/>
      <c r="BV320" s="35" t="n"/>
      <c r="BW320" s="254">
        <f>SUM(BS320:BT320)-$CM$30</f>
        <v>-200</v>
      </c>
      <c r="BX320" s="254">
        <f>-BX187*BX348</f>
        <v>-215.966842802896</v>
      </c>
      <c r="BY320" s="254">
        <f>-BY187*BY348</f>
        <v>-231.234964818658</v>
      </c>
      <c r="BZ320" s="254">
        <f>-BZ187*BZ348</f>
        <v>-247.111801174912</v>
      </c>
      <c r="CA320" s="254">
        <f>-CA187*CA348</f>
        <v>-263.330324080725</v>
      </c>
      <c r="CB320" s="254">
        <f>-CB187*CB348</f>
        <v>-280.588034377989</v>
      </c>
      <c r="CC320" s="19" t="inlineStr">
        <is>
          <t>2026E: 1H actual + 2H point estimate (FY26 guidance $190–210m continuing operations). 2027E+: revenue × capex %.</t>
        </is>
      </c>
    </row>
    <row r="321" ht="15" customHeight="1" s="251">
      <c r="B321" s="25" t="inlineStr">
        <is>
          <t>Acquisitions, net of cash acquired</t>
        </is>
      </c>
      <c r="C321" s="34" t="n"/>
      <c r="D321" s="34" t="n"/>
      <c r="E321" s="253" t="n">
        <v>-177</v>
      </c>
      <c r="F321" s="253" t="n">
        <v>0</v>
      </c>
      <c r="G321" s="253" t="n">
        <v>0</v>
      </c>
      <c r="H321" s="253" t="n">
        <v>0</v>
      </c>
      <c r="I321" s="253" t="n">
        <v>-273</v>
      </c>
      <c r="J321" s="253" t="n">
        <v>-273</v>
      </c>
      <c r="K321" s="253" t="n">
        <v>-15</v>
      </c>
      <c r="L321" s="253" t="n">
        <v>-1</v>
      </c>
      <c r="M321" s="253" t="n">
        <v>-49</v>
      </c>
      <c r="N321" s="253" t="n">
        <v>-17</v>
      </c>
      <c r="O321" s="253" t="n">
        <v>-82</v>
      </c>
      <c r="P321" s="253" t="n">
        <v>-2</v>
      </c>
      <c r="Q321" s="253" t="n">
        <v>0</v>
      </c>
      <c r="R321" s="253" t="n">
        <v>-2391</v>
      </c>
      <c r="S321" s="253" t="n">
        <v>-7</v>
      </c>
      <c r="T321" s="253" t="n">
        <v>-2400</v>
      </c>
      <c r="U321" s="253" t="n">
        <v>-7</v>
      </c>
      <c r="V321" s="253" t="n">
        <v>-45</v>
      </c>
      <c r="W321" s="253" t="n">
        <v>-93</v>
      </c>
      <c r="X321" s="253" t="n">
        <v>-32</v>
      </c>
      <c r="Y321" s="253" t="n">
        <v>-177</v>
      </c>
      <c r="Z321" s="253" t="n">
        <v>-1</v>
      </c>
      <c r="AA321" s="253" t="n">
        <v>-69</v>
      </c>
      <c r="AB321" s="253" t="n">
        <v>-10</v>
      </c>
      <c r="AC321" s="253" t="n">
        <v>-3</v>
      </c>
      <c r="AD321" s="253" t="n">
        <v>-83</v>
      </c>
      <c r="AE321" s="253" t="n">
        <v>-57</v>
      </c>
      <c r="AF321" s="253" t="n">
        <v>-189</v>
      </c>
      <c r="AG321" s="253" t="n">
        <v>-17</v>
      </c>
      <c r="AH321" s="253" t="n">
        <v>263</v>
      </c>
      <c r="AI321" s="253" t="n">
        <v>0</v>
      </c>
      <c r="AJ321" s="253" t="n">
        <v>-1</v>
      </c>
      <c r="AK321" s="253" t="n">
        <v>-3</v>
      </c>
      <c r="AL321" s="253" t="n">
        <v>-21</v>
      </c>
      <c r="AM321" s="253" t="n">
        <v>-66</v>
      </c>
      <c r="AN321" s="253" t="n">
        <v>-91</v>
      </c>
      <c r="AO321" s="253" t="n">
        <v>-183</v>
      </c>
      <c r="AP321" s="253" t="n">
        <v>-2</v>
      </c>
      <c r="AQ321" s="253" t="n">
        <v>-4</v>
      </c>
      <c r="AR321" s="253" t="n">
        <v>-12</v>
      </c>
      <c r="AS321" s="253" t="n">
        <v>-201</v>
      </c>
      <c r="AT321" s="253" t="n">
        <v>-9</v>
      </c>
      <c r="AU321" s="253" t="n">
        <v>-1</v>
      </c>
      <c r="AV321" s="253" t="n">
        <v>-9</v>
      </c>
      <c r="AW321" s="253" t="n">
        <v>-80</v>
      </c>
      <c r="AX321" s="253" t="n">
        <v>-99</v>
      </c>
      <c r="AY321" s="253" t="n">
        <v>295</v>
      </c>
      <c r="AZ321" s="253" t="n">
        <v>-20</v>
      </c>
      <c r="BA321" s="253" t="n">
        <v>-33</v>
      </c>
      <c r="BB321" s="253" t="n">
        <v>-32</v>
      </c>
      <c r="BC321" s="253" t="n">
        <v>210</v>
      </c>
      <c r="BD321" s="253" t="n">
        <v>-272</v>
      </c>
      <c r="BE321" s="253" t="n">
        <v>-14</v>
      </c>
      <c r="BF321" s="253" t="n">
        <v>-7</v>
      </c>
      <c r="BG321" s="253" t="n">
        <v>-3</v>
      </c>
      <c r="BH321" s="253" t="n">
        <v>-296</v>
      </c>
      <c r="BI321" s="253" t="n">
        <v>-1</v>
      </c>
      <c r="BJ321" s="253" t="n">
        <v>-260</v>
      </c>
      <c r="BK321" s="253" t="n">
        <v>-3</v>
      </c>
      <c r="BL321" s="253" t="n">
        <v>-41</v>
      </c>
      <c r="BM321" s="253" t="n">
        <v>-305</v>
      </c>
      <c r="BN321" s="253" t="n">
        <v>-13</v>
      </c>
      <c r="BO321" s="253" t="n">
        <v>-12</v>
      </c>
      <c r="BP321" s="253" t="n">
        <v>-25</v>
      </c>
      <c r="BQ321" s="253" t="n">
        <v>-1973</v>
      </c>
      <c r="BR321" s="253" t="n">
        <v>-2023</v>
      </c>
      <c r="BS321" s="253" t="n">
        <v>-12</v>
      </c>
      <c r="BT321" s="253" t="n">
        <v>-14</v>
      </c>
      <c r="BU321" s="35" t="n"/>
      <c r="BV321" s="35" t="n"/>
      <c r="BW321" s="254">
        <f>SUM(BS321:BT321)-100.0</f>
        <v>-126</v>
      </c>
      <c r="BX321" s="254">
        <f>-BX124</f>
        <v>-500</v>
      </c>
      <c r="BY321" s="254">
        <f>-BY124</f>
        <v>-500</v>
      </c>
      <c r="BZ321" s="254">
        <f>-BZ124</f>
        <v>-500</v>
      </c>
      <c r="CA321" s="254">
        <f>-CA124</f>
        <v>-500</v>
      </c>
      <c r="CB321" s="254">
        <f>-CB124</f>
        <v>-500</v>
      </c>
      <c r="CC321" s="19" t="inlineStr">
        <is>
          <t>2026E: 1H actual (Enertel AI) + 2H input (Agusto &amp; Co., datacenterHawk: not material, price undisclosed — assumption). 2027E+: M&amp;A lever.</t>
        </is>
      </c>
    </row>
    <row r="322" ht="15" customHeight="1" s="251">
      <c r="B322" s="25" t="inlineStr">
        <is>
          <t>Proceeds from dispositions, net</t>
        </is>
      </c>
      <c r="C322" s="34" t="n"/>
      <c r="D322" s="34" t="n"/>
      <c r="E322" s="253" t="n">
        <v>0</v>
      </c>
      <c r="F322" s="253" t="n">
        <v>0</v>
      </c>
      <c r="G322" s="253" t="n">
        <v>0</v>
      </c>
      <c r="H322" s="253" t="n">
        <v>0</v>
      </c>
      <c r="I322" s="253" t="n">
        <v>0</v>
      </c>
      <c r="J322" s="253" t="n">
        <v>0</v>
      </c>
      <c r="K322" s="253" t="n">
        <v>0</v>
      </c>
      <c r="L322" s="253" t="n">
        <v>0</v>
      </c>
      <c r="M322" s="253" t="n">
        <v>0</v>
      </c>
      <c r="N322" s="253" t="n">
        <v>0</v>
      </c>
      <c r="O322" s="253" t="n">
        <v>0</v>
      </c>
      <c r="P322" s="253" t="n">
        <v>0</v>
      </c>
      <c r="Q322" s="253" t="n">
        <v>11</v>
      </c>
      <c r="R322" s="253" t="n">
        <v>-11</v>
      </c>
      <c r="S322" s="253" t="n">
        <v>0</v>
      </c>
      <c r="T322" s="253" t="n">
        <v>0</v>
      </c>
      <c r="U322" s="253" t="n">
        <v>0</v>
      </c>
      <c r="V322" s="253" t="n">
        <v>0</v>
      </c>
      <c r="W322" s="253" t="n">
        <v>0</v>
      </c>
      <c r="X322" s="253" t="n">
        <v>0</v>
      </c>
      <c r="Y322" s="253" t="n">
        <v>0</v>
      </c>
      <c r="Z322" s="253" t="n">
        <v>0</v>
      </c>
      <c r="AA322" s="253" t="n">
        <v>0</v>
      </c>
      <c r="AB322" s="253" t="n">
        <v>0</v>
      </c>
      <c r="AC322" s="253" t="n">
        <v>0</v>
      </c>
      <c r="AD322" s="253" t="n">
        <v>0</v>
      </c>
      <c r="AE322" s="253" t="n">
        <v>0</v>
      </c>
      <c r="AF322" s="253" t="n">
        <v>0</v>
      </c>
      <c r="AG322" s="253" t="n">
        <v>0</v>
      </c>
      <c r="AH322" s="253" t="n">
        <v>0</v>
      </c>
      <c r="AI322" s="253" t="n">
        <v>0</v>
      </c>
      <c r="AJ322" s="253" t="n">
        <v>0</v>
      </c>
      <c r="AK322" s="253" t="n">
        <v>0</v>
      </c>
      <c r="AL322" s="253" t="n">
        <v>0</v>
      </c>
      <c r="AM322" s="253" t="n">
        <v>0</v>
      </c>
      <c r="AN322" s="253" t="n">
        <v>0</v>
      </c>
      <c r="AO322" s="253" t="n">
        <v>0</v>
      </c>
      <c r="AP322" s="253" t="n">
        <v>0</v>
      </c>
      <c r="AQ322" s="253" t="n">
        <v>0</v>
      </c>
      <c r="AR322" s="253" t="n">
        <v>0</v>
      </c>
      <c r="AS322" s="253" t="n">
        <v>0</v>
      </c>
      <c r="AT322" s="253" t="n">
        <v>0</v>
      </c>
      <c r="AU322" s="253" t="n">
        <v>0</v>
      </c>
      <c r="AV322" s="253" t="n">
        <v>0</v>
      </c>
      <c r="AW322" s="253" t="n">
        <v>0</v>
      </c>
      <c r="AX322" s="253" t="n">
        <v>0</v>
      </c>
      <c r="AY322" s="253" t="n">
        <v>0</v>
      </c>
      <c r="AZ322" s="253" t="n">
        <v>0</v>
      </c>
      <c r="BA322" s="253" t="n">
        <v>0</v>
      </c>
      <c r="BB322" s="253" t="n">
        <v>0</v>
      </c>
      <c r="BC322" s="253" t="n">
        <v>0</v>
      </c>
      <c r="BD322" s="253" t="n">
        <v>0</v>
      </c>
      <c r="BE322" s="253" t="n">
        <v>1002</v>
      </c>
      <c r="BF322" s="253" t="n">
        <v>2</v>
      </c>
      <c r="BG322" s="253" t="n">
        <v>10</v>
      </c>
      <c r="BH322" s="253" t="n">
        <v>1014</v>
      </c>
      <c r="BI322" s="253" t="n">
        <v>0</v>
      </c>
      <c r="BJ322" s="253" t="n">
        <v>-4</v>
      </c>
      <c r="BK322" s="253" t="n">
        <v>98</v>
      </c>
      <c r="BL322" s="253" t="n">
        <v>74</v>
      </c>
      <c r="BM322" s="253" t="n">
        <v>168</v>
      </c>
      <c r="BN322" s="253" t="n">
        <v>0</v>
      </c>
      <c r="BO322" s="253" t="n">
        <v>15</v>
      </c>
      <c r="BP322" s="253" t="n">
        <v>4</v>
      </c>
      <c r="BQ322" s="253" t="n">
        <v>1530</v>
      </c>
      <c r="BR322" s="253" t="n">
        <v>1549</v>
      </c>
      <c r="BS322" s="253" t="n">
        <v>345</v>
      </c>
      <c r="BT322" s="253" t="n">
        <v>16</v>
      </c>
      <c r="BU322" s="35" t="n"/>
      <c r="BV322" s="35" t="n"/>
      <c r="BW322" s="254">
        <f>SUM(BS322:BT322)+SUM(BU194:BV194)+92.0</f>
        <v>703</v>
      </c>
      <c r="BX322" s="254">
        <f>BX194</f>
        <v>0</v>
      </c>
      <c r="BY322" s="254">
        <f>BY194</f>
        <v>0</v>
      </c>
      <c r="BZ322" s="254">
        <f>BZ194</f>
        <v>0</v>
      </c>
      <c r="CA322" s="254">
        <f>CA194</f>
        <v>0</v>
      </c>
      <c r="CB322" s="254">
        <f>CB194</f>
        <v>0</v>
      </c>
      <c r="CC322" s="19" t="inlineStr">
        <is>
          <t>2026E: 1H actual (EDM / thinkFolio) + geoscience portfolio sale to SLB (assumption: proceeds = net assets held for sale + modelled gain; terms not disclosed).</t>
        </is>
      </c>
    </row>
    <row r="323" ht="15" customHeight="1" s="251">
      <c r="B323" s="25" t="inlineStr">
        <is>
          <t>Other investing activities, net (short-term investments; derived)</t>
        </is>
      </c>
      <c r="C323" s="34" t="n"/>
      <c r="D323" s="34" t="n"/>
      <c r="E323" s="253" t="n">
        <v>27</v>
      </c>
      <c r="F323" s="253" t="n">
        <v>2159</v>
      </c>
      <c r="G323" s="253" t="n">
        <v>0</v>
      </c>
      <c r="H323" s="253" t="n">
        <v>37</v>
      </c>
      <c r="I323" s="253" t="n">
        <v>-1936</v>
      </c>
      <c r="J323" s="253" t="n">
        <v>260</v>
      </c>
      <c r="K323" s="253" t="n">
        <v>0</v>
      </c>
      <c r="L323" s="253" t="n">
        <v>1</v>
      </c>
      <c r="M323" s="253" t="n">
        <v>81</v>
      </c>
      <c r="N323" s="253" t="n">
        <v>27</v>
      </c>
      <c r="O323" s="253" t="n">
        <v>109</v>
      </c>
      <c r="P323" s="253" t="n">
        <v>-1</v>
      </c>
      <c r="Q323" s="253" t="n">
        <v>-3</v>
      </c>
      <c r="R323" s="253" t="n">
        <v>15</v>
      </c>
      <c r="S323" s="253" t="n">
        <v>3</v>
      </c>
      <c r="T323" s="253" t="n">
        <v>14</v>
      </c>
      <c r="U323" s="253" t="n">
        <v>-1</v>
      </c>
      <c r="V323" s="253" t="n">
        <v>1</v>
      </c>
      <c r="W323" s="253" t="n">
        <v>1070</v>
      </c>
      <c r="X323" s="253" t="n">
        <v>427</v>
      </c>
      <c r="Y323" s="253" t="n">
        <v>1497</v>
      </c>
      <c r="Z323" s="253" t="n">
        <v>2</v>
      </c>
      <c r="AA323" s="253" t="n">
        <v>0</v>
      </c>
      <c r="AB323" s="253" t="n">
        <v>0</v>
      </c>
      <c r="AC323" s="253" t="n">
        <v>-5</v>
      </c>
      <c r="AD323" s="253" t="n">
        <v>-3</v>
      </c>
      <c r="AE323" s="253" t="n">
        <v>3</v>
      </c>
      <c r="AF323" s="253" t="n">
        <v>-2</v>
      </c>
      <c r="AG323" s="253" t="n">
        <v>4</v>
      </c>
      <c r="AH323" s="253" t="n">
        <v>-405</v>
      </c>
      <c r="AI323" s="253" t="n">
        <v>-400</v>
      </c>
      <c r="AJ323" s="253" t="n">
        <v>0</v>
      </c>
      <c r="AK323" s="253" t="n">
        <v>-3</v>
      </c>
      <c r="AL323" s="253" t="n">
        <v>85</v>
      </c>
      <c r="AM323" s="253" t="n">
        <v>-7</v>
      </c>
      <c r="AN323" s="253" t="n">
        <v>75</v>
      </c>
      <c r="AO323" s="253" t="n">
        <v>11</v>
      </c>
      <c r="AP323" s="253" t="n">
        <v>6</v>
      </c>
      <c r="AQ323" s="253" t="n">
        <v>11</v>
      </c>
      <c r="AR323" s="253" t="n">
        <v>9</v>
      </c>
      <c r="AS323" s="253" t="n">
        <v>37</v>
      </c>
      <c r="AT323" s="253" t="n">
        <v>3</v>
      </c>
      <c r="AU323" s="253" t="n">
        <v>-1</v>
      </c>
      <c r="AV323" s="253" t="n">
        <v>8</v>
      </c>
      <c r="AW323" s="253" t="n">
        <v>4</v>
      </c>
      <c r="AX323" s="253" t="n">
        <v>14</v>
      </c>
      <c r="AY323" s="253" t="n">
        <v>2622</v>
      </c>
      <c r="AZ323" s="253" t="n">
        <v>888</v>
      </c>
      <c r="BA323" s="253" t="n">
        <v>-2</v>
      </c>
      <c r="BB323" s="253" t="n">
        <v>-1</v>
      </c>
      <c r="BC323" s="253" t="n">
        <v>3507</v>
      </c>
      <c r="BD323" s="253" t="n">
        <v>47</v>
      </c>
      <c r="BE323" s="253" t="n">
        <v>-48</v>
      </c>
      <c r="BF323" s="253" t="n">
        <v>-8</v>
      </c>
      <c r="BG323" s="253" t="n">
        <v>-4</v>
      </c>
      <c r="BH323" s="253" t="n">
        <v>-13</v>
      </c>
      <c r="BI323" s="253" t="n">
        <v>5</v>
      </c>
      <c r="BJ323" s="253" t="n">
        <v>-3</v>
      </c>
      <c r="BK323" s="253" t="n">
        <v>-3</v>
      </c>
      <c r="BL323" s="253" t="n">
        <v>7</v>
      </c>
      <c r="BM323" s="253" t="n">
        <v>6</v>
      </c>
      <c r="BN323" s="253" t="n">
        <v>-23</v>
      </c>
      <c r="BO323" s="253" t="n">
        <v>6</v>
      </c>
      <c r="BP323" s="253" t="n">
        <v>-35</v>
      </c>
      <c r="BQ323" s="253" t="n">
        <v>17</v>
      </c>
      <c r="BR323" s="253" t="n">
        <v>-35</v>
      </c>
      <c r="BS323" s="253" t="n">
        <v>-15</v>
      </c>
      <c r="BT323" s="253" t="n">
        <v>-3</v>
      </c>
      <c r="BU323" s="35" t="n"/>
      <c r="BV323" s="35" t="n"/>
      <c r="BW323" s="254">
        <f>SUM(BS323:BT323)</f>
        <v>-18</v>
      </c>
      <c r="BX323" s="265" t="n">
        <v>0</v>
      </c>
      <c r="BY323" s="265" t="n">
        <v>0</v>
      </c>
      <c r="BZ323" s="265" t="n">
        <v>0</v>
      </c>
      <c r="CA323" s="265" t="n">
        <v>0</v>
      </c>
      <c r="CB323" s="265" t="n">
        <v>0</v>
      </c>
      <c r="CC323" s="19" t="n"/>
    </row>
    <row r="324" ht="15" customHeight="1" s="251">
      <c r="B324" s="16" t="inlineStr">
        <is>
          <t>Cash provided by (used for) investing activities</t>
        </is>
      </c>
      <c r="C324" s="43" t="n"/>
      <c r="D324" s="43" t="n"/>
      <c r="E324" s="277" t="n">
        <v>-247</v>
      </c>
      <c r="F324" s="277" t="n">
        <v>2137</v>
      </c>
      <c r="G324" s="277" t="n">
        <v>-21</v>
      </c>
      <c r="H324" s="277" t="n">
        <v>25</v>
      </c>
      <c r="I324" s="277" t="n">
        <v>-2271</v>
      </c>
      <c r="J324" s="277" t="n">
        <v>-130</v>
      </c>
      <c r="K324" s="277" t="n">
        <v>-35</v>
      </c>
      <c r="L324" s="277" t="n">
        <v>-17</v>
      </c>
      <c r="M324" s="277" t="n">
        <v>17</v>
      </c>
      <c r="N324" s="277" t="n">
        <v>-30</v>
      </c>
      <c r="O324" s="277" t="n">
        <v>-65</v>
      </c>
      <c r="P324" s="277" t="n">
        <v>-19</v>
      </c>
      <c r="Q324" s="277" t="n">
        <v>-18</v>
      </c>
      <c r="R324" s="277" t="n">
        <v>-2419</v>
      </c>
      <c r="S324" s="277" t="n">
        <v>-69</v>
      </c>
      <c r="T324" s="277" t="n">
        <v>-2525</v>
      </c>
      <c r="U324" s="277" t="n">
        <v>-24</v>
      </c>
      <c r="V324" s="277" t="n">
        <v>-64</v>
      </c>
      <c r="W324" s="277" t="n">
        <v>946</v>
      </c>
      <c r="X324" s="277" t="n">
        <v>347</v>
      </c>
      <c r="Y324" s="277" t="n">
        <v>1205</v>
      </c>
      <c r="Z324" s="277" t="n">
        <v>-22</v>
      </c>
      <c r="AA324" s="277" t="n">
        <v>-102</v>
      </c>
      <c r="AB324" s="277" t="n">
        <v>-31</v>
      </c>
      <c r="AC324" s="277" t="n">
        <v>-54</v>
      </c>
      <c r="AD324" s="277" t="n">
        <v>-209</v>
      </c>
      <c r="AE324" s="277" t="n">
        <v>-87</v>
      </c>
      <c r="AF324" s="277" t="n">
        <v>-218</v>
      </c>
      <c r="AG324" s="277" t="n">
        <v>-41</v>
      </c>
      <c r="AH324" s="277" t="n">
        <v>-167</v>
      </c>
      <c r="AI324" s="277" t="n">
        <v>-513</v>
      </c>
      <c r="AJ324" s="277" t="n">
        <v>-21</v>
      </c>
      <c r="AK324" s="277" t="n">
        <v>-32</v>
      </c>
      <c r="AL324" s="277" t="n">
        <v>33</v>
      </c>
      <c r="AM324" s="277" t="n">
        <v>-111</v>
      </c>
      <c r="AN324" s="277" t="n">
        <v>-131</v>
      </c>
      <c r="AO324" s="277" t="n">
        <v>-183</v>
      </c>
      <c r="AP324" s="277" t="n">
        <v>-3</v>
      </c>
      <c r="AQ324" s="277" t="n">
        <v>-18</v>
      </c>
      <c r="AR324" s="277" t="n">
        <v>-36</v>
      </c>
      <c r="AS324" s="277" t="n">
        <v>-240</v>
      </c>
      <c r="AT324" s="277" t="n">
        <v>-24</v>
      </c>
      <c r="AU324" s="277" t="n">
        <v>-9</v>
      </c>
      <c r="AV324" s="277" t="n">
        <v>-9</v>
      </c>
      <c r="AW324" s="277" t="n">
        <v>-78</v>
      </c>
      <c r="AX324" s="277" t="n">
        <v>-120</v>
      </c>
      <c r="AY324" s="277" t="n">
        <v>2901</v>
      </c>
      <c r="AZ324" s="277" t="n">
        <v>844</v>
      </c>
      <c r="BA324" s="277" t="n">
        <v>-56</v>
      </c>
      <c r="BB324" s="277" t="n">
        <v>-61</v>
      </c>
      <c r="BC324" s="277" t="n">
        <v>3628</v>
      </c>
      <c r="BD324" s="277" t="n">
        <v>-253</v>
      </c>
      <c r="BE324" s="277" t="n">
        <v>909</v>
      </c>
      <c r="BF324" s="277" t="n">
        <v>-49</v>
      </c>
      <c r="BG324" s="277" t="n">
        <v>-45</v>
      </c>
      <c r="BH324" s="277" t="n">
        <v>562</v>
      </c>
      <c r="BI324" s="277" t="n">
        <v>-20</v>
      </c>
      <c r="BJ324" s="277" t="n">
        <v>-299</v>
      </c>
      <c r="BK324" s="277" t="n">
        <v>57</v>
      </c>
      <c r="BL324" s="277" t="n">
        <v>7</v>
      </c>
      <c r="BM324" s="277" t="n">
        <v>-255</v>
      </c>
      <c r="BN324" s="277" t="n">
        <v>-79</v>
      </c>
      <c r="BO324" s="277" t="n">
        <v>-52</v>
      </c>
      <c r="BP324" s="277" t="n">
        <v>-101</v>
      </c>
      <c r="BQ324" s="277" t="n">
        <v>-472</v>
      </c>
      <c r="BR324" s="277" t="n">
        <v>-704</v>
      </c>
      <c r="BS324" s="277" t="n">
        <v>291</v>
      </c>
      <c r="BT324" s="277" t="n">
        <v>-39</v>
      </c>
      <c r="BU324" s="32" t="n"/>
      <c r="BV324" s="32" t="n"/>
      <c r="BW324" s="261">
        <f>SUM(BW320:BW323)</f>
        <v>359</v>
      </c>
      <c r="BX324" s="261">
        <f>SUM(BX320:BX323)</f>
        <v>-715.966842802896</v>
      </c>
      <c r="BY324" s="261">
        <f>SUM(BY320:BY323)</f>
        <v>-731.234964818658</v>
      </c>
      <c r="BZ324" s="261">
        <f>SUM(BZ320:BZ323)</f>
        <v>-747.111801174912</v>
      </c>
      <c r="CA324" s="261">
        <f>SUM(CA320:CA323)</f>
        <v>-763.330324080725</v>
      </c>
      <c r="CB324" s="261">
        <f>SUM(CB320:CB323)</f>
        <v>-780.588034377989</v>
      </c>
      <c r="CC324" s="153" t="n"/>
    </row>
    <row r="325" ht="15" customHeight="1" s="251">
      <c r="B325" s="25" t="inlineStr">
        <is>
          <t>Repurchase of treasury shares</t>
        </is>
      </c>
      <c r="C325" s="34" t="n"/>
      <c r="D325" s="34" t="n"/>
      <c r="E325" s="253" t="n">
        <v>-295</v>
      </c>
      <c r="F325" s="253" t="n">
        <v>-500</v>
      </c>
      <c r="G325" s="253" t="n">
        <v>0</v>
      </c>
      <c r="H325" s="253" t="n">
        <v>-350</v>
      </c>
      <c r="I325" s="253" t="n">
        <v>-128</v>
      </c>
      <c r="J325" s="253" t="n">
        <v>-978</v>
      </c>
      <c r="K325" s="253" t="n">
        <v>-164</v>
      </c>
      <c r="L325" s="253" t="n">
        <v>-198</v>
      </c>
      <c r="M325" s="253" t="n">
        <v>0</v>
      </c>
      <c r="N325" s="253" t="n">
        <v>0</v>
      </c>
      <c r="O325" s="253" t="n">
        <v>-362</v>
      </c>
      <c r="P325" s="253" t="n">
        <v>-110</v>
      </c>
      <c r="Q325" s="253" t="n">
        <v>-164</v>
      </c>
      <c r="R325" s="253" t="n">
        <v>-227</v>
      </c>
      <c r="S325" s="253" t="n">
        <v>-473</v>
      </c>
      <c r="T325" s="253" t="n">
        <v>-974</v>
      </c>
      <c r="U325" s="253" t="n">
        <v>-226</v>
      </c>
      <c r="V325" s="253" t="n">
        <v>-147</v>
      </c>
      <c r="W325" s="253" t="n">
        <v>-750</v>
      </c>
      <c r="X325" s="253" t="n">
        <v>0</v>
      </c>
      <c r="Y325" s="253" t="n">
        <v>-1123</v>
      </c>
      <c r="Z325" s="253" t="n">
        <v>-201</v>
      </c>
      <c r="AA325" s="253" t="n">
        <v>-145</v>
      </c>
      <c r="AB325" s="253" t="n">
        <v>-500</v>
      </c>
      <c r="AC325" s="253" t="n">
        <v>-155</v>
      </c>
      <c r="AD325" s="253" t="n">
        <v>-1001</v>
      </c>
      <c r="AE325" s="253" t="n">
        <v>-1100</v>
      </c>
      <c r="AF325" s="253" t="n">
        <v>0</v>
      </c>
      <c r="AG325" s="253" t="n">
        <v>-8</v>
      </c>
      <c r="AH325" s="253" t="n">
        <v>-552</v>
      </c>
      <c r="AI325" s="253" t="n">
        <v>-1660</v>
      </c>
      <c r="AJ325" s="253" t="n">
        <v>-644</v>
      </c>
      <c r="AK325" s="253" t="n">
        <v>0</v>
      </c>
      <c r="AL325" s="253" t="n">
        <v>-500</v>
      </c>
      <c r="AM325" s="253" t="n">
        <v>-96</v>
      </c>
      <c r="AN325" s="253" t="n">
        <v>-1240</v>
      </c>
      <c r="AO325" s="253" t="n">
        <v>-1153</v>
      </c>
      <c r="AP325" s="253" t="n">
        <v>0</v>
      </c>
      <c r="AQ325" s="253" t="n">
        <v>-11</v>
      </c>
      <c r="AR325" s="253" t="n">
        <v>0</v>
      </c>
      <c r="AS325" s="253" t="n">
        <v>-1164</v>
      </c>
      <c r="AT325" s="253" t="n">
        <v>0</v>
      </c>
      <c r="AU325" s="253" t="n">
        <v>0</v>
      </c>
      <c r="AV325" s="253" t="n">
        <v>0</v>
      </c>
      <c r="AW325" s="253" t="n">
        <v>0</v>
      </c>
      <c r="AX325" s="253" t="n">
        <v>0</v>
      </c>
      <c r="AY325" s="253" t="n">
        <v>-7003</v>
      </c>
      <c r="AZ325" s="253" t="n">
        <v>-1500</v>
      </c>
      <c r="BA325" s="253" t="n">
        <v>-2500</v>
      </c>
      <c r="BB325" s="253" t="n">
        <v>-1001</v>
      </c>
      <c r="BC325" s="253" t="n">
        <v>-12004</v>
      </c>
      <c r="BD325" s="253" t="n">
        <v>-500</v>
      </c>
      <c r="BE325" s="253" t="n">
        <v>-1001</v>
      </c>
      <c r="BF325" s="253" t="n">
        <v>-500</v>
      </c>
      <c r="BG325" s="253" t="n">
        <v>-1300</v>
      </c>
      <c r="BH325" s="253" t="n">
        <v>-3301</v>
      </c>
      <c r="BI325" s="253" t="n">
        <v>-500</v>
      </c>
      <c r="BJ325" s="253" t="n">
        <v>0</v>
      </c>
      <c r="BK325" s="253" t="n">
        <v>-1501</v>
      </c>
      <c r="BL325" s="253" t="n">
        <v>-1300</v>
      </c>
      <c r="BM325" s="253" t="n">
        <v>-3301</v>
      </c>
      <c r="BN325" s="253" t="n">
        <v>-650</v>
      </c>
      <c r="BO325" s="253" t="n">
        <v>-651</v>
      </c>
      <c r="BP325" s="253" t="n">
        <v>-1200</v>
      </c>
      <c r="BQ325" s="253" t="n">
        <v>-2500</v>
      </c>
      <c r="BR325" s="253" t="n">
        <v>-5001</v>
      </c>
      <c r="BS325" s="253" t="n">
        <v>-1000</v>
      </c>
      <c r="BT325" s="253" t="n">
        <v>-500</v>
      </c>
      <c r="BU325" s="35" t="n"/>
      <c r="BV325" s="35" t="n"/>
      <c r="BW325" s="254">
        <f>SUM(BS325:BT325)-CHOOSE(MATCH($CC$2,{"Bull","Base","Bear"},0),$CL$17,$CM$17,$CN$17)</f>
        <v>-7250</v>
      </c>
      <c r="BX325" s="254">
        <f>-BX451</f>
        <v>-4348.87689054758</v>
      </c>
      <c r="BY325" s="254">
        <f>-BY451</f>
        <v>-5682.16159477026</v>
      </c>
      <c r="BZ325" s="254">
        <f>-BZ451</f>
        <v>-6067.05029778714</v>
      </c>
      <c r="CA325" s="254">
        <f>-CA451</f>
        <v>-6537.93562135185</v>
      </c>
      <c r="CB325" s="254">
        <f>-CB451</f>
        <v>-7022.06851843828</v>
      </c>
      <c r="CC325" s="19" t="inlineStr">
        <is>
          <t>2026E: 1H actual ($1.5bn ASRs) + 2H scenario input (company expects &gt;$7bn of 2026 repurchases). 2027E+ = leverage plug (surplus cash returned until net debt / adjusted EBITDA reaches the target).</t>
        </is>
      </c>
    </row>
    <row r="326" ht="15" customHeight="1" s="251">
      <c r="B326" s="25" t="inlineStr">
        <is>
          <t>Dividends paid to shareholders</t>
        </is>
      </c>
      <c r="C326" s="34" t="n"/>
      <c r="D326" s="34" t="n"/>
      <c r="E326" s="253" t="n">
        <v>-984</v>
      </c>
      <c r="F326" s="253" t="n">
        <v>-79</v>
      </c>
      <c r="G326" s="253" t="n">
        <v>-77</v>
      </c>
      <c r="H326" s="253" t="n">
        <v>-76</v>
      </c>
      <c r="I326" s="253" t="n">
        <v>-76</v>
      </c>
      <c r="J326" s="253" t="n">
        <v>-308</v>
      </c>
      <c r="K326" s="253" t="n">
        <v>-82</v>
      </c>
      <c r="L326" s="253" t="n">
        <v>-81</v>
      </c>
      <c r="M326" s="253" t="n">
        <v>-82</v>
      </c>
      <c r="N326" s="253" t="n">
        <v>-81</v>
      </c>
      <c r="O326" s="253" t="n">
        <v>-326</v>
      </c>
      <c r="P326" s="253" t="n">
        <v>-94</v>
      </c>
      <c r="Q326" s="253" t="n">
        <v>-91</v>
      </c>
      <c r="R326" s="253" t="n">
        <v>-89</v>
      </c>
      <c r="S326" s="253" t="n">
        <v>-89</v>
      </c>
      <c r="T326" s="253" t="n">
        <v>-363</v>
      </c>
      <c r="U326" s="253" t="n">
        <v>-96</v>
      </c>
      <c r="V326" s="253" t="n">
        <v>-95</v>
      </c>
      <c r="W326" s="253" t="n">
        <v>-95</v>
      </c>
      <c r="X326" s="253" t="n">
        <v>-94</v>
      </c>
      <c r="Y326" s="253" t="n">
        <v>-380</v>
      </c>
      <c r="Z326" s="253" t="n">
        <v>-106</v>
      </c>
      <c r="AA326" s="253" t="n">
        <v>-106</v>
      </c>
      <c r="AB326" s="253" t="n">
        <v>-104</v>
      </c>
      <c r="AC326" s="253" t="n">
        <v>-105</v>
      </c>
      <c r="AD326" s="253" t="n">
        <v>-421</v>
      </c>
      <c r="AE326" s="253" t="n">
        <v>-127</v>
      </c>
      <c r="AF326" s="253" t="n">
        <v>-126</v>
      </c>
      <c r="AG326" s="253" t="n">
        <v>-126</v>
      </c>
      <c r="AH326" s="253" t="n">
        <v>-124</v>
      </c>
      <c r="AI326" s="253" t="n">
        <v>-503</v>
      </c>
      <c r="AJ326" s="253" t="n">
        <v>-141</v>
      </c>
      <c r="AK326" s="253" t="n">
        <v>-140</v>
      </c>
      <c r="AL326" s="253" t="n">
        <v>-140</v>
      </c>
      <c r="AM326" s="253" t="n">
        <v>-139</v>
      </c>
      <c r="AN326" s="253" t="n">
        <v>-560</v>
      </c>
      <c r="AO326" s="253" t="n">
        <v>-161</v>
      </c>
      <c r="AP326" s="253" t="n">
        <v>-162</v>
      </c>
      <c r="AQ326" s="253" t="n">
        <v>-161</v>
      </c>
      <c r="AR326" s="253" t="n">
        <v>-161</v>
      </c>
      <c r="AS326" s="253" t="n">
        <v>-645</v>
      </c>
      <c r="AT326" s="253" t="n">
        <v>-186</v>
      </c>
      <c r="AU326" s="253" t="n">
        <v>-185</v>
      </c>
      <c r="AV326" s="253" t="n">
        <v>-186</v>
      </c>
      <c r="AW326" s="253" t="n">
        <v>-186</v>
      </c>
      <c r="AX326" s="253" t="n">
        <v>-743</v>
      </c>
      <c r="AY326" s="253" t="n">
        <v>-186</v>
      </c>
      <c r="AZ326" s="253" t="n">
        <v>-286</v>
      </c>
      <c r="BA326" s="253" t="n">
        <v>-277</v>
      </c>
      <c r="BB326" s="253" t="n">
        <v>-275</v>
      </c>
      <c r="BC326" s="253" t="n">
        <v>-1024</v>
      </c>
      <c r="BD326" s="253" t="n">
        <v>-290</v>
      </c>
      <c r="BE326" s="253" t="n">
        <v>-288</v>
      </c>
      <c r="BF326" s="253" t="n">
        <v>-286</v>
      </c>
      <c r="BG326" s="253" t="n">
        <v>-283</v>
      </c>
      <c r="BH326" s="253" t="n">
        <v>-1147</v>
      </c>
      <c r="BI326" s="253" t="n">
        <v>-286</v>
      </c>
      <c r="BJ326" s="253" t="n">
        <v>-286</v>
      </c>
      <c r="BK326" s="253" t="n">
        <v>-282</v>
      </c>
      <c r="BL326" s="253" t="n">
        <v>-280</v>
      </c>
      <c r="BM326" s="253" t="n">
        <v>-1134</v>
      </c>
      <c r="BN326" s="253" t="n">
        <v>-295</v>
      </c>
      <c r="BO326" s="253" t="n">
        <v>-294</v>
      </c>
      <c r="BP326" s="253" t="n">
        <v>-291</v>
      </c>
      <c r="BQ326" s="253" t="n">
        <v>-290</v>
      </c>
      <c r="BR326" s="253" t="n">
        <v>-1170</v>
      </c>
      <c r="BS326" s="253" t="n">
        <v>-288</v>
      </c>
      <c r="BT326" s="253" t="n">
        <v>-287</v>
      </c>
      <c r="BU326" s="35" t="n"/>
      <c r="BV326" s="35" t="n"/>
      <c r="BW326" s="254">
        <f>SUM(BS326:BT326)-SUM(BU223:BV223)*BT396</f>
        <v>-1146.912</v>
      </c>
      <c r="BX326" s="254">
        <f>-BX223*BX356</f>
        <v>-1146.60521204819</v>
      </c>
      <c r="BY326" s="254">
        <f>-BY223*BY356</f>
        <v>-1166.70672313098</v>
      </c>
      <c r="BZ326" s="254">
        <f>-BZ223*BZ356</f>
        <v>-1176.80852201522</v>
      </c>
      <c r="CA326" s="254">
        <f>-CA223*CA356</f>
        <v>-1185.63237690237</v>
      </c>
      <c r="CB326" s="254">
        <f>-CB223*CB356</f>
        <v>-1192.52358455693</v>
      </c>
      <c r="CC326" s="19" t="n"/>
    </row>
    <row r="327" ht="15" customHeight="1" s="251">
      <c r="B327" s="25" t="inlineStr">
        <is>
          <t>Distributions to noncontrolling interest holders</t>
        </is>
      </c>
      <c r="C327" s="34" t="n"/>
      <c r="D327" s="34" t="n"/>
      <c r="E327" s="253" t="n">
        <v>-24</v>
      </c>
      <c r="F327" s="253" t="n">
        <v>-17</v>
      </c>
      <c r="G327" s="253" t="n">
        <v>-21</v>
      </c>
      <c r="H327" s="253" t="n">
        <v>-18</v>
      </c>
      <c r="I327" s="253" t="n">
        <v>-19</v>
      </c>
      <c r="J327" s="253" t="n">
        <v>-75</v>
      </c>
      <c r="K327" s="253" t="n">
        <v>-15</v>
      </c>
      <c r="L327" s="253" t="n">
        <v>-15</v>
      </c>
      <c r="M327" s="253" t="n">
        <v>-1</v>
      </c>
      <c r="N327" s="253" t="n">
        <v>-53</v>
      </c>
      <c r="O327" s="253" t="n">
        <v>-84</v>
      </c>
      <c r="P327" s="253" t="n">
        <v>-30</v>
      </c>
      <c r="Q327" s="253" t="n">
        <v>-19</v>
      </c>
      <c r="R327" s="253" t="n">
        <v>-18</v>
      </c>
      <c r="S327" s="253" t="n">
        <v>-37</v>
      </c>
      <c r="T327" s="253" t="n">
        <v>-104</v>
      </c>
      <c r="U327" s="253" t="n">
        <v>-33</v>
      </c>
      <c r="V327" s="253" t="n">
        <v>-24</v>
      </c>
      <c r="W327" s="253" t="n">
        <v>-2</v>
      </c>
      <c r="X327" s="253" t="n">
        <v>-57</v>
      </c>
      <c r="Y327" s="253" t="n">
        <v>-116</v>
      </c>
      <c r="Z327" s="253" t="n">
        <v>-24</v>
      </c>
      <c r="AA327" s="253" t="n">
        <v>-30</v>
      </c>
      <c r="AB327" s="253" t="n">
        <v>-15</v>
      </c>
      <c r="AC327" s="253" t="n">
        <v>-42</v>
      </c>
      <c r="AD327" s="253" t="n">
        <v>-111</v>
      </c>
      <c r="AE327" s="253" t="n">
        <v>-50</v>
      </c>
      <c r="AF327" s="253" t="n">
        <v>-28</v>
      </c>
      <c r="AG327" s="253" t="n">
        <v>-38</v>
      </c>
      <c r="AH327" s="253" t="n">
        <v>-38</v>
      </c>
      <c r="AI327" s="253" t="n">
        <v>-154</v>
      </c>
      <c r="AJ327" s="253" t="n">
        <v>-18</v>
      </c>
      <c r="AK327" s="253" t="n">
        <v>-41</v>
      </c>
      <c r="AL327" s="253" t="n">
        <v>-41</v>
      </c>
      <c r="AM327" s="253" t="n">
        <v>-43</v>
      </c>
      <c r="AN327" s="253" t="n">
        <v>-143</v>
      </c>
      <c r="AO327" s="253" t="n">
        <v>-51</v>
      </c>
      <c r="AP327" s="253" t="n">
        <v>-41</v>
      </c>
      <c r="AQ327" s="253" t="n">
        <v>-51</v>
      </c>
      <c r="AR327" s="253" t="n">
        <v>-51</v>
      </c>
      <c r="AS327" s="253" t="n">
        <v>-194</v>
      </c>
      <c r="AT327" s="253" t="n">
        <v>-69</v>
      </c>
      <c r="AU327" s="253" t="n">
        <v>-49</v>
      </c>
      <c r="AV327" s="253" t="n">
        <v>-53</v>
      </c>
      <c r="AW327" s="253" t="n">
        <v>-56</v>
      </c>
      <c r="AX327" s="253" t="n">
        <v>-227</v>
      </c>
      <c r="AY327" s="253" t="n">
        <v>-55</v>
      </c>
      <c r="AZ327" s="253" t="n">
        <v>-71</v>
      </c>
      <c r="BA327" s="253" t="n">
        <v>-71</v>
      </c>
      <c r="BB327" s="253" t="n">
        <v>-73</v>
      </c>
      <c r="BC327" s="253" t="n">
        <v>-270</v>
      </c>
      <c r="BD327" s="253" t="n">
        <v>-78</v>
      </c>
      <c r="BE327" s="253" t="n">
        <v>-62</v>
      </c>
      <c r="BF327" s="253" t="n">
        <v>-71</v>
      </c>
      <c r="BG327" s="253" t="n">
        <v>-69</v>
      </c>
      <c r="BH327" s="253" t="n">
        <v>-280</v>
      </c>
      <c r="BI327" s="253" t="n">
        <v>-73</v>
      </c>
      <c r="BJ327" s="253" t="n">
        <v>-60</v>
      </c>
      <c r="BK327" s="253" t="n">
        <v>-80</v>
      </c>
      <c r="BL327" s="253" t="n">
        <v>-74</v>
      </c>
      <c r="BM327" s="253" t="n">
        <v>-287</v>
      </c>
      <c r="BN327" s="253" t="n">
        <v>-94</v>
      </c>
      <c r="BO327" s="253" t="n">
        <v>-74</v>
      </c>
      <c r="BP327" s="253" t="n">
        <v>-66</v>
      </c>
      <c r="BQ327" s="253" t="n">
        <v>-87</v>
      </c>
      <c r="BR327" s="253" t="n">
        <v>-321</v>
      </c>
      <c r="BS327" s="253" t="n">
        <v>-91</v>
      </c>
      <c r="BT327" s="253" t="n">
        <v>-71</v>
      </c>
      <c r="BU327" s="35" t="n"/>
      <c r="BV327" s="35" t="n"/>
      <c r="BW327" s="254">
        <f>SUM(BS327:BT327)-SUM(BU206:BV206)</f>
        <v>-364.791163708363</v>
      </c>
      <c r="BX327" s="254">
        <f>-BX206</f>
        <v>-464.651210894395</v>
      </c>
      <c r="BY327" s="254">
        <f>-BY206</f>
        <v>-506.026962115111</v>
      </c>
      <c r="BZ327" s="254">
        <f>-BZ206</f>
        <v>-546.555653191149</v>
      </c>
      <c r="CA327" s="254">
        <f>-CA206</f>
        <v>-590.814141761276</v>
      </c>
      <c r="CB327" s="254">
        <f>-CB206</f>
        <v>-634.318485590034</v>
      </c>
      <c r="CC327" s="19" t="inlineStr">
        <is>
          <t>Forecast: NCI income distributed in full (CME Group share of S&amp;P DJI).</t>
        </is>
      </c>
    </row>
    <row r="328" ht="15" customHeight="1" s="251">
      <c r="B328" s="25" t="inlineStr">
        <is>
          <t>Net debt issuance / (repayment) (forecast; included in other financing historically)</t>
        </is>
      </c>
      <c r="C328" s="34" t="n"/>
      <c r="D328" s="34" t="n"/>
      <c r="E328" s="34" t="n"/>
      <c r="F328" s="34" t="n"/>
      <c r="G328" s="34" t="n"/>
      <c r="H328" s="34" t="n"/>
      <c r="I328" s="34" t="n"/>
      <c r="J328" s="34" t="n"/>
      <c r="K328" s="34" t="n"/>
      <c r="L328" s="34" t="n"/>
      <c r="M328" s="34" t="n"/>
      <c r="N328" s="34" t="n"/>
      <c r="O328" s="34" t="n"/>
      <c r="P328" s="34" t="n"/>
      <c r="Q328" s="34" t="n"/>
      <c r="R328" s="34" t="n"/>
      <c r="S328" s="34" t="n"/>
      <c r="T328" s="34" t="n"/>
      <c r="U328" s="34" t="n"/>
      <c r="V328" s="34" t="n"/>
      <c r="W328" s="34" t="n"/>
      <c r="X328" s="34" t="n"/>
      <c r="Y328" s="34" t="n"/>
      <c r="Z328" s="34" t="n"/>
      <c r="AA328" s="34" t="n"/>
      <c r="AB328" s="34" t="n"/>
      <c r="AC328" s="34" t="n"/>
      <c r="AD328" s="34" t="n"/>
      <c r="AE328" s="34" t="n"/>
      <c r="AF328" s="34" t="n"/>
      <c r="AG328" s="34" t="n"/>
      <c r="AH328" s="34" t="n"/>
      <c r="AI328" s="34" t="n"/>
      <c r="AJ328" s="34" t="n"/>
      <c r="AK328" s="34" t="n"/>
      <c r="AL328" s="34" t="n"/>
      <c r="AM328" s="34" t="n"/>
      <c r="AN328" s="34" t="n"/>
      <c r="AO328" s="34" t="n"/>
      <c r="AP328" s="34" t="n"/>
      <c r="AQ328" s="34" t="n"/>
      <c r="AR328" s="34" t="n"/>
      <c r="AS328" s="34" t="n"/>
      <c r="AT328" s="34" t="n"/>
      <c r="AU328" s="34" t="n"/>
      <c r="AV328" s="34" t="n"/>
      <c r="AW328" s="34" t="n"/>
      <c r="AX328" s="34" t="n"/>
      <c r="AY328" s="34" t="n"/>
      <c r="AZ328" s="34" t="n"/>
      <c r="BA328" s="34" t="n"/>
      <c r="BB328" s="34" t="n"/>
      <c r="BC328" s="34" t="n"/>
      <c r="BD328" s="34" t="n"/>
      <c r="BE328" s="34" t="n"/>
      <c r="BF328" s="34" t="n"/>
      <c r="BG328" s="34" t="n"/>
      <c r="BH328" s="34" t="n"/>
      <c r="BI328" s="34" t="n"/>
      <c r="BJ328" s="34" t="n"/>
      <c r="BK328" s="34" t="n"/>
      <c r="BL328" s="34" t="n"/>
      <c r="BM328" s="34" t="n"/>
      <c r="BN328" s="34" t="n"/>
      <c r="BO328" s="34" t="n"/>
      <c r="BP328" s="34" t="n"/>
      <c r="BQ328" s="34" t="n"/>
      <c r="BR328" s="34" t="n"/>
      <c r="BS328" s="34" t="n"/>
      <c r="BT328" s="34" t="n"/>
      <c r="BU328" s="35" t="n"/>
      <c r="BV328" s="35" t="n"/>
      <c r="BW328" s="254">
        <f>BW433-(BT433-1981.0)</f>
        <v>625.897373770304</v>
      </c>
      <c r="BX328" s="254">
        <f>BX442</f>
        <v>148.956480412753</v>
      </c>
      <c r="BY328" s="254">
        <f>BY442</f>
        <v>992.970701103954</v>
      </c>
      <c r="BZ328" s="254">
        <f>BZ442</f>
        <v>971.394207323332</v>
      </c>
      <c r="CA328" s="254">
        <f>CA442</f>
        <v>1009.61068940676</v>
      </c>
      <c r="CB328" s="254">
        <f>CB442</f>
        <v>1031.26551998465</v>
      </c>
      <c r="CC328" s="19" t="inlineStr">
        <is>
          <t>Per the debt schedule: notes repaid / refinanced at maturity; commercial paper drawn or repaid to the minimum cash balance. 2026E excludes the $1,981m Mobility notes (left with Mobility Global).</t>
        </is>
      </c>
    </row>
    <row r="329" ht="15" customHeight="1" s="251">
      <c r="B329" s="25" t="inlineStr">
        <is>
          <t>Cash transferred with Mobility Global at the spin-off (1-Jul-2026)</t>
        </is>
      </c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4" t="n"/>
      <c r="L329" s="34" t="n"/>
      <c r="M329" s="34" t="n"/>
      <c r="N329" s="34" t="n"/>
      <c r="O329" s="34" t="n"/>
      <c r="P329" s="34" t="n"/>
      <c r="Q329" s="34" t="n"/>
      <c r="R329" s="34" t="n"/>
      <c r="S329" s="34" t="n"/>
      <c r="T329" s="34" t="n"/>
      <c r="U329" s="34" t="n"/>
      <c r="V329" s="34" t="n"/>
      <c r="W329" s="34" t="n"/>
      <c r="X329" s="34" t="n"/>
      <c r="Y329" s="34" t="n"/>
      <c r="Z329" s="34" t="n"/>
      <c r="AA329" s="34" t="n"/>
      <c r="AB329" s="34" t="n"/>
      <c r="AC329" s="34" t="n"/>
      <c r="AD329" s="34" t="n"/>
      <c r="AE329" s="34" t="n"/>
      <c r="AF329" s="34" t="n"/>
      <c r="AG329" s="34" t="n"/>
      <c r="AH329" s="34" t="n"/>
      <c r="AI329" s="34" t="n"/>
      <c r="AJ329" s="34" t="n"/>
      <c r="AK329" s="34" t="n"/>
      <c r="AL329" s="34" t="n"/>
      <c r="AM329" s="34" t="n"/>
      <c r="AN329" s="34" t="n"/>
      <c r="AO329" s="34" t="n"/>
      <c r="AP329" s="34" t="n"/>
      <c r="AQ329" s="34" t="n"/>
      <c r="AR329" s="34" t="n"/>
      <c r="AS329" s="34" t="n"/>
      <c r="AT329" s="34" t="n"/>
      <c r="AU329" s="34" t="n"/>
      <c r="AV329" s="34" t="n"/>
      <c r="AW329" s="34" t="n"/>
      <c r="AX329" s="34" t="n"/>
      <c r="AY329" s="34" t="n"/>
      <c r="AZ329" s="34" t="n"/>
      <c r="BA329" s="34" t="n"/>
      <c r="BB329" s="34" t="n"/>
      <c r="BC329" s="34" t="n"/>
      <c r="BD329" s="34" t="n"/>
      <c r="BE329" s="34" t="n"/>
      <c r="BF329" s="34" t="n"/>
      <c r="BG329" s="34" t="n"/>
      <c r="BH329" s="34" t="n"/>
      <c r="BI329" s="34" t="n"/>
      <c r="BJ329" s="34" t="n"/>
      <c r="BK329" s="34" t="n"/>
      <c r="BL329" s="34" t="n"/>
      <c r="BM329" s="34" t="n"/>
      <c r="BN329" s="34" t="n"/>
      <c r="BO329" s="34" t="n"/>
      <c r="BP329" s="34" t="n"/>
      <c r="BQ329" s="34" t="n"/>
      <c r="BR329" s="34" t="n"/>
      <c r="BS329" s="34" t="n"/>
      <c r="BT329" s="34" t="n"/>
      <c r="BU329" s="35" t="n"/>
      <c r="BV329" s="35" t="n"/>
      <c r="BW329" s="254">
        <f>-121</f>
        <v>-121</v>
      </c>
      <c r="BX329" s="265" t="n">
        <v>0</v>
      </c>
      <c r="BY329" s="265" t="n">
        <v>0</v>
      </c>
      <c r="BZ329" s="265" t="n">
        <v>0</v>
      </c>
      <c r="CA329" s="265" t="n">
        <v>0</v>
      </c>
      <c r="CB329" s="265" t="n">
        <v>0</v>
      </c>
      <c r="CC329" s="19" t="inlineStr">
        <is>
          <t>Mobility's own cash (31-Mar-2026 pro forma $121m; assumption until the Q3-26 10-Q). The $1,974m net distribution to S&amp;P Global was already in cash at 30-Jun-2026 (Mobility note proceeds).</t>
        </is>
      </c>
    </row>
    <row r="330" ht="15" customHeight="1" s="251">
      <c r="B330" s="25" t="inlineStr">
        <is>
          <t>Debt &amp; other financing, net (derived historically: debt, share-plan withholding, excise tax, contingent consideration)</t>
        </is>
      </c>
      <c r="C330" s="34" t="n"/>
      <c r="D330" s="34" t="n"/>
      <c r="E330" s="253" t="n">
        <v>398</v>
      </c>
      <c r="F330" s="253" t="n">
        <v>-400</v>
      </c>
      <c r="G330" s="253" t="n">
        <v>25</v>
      </c>
      <c r="H330" s="253" t="n">
        <v>-112</v>
      </c>
      <c r="I330" s="253" t="n">
        <v>105</v>
      </c>
      <c r="J330" s="253" t="n">
        <v>-382</v>
      </c>
      <c r="K330" s="253" t="n">
        <v>165</v>
      </c>
      <c r="L330" s="253" t="n">
        <v>39</v>
      </c>
      <c r="M330" s="253" t="n">
        <v>33</v>
      </c>
      <c r="N330" s="253" t="n">
        <v>73</v>
      </c>
      <c r="O330" s="253" t="n">
        <v>310</v>
      </c>
      <c r="P330" s="253" t="n">
        <v>454</v>
      </c>
      <c r="Q330" s="253" t="n">
        <v>347</v>
      </c>
      <c r="R330" s="253" t="n">
        <v>1968</v>
      </c>
      <c r="S330" s="253" t="n">
        <v>182</v>
      </c>
      <c r="T330" s="253" t="n">
        <v>2951</v>
      </c>
      <c r="U330" s="253" t="n">
        <v>314</v>
      </c>
      <c r="V330" s="253" t="n">
        <v>-133</v>
      </c>
      <c r="W330" s="253" t="n">
        <v>183</v>
      </c>
      <c r="X330" s="253" t="n">
        <v>-345</v>
      </c>
      <c r="Y330" s="253" t="n">
        <v>19</v>
      </c>
      <c r="Z330" s="253" t="n">
        <v>-15</v>
      </c>
      <c r="AA330" s="253" t="n">
        <v>9</v>
      </c>
      <c r="AB330" s="253" t="n">
        <v>26</v>
      </c>
      <c r="AC330" s="253" t="n">
        <v>6</v>
      </c>
      <c r="AD330" s="253" t="n">
        <v>26</v>
      </c>
      <c r="AE330" s="253" t="n">
        <v>-39</v>
      </c>
      <c r="AF330" s="253" t="n">
        <v>66</v>
      </c>
      <c r="AG330" s="253" t="n">
        <v>-3</v>
      </c>
      <c r="AH330" s="253" t="n">
        <v>5</v>
      </c>
      <c r="AI330" s="253" t="n">
        <v>29</v>
      </c>
      <c r="AJ330" s="253" t="n">
        <v>-26</v>
      </c>
      <c r="AK330" s="253" t="n">
        <v>2</v>
      </c>
      <c r="AL330" s="253" t="n">
        <v>5</v>
      </c>
      <c r="AM330" s="253" t="n">
        <v>211</v>
      </c>
      <c r="AN330" s="253" t="n">
        <v>192</v>
      </c>
      <c r="AO330" s="253" t="n">
        <v>-36</v>
      </c>
      <c r="AP330" s="253" t="n">
        <v>-6</v>
      </c>
      <c r="AQ330" s="253" t="n">
        <v>-117</v>
      </c>
      <c r="AR330" s="253" t="n">
        <v>-4</v>
      </c>
      <c r="AS330" s="253" t="n">
        <v>-163</v>
      </c>
      <c r="AT330" s="253" t="n">
        <v>-38</v>
      </c>
      <c r="AU330" s="253" t="n">
        <v>1</v>
      </c>
      <c r="AV330" s="253" t="n">
        <v>-7</v>
      </c>
      <c r="AW330" s="253" t="n">
        <v>1</v>
      </c>
      <c r="AX330" s="253" t="n">
        <v>-43</v>
      </c>
      <c r="AY330" s="253" t="n">
        <v>2039</v>
      </c>
      <c r="AZ330" s="253" t="n">
        <v>-206</v>
      </c>
      <c r="BA330" s="253" t="n">
        <v>-12</v>
      </c>
      <c r="BB330" s="253" t="n">
        <v>151</v>
      </c>
      <c r="BC330" s="253" t="n">
        <v>1972</v>
      </c>
      <c r="BD330" s="253" t="n">
        <v>638</v>
      </c>
      <c r="BE330" s="253" t="n">
        <v>-166</v>
      </c>
      <c r="BF330" s="253" t="n">
        <v>2</v>
      </c>
      <c r="BG330" s="253" t="n">
        <v>-26</v>
      </c>
      <c r="BH330" s="253" t="n">
        <v>448</v>
      </c>
      <c r="BI330" s="253" t="n">
        <v>202</v>
      </c>
      <c r="BJ330" s="253" t="n">
        <v>-402</v>
      </c>
      <c r="BK330" s="253" t="n">
        <v>-12</v>
      </c>
      <c r="BL330" s="253" t="n">
        <v>-64</v>
      </c>
      <c r="BM330" s="253" t="n">
        <v>-276</v>
      </c>
      <c r="BN330" s="253" t="n">
        <v>-64</v>
      </c>
      <c r="BO330" s="253" t="n">
        <v>-40</v>
      </c>
      <c r="BP330" s="253" t="n">
        <v>-9</v>
      </c>
      <c r="BQ330" s="253" t="n">
        <v>1675</v>
      </c>
      <c r="BR330" s="253" t="n">
        <v>1562</v>
      </c>
      <c r="BS330" s="253" t="n">
        <v>142</v>
      </c>
      <c r="BT330" s="253" t="n">
        <v>1803</v>
      </c>
      <c r="BU330" s="35" t="n"/>
      <c r="BV330" s="35" t="n"/>
      <c r="BW330" s="254">
        <f>SUM(BS330:BT330)</f>
        <v>1945</v>
      </c>
      <c r="BX330" s="265" t="n">
        <v>0</v>
      </c>
      <c r="BY330" s="265" t="n">
        <v>0</v>
      </c>
      <c r="BZ330" s="265" t="n">
        <v>0</v>
      </c>
      <c r="CA330" s="265" t="n">
        <v>0</v>
      </c>
      <c r="CB330" s="265" t="n">
        <v>0</v>
      </c>
      <c r="CC330" s="19" t="n"/>
    </row>
    <row r="331" ht="15" customHeight="1" s="251">
      <c r="B331" s="16" t="inlineStr">
        <is>
          <t>Cash provided by (used for) financing activities</t>
        </is>
      </c>
      <c r="C331" s="43" t="n"/>
      <c r="D331" s="43" t="n"/>
      <c r="E331" s="277" t="n">
        <v>-905</v>
      </c>
      <c r="F331" s="277" t="n">
        <v>-996</v>
      </c>
      <c r="G331" s="277" t="n">
        <v>-73</v>
      </c>
      <c r="H331" s="277" t="n">
        <v>-556</v>
      </c>
      <c r="I331" s="277" t="n">
        <v>-118</v>
      </c>
      <c r="J331" s="277" t="n">
        <v>-1743</v>
      </c>
      <c r="K331" s="277" t="n">
        <v>-96</v>
      </c>
      <c r="L331" s="277" t="n">
        <v>-255</v>
      </c>
      <c r="M331" s="277" t="n">
        <v>-50</v>
      </c>
      <c r="N331" s="277" t="n">
        <v>-61</v>
      </c>
      <c r="O331" s="277" t="n">
        <v>-462</v>
      </c>
      <c r="P331" s="277" t="n">
        <v>220</v>
      </c>
      <c r="Q331" s="277" t="n">
        <v>73</v>
      </c>
      <c r="R331" s="277" t="n">
        <v>1634</v>
      </c>
      <c r="S331" s="277" t="n">
        <v>-417</v>
      </c>
      <c r="T331" s="277" t="n">
        <v>1510</v>
      </c>
      <c r="U331" s="277" t="n">
        <v>-41</v>
      </c>
      <c r="V331" s="277" t="n">
        <v>-399</v>
      </c>
      <c r="W331" s="277" t="n">
        <v>-664</v>
      </c>
      <c r="X331" s="277" t="n">
        <v>-496</v>
      </c>
      <c r="Y331" s="277" t="n">
        <v>-1600</v>
      </c>
      <c r="Z331" s="277" t="n">
        <v>-346</v>
      </c>
      <c r="AA331" s="277" t="n">
        <v>-272</v>
      </c>
      <c r="AB331" s="277" t="n">
        <v>-593</v>
      </c>
      <c r="AC331" s="277" t="n">
        <v>-296</v>
      </c>
      <c r="AD331" s="277" t="n">
        <v>-1507</v>
      </c>
      <c r="AE331" s="277" t="n">
        <v>-1316</v>
      </c>
      <c r="AF331" s="277" t="n">
        <v>-88</v>
      </c>
      <c r="AG331" s="277" t="n">
        <v>-175</v>
      </c>
      <c r="AH331" s="277" t="n">
        <v>-709</v>
      </c>
      <c r="AI331" s="277" t="n">
        <v>-2288</v>
      </c>
      <c r="AJ331" s="277" t="n">
        <v>-829</v>
      </c>
      <c r="AK331" s="277" t="n">
        <v>-179</v>
      </c>
      <c r="AL331" s="277" t="n">
        <v>-676</v>
      </c>
      <c r="AM331" s="277" t="n">
        <v>-67</v>
      </c>
      <c r="AN331" s="277" t="n">
        <v>-1751</v>
      </c>
      <c r="AO331" s="277" t="n">
        <v>-1401</v>
      </c>
      <c r="AP331" s="277" t="n">
        <v>-209</v>
      </c>
      <c r="AQ331" s="277" t="n">
        <v>-340</v>
      </c>
      <c r="AR331" s="277" t="n">
        <v>-216</v>
      </c>
      <c r="AS331" s="277" t="n">
        <v>-2166</v>
      </c>
      <c r="AT331" s="277" t="n">
        <v>-293</v>
      </c>
      <c r="AU331" s="277" t="n">
        <v>-233</v>
      </c>
      <c r="AV331" s="277" t="n">
        <v>-246</v>
      </c>
      <c r="AW331" s="277" t="n">
        <v>-241</v>
      </c>
      <c r="AX331" s="277" t="n">
        <v>-1013</v>
      </c>
      <c r="AY331" s="277" t="n">
        <v>-5205</v>
      </c>
      <c r="AZ331" s="277" t="n">
        <v>-2063</v>
      </c>
      <c r="BA331" s="277" t="n">
        <v>-2860</v>
      </c>
      <c r="BB331" s="277" t="n">
        <v>-1198</v>
      </c>
      <c r="BC331" s="277" t="n">
        <v>-11326</v>
      </c>
      <c r="BD331" s="277" t="n">
        <v>-230</v>
      </c>
      <c r="BE331" s="277" t="n">
        <v>-1517</v>
      </c>
      <c r="BF331" s="277" t="n">
        <v>-855</v>
      </c>
      <c r="BG331" s="277" t="n">
        <v>-1678</v>
      </c>
      <c r="BH331" s="277" t="n">
        <v>-4280</v>
      </c>
      <c r="BI331" s="277" t="n">
        <v>-657</v>
      </c>
      <c r="BJ331" s="277" t="n">
        <v>-748</v>
      </c>
      <c r="BK331" s="277" t="n">
        <v>-1875</v>
      </c>
      <c r="BL331" s="277" t="n">
        <v>-1718</v>
      </c>
      <c r="BM331" s="277" t="n">
        <v>-4998</v>
      </c>
      <c r="BN331" s="277" t="n">
        <v>-1103</v>
      </c>
      <c r="BO331" s="277" t="n">
        <v>-1059</v>
      </c>
      <c r="BP331" s="277" t="n">
        <v>-1566</v>
      </c>
      <c r="BQ331" s="277" t="n">
        <v>-1202</v>
      </c>
      <c r="BR331" s="277" t="n">
        <v>-4930</v>
      </c>
      <c r="BS331" s="277" t="n">
        <v>-1237</v>
      </c>
      <c r="BT331" s="277" t="n">
        <v>945</v>
      </c>
      <c r="BU331" s="32" t="n"/>
      <c r="BV331" s="32" t="n"/>
      <c r="BW331" s="261">
        <f>SUM(BW325:BW330)</f>
        <v>-6311.80578993806</v>
      </c>
      <c r="BX331" s="261">
        <f>SUM(BX325:BX330)</f>
        <v>-5811.17683307741</v>
      </c>
      <c r="BY331" s="261">
        <f>SUM(BY325:BY330)</f>
        <v>-6361.9245789124</v>
      </c>
      <c r="BZ331" s="261">
        <f>SUM(BZ325:BZ330)</f>
        <v>-6819.02026567017</v>
      </c>
      <c r="CA331" s="261">
        <f>SUM(CA325:CA330)</f>
        <v>-7304.77145060873</v>
      </c>
      <c r="CB331" s="261">
        <f>SUM(CB325:CB330)</f>
        <v>-7817.64506860059</v>
      </c>
      <c r="CC331" s="153" t="n"/>
    </row>
    <row r="332" ht="15" customHeight="1" s="251">
      <c r="B332" s="25" t="inlineStr">
        <is>
          <t>Effect of exchange rate changes on cash</t>
        </is>
      </c>
      <c r="C332" s="34" t="n"/>
      <c r="D332" s="34" t="n"/>
      <c r="E332" s="253" t="n">
        <v>221</v>
      </c>
      <c r="F332" s="253" t="n">
        <v>-22</v>
      </c>
      <c r="G332" s="253" t="n">
        <v>-13</v>
      </c>
      <c r="H332" s="253" t="n">
        <v>29</v>
      </c>
      <c r="I332" s="253" t="n">
        <v>1845</v>
      </c>
      <c r="J332" s="253" t="n">
        <v>1839</v>
      </c>
      <c r="K332" s="253" t="n">
        <v>0</v>
      </c>
      <c r="L332" s="253" t="n">
        <v>19</v>
      </c>
      <c r="M332" s="253" t="n">
        <v>-43</v>
      </c>
      <c r="N332" s="253" t="n">
        <v>297</v>
      </c>
      <c r="O332" s="253" t="n">
        <v>273</v>
      </c>
      <c r="P332" s="253" t="n">
        <v>-44</v>
      </c>
      <c r="Q332" s="253" t="n">
        <v>37</v>
      </c>
      <c r="R332" s="253" t="n">
        <v>-35</v>
      </c>
      <c r="S332" s="253" t="n">
        <v>-154</v>
      </c>
      <c r="T332" s="253" t="n">
        <v>-196</v>
      </c>
      <c r="U332" s="253" t="n">
        <v>-1</v>
      </c>
      <c r="V332" s="253" t="n">
        <v>-25</v>
      </c>
      <c r="W332" s="253" t="n">
        <v>-67</v>
      </c>
      <c r="X332" s="253" t="n">
        <v>-65</v>
      </c>
      <c r="Y332" s="253" t="n">
        <v>-158</v>
      </c>
      <c r="Z332" s="253" t="n">
        <v>34</v>
      </c>
      <c r="AA332" s="253" t="n">
        <v>26</v>
      </c>
      <c r="AB332" s="253" t="n">
        <v>23</v>
      </c>
      <c r="AC332" s="253" t="n">
        <v>4</v>
      </c>
      <c r="AD332" s="253" t="n">
        <v>87</v>
      </c>
      <c r="AE332" s="253" t="n">
        <v>20</v>
      </c>
      <c r="AF332" s="253" t="n">
        <v>-58</v>
      </c>
      <c r="AG332" s="253" t="n">
        <v>-14</v>
      </c>
      <c r="AH332" s="253" t="n">
        <v>-32</v>
      </c>
      <c r="AI332" s="253" t="n">
        <v>-84</v>
      </c>
      <c r="AJ332" s="253" t="n">
        <v>35</v>
      </c>
      <c r="AK332" s="253" t="n">
        <v>-22</v>
      </c>
      <c r="AL332" s="253" t="n">
        <v>-20</v>
      </c>
      <c r="AM332" s="253" t="n">
        <v>41</v>
      </c>
      <c r="AN332" s="253" t="n">
        <v>34</v>
      </c>
      <c r="AO332" s="253" t="n">
        <v>-30</v>
      </c>
      <c r="AP332" s="253" t="n">
        <v>7</v>
      </c>
      <c r="AQ332" s="253" t="n">
        <v>33</v>
      </c>
      <c r="AR332" s="253" t="n">
        <v>65</v>
      </c>
      <c r="AS332" s="253" t="n">
        <v>75</v>
      </c>
      <c r="AT332" s="253" t="n">
        <v>-55</v>
      </c>
      <c r="AU332" s="253" t="n">
        <v>22</v>
      </c>
      <c r="AV332" s="253" t="n">
        <v>-26</v>
      </c>
      <c r="AW332" s="253" t="n">
        <v>-23</v>
      </c>
      <c r="AX332" s="253" t="n">
        <v>-82</v>
      </c>
      <c r="AY332" s="253" t="n">
        <v>-16</v>
      </c>
      <c r="AZ332" s="253" t="n">
        <v>-69</v>
      </c>
      <c r="BA332" s="253" t="n">
        <v>-82</v>
      </c>
      <c r="BB332" s="253" t="n">
        <v>44</v>
      </c>
      <c r="BC332" s="253" t="n">
        <v>-123</v>
      </c>
      <c r="BD332" s="253" t="n">
        <v>7</v>
      </c>
      <c r="BE332" s="253" t="n">
        <v>-4</v>
      </c>
      <c r="BF332" s="253" t="n">
        <v>-25</v>
      </c>
      <c r="BG332" s="253" t="n">
        <v>34</v>
      </c>
      <c r="BH332" s="253" t="n">
        <v>12</v>
      </c>
      <c r="BI332" s="253" t="n">
        <v>-18</v>
      </c>
      <c r="BJ332" s="253" t="n">
        <v>-14</v>
      </c>
      <c r="BK332" s="253" t="n">
        <v>31</v>
      </c>
      <c r="BL332" s="253" t="n">
        <v>-60</v>
      </c>
      <c r="BM332" s="253" t="n">
        <v>-61</v>
      </c>
      <c r="BN332" s="253" t="n">
        <v>32</v>
      </c>
      <c r="BO332" s="253" t="n">
        <v>44</v>
      </c>
      <c r="BP332" s="253" t="n">
        <v>-13</v>
      </c>
      <c r="BQ332" s="253" t="n">
        <v>-1</v>
      </c>
      <c r="BR332" s="253" t="n">
        <v>62</v>
      </c>
      <c r="BS332" s="253" t="n">
        <v>-26</v>
      </c>
      <c r="BT332" s="253" t="n">
        <v>-14</v>
      </c>
      <c r="BU332" s="35" t="n"/>
      <c r="BV332" s="35" t="n"/>
      <c r="BW332" s="254">
        <f>SUM(BS332:BT332)</f>
        <v>-40</v>
      </c>
      <c r="BX332" s="265" t="n">
        <v>0</v>
      </c>
      <c r="BY332" s="265" t="n">
        <v>0</v>
      </c>
      <c r="BZ332" s="265" t="n">
        <v>0</v>
      </c>
      <c r="CA332" s="265" t="n">
        <v>0</v>
      </c>
      <c r="CB332" s="265" t="n">
        <v>0</v>
      </c>
      <c r="CC332" s="19" t="n"/>
    </row>
    <row r="333" ht="15" customHeight="1" s="251">
      <c r="B333" s="25" t="inlineStr">
        <is>
          <t>Net change in cash, cash equivalents and restricted cash</t>
        </is>
      </c>
      <c r="C333" s="211">
        <f>IF(ISNUMBER(C319),C319+C324+C331+N(C332),"")</f>
      </c>
      <c r="D333" s="211">
        <f>IF(ISNUMBER(D319),D319+D324+D331+N(D332),"")</f>
      </c>
      <c r="E333" s="253" t="n">
        <v>-184</v>
      </c>
      <c r="F333" s="253" t="n">
        <v>1145</v>
      </c>
      <c r="G333" s="253" t="n">
        <v>-5</v>
      </c>
      <c r="H333" s="253" t="n">
        <v>-323</v>
      </c>
      <c r="I333" s="253" t="n">
        <v>-35</v>
      </c>
      <c r="J333" s="253" t="n">
        <v>782</v>
      </c>
      <c r="K333" s="253" t="n">
        <v>-11</v>
      </c>
      <c r="L333" s="253" t="n">
        <v>86</v>
      </c>
      <c r="M333" s="253" t="n">
        <v>301</v>
      </c>
      <c r="N333" s="253" t="n">
        <v>579</v>
      </c>
      <c r="O333" s="253" t="n">
        <v>955</v>
      </c>
      <c r="P333" s="253" t="n">
        <v>-1321</v>
      </c>
      <c r="Q333" s="253" t="n">
        <v>544</v>
      </c>
      <c r="R333" s="253" t="n">
        <v>-279</v>
      </c>
      <c r="S333" s="253" t="n">
        <v>40</v>
      </c>
      <c r="T333" s="253" t="n">
        <v>-1016</v>
      </c>
      <c r="U333" s="253" t="n">
        <v>119</v>
      </c>
      <c r="V333" s="253" t="n">
        <v>-33</v>
      </c>
      <c r="W333" s="253" t="n">
        <v>832</v>
      </c>
      <c r="X333" s="253" t="n">
        <v>-7</v>
      </c>
      <c r="Y333" s="253" t="n">
        <v>911</v>
      </c>
      <c r="Z333" s="253" t="n">
        <v>19</v>
      </c>
      <c r="AA333" s="253" t="n">
        <v>-27</v>
      </c>
      <c r="AB333" s="253" t="n">
        <v>-72</v>
      </c>
      <c r="AC333" s="253" t="n">
        <v>467</v>
      </c>
      <c r="AD333" s="253" t="n">
        <v>387</v>
      </c>
      <c r="AE333" s="253" t="n">
        <v>-1023</v>
      </c>
      <c r="AF333" s="253" t="n">
        <v>179</v>
      </c>
      <c r="AG333" s="253" t="n">
        <v>268</v>
      </c>
      <c r="AH333" s="253" t="n">
        <v>-245</v>
      </c>
      <c r="AI333" s="253" t="n">
        <v>-821</v>
      </c>
      <c r="AJ333" s="253" t="n">
        <v>-522</v>
      </c>
      <c r="AK333" s="253" t="n">
        <v>484</v>
      </c>
      <c r="AL333" s="253" t="n">
        <v>99</v>
      </c>
      <c r="AM333" s="253" t="n">
        <v>867</v>
      </c>
      <c r="AN333" s="253" t="n">
        <v>928</v>
      </c>
      <c r="AO333" s="253" t="n">
        <v>-934</v>
      </c>
      <c r="AP333" s="253" t="n">
        <v>732</v>
      </c>
      <c r="AQ333" s="253" t="n">
        <v>484</v>
      </c>
      <c r="AR333" s="253" t="n">
        <v>954</v>
      </c>
      <c r="AS333" s="253" t="n">
        <v>1236</v>
      </c>
      <c r="AT333" s="253" t="n">
        <v>396</v>
      </c>
      <c r="AU333" s="253" t="n">
        <v>703</v>
      </c>
      <c r="AV333" s="253" t="n">
        <v>686</v>
      </c>
      <c r="AW333" s="253" t="n">
        <v>598</v>
      </c>
      <c r="AX333" s="253" t="n">
        <v>2383</v>
      </c>
      <c r="AY333" s="253" t="n">
        <v>-2098</v>
      </c>
      <c r="AZ333" s="253" t="n">
        <v>-834</v>
      </c>
      <c r="BA333" s="253" t="n">
        <v>-2184</v>
      </c>
      <c r="BB333" s="253" t="n">
        <v>-102</v>
      </c>
      <c r="BC333" s="253" t="n">
        <v>-5218</v>
      </c>
      <c r="BD333" s="253" t="n">
        <v>118</v>
      </c>
      <c r="BE333" s="253" t="n">
        <v>157</v>
      </c>
      <c r="BF333" s="253" t="n">
        <v>84</v>
      </c>
      <c r="BG333" s="253" t="n">
        <v>-355</v>
      </c>
      <c r="BH333" s="253" t="n">
        <v>4</v>
      </c>
      <c r="BI333" s="253" t="n">
        <v>253</v>
      </c>
      <c r="BJ333" s="253" t="n">
        <v>495</v>
      </c>
      <c r="BK333" s="253" t="n">
        <v>-342</v>
      </c>
      <c r="BL333" s="253" t="n">
        <v>-31</v>
      </c>
      <c r="BM333" s="253" t="n">
        <v>375</v>
      </c>
      <c r="BN333" s="253" t="n">
        <v>-197</v>
      </c>
      <c r="BO333" s="253" t="n">
        <v>378</v>
      </c>
      <c r="BP333" s="253" t="n">
        <v>-175</v>
      </c>
      <c r="BQ333" s="253" t="n">
        <v>73</v>
      </c>
      <c r="BR333" s="253" t="n">
        <v>79</v>
      </c>
      <c r="BS333" s="253" t="n">
        <v>65</v>
      </c>
      <c r="BT333" s="253" t="n">
        <v>2331</v>
      </c>
      <c r="BU333" s="35" t="n"/>
      <c r="BV333" s="35" t="n"/>
      <c r="BW333" s="254">
        <f>BW319+BW324+BW331+BW332</f>
        <v>-244.999999999999</v>
      </c>
      <c r="BX333" s="254">
        <f>BX319+BX324+BX331+BX332</f>
        <v>0</v>
      </c>
      <c r="BY333" s="254">
        <f>BY319+BY324+BY331+BY332</f>
        <v>0</v>
      </c>
      <c r="BZ333" s="254">
        <f>BZ319+BZ324+BZ331+BZ332</f>
        <v>0</v>
      </c>
      <c r="CA333" s="254">
        <f>CA319+CA324+CA331+CA332</f>
        <v>0</v>
      </c>
      <c r="CB333" s="254">
        <f>CB319+CB324+CB331+CB332</f>
        <v>0</v>
      </c>
      <c r="CC333" s="19" t="n"/>
    </row>
    <row r="334" ht="15" customHeight="1" s="251">
      <c r="B334" s="25" t="inlineStr">
        <is>
          <t>Cash — beginning of period</t>
        </is>
      </c>
      <c r="C334" s="34" t="n"/>
      <c r="D334" s="34" t="n"/>
      <c r="E334" s="253" t="n">
        <v>944</v>
      </c>
      <c r="F334" s="253" t="n">
        <v>760</v>
      </c>
      <c r="G334" s="253" t="n">
        <v>1905</v>
      </c>
      <c r="H334" s="253" t="n">
        <v>1900</v>
      </c>
      <c r="I334" s="253" t="n">
        <v>1577</v>
      </c>
      <c r="J334" s="253" t="n">
        <v>760</v>
      </c>
      <c r="K334" s="253" t="n">
        <v>1542</v>
      </c>
      <c r="L334" s="253" t="n">
        <v>1531</v>
      </c>
      <c r="M334" s="253" t="n">
        <v>1617</v>
      </c>
      <c r="N334" s="253" t="n">
        <v>1918</v>
      </c>
      <c r="O334" s="253" t="n">
        <v>1542</v>
      </c>
      <c r="P334" s="253" t="n">
        <v>2497</v>
      </c>
      <c r="Q334" s="253" t="n">
        <v>1176</v>
      </c>
      <c r="R334" s="253" t="n">
        <v>1720</v>
      </c>
      <c r="S334" s="253" t="n">
        <v>1441</v>
      </c>
      <c r="T334" s="253" t="n">
        <v>2497</v>
      </c>
      <c r="U334" s="253" t="n">
        <v>1481</v>
      </c>
      <c r="V334" s="253" t="n">
        <v>1600</v>
      </c>
      <c r="W334" s="253" t="n">
        <v>1567</v>
      </c>
      <c r="X334" s="253" t="n">
        <v>2399</v>
      </c>
      <c r="Y334" s="253" t="n">
        <v>1481</v>
      </c>
      <c r="Z334" s="253" t="n">
        <v>2392</v>
      </c>
      <c r="AA334" s="253" t="n">
        <v>2411</v>
      </c>
      <c r="AB334" s="253" t="n">
        <v>2384</v>
      </c>
      <c r="AC334" s="253" t="n">
        <v>2312</v>
      </c>
      <c r="AD334" s="253" t="n">
        <v>2392</v>
      </c>
      <c r="AE334" s="253" t="n">
        <v>2779</v>
      </c>
      <c r="AF334" s="253" t="n">
        <v>1756</v>
      </c>
      <c r="AG334" s="253" t="n">
        <v>1935</v>
      </c>
      <c r="AH334" s="253" t="n">
        <v>2203</v>
      </c>
      <c r="AI334" s="253" t="n">
        <v>2779</v>
      </c>
      <c r="AJ334" s="253" t="n">
        <v>1958</v>
      </c>
      <c r="AK334" s="253" t="n">
        <v>1436</v>
      </c>
      <c r="AL334" s="253" t="n">
        <v>1920</v>
      </c>
      <c r="AM334" s="253" t="n">
        <v>2019</v>
      </c>
      <c r="AN334" s="253" t="n">
        <v>1958</v>
      </c>
      <c r="AO334" s="253" t="n">
        <v>2886</v>
      </c>
      <c r="AP334" s="253" t="n">
        <v>1952</v>
      </c>
      <c r="AQ334" s="253" t="n">
        <v>2684</v>
      </c>
      <c r="AR334" s="253" t="n">
        <v>3168</v>
      </c>
      <c r="AS334" s="253" t="n">
        <v>2886</v>
      </c>
      <c r="AT334" s="253" t="n">
        <v>4122</v>
      </c>
      <c r="AU334" s="253" t="n">
        <v>4518</v>
      </c>
      <c r="AV334" s="253" t="n">
        <v>5221</v>
      </c>
      <c r="AW334" s="253" t="n">
        <v>5907</v>
      </c>
      <c r="AX334" s="253" t="n">
        <v>4122</v>
      </c>
      <c r="AY334" s="253" t="n">
        <v>6505</v>
      </c>
      <c r="AZ334" s="253" t="n">
        <v>4407</v>
      </c>
      <c r="BA334" s="253" t="n">
        <v>3573</v>
      </c>
      <c r="BB334" s="253" t="n">
        <v>1389</v>
      </c>
      <c r="BC334" s="253" t="n">
        <v>6505</v>
      </c>
      <c r="BD334" s="253" t="n">
        <v>1287</v>
      </c>
      <c r="BE334" s="253" t="n">
        <v>1405</v>
      </c>
      <c r="BF334" s="253" t="n">
        <v>1562</v>
      </c>
      <c r="BG334" s="253" t="n">
        <v>1646</v>
      </c>
      <c r="BH334" s="253" t="n">
        <v>1287</v>
      </c>
      <c r="BI334" s="253" t="n">
        <v>1291</v>
      </c>
      <c r="BJ334" s="253" t="n">
        <v>1544</v>
      </c>
      <c r="BK334" s="253" t="n">
        <v>2039</v>
      </c>
      <c r="BL334" s="253" t="n">
        <v>1697</v>
      </c>
      <c r="BM334" s="253" t="n">
        <v>1291</v>
      </c>
      <c r="BN334" s="253" t="n">
        <v>1666</v>
      </c>
      <c r="BO334" s="253" t="n">
        <v>1469</v>
      </c>
      <c r="BP334" s="253" t="n">
        <v>1847</v>
      </c>
      <c r="BQ334" s="253" t="n">
        <v>1672</v>
      </c>
      <c r="BR334" s="253" t="n">
        <v>1666</v>
      </c>
      <c r="BS334" s="253" t="n">
        <v>1745</v>
      </c>
      <c r="BT334" s="253" t="n">
        <v>1810</v>
      </c>
      <c r="BU334" s="35" t="n"/>
      <c r="BV334" s="35" t="n"/>
      <c r="BW334" s="254">
        <f>BR335</f>
        <v>1745</v>
      </c>
      <c r="BX334" s="254">
        <f>BW335</f>
        <v>1500</v>
      </c>
      <c r="BY334" s="254">
        <f>BX335</f>
        <v>1500</v>
      </c>
      <c r="BZ334" s="254">
        <f>BY335</f>
        <v>1500</v>
      </c>
      <c r="CA334" s="254">
        <f>BZ335</f>
        <v>1500</v>
      </c>
      <c r="CB334" s="254">
        <f>CA335</f>
        <v>1500</v>
      </c>
      <c r="CC334" s="19" t="n"/>
    </row>
    <row r="335" ht="15" customHeight="1" s="251">
      <c r="B335" s="16" t="inlineStr">
        <is>
          <t>Cash — end of period</t>
        </is>
      </c>
      <c r="C335" s="43" t="n"/>
      <c r="D335" s="43" t="n"/>
      <c r="E335" s="277" t="n">
        <v>760</v>
      </c>
      <c r="F335" s="277" t="n">
        <v>1905</v>
      </c>
      <c r="G335" s="277" t="n">
        <v>1900</v>
      </c>
      <c r="H335" s="277" t="n">
        <v>1577</v>
      </c>
      <c r="I335" s="277" t="n">
        <v>1542</v>
      </c>
      <c r="J335" s="277" t="n">
        <v>1542</v>
      </c>
      <c r="K335" s="277" t="n">
        <v>1531</v>
      </c>
      <c r="L335" s="277" t="n">
        <v>1617</v>
      </c>
      <c r="M335" s="277" t="n">
        <v>1918</v>
      </c>
      <c r="N335" s="277" t="n">
        <v>2497</v>
      </c>
      <c r="O335" s="277" t="n">
        <v>2497</v>
      </c>
      <c r="P335" s="277" t="n">
        <v>1176</v>
      </c>
      <c r="Q335" s="277" t="n">
        <v>1720</v>
      </c>
      <c r="R335" s="277" t="n">
        <v>1441</v>
      </c>
      <c r="S335" s="277" t="n">
        <v>1481</v>
      </c>
      <c r="T335" s="277" t="n">
        <v>1481</v>
      </c>
      <c r="U335" s="277" t="n">
        <v>1600</v>
      </c>
      <c r="V335" s="277" t="n">
        <v>1567</v>
      </c>
      <c r="W335" s="277" t="n">
        <v>2399</v>
      </c>
      <c r="X335" s="277" t="n">
        <v>2392</v>
      </c>
      <c r="Y335" s="277" t="n">
        <v>2392</v>
      </c>
      <c r="Z335" s="277" t="n">
        <v>2411</v>
      </c>
      <c r="AA335" s="277" t="n">
        <v>2384</v>
      </c>
      <c r="AB335" s="277" t="n">
        <v>2312</v>
      </c>
      <c r="AC335" s="277" t="n">
        <v>2779</v>
      </c>
      <c r="AD335" s="277" t="n">
        <v>2779</v>
      </c>
      <c r="AE335" s="277" t="n">
        <v>1756</v>
      </c>
      <c r="AF335" s="277" t="n">
        <v>1935</v>
      </c>
      <c r="AG335" s="277" t="n">
        <v>2203</v>
      </c>
      <c r="AH335" s="277" t="n">
        <v>1958</v>
      </c>
      <c r="AI335" s="277" t="n">
        <v>1958</v>
      </c>
      <c r="AJ335" s="277" t="n">
        <v>1436</v>
      </c>
      <c r="AK335" s="277" t="n">
        <v>1920</v>
      </c>
      <c r="AL335" s="277" t="n">
        <v>2019</v>
      </c>
      <c r="AM335" s="277" t="n">
        <v>2886</v>
      </c>
      <c r="AN335" s="277" t="n">
        <v>2886</v>
      </c>
      <c r="AO335" s="277" t="n">
        <v>1952</v>
      </c>
      <c r="AP335" s="277" t="n">
        <v>2684</v>
      </c>
      <c r="AQ335" s="277" t="n">
        <v>3168</v>
      </c>
      <c r="AR335" s="277" t="n">
        <v>4122</v>
      </c>
      <c r="AS335" s="277" t="n">
        <v>4122</v>
      </c>
      <c r="AT335" s="277" t="n">
        <v>4518</v>
      </c>
      <c r="AU335" s="277" t="n">
        <v>5221</v>
      </c>
      <c r="AV335" s="277" t="n">
        <v>5907</v>
      </c>
      <c r="AW335" s="277" t="n">
        <v>6505</v>
      </c>
      <c r="AX335" s="277" t="n">
        <v>6505</v>
      </c>
      <c r="AY335" s="277" t="n">
        <v>4407</v>
      </c>
      <c r="AZ335" s="277" t="n">
        <v>3573</v>
      </c>
      <c r="BA335" s="277" t="n">
        <v>1389</v>
      </c>
      <c r="BB335" s="277" t="n">
        <v>1287</v>
      </c>
      <c r="BC335" s="277" t="n">
        <v>1287</v>
      </c>
      <c r="BD335" s="277" t="n">
        <v>1405</v>
      </c>
      <c r="BE335" s="277" t="n">
        <v>1562</v>
      </c>
      <c r="BF335" s="277" t="n">
        <v>1646</v>
      </c>
      <c r="BG335" s="277" t="n">
        <v>1291</v>
      </c>
      <c r="BH335" s="277" t="n">
        <v>1291</v>
      </c>
      <c r="BI335" s="277" t="n">
        <v>1544</v>
      </c>
      <c r="BJ335" s="277" t="n">
        <v>2039</v>
      </c>
      <c r="BK335" s="277" t="n">
        <v>1697</v>
      </c>
      <c r="BL335" s="277" t="n">
        <v>1666</v>
      </c>
      <c r="BM335" s="277" t="n">
        <v>1666</v>
      </c>
      <c r="BN335" s="277" t="n">
        <v>1469</v>
      </c>
      <c r="BO335" s="277" t="n">
        <v>1847</v>
      </c>
      <c r="BP335" s="277" t="n">
        <v>1672</v>
      </c>
      <c r="BQ335" s="277" t="n">
        <v>1745</v>
      </c>
      <c r="BR335" s="277" t="n">
        <v>1745</v>
      </c>
      <c r="BS335" s="277" t="n">
        <v>1810</v>
      </c>
      <c r="BT335" s="277" t="n">
        <v>4141</v>
      </c>
      <c r="BU335" s="32" t="n"/>
      <c r="BV335" s="32" t="n"/>
      <c r="BW335" s="261">
        <f>BW334+BW333</f>
        <v>1500</v>
      </c>
      <c r="BX335" s="261">
        <f>BX334+BX333</f>
        <v>1500</v>
      </c>
      <c r="BY335" s="261">
        <f>BY334+BY333</f>
        <v>1500</v>
      </c>
      <c r="BZ335" s="261">
        <f>BZ334+BZ333</f>
        <v>1500</v>
      </c>
      <c r="CA335" s="261">
        <f>CA334+CA333</f>
        <v>1500</v>
      </c>
      <c r="CB335" s="261">
        <f>CB334+CB333</f>
        <v>1500</v>
      </c>
      <c r="CC335" s="153" t="n"/>
    </row>
    <row r="336" ht="15" customHeight="1" s="251">
      <c r="B336" s="57" t="inlineStr">
        <is>
          <t xml:space="preserve">  Check: beginning cash + CFO + CFI + CFF + FX = ending cash (should be 0)</t>
        </is>
      </c>
      <c r="C336" s="211">
        <f>IF(AND(ISNUMBER(C334),ISNUMBER(C319)),IF(ABS(C334+C333-C335)&lt;=1.01,0,ROUND(C334+C333-C335,0)),"")</f>
      </c>
      <c r="D336" s="211">
        <f>IF(AND(ISNUMBER(D334),ISNUMBER(D319)),IF(ABS(D334+D333-D335)&lt;=1.01,0,ROUND(D334+D333-D335,0)),"")</f>
      </c>
      <c r="E336" s="211">
        <f>IF(AND(ISNUMBER(E334),ISNUMBER(E319)),IF(ABS(E334+E333-E335)&lt;=1.01,0,ROUND(E334+E333-E335,0)),"")</f>
        <v>0</v>
      </c>
      <c r="F336" s="211">
        <f>IF(AND(ISNUMBER(F334),ISNUMBER(F319)),IF(ABS(F334+F333-F335)&lt;=1.01,0,ROUND(F334+F333-F335,0)),"")</f>
        <v>0</v>
      </c>
      <c r="G336" s="211">
        <f>IF(AND(ISNUMBER(G334),ISNUMBER(G319)),IF(ABS(G334+G333-G335)&lt;=1.01,0,ROUND(G334+G333-G335,0)),"")</f>
        <v>0</v>
      </c>
      <c r="H336" s="211">
        <f>IF(AND(ISNUMBER(H334),ISNUMBER(H319)),IF(ABS(H334+H333-H335)&lt;=1.01,0,ROUND(H334+H333-H335,0)),"")</f>
        <v>0</v>
      </c>
      <c r="I336" s="211">
        <f>IF(AND(ISNUMBER(I334),ISNUMBER(I319)),IF(ABS(I334+I333-I335)&lt;=1.01,0,ROUND(I334+I333-I335,0)),"")</f>
        <v>0</v>
      </c>
      <c r="J336" s="211">
        <f>IF(AND(ISNUMBER(J334),ISNUMBER(J319)),IF(ABS(J334+J333-J335)&lt;=1.01,0,ROUND(J334+J333-J335,0)),"")</f>
        <v>0</v>
      </c>
      <c r="K336" s="211">
        <f>IF(AND(ISNUMBER(K334),ISNUMBER(K319)),IF(ABS(K334+K333-K335)&lt;=1.01,0,ROUND(K334+K333-K335,0)),"")</f>
        <v>0</v>
      </c>
      <c r="L336" s="211">
        <f>IF(AND(ISNUMBER(L334),ISNUMBER(L319)),IF(ABS(L334+L333-L335)&lt;=1.01,0,ROUND(L334+L333-L335,0)),"")</f>
        <v>0</v>
      </c>
      <c r="M336" s="211">
        <f>IF(AND(ISNUMBER(M334),ISNUMBER(M319)),IF(ABS(M334+M333-M335)&lt;=1.01,0,ROUND(M334+M333-M335,0)),"")</f>
        <v>0</v>
      </c>
      <c r="N336" s="211">
        <f>IF(AND(ISNUMBER(N334),ISNUMBER(N319)),IF(ABS(N334+N333-N335)&lt;=1.01,0,ROUND(N334+N333-N335,0)),"")</f>
        <v>0</v>
      </c>
      <c r="O336" s="211">
        <f>IF(AND(ISNUMBER(O334),ISNUMBER(O319)),IF(ABS(O334+O333-O335)&lt;=1.01,0,ROUND(O334+O333-O335,0)),"")</f>
        <v>0</v>
      </c>
      <c r="P336" s="211">
        <f>IF(AND(ISNUMBER(P334),ISNUMBER(P319)),IF(ABS(P334+P333-P335)&lt;=1.01,0,ROUND(P334+P333-P335,0)),"")</f>
        <v>0</v>
      </c>
      <c r="Q336" s="211">
        <f>IF(AND(ISNUMBER(Q334),ISNUMBER(Q319)),IF(ABS(Q334+Q333-Q335)&lt;=1.01,0,ROUND(Q334+Q333-Q335,0)),"")</f>
        <v>0</v>
      </c>
      <c r="R336" s="211">
        <f>IF(AND(ISNUMBER(R334),ISNUMBER(R319)),IF(ABS(R334+R333-R335)&lt;=1.01,0,ROUND(R334+R333-R335,0)),"")</f>
        <v>0</v>
      </c>
      <c r="S336" s="211">
        <f>IF(AND(ISNUMBER(S334),ISNUMBER(S319)),IF(ABS(S334+S333-S335)&lt;=1.01,0,ROUND(S334+S333-S335,0)),"")</f>
        <v>0</v>
      </c>
      <c r="T336" s="211">
        <f>IF(AND(ISNUMBER(T334),ISNUMBER(T319)),IF(ABS(T334+T333-T335)&lt;=1.01,0,ROUND(T334+T333-T335,0)),"")</f>
        <v>0</v>
      </c>
      <c r="U336" s="211">
        <f>IF(AND(ISNUMBER(U334),ISNUMBER(U319)),IF(ABS(U334+U333-U335)&lt;=1.01,0,ROUND(U334+U333-U335,0)),"")</f>
        <v>0</v>
      </c>
      <c r="V336" s="211">
        <f>IF(AND(ISNUMBER(V334),ISNUMBER(V319)),IF(ABS(V334+V333-V335)&lt;=1.01,0,ROUND(V334+V333-V335,0)),"")</f>
        <v>0</v>
      </c>
      <c r="W336" s="211">
        <f>IF(AND(ISNUMBER(W334),ISNUMBER(W319)),IF(ABS(W334+W333-W335)&lt;=1.01,0,ROUND(W334+W333-W335,0)),"")</f>
        <v>0</v>
      </c>
      <c r="X336" s="211">
        <f>IF(AND(ISNUMBER(X334),ISNUMBER(X319)),IF(ABS(X334+X333-X335)&lt;=1.01,0,ROUND(X334+X333-X335,0)),"")</f>
        <v>0</v>
      </c>
      <c r="Y336" s="211">
        <f>IF(AND(ISNUMBER(Y334),ISNUMBER(Y319)),IF(ABS(Y334+Y333-Y335)&lt;=1.01,0,ROUND(Y334+Y333-Y335,0)),"")</f>
        <v>0</v>
      </c>
      <c r="Z336" s="211">
        <f>IF(AND(ISNUMBER(Z334),ISNUMBER(Z319)),IF(ABS(Z334+Z333-Z335)&lt;=1.01,0,ROUND(Z334+Z333-Z335,0)),"")</f>
        <v>0</v>
      </c>
      <c r="AA336" s="211">
        <f>IF(AND(ISNUMBER(AA334),ISNUMBER(AA319)),IF(ABS(AA334+AA333-AA335)&lt;=1.01,0,ROUND(AA334+AA333-AA335,0)),"")</f>
        <v>0</v>
      </c>
      <c r="AB336" s="211">
        <f>IF(AND(ISNUMBER(AB334),ISNUMBER(AB319)),IF(ABS(AB334+AB333-AB335)&lt;=1.01,0,ROUND(AB334+AB333-AB335,0)),"")</f>
        <v>0</v>
      </c>
      <c r="AC336" s="211">
        <f>IF(AND(ISNUMBER(AC334),ISNUMBER(AC319)),IF(ABS(AC334+AC333-AC335)&lt;=1.01,0,ROUND(AC334+AC333-AC335,0)),"")</f>
        <v>0</v>
      </c>
      <c r="AD336" s="211">
        <f>IF(AND(ISNUMBER(AD334),ISNUMBER(AD319)),IF(ABS(AD334+AD333-AD335)&lt;=1.01,0,ROUND(AD334+AD333-AD335,0)),"")</f>
        <v>0</v>
      </c>
      <c r="AE336" s="211">
        <f>IF(AND(ISNUMBER(AE334),ISNUMBER(AE319)),IF(ABS(AE334+AE333-AE335)&lt;=1.01,0,ROUND(AE334+AE333-AE335,0)),"")</f>
        <v>0</v>
      </c>
      <c r="AF336" s="211">
        <f>IF(AND(ISNUMBER(AF334),ISNUMBER(AF319)),IF(ABS(AF334+AF333-AF335)&lt;=1.01,0,ROUND(AF334+AF333-AF335,0)),"")</f>
        <v>0</v>
      </c>
      <c r="AG336" s="211">
        <f>IF(AND(ISNUMBER(AG334),ISNUMBER(AG319)),IF(ABS(AG334+AG333-AG335)&lt;=1.01,0,ROUND(AG334+AG333-AG335,0)),"")</f>
        <v>0</v>
      </c>
      <c r="AH336" s="211">
        <f>IF(AND(ISNUMBER(AH334),ISNUMBER(AH319)),IF(ABS(AH334+AH333-AH335)&lt;=1.01,0,ROUND(AH334+AH333-AH335,0)),"")</f>
        <v>0</v>
      </c>
      <c r="AI336" s="211">
        <f>IF(AND(ISNUMBER(AI334),ISNUMBER(AI319)),IF(ABS(AI334+AI333-AI335)&lt;=1.01,0,ROUND(AI334+AI333-AI335,0)),"")</f>
        <v>0</v>
      </c>
      <c r="AJ336" s="211">
        <f>IF(AND(ISNUMBER(AJ334),ISNUMBER(AJ319)),IF(ABS(AJ334+AJ333-AJ335)&lt;=1.01,0,ROUND(AJ334+AJ333-AJ335,0)),"")</f>
        <v>0</v>
      </c>
      <c r="AK336" s="211">
        <f>IF(AND(ISNUMBER(AK334),ISNUMBER(AK319)),IF(ABS(AK334+AK333-AK335)&lt;=1.01,0,ROUND(AK334+AK333-AK335,0)),"")</f>
        <v>0</v>
      </c>
      <c r="AL336" s="211">
        <f>IF(AND(ISNUMBER(AL334),ISNUMBER(AL319)),IF(ABS(AL334+AL333-AL335)&lt;=1.01,0,ROUND(AL334+AL333-AL335,0)),"")</f>
        <v>0</v>
      </c>
      <c r="AM336" s="211">
        <f>IF(AND(ISNUMBER(AM334),ISNUMBER(AM319)),IF(ABS(AM334+AM333-AM335)&lt;=1.01,0,ROUND(AM334+AM333-AM335,0)),"")</f>
        <v>0</v>
      </c>
      <c r="AN336" s="211">
        <f>IF(AND(ISNUMBER(AN334),ISNUMBER(AN319)),IF(ABS(AN334+AN333-AN335)&lt;=1.01,0,ROUND(AN334+AN333-AN335,0)),"")</f>
        <v>0</v>
      </c>
      <c r="AO336" s="211">
        <f>IF(AND(ISNUMBER(AO334),ISNUMBER(AO319)),IF(ABS(AO334+AO333-AO335)&lt;=1.01,0,ROUND(AO334+AO333-AO335,0)),"")</f>
        <v>0</v>
      </c>
      <c r="AP336" s="211">
        <f>IF(AND(ISNUMBER(AP334),ISNUMBER(AP319)),IF(ABS(AP334+AP333-AP335)&lt;=1.01,0,ROUND(AP334+AP333-AP335,0)),"")</f>
        <v>0</v>
      </c>
      <c r="AQ336" s="211">
        <f>IF(AND(ISNUMBER(AQ334),ISNUMBER(AQ319)),IF(ABS(AQ334+AQ333-AQ335)&lt;=1.01,0,ROUND(AQ334+AQ333-AQ335,0)),"")</f>
        <v>0</v>
      </c>
      <c r="AR336" s="211">
        <f>IF(AND(ISNUMBER(AR334),ISNUMBER(AR319)),IF(ABS(AR334+AR333-AR335)&lt;=1.01,0,ROUND(AR334+AR333-AR335,0)),"")</f>
        <v>0</v>
      </c>
      <c r="AS336" s="211">
        <f>IF(AND(ISNUMBER(AS334),ISNUMBER(AS319)),IF(ABS(AS334+AS333-AS335)&lt;=1.01,0,ROUND(AS334+AS333-AS335,0)),"")</f>
        <v>0</v>
      </c>
      <c r="AT336" s="211">
        <f>IF(AND(ISNUMBER(AT334),ISNUMBER(AT319)),IF(ABS(AT334+AT333-AT335)&lt;=1.01,0,ROUND(AT334+AT333-AT335,0)),"")</f>
        <v>0</v>
      </c>
      <c r="AU336" s="211">
        <f>IF(AND(ISNUMBER(AU334),ISNUMBER(AU319)),IF(ABS(AU334+AU333-AU335)&lt;=1.01,0,ROUND(AU334+AU333-AU335,0)),"")</f>
        <v>0</v>
      </c>
      <c r="AV336" s="211">
        <f>IF(AND(ISNUMBER(AV334),ISNUMBER(AV319)),IF(ABS(AV334+AV333-AV335)&lt;=1.01,0,ROUND(AV334+AV333-AV335,0)),"")</f>
        <v>0</v>
      </c>
      <c r="AW336" s="211">
        <f>IF(AND(ISNUMBER(AW334),ISNUMBER(AW319)),IF(ABS(AW334+AW333-AW335)&lt;=1.01,0,ROUND(AW334+AW333-AW335,0)),"")</f>
        <v>0</v>
      </c>
      <c r="AX336" s="211">
        <f>IF(AND(ISNUMBER(AX334),ISNUMBER(AX319)),IF(ABS(AX334+AX333-AX335)&lt;=1.01,0,ROUND(AX334+AX333-AX335,0)),"")</f>
        <v>0</v>
      </c>
      <c r="AY336" s="211">
        <f>IF(AND(ISNUMBER(AY334),ISNUMBER(AY319)),IF(ABS(AY334+AY333-AY335)&lt;=1.01,0,ROUND(AY334+AY333-AY335,0)),"")</f>
        <v>0</v>
      </c>
      <c r="AZ336" s="211">
        <f>IF(AND(ISNUMBER(AZ334),ISNUMBER(AZ319)),IF(ABS(AZ334+AZ333-AZ335)&lt;=1.01,0,ROUND(AZ334+AZ333-AZ335,0)),"")</f>
        <v>0</v>
      </c>
      <c r="BA336" s="211">
        <f>IF(AND(ISNUMBER(BA334),ISNUMBER(BA319)),IF(ABS(BA334+BA333-BA335)&lt;=1.01,0,ROUND(BA334+BA333-BA335,0)),"")</f>
        <v>0</v>
      </c>
      <c r="BB336" s="211">
        <f>IF(AND(ISNUMBER(BB334),ISNUMBER(BB319)),IF(ABS(BB334+BB333-BB335)&lt;=1.01,0,ROUND(BB334+BB333-BB335,0)),"")</f>
        <v>0</v>
      </c>
      <c r="BC336" s="211">
        <f>IF(AND(ISNUMBER(BC334),ISNUMBER(BC319)),IF(ABS(BC334+BC333-BC335)&lt;=1.01,0,ROUND(BC334+BC333-BC335,0)),"")</f>
        <v>0</v>
      </c>
      <c r="BD336" s="211">
        <f>IF(AND(ISNUMBER(BD334),ISNUMBER(BD319)),IF(ABS(BD334+BD333-BD335)&lt;=1.01,0,ROUND(BD334+BD333-BD335,0)),"")</f>
        <v>0</v>
      </c>
      <c r="BE336" s="211">
        <f>IF(AND(ISNUMBER(BE334),ISNUMBER(BE319)),IF(ABS(BE334+BE333-BE335)&lt;=1.01,0,ROUND(BE334+BE333-BE335,0)),"")</f>
        <v>0</v>
      </c>
      <c r="BF336" s="211">
        <f>IF(AND(ISNUMBER(BF334),ISNUMBER(BF319)),IF(ABS(BF334+BF333-BF335)&lt;=1.01,0,ROUND(BF334+BF333-BF335,0)),"")</f>
        <v>0</v>
      </c>
      <c r="BG336" s="211">
        <f>IF(AND(ISNUMBER(BG334),ISNUMBER(BG319)),IF(ABS(BG334+BG333-BG335)&lt;=1.01,0,ROUND(BG334+BG333-BG335,0)),"")</f>
        <v>0</v>
      </c>
      <c r="BH336" s="211">
        <f>IF(AND(ISNUMBER(BH334),ISNUMBER(BH319)),IF(ABS(BH334+BH333-BH335)&lt;=1.01,0,ROUND(BH334+BH333-BH335,0)),"")</f>
        <v>0</v>
      </c>
      <c r="BI336" s="211">
        <f>IF(AND(ISNUMBER(BI334),ISNUMBER(BI319)),IF(ABS(BI334+BI333-BI335)&lt;=1.01,0,ROUND(BI334+BI333-BI335,0)),"")</f>
        <v>0</v>
      </c>
      <c r="BJ336" s="211">
        <f>IF(AND(ISNUMBER(BJ334),ISNUMBER(BJ319)),IF(ABS(BJ334+BJ333-BJ335)&lt;=1.01,0,ROUND(BJ334+BJ333-BJ335,0)),"")</f>
        <v>0</v>
      </c>
      <c r="BK336" s="211">
        <f>IF(AND(ISNUMBER(BK334),ISNUMBER(BK319)),IF(ABS(BK334+BK333-BK335)&lt;=1.01,0,ROUND(BK334+BK333-BK335,0)),"")</f>
        <v>0</v>
      </c>
      <c r="BL336" s="211">
        <f>IF(AND(ISNUMBER(BL334),ISNUMBER(BL319)),IF(ABS(BL334+BL333-BL335)&lt;=1.01,0,ROUND(BL334+BL333-BL335,0)),"")</f>
        <v>0</v>
      </c>
      <c r="BM336" s="211">
        <f>IF(AND(ISNUMBER(BM334),ISNUMBER(BM319)),IF(ABS(BM334+BM333-BM335)&lt;=1.01,0,ROUND(BM334+BM333-BM335,0)),"")</f>
        <v>0</v>
      </c>
      <c r="BN336" s="211">
        <f>IF(AND(ISNUMBER(BN334),ISNUMBER(BN319)),IF(ABS(BN334+BN333-BN335)&lt;=1.01,0,ROUND(BN334+BN333-BN335,0)),"")</f>
        <v>0</v>
      </c>
      <c r="BO336" s="211">
        <f>IF(AND(ISNUMBER(BO334),ISNUMBER(BO319)),IF(ABS(BO334+BO333-BO335)&lt;=1.01,0,ROUND(BO334+BO333-BO335,0)),"")</f>
        <v>0</v>
      </c>
      <c r="BP336" s="211">
        <f>IF(AND(ISNUMBER(BP334),ISNUMBER(BP319)),IF(ABS(BP334+BP333-BP335)&lt;=1.01,0,ROUND(BP334+BP333-BP335,0)),"")</f>
        <v>0</v>
      </c>
      <c r="BQ336" s="211">
        <f>IF(AND(ISNUMBER(BQ334),ISNUMBER(BQ319)),IF(ABS(BQ334+BQ333-BQ335)&lt;=1.01,0,ROUND(BQ334+BQ333-BQ335,0)),"")</f>
        <v>0</v>
      </c>
      <c r="BR336" s="211">
        <f>IF(AND(ISNUMBER(BR334),ISNUMBER(BR319)),IF(ABS(BR334+BR333-BR335)&lt;=1.01,0,ROUND(BR334+BR333-BR335,0)),"")</f>
        <v>0</v>
      </c>
      <c r="BS336" s="211">
        <f>IF(AND(ISNUMBER(BS334),ISNUMBER(BS319)),IF(ABS(BS334+BS333-BS335)&lt;=1.01,0,ROUND(BS334+BS333-BS335,0)),"")</f>
        <v>0</v>
      </c>
      <c r="BT336" s="211">
        <f>IF(AND(ISNUMBER(BT334),ISNUMBER(BT319)),IF(ABS(BT334+BT333-BT335)&lt;=1.01,0,ROUND(BT334+BT333-BT335,0)),"")</f>
        <v>0</v>
      </c>
      <c r="BU336" s="153" t="n"/>
      <c r="BV336" s="153" t="n"/>
      <c r="BW336" s="270">
        <f>IF(AND(ISNUMBER(BW334),ISNUMBER(BW319)),IF(ABS(BW334+BW333-BW335)&lt;=1.01,0,ROUND(BW334+BW333-BW335,0)),"")</f>
        <v>0</v>
      </c>
      <c r="BX336" s="270">
        <f>IF(AND(ISNUMBER(BX334),ISNUMBER(BX319)),IF(ABS(BX334+BX333-BX335)&lt;=1.01,0,ROUND(BX334+BX333-BX335,0)),"")</f>
        <v>0</v>
      </c>
      <c r="BY336" s="270">
        <f>IF(AND(ISNUMBER(BY334),ISNUMBER(BY319)),IF(ABS(BY334+BY333-BY335)&lt;=1.01,0,ROUND(BY334+BY333-BY335,0)),"")</f>
        <v>0</v>
      </c>
      <c r="BZ336" s="270">
        <f>IF(AND(ISNUMBER(BZ334),ISNUMBER(BZ319)),IF(ABS(BZ334+BZ333-BZ335)&lt;=1.01,0,ROUND(BZ334+BZ333-BZ335,0)),"")</f>
        <v>0</v>
      </c>
      <c r="CA336" s="270">
        <f>IF(AND(ISNUMBER(CA334),ISNUMBER(CA319)),IF(ABS(CA334+CA333-CA335)&lt;=1.01,0,ROUND(CA334+CA333-CA335,0)),"")</f>
        <v>0</v>
      </c>
      <c r="CB336" s="270">
        <f>IF(AND(ISNUMBER(CB334),ISNUMBER(CB319)),IF(ABS(CB334+CB333-CB335)&lt;=1.01,0,ROUND(CB334+CB333-CB335,0)),"")</f>
        <v>0</v>
      </c>
      <c r="CC336" s="153" t="n"/>
    </row>
    <row r="337" ht="15" customHeight="1" s="251">
      <c r="B337" s="57" t="inlineStr">
        <is>
          <t xml:space="preserve">  Check: CFO = sum of operating lines (should be 0)</t>
        </is>
      </c>
      <c r="C337" s="211">
        <f>IF(ISNUMBER(C319),IF(ABS(SUM(C311:C318)-C319)&lt;=1.01,0,ROUND(SUM(C311:C318)-C319,0)),"")</f>
      </c>
      <c r="D337" s="211">
        <f>IF(ISNUMBER(D319),IF(ABS(SUM(D311:D318)-D319)&lt;=1.01,0,ROUND(SUM(D311:D318)-D319,0)),"")</f>
      </c>
      <c r="E337" s="211">
        <f>IF(ISNUMBER(E319),IF(ABS(SUM(E311:E318)-E319)&lt;=1.01,0,ROUND(SUM(E311:E318)-E319,0)),"")</f>
        <v>0</v>
      </c>
      <c r="F337" s="211">
        <f>IF(ISNUMBER(F319),IF(ABS(SUM(F311:F318)-F319)&lt;=1.01,0,ROUND(SUM(F311:F318)-F319,0)),"")</f>
        <v>0</v>
      </c>
      <c r="G337" s="211">
        <f>IF(ISNUMBER(G319),IF(ABS(SUM(G311:G318)-G319)&lt;=1.01,0,ROUND(SUM(G311:G318)-G319,0)),"")</f>
        <v>0</v>
      </c>
      <c r="H337" s="211">
        <f>IF(ISNUMBER(H319),IF(ABS(SUM(H311:H318)-H319)&lt;=1.01,0,ROUND(SUM(H311:H318)-H319,0)),"")</f>
        <v>0</v>
      </c>
      <c r="I337" s="211">
        <f>IF(ISNUMBER(I319),IF(ABS(SUM(I311:I318)-I319)&lt;=1.01,0,ROUND(SUM(I311:I318)-I319,0)),"")</f>
        <v>0</v>
      </c>
      <c r="J337" s="211">
        <f>IF(ISNUMBER(J319),IF(ABS(SUM(J311:J318)-J319)&lt;=1.01,0,ROUND(SUM(J311:J318)-J319,0)),"")</f>
        <v>0</v>
      </c>
      <c r="K337" s="211">
        <f>IF(ISNUMBER(K319),IF(ABS(SUM(K311:K318)-K319)&lt;=1.01,0,ROUND(SUM(K311:K318)-K319,0)),"")</f>
        <v>0</v>
      </c>
      <c r="L337" s="211">
        <f>IF(ISNUMBER(L319),IF(ABS(SUM(L311:L318)-L319)&lt;=1.01,0,ROUND(SUM(L311:L318)-L319,0)),"")</f>
        <v>0</v>
      </c>
      <c r="M337" s="211">
        <f>IF(ISNUMBER(M319),IF(ABS(SUM(M311:M318)-M319)&lt;=1.01,0,ROUND(SUM(M311:M318)-M319,0)),"")</f>
        <v>0</v>
      </c>
      <c r="N337" s="211">
        <f>IF(ISNUMBER(N319),IF(ABS(SUM(N311:N318)-N319)&lt;=1.01,0,ROUND(SUM(N311:N318)-N319,0)),"")</f>
        <v>0</v>
      </c>
      <c r="O337" s="211">
        <f>IF(ISNUMBER(O319),IF(ABS(SUM(O311:O318)-O319)&lt;=1.01,0,ROUND(SUM(O311:O318)-O319,0)),"")</f>
        <v>0</v>
      </c>
      <c r="P337" s="211">
        <f>IF(ISNUMBER(P319),IF(ABS(SUM(P311:P318)-P319)&lt;=1.01,0,ROUND(SUM(P311:P318)-P319,0)),"")</f>
        <v>0</v>
      </c>
      <c r="Q337" s="211">
        <f>IF(ISNUMBER(Q319),IF(ABS(SUM(Q311:Q318)-Q319)&lt;=1.01,0,ROUND(SUM(Q311:Q318)-Q319,0)),"")</f>
        <v>0</v>
      </c>
      <c r="R337" s="211">
        <f>IF(ISNUMBER(R319),IF(ABS(SUM(R311:R318)-R319)&lt;=1.01,0,ROUND(SUM(R311:R318)-R319,0)),"")</f>
        <v>0</v>
      </c>
      <c r="S337" s="211">
        <f>IF(ISNUMBER(S319),IF(ABS(SUM(S311:S318)-S319)&lt;=1.01,0,ROUND(SUM(S311:S318)-S319,0)),"")</f>
        <v>0</v>
      </c>
      <c r="T337" s="211">
        <f>IF(ISNUMBER(T319),IF(ABS(SUM(T311:T318)-T319)&lt;=1.01,0,ROUND(SUM(T311:T318)-T319,0)),"")</f>
        <v>0</v>
      </c>
      <c r="U337" s="211">
        <f>IF(ISNUMBER(U319),IF(ABS(SUM(U311:U318)-U319)&lt;=1.01,0,ROUND(SUM(U311:U318)-U319,0)),"")</f>
        <v>0</v>
      </c>
      <c r="V337" s="211">
        <f>IF(ISNUMBER(V319),IF(ABS(SUM(V311:V318)-V319)&lt;=1.01,0,ROUND(SUM(V311:V318)-V319,0)),"")</f>
        <v>0</v>
      </c>
      <c r="W337" s="211">
        <f>IF(ISNUMBER(W319),IF(ABS(SUM(W311:W318)-W319)&lt;=1.01,0,ROUND(SUM(W311:W318)-W319,0)),"")</f>
        <v>0</v>
      </c>
      <c r="X337" s="211">
        <f>IF(ISNUMBER(X319),IF(ABS(SUM(X311:X318)-X319)&lt;=1.01,0,ROUND(SUM(X311:X318)-X319,0)),"")</f>
        <v>0</v>
      </c>
      <c r="Y337" s="211">
        <f>IF(ISNUMBER(Y319),IF(ABS(SUM(Y311:Y318)-Y319)&lt;=1.01,0,ROUND(SUM(Y311:Y318)-Y319,0)),"")</f>
        <v>0</v>
      </c>
      <c r="Z337" s="211">
        <f>IF(ISNUMBER(Z319),IF(ABS(SUM(Z311:Z318)-Z319)&lt;=1.01,0,ROUND(SUM(Z311:Z318)-Z319,0)),"")</f>
        <v>0</v>
      </c>
      <c r="AA337" s="211">
        <f>IF(ISNUMBER(AA319),IF(ABS(SUM(AA311:AA318)-AA319)&lt;=1.01,0,ROUND(SUM(AA311:AA318)-AA319,0)),"")</f>
        <v>0</v>
      </c>
      <c r="AB337" s="211">
        <f>IF(ISNUMBER(AB319),IF(ABS(SUM(AB311:AB318)-AB319)&lt;=1.01,0,ROUND(SUM(AB311:AB318)-AB319,0)),"")</f>
        <v>0</v>
      </c>
      <c r="AC337" s="211">
        <f>IF(ISNUMBER(AC319),IF(ABS(SUM(AC311:AC318)-AC319)&lt;=1.01,0,ROUND(SUM(AC311:AC318)-AC319,0)),"")</f>
        <v>0</v>
      </c>
      <c r="AD337" s="211">
        <f>IF(ISNUMBER(AD319),IF(ABS(SUM(AD311:AD318)-AD319)&lt;=1.01,0,ROUND(SUM(AD311:AD318)-AD319,0)),"")</f>
        <v>0</v>
      </c>
      <c r="AE337" s="211">
        <f>IF(ISNUMBER(AE319),IF(ABS(SUM(AE311:AE318)-AE319)&lt;=1.01,0,ROUND(SUM(AE311:AE318)-AE319,0)),"")</f>
        <v>0</v>
      </c>
      <c r="AF337" s="211">
        <f>IF(ISNUMBER(AF319),IF(ABS(SUM(AF311:AF318)-AF319)&lt;=1.01,0,ROUND(SUM(AF311:AF318)-AF319,0)),"")</f>
        <v>0</v>
      </c>
      <c r="AG337" s="211">
        <f>IF(ISNUMBER(AG319),IF(ABS(SUM(AG311:AG318)-AG319)&lt;=1.01,0,ROUND(SUM(AG311:AG318)-AG319,0)),"")</f>
        <v>0</v>
      </c>
      <c r="AH337" s="211">
        <f>IF(ISNUMBER(AH319),IF(ABS(SUM(AH311:AH318)-AH319)&lt;=1.01,0,ROUND(SUM(AH311:AH318)-AH319,0)),"")</f>
        <v>0</v>
      </c>
      <c r="AI337" s="211">
        <f>IF(ISNUMBER(AI319),IF(ABS(SUM(AI311:AI318)-AI319)&lt;=1.01,0,ROUND(SUM(AI311:AI318)-AI319,0)),"")</f>
        <v>0</v>
      </c>
      <c r="AJ337" s="211">
        <f>IF(ISNUMBER(AJ319),IF(ABS(SUM(AJ311:AJ318)-AJ319)&lt;=1.01,0,ROUND(SUM(AJ311:AJ318)-AJ319,0)),"")</f>
        <v>0</v>
      </c>
      <c r="AK337" s="211">
        <f>IF(ISNUMBER(AK319),IF(ABS(SUM(AK311:AK318)-AK319)&lt;=1.01,0,ROUND(SUM(AK311:AK318)-AK319,0)),"")</f>
        <v>0</v>
      </c>
      <c r="AL337" s="211">
        <f>IF(ISNUMBER(AL319),IF(ABS(SUM(AL311:AL318)-AL319)&lt;=1.01,0,ROUND(SUM(AL311:AL318)-AL319,0)),"")</f>
        <v>0</v>
      </c>
      <c r="AM337" s="211">
        <f>IF(ISNUMBER(AM319),IF(ABS(SUM(AM311:AM318)-AM319)&lt;=1.01,0,ROUND(SUM(AM311:AM318)-AM319,0)),"")</f>
        <v>0</v>
      </c>
      <c r="AN337" s="211">
        <f>IF(ISNUMBER(AN319),IF(ABS(SUM(AN311:AN318)-AN319)&lt;=1.01,0,ROUND(SUM(AN311:AN318)-AN319,0)),"")</f>
        <v>0</v>
      </c>
      <c r="AO337" s="211">
        <f>IF(ISNUMBER(AO319),IF(ABS(SUM(AO311:AO318)-AO319)&lt;=1.01,0,ROUND(SUM(AO311:AO318)-AO319,0)),"")</f>
        <v>0</v>
      </c>
      <c r="AP337" s="211">
        <f>IF(ISNUMBER(AP319),IF(ABS(SUM(AP311:AP318)-AP319)&lt;=1.01,0,ROUND(SUM(AP311:AP318)-AP319,0)),"")</f>
        <v>0</v>
      </c>
      <c r="AQ337" s="211">
        <f>IF(ISNUMBER(AQ319),IF(ABS(SUM(AQ311:AQ318)-AQ319)&lt;=1.01,0,ROUND(SUM(AQ311:AQ318)-AQ319,0)),"")</f>
        <v>0</v>
      </c>
      <c r="AR337" s="211">
        <f>IF(ISNUMBER(AR319),IF(ABS(SUM(AR311:AR318)-AR319)&lt;=1.01,0,ROUND(SUM(AR311:AR318)-AR319,0)),"")</f>
        <v>0</v>
      </c>
      <c r="AS337" s="211">
        <f>IF(ISNUMBER(AS319),IF(ABS(SUM(AS311:AS318)-AS319)&lt;=1.01,0,ROUND(SUM(AS311:AS318)-AS319,0)),"")</f>
        <v>0</v>
      </c>
      <c r="AT337" s="211">
        <f>IF(ISNUMBER(AT319),IF(ABS(SUM(AT311:AT318)-AT319)&lt;=1.01,0,ROUND(SUM(AT311:AT318)-AT319,0)),"")</f>
        <v>0</v>
      </c>
      <c r="AU337" s="211">
        <f>IF(ISNUMBER(AU319),IF(ABS(SUM(AU311:AU318)-AU319)&lt;=1.01,0,ROUND(SUM(AU311:AU318)-AU319,0)),"")</f>
        <v>0</v>
      </c>
      <c r="AV337" s="211">
        <f>IF(ISNUMBER(AV319),IF(ABS(SUM(AV311:AV318)-AV319)&lt;=1.01,0,ROUND(SUM(AV311:AV318)-AV319,0)),"")</f>
        <v>0</v>
      </c>
      <c r="AW337" s="211">
        <f>IF(ISNUMBER(AW319),IF(ABS(SUM(AW311:AW318)-AW319)&lt;=1.01,0,ROUND(SUM(AW311:AW318)-AW319,0)),"")</f>
        <v>0</v>
      </c>
      <c r="AX337" s="211">
        <f>IF(ISNUMBER(AX319),IF(ABS(SUM(AX311:AX318)-AX319)&lt;=1.01,0,ROUND(SUM(AX311:AX318)-AX319,0)),"")</f>
        <v>0</v>
      </c>
      <c r="AY337" s="211">
        <f>IF(ISNUMBER(AY319),IF(ABS(SUM(AY311:AY318)-AY319)&lt;=1.01,0,ROUND(SUM(AY311:AY318)-AY319,0)),"")</f>
        <v>0</v>
      </c>
      <c r="AZ337" s="211">
        <f>IF(ISNUMBER(AZ319),IF(ABS(SUM(AZ311:AZ318)-AZ319)&lt;=1.01,0,ROUND(SUM(AZ311:AZ318)-AZ319,0)),"")</f>
        <v>0</v>
      </c>
      <c r="BA337" s="211">
        <f>IF(ISNUMBER(BA319),IF(ABS(SUM(BA311:BA318)-BA319)&lt;=1.01,0,ROUND(SUM(BA311:BA318)-BA319,0)),"")</f>
        <v>0</v>
      </c>
      <c r="BB337" s="211">
        <f>IF(ISNUMBER(BB319),IF(ABS(SUM(BB311:BB318)-BB319)&lt;=1.01,0,ROUND(SUM(BB311:BB318)-BB319,0)),"")</f>
        <v>0</v>
      </c>
      <c r="BC337" s="211">
        <f>IF(ISNUMBER(BC319),IF(ABS(SUM(BC311:BC318)-BC319)&lt;=1.01,0,ROUND(SUM(BC311:BC318)-BC319,0)),"")</f>
        <v>0</v>
      </c>
      <c r="BD337" s="211">
        <f>IF(ISNUMBER(BD319),IF(ABS(SUM(BD311:BD318)-BD319)&lt;=1.01,0,ROUND(SUM(BD311:BD318)-BD319,0)),"")</f>
        <v>0</v>
      </c>
      <c r="BE337" s="211">
        <f>IF(ISNUMBER(BE319),IF(ABS(SUM(BE311:BE318)-BE319)&lt;=1.01,0,ROUND(SUM(BE311:BE318)-BE319,0)),"")</f>
        <v>0</v>
      </c>
      <c r="BF337" s="211">
        <f>IF(ISNUMBER(BF319),IF(ABS(SUM(BF311:BF318)-BF319)&lt;=1.01,0,ROUND(SUM(BF311:BF318)-BF319,0)),"")</f>
        <v>0</v>
      </c>
      <c r="BG337" s="211">
        <f>IF(ISNUMBER(BG319),IF(ABS(SUM(BG311:BG318)-BG319)&lt;=1.01,0,ROUND(SUM(BG311:BG318)-BG319,0)),"")</f>
        <v>0</v>
      </c>
      <c r="BH337" s="211">
        <f>IF(ISNUMBER(BH319),IF(ABS(SUM(BH311:BH318)-BH319)&lt;=1.01,0,ROUND(SUM(BH311:BH318)-BH319,0)),"")</f>
        <v>0</v>
      </c>
      <c r="BI337" s="211">
        <f>IF(ISNUMBER(BI319),IF(ABS(SUM(BI311:BI318)-BI319)&lt;=1.01,0,ROUND(SUM(BI311:BI318)-BI319,0)),"")</f>
        <v>0</v>
      </c>
      <c r="BJ337" s="211">
        <f>IF(ISNUMBER(BJ319),IF(ABS(SUM(BJ311:BJ318)-BJ319)&lt;=1.01,0,ROUND(SUM(BJ311:BJ318)-BJ319,0)),"")</f>
        <v>0</v>
      </c>
      <c r="BK337" s="211">
        <f>IF(ISNUMBER(BK319),IF(ABS(SUM(BK311:BK318)-BK319)&lt;=1.01,0,ROUND(SUM(BK311:BK318)-BK319,0)),"")</f>
        <v>0</v>
      </c>
      <c r="BL337" s="211">
        <f>IF(ISNUMBER(BL319),IF(ABS(SUM(BL311:BL318)-BL319)&lt;=1.01,0,ROUND(SUM(BL311:BL318)-BL319,0)),"")</f>
        <v>0</v>
      </c>
      <c r="BM337" s="211">
        <f>IF(ISNUMBER(BM319),IF(ABS(SUM(BM311:BM318)-BM319)&lt;=1.01,0,ROUND(SUM(BM311:BM318)-BM319,0)),"")</f>
        <v>0</v>
      </c>
      <c r="BN337" s="211">
        <f>IF(ISNUMBER(BN319),IF(ABS(SUM(BN311:BN318)-BN319)&lt;=1.01,0,ROUND(SUM(BN311:BN318)-BN319,0)),"")</f>
        <v>0</v>
      </c>
      <c r="BO337" s="211">
        <f>IF(ISNUMBER(BO319),IF(ABS(SUM(BO311:BO318)-BO319)&lt;=1.01,0,ROUND(SUM(BO311:BO318)-BO319,0)),"")</f>
        <v>0</v>
      </c>
      <c r="BP337" s="211">
        <f>IF(ISNUMBER(BP319),IF(ABS(SUM(BP311:BP318)-BP319)&lt;=1.01,0,ROUND(SUM(BP311:BP318)-BP319,0)),"")</f>
        <v>0</v>
      </c>
      <c r="BQ337" s="211">
        <f>IF(ISNUMBER(BQ319),IF(ABS(SUM(BQ311:BQ318)-BQ319)&lt;=1.01,0,ROUND(SUM(BQ311:BQ318)-BQ319,0)),"")</f>
        <v>0</v>
      </c>
      <c r="BR337" s="211">
        <f>IF(ISNUMBER(BR319),IF(ABS(SUM(BR311:BR318)-BR319)&lt;=1.01,0,ROUND(SUM(BR311:BR318)-BR319,0)),"")</f>
        <v>0</v>
      </c>
      <c r="BS337" s="211">
        <f>IF(ISNUMBER(BS319),IF(ABS(SUM(BS311:BS318)-BS319)&lt;=1.01,0,ROUND(SUM(BS311:BS318)-BS319,0)),"")</f>
        <v>0</v>
      </c>
      <c r="BT337" s="211">
        <f>IF(ISNUMBER(BT319),IF(ABS(SUM(BT311:BT318)-BT319)&lt;=1.01,0,ROUND(SUM(BT311:BT318)-BT319,0)),"")</f>
        <v>0</v>
      </c>
      <c r="BU337" s="153" t="n"/>
      <c r="BV337" s="153" t="n"/>
      <c r="BW337" s="270">
        <f>IF(ISNUMBER(BW319),IF(ABS(SUM(BW311:BW318)-BW319)&lt;=1.01,0,ROUND(SUM(BW311:BW318)-BW319,0)),"")</f>
        <v>0</v>
      </c>
      <c r="BX337" s="270">
        <f>IF(ISNUMBER(BX319),IF(ABS(SUM(BX311:BX318)-BX319)&lt;=1.01,0,ROUND(SUM(BX311:BX318)-BX319,0)),"")</f>
        <v>0</v>
      </c>
      <c r="BY337" s="270">
        <f>IF(ISNUMBER(BY319),IF(ABS(SUM(BY311:BY318)-BY319)&lt;=1.01,0,ROUND(SUM(BY311:BY318)-BY319,0)),"")</f>
        <v>0</v>
      </c>
      <c r="BZ337" s="270">
        <f>IF(ISNUMBER(BZ319),IF(ABS(SUM(BZ311:BZ318)-BZ319)&lt;=1.01,0,ROUND(SUM(BZ311:BZ318)-BZ319,0)),"")</f>
        <v>0</v>
      </c>
      <c r="CA337" s="270">
        <f>IF(ISNUMBER(CA319),IF(ABS(SUM(CA311:CA318)-CA319)&lt;=1.01,0,ROUND(SUM(CA311:CA318)-CA319,0)),"")</f>
        <v>0</v>
      </c>
      <c r="CB337" s="270">
        <f>IF(ISNUMBER(CB319),IF(ABS(SUM(CB311:CB318)-CB319)&lt;=1.01,0,ROUND(SUM(CB311:CB318)-CB319,0)),"")</f>
        <v>0</v>
      </c>
      <c r="CC337" s="153" t="n"/>
    </row>
    <row r="338" ht="15" customHeight="1" s="251">
      <c r="B338" s="25" t="inlineStr">
        <is>
          <t>(Memo)</t>
        </is>
      </c>
      <c r="CC338" s="153" t="n"/>
    </row>
    <row r="339" ht="15" customHeight="1" s="251">
      <c r="B339" s="55" t="inlineStr">
        <is>
          <t>Free cash flow (company definition: CFO − capex − distributions to noncontrolling interests)</t>
        </is>
      </c>
      <c r="C339" s="269">
        <f>IF(AND(ISNUMBER(C319),ISNUMBER(C320)),C319+C320+N(C327),"")</f>
      </c>
      <c r="D339" s="269">
        <f>IF(AND(ISNUMBER(D319),ISNUMBER(D320)),D319+D320+N(D327),"")</f>
      </c>
      <c r="E339" s="269">
        <f>IF(AND(ISNUMBER(E319),ISNUMBER(E320)),E319+E320+N(E327),"")</f>
        <v>626</v>
      </c>
      <c r="F339" s="269">
        <f>IF(AND(ISNUMBER(F319),ISNUMBER(F320)),F319+F320+N(F327),"")</f>
        <v>-13</v>
      </c>
      <c r="G339" s="269">
        <f>IF(AND(ISNUMBER(G319),ISNUMBER(G320)),G319+G320+N(G327),"")</f>
        <v>60</v>
      </c>
      <c r="H339" s="269">
        <f>IF(AND(ISNUMBER(H319),ISNUMBER(H320)),H319+H320+N(H327),"")</f>
        <v>149</v>
      </c>
      <c r="I339" s="269">
        <f>IF(AND(ISNUMBER(I319),ISNUMBER(I320)),I319+I320+N(I327),"")</f>
        <v>428</v>
      </c>
      <c r="J339" s="269">
        <f>IF(AND(ISNUMBER(J319),ISNUMBER(J320)),J319+J320+N(J327),"")</f>
        <v>624</v>
      </c>
      <c r="K339" s="269">
        <f>IF(AND(ISNUMBER(K319),ISNUMBER(K320)),K319+K320+N(K327),"")</f>
        <v>85</v>
      </c>
      <c r="L339" s="269">
        <f>IF(AND(ISNUMBER(L319),ISNUMBER(L320)),L319+L320+N(L327),"")</f>
        <v>307</v>
      </c>
      <c r="M339" s="269">
        <f>IF(AND(ISNUMBER(M319),ISNUMBER(M320)),M319+M320+N(M327),"")</f>
        <v>361</v>
      </c>
      <c r="N339" s="269">
        <f>IF(AND(ISNUMBER(N319),ISNUMBER(N320)),N319+N320+N(N327),"")</f>
        <v>280</v>
      </c>
      <c r="O339" s="269">
        <f>IF(AND(ISNUMBER(O319),ISNUMBER(O320)),O319+O320+N(O327),"")</f>
        <v>1033</v>
      </c>
      <c r="P339" s="269">
        <f>IF(AND(ISNUMBER(P319),ISNUMBER(P320)),P319+P320+N(P327),"")</f>
        <v>-1524</v>
      </c>
      <c r="Q339" s="269">
        <f>IF(AND(ISNUMBER(Q319),ISNUMBER(Q320)),Q319+Q320+N(Q327),"")</f>
        <v>407</v>
      </c>
      <c r="R339" s="269">
        <f>IF(AND(ISNUMBER(R319),ISNUMBER(R320)),R319+R320+N(R327),"")</f>
        <v>491</v>
      </c>
      <c r="S339" s="269">
        <f>IF(AND(ISNUMBER(S319),ISNUMBER(S320)),S319+S320+N(S327),"")</f>
        <v>578</v>
      </c>
      <c r="T339" s="269">
        <f>IF(AND(ISNUMBER(T319),ISNUMBER(T320)),T319+T320+N(T327),"")</f>
        <v>-48</v>
      </c>
      <c r="U339" s="269">
        <f>IF(AND(ISNUMBER(U319),ISNUMBER(U320)),U319+U320+N(U327),"")</f>
        <v>136</v>
      </c>
      <c r="V339" s="269">
        <f>IF(AND(ISNUMBER(V319),ISNUMBER(V320)),V319+V320+N(V327),"")</f>
        <v>411</v>
      </c>
      <c r="W339" s="269">
        <f>IF(AND(ISNUMBER(W319),ISNUMBER(W320)),W319+W320+N(W327),"")</f>
        <v>584</v>
      </c>
      <c r="X339" s="269">
        <f>IF(AND(ISNUMBER(X319),ISNUMBER(X320)),X319+X320+N(X327),"")</f>
        <v>102</v>
      </c>
      <c r="Y339" s="269">
        <f>IF(AND(ISNUMBER(Y319),ISNUMBER(Y320)),Y319+Y320+N(Y327),"")</f>
        <v>1233</v>
      </c>
      <c r="Z339" s="269">
        <f>IF(AND(ISNUMBER(Z319),ISNUMBER(Z320)),Z319+Z320+N(Z327),"")</f>
        <v>306</v>
      </c>
      <c r="AA339" s="269">
        <f>IF(AND(ISNUMBER(AA319),ISNUMBER(AA320)),AA319+AA320+N(AA327),"")</f>
        <v>258</v>
      </c>
      <c r="AB339" s="269">
        <f>IF(AND(ISNUMBER(AB319),ISNUMBER(AB320)),AB319+AB320+N(AB327),"")</f>
        <v>493</v>
      </c>
      <c r="AC339" s="269">
        <f>IF(AND(ISNUMBER(AC319),ISNUMBER(AC320)),AC319+AC320+N(AC327),"")</f>
        <v>725</v>
      </c>
      <c r="AD339" s="269">
        <f>IF(AND(ISNUMBER(AD319),ISNUMBER(AD320)),AD319+AD320+N(AD327),"")</f>
        <v>1782</v>
      </c>
      <c r="AE339" s="269">
        <f>IF(AND(ISNUMBER(AE319),ISNUMBER(AE320)),AE319+AE320+N(AE327),"")</f>
        <v>277</v>
      </c>
      <c r="AF339" s="269">
        <f>IF(AND(ISNUMBER(AF319),ISNUMBER(AF320)),AF319+AF320+N(AF327),"")</f>
        <v>488</v>
      </c>
      <c r="AG339" s="269">
        <f>IF(AND(ISNUMBER(AG319),ISNUMBER(AG320)),AG319+AG320+N(AG327),"")</f>
        <v>432</v>
      </c>
      <c r="AH339" s="269">
        <f>IF(AND(ISNUMBER(AH319),ISNUMBER(AH320)),AH319+AH320+N(AH327),"")</f>
        <v>600</v>
      </c>
      <c r="AI339" s="269">
        <f>IF(AND(ISNUMBER(AI319),ISNUMBER(AI320)),AI319+AI320+N(AI327),"")</f>
        <v>1797</v>
      </c>
      <c r="AJ339" s="269">
        <f>IF(AND(ISNUMBER(AJ319),ISNUMBER(AJ320)),AJ319+AJ320+N(AJ327),"")</f>
        <v>255</v>
      </c>
      <c r="AK339" s="269">
        <f>IF(AND(ISNUMBER(AK319),ISNUMBER(AK320)),AK319+AK320+N(AK327),"")</f>
        <v>650</v>
      </c>
      <c r="AL339" s="269">
        <f>IF(AND(ISNUMBER(AL319),ISNUMBER(AL320)),AL319+AL320+N(AL327),"")</f>
        <v>690</v>
      </c>
      <c r="AM339" s="269">
        <f>IF(AND(ISNUMBER(AM319),ISNUMBER(AM320)),AM319+AM320+N(AM327),"")</f>
        <v>923</v>
      </c>
      <c r="AN339" s="269">
        <f>IF(AND(ISNUMBER(AN319),ISNUMBER(AN320)),AN319+AN320+N(AN327),"")</f>
        <v>2518</v>
      </c>
      <c r="AO339" s="269">
        <f>IF(AND(ISNUMBER(AO319),ISNUMBER(AO320)),AO319+AO320+N(AO327),"")</f>
        <v>618</v>
      </c>
      <c r="AP339" s="269">
        <f>IF(AND(ISNUMBER(AP319),ISNUMBER(AP320)),AP319+AP320+N(AP327),"")</f>
        <v>889</v>
      </c>
      <c r="AQ339" s="269">
        <f>IF(AND(ISNUMBER(AQ319),ISNUMBER(AQ320)),AQ319+AQ320+N(AQ327),"")</f>
        <v>733</v>
      </c>
      <c r="AR339" s="269">
        <f>IF(AND(ISNUMBER(AR319),ISNUMBER(AR320)),AR319+AR320+N(AR327),"")</f>
        <v>1057</v>
      </c>
      <c r="AS339" s="269">
        <f>IF(AND(ISNUMBER(AS319),ISNUMBER(AS320)),AS319+AS320+N(AS327),"")</f>
        <v>3297</v>
      </c>
      <c r="AT339" s="269">
        <f>IF(AND(ISNUMBER(AT319),ISNUMBER(AT320)),AT319+AT320+N(AT327),"")</f>
        <v>681</v>
      </c>
      <c r="AU339" s="269">
        <f>IF(AND(ISNUMBER(AU319),ISNUMBER(AU320)),AU319+AU320+N(AU327),"")</f>
        <v>867</v>
      </c>
      <c r="AV339" s="269">
        <f>IF(AND(ISNUMBER(AV319),ISNUMBER(AV320)),AV319+AV320+N(AV327),"")</f>
        <v>906</v>
      </c>
      <c r="AW339" s="269">
        <f>IF(AND(ISNUMBER(AW319),ISNUMBER(AW320)),AW319+AW320+N(AW327),"")</f>
        <v>882</v>
      </c>
      <c r="AX339" s="269">
        <f>IF(AND(ISNUMBER(AX319),ISNUMBER(AX320)),AX319+AX320+N(AX327),"")</f>
        <v>3336</v>
      </c>
      <c r="AY339" s="269">
        <f>IF(AND(ISNUMBER(AY319),ISNUMBER(AY320)),AY319+AY320+N(AY327),"")</f>
        <v>151</v>
      </c>
      <c r="AZ339" s="269">
        <f>IF(AND(ISNUMBER(AZ319),ISNUMBER(AZ320)),AZ319+AZ320+N(AZ327),"")</f>
        <v>359</v>
      </c>
      <c r="BA339" s="269">
        <f>IF(AND(ISNUMBER(BA319),ISNUMBER(BA320)),BA319+BA320+N(BA327),"")</f>
        <v>722</v>
      </c>
      <c r="BB339" s="269">
        <f>IF(AND(ISNUMBER(BB319),ISNUMBER(BB320)),BB319+BB320+N(BB327),"")</f>
        <v>1012</v>
      </c>
      <c r="BC339" s="269">
        <f>IF(AND(ISNUMBER(BC319),ISNUMBER(BC320)),BC319+BC320+N(BC327),"")</f>
        <v>2244</v>
      </c>
      <c r="BD339" s="269">
        <f>IF(AND(ISNUMBER(BD319),ISNUMBER(BD320)),BD319+BD320+N(BD327),"")</f>
        <v>488</v>
      </c>
      <c r="BE339" s="269">
        <f>IF(AND(ISNUMBER(BE319),ISNUMBER(BE320)),BE319+BE320+N(BE327),"")</f>
        <v>676</v>
      </c>
      <c r="BF339" s="269">
        <f>IF(AND(ISNUMBER(BF319),ISNUMBER(BF320)),BF319+BF320+N(BF327),"")</f>
        <v>906</v>
      </c>
      <c r="BG339" s="269">
        <f>IF(AND(ISNUMBER(BG319),ISNUMBER(BG320)),BG319+BG320+N(BG327),"")</f>
        <v>1217</v>
      </c>
      <c r="BH339" s="269">
        <f>IF(AND(ISNUMBER(BH319),ISNUMBER(BH320)),BH319+BH320+N(BH327),"")</f>
        <v>3287</v>
      </c>
      <c r="BI339" s="269">
        <f>IF(AND(ISNUMBER(BI319),ISNUMBER(BI320)),BI319+BI320+N(BI327),"")</f>
        <v>851</v>
      </c>
      <c r="BJ339" s="269">
        <f>IF(AND(ISNUMBER(BJ319),ISNUMBER(BJ320)),BJ319+BJ320+N(BJ327),"")</f>
        <v>1464</v>
      </c>
      <c r="BK339" s="269">
        <f>IF(AND(ISNUMBER(BK319),ISNUMBER(BK320)),BK319+BK320+N(BK327),"")</f>
        <v>1330</v>
      </c>
      <c r="BL339" s="269">
        <f>IF(AND(ISNUMBER(BL319),ISNUMBER(BL320)),BL319+BL320+N(BL327),"")</f>
        <v>1633</v>
      </c>
      <c r="BM339" s="269">
        <f>IF(AND(ISNUMBER(BM319),ISNUMBER(BM320)),BM319+BM320+N(BM327),"")</f>
        <v>5278</v>
      </c>
      <c r="BN339" s="269">
        <f>IF(AND(ISNUMBER(BN319),ISNUMBER(BN320)),BN319+BN320+N(BN327),"")</f>
        <v>816</v>
      </c>
      <c r="BO339" s="269">
        <f>IF(AND(ISNUMBER(BO319),ISNUMBER(BO320)),BO319+BO320+N(BO327),"")</f>
        <v>1310</v>
      </c>
      <c r="BP339" s="269">
        <f>IF(AND(ISNUMBER(BP319),ISNUMBER(BP320)),BP319+BP320+N(BP327),"")</f>
        <v>1394</v>
      </c>
      <c r="BQ339" s="269">
        <f>IF(AND(ISNUMBER(BQ319),ISNUMBER(BQ320)),BQ319+BQ320+N(BQ327),"")</f>
        <v>1615</v>
      </c>
      <c r="BR339" s="269">
        <f>IF(AND(ISNUMBER(BR319),ISNUMBER(BR320)),BR319+BR320+N(BR327),"")</f>
        <v>5135</v>
      </c>
      <c r="BS339" s="269">
        <f>IF(AND(ISNUMBER(BS319),ISNUMBER(BS320)),BS319+BS320+N(BS327),"")</f>
        <v>919</v>
      </c>
      <c r="BT339" s="269">
        <f>IF(AND(ISNUMBER(BT319),ISNUMBER(BT320)),BT319+BT320+N(BT327),"")</f>
        <v>1330</v>
      </c>
      <c r="BU339" s="56" t="n"/>
      <c r="BV339" s="56" t="n"/>
      <c r="BW339" s="269">
        <f>IF(AND(ISNUMBER(BW319),ISNUMBER(BW320)),BW319+BW320+N(BW327),"")</f>
        <v>5183.0146262297</v>
      </c>
      <c r="BX339" s="269">
        <f>IF(AND(ISNUMBER(BX319),ISNUMBER(BX320)),BX319+BX320+N(BX327),"")</f>
        <v>5846.52562218301</v>
      </c>
      <c r="BY339" s="269">
        <f>IF(AND(ISNUMBER(BY319),ISNUMBER(BY320)),BY319+BY320+N(BY327),"")</f>
        <v>6355.89761679729</v>
      </c>
      <c r="BZ339" s="269">
        <f>IF(AND(ISNUMBER(BZ319),ISNUMBER(BZ320)),BZ319+BZ320+N(BZ327),"")</f>
        <v>6772.46461247902</v>
      </c>
      <c r="CA339" s="269">
        <f>IF(AND(ISNUMBER(CA319),ISNUMBER(CA320)),CA319+CA320+N(CA327),"")</f>
        <v>7213.95730884746</v>
      </c>
      <c r="CB339" s="269">
        <f>IF(AND(ISNUMBER(CB319),ISNUMBER(CB320)),CB319+CB320+N(CB327),"")</f>
        <v>7683.32658301056</v>
      </c>
      <c r="CC339" s="153" t="n"/>
      <c r="CE339" s="20">
        <f>IFERROR((CB339/BW339)^(1/5)-1,"n/m")</f>
        <v>0.0819155724363754</v>
      </c>
      <c r="CF339" s="20">
        <f>IFERROR((BR339/AS339)^(1/5)-1,"n/m")</f>
        <v>0.0926581266409958</v>
      </c>
      <c r="CG339" s="20" t="str">
        <f>IFERROR((BR339/T339)^(1/10)-1,"n/m")</f>
        <v>n/m</v>
      </c>
      <c r="CH339" s="20" t="str">
        <f>IFERROR((BR339/C339)^(1/15)-1,"n/m")</f>
        <v>n/m</v>
      </c>
    </row>
    <row r="340" ht="15" customHeight="1" s="251">
      <c r="B340" s="156" t="inlineStr">
        <is>
          <t xml:space="preserve">  Company-published free cash flow</t>
        </is>
      </c>
      <c r="C340" s="34" t="n"/>
      <c r="D340" s="253" t="n">
        <v>809</v>
      </c>
      <c r="E340" s="253" t="n">
        <v>626</v>
      </c>
      <c r="F340" s="34" t="n"/>
      <c r="G340" s="34" t="n"/>
      <c r="H340" s="34" t="n"/>
      <c r="I340" s="34" t="n"/>
      <c r="J340" s="253" t="n">
        <v>624</v>
      </c>
      <c r="K340" s="253" t="n">
        <v>85</v>
      </c>
      <c r="L340" s="34" t="n"/>
      <c r="M340" s="34" t="n"/>
      <c r="N340" s="34" t="n"/>
      <c r="O340" s="253" t="n">
        <v>1033</v>
      </c>
      <c r="P340" s="34" t="n"/>
      <c r="Q340" s="34" t="n"/>
      <c r="R340" s="34" t="n"/>
      <c r="S340" s="34" t="n"/>
      <c r="T340" s="253" t="n">
        <v>-48</v>
      </c>
      <c r="U340" s="34" t="n"/>
      <c r="V340" s="34" t="n"/>
      <c r="W340" s="34" t="n"/>
      <c r="X340" s="34" t="n"/>
      <c r="Y340" s="253" t="n">
        <v>1233</v>
      </c>
      <c r="Z340" s="253" t="n">
        <v>306</v>
      </c>
      <c r="AA340" s="34" t="n"/>
      <c r="AB340" s="34" t="n"/>
      <c r="AC340" s="34" t="n"/>
      <c r="AD340" s="253" t="n">
        <v>1782</v>
      </c>
      <c r="AE340" s="253" t="n">
        <v>277</v>
      </c>
      <c r="AF340" s="34" t="n"/>
      <c r="AG340" s="34" t="n"/>
      <c r="AH340" s="34" t="n"/>
      <c r="AI340" s="253" t="n">
        <v>1797</v>
      </c>
      <c r="AJ340" s="253" t="n">
        <v>255</v>
      </c>
      <c r="AK340" s="34" t="n"/>
      <c r="AL340" s="34" t="n"/>
      <c r="AM340" s="34" t="n"/>
      <c r="AN340" s="253" t="n">
        <v>2518</v>
      </c>
      <c r="AO340" s="253" t="n">
        <v>618</v>
      </c>
      <c r="AP340" s="34" t="n"/>
      <c r="AQ340" s="34" t="n"/>
      <c r="AR340" s="34" t="n"/>
      <c r="AS340" s="253" t="n">
        <v>3297</v>
      </c>
      <c r="AT340" s="253" t="n">
        <v>681</v>
      </c>
      <c r="AU340" s="34" t="n"/>
      <c r="AV340" s="34" t="n"/>
      <c r="AW340" s="34" t="n"/>
      <c r="AX340" s="253" t="n">
        <v>3336</v>
      </c>
      <c r="AY340" s="253" t="n">
        <v>151</v>
      </c>
      <c r="AZ340" s="34" t="n"/>
      <c r="BA340" s="34" t="n"/>
      <c r="BB340" s="34" t="n"/>
      <c r="BC340" s="253" t="n">
        <v>2244</v>
      </c>
      <c r="BD340" s="253" t="n">
        <v>488</v>
      </c>
      <c r="BE340" s="253" t="n">
        <v>676</v>
      </c>
      <c r="BF340" s="253" t="n">
        <v>906</v>
      </c>
      <c r="BG340" s="253" t="n">
        <v>1217</v>
      </c>
      <c r="BH340" s="253" t="n">
        <v>3287</v>
      </c>
      <c r="BI340" s="253" t="n">
        <v>851</v>
      </c>
      <c r="BJ340" s="253" t="n">
        <v>1464</v>
      </c>
      <c r="BK340" s="253" t="n">
        <v>1330</v>
      </c>
      <c r="BL340" s="253" t="n">
        <v>1633</v>
      </c>
      <c r="BM340" s="253" t="n">
        <v>5278</v>
      </c>
      <c r="BN340" s="253" t="n">
        <v>816</v>
      </c>
      <c r="BO340" s="253" t="n">
        <v>1310</v>
      </c>
      <c r="BP340" s="253" t="n">
        <v>1393</v>
      </c>
      <c r="BQ340" s="253" t="n">
        <v>1615</v>
      </c>
      <c r="BR340" s="253" t="n">
        <v>5135</v>
      </c>
      <c r="BS340" s="253" t="n">
        <v>919</v>
      </c>
      <c r="BT340" s="253" t="n">
        <v>1330</v>
      </c>
      <c r="BU340" s="153" t="n"/>
      <c r="BV340" s="153" t="n"/>
      <c r="BW340" s="153" t="n"/>
      <c r="BX340" s="153" t="n"/>
      <c r="BY340" s="153" t="n"/>
      <c r="BZ340" s="153" t="n"/>
      <c r="CA340" s="153" t="n"/>
      <c r="CB340" s="153" t="n"/>
      <c r="CC340" s="153" t="n"/>
    </row>
    <row r="341" ht="15" customHeight="1" s="251">
      <c r="B341" s="57" t="inlineStr">
        <is>
          <t xml:space="preserve">  Check: model vs company-published free cash flow (should be 0; ±2 rounding)</t>
        </is>
      </c>
      <c r="C341" s="211" t="str">
        <f>IF(AND(ISNUMBER(C340),ISNUMBER(C339)),IF(ABS(C339-C340)&lt;=2.01,0,ROUND(C339-C340,0)),"n/p")</f>
        <v>n/p</v>
      </c>
      <c r="D341" s="211" t="str">
        <f>IF(AND(ISNUMBER(D340),ISNUMBER(D339)),IF(ABS(D339-D340)&lt;=2.01,0,ROUND(D339-D340,0)),"n/p")</f>
        <v>n/p</v>
      </c>
      <c r="E341" s="211">
        <f>IF(AND(ISNUMBER(E340),ISNUMBER(E339)),IF(ABS(E339-E340)&lt;=2.01,0,ROUND(E339-E340,0)),"n/p")</f>
        <v>0</v>
      </c>
      <c r="F341" s="211" t="str">
        <f>IF(AND(ISNUMBER(F340),ISNUMBER(F339)),IF(ABS(F339-F340)&lt;=2.01,0,ROUND(F339-F340,0)),"n/p")</f>
        <v>n/p</v>
      </c>
      <c r="G341" s="211" t="str">
        <f>IF(AND(ISNUMBER(G340),ISNUMBER(G339)),IF(ABS(G339-G340)&lt;=2.01,0,ROUND(G339-G340,0)),"n/p")</f>
        <v>n/p</v>
      </c>
      <c r="H341" s="211" t="str">
        <f>IF(AND(ISNUMBER(H340),ISNUMBER(H339)),IF(ABS(H339-H340)&lt;=2.01,0,ROUND(H339-H340,0)),"n/p")</f>
        <v>n/p</v>
      </c>
      <c r="I341" s="211" t="str">
        <f>IF(AND(ISNUMBER(I340),ISNUMBER(I339)),IF(ABS(I339-I340)&lt;=2.01,0,ROUND(I339-I340,0)),"n/p")</f>
        <v>n/p</v>
      </c>
      <c r="J341" s="211">
        <f>IF(AND(ISNUMBER(J340),ISNUMBER(J339)),IF(ABS(J339-J340)&lt;=2.01,0,ROUND(J339-J340,0)),"n/p")</f>
        <v>0</v>
      </c>
      <c r="K341" s="211">
        <f>IF(AND(ISNUMBER(K340),ISNUMBER(K339)),IF(ABS(K339-K340)&lt;=2.01,0,ROUND(K339-K340,0)),"n/p")</f>
        <v>0</v>
      </c>
      <c r="L341" s="211" t="str">
        <f>IF(AND(ISNUMBER(L340),ISNUMBER(L339)),IF(ABS(L339-L340)&lt;=2.01,0,ROUND(L339-L340,0)),"n/p")</f>
        <v>n/p</v>
      </c>
      <c r="M341" s="211" t="str">
        <f>IF(AND(ISNUMBER(M340),ISNUMBER(M339)),IF(ABS(M339-M340)&lt;=2.01,0,ROUND(M339-M340,0)),"n/p")</f>
        <v>n/p</v>
      </c>
      <c r="N341" s="211" t="str">
        <f>IF(AND(ISNUMBER(N340),ISNUMBER(N339)),IF(ABS(N339-N340)&lt;=2.01,0,ROUND(N339-N340,0)),"n/p")</f>
        <v>n/p</v>
      </c>
      <c r="O341" s="211">
        <f>IF(AND(ISNUMBER(O340),ISNUMBER(O339)),IF(ABS(O339-O340)&lt;=2.01,0,ROUND(O339-O340,0)),"n/p")</f>
        <v>0</v>
      </c>
      <c r="P341" s="211" t="str">
        <f>IF(AND(ISNUMBER(P340),ISNUMBER(P339)),IF(ABS(P339-P340)&lt;=2.01,0,ROUND(P339-P340,0)),"n/p")</f>
        <v>n/p</v>
      </c>
      <c r="Q341" s="211" t="str">
        <f>IF(AND(ISNUMBER(Q340),ISNUMBER(Q339)),IF(ABS(Q339-Q340)&lt;=2.01,0,ROUND(Q339-Q340,0)),"n/p")</f>
        <v>n/p</v>
      </c>
      <c r="R341" s="211" t="str">
        <f>IF(AND(ISNUMBER(R340),ISNUMBER(R339)),IF(ABS(R339-R340)&lt;=2.01,0,ROUND(R339-R340,0)),"n/p")</f>
        <v>n/p</v>
      </c>
      <c r="S341" s="211" t="str">
        <f>IF(AND(ISNUMBER(S340),ISNUMBER(S339)),IF(ABS(S339-S340)&lt;=2.01,0,ROUND(S339-S340,0)),"n/p")</f>
        <v>n/p</v>
      </c>
      <c r="T341" s="211">
        <f>IF(AND(ISNUMBER(T340),ISNUMBER(T339)),IF(ABS(T339-T340)&lt;=2.01,0,ROUND(T339-T340,0)),"n/p")</f>
        <v>0</v>
      </c>
      <c r="U341" s="211" t="str">
        <f>IF(AND(ISNUMBER(U340),ISNUMBER(U339)),IF(ABS(U339-U340)&lt;=2.01,0,ROUND(U339-U340,0)),"n/p")</f>
        <v>n/p</v>
      </c>
      <c r="V341" s="211" t="str">
        <f>IF(AND(ISNUMBER(V340),ISNUMBER(V339)),IF(ABS(V339-V340)&lt;=2.01,0,ROUND(V339-V340,0)),"n/p")</f>
        <v>n/p</v>
      </c>
      <c r="W341" s="211" t="str">
        <f>IF(AND(ISNUMBER(W340),ISNUMBER(W339)),IF(ABS(W339-W340)&lt;=2.01,0,ROUND(W339-W340,0)),"n/p")</f>
        <v>n/p</v>
      </c>
      <c r="X341" s="211" t="str">
        <f>IF(AND(ISNUMBER(X340),ISNUMBER(X339)),IF(ABS(X339-X340)&lt;=2.01,0,ROUND(X339-X340,0)),"n/p")</f>
        <v>n/p</v>
      </c>
      <c r="Y341" s="211">
        <f>IF(AND(ISNUMBER(Y340),ISNUMBER(Y339)),IF(ABS(Y339-Y340)&lt;=2.01,0,ROUND(Y339-Y340,0)),"n/p")</f>
        <v>0</v>
      </c>
      <c r="Z341" s="211">
        <f>IF(AND(ISNUMBER(Z340),ISNUMBER(Z339)),IF(ABS(Z339-Z340)&lt;=2.01,0,ROUND(Z339-Z340,0)),"n/p")</f>
        <v>0</v>
      </c>
      <c r="AA341" s="211" t="str">
        <f>IF(AND(ISNUMBER(AA340),ISNUMBER(AA339)),IF(ABS(AA339-AA340)&lt;=2.01,0,ROUND(AA339-AA340,0)),"n/p")</f>
        <v>n/p</v>
      </c>
      <c r="AB341" s="211" t="str">
        <f>IF(AND(ISNUMBER(AB340),ISNUMBER(AB339)),IF(ABS(AB339-AB340)&lt;=2.01,0,ROUND(AB339-AB340,0)),"n/p")</f>
        <v>n/p</v>
      </c>
      <c r="AC341" s="211" t="str">
        <f>IF(AND(ISNUMBER(AC340),ISNUMBER(AC339)),IF(ABS(AC339-AC340)&lt;=2.01,0,ROUND(AC339-AC340,0)),"n/p")</f>
        <v>n/p</v>
      </c>
      <c r="AD341" s="211">
        <f>IF(AND(ISNUMBER(AD340),ISNUMBER(AD339)),IF(ABS(AD339-AD340)&lt;=2.01,0,ROUND(AD339-AD340,0)),"n/p")</f>
        <v>0</v>
      </c>
      <c r="AE341" s="211">
        <f>IF(AND(ISNUMBER(AE340),ISNUMBER(AE339)),IF(ABS(AE339-AE340)&lt;=2.01,0,ROUND(AE339-AE340,0)),"n/p")</f>
        <v>0</v>
      </c>
      <c r="AF341" s="211" t="str">
        <f>IF(AND(ISNUMBER(AF340),ISNUMBER(AF339)),IF(ABS(AF339-AF340)&lt;=2.01,0,ROUND(AF339-AF340,0)),"n/p")</f>
        <v>n/p</v>
      </c>
      <c r="AG341" s="211" t="str">
        <f>IF(AND(ISNUMBER(AG340),ISNUMBER(AG339)),IF(ABS(AG339-AG340)&lt;=2.01,0,ROUND(AG339-AG340,0)),"n/p")</f>
        <v>n/p</v>
      </c>
      <c r="AH341" s="211" t="str">
        <f>IF(AND(ISNUMBER(AH340),ISNUMBER(AH339)),IF(ABS(AH339-AH340)&lt;=2.01,0,ROUND(AH339-AH340,0)),"n/p")</f>
        <v>n/p</v>
      </c>
      <c r="AI341" s="211">
        <f>IF(AND(ISNUMBER(AI340),ISNUMBER(AI339)),IF(ABS(AI339-AI340)&lt;=2.01,0,ROUND(AI339-AI340,0)),"n/p")</f>
        <v>0</v>
      </c>
      <c r="AJ341" s="211">
        <f>IF(AND(ISNUMBER(AJ340),ISNUMBER(AJ339)),IF(ABS(AJ339-AJ340)&lt;=2.01,0,ROUND(AJ339-AJ340,0)),"n/p")</f>
        <v>0</v>
      </c>
      <c r="AK341" s="211" t="str">
        <f>IF(AND(ISNUMBER(AK340),ISNUMBER(AK339)),IF(ABS(AK339-AK340)&lt;=2.01,0,ROUND(AK339-AK340,0)),"n/p")</f>
        <v>n/p</v>
      </c>
      <c r="AL341" s="211" t="str">
        <f>IF(AND(ISNUMBER(AL340),ISNUMBER(AL339)),IF(ABS(AL339-AL340)&lt;=2.01,0,ROUND(AL339-AL340,0)),"n/p")</f>
        <v>n/p</v>
      </c>
      <c r="AM341" s="211" t="str">
        <f>IF(AND(ISNUMBER(AM340),ISNUMBER(AM339)),IF(ABS(AM339-AM340)&lt;=2.01,0,ROUND(AM339-AM340,0)),"n/p")</f>
        <v>n/p</v>
      </c>
      <c r="AN341" s="211">
        <f>IF(AND(ISNUMBER(AN340),ISNUMBER(AN339)),IF(ABS(AN339-AN340)&lt;=2.01,0,ROUND(AN339-AN340,0)),"n/p")</f>
        <v>0</v>
      </c>
      <c r="AO341" s="211">
        <f>IF(AND(ISNUMBER(AO340),ISNUMBER(AO339)),IF(ABS(AO339-AO340)&lt;=2.01,0,ROUND(AO339-AO340,0)),"n/p")</f>
        <v>0</v>
      </c>
      <c r="AP341" s="211" t="str">
        <f>IF(AND(ISNUMBER(AP340),ISNUMBER(AP339)),IF(ABS(AP339-AP340)&lt;=2.01,0,ROUND(AP339-AP340,0)),"n/p")</f>
        <v>n/p</v>
      </c>
      <c r="AQ341" s="211" t="str">
        <f>IF(AND(ISNUMBER(AQ340),ISNUMBER(AQ339)),IF(ABS(AQ339-AQ340)&lt;=2.01,0,ROUND(AQ339-AQ340,0)),"n/p")</f>
        <v>n/p</v>
      </c>
      <c r="AR341" s="211" t="str">
        <f>IF(AND(ISNUMBER(AR340),ISNUMBER(AR339)),IF(ABS(AR339-AR340)&lt;=2.01,0,ROUND(AR339-AR340,0)),"n/p")</f>
        <v>n/p</v>
      </c>
      <c r="AS341" s="211">
        <f>IF(AND(ISNUMBER(AS340),ISNUMBER(AS339)),IF(ABS(AS339-AS340)&lt;=2.01,0,ROUND(AS339-AS340,0)),"n/p")</f>
        <v>0</v>
      </c>
      <c r="AT341" s="211">
        <f>IF(AND(ISNUMBER(AT340),ISNUMBER(AT339)),IF(ABS(AT339-AT340)&lt;=2.01,0,ROUND(AT339-AT340,0)),"n/p")</f>
        <v>0</v>
      </c>
      <c r="AU341" s="211" t="str">
        <f>IF(AND(ISNUMBER(AU340),ISNUMBER(AU339)),IF(ABS(AU339-AU340)&lt;=2.01,0,ROUND(AU339-AU340,0)),"n/p")</f>
        <v>n/p</v>
      </c>
      <c r="AV341" s="211" t="str">
        <f>IF(AND(ISNUMBER(AV340),ISNUMBER(AV339)),IF(ABS(AV339-AV340)&lt;=2.01,0,ROUND(AV339-AV340,0)),"n/p")</f>
        <v>n/p</v>
      </c>
      <c r="AW341" s="211" t="str">
        <f>IF(AND(ISNUMBER(AW340),ISNUMBER(AW339)),IF(ABS(AW339-AW340)&lt;=2.01,0,ROUND(AW339-AW340,0)),"n/p")</f>
        <v>n/p</v>
      </c>
      <c r="AX341" s="211">
        <f>IF(AND(ISNUMBER(AX340),ISNUMBER(AX339)),IF(ABS(AX339-AX340)&lt;=2.01,0,ROUND(AX339-AX340,0)),"n/p")</f>
        <v>0</v>
      </c>
      <c r="AY341" s="211">
        <f>IF(AND(ISNUMBER(AY340),ISNUMBER(AY339)),IF(ABS(AY339-AY340)&lt;=2.01,0,ROUND(AY339-AY340,0)),"n/p")</f>
        <v>0</v>
      </c>
      <c r="AZ341" s="211" t="str">
        <f>IF(AND(ISNUMBER(AZ340),ISNUMBER(AZ339)),IF(ABS(AZ339-AZ340)&lt;=2.01,0,ROUND(AZ339-AZ340,0)),"n/p")</f>
        <v>n/p</v>
      </c>
      <c r="BA341" s="211" t="str">
        <f>IF(AND(ISNUMBER(BA340),ISNUMBER(BA339)),IF(ABS(BA339-BA340)&lt;=2.01,0,ROUND(BA339-BA340,0)),"n/p")</f>
        <v>n/p</v>
      </c>
      <c r="BB341" s="211" t="str">
        <f>IF(AND(ISNUMBER(BB340),ISNUMBER(BB339)),IF(ABS(BB339-BB340)&lt;=2.01,0,ROUND(BB339-BB340,0)),"n/p")</f>
        <v>n/p</v>
      </c>
      <c r="BC341" s="211">
        <f>IF(AND(ISNUMBER(BC340),ISNUMBER(BC339)),IF(ABS(BC339-BC340)&lt;=2.01,0,ROUND(BC339-BC340,0)),"n/p")</f>
        <v>0</v>
      </c>
      <c r="BD341" s="211">
        <f>IF(AND(ISNUMBER(BD340),ISNUMBER(BD339)),IF(ABS(BD339-BD340)&lt;=2.01,0,ROUND(BD339-BD340,0)),"n/p")</f>
        <v>0</v>
      </c>
      <c r="BE341" s="211">
        <f>IF(AND(ISNUMBER(BE340),ISNUMBER(BE339)),IF(ABS(BE339-BE340)&lt;=2.01,0,ROUND(BE339-BE340,0)),"n/p")</f>
        <v>0</v>
      </c>
      <c r="BF341" s="211">
        <f>IF(AND(ISNUMBER(BF340),ISNUMBER(BF339)),IF(ABS(BF339-BF340)&lt;=2.01,0,ROUND(BF339-BF340,0)),"n/p")</f>
        <v>0</v>
      </c>
      <c r="BG341" s="211">
        <f>IF(AND(ISNUMBER(BG340),ISNUMBER(BG339)),IF(ABS(BG339-BG340)&lt;=2.01,0,ROUND(BG339-BG340,0)),"n/p")</f>
        <v>0</v>
      </c>
      <c r="BH341" s="211">
        <f>IF(AND(ISNUMBER(BH340),ISNUMBER(BH339)),IF(ABS(BH339-BH340)&lt;=2.01,0,ROUND(BH339-BH340,0)),"n/p")</f>
        <v>0</v>
      </c>
      <c r="BI341" s="211">
        <f>IF(AND(ISNUMBER(BI340),ISNUMBER(BI339)),IF(ABS(BI339-BI340)&lt;=2.01,0,ROUND(BI339-BI340,0)),"n/p")</f>
        <v>0</v>
      </c>
      <c r="BJ341" s="211">
        <f>IF(AND(ISNUMBER(BJ340),ISNUMBER(BJ339)),IF(ABS(BJ339-BJ340)&lt;=2.01,0,ROUND(BJ339-BJ340,0)),"n/p")</f>
        <v>0</v>
      </c>
      <c r="BK341" s="211">
        <f>IF(AND(ISNUMBER(BK340),ISNUMBER(BK339)),IF(ABS(BK339-BK340)&lt;=2.01,0,ROUND(BK339-BK340,0)),"n/p")</f>
        <v>0</v>
      </c>
      <c r="BL341" s="211">
        <f>IF(AND(ISNUMBER(BL340),ISNUMBER(BL339)),IF(ABS(BL339-BL340)&lt;=2.01,0,ROUND(BL339-BL340,0)),"n/p")</f>
        <v>0</v>
      </c>
      <c r="BM341" s="211">
        <f>IF(AND(ISNUMBER(BM340),ISNUMBER(BM339)),IF(ABS(BM339-BM340)&lt;=2.01,0,ROUND(BM339-BM340,0)),"n/p")</f>
        <v>0</v>
      </c>
      <c r="BN341" s="211">
        <f>IF(AND(ISNUMBER(BN340),ISNUMBER(BN339)),IF(ABS(BN339-BN340)&lt;=2.01,0,ROUND(BN339-BN340,0)),"n/p")</f>
        <v>0</v>
      </c>
      <c r="BO341" s="211">
        <f>IF(AND(ISNUMBER(BO340),ISNUMBER(BO339)),IF(ABS(BO339-BO340)&lt;=2.01,0,ROUND(BO339-BO340,0)),"n/p")</f>
        <v>0</v>
      </c>
      <c r="BP341" s="211">
        <f>IF(AND(ISNUMBER(BP340),ISNUMBER(BP339)),IF(ABS(BP339-BP340)&lt;=2.01,0,ROUND(BP339-BP340,0)),"n/p")</f>
        <v>0</v>
      </c>
      <c r="BQ341" s="211">
        <f>IF(AND(ISNUMBER(BQ340),ISNUMBER(BQ339)),IF(ABS(BQ339-BQ340)&lt;=2.01,0,ROUND(BQ339-BQ340,0)),"n/p")</f>
        <v>0</v>
      </c>
      <c r="BR341" s="211">
        <f>IF(AND(ISNUMBER(BR340),ISNUMBER(BR339)),IF(ABS(BR339-BR340)&lt;=2.01,0,ROUND(BR339-BR340,0)),"n/p")</f>
        <v>0</v>
      </c>
      <c r="BS341" s="211">
        <f>IF(AND(ISNUMBER(BS340),ISNUMBER(BS339)),IF(ABS(BS339-BS340)&lt;=2.01,0,ROUND(BS339-BS340,0)),"n/p")</f>
        <v>0</v>
      </c>
      <c r="BT341" s="211">
        <f>IF(AND(ISNUMBER(BT340),ISNUMBER(BT339)),IF(ABS(BT339-BT340)&lt;=2.01,0,ROUND(BT339-BT340,0)),"n/p")</f>
        <v>0</v>
      </c>
      <c r="BU341" s="153" t="n"/>
      <c r="BV341" s="153" t="n"/>
      <c r="BW341" s="153" t="n"/>
      <c r="BX341" s="153" t="n"/>
      <c r="BY341" s="153" t="n"/>
      <c r="BZ341" s="153" t="n"/>
      <c r="CA341" s="153" t="n"/>
      <c r="CB341" s="153" t="n"/>
      <c r="CC341" s="153" t="n"/>
    </row>
    <row r="342" ht="15" customHeight="1" s="251">
      <c r="B342" s="22" t="inlineStr">
        <is>
          <t xml:space="preserve">  FCF y/y %</t>
        </is>
      </c>
      <c r="C342" s="23" t="n"/>
      <c r="D342" s="255">
        <f>IF(AND(ISNUMBER(D339),ISNUMBER(C339)),IFERROR(D339/C339-1,""),"")</f>
      </c>
      <c r="E342" s="255">
        <f>IF(AND(ISNUMBER(E339),ISNUMBER(D339)),IFERROR(E339/D339-1,""),"")</f>
      </c>
      <c r="F342" s="23" t="n"/>
      <c r="G342" s="23" t="n"/>
      <c r="H342" s="23" t="n"/>
      <c r="I342" s="23" t="n"/>
      <c r="J342" s="255">
        <f>IF(AND(ISNUMBER(J339),ISNUMBER(E339)),IFERROR(J339/E339-1,""),"")</f>
        <v>-0.00319488817891378</v>
      </c>
      <c r="K342" s="255">
        <f>IF(AND(ISNUMBER(K339),ISNUMBER(F339)),IFERROR(K339/F339-1,""),"")</f>
        <v>-7.53846153846154</v>
      </c>
      <c r="L342" s="255">
        <f>IF(AND(ISNUMBER(L339),ISNUMBER(G339)),IFERROR(L339/G339-1,""),"")</f>
        <v>4.11666666666667</v>
      </c>
      <c r="M342" s="255">
        <f>IF(AND(ISNUMBER(M339),ISNUMBER(H339)),IFERROR(M339/H339-1,""),"")</f>
        <v>1.42281879194631</v>
      </c>
      <c r="N342" s="255">
        <f>IF(AND(ISNUMBER(N339),ISNUMBER(I339)),IFERROR(N339/I339-1,""),"")</f>
        <v>-0.345794392523365</v>
      </c>
      <c r="O342" s="255">
        <f>IF(AND(ISNUMBER(O339),ISNUMBER(J339)),IFERROR(O339/J339-1,""),"")</f>
        <v>0.655448717948718</v>
      </c>
      <c r="P342" s="255">
        <f>IF(AND(ISNUMBER(P339),ISNUMBER(K339)),IFERROR(P339/K339-1,""),"")</f>
        <v>-18.9294117647059</v>
      </c>
      <c r="Q342" s="255">
        <f>IF(AND(ISNUMBER(Q339),ISNUMBER(L339)),IFERROR(Q339/L339-1,""),"")</f>
        <v>0.325732899022801</v>
      </c>
      <c r="R342" s="255">
        <f>IF(AND(ISNUMBER(R339),ISNUMBER(M339)),IFERROR(R339/M339-1,""),"")</f>
        <v>0.3601108033241</v>
      </c>
      <c r="S342" s="255">
        <f>IF(AND(ISNUMBER(S339),ISNUMBER(N339)),IFERROR(S339/N339-1,""),"")</f>
        <v>1.06428571428571</v>
      </c>
      <c r="T342" s="255">
        <f>IF(AND(ISNUMBER(T339),ISNUMBER(O339)),IFERROR(T339/O339-1,""),"")</f>
        <v>-1.04646660212972</v>
      </c>
      <c r="U342" s="255">
        <f>IF(AND(ISNUMBER(U339),ISNUMBER(P339)),IFERROR(U339/P339-1,""),"")</f>
        <v>-1.08923884514436</v>
      </c>
      <c r="V342" s="255">
        <f>IF(AND(ISNUMBER(V339),ISNUMBER(Q339)),IFERROR(V339/Q339-1,""),"")</f>
        <v>0.00982800982800991</v>
      </c>
      <c r="W342" s="255">
        <f>IF(AND(ISNUMBER(W339),ISNUMBER(R339)),IFERROR(W339/R339-1,""),"")</f>
        <v>0.189409368635438</v>
      </c>
      <c r="X342" s="255">
        <f>IF(AND(ISNUMBER(X339),ISNUMBER(S339)),IFERROR(X339/S339-1,""),"")</f>
        <v>-0.823529411764706</v>
      </c>
      <c r="Y342" s="255">
        <f>IF(AND(ISNUMBER(Y339),ISNUMBER(T339)),IFERROR(Y339/T339-1,""),"")</f>
        <v>-26.6875</v>
      </c>
      <c r="Z342" s="255">
        <f>IF(AND(ISNUMBER(Z339),ISNUMBER(U339)),IFERROR(Z339/U339-1,""),"")</f>
        <v>1.25</v>
      </c>
      <c r="AA342" s="255">
        <f>IF(AND(ISNUMBER(AA339),ISNUMBER(V339)),IFERROR(AA339/V339-1,""),"")</f>
        <v>-0.372262773722628</v>
      </c>
      <c r="AB342" s="255">
        <f>IF(AND(ISNUMBER(AB339),ISNUMBER(W339)),IFERROR(AB339/W339-1,""),"")</f>
        <v>-0.155821917808219</v>
      </c>
      <c r="AC342" s="255">
        <f>IF(AND(ISNUMBER(AC339),ISNUMBER(X339)),IFERROR(AC339/X339-1,""),"")</f>
        <v>6.1078431372549</v>
      </c>
      <c r="AD342" s="255">
        <f>IF(AND(ISNUMBER(AD339),ISNUMBER(Y339)),IFERROR(AD339/Y339-1,""),"")</f>
        <v>0.445255474452555</v>
      </c>
      <c r="AE342" s="255">
        <f>IF(AND(ISNUMBER(AE339),ISNUMBER(Z339)),IFERROR(AE339/Z339-1,""),"")</f>
        <v>-0.0947712418300654</v>
      </c>
      <c r="AF342" s="255">
        <f>IF(AND(ISNUMBER(AF339),ISNUMBER(AA339)),IFERROR(AF339/AA339-1,""),"")</f>
        <v>0.891472868217054</v>
      </c>
      <c r="AG342" s="255">
        <f>IF(AND(ISNUMBER(AG339),ISNUMBER(AB339)),IFERROR(AG339/AB339-1,""),"")</f>
        <v>-0.123732251521298</v>
      </c>
      <c r="AH342" s="255">
        <f>IF(AND(ISNUMBER(AH339),ISNUMBER(AC339)),IFERROR(AH339/AC339-1,""),"")</f>
        <v>-0.172413793103448</v>
      </c>
      <c r="AI342" s="255">
        <f>IF(AND(ISNUMBER(AI339),ISNUMBER(AD339)),IFERROR(AI339/AD339-1,""),"")</f>
        <v>0.00841750841750844</v>
      </c>
      <c r="AJ342" s="255">
        <f>IF(AND(ISNUMBER(AJ339),ISNUMBER(AE339)),IFERROR(AJ339/AE339-1,""),"")</f>
        <v>-0.0794223826714802</v>
      </c>
      <c r="AK342" s="255">
        <f>IF(AND(ISNUMBER(AK339),ISNUMBER(AF339)),IFERROR(AK339/AF339-1,""),"")</f>
        <v>0.331967213114754</v>
      </c>
      <c r="AL342" s="255">
        <f>IF(AND(ISNUMBER(AL339),ISNUMBER(AG339)),IFERROR(AL339/AG339-1,""),"")</f>
        <v>0.597222222222222</v>
      </c>
      <c r="AM342" s="255">
        <f>IF(AND(ISNUMBER(AM339),ISNUMBER(AH339)),IFERROR(AM339/AH339-1,""),"")</f>
        <v>0.538333333333333</v>
      </c>
      <c r="AN342" s="255">
        <f>IF(AND(ISNUMBER(AN339),ISNUMBER(AI339)),IFERROR(AN339/AI339-1,""),"")</f>
        <v>0.401224262659989</v>
      </c>
      <c r="AO342" s="255">
        <f>IF(AND(ISNUMBER(AO339),ISNUMBER(AJ339)),IFERROR(AO339/AJ339-1,""),"")</f>
        <v>1.42352941176471</v>
      </c>
      <c r="AP342" s="255">
        <f>IF(AND(ISNUMBER(AP339),ISNUMBER(AK339)),IFERROR(AP339/AK339-1,""),"")</f>
        <v>0.367692307692308</v>
      </c>
      <c r="AQ342" s="255">
        <f>IF(AND(ISNUMBER(AQ339),ISNUMBER(AL339)),IFERROR(AQ339/AL339-1,""),"")</f>
        <v>0.0623188405797102</v>
      </c>
      <c r="AR342" s="255">
        <f>IF(AND(ISNUMBER(AR339),ISNUMBER(AM339)),IFERROR(AR339/AM339-1,""),"")</f>
        <v>0.145178764897075</v>
      </c>
      <c r="AS342" s="255">
        <f>IF(AND(ISNUMBER(AS339),ISNUMBER(AN339)),IFERROR(AS339/AN339-1,""),"")</f>
        <v>0.309372517871326</v>
      </c>
      <c r="AT342" s="255">
        <f>IF(AND(ISNUMBER(AT339),ISNUMBER(AO339)),IFERROR(AT339/AO339-1,""),"")</f>
        <v>0.101941747572815</v>
      </c>
      <c r="AU342" s="255">
        <f>IF(AND(ISNUMBER(AU339),ISNUMBER(AP339)),IFERROR(AU339/AP339-1,""),"")</f>
        <v>-0.0247469066366705</v>
      </c>
      <c r="AV342" s="255">
        <f>IF(AND(ISNUMBER(AV339),ISNUMBER(AQ339)),IFERROR(AV339/AQ339-1,""),"")</f>
        <v>0.236016371077763</v>
      </c>
      <c r="AW342" s="255">
        <f>IF(AND(ISNUMBER(AW339),ISNUMBER(AR339)),IFERROR(AW339/AR339-1,""),"")</f>
        <v>-0.165562913907285</v>
      </c>
      <c r="AX342" s="255">
        <f>IF(AND(ISNUMBER(AX339),ISNUMBER(AS339)),IFERROR(AX339/AS339-1,""),"")</f>
        <v>0.0118289353958143</v>
      </c>
      <c r="AY342" s="255">
        <f>IF(AND(ISNUMBER(AY339),ISNUMBER(AT339)),IFERROR(AY339/AT339-1,""),"")</f>
        <v>-0.778267254038179</v>
      </c>
      <c r="AZ342" s="255">
        <f>IF(AND(ISNUMBER(AZ339),ISNUMBER(AU339)),IFERROR(AZ339/AU339-1,""),"")</f>
        <v>-0.585928489042676</v>
      </c>
      <c r="BA342" s="255">
        <f>IF(AND(ISNUMBER(BA339),ISNUMBER(AV339)),IFERROR(BA339/AV339-1,""),"")</f>
        <v>-0.203090507726269</v>
      </c>
      <c r="BB342" s="255">
        <f>IF(AND(ISNUMBER(BB339),ISNUMBER(AW339)),IFERROR(BB339/AW339-1,""),"")</f>
        <v>0.147392290249433</v>
      </c>
      <c r="BC342" s="255">
        <f>IF(AND(ISNUMBER(BC339),ISNUMBER(AX339)),IFERROR(BC339/AX339-1,""),"")</f>
        <v>-0.327338129496403</v>
      </c>
      <c r="BD342" s="255">
        <f>IF(AND(ISNUMBER(BD339),ISNUMBER(AY339)),IFERROR(BD339/AY339-1,""),"")</f>
        <v>2.2317880794702</v>
      </c>
      <c r="BE342" s="255">
        <f>IF(AND(ISNUMBER(BE339),ISNUMBER(AZ339)),IFERROR(BE339/AZ339-1,""),"")</f>
        <v>0.883008356545961</v>
      </c>
      <c r="BF342" s="255">
        <f>IF(AND(ISNUMBER(BF339),ISNUMBER(BA339)),IFERROR(BF339/BA339-1,""),"")</f>
        <v>0.254847645429363</v>
      </c>
      <c r="BG342" s="255">
        <f>IF(AND(ISNUMBER(BG339),ISNUMBER(BB339)),IFERROR(BG339/BB339-1,""),"")</f>
        <v>0.202569169960474</v>
      </c>
      <c r="BH342" s="255">
        <f>IF(AND(ISNUMBER(BH339),ISNUMBER(BC339)),IFERROR(BH339/BC339-1,""),"")</f>
        <v>0.464795008912656</v>
      </c>
      <c r="BI342" s="255">
        <f>IF(AND(ISNUMBER(BI339),ISNUMBER(BD339)),IFERROR(BI339/BD339-1,""),"")</f>
        <v>0.743852459016394</v>
      </c>
      <c r="BJ342" s="255">
        <f>IF(AND(ISNUMBER(BJ339),ISNUMBER(BE339)),IFERROR(BJ339/BE339-1,""),"")</f>
        <v>1.16568047337278</v>
      </c>
      <c r="BK342" s="255">
        <f>IF(AND(ISNUMBER(BK339),ISNUMBER(BF339)),IFERROR(BK339/BF339-1,""),"")</f>
        <v>0.467991169977925</v>
      </c>
      <c r="BL342" s="255">
        <f>IF(AND(ISNUMBER(BL339),ISNUMBER(BG339)),IFERROR(BL339/BG339-1,""),"")</f>
        <v>0.341824157764996</v>
      </c>
      <c r="BM342" s="255">
        <f>IF(AND(ISNUMBER(BM339),ISNUMBER(BH339)),IFERROR(BM339/BH339-1,""),"")</f>
        <v>0.605719501064801</v>
      </c>
      <c r="BN342" s="255">
        <f>IF(AND(ISNUMBER(BN339),ISNUMBER(BI339)),IFERROR(BN339/BI339-1,""),"")</f>
        <v>-0.0411280846063454</v>
      </c>
      <c r="BO342" s="255">
        <f>IF(AND(ISNUMBER(BO339),ISNUMBER(BJ339)),IFERROR(BO339/BJ339-1,""),"")</f>
        <v>-0.105191256830601</v>
      </c>
      <c r="BP342" s="255">
        <f>IF(AND(ISNUMBER(BP339),ISNUMBER(BK339)),IFERROR(BP339/BK339-1,""),"")</f>
        <v>0.0481203007518798</v>
      </c>
      <c r="BQ342" s="255">
        <f>IF(AND(ISNUMBER(BQ339),ISNUMBER(BL339)),IFERROR(BQ339/BL339-1,""),"")</f>
        <v>-0.0110226576852419</v>
      </c>
      <c r="BR342" s="255">
        <f>IF(AND(ISNUMBER(BR339),ISNUMBER(BM339)),IFERROR(BR339/BM339-1,""),"")</f>
        <v>-0.0270935960591133</v>
      </c>
      <c r="BS342" s="255">
        <f>IF(AND(ISNUMBER(BS339),ISNUMBER(BN339)),IFERROR(BS339/BN339-1,""),"")</f>
        <v>0.126225490196078</v>
      </c>
      <c r="BT342" s="255">
        <f>IF(AND(ISNUMBER(BT339),ISNUMBER(BO339)),IFERROR(BT339/BO339-1,""),"")</f>
        <v>0.0152671755725191</v>
      </c>
      <c r="BU342" s="24" t="n"/>
      <c r="BV342" s="24" t="n"/>
      <c r="BW342" s="256">
        <f>IF(AND(ISNUMBER(BW339),ISNUMBER(BR339)),IFERROR(BW339/BR339-1,""),"")</f>
        <v>0.00935046275164497</v>
      </c>
      <c r="BX342" s="256">
        <f>IF(AND(ISNUMBER(BX339),ISNUMBER(BW339)),IFERROR(BX339/BW339-1,""),"")</f>
        <v>0.12801642360712</v>
      </c>
      <c r="BY342" s="256">
        <f>IF(AND(ISNUMBER(BY339),ISNUMBER(BX339)),IFERROR(BY339/BX339-1,""),"")</f>
        <v>0.0871238796391487</v>
      </c>
      <c r="BZ342" s="256">
        <f>IF(AND(ISNUMBER(BZ339),ISNUMBER(BY339)),IFERROR(BZ339/BY339-1,""),"")</f>
        <v>0.0655402306325448</v>
      </c>
      <c r="CA342" s="256">
        <f>IF(AND(ISNUMBER(CA339),ISNUMBER(BZ339)),IFERROR(CA339/BZ339-1,""),"")</f>
        <v>0.0651893692519168</v>
      </c>
      <c r="CB342" s="256">
        <f>IF(AND(ISNUMBER(CB339),ISNUMBER(CA339)),IFERROR(CB339/CA339-1,""),"")</f>
        <v>0.0650640493238641</v>
      </c>
      <c r="CC342" s="153" t="n"/>
    </row>
    <row r="343" ht="15" customHeight="1" s="251">
      <c r="B343" s="25" t="inlineStr">
        <is>
          <t xml:space="preserve">  FCF % of revenue</t>
        </is>
      </c>
      <c r="C343" s="215">
        <f>IF(AND(ISNUMBER(C339),ISNUMBER(C187)),IFERROR(C339/C187,""),"")</f>
      </c>
      <c r="D343" s="215">
        <f>IF(AND(ISNUMBER(D339),ISNUMBER(D187)),IFERROR(D339/D187,""),"")</f>
      </c>
      <c r="E343" s="215">
        <f>IF(AND(ISNUMBER(E339),ISNUMBER(E187)),IFERROR(E339/E187,""),"")</f>
        <v>0.140674157303371</v>
      </c>
      <c r="F343" s="215">
        <f>IF(AND(ISNUMBER(F339),ISNUMBER(F187)),IFERROR(F339/F187,""),"")</f>
        <v>-0.0110076206604572</v>
      </c>
      <c r="G343" s="215">
        <f>IF(AND(ISNUMBER(G339),ISNUMBER(G187)),IFERROR(G339/G187,""),"")</f>
        <v>0.048</v>
      </c>
      <c r="H343" s="215">
        <f>IF(AND(ISNUMBER(H339),ISNUMBER(H187)),IFERROR(H339/H187,""),"")</f>
        <v>0.124790619765494</v>
      </c>
      <c r="I343" s="215">
        <f>IF(AND(ISNUMBER(I339),ISNUMBER(I187)),IFERROR(I339/I187,""),"")</f>
        <v>0.3424</v>
      </c>
      <c r="J343" s="215">
        <f>IF(AND(ISNUMBER(J339),ISNUMBER(J187)),IFERROR(J339/J187,""),"")</f>
        <v>0.128</v>
      </c>
      <c r="K343" s="215">
        <f>IF(AND(ISNUMBER(K339),ISNUMBER(K187)),IFERROR(K339/K187,""),"")</f>
        <v>0.0687702265372168</v>
      </c>
      <c r="L343" s="215">
        <f>IF(AND(ISNUMBER(L339),ISNUMBER(L187)),IFERROR(L339/L187,""),"")</f>
        <v>0.228083209509658</v>
      </c>
      <c r="M343" s="215">
        <f>IF(AND(ISNUMBER(M339),ISNUMBER(M187)),IFERROR(M339/M187,""),"")</f>
        <v>0.285827395091053</v>
      </c>
      <c r="N343" s="215">
        <f>IF(AND(ISNUMBER(N339),ISNUMBER(N187)),IFERROR(N339/N187,""),"")</f>
        <v>0.217054263565891</v>
      </c>
      <c r="O343" s="215">
        <f>IF(AND(ISNUMBER(O339),ISNUMBER(O187)),IFERROR(O339/O187,""),"")</f>
        <v>0.204513957632152</v>
      </c>
      <c r="P343" s="215">
        <f>IF(AND(ISNUMBER(P339),ISNUMBER(P187)),IFERROR(P339/P187,""),"")</f>
        <v>-1.19717203456402</v>
      </c>
      <c r="Q343" s="215">
        <f>IF(AND(ISNUMBER(Q339),ISNUMBER(Q187)),IFERROR(Q339/Q187,""),"")</f>
        <v>0.30327868852459</v>
      </c>
      <c r="R343" s="215">
        <f>IF(AND(ISNUMBER(R339),ISNUMBER(R187)),IFERROR(R339/R187,""),"")</f>
        <v>0.370845921450151</v>
      </c>
      <c r="S343" s="215">
        <f>IF(AND(ISNUMBER(S339),ISNUMBER(S187)),IFERROR(S339/S187,""),"")</f>
        <v>0.420669577874818</v>
      </c>
      <c r="T343" s="215">
        <f>IF(AND(ISNUMBER(T339),ISNUMBER(T187)),IFERROR(T339/T187,""),"")</f>
        <v>-0.00903444381705251</v>
      </c>
      <c r="U343" s="215">
        <f>IF(AND(ISNUMBER(U339),ISNUMBER(U187)),IFERROR(U339/U187,""),"")</f>
        <v>0.101416853094705</v>
      </c>
      <c r="V343" s="215">
        <f>IF(AND(ISNUMBER(V339),ISNUMBER(V187)),IFERROR(V339/V187,""),"")</f>
        <v>0.277327935222672</v>
      </c>
      <c r="W343" s="215">
        <f>IF(AND(ISNUMBER(W339),ISNUMBER(W187)),IFERROR(W339/W187,""),"")</f>
        <v>0.405837387074357</v>
      </c>
      <c r="X343" s="215">
        <f>IF(AND(ISNUMBER(X339),ISNUMBER(X187)),IFERROR(X339/X187,""),"")</f>
        <v>0.0729092208720515</v>
      </c>
      <c r="Y343" s="215">
        <f>IF(AND(ISNUMBER(Y339),ISNUMBER(Y187)),IFERROR(Y339/Y187,""),"")</f>
        <v>0.217806041335453</v>
      </c>
      <c r="Z343" s="215">
        <f>IF(AND(ISNUMBER(Z339),ISNUMBER(Z187)),IFERROR(Z339/Z187,""),"")</f>
        <v>0.210598761183758</v>
      </c>
      <c r="AA343" s="215">
        <f>IF(AND(ISNUMBER(AA339),ISNUMBER(AA187)),IFERROR(AA339/AA187,""),"")</f>
        <v>0.170974155069583</v>
      </c>
      <c r="AB343" s="215">
        <f>IF(AND(ISNUMBER(AB339),ISNUMBER(AB187)),IFERROR(AB339/AB187,""),"")</f>
        <v>0.325842696629214</v>
      </c>
      <c r="AC343" s="215">
        <f>IF(AND(ISNUMBER(AC339),ISNUMBER(AC187)),IFERROR(AC339/AC187,""),"")</f>
        <v>0.456261799874135</v>
      </c>
      <c r="AD343" s="215">
        <f>IF(AND(ISNUMBER(AD339),ISNUMBER(AD187)),IFERROR(AD339/AD187,""),"")</f>
        <v>0.293913904007917</v>
      </c>
      <c r="AE343" s="215">
        <f>IF(AND(ISNUMBER(AE339),ISNUMBER(AE187)),IFERROR(AE339/AE187,""),"")</f>
        <v>0.176770899808551</v>
      </c>
      <c r="AF343" s="215">
        <f>IF(AND(ISNUMBER(AF339),ISNUMBER(AF187)),IFERROR(AF339/AF187,""),"")</f>
        <v>0.303293971410814</v>
      </c>
      <c r="AG343" s="215">
        <f>IF(AND(ISNUMBER(AG339),ISNUMBER(AG187)),IFERROR(AG339/AG187,""),"")</f>
        <v>0.279430789133247</v>
      </c>
      <c r="AH343" s="215">
        <f>IF(AND(ISNUMBER(AH339),ISNUMBER(AH187)),IFERROR(AH339/AH187,""),"")</f>
        <v>0.390625</v>
      </c>
      <c r="AI343" s="215">
        <f>IF(AND(ISNUMBER(AI339),ISNUMBER(AI187)),IFERROR(AI339/AI187,""),"")</f>
        <v>0.287152444870566</v>
      </c>
      <c r="AJ343" s="215">
        <f>IF(AND(ISNUMBER(AJ339),ISNUMBER(AJ187)),IFERROR(AJ339/AJ187,""),"")</f>
        <v>0.162316995544239</v>
      </c>
      <c r="AK343" s="215">
        <f>IF(AND(ISNUMBER(AK339),ISNUMBER(AK187)),IFERROR(AK339/AK187,""),"")</f>
        <v>0.381455399061033</v>
      </c>
      <c r="AL343" s="215">
        <f>IF(AND(ISNUMBER(AL339),ISNUMBER(AL187)),IFERROR(AL339/AL187,""),"")</f>
        <v>0.408525754884547</v>
      </c>
      <c r="AM343" s="215">
        <f>IF(AND(ISNUMBER(AM339),ISNUMBER(AM187)),IFERROR(AM339/AM187,""),"")</f>
        <v>0.531988472622478</v>
      </c>
      <c r="AN343" s="215">
        <f>IF(AND(ISNUMBER(AN339),ISNUMBER(AN187)),IFERROR(AN339/AN187,""),"")</f>
        <v>0.375876996566652</v>
      </c>
      <c r="AO343" s="215">
        <f>IF(AND(ISNUMBER(AO339),ISNUMBER(AO187)),IFERROR(AO339/AO187,""),"")</f>
        <v>0.346024636058231</v>
      </c>
      <c r="AP343" s="215">
        <f>IF(AND(ISNUMBER(AP339),ISNUMBER(AP187)),IFERROR(AP339/AP187,""),"")</f>
        <v>0.457539886773031</v>
      </c>
      <c r="AQ343" s="215">
        <f>IF(AND(ISNUMBER(AQ339),ISNUMBER(AQ187)),IFERROR(AQ339/AQ187,""),"")</f>
        <v>0.397074756229686</v>
      </c>
      <c r="AR343" s="215">
        <f>IF(AND(ISNUMBER(AR339),ISNUMBER(AR187)),IFERROR(AR339/AR187,""),"")</f>
        <v>0.566148901981789</v>
      </c>
      <c r="AS343" s="215">
        <f>IF(AND(ISNUMBER(AS339),ISNUMBER(AS187)),IFERROR(AS339/AS187,""),"")</f>
        <v>0.44302606826122</v>
      </c>
      <c r="AT343" s="215">
        <f>IF(AND(ISNUMBER(AT339),ISNUMBER(AT187)),IFERROR(AT339/AT187,""),"")</f>
        <v>0.337797619047619</v>
      </c>
      <c r="AU343" s="215">
        <f>IF(AND(ISNUMBER(AU339),ISNUMBER(AU187)),IFERROR(AU339/AU187,""),"")</f>
        <v>0.411680911680912</v>
      </c>
      <c r="AV343" s="215">
        <f>IF(AND(ISNUMBER(AV339),ISNUMBER(AV187)),IFERROR(AV339/AV187,""),"")</f>
        <v>0.434115955917585</v>
      </c>
      <c r="AW343" s="215">
        <f>IF(AND(ISNUMBER(AW339),ISNUMBER(AW187)),IFERROR(AW339/AW187,""),"")</f>
        <v>0.422413793103448</v>
      </c>
      <c r="AX343" s="215">
        <f>IF(AND(ISNUMBER(AX339),ISNUMBER(AX187)),IFERROR(AX339/AX187,""),"")</f>
        <v>0.402073038447632</v>
      </c>
      <c r="AY343" s="215">
        <f>IF(AND(ISNUMBER(AY339),ISNUMBER(AY187)),IFERROR(AY339/AY187,""),"")</f>
        <v>0.0632063624947677</v>
      </c>
      <c r="AZ343" s="215">
        <f>IF(AND(ISNUMBER(AZ339),ISNUMBER(AZ187)),IFERROR(AZ339/AZ187,""),"")</f>
        <v>0.119946541931173</v>
      </c>
      <c r="BA343" s="215">
        <f>IF(AND(ISNUMBER(BA339),ISNUMBER(BA187)),IFERROR(BA339/BA187,""),"")</f>
        <v>0.252359314924852</v>
      </c>
      <c r="BB343" s="215">
        <f>IF(AND(ISNUMBER(BB339),ISNUMBER(BB187)),IFERROR(BB339/BB187,""),"")</f>
        <v>0.344569288389513</v>
      </c>
      <c r="BC343" s="215">
        <f>IF(AND(ISNUMBER(BC339),ISNUMBER(BC187)),IFERROR(BC339/BC187,""),"")</f>
        <v>0.200697612020392</v>
      </c>
      <c r="BD343" s="215">
        <f>IF(AND(ISNUMBER(BD339),ISNUMBER(BD187)),IFERROR(BD339/BD187,""),"")</f>
        <v>0.154430379746835</v>
      </c>
      <c r="BE343" s="215">
        <f>IF(AND(ISNUMBER(BE339),ISNUMBER(BE187)),IFERROR(BE339/BE187,""),"")</f>
        <v>0.217994195420832</v>
      </c>
      <c r="BF343" s="215">
        <f>IF(AND(ISNUMBER(BF339),ISNUMBER(BF187)),IFERROR(BF339/BF187,""),"")</f>
        <v>0.293774319066148</v>
      </c>
      <c r="BG343" s="215">
        <f>IF(AND(ISNUMBER(BG339),ISNUMBER(BG187)),IFERROR(BG339/BG187,""),"")</f>
        <v>0.386104060913706</v>
      </c>
      <c r="BH343" s="215">
        <f>IF(AND(ISNUMBER(BH339),ISNUMBER(BH187)),IFERROR(BH339/BH187,""),"")</f>
        <v>0.263023125550132</v>
      </c>
      <c r="BI343" s="215">
        <f>IF(AND(ISNUMBER(BI339),ISNUMBER(BI187)),IFERROR(BI339/BI187,""),"")</f>
        <v>0.243769693497565</v>
      </c>
      <c r="BJ343" s="215">
        <f>IF(AND(ISNUMBER(BJ339),ISNUMBER(BJ187)),IFERROR(BJ339/BJ187,""),"")</f>
        <v>0.41251056635672</v>
      </c>
      <c r="BK343" s="215">
        <f>IF(AND(ISNUMBER(BK339),ISNUMBER(BK187)),IFERROR(BK339/BK187,""),"")</f>
        <v>0.372027972027972</v>
      </c>
      <c r="BL343" s="215">
        <f>IF(AND(ISNUMBER(BL339),ISNUMBER(BL187)),IFERROR(BL339/BL187,""),"")</f>
        <v>0.454621380846325</v>
      </c>
      <c r="BM343" s="215">
        <f>IF(AND(ISNUMBER(BM339),ISNUMBER(BM187)),IFERROR(BM339/BM187,""),"")</f>
        <v>0.371480855855856</v>
      </c>
      <c r="BN343" s="215">
        <f>IF(AND(ISNUMBER(BN339),ISNUMBER(BN187)),IFERROR(BN339/BN187,""),"")</f>
        <v>0.24307417336908</v>
      </c>
      <c r="BO343" s="215">
        <f>IF(AND(ISNUMBER(BO339),ISNUMBER(BO187)),IFERROR(BO339/BO187,""),"")</f>
        <v>0.394935182393729</v>
      </c>
      <c r="BP343" s="215">
        <f>IF(AND(ISNUMBER(BP339),ISNUMBER(BP187)),IFERROR(BP339/BP187,""),"")</f>
        <v>0.404879465582341</v>
      </c>
      <c r="BQ343" s="215">
        <f>IF(AND(ISNUMBER(BQ339),ISNUMBER(BQ187)),IFERROR(BQ339/BQ187,""),"")</f>
        <v>0.465149769585253</v>
      </c>
      <c r="BR343" s="215">
        <f>IF(AND(ISNUMBER(BR339),ISNUMBER(BR187)),IFERROR(BR339/BR187,""),"")</f>
        <v>0.377879166973287</v>
      </c>
      <c r="BS343" s="215">
        <f>IF(AND(ISNUMBER(BS339),ISNUMBER(BS187)),IFERROR(BS339/BS187,""),"")</f>
        <v>0.247242399784773</v>
      </c>
      <c r="BT343" s="215">
        <f>IF(AND(ISNUMBER(BT339),ISNUMBER(BT187)),IFERROR(BT339/BT187,""),"")</f>
        <v>0.361609570418706</v>
      </c>
      <c r="BU343" s="24" t="n"/>
      <c r="BV343" s="24" t="n"/>
      <c r="BW343" s="256">
        <f>IF(AND(ISNUMBER(BW339),ISNUMBER(BW187)),IFERROR(BW339/BW187,""),"")</f>
        <v>0.356793743731238</v>
      </c>
      <c r="BX343" s="256">
        <f>IF(AND(ISNUMBER(BX339),ISNUMBER(BX187)),IFERROR(BX339/BX187,""),"")</f>
        <v>0.378999654059232</v>
      </c>
      <c r="BY343" s="256">
        <f>IF(AND(ISNUMBER(BY339),ISNUMBER(BY187)),IFERROR(BY339/BY187,""),"")</f>
        <v>0.384814496825534</v>
      </c>
      <c r="BZ343" s="256">
        <f>IF(AND(ISNUMBER(BZ339),ISNUMBER(BZ187)),IFERROR(BZ339/BZ187,""),"")</f>
        <v>0.3836907186298</v>
      </c>
      <c r="CA343" s="256">
        <f>IF(AND(ISNUMBER(CA339),ISNUMBER(CA187)),IFERROR(CA339/CA187,""),"")</f>
        <v>0.383531227086873</v>
      </c>
      <c r="CB343" s="256">
        <f>IF(AND(ISNUMBER(CB339),ISNUMBER(CB187)),IFERROR(CB339/CB187,""),"")</f>
        <v>0.383361223512623</v>
      </c>
      <c r="CC343" s="153" t="n"/>
      <c r="CE343" s="37">
        <f>IFERROR(AVERAGE(BX343,BY343,BZ343,CA343,CB343),"n/m")</f>
        <v>0.382879464022812</v>
      </c>
      <c r="CF343" s="37">
        <f>IFERROR(AVERAGE(AX343,BC343,BH343,BM343,BR343),"n/m")</f>
        <v>0.32303075976946</v>
      </c>
      <c r="CG343" s="37">
        <f>IFERROR(AVERAGE(Y343,AD343,AI343,AN343,AS343,AX343,BC343,BH343,BM343,BR343),"n/m")</f>
        <v>0.323292925388911</v>
      </c>
      <c r="CH343" s="37">
        <f>IFERROR(AVERAGE(C343,D343,E343,J343,O343,T343,Y343,AD343,AI343,AN343,AS343,AX343,BC343,BH343,BM343,BR343),"n/m")</f>
        <v>0.264077351786255</v>
      </c>
    </row>
    <row r="344" ht="15" customHeight="1" s="251">
      <c r="B344" s="25" t="inlineStr">
        <is>
          <t xml:space="preserve">  FCF / adjusted net income conversion %</t>
        </is>
      </c>
      <c r="C344" s="215">
        <f>IF(AND(ISNUMBER(C339),ISNUMBER(C270)),IFERROR(C339/C270,""),"")</f>
      </c>
      <c r="D344" s="215">
        <f>IF(AND(ISNUMBER(D339),ISNUMBER(D270)),IFERROR(D339/D270,""),"")</f>
      </c>
      <c r="E344" s="215">
        <f>IF(AND(ISNUMBER(E339),ISNUMBER(E270)),IFERROR(E339/E270,""),"")</f>
        <v>0.799489144316731</v>
      </c>
      <c r="F344" s="215">
        <f>IF(AND(ISNUMBER(F339),ISNUMBER(F270)),IFERROR(F339/F270,""),"")</f>
        <v>-0.0570175438596491</v>
      </c>
      <c r="G344" s="215">
        <f>IF(AND(ISNUMBER(G339),ISNUMBER(G270)),IFERROR(G339/G270,""),"")</f>
        <v>0.233463035019455</v>
      </c>
      <c r="H344" s="215">
        <f>IF(AND(ISNUMBER(H339),ISNUMBER(H270)),IFERROR(H339/H270,""),"")</f>
        <v>0.671171171171171</v>
      </c>
      <c r="I344" s="215">
        <f>IF(AND(ISNUMBER(I339),ISNUMBER(I270)),IFERROR(I339/I270,""),"")</f>
        <v>1.91928251121076</v>
      </c>
      <c r="J344" s="215">
        <f>IF(AND(ISNUMBER(J339),ISNUMBER(J270)),IFERROR(J339/J270,""),"")</f>
        <v>0.670247046186896</v>
      </c>
      <c r="K344" s="215">
        <f>IF(AND(ISNUMBER(K339),ISNUMBER(K270)),IFERROR(K339/K270,""),"")</f>
        <v>0.342741935483871</v>
      </c>
      <c r="L344" s="215">
        <f>IF(AND(ISNUMBER(L339),ISNUMBER(L270)),IFERROR(L339/L270,""),"")</f>
        <v>1.0513698630137</v>
      </c>
      <c r="M344" s="215">
        <f>IF(AND(ISNUMBER(M339),ISNUMBER(M270)),IFERROR(M339/M270,""),"")</f>
        <v>1.2846975088968</v>
      </c>
      <c r="N344" s="215">
        <f>IF(AND(ISNUMBER(N339),ISNUMBER(N270)),IFERROR(N339/N270,""),"")</f>
        <v>1.06060606060606</v>
      </c>
      <c r="O344" s="215">
        <f>IF(AND(ISNUMBER(O339),ISNUMBER(O270)),IFERROR(O339/O270,""),"")</f>
        <v>0.962721342031687</v>
      </c>
      <c r="P344" s="215">
        <f>IF(AND(ISNUMBER(P339),ISNUMBER(P270)),IFERROR(P339/P270,""),"")</f>
        <v>-5.09698996655518</v>
      </c>
      <c r="Q344" s="215">
        <f>IF(AND(ISNUMBER(Q339),ISNUMBER(Q270)),IFERROR(Q339/Q270,""),"")</f>
        <v>1.21492537313433</v>
      </c>
      <c r="R344" s="215">
        <f>IF(AND(ISNUMBER(R339),ISNUMBER(R270)),IFERROR(R339/R270,""),"")</f>
        <v>1.51076923076923</v>
      </c>
      <c r="S344" s="215">
        <f>IF(AND(ISNUMBER(S339),ISNUMBER(S270)),IFERROR(S339/S270,""),"")</f>
        <v>2.03521126760563</v>
      </c>
      <c r="T344" s="215">
        <f>IF(AND(ISNUMBER(T339),ISNUMBER(T270)),IFERROR(T339/T270,""),"")</f>
        <v>-0.0385852090032154</v>
      </c>
      <c r="U344" s="215">
        <f>IF(AND(ISNUMBER(U339),ISNUMBER(U270)),IFERROR(U339/U270,""),"")</f>
        <v>0.425</v>
      </c>
      <c r="V344" s="215">
        <f>IF(AND(ISNUMBER(V339),ISNUMBER(V270)),IFERROR(V339/V270,""),"")</f>
        <v>1.06753246753247</v>
      </c>
      <c r="W344" s="215">
        <f>IF(AND(ISNUMBER(W339),ISNUMBER(W270)),IFERROR(W339/W270,""),"")</f>
        <v>1.53280839895013</v>
      </c>
      <c r="X344" s="215">
        <f>IF(AND(ISNUMBER(X339),ISNUMBER(X270)),IFERROR(X339/X270,""),"")</f>
        <v>0.305389221556886</v>
      </c>
      <c r="Y344" s="215">
        <f>IF(AND(ISNUMBER(Y339),ISNUMBER(Y270)),IFERROR(Y339/Y270,""),"")</f>
        <v>0.86830985915493</v>
      </c>
      <c r="Z344" s="215">
        <f>IF(AND(ISNUMBER(Z339),ISNUMBER(Z270)),IFERROR(Z339/Z270,""),"")</f>
        <v>0.725118483412322</v>
      </c>
      <c r="AA344" s="215">
        <f>IF(AND(ISNUMBER(AA339),ISNUMBER(AA270)),IFERROR(AA339/AA270,""),"")</f>
        <v>0.57847533632287</v>
      </c>
      <c r="AB344" s="215">
        <f>IF(AND(ISNUMBER(AB339),ISNUMBER(AB270)),IFERROR(AB339/AB270,""),"")</f>
        <v>1.11538461538462</v>
      </c>
      <c r="AC344" s="215">
        <f>IF(AND(ISNUMBER(AC339),ISNUMBER(AC270)),IFERROR(AC339/AC270,""),"")</f>
        <v>1.5295358649789</v>
      </c>
      <c r="AD344" s="215">
        <f>IF(AND(ISNUMBER(AD339),ISNUMBER(AD270)),IFERROR(AD339/AD270,""),"")</f>
        <v>0.998878923766816</v>
      </c>
      <c r="AE344" s="215">
        <f>IF(AND(ISNUMBER(AE339),ISNUMBER(AE270)),IFERROR(AE339/AE270,""),"")</f>
        <v>0.544204322200393</v>
      </c>
      <c r="AF344" s="215">
        <f>IF(AND(ISNUMBER(AF339),ISNUMBER(AF270)),IFERROR(AF339/AF270,""),"")</f>
        <v>0.888888888888889</v>
      </c>
      <c r="AG344" s="215">
        <f>IF(AND(ISNUMBER(AG339),ISNUMBER(AG270)),IFERROR(AG339/AG270,""),"")</f>
        <v>0.805970149253731</v>
      </c>
      <c r="AH344" s="215">
        <f>IF(AND(ISNUMBER(AH339),ISNUMBER(AH270)),IFERROR(AH339/AH270,""),"")</f>
        <v>1.07334525939177</v>
      </c>
      <c r="AI344" s="215">
        <f>IF(AND(ISNUMBER(AI339),ISNUMBER(AI270)),IFERROR(AI339/AI270,""),"")</f>
        <v>0.83503717472119</v>
      </c>
      <c r="AJ344" s="215">
        <f>IF(AND(ISNUMBER(AJ339),ISNUMBER(AJ270)),IFERROR(AJ339/AJ270,""),"")</f>
        <v>0.486641221374046</v>
      </c>
      <c r="AK344" s="215">
        <f>IF(AND(ISNUMBER(AK339),ISNUMBER(AK270)),IFERROR(AK339/AK270,""),"")</f>
        <v>1.08153078202995</v>
      </c>
      <c r="AL344" s="215">
        <f>IF(AND(ISNUMBER(AL339),ISNUMBER(AL270)),IFERROR(AL339/AL270,""),"")</f>
        <v>1.13861386138614</v>
      </c>
      <c r="AM344" s="215">
        <f>IF(AND(ISNUMBER(AM339),ISNUMBER(AM270)),IFERROR(AM339/AM270,""),"")</f>
        <v>1.48631239935588</v>
      </c>
      <c r="AN344" s="215">
        <f>IF(AND(ISNUMBER(AN339),ISNUMBER(AN270)),IFERROR(AN339/AN270,""),"")</f>
        <v>1.07057823129252</v>
      </c>
      <c r="AO344" s="215">
        <f>IF(AND(ISNUMBER(AO339),ISNUMBER(AO270)),IFERROR(AO339/AO270,""),"")</f>
        <v>0.929323308270677</v>
      </c>
      <c r="AP344" s="215">
        <f>IF(AND(ISNUMBER(AP339),ISNUMBER(AP270)),IFERROR(AP339/AP270,""),"")</f>
        <v>1.08150851581509</v>
      </c>
      <c r="AQ344" s="215">
        <f>IF(AND(ISNUMBER(AQ339),ISNUMBER(AQ270)),IFERROR(AQ339/AQ270,""),"")</f>
        <v>1.06386066763425</v>
      </c>
      <c r="AR344" s="215">
        <f>IF(AND(ISNUMBER(AR339),ISNUMBER(AR270)),IFERROR(AR339/AR270,""),"")</f>
        <v>1.61620795107034</v>
      </c>
      <c r="AS344" s="215">
        <f>IF(AND(ISNUMBER(AS339),ISNUMBER(AS270)),IFERROR(AS339/AS270,""),"")</f>
        <v>1.16501766784452</v>
      </c>
      <c r="AT344" s="215">
        <f>IF(AND(ISNUMBER(AT339),ISNUMBER(AT270)),IFERROR(AT339/AT270,""),"")</f>
        <v>0.830487804878049</v>
      </c>
      <c r="AU344" s="215">
        <f>IF(AND(ISNUMBER(AU339),ISNUMBER(AU270)),IFERROR(AU339/AU270,""),"")</f>
        <v>0.990857142857143</v>
      </c>
      <c r="AV344" s="215">
        <f>IF(AND(ISNUMBER(AV339),ISNUMBER(AV270)),IFERROR(AV339/AV270,""),"")</f>
        <v>1.05964912280702</v>
      </c>
      <c r="AW344" s="215">
        <f>IF(AND(ISNUMBER(AW339),ISNUMBER(AW270)),IFERROR(AW339/AW270,""),"")</f>
        <v>1.15748031496063</v>
      </c>
      <c r="AX344" s="215">
        <f>IF(AND(ISNUMBER(AX339),ISNUMBER(AX270)),IFERROR(AX339/AX270,""),"")</f>
        <v>1.00755058894594</v>
      </c>
      <c r="AY344" s="215">
        <f>IF(AND(ISNUMBER(AY339),ISNUMBER(AY270)),IFERROR(AY339/AY270,""),"")</f>
        <v>0.175581395348837</v>
      </c>
      <c r="AZ344" s="215">
        <f>IF(AND(ISNUMBER(AZ339),ISNUMBER(AZ270)),IFERROR(AZ339/AZ270,""),"")</f>
        <v>0.375916230366492</v>
      </c>
      <c r="BA344" s="215">
        <f>IF(AND(ISNUMBER(BA339),ISNUMBER(BA270)),IFERROR(BA339/BA270,""),"")</f>
        <v>0.745867768595041</v>
      </c>
      <c r="BB344" s="215">
        <f>IF(AND(ISNUMBER(BB339),ISNUMBER(BB270)),IFERROR(BB339/BB270,""),"")</f>
        <v>1.22370012091898</v>
      </c>
      <c r="BC344" s="215">
        <f>IF(AND(ISNUMBER(BC339),ISNUMBER(BC270)),IFERROR(BC339/BC270,""),"")</f>
        <v>0.621606648199446</v>
      </c>
      <c r="BD344" s="215">
        <f>IF(AND(ISNUMBER(BD339),ISNUMBER(BD270)),IFERROR(BD339/BD270,""),"")</f>
        <v>0.481737413622902</v>
      </c>
      <c r="BE344" s="215">
        <f>IF(AND(ISNUMBER(BE339),ISNUMBER(BE270)),IFERROR(BE339/BE270,""),"")</f>
        <v>0.678714859437751</v>
      </c>
      <c r="BF344" s="215">
        <f>IF(AND(ISNUMBER(BF339),ISNUMBER(BF270)),IFERROR(BF339/BF270,""),"")</f>
        <v>0.886497064579256</v>
      </c>
      <c r="BG344" s="215">
        <f>IF(AND(ISNUMBER(BG339),ISNUMBER(BG270)),IFERROR(BG339/BG270,""),"")</f>
        <v>1.23178137651822</v>
      </c>
      <c r="BH344" s="215">
        <f>IF(AND(ISNUMBER(BH339),ISNUMBER(BH270)),IFERROR(BH339/BH270,""),"")</f>
        <v>0.817865140582234</v>
      </c>
      <c r="BI344" s="215">
        <f>IF(AND(ISNUMBER(BI339),ISNUMBER(BI270)),IFERROR(BI339/BI270,""),"")</f>
        <v>0.676470588235294</v>
      </c>
      <c r="BJ344" s="215">
        <f>IF(AND(ISNUMBER(BJ339),ISNUMBER(BJ270)),IFERROR(BJ339/BJ270,""),"")</f>
        <v>1.15548539857932</v>
      </c>
      <c r="BK344" s="215">
        <f>IF(AND(ISNUMBER(BK339),ISNUMBER(BK270)),IFERROR(BK339/BK270,""),"")</f>
        <v>1.09917355371901</v>
      </c>
      <c r="BL344" s="215">
        <f>IF(AND(ISNUMBER(BL339),ISNUMBER(BL270)),IFERROR(BL339/BL270,""),"")</f>
        <v>1.40412725709372</v>
      </c>
      <c r="BM344" s="215">
        <f>IF(AND(ISNUMBER(BM339),ISNUMBER(BM270)),IFERROR(BM339/BM270,""),"")</f>
        <v>1.07758268681094</v>
      </c>
      <c r="BN344" s="215">
        <f>IF(AND(ISNUMBER(BN339),ISNUMBER(BN270)),IFERROR(BN339/BN270,""),"")</f>
        <v>0.681135225375626</v>
      </c>
      <c r="BO344" s="215">
        <f>IF(AND(ISNUMBER(BO339),ISNUMBER(BO270)),IFERROR(BO339/BO270,""),"")</f>
        <v>1.09075770191507</v>
      </c>
      <c r="BP344" s="215">
        <f>IF(AND(ISNUMBER(BP339),ISNUMBER(BP270)),IFERROR(BP339/BP270,""),"")</f>
        <v>1.09076682316119</v>
      </c>
      <c r="BQ344" s="215">
        <f>IF(AND(ISNUMBER(BQ339),ISNUMBER(BQ270)),IFERROR(BQ339/BQ270,""),"")</f>
        <v>1.39705882352941</v>
      </c>
      <c r="BR344" s="215">
        <f>IF(AND(ISNUMBER(BR339),ISNUMBER(BR270)),IFERROR(BR339/BR270,""),"")</f>
        <v>1.06270695364238</v>
      </c>
      <c r="BS344" s="215">
        <f>IF(AND(ISNUMBER(BS339),ISNUMBER(BS270)),IFERROR(BS339/BS270,""),"")</f>
        <v>0.694633408919123</v>
      </c>
      <c r="BT344" s="215">
        <f>IF(AND(ISNUMBER(BT339),ISNUMBER(BT270)),IFERROR(BT339/BT270,""),"")</f>
        <v>0.930720783764871</v>
      </c>
      <c r="BU344" s="24" t="n"/>
      <c r="BV344" s="24" t="n"/>
      <c r="BW344" s="256">
        <f>IF(AND(ISNUMBER(BW339),ISNUMBER(BW270)),IFERROR(BW339/BW270,""),"")</f>
        <v>1.00619516927958</v>
      </c>
      <c r="BX344" s="256">
        <f>IF(AND(ISNUMBER(BX339),ISNUMBER(BX270)),IFERROR(BX339/BX270,""),"")</f>
        <v>1.05389097440505</v>
      </c>
      <c r="BY344" s="256">
        <f>IF(AND(ISNUMBER(BY339),ISNUMBER(BY270)),IFERROR(BY339/BY270,""),"")</f>
        <v>1.05868880808321</v>
      </c>
      <c r="BZ344" s="256">
        <f>IF(AND(ISNUMBER(BZ339),ISNUMBER(BZ270)),IFERROR(BZ339/BZ270,""),"")</f>
        <v>1.05727927391923</v>
      </c>
      <c r="CA344" s="256">
        <f>IF(AND(ISNUMBER(CA339),ISNUMBER(CA270)),IFERROR(CA339/CA270,""),"")</f>
        <v>1.05511025698421</v>
      </c>
      <c r="CB344" s="256">
        <f>IF(AND(ISNUMBER(CB339),ISNUMBER(CB270)),IFERROR(CB339/CB270,""),"")</f>
        <v>1.05491227594772</v>
      </c>
      <c r="CC344" s="153" t="n"/>
      <c r="CE344" s="37">
        <f>IFERROR(AVERAGE(BX344,BY344,BZ344,CA344,CB344),"n/m")</f>
        <v>1.05597631786788</v>
      </c>
      <c r="CF344" s="37">
        <f>IFERROR(AVERAGE(AX344,BC344,BH344,BM344,BR344),"n/m")</f>
        <v>0.917462403636189</v>
      </c>
      <c r="CG344" s="37">
        <f>IFERROR(AVERAGE(Y344,AD344,AI344,AN344,AS344,AX344,BC344,BH344,BM344,BR344),"n/m")</f>
        <v>0.952513387496092</v>
      </c>
      <c r="CH344" s="37">
        <f>IFERROR(AVERAGE(C344,D344,E344,J344,O344,T344,Y344,AD344,AI344,AN344,AS344,AX344,BC344,BH344,BM344,BR344),"n/m")</f>
        <v>0.851357585606644</v>
      </c>
    </row>
    <row r="345" ht="15" customHeight="1" s="251">
      <c r="B345" s="25" t="inlineStr">
        <is>
          <t xml:space="preserve">  FCF per diluted share ($)</t>
        </is>
      </c>
      <c r="C345" s="282">
        <f>IF(AND(ISNUMBER(C339),ISNUMBER(C217)),IFERROR(C339/C217,""),"")</f>
      </c>
      <c r="D345" s="282">
        <f>IF(AND(ISNUMBER(D339),ISNUMBER(D217)),IFERROR(D339/D217,""),"")</f>
      </c>
      <c r="E345" s="282">
        <f>IF(AND(ISNUMBER(E339),ISNUMBER(E217)),IFERROR(E339/E217,""),"")</f>
        <v>2.19957835558679</v>
      </c>
      <c r="F345" s="282">
        <f>IF(AND(ISNUMBER(F339),ISNUMBER(F217)),IFERROR(F339/F217,""),"")</f>
        <v>-0.0457263454097784</v>
      </c>
      <c r="G345" s="282">
        <f>IF(AND(ISNUMBER(G339),ISNUMBER(G217)),IFERROR(G339/G217,""),"")</f>
        <v>0.215594681997844</v>
      </c>
      <c r="H345" s="282">
        <f>IF(AND(ISNUMBER(H339),ISNUMBER(H217)),IFERROR(H339/H217,""),"")</f>
        <v>0.534433285509326</v>
      </c>
      <c r="I345" s="282">
        <f>IF(AND(ISNUMBER(I339),ISNUMBER(I217)),IFERROR(I339/I217,""),"")</f>
        <v>1.53956834532374</v>
      </c>
      <c r="J345" s="282">
        <f>IF(AND(ISNUMBER(J339),ISNUMBER(J217)),IFERROR(J339/J217,""),"")</f>
        <v>2.2301644031451</v>
      </c>
      <c r="K345" s="282">
        <f>IF(AND(ISNUMBER(K339),ISNUMBER(K217)),IFERROR(K339/K217,""),"")</f>
        <v>0.306637806637807</v>
      </c>
      <c r="L345" s="282">
        <f>IF(AND(ISNUMBER(L339),ISNUMBER(L217)),IFERROR(L339/L217,""),"")</f>
        <v>1.11191597247374</v>
      </c>
      <c r="M345" s="282">
        <f>IF(AND(ISNUMBER(M339),ISNUMBER(M217)),IFERROR(M339/M217,""),"")</f>
        <v>1.31082062454612</v>
      </c>
      <c r="N345" s="282">
        <f>IF(AND(ISNUMBER(N339),ISNUMBER(N217)),IFERROR(N339/N217,""),"")</f>
        <v>1.03054839896945</v>
      </c>
      <c r="O345" s="282">
        <f>IF(AND(ISNUMBER(O339),ISNUMBER(O217)),IFERROR(O339/O217,""),"")</f>
        <v>3.80478821362799</v>
      </c>
      <c r="P345" s="282">
        <f>IF(AND(ISNUMBER(P339),ISNUMBER(P217)),IFERROR(P339/P217,""),"")</f>
        <v>-5.5157437567861</v>
      </c>
      <c r="Q345" s="282">
        <f>IF(AND(ISNUMBER(Q339),ISNUMBER(Q217)),IFERROR(Q339/Q217,""),"")</f>
        <v>1.47624229234675</v>
      </c>
      <c r="R345" s="282">
        <f>IF(AND(ISNUMBER(R339),ISNUMBER(R217)),IFERROR(R339/R217,""),"")</f>
        <v>1.78935860058309</v>
      </c>
      <c r="S345" s="282">
        <f>IF(AND(ISNUMBER(S339),ISNUMBER(S217)),IFERROR(S339/S217,""),"")</f>
        <v>2.12421903711871</v>
      </c>
      <c r="T345" s="282">
        <f>IF(AND(ISNUMBER(T339),ISNUMBER(T217)),IFERROR(T339/T217,""),"")</f>
        <v>-0.174799708667152</v>
      </c>
      <c r="U345" s="282">
        <f>IF(AND(ISNUMBER(U339),ISNUMBER(U217)),IFERROR(U339/U217,""),"")</f>
        <v>0.508982035928144</v>
      </c>
      <c r="V345" s="282">
        <f>IF(AND(ISNUMBER(V339),ISNUMBER(V217)),IFERROR(V339/V217,""),"")</f>
        <v>1.54105736782902</v>
      </c>
      <c r="W345" s="282">
        <f>IF(AND(ISNUMBER(W339),ISNUMBER(W217)),IFERROR(W339/W217,""),"")</f>
        <v>2.20128156803619</v>
      </c>
      <c r="X345" s="282">
        <f>IF(AND(ISNUMBER(X339),ISNUMBER(X217)),IFERROR(X339/X217,""),"")</f>
        <v>0.389908256880734</v>
      </c>
      <c r="Y345" s="282">
        <f>IF(AND(ISNUMBER(Y339),ISNUMBER(Y217)),IFERROR(Y339/Y217,""),"")</f>
        <v>4.64932126696833</v>
      </c>
      <c r="Z345" s="282">
        <f>IF(AND(ISNUMBER(Z339),ISNUMBER(Z217)),IFERROR(Z339/Z217,""),"")</f>
        <v>1.17331288343558</v>
      </c>
      <c r="AA345" s="282">
        <f>IF(AND(ISNUMBER(AA339),ISNUMBER(AA217)),IFERROR(AA339/AA217,""),"")</f>
        <v>0.992689495959985</v>
      </c>
      <c r="AB345" s="282">
        <f>IF(AND(ISNUMBER(AB339),ISNUMBER(AB217)),IFERROR(AB339/AB217,""),"")</f>
        <v>1.9115936409461</v>
      </c>
      <c r="AC345" s="282">
        <f>IF(AND(ISNUMBER(AC339),ISNUMBER(AC217)),IFERROR(AC339/AC217,""),"")</f>
        <v>2.82101167315175</v>
      </c>
      <c r="AD345" s="282">
        <f>IF(AND(ISNUMBER(AD339),ISNUMBER(AD217)),IFERROR(AD339/AD217,""),"")</f>
        <v>6.88296639629201</v>
      </c>
      <c r="AE345" s="282">
        <f>IF(AND(ISNUMBER(AE339),ISNUMBER(AE217)),IFERROR(AE339/AE217,""),"")</f>
        <v>1.08883647798742</v>
      </c>
      <c r="AF345" s="282">
        <f>IF(AND(ISNUMBER(AF339),ISNUMBER(AF217)),IFERROR(AF339/AF217,""),"")</f>
        <v>1.92656928543229</v>
      </c>
      <c r="AG345" s="282">
        <f>IF(AND(ISNUMBER(AG339),ISNUMBER(AG217)),IFERROR(AG339/AG217,""),"")</f>
        <v>1.70414201183432</v>
      </c>
      <c r="AH345" s="282">
        <f>IF(AND(ISNUMBER(AH339),ISNUMBER(AH217)),IFERROR(AH339/AH217,""),"")</f>
        <v>2.38568588469185</v>
      </c>
      <c r="AI345" s="282">
        <f>IF(AND(ISNUMBER(AI339),ISNUMBER(AI217)),IFERROR(AI339/AI217,""),"")</f>
        <v>7.09715639810427</v>
      </c>
      <c r="AJ345" s="282">
        <f>IF(AND(ISNUMBER(AJ339),ISNUMBER(AJ217)),IFERROR(AJ339/AJ217,""),"")</f>
        <v>1.02698348771647</v>
      </c>
      <c r="AK345" s="282">
        <f>IF(AND(ISNUMBER(AK339),ISNUMBER(AK217)),IFERROR(AK339/AK217,""),"")</f>
        <v>2.62732417138238</v>
      </c>
      <c r="AL345" s="282">
        <f>IF(AND(ISNUMBER(AL339),ISNUMBER(AL217)),IFERROR(AL339/AL217,""),"")</f>
        <v>2.79918864097363</v>
      </c>
      <c r="AM345" s="282">
        <f>IF(AND(ISNUMBER(AM339),ISNUMBER(AM217)),IFERROR(AM339/AM217,""),"")</f>
        <v>3.75814332247557</v>
      </c>
      <c r="AN345" s="282">
        <f>IF(AND(ISNUMBER(AN339),ISNUMBER(AN217)),IFERROR(AN339/AN217,""),"")</f>
        <v>10.1984609153503</v>
      </c>
      <c r="AO345" s="282">
        <f>IF(AND(ISNUMBER(AO339),ISNUMBER(AO217)),IFERROR(AO339/AO217,""),"")</f>
        <v>2.54007398273736</v>
      </c>
      <c r="AP345" s="282">
        <f>IF(AND(ISNUMBER(AP339),ISNUMBER(AP217)),IFERROR(AP339/AP217,""),"")</f>
        <v>3.67507234394378</v>
      </c>
      <c r="AQ345" s="282">
        <f>IF(AND(ISNUMBER(AQ339),ISNUMBER(AQ217)),IFERROR(AQ339/AQ217,""),"")</f>
        <v>3.03394039735099</v>
      </c>
      <c r="AR345" s="282">
        <f>IF(AND(ISNUMBER(AR339),ISNUMBER(AR217)),IFERROR(AR339/AR217,""),"")</f>
        <v>4.37318990484071</v>
      </c>
      <c r="AS345" s="282">
        <f>IF(AND(ISNUMBER(AS339),ISNUMBER(AS217)),IFERROR(AS339/AS217,""),"")</f>
        <v>13.6183395291202</v>
      </c>
      <c r="AT345" s="282">
        <f>IF(AND(ISNUMBER(AT339),ISNUMBER(AT217)),IFERROR(AT339/AT217,""),"")</f>
        <v>2.81870860927152</v>
      </c>
      <c r="AU345" s="282">
        <f>IF(AND(ISNUMBER(AU339),ISNUMBER(AU217)),IFERROR(AU339/AU217,""),"")</f>
        <v>3.58560794044665</v>
      </c>
      <c r="AV345" s="282">
        <f>IF(AND(ISNUMBER(AV339),ISNUMBER(AV217)),IFERROR(AV339/AV217,""),"")</f>
        <v>3.74844848986347</v>
      </c>
      <c r="AW345" s="282">
        <f>IF(AND(ISNUMBER(AW339),ISNUMBER(AW217)),IFERROR(AW339/AW217,""),"")</f>
        <v>3.64312267657993</v>
      </c>
      <c r="AX345" s="282">
        <f>IF(AND(ISNUMBER(AX339),ISNUMBER(AX217)),IFERROR(AX339/AX217,""),"")</f>
        <v>13.7965260545906</v>
      </c>
      <c r="AY345" s="282">
        <f>IF(AND(ISNUMBER(AY339),ISNUMBER(AY217)),IFERROR(AY339/AY217,""),"")</f>
        <v>0.546507419471589</v>
      </c>
      <c r="AZ345" s="282">
        <f>IF(AND(ISNUMBER(AZ339),ISNUMBER(AZ217)),IFERROR(AZ339/AZ217,""),"")</f>
        <v>1.05806071323313</v>
      </c>
      <c r="BA345" s="282">
        <f>IF(AND(ISNUMBER(BA339),ISNUMBER(BA217)),IFERROR(BA339/BA217,""),"")</f>
        <v>2.18192807494711</v>
      </c>
      <c r="BB345" s="282">
        <f>IF(AND(ISNUMBER(BB339),ISNUMBER(BB217)),IFERROR(BB339/BB217,""),"")</f>
        <v>3.11193111931119</v>
      </c>
      <c r="BC345" s="282">
        <f>IF(AND(ISNUMBER(BC339),ISNUMBER(BC217)),IFERROR(BC339/BC217,""),"")</f>
        <v>7.04552590266876</v>
      </c>
      <c r="BD345" s="282">
        <f>IF(AND(ISNUMBER(BD339),ISNUMBER(BD217)),IFERROR(BD339/BD217,""),"")</f>
        <v>1.51505743557901</v>
      </c>
      <c r="BE345" s="282">
        <f>IF(AND(ISNUMBER(BE339),ISNUMBER(BE217)),IFERROR(BE339/BE217,""),"")</f>
        <v>2.11382113821138</v>
      </c>
      <c r="BF345" s="282">
        <f>IF(AND(ISNUMBER(BF339),ISNUMBER(BF217)),IFERROR(BF339/BF217,""),"")</f>
        <v>2.84905660377359</v>
      </c>
      <c r="BG345" s="282">
        <f>IF(AND(ISNUMBER(BG339),ISNUMBER(BG217)),IFERROR(BG339/BG217,""),"")</f>
        <v>3.85248496359608</v>
      </c>
      <c r="BH345" s="282">
        <f>IF(AND(ISNUMBER(BH339),ISNUMBER(BH217)),IFERROR(BH339/BH217,""),"")</f>
        <v>10.3073063656319</v>
      </c>
      <c r="BI345" s="282">
        <f>IF(AND(ISNUMBER(BI339),ISNUMBER(BI217)),IFERROR(BI339/BI217,""),"")</f>
        <v>2.71019108280255</v>
      </c>
      <c r="BJ345" s="282">
        <f>IF(AND(ISNUMBER(BJ339),ISNUMBER(BJ217)),IFERROR(BJ339/BJ217,""),"")</f>
        <v>4.67432950191571</v>
      </c>
      <c r="BK345" s="282">
        <f>IF(AND(ISNUMBER(BK339),ISNUMBER(BK217)),IFERROR(BK339/BK217,""),"")</f>
        <v>4.26966292134831</v>
      </c>
      <c r="BL345" s="282">
        <f>IF(AND(ISNUMBER(BL339),ISNUMBER(BL217)),IFERROR(BL339/BL217,""),"")</f>
        <v>5.28650048559404</v>
      </c>
      <c r="BM345" s="282">
        <f>IF(AND(ISNUMBER(BM339),ISNUMBER(BM217)),IFERROR(BM339/BM217,""),"")</f>
        <v>16.9220904135941</v>
      </c>
      <c r="BN345" s="282">
        <f>IF(AND(ISNUMBER(BN339),ISNUMBER(BN217)),IFERROR(BN339/BN217,""),"")</f>
        <v>2.65193370165746</v>
      </c>
      <c r="BO345" s="282">
        <f>IF(AND(ISNUMBER(BO339),ISNUMBER(BO217)),IFERROR(BO339/BO217,""),"")</f>
        <v>4.2796471741261</v>
      </c>
      <c r="BP345" s="282">
        <f>IF(AND(ISNUMBER(BP339),ISNUMBER(BP217)),IFERROR(BP339/BP217,""),"")</f>
        <v>4.57799671592775</v>
      </c>
      <c r="BQ345" s="282">
        <f>IF(AND(ISNUMBER(BQ339),ISNUMBER(BQ217)),IFERROR(BQ339/BQ217,""),"")</f>
        <v>5.34591194968553</v>
      </c>
      <c r="BR345" s="282">
        <f>IF(AND(ISNUMBER(BR339),ISNUMBER(BR217)),IFERROR(BR339/BR217,""),"")</f>
        <v>16.8305473615208</v>
      </c>
      <c r="BS345" s="282">
        <f>IF(AND(ISNUMBER(BS339),ISNUMBER(BS217)),IFERROR(BS339/BS217,""),"")</f>
        <v>3.0880376344086</v>
      </c>
      <c r="BT345" s="282">
        <f>IF(AND(ISNUMBER(BT339),ISNUMBER(BT217)),IFERROR(BT339/BT217,""),"")</f>
        <v>4.50084602368866</v>
      </c>
      <c r="BU345" s="35" t="n"/>
      <c r="BV345" s="35" t="n"/>
      <c r="BW345" s="272">
        <f>IF(AND(ISNUMBER(BW339),ISNUMBER(BW217)),IFERROR(BW339/BW217,""),"")</f>
        <v>17.7341898585526</v>
      </c>
      <c r="BX345" s="272">
        <f>IF(AND(ISNUMBER(BX339),ISNUMBER(BX217)),IFERROR(BX339/BX217,""),"")</f>
        <v>21.076681063799</v>
      </c>
      <c r="BY345" s="272">
        <f>IF(AND(ISNUMBER(BY339),ISNUMBER(BY217)),IFERROR(BY339/BY217,""),"")</f>
        <v>23.7450728327885</v>
      </c>
      <c r="BZ345" s="272">
        <f>IF(AND(ISNUMBER(BZ339),ISNUMBER(BZ217)),IFERROR(BZ339/BZ217,""),"")</f>
        <v>26.3519741292601</v>
      </c>
      <c r="CA345" s="272">
        <f>IF(AND(ISNUMBER(CA339),ISNUMBER(CA217)),IFERROR(CA339/CA217,""),"")</f>
        <v>29.276503567134</v>
      </c>
      <c r="CB345" s="272">
        <f>IF(AND(ISNUMBER(CB339),ISNUMBER(CB217)),IFERROR(CB339/CB217,""),"")</f>
        <v>32.5758013465096</v>
      </c>
      <c r="CC345" s="19" t="n"/>
    </row>
    <row r="346" ht="15" customHeight="1" s="251">
      <c r="B346" s="25" t="inlineStr">
        <is>
          <t xml:space="preserve">  FCF / adjusted EBITDA %</t>
        </is>
      </c>
      <c r="C346" s="215">
        <f>IF(AND(ISNUMBER(C339),ISNUMBER(C256)),IFERROR(C339/C256,""),"")</f>
      </c>
      <c r="D346" s="215">
        <f>IF(AND(ISNUMBER(D339),ISNUMBER(D256)),IFERROR(D339/D256,""),"")</f>
      </c>
      <c r="E346" s="215">
        <f>IF(AND(ISNUMBER(E339),ISNUMBER(E256)),IFERROR(E339/E256,""),"")</f>
        <v>0.429061000685401</v>
      </c>
      <c r="F346" s="215">
        <f>IF(AND(ISNUMBER(F339),ISNUMBER(F256)),IFERROR(F339/F256,""),"")</f>
        <v>-0.0308056872037915</v>
      </c>
      <c r="G346" s="215">
        <f>IF(AND(ISNUMBER(G339),ISNUMBER(G256)),IFERROR(G339/G256,""),"")</f>
        <v>0.128205128205128</v>
      </c>
      <c r="H346" s="215">
        <f>IF(AND(ISNUMBER(H339),ISNUMBER(H256)),IFERROR(H339/H256,""),"")</f>
        <v>0.358173076923077</v>
      </c>
      <c r="I346" s="215">
        <f>IF(AND(ISNUMBER(I339),ISNUMBER(I256)),IFERROR(I339/I256,""),"")</f>
        <v>1.12041884816754</v>
      </c>
      <c r="J346" s="215">
        <f>IF(AND(ISNUMBER(J339),ISNUMBER(J256)),IFERROR(J339/J256,""),"")</f>
        <v>0.369668246445498</v>
      </c>
      <c r="K346" s="215">
        <f>IF(AND(ISNUMBER(K339),ISNUMBER(K256)),IFERROR(K339/K256,""),"")</f>
        <v>0.188470066518847</v>
      </c>
      <c r="L346" s="215">
        <f>IF(AND(ISNUMBER(L339),ISNUMBER(L256)),IFERROR(L339/L256,""),"")</f>
        <v>0.604330708661417</v>
      </c>
      <c r="M346" s="215">
        <f>IF(AND(ISNUMBER(M339),ISNUMBER(M256)),IFERROR(M339/M256,""),"")</f>
        <v>0.727822580645161</v>
      </c>
      <c r="N346" s="215">
        <f>IF(AND(ISNUMBER(N339),ISNUMBER(N256)),IFERROR(N339/N256,""),"")</f>
        <v>0.600858369098713</v>
      </c>
      <c r="O346" s="215">
        <f>IF(AND(ISNUMBER(O339),ISNUMBER(O256)),IFERROR(O339/O256,""),"")</f>
        <v>0.543398211467649</v>
      </c>
      <c r="P346" s="215">
        <f>IF(AND(ISNUMBER(P339),ISNUMBER(P256)),IFERROR(P339/P256,""),"")</f>
        <v>-2.94777562862669</v>
      </c>
      <c r="Q346" s="215">
        <f>IF(AND(ISNUMBER(Q339),ISNUMBER(Q256)),IFERROR(Q339/Q256,""),"")</f>
        <v>0.709059233449477</v>
      </c>
      <c r="R346" s="215">
        <f>IF(AND(ISNUMBER(R339),ISNUMBER(R256)),IFERROR(R339/R256,""),"")</f>
        <v>0.895985401459854</v>
      </c>
      <c r="S346" s="215">
        <f>IF(AND(ISNUMBER(S339),ISNUMBER(S256)),IFERROR(S339/S256,""),"")</f>
        <v>1.1468253968254</v>
      </c>
      <c r="T346" s="215">
        <f>IF(AND(ISNUMBER(T339),ISNUMBER(T256)),IFERROR(T339/T256,""),"")</f>
        <v>-0.0223985067662156</v>
      </c>
      <c r="U346" s="215">
        <f>IF(AND(ISNUMBER(U339),ISNUMBER(U256)),IFERROR(U339/U256,""),"")</f>
        <v>0.23943661971831</v>
      </c>
      <c r="V346" s="215">
        <f>IF(AND(ISNUMBER(V339),ISNUMBER(V256)),IFERROR(V339/V256,""),"")</f>
        <v>0.609792284866469</v>
      </c>
      <c r="W346" s="215">
        <f>IF(AND(ISNUMBER(W339),ISNUMBER(W256)),IFERROR(W339/W256,""),"")</f>
        <v>0.884848484848485</v>
      </c>
      <c r="X346" s="215">
        <f>IF(AND(ISNUMBER(X339),ISNUMBER(X256)),IFERROR(X339/X256,""),"")</f>
        <v>0.166939443535188</v>
      </c>
      <c r="Y346" s="215">
        <f>IF(AND(ISNUMBER(Y339),ISNUMBER(Y256)),IFERROR(Y339/Y256,""),"")</f>
        <v>0.49006359300477</v>
      </c>
      <c r="Z346" s="215">
        <f>IF(AND(ISNUMBER(Z339),ISNUMBER(Z256)),IFERROR(Z339/Z256,""),"")</f>
        <v>0.432203389830509</v>
      </c>
      <c r="AA346" s="215">
        <f>IF(AND(ISNUMBER(AA339),ISNUMBER(AA256)),IFERROR(AA339/AA256,""),"")</f>
        <v>0.351020408163265</v>
      </c>
      <c r="AB346" s="215">
        <f>IF(AND(ISNUMBER(AB339),ISNUMBER(AB256)),IFERROR(AB339/AB256,""),"")</f>
        <v>0.681881051175657</v>
      </c>
      <c r="AC346" s="215">
        <f>IF(AND(ISNUMBER(AC339),ISNUMBER(AC256)),IFERROR(AC339/AC256,""),"")</f>
        <v>0.937904269081501</v>
      </c>
      <c r="AD346" s="215">
        <f>IF(AND(ISNUMBER(AD339),ISNUMBER(AD256)),IFERROR(AD339/AD256,""),"")</f>
        <v>0.606328683225587</v>
      </c>
      <c r="AE346" s="215">
        <f>IF(AND(ISNUMBER(AE339),ISNUMBER(AE256)),IFERROR(AE339/AE256,""),"")</f>
        <v>0.366402116402116</v>
      </c>
      <c r="AF346" s="215">
        <f>IF(AND(ISNUMBER(AF339),ISNUMBER(AF256)),IFERROR(AF339/AF256,""),"")</f>
        <v>0.603213844252163</v>
      </c>
      <c r="AG346" s="215">
        <f>IF(AND(ISNUMBER(AG339),ISNUMBER(AG256)),IFERROR(AG339/AG256,""),"")</f>
        <v>0.548919949174079</v>
      </c>
      <c r="AH346" s="215">
        <f>IF(AND(ISNUMBER(AH339),ISNUMBER(AH256)),IFERROR(AH339/AH256,""),"")</f>
        <v>0.764331210191083</v>
      </c>
      <c r="AI346" s="215">
        <f>IF(AND(ISNUMBER(AI339),ISNUMBER(AI256)),IFERROR(AI339/AI256,""),"")</f>
        <v>0.573022959183674</v>
      </c>
      <c r="AJ346" s="215">
        <f>IF(AND(ISNUMBER(AJ339),ISNUMBER(AJ256)),IFERROR(AJ339/AJ256,""),"")</f>
        <v>0.334207077326343</v>
      </c>
      <c r="AK346" s="215">
        <f>IF(AND(ISNUMBER(AK339),ISNUMBER(AK256)),IFERROR(AK339/AK256,""),"")</f>
        <v>0.726256983240224</v>
      </c>
      <c r="AL346" s="215">
        <f>IF(AND(ISNUMBER(AL339),ISNUMBER(AL256)),IFERROR(AL339/AL256,""),"")</f>
        <v>0.769230769230769</v>
      </c>
      <c r="AM346" s="215">
        <f>IF(AND(ISNUMBER(AM339),ISNUMBER(AM256)),IFERROR(AM339/AM256,""),"")</f>
        <v>1.04058624577227</v>
      </c>
      <c r="AN346" s="215">
        <f>IF(AND(ISNUMBER(AN339),ISNUMBER(AN256)),IFERROR(AN339/AN256,""),"")</f>
        <v>0.731551423590936</v>
      </c>
      <c r="AO346" s="215">
        <f>IF(AND(ISNUMBER(AO339),ISNUMBER(AO256)),IFERROR(AO339/AO256,""),"")</f>
        <v>0.638429752066116</v>
      </c>
      <c r="AP346" s="215">
        <f>IF(AND(ISNUMBER(AP339),ISNUMBER(AP256)),IFERROR(AP339/AP256,""),"")</f>
        <v>0.766379310344828</v>
      </c>
      <c r="AQ346" s="215">
        <f>IF(AND(ISNUMBER(AQ339),ISNUMBER(AQ256)),IFERROR(AQ339/AQ256,""),"")</f>
        <v>0.735943775100402</v>
      </c>
      <c r="AR346" s="215">
        <f>IF(AND(ISNUMBER(AR339),ISNUMBER(AR256)),IFERROR(AR339/AR256,""),"")</f>
        <v>1.1414686825054</v>
      </c>
      <c r="AS346" s="215">
        <f>IF(AND(ISNUMBER(AS339),ISNUMBER(AS256)),IFERROR(AS339/AS256,""),"")</f>
        <v>0.814074074074074</v>
      </c>
      <c r="AT346" s="215">
        <f>IF(AND(ISNUMBER(AT339),ISNUMBER(AT256)),IFERROR(AT339/AT256,""),"")</f>
        <v>0.576629974597799</v>
      </c>
      <c r="AU346" s="215">
        <f>IF(AND(ISNUMBER(AU339),ISNUMBER(AU256)),IFERROR(AU339/AU256,""),"")</f>
        <v>0.693045563549161</v>
      </c>
      <c r="AV346" s="215">
        <f>IF(AND(ISNUMBER(AV339),ISNUMBER(AV256)),IFERROR(AV339/AV256,""),"")</f>
        <v>0.771063829787234</v>
      </c>
      <c r="AW346" s="215">
        <f>IF(AND(ISNUMBER(AW339),ISNUMBER(AW256)),IFERROR(AW339/AW256,""),"")</f>
        <v>0.836018957345972</v>
      </c>
      <c r="AX346" s="215">
        <f>IF(AND(ISNUMBER(AX339),ISNUMBER(AX256)),IFERROR(AX339/AX256,""),"")</f>
        <v>0.715419257988419</v>
      </c>
      <c r="AY346" s="215">
        <f>IF(AND(ISNUMBER(AY339),ISNUMBER(AY256)),IFERROR(AY339/AY256,""),"")</f>
        <v>0.123064384678077</v>
      </c>
      <c r="AZ346" s="215">
        <f>IF(AND(ISNUMBER(AZ339),ISNUMBER(AZ256)),IFERROR(AZ339/AZ256,""),"")</f>
        <v>0.249652294853964</v>
      </c>
      <c r="BA346" s="215">
        <f>IF(AND(ISNUMBER(BA339),ISNUMBER(BA256)),IFERROR(BA339/BA256,""),"")</f>
        <v>0.535211267605634</v>
      </c>
      <c r="BB346" s="215">
        <f>IF(AND(ISNUMBER(BB339),ISNUMBER(BB256)),IFERROR(BB339/BB256,""),"")</f>
        <v>0.825448613376835</v>
      </c>
      <c r="BC346" s="215">
        <f>IF(AND(ISNUMBER(BC339),ISNUMBER(BC256)),IFERROR(BC339/BC256,""),"")</f>
        <v>0.42824427480916</v>
      </c>
      <c r="BD346" s="215">
        <f>IF(AND(ISNUMBER(BD339),ISNUMBER(BD256)),IFERROR(BD339/BD256,""),"")</f>
        <v>0.328619528619529</v>
      </c>
      <c r="BE346" s="215">
        <f>IF(AND(ISNUMBER(BE339),ISNUMBER(BE256)),IFERROR(BE339/BE256,""),"")</f>
        <v>0.464285714285714</v>
      </c>
      <c r="BF346" s="215">
        <f>IF(AND(ISNUMBER(BF339),ISNUMBER(BF256)),IFERROR(BF339/BF256,""),"")</f>
        <v>0.615489130434783</v>
      </c>
      <c r="BG346" s="215">
        <f>IF(AND(ISNUMBER(BG339),ISNUMBER(BG256)),IFERROR(BG339/BG256,""),"")</f>
        <v>0.857042253521127</v>
      </c>
      <c r="BH346" s="215">
        <f>IF(AND(ISNUMBER(BH339),ISNUMBER(BH256)),IFERROR(BH339/BH256,""),"")</f>
        <v>0.563517915309446</v>
      </c>
      <c r="BI346" s="215">
        <f>IF(AND(ISNUMBER(BI339),ISNUMBER(BI256)),IFERROR(BI339/BI256,""),"")</f>
        <v>0.483248154457695</v>
      </c>
      <c r="BJ346" s="215">
        <f>IF(AND(ISNUMBER(BJ339),ISNUMBER(BJ256)),IFERROR(BJ339/BJ256,""),"")</f>
        <v>0.802191780821918</v>
      </c>
      <c r="BK346" s="215">
        <f>IF(AND(ISNUMBER(BK339),ISNUMBER(BK256)),IFERROR(BK339/BK256,""),"")</f>
        <v>0.753114382785957</v>
      </c>
      <c r="BL346" s="215">
        <f>IF(AND(ISNUMBER(BL339),ISNUMBER(BL256)),IFERROR(BL339/BL256,""),"")</f>
        <v>0.958896065766295</v>
      </c>
      <c r="BM346" s="215">
        <f>IF(AND(ISNUMBER(BM339),ISNUMBER(BM256)),IFERROR(BM339/BM256,""),"")</f>
        <v>0.748227955769776</v>
      </c>
      <c r="BN346" s="215">
        <f>IF(AND(ISNUMBER(BN339),ISNUMBER(BN256)),IFERROR(BN339/BN256,""),"")</f>
        <v>0.462847419171866</v>
      </c>
      <c r="BO346" s="215">
        <f>IF(AND(ISNUMBER(BO339),ISNUMBER(BO256)),IFERROR(BO339/BO256,""),"")</f>
        <v>0.746013667425968</v>
      </c>
      <c r="BP346" s="215">
        <f>IF(AND(ISNUMBER(BP339),ISNUMBER(BP256)),IFERROR(BP339/BP256,""),"")</f>
        <v>0.755965292841649</v>
      </c>
      <c r="BQ346" s="215">
        <f>IF(AND(ISNUMBER(BQ339),ISNUMBER(BQ256)),IFERROR(BQ339/BQ256,""),"")</f>
        <v>0.947769953051643</v>
      </c>
      <c r="BR346" s="215">
        <f>IF(AND(ISNUMBER(BR339),ISNUMBER(BR256)),IFERROR(BR339/BR256,""),"")</f>
        <v>0.726308345120226</v>
      </c>
      <c r="BS346" s="215">
        <f>IF(AND(ISNUMBER(BS339),ISNUMBER(BS256)),IFERROR(BS339/BS256,""),"")</f>
        <v>0.460882647943832</v>
      </c>
      <c r="BT346" s="215">
        <f>IF(AND(ISNUMBER(BT339),ISNUMBER(BT256)),IFERROR(BT339/BT256,""),"")</f>
        <v>0.656142081894425</v>
      </c>
      <c r="BU346" s="24" t="n"/>
      <c r="BV346" s="24" t="n"/>
      <c r="BW346" s="256">
        <f>IF(AND(ISNUMBER(BW339),ISNUMBER(BW256)),IFERROR(BW339/BW256,""),"")</f>
        <v>0.678557609555533</v>
      </c>
      <c r="BX346" s="256">
        <f>IF(AND(ISNUMBER(BX339),ISNUMBER(BX256)),IFERROR(BX339/BX256,""),"")</f>
        <v>0.703617720158942</v>
      </c>
      <c r="BY346" s="256">
        <f>IF(AND(ISNUMBER(BY339),ISNUMBER(BY256)),IFERROR(BY339/BY256,""),"")</f>
        <v>0.708476683041112</v>
      </c>
      <c r="BZ346" s="256">
        <f>IF(AND(ISNUMBER(BZ339),ISNUMBER(BZ256)),IFERROR(BZ339/BZ256,""),"")</f>
        <v>0.704085312668258</v>
      </c>
      <c r="CA346" s="256">
        <f>IF(AND(ISNUMBER(CA339),ISNUMBER(CA256)),IFERROR(CA339/CA256,""),"")</f>
        <v>0.700936358761064</v>
      </c>
      <c r="CB346" s="256">
        <f>IF(AND(ISNUMBER(CB339),ISNUMBER(CB256)),IFERROR(CB339/CB256,""),"")</f>
        <v>0.699794973197305</v>
      </c>
      <c r="CC346" s="153" t="n"/>
      <c r="CE346" s="37">
        <f>IFERROR(AVERAGE(BX346,BY346,BZ346,CA346,CB346),"n/m")</f>
        <v>0.703382209565336</v>
      </c>
      <c r="CF346" s="37">
        <f>IFERROR(AVERAGE(AX346,BC346,BH346,BM346,BR346),"n/m")</f>
        <v>0.636343549799406</v>
      </c>
      <c r="CG346" s="37">
        <f>IFERROR(AVERAGE(Y346,AD346,AI346,AN346,AS346,AX346,BC346,BH346,BM346,BR346),"n/m")</f>
        <v>0.639675848207607</v>
      </c>
      <c r="CH346" s="37">
        <f>IFERROR(AVERAGE(C346,D346,E346,J346,O346,T346,Y346,AD346,AI346,AN346,AS346,AX346,BC346,BH346,BM346,BR346),"n/m")</f>
        <v>0.5511776738506</v>
      </c>
    </row>
    <row r="347" ht="15" customHeight="1" s="251">
      <c r="B347" s="25" t="inlineStr">
        <is>
          <t>Capex ratios</t>
        </is>
      </c>
      <c r="CC347" s="153" t="n"/>
    </row>
    <row r="348" ht="15" customHeight="1" s="251">
      <c r="B348" s="25" t="inlineStr">
        <is>
          <t xml:space="preserve">  Capex % of revenue</t>
        </is>
      </c>
      <c r="C348" s="215">
        <f>IF(ISNUMBER(C320),IFERROR(-C320/C187,""),"")</f>
      </c>
      <c r="D348" s="215">
        <f>IF(ISNUMBER(D320),IFERROR(-D320/D187,""),"")</f>
      </c>
      <c r="E348" s="215">
        <f>IF(ISNUMBER(E320),IFERROR(-E320/E187,""),"")</f>
        <v>0.0217977528089888</v>
      </c>
      <c r="F348" s="215">
        <f>IF(ISNUMBER(F320),IFERROR(-F320/F187,""),"")</f>
        <v>0.0186282811176969</v>
      </c>
      <c r="G348" s="215">
        <f>IF(ISNUMBER(G320),IFERROR(-G320/G187,""),"")</f>
        <v>0.0168</v>
      </c>
      <c r="H348" s="215">
        <f>IF(ISNUMBER(H320),IFERROR(-H320/H187,""),"")</f>
        <v>0.0100502512562814</v>
      </c>
      <c r="I348" s="215">
        <f>IF(ISNUMBER(I320),IFERROR(-I320/I187,""),"")</f>
        <v>0.0496</v>
      </c>
      <c r="J348" s="215">
        <f>IF(ISNUMBER(J320),IFERROR(-J320/J187,""),"")</f>
        <v>0.024</v>
      </c>
      <c r="K348" s="215">
        <f>IF(ISNUMBER(K320),IFERROR(-K320/K187,""),"")</f>
        <v>0.0161812297734628</v>
      </c>
      <c r="L348" s="215">
        <f>IF(ISNUMBER(L320),IFERROR(-L320/L187,""),"")</f>
        <v>0.012630014858841</v>
      </c>
      <c r="M348" s="215">
        <f>IF(ISNUMBER(M320),IFERROR(-M320/M187,""),"")</f>
        <v>0.0118764845605701</v>
      </c>
      <c r="N348" s="215">
        <f>IF(ISNUMBER(N320),IFERROR(-N320/N187,""),"")</f>
        <v>0.0310077519379845</v>
      </c>
      <c r="O348" s="215">
        <f>IF(ISNUMBER(O320),IFERROR(-O320/O187,""),"")</f>
        <v>0.0182142150069293</v>
      </c>
      <c r="P348" s="215">
        <f>IF(ISNUMBER(P320),IFERROR(-P320/P187,""),"")</f>
        <v>0.0125687352710134</v>
      </c>
      <c r="Q348" s="215">
        <f>IF(ISNUMBER(Q320),IFERROR(-Q320/Q187,""),"")</f>
        <v>0.0193740685543964</v>
      </c>
      <c r="R348" s="215">
        <f>IF(ISNUMBER(R320),IFERROR(-R320/R187,""),"")</f>
        <v>0.0241691842900302</v>
      </c>
      <c r="S348" s="215">
        <f>IF(ISNUMBER(S320),IFERROR(-S320/S187,""),"")</f>
        <v>0.0473071324599709</v>
      </c>
      <c r="T348" s="215">
        <f>IF(ISNUMBER(T320),IFERROR(-T320/T187,""),"")</f>
        <v>0.0261622435535479</v>
      </c>
      <c r="U348" s="215">
        <f>IF(ISNUMBER(U320),IFERROR(-U320/U187,""),"")</f>
        <v>0.0119313944817301</v>
      </c>
      <c r="V348" s="215">
        <f>IF(ISNUMBER(V320),IFERROR(-V320/V187,""),"")</f>
        <v>0.0134952766531714</v>
      </c>
      <c r="W348" s="215">
        <f>IF(ISNUMBER(W320),IFERROR(-W320/W187,""),"")</f>
        <v>0.0215427380125087</v>
      </c>
      <c r="X348" s="215">
        <f>IF(ISNUMBER(X320),IFERROR(-X320/X187,""),"")</f>
        <v>0.0343102215868477</v>
      </c>
      <c r="Y348" s="215">
        <f>IF(ISNUMBER(Y320),IFERROR(-Y320/Y187,""),"")</f>
        <v>0.020314432079138</v>
      </c>
      <c r="Z348" s="215">
        <f>IF(ISNUMBER(Z320),IFERROR(-Z320/Z187,""),"")</f>
        <v>0.0158293186510668</v>
      </c>
      <c r="AA348" s="215">
        <f>IF(ISNUMBER(AA320),IFERROR(-AA320/AA187,""),"")</f>
        <v>0.021868787276342</v>
      </c>
      <c r="AB348" s="215">
        <f>IF(ISNUMBER(AB320),IFERROR(-AB320/AB187,""),"")</f>
        <v>0.0138797091870456</v>
      </c>
      <c r="AC348" s="215">
        <f>IF(ISNUMBER(AC320),IFERROR(-AC320/AC187,""),"")</f>
        <v>0.0289490245437382</v>
      </c>
      <c r="AD348" s="215">
        <f>IF(ISNUMBER(AD320),IFERROR(-AD320/AD187,""),"")</f>
        <v>0.0202869866402771</v>
      </c>
      <c r="AE348" s="215">
        <f>IF(ISNUMBER(AE320),IFERROR(-AE320/AE187,""),"")</f>
        <v>0.021059349074665</v>
      </c>
      <c r="AF348" s="215">
        <f>IF(ISNUMBER(AF320),IFERROR(-AF320/AF187,""),"")</f>
        <v>0.016780609073959</v>
      </c>
      <c r="AG348" s="215">
        <f>IF(ISNUMBER(AG320),IFERROR(-AG320/AG187,""),"")</f>
        <v>0.018111254851229</v>
      </c>
      <c r="AH348" s="215">
        <f>IF(ISNUMBER(AH320),IFERROR(-AH320/AH187,""),"")</f>
        <v>0.0162760416666667</v>
      </c>
      <c r="AI348" s="215">
        <f>IF(ISNUMBER(AI320),IFERROR(-AI320/AI187,""),"")</f>
        <v>0.018056887184404</v>
      </c>
      <c r="AJ348" s="215">
        <f>IF(ISNUMBER(AJ320),IFERROR(-AJ320/AJ187,""),"")</f>
        <v>0.0127307447485678</v>
      </c>
      <c r="AK348" s="215">
        <f>IF(ISNUMBER(AK320),IFERROR(-AK320/AK187,""),"")</f>
        <v>0.0152582159624413</v>
      </c>
      <c r="AL348" s="215">
        <f>IF(ISNUMBER(AL320),IFERROR(-AL320/AL187,""),"")</f>
        <v>0.0183540556542333</v>
      </c>
      <c r="AM348" s="215">
        <f>IF(ISNUMBER(AM320),IFERROR(-AM320/AM187,""),"")</f>
        <v>0.0219020172910663</v>
      </c>
      <c r="AN348" s="215">
        <f>IF(ISNUMBER(AN320),IFERROR(-AN320/AN187,""),"")</f>
        <v>0.0171667413046723</v>
      </c>
      <c r="AO348" s="215">
        <f>IF(ISNUMBER(AO320),IFERROR(-AO320/AO187,""),"")</f>
        <v>0.00615901455767077</v>
      </c>
      <c r="AP348" s="215">
        <f>IF(ISNUMBER(AP320),IFERROR(-AP320/AP187,""),"")</f>
        <v>0.0036026762738034</v>
      </c>
      <c r="AQ348" s="215">
        <f>IF(ISNUMBER(AQ320),IFERROR(-AQ320/AQ187,""),"")</f>
        <v>0.0135427952329361</v>
      </c>
      <c r="AR348" s="215">
        <f>IF(ISNUMBER(AR320),IFERROR(-AR320/AR187,""),"")</f>
        <v>0.0176754151044456</v>
      </c>
      <c r="AS348" s="215">
        <f>IF(ISNUMBER(AS320),IFERROR(-AS320/AS187,""),"")</f>
        <v>0.0102123085192153</v>
      </c>
      <c r="AT348" s="215">
        <f>IF(ISNUMBER(AT320),IFERROR(-AT320/AT187,""),"")</f>
        <v>0.00892857142857143</v>
      </c>
      <c r="AU348" s="215">
        <f>IF(ISNUMBER(AU320),IFERROR(-AU320/AU187,""),"")</f>
        <v>0.00332383665716999</v>
      </c>
      <c r="AV348" s="215">
        <f>IF(ISNUMBER(AV320),IFERROR(-AV320/AV187,""),"")</f>
        <v>0.00383325347388596</v>
      </c>
      <c r="AW348" s="215">
        <f>IF(ISNUMBER(AW320),IFERROR(-AW320/AW187,""),"")</f>
        <v>0.000957854406130268</v>
      </c>
      <c r="AX348" s="215">
        <f>IF(ISNUMBER(AX320),IFERROR(-AX320/AX187,""),"")</f>
        <v>0.00421839218994817</v>
      </c>
      <c r="AY348" s="215">
        <f>IF(ISNUMBER(AY320),IFERROR(-AY320/AY187,""),"")</f>
        <v>0.00669736291335287</v>
      </c>
      <c r="AZ348" s="215">
        <f>IF(ISNUMBER(AZ320),IFERROR(-AZ320/AZ187,""),"")</f>
        <v>0.00801871032408954</v>
      </c>
      <c r="BA348" s="215">
        <f>IF(ISNUMBER(BA320),IFERROR(-BA320/BA187,""),"")</f>
        <v>0.00734009087731562</v>
      </c>
      <c r="BB348" s="215">
        <f>IF(ISNUMBER(BB320),IFERROR(-BB320/BB187,""),"")</f>
        <v>0.00953353762342526</v>
      </c>
      <c r="BC348" s="215">
        <f>IF(ISNUMBER(BC320),IFERROR(-BC320/BC187,""),"")</f>
        <v>0.00795993202754673</v>
      </c>
      <c r="BD348" s="215">
        <f>IF(ISNUMBER(BD320),IFERROR(-BD320/BD187,""),"")</f>
        <v>0.00886075949367089</v>
      </c>
      <c r="BE348" s="215">
        <f>IF(ISNUMBER(BE320),IFERROR(-BE320/BE187,""),"")</f>
        <v>0.00999677523379555</v>
      </c>
      <c r="BF348" s="215">
        <f>IF(ISNUMBER(BF320),IFERROR(-BF320/BF187,""),"")</f>
        <v>0.0116731517509728</v>
      </c>
      <c r="BG348" s="215">
        <f>IF(ISNUMBER(BG320),IFERROR(-BG320/BG187,""),"")</f>
        <v>0.0152284263959391</v>
      </c>
      <c r="BH348" s="215">
        <f>IF(ISNUMBER(BH320),IFERROR(-BH320/BH187,""),"")</f>
        <v>0.0114427462591022</v>
      </c>
      <c r="BI348" s="215">
        <f>IF(ISNUMBER(BI320),IFERROR(-BI320/BI187,""),"")</f>
        <v>0.00687482096820395</v>
      </c>
      <c r="BJ348" s="215">
        <f>IF(ISNUMBER(BJ320),IFERROR(-BJ320/BJ187,""),"")</f>
        <v>0.00901662440123979</v>
      </c>
      <c r="BK348" s="215">
        <f>IF(ISNUMBER(BK320),IFERROR(-BK320/BK187,""),"")</f>
        <v>0.00979020979020979</v>
      </c>
      <c r="BL348" s="215">
        <f>IF(ISNUMBER(BL320),IFERROR(-BL320/BL187,""),"")</f>
        <v>0.00918708240534521</v>
      </c>
      <c r="BM348" s="215">
        <f>IF(ISNUMBER(BM320),IFERROR(-BM320/BM187,""),"")</f>
        <v>0.00872747747747748</v>
      </c>
      <c r="BN348" s="215">
        <f>IF(ISNUMBER(BN320),IFERROR(-BN320/BN187,""),"")</f>
        <v>0.0128090557044981</v>
      </c>
      <c r="BO348" s="215">
        <f>IF(ISNUMBER(BO320),IFERROR(-BO320/BO187,""),"")</f>
        <v>0.0183901115465782</v>
      </c>
      <c r="BP348" s="215">
        <f>IF(ISNUMBER(BP320),IFERROR(-BP320/BP187,""),"")</f>
        <v>0.0130699970955562</v>
      </c>
      <c r="BQ348" s="215">
        <f>IF(ISNUMBER(BQ320),IFERROR(-BQ320/BQ187,""),"")</f>
        <v>0.0132488479262673</v>
      </c>
      <c r="BR348" s="215">
        <f>IF(ISNUMBER(BR320),IFERROR(-BR320/BR187,""),"")</f>
        <v>0.0143498417837957</v>
      </c>
      <c r="BS348" s="215">
        <f>IF(ISNUMBER(BS320),IFERROR(-BS320/BS187,""),"")</f>
        <v>0.00726392251815981</v>
      </c>
      <c r="BT348" s="215">
        <f>IF(ISNUMBER(BT320),IFERROR(-BT320/BT187,""),"")</f>
        <v>0.010331702011963</v>
      </c>
      <c r="BU348" s="24" t="n"/>
      <c r="BV348" s="24" t="n"/>
      <c r="BW348" s="256">
        <f>IF(ISNUMBER(BW320),IFERROR(-BW320/BW187,""),"")</f>
        <v>0.0137678077127396</v>
      </c>
      <c r="BX348" s="264" t="n">
        <v>0.014</v>
      </c>
      <c r="BY348" s="264" t="n">
        <v>0.014</v>
      </c>
      <c r="BZ348" s="264" t="n">
        <v>0.014</v>
      </c>
      <c r="CA348" s="264" t="n">
        <v>0.014</v>
      </c>
      <c r="CB348" s="264" t="n">
        <v>0.014</v>
      </c>
      <c r="CC348" s="153" t="inlineStr">
        <is>
          <t>2027E+ input: FY2023–25 1.3–1.5% of revenue; FY26 guidance ~$200m (~1.4%).</t>
        </is>
      </c>
      <c r="CE348" s="37">
        <f>IFERROR(AVERAGE(BX348,BY348,BZ348,CA348,CB348),"n/m")</f>
        <v>0.014</v>
      </c>
      <c r="CF348" s="37">
        <f>IFERROR(AVERAGE(AX348,BC348,BH348,BM348,BR348),"n/m")</f>
        <v>0.00933967794757406</v>
      </c>
      <c r="CG348" s="37">
        <f>IFERROR(AVERAGE(Y348,AD348,AI348,AN348,AS348,AX348,BC348,BH348,BM348,BR348),"n/m")</f>
        <v>0.0132735745465577</v>
      </c>
      <c r="CH348" s="37">
        <f>IFERROR(AVERAGE(C348,D348,E348,J348,O348,T348,Y348,AD348,AI348,AN348,AS348,AX348,BC348,BH348,BM348,BR348),"n/m")</f>
        <v>0.0159221397739316</v>
      </c>
    </row>
    <row r="349" ht="15" customHeight="1" s="251">
      <c r="B349" s="25" t="inlineStr">
        <is>
          <t xml:space="preserve">  Capex / depreciation (x)</t>
        </is>
      </c>
      <c r="C349" s="286">
        <f>IF(ISNUMBER(C320),IFERROR(-C320/C168,""),"")</f>
      </c>
      <c r="D349" s="286">
        <f>IF(ISNUMBER(D320),IFERROR(-D320/D168,""),"")</f>
      </c>
      <c r="E349" s="286">
        <f>IF(ISNUMBER(E320),IFERROR(-E320/E168,""),"")</f>
        <v>1.31081081081081</v>
      </c>
      <c r="F349" s="286">
        <f>IF(ISNUMBER(F320),IFERROR(-F320/F168,""),"")</f>
        <v>0.956521739130435</v>
      </c>
      <c r="G349" s="286">
        <f>IF(ISNUMBER(G320),IFERROR(-G320/G168,""),"")</f>
        <v>0.954545454545455</v>
      </c>
      <c r="H349" s="286">
        <f>IF(ISNUMBER(H320),IFERROR(-H320/H168,""),"")</f>
        <v>0.6</v>
      </c>
      <c r="I349" s="286">
        <f>IF(ISNUMBER(I320),IFERROR(-I320/I168,""),"")</f>
        <v>2.95238095238095</v>
      </c>
      <c r="J349" s="286">
        <f>IF(ISNUMBER(J320),IFERROR(-J320/J168,""),"")</f>
        <v>1.36046511627907</v>
      </c>
      <c r="K349" s="286">
        <f>IF(ISNUMBER(K320),IFERROR(-K320/K168,""),"")</f>
        <v>0.952380952380952</v>
      </c>
      <c r="L349" s="286">
        <f>IF(ISNUMBER(L320),IFERROR(-L320/L168,""),"")</f>
        <v>0.772727272727273</v>
      </c>
      <c r="M349" s="286">
        <f>IF(ISNUMBER(M320),IFERROR(-M320/M168,""),"")</f>
        <v>0.714285714285714</v>
      </c>
      <c r="N349" s="286">
        <f>IF(ISNUMBER(N320),IFERROR(-N320/N168,""),"")</f>
        <v>1.81818181818182</v>
      </c>
      <c r="O349" s="286">
        <f>IF(ISNUMBER(O320),IFERROR(-O320/O168,""),"")</f>
        <v>1.06976744186047</v>
      </c>
      <c r="P349" s="286">
        <f>IF(ISNUMBER(P320),IFERROR(-P320/P168,""),"")</f>
        <v>0.727272727272727</v>
      </c>
      <c r="Q349" s="286">
        <f>IF(ISNUMBER(Q320),IFERROR(-Q320/Q168,""),"")</f>
        <v>1.18181818181818</v>
      </c>
      <c r="R349" s="286">
        <f>IF(ISNUMBER(R320),IFERROR(-R320/R168,""),"")</f>
        <v>1.6</v>
      </c>
      <c r="S349" s="286">
        <f>IF(ISNUMBER(S320),IFERROR(-S320/S168,""),"")</f>
        <v>2.5</v>
      </c>
      <c r="T349" s="286">
        <f>IF(ISNUMBER(T320),IFERROR(-T320/T168,""),"")</f>
        <v>1.54444444444444</v>
      </c>
      <c r="U349" s="286">
        <f>IF(ISNUMBER(U320),IFERROR(-U320/U168,""),"")</f>
        <v>0.888888888888889</v>
      </c>
      <c r="V349" s="286">
        <f>IF(ISNUMBER(V320),IFERROR(-V320/V168,""),"")</f>
        <v>0.909090909090909</v>
      </c>
      <c r="W349" s="286">
        <f>IF(ISNUMBER(W320),IFERROR(-W320/W168,""),"")</f>
        <v>1.40909090909091</v>
      </c>
      <c r="X349" s="286">
        <f>IF(ISNUMBER(X320),IFERROR(-X320/X168,""),"")</f>
        <v>2.18181818181818</v>
      </c>
      <c r="Y349" s="286">
        <f>IF(ISNUMBER(Y320),IFERROR(-Y320/Y168,""),"")</f>
        <v>1.35294117647059</v>
      </c>
      <c r="Z349" s="286">
        <f>IF(ISNUMBER(Z320),IFERROR(-Z320/Z168,""),"")</f>
        <v>1.21052631578947</v>
      </c>
      <c r="AA349" s="286">
        <f>IF(ISNUMBER(AA320),IFERROR(-AA320/AA168,""),"")</f>
        <v>1.65</v>
      </c>
      <c r="AB349" s="286">
        <f>IF(ISNUMBER(AB320),IFERROR(-AB320/AB168,""),"")</f>
        <v>0.954545454545455</v>
      </c>
      <c r="AC349" s="286">
        <f>IF(ISNUMBER(AC320),IFERROR(-AC320/AC168,""),"")</f>
        <v>2.19047619047619</v>
      </c>
      <c r="AD349" s="286">
        <f>IF(ISNUMBER(AD320),IFERROR(-AD320/AD168,""),"")</f>
        <v>1.5</v>
      </c>
      <c r="AE349" s="286">
        <f>IF(ISNUMBER(AE320),IFERROR(-AE320/AE168,""),"")</f>
        <v>1.57142857142857</v>
      </c>
      <c r="AF349" s="286">
        <f>IF(ISNUMBER(AF320),IFERROR(-AF320/AF168,""),"")</f>
        <v>1.42105263157895</v>
      </c>
      <c r="AG349" s="286">
        <f>IF(ISNUMBER(AG320),IFERROR(-AG320/AG168,""),"")</f>
        <v>1.4</v>
      </c>
      <c r="AH349" s="286">
        <f>IF(ISNUMBER(AH320),IFERROR(-AH320/AH168,""),"")</f>
        <v>1.04166666666667</v>
      </c>
      <c r="AI349" s="286">
        <f>IF(ISNUMBER(AI320),IFERROR(-AI320/AI168,""),"")</f>
        <v>1.3452380952381</v>
      </c>
      <c r="AJ349" s="286">
        <f>IF(ISNUMBER(AJ320),IFERROR(-AJ320/AJ168,""),"")</f>
        <v>1</v>
      </c>
      <c r="AK349" s="286">
        <f>IF(ISNUMBER(AK320),IFERROR(-AK320/AK168,""),"")</f>
        <v>1.23809523809524</v>
      </c>
      <c r="AL349" s="286">
        <f>IF(ISNUMBER(AL320),IFERROR(-AL320/AL168,""),"")</f>
        <v>1.55</v>
      </c>
      <c r="AM349" s="286">
        <f>IF(ISNUMBER(AM320),IFERROR(-AM320/AM168,""),"")</f>
        <v>1.80952380952381</v>
      </c>
      <c r="AN349" s="286">
        <f>IF(ISNUMBER(AN320),IFERROR(-AN320/AN168,""),"")</f>
        <v>1.40243902439024</v>
      </c>
      <c r="AO349" s="286">
        <f>IF(ISNUMBER(AO320),IFERROR(-AO320/AO168,""),"")</f>
        <v>0.55</v>
      </c>
      <c r="AP349" s="286">
        <f>IF(ISNUMBER(AP320),IFERROR(-AP320/AP168,""),"")</f>
        <v>0.368421052631579</v>
      </c>
      <c r="AQ349" s="286">
        <f>IF(ISNUMBER(AQ320),IFERROR(-AQ320/AQ168,""),"")</f>
        <v>1.25</v>
      </c>
      <c r="AR349" s="286">
        <f>IF(ISNUMBER(AR320),IFERROR(-AR320/AR168,""),"")</f>
        <v>1.43478260869565</v>
      </c>
      <c r="AS349" s="286">
        <f>IF(ISNUMBER(AS320),IFERROR(-AS320/AS168,""),"")</f>
        <v>0.91566265060241</v>
      </c>
      <c r="AT349" s="286">
        <f>IF(ISNUMBER(AT320),IFERROR(-AT320/AT168,""),"")</f>
        <v>0.947368421052632</v>
      </c>
      <c r="AU349" s="286">
        <f>IF(ISNUMBER(AU320),IFERROR(-AU320/AU168,""),"")</f>
        <v>0.304347826086957</v>
      </c>
      <c r="AV349" s="286">
        <f>IF(ISNUMBER(AV320),IFERROR(-AV320/AV168,""),"")</f>
        <v>0.4</v>
      </c>
      <c r="AW349" s="286">
        <f>IF(ISNUMBER(AW320),IFERROR(-AW320/AW168,""),"")</f>
        <v>0.105263157894737</v>
      </c>
      <c r="AX349" s="286">
        <f>IF(ISNUMBER(AX320),IFERROR(-AX320/AX168,""),"")</f>
        <v>0.426829268292683</v>
      </c>
      <c r="AY349" s="286">
        <f>IF(ISNUMBER(AY320),IFERROR(-AY320/AY168,""),"")</f>
        <v>0.615384615384615</v>
      </c>
      <c r="AZ349" s="286">
        <f>IF(ISNUMBER(AZ320),IFERROR(-AZ320/AZ168,""),"")</f>
        <v>0.666666666666667</v>
      </c>
      <c r="BA349" s="286">
        <f>IF(ISNUMBER(BA320),IFERROR(-BA320/BA168,""),"")</f>
        <v>0.67741935483871</v>
      </c>
      <c r="BB349" s="286">
        <f>IF(ISNUMBER(BB320),IFERROR(-BB320/BB168,""),"")</f>
        <v>1.86666666666667</v>
      </c>
      <c r="BC349" s="286">
        <f>IF(ISNUMBER(BC320),IFERROR(-BC320/BC168,""),"")</f>
        <v>0.824074074074074</v>
      </c>
      <c r="BD349" s="286">
        <f>IF(ISNUMBER(BD320),IFERROR(-BD320/BD168,""),"")</f>
        <v>1.12</v>
      </c>
      <c r="BE349" s="286">
        <f>IF(ISNUMBER(BE320),IFERROR(-BE320/BE168,""),"")</f>
        <v>1.29166666666667</v>
      </c>
      <c r="BF349" s="286">
        <f>IF(ISNUMBER(BF320),IFERROR(-BF320/BF168,""),"")</f>
        <v>1.63636363636364</v>
      </c>
      <c r="BG349" s="286">
        <f>IF(ISNUMBER(BG320),IFERROR(-BG320/BG168,""),"")</f>
        <v>1.6</v>
      </c>
      <c r="BH349" s="286">
        <f>IF(ISNUMBER(BH320),IFERROR(-BH320/BH168,""),"")</f>
        <v>1.41584158415842</v>
      </c>
      <c r="BI349" s="286">
        <f>IF(ISNUMBER(BI320),IFERROR(-BI320/BI168,""),"")</f>
        <v>1.04347826086957</v>
      </c>
      <c r="BJ349" s="286">
        <f>IF(ISNUMBER(BJ320),IFERROR(-BJ320/BJ168,""),"")</f>
        <v>1.28</v>
      </c>
      <c r="BK349" s="286">
        <f>IF(ISNUMBER(BK320),IFERROR(-BK320/BK168,""),"")</f>
        <v>1.59090909090909</v>
      </c>
      <c r="BL349" s="286">
        <f>IF(ISNUMBER(BL320),IFERROR(-BL320/BL168,""),"")</f>
        <v>1.26923076923077</v>
      </c>
      <c r="BM349" s="286">
        <f>IF(ISNUMBER(BM320),IFERROR(-BM320/BM168,""),"")</f>
        <v>1.29166666666667</v>
      </c>
      <c r="BN349" s="286">
        <f>IF(ISNUMBER(BN320),IFERROR(-BN320/BN168,""),"")</f>
        <v>2.04761904761905</v>
      </c>
      <c r="BO349" s="286">
        <f>IF(ISNUMBER(BO320),IFERROR(-BO320/BO168,""),"")</f>
        <v>2.77272727272727</v>
      </c>
      <c r="BP349" s="286">
        <f>IF(ISNUMBER(BP320),IFERROR(-BP320/BP168,""),"")</f>
        <v>1.8</v>
      </c>
      <c r="BQ349" s="286">
        <f>IF(ISNUMBER(BQ320),IFERROR(-BQ320/BQ168,""),"")</f>
        <v>1.64285714285714</v>
      </c>
      <c r="BR349" s="286">
        <f>IF(ISNUMBER(BR320),IFERROR(-BR320/BR168,""),"")</f>
        <v>2.03125</v>
      </c>
      <c r="BS349" s="286">
        <f>IF(ISNUMBER(BS320),IFERROR(-BS320/BS168,""),"")</f>
        <v>1</v>
      </c>
      <c r="BT349" s="286">
        <f>IF(ISNUMBER(BT320),IFERROR(-BT320/BT168,""),"")</f>
        <v>1.31034482758621</v>
      </c>
      <c r="BU349" s="35" t="n"/>
      <c r="BV349" s="35" t="n"/>
      <c r="BW349" s="287">
        <f>IF(ISNUMBER(BW320),IFERROR(-BW320/BW168,""),"")</f>
        <v>1.75438596491228</v>
      </c>
      <c r="BX349" s="287">
        <f>IF(ISNUMBER(BX320),IFERROR(-BX320/BX168,""),"")</f>
        <v>1.75</v>
      </c>
      <c r="BY349" s="287">
        <f>IF(ISNUMBER(BY320),IFERROR(-BY320/BY168,""),"")</f>
        <v>1.75</v>
      </c>
      <c r="BZ349" s="287">
        <f>IF(ISNUMBER(BZ320),IFERROR(-BZ320/BZ168,""),"")</f>
        <v>1.75</v>
      </c>
      <c r="CA349" s="287">
        <f>IF(ISNUMBER(CA320),IFERROR(-CA320/CA168,""),"")</f>
        <v>1.75</v>
      </c>
      <c r="CB349" s="287">
        <f>IF(ISNUMBER(CB320),IFERROR(-CB320/CB168,""),"")</f>
        <v>1.75</v>
      </c>
      <c r="CC349" s="19" t="n"/>
    </row>
    <row r="350" ht="15" customHeight="1" s="251">
      <c r="CK350" s="11" t="n"/>
      <c r="CL350" s="12" t="n"/>
      <c r="CM350" s="12" t="n"/>
      <c r="CN350" s="12" t="n"/>
      <c r="CO350" s="13" t="n"/>
    </row>
    <row r="351" ht="15" customHeight="1" s="251">
      <c r="B351" s="10" t="inlineStr">
        <is>
          <t>SHARE BUYBACK SCHEDULE</t>
        </is>
      </c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  <c r="AD351" s="10" t="n"/>
      <c r="AE351" s="10" t="n"/>
      <c r="AF351" s="10" t="n"/>
      <c r="AG351" s="10" t="n"/>
      <c r="AH351" s="10" t="n"/>
      <c r="AI351" s="10" t="n"/>
      <c r="AJ351" s="10" t="n"/>
      <c r="AK351" s="10" t="n"/>
      <c r="AL351" s="10" t="n"/>
      <c r="AM351" s="10" t="n"/>
      <c r="AN351" s="10" t="n"/>
      <c r="AO351" s="10" t="n"/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0" t="n"/>
      <c r="BC351" s="10" t="n"/>
      <c r="BD351" s="10" t="n"/>
      <c r="BE351" s="10" t="n"/>
      <c r="BF351" s="10" t="n"/>
      <c r="BG351" s="10" t="n"/>
      <c r="BH351" s="10" t="n"/>
      <c r="BI351" s="10" t="n"/>
      <c r="BJ351" s="10" t="n"/>
      <c r="BK351" s="10" t="n"/>
      <c r="BL351" s="10" t="n"/>
      <c r="BM351" s="10" t="n"/>
      <c r="BN351" s="10" t="n"/>
      <c r="BO351" s="10" t="n"/>
      <c r="BP351" s="10" t="n"/>
      <c r="BQ351" s="10" t="n"/>
      <c r="BR351" s="10" t="n"/>
      <c r="BS351" s="10" t="n"/>
      <c r="BT351" s="10" t="n"/>
      <c r="BU351" s="10" t="n"/>
      <c r="BV351" s="10" t="n"/>
      <c r="BW351" s="10" t="n"/>
      <c r="BX351" s="10" t="n"/>
      <c r="BY351" s="10" t="n"/>
      <c r="BZ351" s="10" t="n"/>
      <c r="CA351" s="10" t="n"/>
      <c r="CB351" s="10" t="n"/>
      <c r="CC351" s="10" t="inlineStr">
        <is>
          <t>SHARES — 2026E = 2H from shares outstanding at 30-Jun-2026; 2027E+ buybacks via the leverage plug</t>
        </is>
      </c>
    </row>
    <row r="352" ht="15" customHeight="1" s="251">
      <c r="B352" s="25" t="inlineStr">
        <is>
          <t xml:space="preserve">  Avg buyback price ($)</t>
        </is>
      </c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4" t="n"/>
      <c r="P352" s="34" t="n"/>
      <c r="Q352" s="34" t="n"/>
      <c r="R352" s="34" t="n"/>
      <c r="S352" s="34" t="n"/>
      <c r="T352" s="34" t="n"/>
      <c r="U352" s="34" t="n"/>
      <c r="V352" s="34" t="n"/>
      <c r="W352" s="34" t="n"/>
      <c r="X352" s="34" t="n"/>
      <c r="Y352" s="34" t="n"/>
      <c r="Z352" s="34" t="n"/>
      <c r="AA352" s="34" t="n"/>
      <c r="AB352" s="34" t="n"/>
      <c r="AC352" s="34" t="n"/>
      <c r="AD352" s="34" t="n"/>
      <c r="AE352" s="34" t="n"/>
      <c r="AF352" s="34" t="n"/>
      <c r="AG352" s="34" t="n"/>
      <c r="AH352" s="34" t="n"/>
      <c r="AI352" s="34" t="n"/>
      <c r="AJ352" s="34" t="n"/>
      <c r="AK352" s="34" t="n"/>
      <c r="AL352" s="34" t="n"/>
      <c r="AM352" s="34" t="n"/>
      <c r="AN352" s="34" t="n"/>
      <c r="AO352" s="34" t="n"/>
      <c r="AP352" s="34" t="n"/>
      <c r="AQ352" s="34" t="n"/>
      <c r="AR352" s="34" t="n"/>
      <c r="AS352" s="34" t="n"/>
      <c r="AT352" s="34" t="n"/>
      <c r="AU352" s="34" t="n"/>
      <c r="AV352" s="34" t="n"/>
      <c r="AW352" s="34" t="n"/>
      <c r="AX352" s="34" t="n"/>
      <c r="AY352" s="34" t="n"/>
      <c r="AZ352" s="34" t="n"/>
      <c r="BA352" s="34" t="n"/>
      <c r="BB352" s="34" t="n"/>
      <c r="BC352" s="34" t="n"/>
      <c r="BD352" s="34" t="n"/>
      <c r="BE352" s="34" t="n"/>
      <c r="BF352" s="34" t="n"/>
      <c r="BG352" s="34" t="n"/>
      <c r="BH352" s="34" t="n"/>
      <c r="BI352" s="34" t="n"/>
      <c r="BJ352" s="34" t="n"/>
      <c r="BK352" s="34" t="n"/>
      <c r="BL352" s="34" t="n"/>
      <c r="BM352" s="34" t="n"/>
      <c r="BN352" s="34" t="n"/>
      <c r="BO352" s="34" t="n"/>
      <c r="BP352" s="34" t="n"/>
      <c r="BQ352" s="34" t="n"/>
      <c r="BR352" s="34" t="n"/>
      <c r="BS352" s="34" t="n"/>
      <c r="BT352" s="34" t="n"/>
      <c r="BU352" s="35" t="n"/>
      <c r="BV352" s="35" t="n"/>
      <c r="BW352" s="288">
        <f>BW488</f>
        <v>415</v>
      </c>
      <c r="BX352" s="288">
        <f>BW352*(1+BX431)</f>
        <v>448.2</v>
      </c>
      <c r="BY352" s="288">
        <f>BX352*(1+BY431)</f>
        <v>484.056</v>
      </c>
      <c r="BZ352" s="288">
        <f>BY352*(1+BZ431)</f>
        <v>522.78048</v>
      </c>
      <c r="CA352" s="288">
        <f>BZ352*(1+CA431)</f>
        <v>564.6029184</v>
      </c>
      <c r="CB352" s="288">
        <f>CA352*(1+CB431)</f>
        <v>609.771151872</v>
      </c>
      <c r="CC352" s="19" t="n"/>
    </row>
    <row r="353" ht="15" customHeight="1" s="251">
      <c r="B353" s="25" t="inlineStr">
        <is>
          <t xml:space="preserve">  Buyback cash deployed (USDm; 2026E = 2H)</t>
        </is>
      </c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4" t="n"/>
      <c r="P353" s="34" t="n"/>
      <c r="Q353" s="34" t="n"/>
      <c r="R353" s="34" t="n"/>
      <c r="S353" s="34" t="n"/>
      <c r="T353" s="34" t="n"/>
      <c r="U353" s="34" t="n"/>
      <c r="V353" s="34" t="n"/>
      <c r="W353" s="34" t="n"/>
      <c r="X353" s="34" t="n"/>
      <c r="Y353" s="34" t="n"/>
      <c r="Z353" s="34" t="n"/>
      <c r="AA353" s="34" t="n"/>
      <c r="AB353" s="34" t="n"/>
      <c r="AC353" s="34" t="n"/>
      <c r="AD353" s="34" t="n"/>
      <c r="AE353" s="34" t="n"/>
      <c r="AF353" s="34" t="n"/>
      <c r="AG353" s="34" t="n"/>
      <c r="AH353" s="34" t="n"/>
      <c r="AI353" s="34" t="n"/>
      <c r="AJ353" s="34" t="n"/>
      <c r="AK353" s="34" t="n"/>
      <c r="AL353" s="34" t="n"/>
      <c r="AM353" s="34" t="n"/>
      <c r="AN353" s="34" t="n"/>
      <c r="AO353" s="34" t="n"/>
      <c r="AP353" s="34" t="n"/>
      <c r="AQ353" s="34" t="n"/>
      <c r="AR353" s="34" t="n"/>
      <c r="AS353" s="34" t="n"/>
      <c r="AT353" s="34" t="n"/>
      <c r="AU353" s="34" t="n"/>
      <c r="AV353" s="34" t="n"/>
      <c r="AW353" s="34" t="n"/>
      <c r="AX353" s="34" t="n"/>
      <c r="AY353" s="34" t="n"/>
      <c r="AZ353" s="34" t="n"/>
      <c r="BA353" s="34" t="n"/>
      <c r="BB353" s="34" t="n"/>
      <c r="BC353" s="34" t="n"/>
      <c r="BD353" s="34" t="n"/>
      <c r="BE353" s="34" t="n"/>
      <c r="BF353" s="34" t="n"/>
      <c r="BG353" s="34" t="n"/>
      <c r="BH353" s="34" t="n"/>
      <c r="BI353" s="34" t="n"/>
      <c r="BJ353" s="34" t="n"/>
      <c r="BK353" s="34" t="n"/>
      <c r="BL353" s="34" t="n"/>
      <c r="BM353" s="34" t="n"/>
      <c r="BN353" s="34" t="n"/>
      <c r="BO353" s="34" t="n"/>
      <c r="BP353" s="34" t="n"/>
      <c r="BQ353" s="34" t="n"/>
      <c r="BR353" s="34" t="n"/>
      <c r="BS353" s="34" t="n"/>
      <c r="BT353" s="34" t="n"/>
      <c r="BU353" s="35" t="n"/>
      <c r="BV353" s="35" t="n"/>
      <c r="BW353" s="254">
        <f>CHOOSE(MATCH($CC$2,{"Bull","Base","Bear"},0),$CL$17,$CM$17,$CN$17)</f>
        <v>5750</v>
      </c>
      <c r="BX353" s="254">
        <f>-BX325</f>
        <v>4348.87689054758</v>
      </c>
      <c r="BY353" s="254">
        <f>-BY325</f>
        <v>5682.16159477026</v>
      </c>
      <c r="BZ353" s="254">
        <f>-BZ325</f>
        <v>6067.05029778714</v>
      </c>
      <c r="CA353" s="254">
        <f>-CA325</f>
        <v>6537.93562135185</v>
      </c>
      <c r="CB353" s="254">
        <f>-CB325</f>
        <v>7022.06851843828</v>
      </c>
      <c r="CC353" s="19" t="n"/>
    </row>
    <row r="354" ht="15" customHeight="1" s="251">
      <c r="B354" s="25" t="inlineStr">
        <is>
          <t xml:space="preserve">  Implied shares repurchased (m)</t>
        </is>
      </c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34" t="n"/>
      <c r="L354" s="34" t="n"/>
      <c r="M354" s="34" t="n"/>
      <c r="N354" s="34" t="n"/>
      <c r="O354" s="34" t="n"/>
      <c r="P354" s="34" t="n"/>
      <c r="Q354" s="34" t="n"/>
      <c r="R354" s="34" t="n"/>
      <c r="S354" s="34" t="n"/>
      <c r="T354" s="34" t="n"/>
      <c r="U354" s="34" t="n"/>
      <c r="V354" s="34" t="n"/>
      <c r="W354" s="34" t="n"/>
      <c r="X354" s="34" t="n"/>
      <c r="Y354" s="34" t="n"/>
      <c r="Z354" s="34" t="n"/>
      <c r="AA354" s="34" t="n"/>
      <c r="AB354" s="34" t="n"/>
      <c r="AC354" s="34" t="n"/>
      <c r="AD354" s="34" t="n"/>
      <c r="AE354" s="34" t="n"/>
      <c r="AF354" s="34" t="n"/>
      <c r="AG354" s="34" t="n"/>
      <c r="AH354" s="34" t="n"/>
      <c r="AI354" s="34" t="n"/>
      <c r="AJ354" s="34" t="n"/>
      <c r="AK354" s="34" t="n"/>
      <c r="AL354" s="34" t="n"/>
      <c r="AM354" s="34" t="n"/>
      <c r="AN354" s="34" t="n"/>
      <c r="AO354" s="34" t="n"/>
      <c r="AP354" s="34" t="n"/>
      <c r="AQ354" s="34" t="n"/>
      <c r="AR354" s="34" t="n"/>
      <c r="AS354" s="34" t="n"/>
      <c r="AT354" s="34" t="n"/>
      <c r="AU354" s="34" t="n"/>
      <c r="AV354" s="34" t="n"/>
      <c r="AW354" s="34" t="n"/>
      <c r="AX354" s="34" t="n"/>
      <c r="AY354" s="34" t="n"/>
      <c r="AZ354" s="34" t="n"/>
      <c r="BA354" s="34" t="n"/>
      <c r="BB354" s="34" t="n"/>
      <c r="BC354" s="34" t="n"/>
      <c r="BD354" s="34" t="n"/>
      <c r="BE354" s="34" t="n"/>
      <c r="BF354" s="34" t="n"/>
      <c r="BG354" s="34" t="n"/>
      <c r="BH354" s="34" t="n"/>
      <c r="BI354" s="34" t="n"/>
      <c r="BJ354" s="34" t="n"/>
      <c r="BK354" s="34" t="n"/>
      <c r="BL354" s="34" t="n"/>
      <c r="BM354" s="34" t="n"/>
      <c r="BN354" s="34" t="n"/>
      <c r="BO354" s="34" t="n"/>
      <c r="BP354" s="34" t="n"/>
      <c r="BQ354" s="34" t="n"/>
      <c r="BR354" s="34" t="n"/>
      <c r="BS354" s="34" t="n"/>
      <c r="BT354" s="34" t="n"/>
      <c r="BU354" s="35" t="n"/>
      <c r="BV354" s="35" t="n"/>
      <c r="BW354" s="288">
        <f>IFERROR(BW353/BW352,0)</f>
        <v>13.855421686747</v>
      </c>
      <c r="BX354" s="288">
        <f>IFERROR(BX353/BX352,0)</f>
        <v>9.70298279907982</v>
      </c>
      <c r="BY354" s="288">
        <f>IFERROR(BY353/BY352,0)</f>
        <v>11.7386451046372</v>
      </c>
      <c r="BZ354" s="288">
        <f>IFERROR(BZ353/BZ352,0)</f>
        <v>11.6053497211433</v>
      </c>
      <c r="CA354" s="288">
        <f>IFERROR(CA353/CA352,0)</f>
        <v>11.5797056803733</v>
      </c>
      <c r="CB354" s="288">
        <f>IFERROR(CB353/CB352,0)</f>
        <v>11.5159080531778</v>
      </c>
      <c r="CC354" s="19" t="n"/>
    </row>
    <row r="355" ht="15" customHeight="1" s="251">
      <c r="B355" s="25" t="inlineStr">
        <is>
          <t xml:space="preserve">  Shares issued under employee plans (m)</t>
        </is>
      </c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  <c r="AP355" s="36" t="n"/>
      <c r="AQ355" s="36" t="n"/>
      <c r="AR355" s="36" t="n"/>
      <c r="AS355" s="36" t="n"/>
      <c r="AT355" s="36" t="n"/>
      <c r="AU355" s="36" t="n"/>
      <c r="AV355" s="36" t="n"/>
      <c r="AW355" s="36" t="n"/>
      <c r="AX355" s="36" t="n"/>
      <c r="AY355" s="36" t="n"/>
      <c r="AZ355" s="36" t="n"/>
      <c r="BA355" s="36" t="n"/>
      <c r="BB355" s="36" t="n"/>
      <c r="BC355" s="36" t="n"/>
      <c r="BD355" s="36" t="n"/>
      <c r="BE355" s="36" t="n"/>
      <c r="BF355" s="36" t="n"/>
      <c r="BG355" s="36" t="n"/>
      <c r="BH355" s="36" t="n"/>
      <c r="BI355" s="36" t="n"/>
      <c r="BJ355" s="36" t="n"/>
      <c r="BK355" s="36" t="n"/>
      <c r="BL355" s="36" t="n"/>
      <c r="BM355" s="36" t="n"/>
      <c r="BN355" s="36" t="n"/>
      <c r="BO355" s="36" t="n"/>
      <c r="BP355" s="36" t="n"/>
      <c r="BQ355" s="36" t="n"/>
      <c r="BR355" s="36" t="n"/>
      <c r="BS355" s="36" t="n"/>
      <c r="BT355" s="36" t="n"/>
      <c r="BU355" s="24" t="n"/>
      <c r="BV355" s="24" t="n"/>
      <c r="BW355" s="289" t="n">
        <v>0.5</v>
      </c>
      <c r="BX355" s="289" t="n">
        <v>1</v>
      </c>
      <c r="BY355" s="289" t="n">
        <v>1</v>
      </c>
      <c r="BZ355" s="289" t="n">
        <v>1</v>
      </c>
      <c r="CA355" s="289" t="n">
        <v>1</v>
      </c>
      <c r="CB355" s="289" t="n">
        <v>1</v>
      </c>
      <c r="CC355" s="19" t="n"/>
    </row>
    <row r="356" ht="15" customHeight="1" s="251">
      <c r="B356" s="25" t="inlineStr">
        <is>
          <t xml:space="preserve">  Beginning shares outstanding (m)</t>
        </is>
      </c>
      <c r="C356" s="34" t="n"/>
      <c r="D356" s="34" t="n"/>
      <c r="E356" s="34" t="n"/>
      <c r="F356" s="34" t="n"/>
      <c r="G356" s="34" t="n"/>
      <c r="H356" s="34" t="n"/>
      <c r="I356" s="34" t="n"/>
      <c r="J356" s="34" t="n"/>
      <c r="K356" s="34" t="n"/>
      <c r="L356" s="34" t="n"/>
      <c r="M356" s="34" t="n"/>
      <c r="N356" s="34" t="n"/>
      <c r="O356" s="34" t="n"/>
      <c r="P356" s="34" t="n"/>
      <c r="Q356" s="34" t="n"/>
      <c r="R356" s="34" t="n"/>
      <c r="S356" s="34" t="n"/>
      <c r="T356" s="34" t="n"/>
      <c r="U356" s="34" t="n"/>
      <c r="V356" s="34" t="n"/>
      <c r="W356" s="34" t="n"/>
      <c r="X356" s="34" t="n"/>
      <c r="Y356" s="34" t="n"/>
      <c r="Z356" s="34" t="n"/>
      <c r="AA356" s="34" t="n"/>
      <c r="AB356" s="34" t="n"/>
      <c r="AC356" s="34" t="n"/>
      <c r="AD356" s="34" t="n"/>
      <c r="AE356" s="34" t="n"/>
      <c r="AF356" s="34" t="n"/>
      <c r="AG356" s="34" t="n"/>
      <c r="AH356" s="34" t="n"/>
      <c r="AI356" s="34" t="n"/>
      <c r="AJ356" s="34" t="n"/>
      <c r="AK356" s="34" t="n"/>
      <c r="AL356" s="34" t="n"/>
      <c r="AM356" s="34" t="n"/>
      <c r="AN356" s="34" t="n"/>
      <c r="AO356" s="34" t="n"/>
      <c r="AP356" s="34" t="n"/>
      <c r="AQ356" s="34" t="n"/>
      <c r="AR356" s="34" t="n"/>
      <c r="AS356" s="34" t="n"/>
      <c r="AT356" s="34" t="n"/>
      <c r="AU356" s="34" t="n"/>
      <c r="AV356" s="34" t="n"/>
      <c r="AW356" s="34" t="n"/>
      <c r="AX356" s="34" t="n"/>
      <c r="AY356" s="34" t="n"/>
      <c r="AZ356" s="34" t="n"/>
      <c r="BA356" s="34" t="n"/>
      <c r="BB356" s="34" t="n"/>
      <c r="BC356" s="34" t="n"/>
      <c r="BD356" s="34" t="n"/>
      <c r="BE356" s="34" t="n"/>
      <c r="BF356" s="34" t="n"/>
      <c r="BG356" s="34" t="n"/>
      <c r="BH356" s="34" t="n"/>
      <c r="BI356" s="34" t="n"/>
      <c r="BJ356" s="34" t="n"/>
      <c r="BK356" s="34" t="n"/>
      <c r="BL356" s="34" t="n"/>
      <c r="BM356" s="34" t="n"/>
      <c r="BN356" s="34" t="n"/>
      <c r="BO356" s="34" t="n"/>
      <c r="BP356" s="34" t="n"/>
      <c r="BQ356" s="34" t="n"/>
      <c r="BR356" s="34" t="n"/>
      <c r="BS356" s="34" t="n"/>
      <c r="BT356" s="34" t="n"/>
      <c r="BU356" s="35" t="n"/>
      <c r="BV356" s="35" t="n"/>
      <c r="BW356" s="279">
        <f>BT396</f>
        <v>294.8</v>
      </c>
      <c r="BX356" s="279">
        <f>BW357</f>
        <v>281.444578313253</v>
      </c>
      <c r="BY356" s="279">
        <f>BX357</f>
        <v>272.741595514173</v>
      </c>
      <c r="BZ356" s="279">
        <f>BY357</f>
        <v>262.002950409536</v>
      </c>
      <c r="CA356" s="279">
        <f>BZ357</f>
        <v>251.397600688393</v>
      </c>
      <c r="CB356" s="279">
        <f>CA357</f>
        <v>240.817895008019</v>
      </c>
      <c r="CC356" s="19" t="inlineStr">
        <is>
          <t>2026E begins from actual shares outstanding at 30-Jun-2026 (294.8m, Q2-26 release).</t>
        </is>
      </c>
    </row>
    <row r="357" ht="15" customHeight="1" s="251">
      <c r="B357" s="25" t="inlineStr">
        <is>
          <t xml:space="preserve">  Ending shares outstanding (m)</t>
        </is>
      </c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4" t="n"/>
      <c r="L357" s="34" t="n"/>
      <c r="M357" s="34" t="n"/>
      <c r="N357" s="34" t="n"/>
      <c r="O357" s="34" t="n"/>
      <c r="P357" s="34" t="n"/>
      <c r="Q357" s="34" t="n"/>
      <c r="R357" s="34" t="n"/>
      <c r="S357" s="34" t="n"/>
      <c r="T357" s="34" t="n"/>
      <c r="U357" s="34" t="n"/>
      <c r="V357" s="34" t="n"/>
      <c r="W357" s="34" t="n"/>
      <c r="X357" s="34" t="n"/>
      <c r="Y357" s="34" t="n"/>
      <c r="Z357" s="34" t="n"/>
      <c r="AA357" s="34" t="n"/>
      <c r="AB357" s="34" t="n"/>
      <c r="AC357" s="34" t="n"/>
      <c r="AD357" s="34" t="n"/>
      <c r="AE357" s="34" t="n"/>
      <c r="AF357" s="34" t="n"/>
      <c r="AG357" s="34" t="n"/>
      <c r="AH357" s="34" t="n"/>
      <c r="AI357" s="34" t="n"/>
      <c r="AJ357" s="34" t="n"/>
      <c r="AK357" s="34" t="n"/>
      <c r="AL357" s="34" t="n"/>
      <c r="AM357" s="34" t="n"/>
      <c r="AN357" s="34" t="n"/>
      <c r="AO357" s="34" t="n"/>
      <c r="AP357" s="34" t="n"/>
      <c r="AQ357" s="34" t="n"/>
      <c r="AR357" s="34" t="n"/>
      <c r="AS357" s="34" t="n"/>
      <c r="AT357" s="34" t="n"/>
      <c r="AU357" s="34" t="n"/>
      <c r="AV357" s="34" t="n"/>
      <c r="AW357" s="34" t="n"/>
      <c r="AX357" s="34" t="n"/>
      <c r="AY357" s="34" t="n"/>
      <c r="AZ357" s="34" t="n"/>
      <c r="BA357" s="34" t="n"/>
      <c r="BB357" s="34" t="n"/>
      <c r="BC357" s="34" t="n"/>
      <c r="BD357" s="34" t="n"/>
      <c r="BE357" s="34" t="n"/>
      <c r="BF357" s="34" t="n"/>
      <c r="BG357" s="34" t="n"/>
      <c r="BH357" s="34" t="n"/>
      <c r="BI357" s="34" t="n"/>
      <c r="BJ357" s="34" t="n"/>
      <c r="BK357" s="34" t="n"/>
      <c r="BL357" s="34" t="n"/>
      <c r="BM357" s="34" t="n"/>
      <c r="BN357" s="34" t="n"/>
      <c r="BO357" s="34" t="n"/>
      <c r="BP357" s="34" t="n"/>
      <c r="BQ357" s="34" t="n"/>
      <c r="BR357" s="34" t="n"/>
      <c r="BS357" s="34" t="n"/>
      <c r="BT357" s="34" t="n"/>
      <c r="BU357" s="35" t="n"/>
      <c r="BV357" s="35" t="n"/>
      <c r="BW357" s="279">
        <f>BW356-BW354+BW355</f>
        <v>281.444578313253</v>
      </c>
      <c r="BX357" s="279">
        <f>BX356-BX354+BX355</f>
        <v>272.741595514173</v>
      </c>
      <c r="BY357" s="279">
        <f>BY356-BY354+BY355</f>
        <v>262.002950409536</v>
      </c>
      <c r="BZ357" s="279">
        <f>BZ356-BZ354+BZ355</f>
        <v>251.397600688393</v>
      </c>
      <c r="CA357" s="279">
        <f>CA356-CA354+CA355</f>
        <v>240.817895008019</v>
      </c>
      <c r="CB357" s="279">
        <f>CB356-CB354+CB355</f>
        <v>230.301986954842</v>
      </c>
      <c r="CC357" s="19" t="n"/>
    </row>
    <row r="358" ht="15" customHeight="1" s="251">
      <c r="B358" s="25" t="inlineStr">
        <is>
          <t xml:space="preserve">  % of shares repurchased</t>
        </is>
      </c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  <c r="AP358" s="36" t="n"/>
      <c r="AQ358" s="36" t="n"/>
      <c r="AR358" s="36" t="n"/>
      <c r="AS358" s="36" t="n"/>
      <c r="AT358" s="36" t="n"/>
      <c r="AU358" s="36" t="n"/>
      <c r="AV358" s="36" t="n"/>
      <c r="AW358" s="36" t="n"/>
      <c r="AX358" s="36" t="n"/>
      <c r="AY358" s="36" t="n"/>
      <c r="AZ358" s="36" t="n"/>
      <c r="BA358" s="36" t="n"/>
      <c r="BB358" s="36" t="n"/>
      <c r="BC358" s="36" t="n"/>
      <c r="BD358" s="36" t="n"/>
      <c r="BE358" s="36" t="n"/>
      <c r="BF358" s="36" t="n"/>
      <c r="BG358" s="36" t="n"/>
      <c r="BH358" s="36" t="n"/>
      <c r="BI358" s="36" t="n"/>
      <c r="BJ358" s="36" t="n"/>
      <c r="BK358" s="36" t="n"/>
      <c r="BL358" s="36" t="n"/>
      <c r="BM358" s="36" t="n"/>
      <c r="BN358" s="36" t="n"/>
      <c r="BO358" s="36" t="n"/>
      <c r="BP358" s="36" t="n"/>
      <c r="BQ358" s="36" t="n"/>
      <c r="BR358" s="36" t="n"/>
      <c r="BS358" s="36" t="n"/>
      <c r="BT358" s="36" t="n"/>
      <c r="BU358" s="24" t="n"/>
      <c r="BV358" s="24" t="n"/>
      <c r="BW358" s="256">
        <f>IF(AND(ISNUMBER(BW354),ISNUMBER(BW356)),IFERROR(BW354/BW356,""),"")</f>
        <v>0.0469993951382191</v>
      </c>
      <c r="BX358" s="256">
        <f>IF(AND(ISNUMBER(BX354),ISNUMBER(BX356)),IFERROR(BX354/BX356,""),"")</f>
        <v>0.0344756429746542</v>
      </c>
      <c r="BY358" s="256">
        <f>IF(AND(ISNUMBER(BY354),ISNUMBER(BY356)),IFERROR(BY354/BY356,""),"")</f>
        <v>0.0430394384197521</v>
      </c>
      <c r="BZ358" s="256">
        <f>IF(AND(ISNUMBER(BZ354),ISNUMBER(BZ356)),IFERROR(BZ354/BZ356,""),"")</f>
        <v>0.0442947291356947</v>
      </c>
      <c r="CA358" s="256">
        <f>IF(AND(ISNUMBER(CA354),ISNUMBER(CA356)),IFERROR(CA354/CA356,""),"")</f>
        <v>0.0460613213835974</v>
      </c>
      <c r="CB358" s="256">
        <f>IF(AND(ISNUMBER(CB354),ISNUMBER(CB356)),IFERROR(CB354/CB356,""),"")</f>
        <v>0.0478199846933897</v>
      </c>
      <c r="CC358" s="153" t="n"/>
    </row>
    <row r="359" ht="15" customHeight="1" s="251">
      <c r="B359" s="156" t="inlineStr">
        <is>
          <t xml:space="preserve">  Memo: cumulative shares repurchased since 2H-26 (m)</t>
        </is>
      </c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4" t="n"/>
      <c r="P359" s="34" t="n"/>
      <c r="Q359" s="34" t="n"/>
      <c r="R359" s="34" t="n"/>
      <c r="S359" s="34" t="n"/>
      <c r="T359" s="34" t="n"/>
      <c r="U359" s="34" t="n"/>
      <c r="V359" s="34" t="n"/>
      <c r="W359" s="34" t="n"/>
      <c r="X359" s="34" t="n"/>
      <c r="Y359" s="34" t="n"/>
      <c r="Z359" s="34" t="n"/>
      <c r="AA359" s="34" t="n"/>
      <c r="AB359" s="34" t="n"/>
      <c r="AC359" s="34" t="n"/>
      <c r="AD359" s="34" t="n"/>
      <c r="AE359" s="34" t="n"/>
      <c r="AF359" s="34" t="n"/>
      <c r="AG359" s="34" t="n"/>
      <c r="AH359" s="34" t="n"/>
      <c r="AI359" s="34" t="n"/>
      <c r="AJ359" s="34" t="n"/>
      <c r="AK359" s="34" t="n"/>
      <c r="AL359" s="34" t="n"/>
      <c r="AM359" s="34" t="n"/>
      <c r="AN359" s="34" t="n"/>
      <c r="AO359" s="34" t="n"/>
      <c r="AP359" s="34" t="n"/>
      <c r="AQ359" s="34" t="n"/>
      <c r="AR359" s="34" t="n"/>
      <c r="AS359" s="34" t="n"/>
      <c r="AT359" s="34" t="n"/>
      <c r="AU359" s="34" t="n"/>
      <c r="AV359" s="34" t="n"/>
      <c r="AW359" s="34" t="n"/>
      <c r="AX359" s="34" t="n"/>
      <c r="AY359" s="34" t="n"/>
      <c r="AZ359" s="34" t="n"/>
      <c r="BA359" s="34" t="n"/>
      <c r="BB359" s="34" t="n"/>
      <c r="BC359" s="34" t="n"/>
      <c r="BD359" s="34" t="n"/>
      <c r="BE359" s="34" t="n"/>
      <c r="BF359" s="34" t="n"/>
      <c r="BG359" s="34" t="n"/>
      <c r="BH359" s="34" t="n"/>
      <c r="BI359" s="34" t="n"/>
      <c r="BJ359" s="34" t="n"/>
      <c r="BK359" s="34" t="n"/>
      <c r="BL359" s="34" t="n"/>
      <c r="BM359" s="34" t="n"/>
      <c r="BN359" s="34" t="n"/>
      <c r="BO359" s="34" t="n"/>
      <c r="BP359" s="34" t="n"/>
      <c r="BQ359" s="34" t="n"/>
      <c r="BR359" s="34" t="n"/>
      <c r="BS359" s="34" t="n"/>
      <c r="BT359" s="34" t="n"/>
      <c r="BU359" s="153" t="n"/>
      <c r="BV359" s="153" t="n"/>
      <c r="BW359" s="290">
        <f>BW354</f>
        <v>13.855421686747</v>
      </c>
      <c r="BX359" s="290">
        <f>BW359+BX354</f>
        <v>23.5584044858268</v>
      </c>
      <c r="BY359" s="290">
        <f>BX359+BY354</f>
        <v>35.297049590464</v>
      </c>
      <c r="BZ359" s="290">
        <f>BY359+BZ354</f>
        <v>46.9023993116073</v>
      </c>
      <c r="CA359" s="290">
        <f>BZ359+CA354</f>
        <v>58.4821049919806</v>
      </c>
      <c r="CB359" s="290">
        <f>CA359+CB354</f>
        <v>69.9980130451584</v>
      </c>
      <c r="CC359" s="153" t="n"/>
    </row>
    <row r="360" ht="15" customHeight="1" s="251">
      <c r="CK360" s="11" t="n"/>
      <c r="CL360" s="12" t="n"/>
      <c r="CM360" s="12" t="n"/>
      <c r="CN360" s="12" t="n"/>
      <c r="CO360" s="13" t="n"/>
    </row>
    <row r="361" ht="15" customHeight="1" s="251">
      <c r="B361" s="10" t="inlineStr">
        <is>
          <t>CONSOLIDATED BALANCE SHEET (condensed; as reported — includes Mobility to 30-Jun-2026)</t>
        </is>
      </c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  <c r="AD361" s="10" t="n"/>
      <c r="AE361" s="10" t="n"/>
      <c r="AF361" s="10" t="n"/>
      <c r="AG361" s="10" t="n"/>
      <c r="AH361" s="10" t="n"/>
      <c r="AI361" s="10" t="n"/>
      <c r="AJ361" s="10" t="n"/>
      <c r="AK361" s="10" t="n"/>
      <c r="AL361" s="10" t="n"/>
      <c r="AM361" s="10" t="n"/>
      <c r="AN361" s="10" t="n"/>
      <c r="AO361" s="10" t="n"/>
      <c r="AP361" s="10" t="n"/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0" t="n"/>
      <c r="BC361" s="10" t="n"/>
      <c r="BD361" s="10" t="n"/>
      <c r="BE361" s="10" t="n"/>
      <c r="BF361" s="10" t="n"/>
      <c r="BG361" s="10" t="n"/>
      <c r="BH361" s="10" t="n"/>
      <c r="BI361" s="10" t="n"/>
      <c r="BJ361" s="10" t="n"/>
      <c r="BK361" s="10" t="n"/>
      <c r="BL361" s="10" t="n"/>
      <c r="BM361" s="10" t="n"/>
      <c r="BN361" s="10" t="n"/>
      <c r="BO361" s="10" t="n"/>
      <c r="BP361" s="10" t="n"/>
      <c r="BQ361" s="10" t="n"/>
      <c r="BR361" s="10" t="n"/>
      <c r="BS361" s="10" t="n"/>
      <c r="BT361" s="10" t="n"/>
      <c r="BU361" s="10" t="n"/>
      <c r="BV361" s="10" t="n"/>
      <c r="BW361" s="10" t="n"/>
      <c r="BX361" s="10" t="n"/>
      <c r="BY361" s="10" t="n"/>
      <c r="BZ361" s="10" t="n"/>
      <c r="CA361" s="10" t="n"/>
      <c r="CB361" s="10" t="n"/>
      <c r="CC361" s="10" t="inlineStr">
        <is>
          <t>BS FORECAST — 2026E rolled forward from the 30-Jun-2026 balance sheet + 2H flows − Mobility net assets distributed (1-Jul-2026) − geoscience portfolio sold; 2027E+ from prior year end</t>
        </is>
      </c>
    </row>
    <row r="362" ht="15" customHeight="1" s="251">
      <c r="B362" s="25" t="inlineStr">
        <is>
          <t>ASSETS</t>
        </is>
      </c>
      <c r="CC362" s="153" t="n"/>
    </row>
    <row r="363" ht="15" customHeight="1" s="251">
      <c r="B363" s="25" t="inlineStr">
        <is>
          <t xml:space="preserve">  Cash, cash equivalents and restricted cash</t>
        </is>
      </c>
      <c r="C363" s="34" t="n"/>
      <c r="D363" s="34" t="n"/>
      <c r="E363" s="253" t="n">
        <v>760</v>
      </c>
      <c r="F363" s="253" t="n">
        <v>1905</v>
      </c>
      <c r="G363" s="253" t="n">
        <v>1900</v>
      </c>
      <c r="H363" s="253" t="n">
        <v>1577</v>
      </c>
      <c r="I363" s="253" t="n">
        <v>1542</v>
      </c>
      <c r="J363" s="253" t="n">
        <v>1542</v>
      </c>
      <c r="K363" s="253" t="n">
        <v>1531</v>
      </c>
      <c r="L363" s="253" t="n">
        <v>1617</v>
      </c>
      <c r="M363" s="253" t="n">
        <v>1918</v>
      </c>
      <c r="N363" s="253" t="n">
        <v>2497</v>
      </c>
      <c r="O363" s="253" t="n">
        <v>2497</v>
      </c>
      <c r="P363" s="253" t="n">
        <v>1176</v>
      </c>
      <c r="Q363" s="253" t="n">
        <v>1720</v>
      </c>
      <c r="R363" s="253" t="n">
        <v>1441</v>
      </c>
      <c r="S363" s="253" t="n">
        <v>1481</v>
      </c>
      <c r="T363" s="253" t="n">
        <v>1481</v>
      </c>
      <c r="U363" s="253" t="n">
        <v>1600</v>
      </c>
      <c r="V363" s="253" t="n">
        <v>1567</v>
      </c>
      <c r="W363" s="253" t="n">
        <v>2399</v>
      </c>
      <c r="X363" s="253" t="n">
        <v>2392</v>
      </c>
      <c r="Y363" s="253" t="n">
        <v>2392</v>
      </c>
      <c r="Z363" s="253" t="n">
        <v>2411</v>
      </c>
      <c r="AA363" s="253" t="n">
        <v>2384</v>
      </c>
      <c r="AB363" s="253" t="n">
        <v>2312</v>
      </c>
      <c r="AC363" s="253" t="n">
        <v>2779</v>
      </c>
      <c r="AD363" s="253" t="n">
        <v>2779</v>
      </c>
      <c r="AE363" s="253" t="n">
        <v>1756</v>
      </c>
      <c r="AF363" s="253" t="n">
        <v>1935</v>
      </c>
      <c r="AG363" s="253" t="n">
        <v>2203</v>
      </c>
      <c r="AH363" s="253" t="n">
        <v>1958</v>
      </c>
      <c r="AI363" s="253" t="n">
        <v>1958</v>
      </c>
      <c r="AJ363" s="253" t="n">
        <v>1436</v>
      </c>
      <c r="AK363" s="253" t="n">
        <v>1920</v>
      </c>
      <c r="AL363" s="253" t="n">
        <v>2019</v>
      </c>
      <c r="AM363" s="253" t="n">
        <v>2886</v>
      </c>
      <c r="AN363" s="253" t="n">
        <v>2886</v>
      </c>
      <c r="AO363" s="253" t="n">
        <v>1952</v>
      </c>
      <c r="AP363" s="253" t="n">
        <v>2684</v>
      </c>
      <c r="AQ363" s="253" t="n">
        <v>3168</v>
      </c>
      <c r="AR363" s="253" t="n">
        <v>4122</v>
      </c>
      <c r="AS363" s="253" t="n">
        <v>4122</v>
      </c>
      <c r="AT363" s="253" t="n">
        <v>4518</v>
      </c>
      <c r="AU363" s="253" t="n">
        <v>5221</v>
      </c>
      <c r="AV363" s="253" t="n">
        <v>5907</v>
      </c>
      <c r="AW363" s="253" t="n">
        <v>6505</v>
      </c>
      <c r="AX363" s="253" t="n">
        <v>6505</v>
      </c>
      <c r="AY363" s="253" t="n">
        <v>4407</v>
      </c>
      <c r="AZ363" s="253" t="n">
        <v>3573</v>
      </c>
      <c r="BA363" s="253" t="n">
        <v>1389</v>
      </c>
      <c r="BB363" s="253" t="n">
        <v>1287</v>
      </c>
      <c r="BC363" s="253" t="n">
        <v>1287</v>
      </c>
      <c r="BD363" s="253" t="n">
        <v>1405</v>
      </c>
      <c r="BE363" s="253" t="n">
        <v>1562</v>
      </c>
      <c r="BF363" s="253" t="n">
        <v>1646</v>
      </c>
      <c r="BG363" s="253" t="n">
        <v>1291</v>
      </c>
      <c r="BH363" s="253" t="n">
        <v>1291</v>
      </c>
      <c r="BI363" s="253" t="n">
        <v>1544</v>
      </c>
      <c r="BJ363" s="253" t="n">
        <v>2039</v>
      </c>
      <c r="BK363" s="253" t="n">
        <v>1697</v>
      </c>
      <c r="BL363" s="253" t="n">
        <v>1666</v>
      </c>
      <c r="BM363" s="253" t="n">
        <v>1666</v>
      </c>
      <c r="BN363" s="253" t="n">
        <v>1469</v>
      </c>
      <c r="BO363" s="253" t="n">
        <v>1847</v>
      </c>
      <c r="BP363" s="253" t="n">
        <v>1672</v>
      </c>
      <c r="BQ363" s="253" t="n">
        <v>1745</v>
      </c>
      <c r="BR363" s="253" t="n">
        <v>1745</v>
      </c>
      <c r="BS363" s="253" t="n">
        <v>1810</v>
      </c>
      <c r="BT363" s="253" t="n">
        <v>4141</v>
      </c>
      <c r="BU363" s="35" t="n"/>
      <c r="BV363" s="35" t="n"/>
      <c r="BW363" s="254">
        <f>BW335</f>
        <v>1500</v>
      </c>
      <c r="BX363" s="254">
        <f>BX335</f>
        <v>1500</v>
      </c>
      <c r="BY363" s="254">
        <f>BY335</f>
        <v>1500</v>
      </c>
      <c r="BZ363" s="254">
        <f>BZ335</f>
        <v>1500</v>
      </c>
      <c r="CA363" s="254">
        <f>CA335</f>
        <v>1500</v>
      </c>
      <c r="CB363" s="254">
        <f>CB335</f>
        <v>1500</v>
      </c>
      <c r="CC363" s="19" t="n"/>
    </row>
    <row r="364" ht="15" customHeight="1" s="251">
      <c r="B364" s="25" t="inlineStr">
        <is>
          <t xml:space="preserve">  Accounts receivable, net</t>
        </is>
      </c>
      <c r="C364" s="34" t="n"/>
      <c r="D364" s="34" t="n"/>
      <c r="E364" s="253" t="n">
        <v>954</v>
      </c>
      <c r="F364" s="253" t="n">
        <v>999</v>
      </c>
      <c r="G364" s="253" t="n">
        <v>957</v>
      </c>
      <c r="H364" s="253" t="n">
        <v>957</v>
      </c>
      <c r="I364" s="253" t="n">
        <v>979</v>
      </c>
      <c r="J364" s="253" t="n">
        <v>979</v>
      </c>
      <c r="K364" s="253" t="n">
        <v>988</v>
      </c>
      <c r="L364" s="253" t="n">
        <v>990</v>
      </c>
      <c r="M364" s="253" t="n">
        <v>928</v>
      </c>
      <c r="N364" s="253" t="n">
        <v>932</v>
      </c>
      <c r="O364" s="253" t="n">
        <v>932</v>
      </c>
      <c r="P364" s="253" t="n">
        <v>992</v>
      </c>
      <c r="Q364" s="253" t="n">
        <v>1063</v>
      </c>
      <c r="R364" s="253" t="n">
        <v>986</v>
      </c>
      <c r="S364" s="253" t="n">
        <v>991</v>
      </c>
      <c r="T364" s="253" t="n">
        <v>991</v>
      </c>
      <c r="U364" s="253" t="n">
        <v>978</v>
      </c>
      <c r="V364" s="253" t="n">
        <v>1007</v>
      </c>
      <c r="W364" s="253" t="n">
        <v>980</v>
      </c>
      <c r="X364" s="253" t="n">
        <v>1122</v>
      </c>
      <c r="Y364" s="253" t="n">
        <v>1122</v>
      </c>
      <c r="Z364" s="253" t="n">
        <v>1108</v>
      </c>
      <c r="AA364" s="253" t="n">
        <v>1166</v>
      </c>
      <c r="AB364" s="253" t="n">
        <v>1188</v>
      </c>
      <c r="AC364" s="253" t="n">
        <v>1319</v>
      </c>
      <c r="AD364" s="253" t="n">
        <v>1319</v>
      </c>
      <c r="AE364" s="253" t="n">
        <v>1313</v>
      </c>
      <c r="AF364" s="253" t="n">
        <v>1290</v>
      </c>
      <c r="AG364" s="253" t="n">
        <v>1237</v>
      </c>
      <c r="AH364" s="253" t="n">
        <v>1449</v>
      </c>
      <c r="AI364" s="253" t="n">
        <v>1449</v>
      </c>
      <c r="AJ364" s="253" t="n">
        <v>1539</v>
      </c>
      <c r="AK364" s="253" t="n">
        <v>1543</v>
      </c>
      <c r="AL364" s="253" t="n">
        <v>1486</v>
      </c>
      <c r="AM364" s="253" t="n">
        <v>1577</v>
      </c>
      <c r="AN364" s="253" t="n">
        <v>1577</v>
      </c>
      <c r="AO364" s="253" t="n">
        <v>1504</v>
      </c>
      <c r="AP364" s="253" t="n">
        <v>1557</v>
      </c>
      <c r="AQ364" s="253" t="n">
        <v>1427</v>
      </c>
      <c r="AR364" s="253" t="n">
        <v>1593</v>
      </c>
      <c r="AS364" s="253" t="n">
        <v>1593</v>
      </c>
      <c r="AT364" s="253" t="n">
        <v>1509</v>
      </c>
      <c r="AU364" s="253" t="n">
        <v>1421</v>
      </c>
      <c r="AV364" s="253" t="n">
        <v>1445</v>
      </c>
      <c r="AW364" s="253" t="n">
        <v>1650</v>
      </c>
      <c r="AX364" s="253" t="n">
        <v>1650</v>
      </c>
      <c r="AY364" s="253" t="n">
        <v>2425</v>
      </c>
      <c r="AZ364" s="253" t="n">
        <v>2125</v>
      </c>
      <c r="BA364" s="253" t="n">
        <v>2213</v>
      </c>
      <c r="BB364" s="253" t="n">
        <v>2494</v>
      </c>
      <c r="BC364" s="253" t="n">
        <v>2494</v>
      </c>
      <c r="BD364" s="253" t="n">
        <v>2478</v>
      </c>
      <c r="BE364" s="253" t="n">
        <v>2545</v>
      </c>
      <c r="BF364" s="253" t="n">
        <v>2547</v>
      </c>
      <c r="BG364" s="253" t="n">
        <v>2826</v>
      </c>
      <c r="BH364" s="253" t="n">
        <v>2826</v>
      </c>
      <c r="BI364" s="253" t="n">
        <v>2979</v>
      </c>
      <c r="BJ364" s="253" t="n">
        <v>2709</v>
      </c>
      <c r="BK364" s="253" t="n">
        <v>2635</v>
      </c>
      <c r="BL364" s="253" t="n">
        <v>2867</v>
      </c>
      <c r="BM364" s="253" t="n">
        <v>2867</v>
      </c>
      <c r="BN364" s="253" t="n">
        <v>3081</v>
      </c>
      <c r="BO364" s="253" t="n">
        <v>2979</v>
      </c>
      <c r="BP364" s="253" t="n">
        <v>2856</v>
      </c>
      <c r="BQ364" s="253" t="n">
        <v>3441</v>
      </c>
      <c r="BR364" s="253" t="n">
        <v>3441</v>
      </c>
      <c r="BS364" s="253" t="n">
        <v>3493</v>
      </c>
      <c r="BT364" s="253" t="n">
        <v>3438</v>
      </c>
      <c r="BU364" s="35" t="n"/>
      <c r="BV364" s="35" t="n"/>
      <c r="BW364" s="254">
        <f>BW405*BW406/365</f>
        <v>3462.51443013699</v>
      </c>
      <c r="BX364" s="254">
        <f>BX405*BX406/365</f>
        <v>3676.93059175186</v>
      </c>
      <c r="BY364" s="254">
        <f>BY405*BY406/365</f>
        <v>3936.87709182452</v>
      </c>
      <c r="BZ364" s="254">
        <f>BZ405*BZ406/365</f>
        <v>4207.18722156895</v>
      </c>
      <c r="CA364" s="254">
        <f>CA405*CA406/365</f>
        <v>4483.3147152687</v>
      </c>
      <c r="CB364" s="254">
        <f>CB405*CB406/365</f>
        <v>4777.13483187574</v>
      </c>
      <c r="CC364" s="19" t="n"/>
    </row>
    <row r="365" ht="15" customHeight="1" s="251">
      <c r="B365" s="25" t="inlineStr">
        <is>
          <t xml:space="preserve">  Prepaid &amp; other current assets, assets held for sale</t>
        </is>
      </c>
      <c r="C365" s="34" t="n"/>
      <c r="D365" s="34" t="n"/>
      <c r="E365" s="253" t="n">
        <v>2185</v>
      </c>
      <c r="F365" s="253" t="n">
        <v>277</v>
      </c>
      <c r="G365" s="253" t="n">
        <v>250</v>
      </c>
      <c r="H365" s="253" t="n">
        <v>294</v>
      </c>
      <c r="I365" s="253" t="n">
        <v>415</v>
      </c>
      <c r="J365" s="253" t="n">
        <v>415</v>
      </c>
      <c r="K365" s="253" t="n">
        <v>345</v>
      </c>
      <c r="L365" s="253" t="n">
        <v>386</v>
      </c>
      <c r="M365" s="253" t="n">
        <v>342</v>
      </c>
      <c r="N365" s="253" t="n">
        <v>537</v>
      </c>
      <c r="O365" s="253" t="n">
        <v>537</v>
      </c>
      <c r="P365" s="253" t="n">
        <v>520</v>
      </c>
      <c r="Q365" s="253" t="n">
        <v>430</v>
      </c>
      <c r="R365" s="253" t="n">
        <v>409</v>
      </c>
      <c r="S365" s="253" t="n">
        <v>824</v>
      </c>
      <c r="T365" s="253" t="n">
        <v>824</v>
      </c>
      <c r="U365" s="253" t="n">
        <v>870</v>
      </c>
      <c r="V365" s="253" t="n">
        <v>885</v>
      </c>
      <c r="W365" s="253" t="n">
        <v>325</v>
      </c>
      <c r="X365" s="253" t="n">
        <v>157</v>
      </c>
      <c r="Y365" s="253" t="n">
        <v>157</v>
      </c>
      <c r="Z365" s="253" t="n">
        <v>144</v>
      </c>
      <c r="AA365" s="253" t="n">
        <v>173</v>
      </c>
      <c r="AB365" s="253" t="n">
        <v>153</v>
      </c>
      <c r="AC365" s="253" t="n">
        <v>226</v>
      </c>
      <c r="AD365" s="253" t="n">
        <v>226</v>
      </c>
      <c r="AE365" s="253" t="n">
        <v>215</v>
      </c>
      <c r="AF365" s="253" t="n">
        <v>243</v>
      </c>
      <c r="AG365" s="253" t="n">
        <v>188</v>
      </c>
      <c r="AH365" s="253" t="n">
        <v>197</v>
      </c>
      <c r="AI365" s="253" t="n">
        <v>197</v>
      </c>
      <c r="AJ365" s="253" t="n">
        <v>207</v>
      </c>
      <c r="AK365" s="253" t="n">
        <v>231</v>
      </c>
      <c r="AL365" s="253" t="n">
        <v>217</v>
      </c>
      <c r="AM365" s="253" t="n">
        <v>249</v>
      </c>
      <c r="AN365" s="253" t="n">
        <v>249</v>
      </c>
      <c r="AO365" s="253" t="n">
        <v>239</v>
      </c>
      <c r="AP365" s="253" t="n">
        <v>218</v>
      </c>
      <c r="AQ365" s="253" t="n">
        <v>246</v>
      </c>
      <c r="AR365" s="253" t="n">
        <v>273</v>
      </c>
      <c r="AS365" s="253" t="n">
        <v>273</v>
      </c>
      <c r="AT365" s="253" t="n">
        <v>279</v>
      </c>
      <c r="AU365" s="253" t="n">
        <v>290</v>
      </c>
      <c r="AV365" s="253" t="n">
        <v>286</v>
      </c>
      <c r="AW365" s="253" t="n">
        <v>655</v>
      </c>
      <c r="AX365" s="253" t="n">
        <v>655</v>
      </c>
      <c r="AY365" s="253" t="n">
        <v>955</v>
      </c>
      <c r="AZ365" s="253" t="n">
        <v>537</v>
      </c>
      <c r="BA365" s="253" t="n">
        <v>576</v>
      </c>
      <c r="BB365" s="253" t="n">
        <v>1886</v>
      </c>
      <c r="BC365" s="253" t="n">
        <v>1886</v>
      </c>
      <c r="BD365" s="253" t="n">
        <v>1939</v>
      </c>
      <c r="BE365" s="253" t="n">
        <v>613</v>
      </c>
      <c r="BF365" s="253" t="n">
        <v>611</v>
      </c>
      <c r="BG365" s="253" t="n">
        <v>1026</v>
      </c>
      <c r="BH365" s="253" t="n">
        <v>1026</v>
      </c>
      <c r="BI365" s="253" t="n">
        <v>905</v>
      </c>
      <c r="BJ365" s="253" t="n">
        <v>894</v>
      </c>
      <c r="BK365" s="253" t="n">
        <v>870</v>
      </c>
      <c r="BL365" s="253" t="n">
        <v>926</v>
      </c>
      <c r="BM365" s="253" t="n">
        <v>926</v>
      </c>
      <c r="BN365" s="253" t="n">
        <v>790</v>
      </c>
      <c r="BO365" s="253" t="n">
        <v>1051</v>
      </c>
      <c r="BP365" s="253" t="n">
        <v>1126</v>
      </c>
      <c r="BQ365" s="253" t="n">
        <v>1110</v>
      </c>
      <c r="BR365" s="253" t="n">
        <v>1110</v>
      </c>
      <c r="BS365" s="253" t="n">
        <v>1017</v>
      </c>
      <c r="BT365" s="253" t="n">
        <v>1130</v>
      </c>
      <c r="BU365" s="35" t="n"/>
      <c r="BV365" s="35" t="n"/>
      <c r="BW365" s="254">
        <f>BT365-35-120.0</f>
        <v>975</v>
      </c>
      <c r="BX365" s="254">
        <f>BW365</f>
        <v>975</v>
      </c>
      <c r="BY365" s="254">
        <f>BX365</f>
        <v>975</v>
      </c>
      <c r="BZ365" s="254">
        <f>BY365</f>
        <v>975</v>
      </c>
      <c r="CA365" s="254">
        <f>BZ365</f>
        <v>975</v>
      </c>
      <c r="CB365" s="254">
        <f>CA365</f>
        <v>975</v>
      </c>
      <c r="CC365" s="19" t="n"/>
    </row>
    <row r="366" ht="15" customHeight="1" s="251">
      <c r="B366" s="16" t="inlineStr">
        <is>
          <t>Total current assets</t>
        </is>
      </c>
      <c r="C366" s="260">
        <f>IF(ISNUMBER(C363),SUM(C363:C365),"")</f>
      </c>
      <c r="D366" s="260">
        <f>IF(ISNUMBER(D363),SUM(D363:D365),"")</f>
      </c>
      <c r="E366" s="260">
        <f>IF(ISNUMBER(E363),SUM(E363:E365),"")</f>
        <v>3899</v>
      </c>
      <c r="F366" s="260">
        <f>IF(ISNUMBER(F363),SUM(F363:F365),"")</f>
        <v>3181</v>
      </c>
      <c r="G366" s="260">
        <f>IF(ISNUMBER(G363),SUM(G363:G365),"")</f>
        <v>3107</v>
      </c>
      <c r="H366" s="260">
        <f>IF(ISNUMBER(H363),SUM(H363:H365),"")</f>
        <v>2828</v>
      </c>
      <c r="I366" s="260">
        <f>IF(ISNUMBER(I363),SUM(I363:I365),"")</f>
        <v>2936</v>
      </c>
      <c r="J366" s="260">
        <f>IF(ISNUMBER(J363),SUM(J363:J365),"")</f>
        <v>2936</v>
      </c>
      <c r="K366" s="260">
        <f>IF(ISNUMBER(K363),SUM(K363:K365),"")</f>
        <v>2864</v>
      </c>
      <c r="L366" s="260">
        <f>IF(ISNUMBER(L363),SUM(L363:L365),"")</f>
        <v>2993</v>
      </c>
      <c r="M366" s="260">
        <f>IF(ISNUMBER(M363),SUM(M363:M365),"")</f>
        <v>3188</v>
      </c>
      <c r="N366" s="260">
        <f>IF(ISNUMBER(N363),SUM(N363:N365),"")</f>
        <v>3966</v>
      </c>
      <c r="O366" s="260">
        <f>IF(ISNUMBER(O363),SUM(O363:O365),"")</f>
        <v>3966</v>
      </c>
      <c r="P366" s="260">
        <f>IF(ISNUMBER(P363),SUM(P363:P365),"")</f>
        <v>2688</v>
      </c>
      <c r="Q366" s="260">
        <f>IF(ISNUMBER(Q363),SUM(Q363:Q365),"")</f>
        <v>3213</v>
      </c>
      <c r="R366" s="260">
        <f>IF(ISNUMBER(R363),SUM(R363:R365),"")</f>
        <v>2836</v>
      </c>
      <c r="S366" s="260">
        <f>IF(ISNUMBER(S363),SUM(S363:S365),"")</f>
        <v>3296</v>
      </c>
      <c r="T366" s="260">
        <f>IF(ISNUMBER(T363),SUM(T363:T365),"")</f>
        <v>3296</v>
      </c>
      <c r="U366" s="260">
        <f>IF(ISNUMBER(U363),SUM(U363:U365),"")</f>
        <v>3448</v>
      </c>
      <c r="V366" s="260">
        <f>IF(ISNUMBER(V363),SUM(V363:V365),"")</f>
        <v>3459</v>
      </c>
      <c r="W366" s="260">
        <f>IF(ISNUMBER(W363),SUM(W363:W365),"")</f>
        <v>3704</v>
      </c>
      <c r="X366" s="260">
        <f>IF(ISNUMBER(X363),SUM(X363:X365),"")</f>
        <v>3671</v>
      </c>
      <c r="Y366" s="260">
        <f>IF(ISNUMBER(Y363),SUM(Y363:Y365),"")</f>
        <v>3671</v>
      </c>
      <c r="Z366" s="260">
        <f>IF(ISNUMBER(Z363),SUM(Z363:Z365),"")</f>
        <v>3663</v>
      </c>
      <c r="AA366" s="260">
        <f>IF(ISNUMBER(AA363),SUM(AA363:AA365),"")</f>
        <v>3723</v>
      </c>
      <c r="AB366" s="260">
        <f>IF(ISNUMBER(AB363),SUM(AB363:AB365),"")</f>
        <v>3653</v>
      </c>
      <c r="AC366" s="260">
        <f>IF(ISNUMBER(AC363),SUM(AC363:AC365),"")</f>
        <v>4324</v>
      </c>
      <c r="AD366" s="260">
        <f>IF(ISNUMBER(AD363),SUM(AD363:AD365),"")</f>
        <v>4324</v>
      </c>
      <c r="AE366" s="260">
        <f>IF(ISNUMBER(AE363),SUM(AE363:AE365),"")</f>
        <v>3284</v>
      </c>
      <c r="AF366" s="260">
        <f>IF(ISNUMBER(AF363),SUM(AF363:AF365),"")</f>
        <v>3468</v>
      </c>
      <c r="AG366" s="260">
        <f>IF(ISNUMBER(AG363),SUM(AG363:AG365),"")</f>
        <v>3628</v>
      </c>
      <c r="AH366" s="260">
        <f>IF(ISNUMBER(AH363),SUM(AH363:AH365),"")</f>
        <v>3604</v>
      </c>
      <c r="AI366" s="260">
        <f>IF(ISNUMBER(AI363),SUM(AI363:AI365),"")</f>
        <v>3604</v>
      </c>
      <c r="AJ366" s="260">
        <f>IF(ISNUMBER(AJ363),SUM(AJ363:AJ365),"")</f>
        <v>3182</v>
      </c>
      <c r="AK366" s="260">
        <f>IF(ISNUMBER(AK363),SUM(AK363:AK365),"")</f>
        <v>3694</v>
      </c>
      <c r="AL366" s="260">
        <f>IF(ISNUMBER(AL363),SUM(AL363:AL365),"")</f>
        <v>3722</v>
      </c>
      <c r="AM366" s="260">
        <f>IF(ISNUMBER(AM363),SUM(AM363:AM365),"")</f>
        <v>4712</v>
      </c>
      <c r="AN366" s="260">
        <f>IF(ISNUMBER(AN363),SUM(AN363:AN365),"")</f>
        <v>4712</v>
      </c>
      <c r="AO366" s="260">
        <f>IF(ISNUMBER(AO363),SUM(AO363:AO365),"")</f>
        <v>3695</v>
      </c>
      <c r="AP366" s="260">
        <f>IF(ISNUMBER(AP363),SUM(AP363:AP365),"")</f>
        <v>4459</v>
      </c>
      <c r="AQ366" s="260">
        <f>IF(ISNUMBER(AQ363),SUM(AQ363:AQ365),"")</f>
        <v>4841</v>
      </c>
      <c r="AR366" s="260">
        <f>IF(ISNUMBER(AR363),SUM(AR363:AR365),"")</f>
        <v>5988</v>
      </c>
      <c r="AS366" s="260">
        <f>IF(ISNUMBER(AS363),SUM(AS363:AS365),"")</f>
        <v>5988</v>
      </c>
      <c r="AT366" s="260">
        <f>IF(ISNUMBER(AT363),SUM(AT363:AT365),"")</f>
        <v>6306</v>
      </c>
      <c r="AU366" s="260">
        <f>IF(ISNUMBER(AU363),SUM(AU363:AU365),"")</f>
        <v>6932</v>
      </c>
      <c r="AV366" s="260">
        <f>IF(ISNUMBER(AV363),SUM(AV363:AV365),"")</f>
        <v>7638</v>
      </c>
      <c r="AW366" s="260">
        <f>IF(ISNUMBER(AW363),SUM(AW363:AW365),"")</f>
        <v>8810</v>
      </c>
      <c r="AX366" s="260">
        <f>IF(ISNUMBER(AX363),SUM(AX363:AX365),"")</f>
        <v>8810</v>
      </c>
      <c r="AY366" s="260">
        <f>IF(ISNUMBER(AY363),SUM(AY363:AY365),"")</f>
        <v>7787</v>
      </c>
      <c r="AZ366" s="260">
        <f>IF(ISNUMBER(AZ363),SUM(AZ363:AZ365),"")</f>
        <v>6235</v>
      </c>
      <c r="BA366" s="260">
        <f>IF(ISNUMBER(BA363),SUM(BA363:BA365),"")</f>
        <v>4178</v>
      </c>
      <c r="BB366" s="260">
        <f>IF(ISNUMBER(BB363),SUM(BB363:BB365),"")</f>
        <v>5667</v>
      </c>
      <c r="BC366" s="260">
        <f>IF(ISNUMBER(BC363),SUM(BC363:BC365),"")</f>
        <v>5667</v>
      </c>
      <c r="BD366" s="260">
        <f>IF(ISNUMBER(BD363),SUM(BD363:BD365),"")</f>
        <v>5822</v>
      </c>
      <c r="BE366" s="260">
        <f>IF(ISNUMBER(BE363),SUM(BE363:BE365),"")</f>
        <v>4720</v>
      </c>
      <c r="BF366" s="260">
        <f>IF(ISNUMBER(BF363),SUM(BF363:BF365),"")</f>
        <v>4804</v>
      </c>
      <c r="BG366" s="260">
        <f>IF(ISNUMBER(BG363),SUM(BG363:BG365),"")</f>
        <v>5143</v>
      </c>
      <c r="BH366" s="260">
        <f>IF(ISNUMBER(BH363),SUM(BH363:BH365),"")</f>
        <v>5143</v>
      </c>
      <c r="BI366" s="260">
        <f>IF(ISNUMBER(BI363),SUM(BI363:BI365),"")</f>
        <v>5428</v>
      </c>
      <c r="BJ366" s="260">
        <f>IF(ISNUMBER(BJ363),SUM(BJ363:BJ365),"")</f>
        <v>5642</v>
      </c>
      <c r="BK366" s="260">
        <f>IF(ISNUMBER(BK363),SUM(BK363:BK365),"")</f>
        <v>5202</v>
      </c>
      <c r="BL366" s="260">
        <f>IF(ISNUMBER(BL363),SUM(BL363:BL365),"")</f>
        <v>5459</v>
      </c>
      <c r="BM366" s="260">
        <f>IF(ISNUMBER(BM363),SUM(BM363:BM365),"")</f>
        <v>5459</v>
      </c>
      <c r="BN366" s="260">
        <f>IF(ISNUMBER(BN363),SUM(BN363:BN365),"")</f>
        <v>5340</v>
      </c>
      <c r="BO366" s="260">
        <f>IF(ISNUMBER(BO363),SUM(BO363:BO365),"")</f>
        <v>5877</v>
      </c>
      <c r="BP366" s="260">
        <f>IF(ISNUMBER(BP363),SUM(BP363:BP365),"")</f>
        <v>5654</v>
      </c>
      <c r="BQ366" s="260">
        <f>IF(ISNUMBER(BQ363),SUM(BQ363:BQ365),"")</f>
        <v>6296</v>
      </c>
      <c r="BR366" s="260">
        <f>IF(ISNUMBER(BR363),SUM(BR363:BR365),"")</f>
        <v>6296</v>
      </c>
      <c r="BS366" s="260">
        <f>IF(ISNUMBER(BS363),SUM(BS363:BS365),"")</f>
        <v>6320</v>
      </c>
      <c r="BT366" s="260">
        <f>IF(ISNUMBER(BT363),SUM(BT363:BT365),"")</f>
        <v>8709</v>
      </c>
      <c r="BU366" s="32" t="n"/>
      <c r="BV366" s="32" t="n"/>
      <c r="BW366" s="261">
        <f>IF(ISNUMBER(BW363),SUM(BW363:BW365),"")</f>
        <v>5937.51443013699</v>
      </c>
      <c r="BX366" s="261">
        <f>IF(ISNUMBER(BX363),SUM(BX363:BX365),"")</f>
        <v>6151.93059175186</v>
      </c>
      <c r="BY366" s="261">
        <f>IF(ISNUMBER(BY363),SUM(BY363:BY365),"")</f>
        <v>6411.87709182452</v>
      </c>
      <c r="BZ366" s="261">
        <f>IF(ISNUMBER(BZ363),SUM(BZ363:BZ365),"")</f>
        <v>6682.18722156895</v>
      </c>
      <c r="CA366" s="261">
        <f>IF(ISNUMBER(CA363),SUM(CA363:CA365),"")</f>
        <v>6958.3147152687</v>
      </c>
      <c r="CB366" s="261">
        <f>IF(ISNUMBER(CB363),SUM(CB363:CB365),"")</f>
        <v>7252.13483187574</v>
      </c>
      <c r="CC366" s="153" t="n"/>
    </row>
    <row r="367" ht="15" customHeight="1" s="251">
      <c r="B367" s="25" t="inlineStr">
        <is>
          <t xml:space="preserve">  Property and equipment, net</t>
        </is>
      </c>
      <c r="C367" s="34" t="n"/>
      <c r="D367" s="34" t="n"/>
      <c r="E367" s="253" t="n">
        <v>368</v>
      </c>
      <c r="F367" s="253" t="n">
        <v>345</v>
      </c>
      <c r="G367" s="253" t="n">
        <v>340</v>
      </c>
      <c r="H367" s="253" t="n">
        <v>336</v>
      </c>
      <c r="I367" s="253" t="n">
        <v>249</v>
      </c>
      <c r="J367" s="253" t="n">
        <v>249</v>
      </c>
      <c r="K367" s="253" t="n">
        <v>242</v>
      </c>
      <c r="L367" s="253" t="n">
        <v>209</v>
      </c>
      <c r="M367" s="253" t="n">
        <v>199</v>
      </c>
      <c r="N367" s="253" t="n">
        <v>206</v>
      </c>
      <c r="O367" s="253" t="n">
        <v>206</v>
      </c>
      <c r="P367" s="253" t="n">
        <v>200</v>
      </c>
      <c r="Q367" s="253" t="n">
        <v>208</v>
      </c>
      <c r="R367" s="253" t="n">
        <v>237</v>
      </c>
      <c r="S367" s="253" t="n">
        <v>270</v>
      </c>
      <c r="T367" s="253" t="n">
        <v>270</v>
      </c>
      <c r="U367" s="253" t="n">
        <v>251</v>
      </c>
      <c r="V367" s="253" t="n">
        <v>242</v>
      </c>
      <c r="W367" s="253" t="n">
        <v>255</v>
      </c>
      <c r="X367" s="253" t="n">
        <v>271</v>
      </c>
      <c r="Y367" s="253" t="n">
        <v>271</v>
      </c>
      <c r="Z367" s="253" t="n">
        <v>265</v>
      </c>
      <c r="AA367" s="253" t="n">
        <v>264</v>
      </c>
      <c r="AB367" s="253" t="n">
        <v>259</v>
      </c>
      <c r="AC367" s="253" t="n">
        <v>275</v>
      </c>
      <c r="AD367" s="253" t="n">
        <v>275</v>
      </c>
      <c r="AE367" s="253" t="n">
        <v>270</v>
      </c>
      <c r="AF367" s="253" t="n">
        <v>273</v>
      </c>
      <c r="AG367" s="253" t="n">
        <v>275</v>
      </c>
      <c r="AH367" s="253" t="n">
        <v>270</v>
      </c>
      <c r="AI367" s="253" t="n">
        <v>270</v>
      </c>
      <c r="AJ367" s="253" t="n">
        <v>268</v>
      </c>
      <c r="AK367" s="253" t="n">
        <v>280</v>
      </c>
      <c r="AL367" s="253" t="n">
        <v>298</v>
      </c>
      <c r="AM367" s="253" t="n">
        <v>320</v>
      </c>
      <c r="AN367" s="253" t="n">
        <v>320</v>
      </c>
      <c r="AO367" s="253" t="n">
        <v>309</v>
      </c>
      <c r="AP367" s="253" t="n">
        <v>299</v>
      </c>
      <c r="AQ367" s="253" t="n">
        <v>298</v>
      </c>
      <c r="AR367" s="253" t="n">
        <v>284</v>
      </c>
      <c r="AS367" s="253" t="n">
        <v>284</v>
      </c>
      <c r="AT367" s="253" t="n">
        <v>281</v>
      </c>
      <c r="AU367" s="253" t="n">
        <v>268</v>
      </c>
      <c r="AV367" s="253" t="n">
        <v>256</v>
      </c>
      <c r="AW367" s="253" t="n">
        <v>241</v>
      </c>
      <c r="AX367" s="253" t="n">
        <v>241</v>
      </c>
      <c r="AY367" s="253" t="n">
        <v>348</v>
      </c>
      <c r="AZ367" s="253" t="n">
        <v>332</v>
      </c>
      <c r="BA367" s="253" t="n">
        <v>305</v>
      </c>
      <c r="BB367" s="253" t="n">
        <v>297</v>
      </c>
      <c r="BC367" s="253" t="n">
        <v>297</v>
      </c>
      <c r="BD367" s="253" t="n">
        <v>281</v>
      </c>
      <c r="BE367" s="253" t="n">
        <v>258</v>
      </c>
      <c r="BF367" s="253" t="n">
        <v>254</v>
      </c>
      <c r="BG367" s="253" t="n">
        <v>258</v>
      </c>
      <c r="BH367" s="253" t="n">
        <v>258</v>
      </c>
      <c r="BI367" s="253" t="n">
        <v>247</v>
      </c>
      <c r="BJ367" s="253" t="n">
        <v>248</v>
      </c>
      <c r="BK367" s="253" t="n">
        <v>252</v>
      </c>
      <c r="BL367" s="253" t="n">
        <v>265</v>
      </c>
      <c r="BM367" s="253" t="n">
        <v>265</v>
      </c>
      <c r="BN367" s="253" t="n">
        <v>266</v>
      </c>
      <c r="BO367" s="253" t="n">
        <v>275</v>
      </c>
      <c r="BP367" s="253" t="n">
        <v>270</v>
      </c>
      <c r="BQ367" s="253" t="n">
        <v>278</v>
      </c>
      <c r="BR367" s="253" t="n">
        <v>278</v>
      </c>
      <c r="BS367" s="253" t="n">
        <v>261</v>
      </c>
      <c r="BT367" s="253" t="n">
        <v>254</v>
      </c>
      <c r="BU367" s="35" t="n"/>
      <c r="BV367" s="35" t="n"/>
      <c r="BW367" s="254">
        <f>BT367-19-(BW320-SUM(BS320:BT320))-SUM(BU168:BV168)</f>
        <v>312</v>
      </c>
      <c r="BX367" s="254">
        <f>BW367-BX320-BX168</f>
        <v>404.557218344098</v>
      </c>
      <c r="BY367" s="254">
        <f>BX367-BY320-BY168</f>
        <v>503.657917552095</v>
      </c>
      <c r="BZ367" s="254">
        <f>BY367-BZ320-BZ168</f>
        <v>609.562975198486</v>
      </c>
      <c r="CA367" s="254">
        <f>BZ367-CA320-CA168</f>
        <v>722.418828375939</v>
      </c>
      <c r="CB367" s="254">
        <f>CA367-CB320-CB168</f>
        <v>842.670843109363</v>
      </c>
      <c r="CC367" s="19" t="inlineStr">
        <is>
          <t>Roll-forward: prior − capex (negative cash flow) − depreciation (2026E also − Mobility PP&amp;E).</t>
        </is>
      </c>
    </row>
    <row r="368" ht="15" customHeight="1" s="251">
      <c r="B368" s="25" t="inlineStr">
        <is>
          <t xml:space="preserve">  Right of use assets</t>
        </is>
      </c>
      <c r="C368" s="34" t="n"/>
      <c r="D368" s="34" t="n"/>
      <c r="E368" s="253" t="n">
        <v>0</v>
      </c>
      <c r="F368" s="253" t="n">
        <v>0</v>
      </c>
      <c r="G368" s="253" t="n">
        <v>0</v>
      </c>
      <c r="H368" s="253" t="n">
        <v>0</v>
      </c>
      <c r="I368" s="253" t="n">
        <v>0</v>
      </c>
      <c r="J368" s="253" t="n">
        <v>0</v>
      </c>
      <c r="K368" s="253" t="n">
        <v>0</v>
      </c>
      <c r="L368" s="253" t="n">
        <v>0</v>
      </c>
      <c r="M368" s="253" t="n">
        <v>0</v>
      </c>
      <c r="N368" s="253" t="n">
        <v>0</v>
      </c>
      <c r="O368" s="253" t="n">
        <v>0</v>
      </c>
      <c r="P368" s="253" t="n">
        <v>0</v>
      </c>
      <c r="Q368" s="253" t="n">
        <v>0</v>
      </c>
      <c r="R368" s="253" t="n">
        <v>0</v>
      </c>
      <c r="S368" s="253" t="n">
        <v>0</v>
      </c>
      <c r="T368" s="253" t="n">
        <v>0</v>
      </c>
      <c r="U368" s="253" t="n">
        <v>0</v>
      </c>
      <c r="V368" s="253" t="n">
        <v>0</v>
      </c>
      <c r="W368" s="253" t="n">
        <v>0</v>
      </c>
      <c r="X368" s="253" t="n">
        <v>0</v>
      </c>
      <c r="Y368" s="253" t="n">
        <v>0</v>
      </c>
      <c r="Z368" s="253" t="n">
        <v>0</v>
      </c>
      <c r="AA368" s="253" t="n">
        <v>0</v>
      </c>
      <c r="AB368" s="253" t="n">
        <v>0</v>
      </c>
      <c r="AC368" s="253" t="n">
        <v>0</v>
      </c>
      <c r="AD368" s="253" t="n">
        <v>0</v>
      </c>
      <c r="AE368" s="253" t="n">
        <v>0</v>
      </c>
      <c r="AF368" s="253" t="n">
        <v>0</v>
      </c>
      <c r="AG368" s="253" t="n">
        <v>0</v>
      </c>
      <c r="AH368" s="253" t="n">
        <v>0</v>
      </c>
      <c r="AI368" s="253" t="n">
        <v>0</v>
      </c>
      <c r="AJ368" s="253" t="n">
        <v>675</v>
      </c>
      <c r="AK368" s="253" t="n">
        <v>669</v>
      </c>
      <c r="AL368" s="253" t="n">
        <v>660</v>
      </c>
      <c r="AM368" s="253" t="n">
        <v>676</v>
      </c>
      <c r="AN368" s="253" t="n">
        <v>676</v>
      </c>
      <c r="AO368" s="253" t="n">
        <v>652</v>
      </c>
      <c r="AP368" s="253" t="n">
        <v>626</v>
      </c>
      <c r="AQ368" s="253" t="n">
        <v>610</v>
      </c>
      <c r="AR368" s="253" t="n">
        <v>494</v>
      </c>
      <c r="AS368" s="253" t="n">
        <v>494</v>
      </c>
      <c r="AT368" s="253" t="n">
        <v>479</v>
      </c>
      <c r="AU368" s="253" t="n">
        <v>446</v>
      </c>
      <c r="AV368" s="253" t="n">
        <v>462</v>
      </c>
      <c r="AW368" s="253" t="n">
        <v>426</v>
      </c>
      <c r="AX368" s="253" t="n">
        <v>426</v>
      </c>
      <c r="AY368" s="253" t="n">
        <v>625</v>
      </c>
      <c r="AZ368" s="253" t="n">
        <v>557</v>
      </c>
      <c r="BA368" s="253" t="n">
        <v>455</v>
      </c>
      <c r="BB368" s="253" t="n">
        <v>423</v>
      </c>
      <c r="BC368" s="253" t="n">
        <v>423</v>
      </c>
      <c r="BD368" s="253" t="n">
        <v>422</v>
      </c>
      <c r="BE368" s="253" t="n">
        <v>401</v>
      </c>
      <c r="BF368" s="253" t="n">
        <v>392</v>
      </c>
      <c r="BG368" s="253" t="n">
        <v>379</v>
      </c>
      <c r="BH368" s="253" t="n">
        <v>379</v>
      </c>
      <c r="BI368" s="253" t="n">
        <v>371</v>
      </c>
      <c r="BJ368" s="253" t="n">
        <v>372</v>
      </c>
      <c r="BK368" s="253" t="n">
        <v>390</v>
      </c>
      <c r="BL368" s="253" t="n">
        <v>413</v>
      </c>
      <c r="BM368" s="253" t="n">
        <v>413</v>
      </c>
      <c r="BN368" s="253" t="n">
        <v>412</v>
      </c>
      <c r="BO368" s="253" t="n">
        <v>405</v>
      </c>
      <c r="BP368" s="253" t="n">
        <v>384</v>
      </c>
      <c r="BQ368" s="253" t="n">
        <v>413</v>
      </c>
      <c r="BR368" s="253" t="n">
        <v>413</v>
      </c>
      <c r="BS368" s="253" t="n">
        <v>388</v>
      </c>
      <c r="BT368" s="253" t="n">
        <v>392</v>
      </c>
      <c r="BU368" s="35" t="n"/>
      <c r="BV368" s="35" t="n"/>
      <c r="BW368" s="254">
        <f>BT368-23</f>
        <v>369</v>
      </c>
      <c r="BX368" s="254">
        <f>BW368</f>
        <v>369</v>
      </c>
      <c r="BY368" s="254">
        <f>BX368</f>
        <v>369</v>
      </c>
      <c r="BZ368" s="254">
        <f>BY368</f>
        <v>369</v>
      </c>
      <c r="CA368" s="254">
        <f>BZ368</f>
        <v>369</v>
      </c>
      <c r="CB368" s="254">
        <f>CA368</f>
        <v>369</v>
      </c>
      <c r="CC368" s="19" t="n"/>
    </row>
    <row r="369" ht="15" customHeight="1" s="251">
      <c r="B369" s="25" t="inlineStr">
        <is>
          <t xml:space="preserve">  Goodwill</t>
        </is>
      </c>
      <c r="C369" s="34" t="n"/>
      <c r="D369" s="34" t="n"/>
      <c r="E369" s="253" t="n">
        <v>1438</v>
      </c>
      <c r="F369" s="253" t="n">
        <v>1429</v>
      </c>
      <c r="G369" s="253" t="n">
        <v>1432</v>
      </c>
      <c r="H369" s="253" t="n">
        <v>1406</v>
      </c>
      <c r="I369" s="253" t="n">
        <v>1412</v>
      </c>
      <c r="J369" s="253" t="n">
        <v>1412</v>
      </c>
      <c r="K369" s="253" t="n">
        <v>1413</v>
      </c>
      <c r="L369" s="253" t="n">
        <v>1418</v>
      </c>
      <c r="M369" s="253" t="n">
        <v>1435</v>
      </c>
      <c r="N369" s="253" t="n">
        <v>1387</v>
      </c>
      <c r="O369" s="253" t="n">
        <v>1387</v>
      </c>
      <c r="P369" s="253" t="n">
        <v>1365</v>
      </c>
      <c r="Q369" s="253" t="n">
        <v>1383</v>
      </c>
      <c r="R369" s="253" t="n">
        <v>2968</v>
      </c>
      <c r="S369" s="253" t="n">
        <v>2882</v>
      </c>
      <c r="T369" s="253" t="n">
        <v>2882</v>
      </c>
      <c r="U369" s="253" t="n">
        <v>2869</v>
      </c>
      <c r="V369" s="253" t="n">
        <v>2882</v>
      </c>
      <c r="W369" s="253" t="n">
        <v>2958</v>
      </c>
      <c r="X369" s="253" t="n">
        <v>2949</v>
      </c>
      <c r="Y369" s="253" t="n">
        <v>2949</v>
      </c>
      <c r="Z369" s="253" t="n">
        <v>2960</v>
      </c>
      <c r="AA369" s="253" t="n">
        <v>2982</v>
      </c>
      <c r="AB369" s="253" t="n">
        <v>2992</v>
      </c>
      <c r="AC369" s="253" t="n">
        <v>2989</v>
      </c>
      <c r="AD369" s="253" t="n">
        <v>2989</v>
      </c>
      <c r="AE369" s="253" t="n">
        <v>3045</v>
      </c>
      <c r="AF369" s="253" t="n">
        <v>3538</v>
      </c>
      <c r="AG369" s="253" t="n">
        <v>3544</v>
      </c>
      <c r="AH369" s="253" t="n">
        <v>3535</v>
      </c>
      <c r="AI369" s="253" t="n">
        <v>3535</v>
      </c>
      <c r="AJ369" s="253" t="n">
        <v>3533</v>
      </c>
      <c r="AK369" s="253" t="n">
        <v>3519</v>
      </c>
      <c r="AL369" s="253" t="n">
        <v>3515</v>
      </c>
      <c r="AM369" s="253" t="n">
        <v>3575</v>
      </c>
      <c r="AN369" s="253" t="n">
        <v>3575</v>
      </c>
      <c r="AO369" s="253" t="n">
        <v>3703</v>
      </c>
      <c r="AP369" s="253" t="n">
        <v>3700</v>
      </c>
      <c r="AQ369" s="253" t="n">
        <v>3715</v>
      </c>
      <c r="AR369" s="253" t="n">
        <v>3735</v>
      </c>
      <c r="AS369" s="253" t="n">
        <v>3735</v>
      </c>
      <c r="AT369" s="253" t="n">
        <v>3713</v>
      </c>
      <c r="AU369" s="253" t="n">
        <v>3719</v>
      </c>
      <c r="AV369" s="253" t="n">
        <v>3710</v>
      </c>
      <c r="AW369" s="253" t="n">
        <v>3506</v>
      </c>
      <c r="AX369" s="253" t="n">
        <v>3506</v>
      </c>
      <c r="AY369" s="253" t="n">
        <v>33642</v>
      </c>
      <c r="AZ369" s="253" t="n">
        <v>34444</v>
      </c>
      <c r="BA369" s="253" t="n">
        <v>34499</v>
      </c>
      <c r="BB369" s="253" t="n">
        <v>34545</v>
      </c>
      <c r="BC369" s="253" t="n">
        <v>34545</v>
      </c>
      <c r="BD369" s="253" t="n">
        <v>34817</v>
      </c>
      <c r="BE369" s="253" t="n">
        <v>34827</v>
      </c>
      <c r="BF369" s="253" t="n">
        <v>34785</v>
      </c>
      <c r="BG369" s="253" t="n">
        <v>34850</v>
      </c>
      <c r="BH369" s="253" t="n">
        <v>34850</v>
      </c>
      <c r="BI369" s="253" t="n">
        <v>34748</v>
      </c>
      <c r="BJ369" s="253" t="n">
        <v>34975</v>
      </c>
      <c r="BK369" s="253" t="n">
        <v>34991</v>
      </c>
      <c r="BL369" s="253" t="n">
        <v>34917</v>
      </c>
      <c r="BM369" s="253" t="n">
        <v>34917</v>
      </c>
      <c r="BN369" s="253" t="n">
        <v>34961</v>
      </c>
      <c r="BO369" s="253" t="n">
        <v>35072</v>
      </c>
      <c r="BP369" s="253" t="n">
        <v>34921</v>
      </c>
      <c r="BQ369" s="253" t="n">
        <v>36475</v>
      </c>
      <c r="BR369" s="253" t="n">
        <v>36475</v>
      </c>
      <c r="BS369" s="253" t="n">
        <v>36357</v>
      </c>
      <c r="BT369" s="253" t="n">
        <v>36348</v>
      </c>
      <c r="BU369" s="35" t="n"/>
      <c r="BV369" s="35" t="n"/>
      <c r="BW369" s="254">
        <f>BT369-8858-(BW321-SUM(BS321:BT321))</f>
        <v>27590</v>
      </c>
      <c r="BX369" s="254">
        <f>BW369+BX124*(1-BX132)</f>
        <v>27915</v>
      </c>
      <c r="BY369" s="254">
        <f>BX369+BY124*(1-BY132)</f>
        <v>28240</v>
      </c>
      <c r="BZ369" s="254">
        <f>BY369+BZ124*(1-BZ132)</f>
        <v>28565</v>
      </c>
      <c r="CA369" s="254">
        <f>BZ369+CA124*(1-CA132)</f>
        <v>28890</v>
      </c>
      <c r="CB369" s="254">
        <f>CA369+CB124*(1-CB132)</f>
        <v>29215</v>
      </c>
      <c r="CC369" s="19" t="n"/>
    </row>
    <row r="370" ht="15" customHeight="1" s="251">
      <c r="B370" s="25" t="inlineStr">
        <is>
          <t xml:space="preserve">  Other intangible assets, net</t>
        </is>
      </c>
      <c r="C370" s="34" t="n"/>
      <c r="D370" s="34" t="n"/>
      <c r="E370" s="253" t="n">
        <v>1081</v>
      </c>
      <c r="F370" s="253" t="n">
        <v>1054</v>
      </c>
      <c r="G370" s="253" t="n">
        <v>1037</v>
      </c>
      <c r="H370" s="253" t="n">
        <v>1023</v>
      </c>
      <c r="I370" s="253" t="n">
        <v>1033</v>
      </c>
      <c r="J370" s="253" t="n">
        <v>1033</v>
      </c>
      <c r="K370" s="253" t="n">
        <v>1036</v>
      </c>
      <c r="L370" s="253" t="n">
        <v>1022</v>
      </c>
      <c r="M370" s="253" t="n">
        <v>1012</v>
      </c>
      <c r="N370" s="253" t="n">
        <v>1004</v>
      </c>
      <c r="O370" s="253" t="n">
        <v>1004</v>
      </c>
      <c r="P370" s="253" t="n">
        <v>986</v>
      </c>
      <c r="Q370" s="253" t="n">
        <v>977</v>
      </c>
      <c r="R370" s="253" t="n">
        <v>1881</v>
      </c>
      <c r="S370" s="253" t="n">
        <v>1522</v>
      </c>
      <c r="T370" s="253" t="n">
        <v>1522</v>
      </c>
      <c r="U370" s="253" t="n">
        <v>1488</v>
      </c>
      <c r="V370" s="253" t="n">
        <v>1483</v>
      </c>
      <c r="W370" s="253" t="n">
        <v>1518</v>
      </c>
      <c r="X370" s="253" t="n">
        <v>1506</v>
      </c>
      <c r="Y370" s="253" t="n">
        <v>1506</v>
      </c>
      <c r="Z370" s="253" t="n">
        <v>1474</v>
      </c>
      <c r="AA370" s="253" t="n">
        <v>1442</v>
      </c>
      <c r="AB370" s="253" t="n">
        <v>1421</v>
      </c>
      <c r="AC370" s="253" t="n">
        <v>1388</v>
      </c>
      <c r="AD370" s="253" t="n">
        <v>1388</v>
      </c>
      <c r="AE370" s="253" t="n">
        <v>1390</v>
      </c>
      <c r="AF370" s="253" t="n">
        <v>1453</v>
      </c>
      <c r="AG370" s="253" t="n">
        <v>1420</v>
      </c>
      <c r="AH370" s="253" t="n">
        <v>1524</v>
      </c>
      <c r="AI370" s="253" t="n">
        <v>1524</v>
      </c>
      <c r="AJ370" s="253" t="n">
        <v>1492</v>
      </c>
      <c r="AK370" s="253" t="n">
        <v>1453</v>
      </c>
      <c r="AL370" s="253" t="n">
        <v>1427</v>
      </c>
      <c r="AM370" s="253" t="n">
        <v>1424</v>
      </c>
      <c r="AN370" s="253" t="n">
        <v>1424</v>
      </c>
      <c r="AO370" s="253" t="n">
        <v>1439</v>
      </c>
      <c r="AP370" s="253" t="n">
        <v>1407</v>
      </c>
      <c r="AQ370" s="253" t="n">
        <v>1376</v>
      </c>
      <c r="AR370" s="253" t="n">
        <v>1352</v>
      </c>
      <c r="AS370" s="253" t="n">
        <v>1352</v>
      </c>
      <c r="AT370" s="253" t="n">
        <v>1332</v>
      </c>
      <c r="AU370" s="253" t="n">
        <v>1311</v>
      </c>
      <c r="AV370" s="253" t="n">
        <v>1288</v>
      </c>
      <c r="AW370" s="253" t="n">
        <v>1285</v>
      </c>
      <c r="AX370" s="253" t="n">
        <v>1285</v>
      </c>
      <c r="AY370" s="253" t="n">
        <v>21177</v>
      </c>
      <c r="AZ370" s="253" t="n">
        <v>20059</v>
      </c>
      <c r="BA370" s="253" t="n">
        <v>19524</v>
      </c>
      <c r="BB370" s="253" t="n">
        <v>18306</v>
      </c>
      <c r="BC370" s="253" t="n">
        <v>18306</v>
      </c>
      <c r="BD370" s="253" t="n">
        <v>18168</v>
      </c>
      <c r="BE370" s="253" t="n">
        <v>17912</v>
      </c>
      <c r="BF370" s="253" t="n">
        <v>17635</v>
      </c>
      <c r="BG370" s="253" t="n">
        <v>17398</v>
      </c>
      <c r="BH370" s="253" t="n">
        <v>17398</v>
      </c>
      <c r="BI370" s="253" t="n">
        <v>17120</v>
      </c>
      <c r="BJ370" s="253" t="n">
        <v>17099</v>
      </c>
      <c r="BK370" s="253" t="n">
        <v>16848</v>
      </c>
      <c r="BL370" s="253" t="n">
        <v>16556</v>
      </c>
      <c r="BM370" s="253" t="n">
        <v>16556</v>
      </c>
      <c r="BN370" s="253" t="n">
        <v>16306</v>
      </c>
      <c r="BO370" s="253" t="n">
        <v>16078</v>
      </c>
      <c r="BP370" s="253" t="n">
        <v>15809</v>
      </c>
      <c r="BQ370" s="253" t="n">
        <v>16271</v>
      </c>
      <c r="BR370" s="253" t="n">
        <v>16271</v>
      </c>
      <c r="BS370" s="253" t="n">
        <v>15977</v>
      </c>
      <c r="BT370" s="253" t="n">
        <v>15695</v>
      </c>
      <c r="BU370" s="35" t="n"/>
      <c r="BV370" s="35" t="n"/>
      <c r="BW370" s="254">
        <f>BT370-3674-SUM(BU170:BV170)</f>
        <v>11635</v>
      </c>
      <c r="BX370" s="254">
        <f>BW370-BX170+BX124*BX132</f>
        <v>11013.1666666667</v>
      </c>
      <c r="BY370" s="254">
        <f>BX370-BY170+BY124*BY132</f>
        <v>10397.6666666667</v>
      </c>
      <c r="BZ370" s="254">
        <f>BY370-BZ170+BZ124*BZ132</f>
        <v>9796.5</v>
      </c>
      <c r="CA370" s="254">
        <f>BZ370-CA170+CA124*CA132</f>
        <v>9209.66666666667</v>
      </c>
      <c r="CB370" s="254">
        <f>CA370-CB170+CB124*CB132</f>
        <v>8636.16666666667</v>
      </c>
      <c r="CC370" s="19" t="inlineStr">
        <is>
          <t>Roll-forward: prior − deal-related amortization + acquired intangibles (M&amp;A lever); 2026E also − Mobility intangibles.</t>
        </is>
      </c>
    </row>
    <row r="371" ht="15" customHeight="1" s="251">
      <c r="B371" s="25" t="inlineStr">
        <is>
          <t xml:space="preserve">  Equity investments in unconsolidated subsidiaries</t>
        </is>
      </c>
      <c r="C371" s="34" t="n"/>
      <c r="D371" s="34" t="n"/>
      <c r="E371" s="253" t="n">
        <v>0</v>
      </c>
      <c r="F371" s="253" t="n">
        <v>0</v>
      </c>
      <c r="G371" s="253" t="n">
        <v>0</v>
      </c>
      <c r="H371" s="253" t="n">
        <v>0</v>
      </c>
      <c r="I371" s="253" t="n">
        <v>0</v>
      </c>
      <c r="J371" s="253" t="n">
        <v>0</v>
      </c>
      <c r="K371" s="253" t="n">
        <v>0</v>
      </c>
      <c r="L371" s="253" t="n">
        <v>0</v>
      </c>
      <c r="M371" s="253" t="n">
        <v>0</v>
      </c>
      <c r="N371" s="253" t="n">
        <v>0</v>
      </c>
      <c r="O371" s="253" t="n">
        <v>0</v>
      </c>
      <c r="P371" s="253" t="n">
        <v>0</v>
      </c>
      <c r="Q371" s="253" t="n">
        <v>0</v>
      </c>
      <c r="R371" s="253" t="n">
        <v>0</v>
      </c>
      <c r="S371" s="253" t="n">
        <v>0</v>
      </c>
      <c r="T371" s="253" t="n">
        <v>0</v>
      </c>
      <c r="U371" s="253" t="n">
        <v>0</v>
      </c>
      <c r="V371" s="253" t="n">
        <v>0</v>
      </c>
      <c r="W371" s="253" t="n">
        <v>0</v>
      </c>
      <c r="X371" s="253" t="n">
        <v>0</v>
      </c>
      <c r="Y371" s="253" t="n">
        <v>0</v>
      </c>
      <c r="Z371" s="253" t="n">
        <v>0</v>
      </c>
      <c r="AA371" s="253" t="n">
        <v>0</v>
      </c>
      <c r="AB371" s="253" t="n">
        <v>0</v>
      </c>
      <c r="AC371" s="253" t="n">
        <v>0</v>
      </c>
      <c r="AD371" s="253" t="n">
        <v>0</v>
      </c>
      <c r="AE371" s="253" t="n">
        <v>0</v>
      </c>
      <c r="AF371" s="253" t="n">
        <v>0</v>
      </c>
      <c r="AG371" s="253" t="n">
        <v>0</v>
      </c>
      <c r="AH371" s="253" t="n">
        <v>0</v>
      </c>
      <c r="AI371" s="253" t="n">
        <v>0</v>
      </c>
      <c r="AJ371" s="253" t="n">
        <v>0</v>
      </c>
      <c r="AK371" s="253" t="n">
        <v>0</v>
      </c>
      <c r="AL371" s="253" t="n">
        <v>0</v>
      </c>
      <c r="AM371" s="253" t="n">
        <v>0</v>
      </c>
      <c r="AN371" s="253" t="n">
        <v>0</v>
      </c>
      <c r="AO371" s="253" t="n">
        <v>0</v>
      </c>
      <c r="AP371" s="253" t="n">
        <v>0</v>
      </c>
      <c r="AQ371" s="253" t="n">
        <v>0</v>
      </c>
      <c r="AR371" s="253" t="n">
        <v>0</v>
      </c>
      <c r="AS371" s="253" t="n">
        <v>0</v>
      </c>
      <c r="AT371" s="253" t="n">
        <v>0</v>
      </c>
      <c r="AU371" s="253" t="n">
        <v>0</v>
      </c>
      <c r="AV371" s="253" t="n">
        <v>0</v>
      </c>
      <c r="AW371" s="253" t="n">
        <v>0</v>
      </c>
      <c r="AX371" s="253" t="n">
        <v>0</v>
      </c>
      <c r="AY371" s="253" t="n">
        <v>1616</v>
      </c>
      <c r="AZ371" s="253" t="n">
        <v>1859</v>
      </c>
      <c r="BA371" s="253" t="n">
        <v>1889</v>
      </c>
      <c r="BB371" s="253" t="n">
        <v>1752</v>
      </c>
      <c r="BC371" s="253" t="n">
        <v>1752</v>
      </c>
      <c r="BD371" s="253" t="n">
        <v>1750</v>
      </c>
      <c r="BE371" s="253" t="n">
        <v>1792</v>
      </c>
      <c r="BF371" s="253" t="n">
        <v>1791</v>
      </c>
      <c r="BG371" s="253" t="n">
        <v>1787</v>
      </c>
      <c r="BH371" s="253" t="n">
        <v>1787</v>
      </c>
      <c r="BI371" s="253" t="n">
        <v>1775</v>
      </c>
      <c r="BJ371" s="253" t="n">
        <v>1795</v>
      </c>
      <c r="BK371" s="253" t="n">
        <v>1800</v>
      </c>
      <c r="BL371" s="253" t="n">
        <v>1774</v>
      </c>
      <c r="BM371" s="253" t="n">
        <v>1774</v>
      </c>
      <c r="BN371" s="253" t="n">
        <v>1785</v>
      </c>
      <c r="BO371" s="253" t="n">
        <v>1846</v>
      </c>
      <c r="BP371" s="253" t="n">
        <v>1874</v>
      </c>
      <c r="BQ371" s="253" t="n">
        <v>603</v>
      </c>
      <c r="BR371" s="253" t="n">
        <v>603</v>
      </c>
      <c r="BS371" s="253" t="n">
        <v>605</v>
      </c>
      <c r="BT371" s="253" t="n">
        <v>613</v>
      </c>
      <c r="BU371" s="35" t="n"/>
      <c r="BV371" s="35" t="n"/>
      <c r="BW371" s="254">
        <f>BT371</f>
        <v>613</v>
      </c>
      <c r="BX371" s="254">
        <f>BW371</f>
        <v>613</v>
      </c>
      <c r="BY371" s="254">
        <f>BX371</f>
        <v>613</v>
      </c>
      <c r="BZ371" s="254">
        <f>BY371</f>
        <v>613</v>
      </c>
      <c r="CA371" s="254">
        <f>BZ371</f>
        <v>613</v>
      </c>
      <c r="CB371" s="254">
        <f>CA371</f>
        <v>613</v>
      </c>
      <c r="CC371" s="19" t="n"/>
    </row>
    <row r="372" ht="15" customHeight="1" s="251">
      <c r="B372" s="25" t="inlineStr">
        <is>
          <t xml:space="preserve">  Other non-current assets (derived)</t>
        </is>
      </c>
      <c r="C372" s="34" t="n"/>
      <c r="D372" s="34" t="n"/>
      <c r="E372" s="253" t="n">
        <v>266</v>
      </c>
      <c r="F372" s="253" t="n">
        <v>261</v>
      </c>
      <c r="G372" s="253" t="n">
        <v>244</v>
      </c>
      <c r="H372" s="253" t="n">
        <v>255</v>
      </c>
      <c r="I372" s="253" t="n">
        <v>431</v>
      </c>
      <c r="J372" s="253" t="n">
        <v>431</v>
      </c>
      <c r="K372" s="253" t="n">
        <v>456</v>
      </c>
      <c r="L372" s="253" t="n">
        <v>415</v>
      </c>
      <c r="M372" s="253" t="n">
        <v>436</v>
      </c>
      <c r="N372" s="253" t="n">
        <v>208</v>
      </c>
      <c r="O372" s="253" t="n">
        <v>208</v>
      </c>
      <c r="P372" s="253" t="n">
        <v>209</v>
      </c>
      <c r="Q372" s="253" t="n">
        <v>232</v>
      </c>
      <c r="R372" s="253" t="n">
        <v>241</v>
      </c>
      <c r="S372" s="253" t="n">
        <v>213</v>
      </c>
      <c r="T372" s="253" t="n">
        <v>213</v>
      </c>
      <c r="U372" s="253" t="n">
        <v>205</v>
      </c>
      <c r="V372" s="253" t="n">
        <v>225</v>
      </c>
      <c r="W372" s="253" t="n">
        <v>241</v>
      </c>
      <c r="X372" s="253" t="n">
        <v>272</v>
      </c>
      <c r="Y372" s="253" t="n">
        <v>272</v>
      </c>
      <c r="Z372" s="253" t="n">
        <v>292</v>
      </c>
      <c r="AA372" s="253" t="n">
        <v>380</v>
      </c>
      <c r="AB372" s="253" t="n">
        <v>389</v>
      </c>
      <c r="AC372" s="253" t="n">
        <v>449</v>
      </c>
      <c r="AD372" s="253" t="n">
        <v>449</v>
      </c>
      <c r="AE372" s="253" t="n">
        <v>508</v>
      </c>
      <c r="AF372" s="253" t="n">
        <v>485</v>
      </c>
      <c r="AG372" s="253" t="n">
        <v>516</v>
      </c>
      <c r="AH372" s="253" t="n">
        <v>525</v>
      </c>
      <c r="AI372" s="253" t="n">
        <v>525</v>
      </c>
      <c r="AJ372" s="253" t="n">
        <v>570</v>
      </c>
      <c r="AK372" s="253" t="n">
        <v>570</v>
      </c>
      <c r="AL372" s="253" t="n">
        <v>566</v>
      </c>
      <c r="AM372" s="253" t="n">
        <v>641</v>
      </c>
      <c r="AN372" s="253" t="n">
        <v>641</v>
      </c>
      <c r="AO372" s="253" t="n">
        <v>665</v>
      </c>
      <c r="AP372" s="253" t="n">
        <v>614</v>
      </c>
      <c r="AQ372" s="253" t="n">
        <v>612</v>
      </c>
      <c r="AR372" s="253" t="n">
        <v>684</v>
      </c>
      <c r="AS372" s="253" t="n">
        <v>684</v>
      </c>
      <c r="AT372" s="253" t="n">
        <v>719</v>
      </c>
      <c r="AU372" s="253" t="n">
        <v>722</v>
      </c>
      <c r="AV372" s="253" t="n">
        <v>757</v>
      </c>
      <c r="AW372" s="253" t="n">
        <v>758</v>
      </c>
      <c r="AX372" s="253" t="n">
        <v>758</v>
      </c>
      <c r="AY372" s="253" t="n">
        <v>897</v>
      </c>
      <c r="AZ372" s="253" t="n">
        <v>837</v>
      </c>
      <c r="BA372" s="253" t="n">
        <v>963</v>
      </c>
      <c r="BB372" s="253" t="n">
        <v>794</v>
      </c>
      <c r="BC372" s="253" t="n">
        <v>794</v>
      </c>
      <c r="BD372" s="253" t="n">
        <v>764</v>
      </c>
      <c r="BE372" s="253" t="n">
        <v>785</v>
      </c>
      <c r="BF372" s="253" t="n">
        <v>900</v>
      </c>
      <c r="BG372" s="253" t="n">
        <v>774</v>
      </c>
      <c r="BH372" s="253" t="n">
        <v>774</v>
      </c>
      <c r="BI372" s="253" t="n">
        <v>788</v>
      </c>
      <c r="BJ372" s="253" t="n">
        <v>825</v>
      </c>
      <c r="BK372" s="253" t="n">
        <v>885</v>
      </c>
      <c r="BL372" s="253" t="n">
        <v>837</v>
      </c>
      <c r="BM372" s="253" t="n">
        <v>837</v>
      </c>
      <c r="BN372" s="253" t="n">
        <v>819</v>
      </c>
      <c r="BO372" s="253" t="n">
        <v>842</v>
      </c>
      <c r="BP372" s="253" t="n">
        <v>837</v>
      </c>
      <c r="BQ372" s="253" t="n">
        <v>864</v>
      </c>
      <c r="BR372" s="253" t="n">
        <v>864</v>
      </c>
      <c r="BS372" s="253" t="n">
        <v>884</v>
      </c>
      <c r="BT372" s="253" t="n">
        <v>895</v>
      </c>
      <c r="BU372" s="35" t="n"/>
      <c r="BV372" s="35" t="n"/>
      <c r="BW372" s="254">
        <f>BT372-48</f>
        <v>847</v>
      </c>
      <c r="BX372" s="254">
        <f>BW372</f>
        <v>847</v>
      </c>
      <c r="BY372" s="254">
        <f>BX372</f>
        <v>847</v>
      </c>
      <c r="BZ372" s="254">
        <f>BY372</f>
        <v>847</v>
      </c>
      <c r="CA372" s="254">
        <f>BZ372</f>
        <v>847</v>
      </c>
      <c r="CB372" s="254">
        <f>CA372</f>
        <v>847</v>
      </c>
      <c r="CC372" s="19" t="n"/>
    </row>
    <row r="373" ht="15" customHeight="1" s="251">
      <c r="B373" s="55" t="inlineStr">
        <is>
          <t>TOTAL ASSETS</t>
        </is>
      </c>
      <c r="C373" s="269">
        <f>IF(ISNUMBER(C363),C366+SUM(C367:C372),"")</f>
      </c>
      <c r="D373" s="269">
        <f>IF(ISNUMBER(D363),D366+SUM(D367:D372),"")</f>
      </c>
      <c r="E373" s="269">
        <f>IF(ISNUMBER(E363),E366+SUM(E367:E372),"")</f>
        <v>7052</v>
      </c>
      <c r="F373" s="269">
        <f>IF(ISNUMBER(F363),F366+SUM(F367:F372),"")</f>
        <v>6270</v>
      </c>
      <c r="G373" s="269">
        <f>IF(ISNUMBER(G363),G366+SUM(G367:G372),"")</f>
        <v>6160</v>
      </c>
      <c r="H373" s="269">
        <f>IF(ISNUMBER(H363),H366+SUM(H367:H372),"")</f>
        <v>5848</v>
      </c>
      <c r="I373" s="269">
        <f>IF(ISNUMBER(I363),I366+SUM(I367:I372),"")</f>
        <v>6061</v>
      </c>
      <c r="J373" s="269">
        <f>IF(ISNUMBER(J363),J366+SUM(J367:J372),"")</f>
        <v>6061</v>
      </c>
      <c r="K373" s="269">
        <f>IF(ISNUMBER(K363),K366+SUM(K367:K372),"")</f>
        <v>6011</v>
      </c>
      <c r="L373" s="269">
        <f>IF(ISNUMBER(L363),L366+SUM(L367:L372),"")</f>
        <v>6057</v>
      </c>
      <c r="M373" s="269">
        <f>IF(ISNUMBER(M363),M366+SUM(M367:M372),"")</f>
        <v>6270</v>
      </c>
      <c r="N373" s="269">
        <f>IF(ISNUMBER(N363),N366+SUM(N367:N372),"")</f>
        <v>6771</v>
      </c>
      <c r="O373" s="269">
        <f>IF(ISNUMBER(O363),O366+SUM(O367:O372),"")</f>
        <v>6771</v>
      </c>
      <c r="P373" s="269">
        <f>IF(ISNUMBER(P363),P366+SUM(P367:P372),"")</f>
        <v>5448</v>
      </c>
      <c r="Q373" s="269">
        <f>IF(ISNUMBER(Q363),Q366+SUM(Q367:Q372),"")</f>
        <v>6013</v>
      </c>
      <c r="R373" s="269">
        <f>IF(ISNUMBER(R363),R366+SUM(R367:R372),"")</f>
        <v>8163</v>
      </c>
      <c r="S373" s="269">
        <f>IF(ISNUMBER(S363),S366+SUM(S367:S372),"")</f>
        <v>8183</v>
      </c>
      <c r="T373" s="269">
        <f>IF(ISNUMBER(T363),T366+SUM(T367:T372),"")</f>
        <v>8183</v>
      </c>
      <c r="U373" s="269">
        <f>IF(ISNUMBER(U363),U366+SUM(U367:U372),"")</f>
        <v>8261</v>
      </c>
      <c r="V373" s="269">
        <f>IF(ISNUMBER(V363),V366+SUM(V367:V372),"")</f>
        <v>8291</v>
      </c>
      <c r="W373" s="269">
        <f>IF(ISNUMBER(W363),W366+SUM(W367:W372),"")</f>
        <v>8676</v>
      </c>
      <c r="X373" s="269">
        <f>IF(ISNUMBER(X363),X366+SUM(X367:X372),"")</f>
        <v>8669</v>
      </c>
      <c r="Y373" s="269">
        <f>IF(ISNUMBER(Y363),Y366+SUM(Y367:Y372),"")</f>
        <v>8669</v>
      </c>
      <c r="Z373" s="269">
        <f>IF(ISNUMBER(Z363),Z366+SUM(Z367:Z372),"")</f>
        <v>8654</v>
      </c>
      <c r="AA373" s="269">
        <f>IF(ISNUMBER(AA363),AA366+SUM(AA367:AA372),"")</f>
        <v>8791</v>
      </c>
      <c r="AB373" s="269">
        <f>IF(ISNUMBER(AB363),AB366+SUM(AB367:AB372),"")</f>
        <v>8714</v>
      </c>
      <c r="AC373" s="269">
        <f>IF(ISNUMBER(AC363),AC366+SUM(AC367:AC372),"")</f>
        <v>9425</v>
      </c>
      <c r="AD373" s="269">
        <f>IF(ISNUMBER(AD363),AD366+SUM(AD367:AD372),"")</f>
        <v>9425</v>
      </c>
      <c r="AE373" s="269">
        <f>IF(ISNUMBER(AE363),AE366+SUM(AE367:AE372),"")</f>
        <v>8497</v>
      </c>
      <c r="AF373" s="269">
        <f>IF(ISNUMBER(AF363),AF366+SUM(AF367:AF372),"")</f>
        <v>9217</v>
      </c>
      <c r="AG373" s="269">
        <f>IF(ISNUMBER(AG363),AG366+SUM(AG367:AG372),"")</f>
        <v>9383</v>
      </c>
      <c r="AH373" s="269">
        <f>IF(ISNUMBER(AH363),AH366+SUM(AH367:AH372),"")</f>
        <v>9458</v>
      </c>
      <c r="AI373" s="269">
        <f>IF(ISNUMBER(AI363),AI366+SUM(AI367:AI372),"")</f>
        <v>9458</v>
      </c>
      <c r="AJ373" s="269">
        <f>IF(ISNUMBER(AJ363),AJ366+SUM(AJ367:AJ372),"")</f>
        <v>9720</v>
      </c>
      <c r="AK373" s="269">
        <f>IF(ISNUMBER(AK363),AK366+SUM(AK367:AK372),"")</f>
        <v>10185</v>
      </c>
      <c r="AL373" s="269">
        <f>IF(ISNUMBER(AL363),AL366+SUM(AL367:AL372),"")</f>
        <v>10188</v>
      </c>
      <c r="AM373" s="269">
        <f>IF(ISNUMBER(AM363),AM366+SUM(AM367:AM372),"")</f>
        <v>11348</v>
      </c>
      <c r="AN373" s="269">
        <f>IF(ISNUMBER(AN363),AN366+SUM(AN367:AN372),"")</f>
        <v>11348</v>
      </c>
      <c r="AO373" s="269">
        <f>IF(ISNUMBER(AO363),AO366+SUM(AO367:AO372),"")</f>
        <v>10463</v>
      </c>
      <c r="AP373" s="269">
        <f>IF(ISNUMBER(AP363),AP366+SUM(AP367:AP372),"")</f>
        <v>11105</v>
      </c>
      <c r="AQ373" s="269">
        <f>IF(ISNUMBER(AQ363),AQ366+SUM(AQ367:AQ372),"")</f>
        <v>11452</v>
      </c>
      <c r="AR373" s="269">
        <f>IF(ISNUMBER(AR363),AR366+SUM(AR367:AR372),"")</f>
        <v>12537</v>
      </c>
      <c r="AS373" s="269">
        <f>IF(ISNUMBER(AS363),AS366+SUM(AS367:AS372),"")</f>
        <v>12537</v>
      </c>
      <c r="AT373" s="269">
        <f>IF(ISNUMBER(AT363),AT366+SUM(AT367:AT372),"")</f>
        <v>12830</v>
      </c>
      <c r="AU373" s="269">
        <f>IF(ISNUMBER(AU363),AU366+SUM(AU367:AU372),"")</f>
        <v>13398</v>
      </c>
      <c r="AV373" s="269">
        <f>IF(ISNUMBER(AV363),AV366+SUM(AV367:AV372),"")</f>
        <v>14111</v>
      </c>
      <c r="AW373" s="269">
        <f>IF(ISNUMBER(AW363),AW366+SUM(AW367:AW372),"")</f>
        <v>15026</v>
      </c>
      <c r="AX373" s="269">
        <f>IF(ISNUMBER(AX363),AX366+SUM(AX367:AX372),"")</f>
        <v>15026</v>
      </c>
      <c r="AY373" s="269">
        <f>IF(ISNUMBER(AY363),AY366+SUM(AY367:AY372),"")</f>
        <v>66092</v>
      </c>
      <c r="AZ373" s="269">
        <f>IF(ISNUMBER(AZ363),AZ366+SUM(AZ367:AZ372),"")</f>
        <v>64323</v>
      </c>
      <c r="BA373" s="269">
        <f>IF(ISNUMBER(BA363),BA366+SUM(BA367:BA372),"")</f>
        <v>61813</v>
      </c>
      <c r="BB373" s="269">
        <f>IF(ISNUMBER(BB363),BB366+SUM(BB367:BB372),"")</f>
        <v>61784</v>
      </c>
      <c r="BC373" s="269">
        <f>IF(ISNUMBER(BC363),BC366+SUM(BC367:BC372),"")</f>
        <v>61784</v>
      </c>
      <c r="BD373" s="269">
        <f>IF(ISNUMBER(BD363),BD366+SUM(BD367:BD372),"")</f>
        <v>62024</v>
      </c>
      <c r="BE373" s="269">
        <f>IF(ISNUMBER(BE363),BE366+SUM(BE367:BE372),"")</f>
        <v>60695</v>
      </c>
      <c r="BF373" s="269">
        <f>IF(ISNUMBER(BF363),BF366+SUM(BF367:BF372),"")</f>
        <v>60561</v>
      </c>
      <c r="BG373" s="269">
        <f>IF(ISNUMBER(BG363),BG366+SUM(BG367:BG372),"")</f>
        <v>60589</v>
      </c>
      <c r="BH373" s="269">
        <f>IF(ISNUMBER(BH363),BH366+SUM(BH367:BH372),"")</f>
        <v>60589</v>
      </c>
      <c r="BI373" s="269">
        <f>IF(ISNUMBER(BI363),BI366+SUM(BI367:BI372),"")</f>
        <v>60477</v>
      </c>
      <c r="BJ373" s="269">
        <f>IF(ISNUMBER(BJ363),BJ366+SUM(BJ367:BJ372),"")</f>
        <v>60956</v>
      </c>
      <c r="BK373" s="269">
        <f>IF(ISNUMBER(BK363),BK366+SUM(BK367:BK372),"")</f>
        <v>60368</v>
      </c>
      <c r="BL373" s="269">
        <f>IF(ISNUMBER(BL363),BL366+SUM(BL367:BL372),"")</f>
        <v>60221</v>
      </c>
      <c r="BM373" s="269">
        <f>IF(ISNUMBER(BM363),BM366+SUM(BM367:BM372),"")</f>
        <v>60221</v>
      </c>
      <c r="BN373" s="269">
        <f>IF(ISNUMBER(BN363),BN366+SUM(BN367:BN372),"")</f>
        <v>59889</v>
      </c>
      <c r="BO373" s="269">
        <f>IF(ISNUMBER(BO363),BO366+SUM(BO367:BO372),"")</f>
        <v>60395</v>
      </c>
      <c r="BP373" s="269">
        <f>IF(ISNUMBER(BP363),BP366+SUM(BP367:BP372),"")</f>
        <v>59749</v>
      </c>
      <c r="BQ373" s="269">
        <f>IF(ISNUMBER(BQ363),BQ366+SUM(BQ367:BQ372),"")</f>
        <v>61200</v>
      </c>
      <c r="BR373" s="269">
        <f>IF(ISNUMBER(BR363),BR366+SUM(BR367:BR372),"")</f>
        <v>61200</v>
      </c>
      <c r="BS373" s="269">
        <f>IF(ISNUMBER(BS363),BS366+SUM(BS367:BS372),"")</f>
        <v>60792</v>
      </c>
      <c r="BT373" s="269">
        <f>IF(ISNUMBER(BT363),BT366+SUM(BT367:BT372),"")</f>
        <v>62906</v>
      </c>
      <c r="BU373" s="56" t="n"/>
      <c r="BV373" s="56" t="n"/>
      <c r="BW373" s="269">
        <f>IF(ISNUMBER(BW363),BW366+SUM(BW367:BW372),"")</f>
        <v>47303.514430137</v>
      </c>
      <c r="BX373" s="269">
        <f>IF(ISNUMBER(BX363),BX366+SUM(BX367:BX372),"")</f>
        <v>47313.6544767626</v>
      </c>
      <c r="BY373" s="269">
        <f>IF(ISNUMBER(BY363),BY366+SUM(BY367:BY372),"")</f>
        <v>47382.2016760433</v>
      </c>
      <c r="BZ373" s="269">
        <f>IF(ISNUMBER(BZ363),BZ366+SUM(BZ367:BZ372),"")</f>
        <v>47482.2501967674</v>
      </c>
      <c r="CA373" s="269">
        <f>IF(ISNUMBER(CA363),CA366+SUM(CA367:CA372),"")</f>
        <v>47609.4002103113</v>
      </c>
      <c r="CB373" s="269">
        <f>IF(ISNUMBER(CB363),CB366+SUM(CB367:CB372),"")</f>
        <v>47774.9723416518</v>
      </c>
      <c r="CC373" s="153" t="n"/>
      <c r="CE373" s="20">
        <f>IFERROR((CB373/BW373)^(1/5)-1,"n/m")</f>
        <v>0.00198543188706446</v>
      </c>
      <c r="CF373" s="20">
        <f>IFERROR((BR373/AS373)^(1/5)-1,"n/m")</f>
        <v>0.373129695161996</v>
      </c>
      <c r="CG373" s="20">
        <f>IFERROR((BR373/T373)^(1/10)-1,"n/m")</f>
        <v>0.222880126305004</v>
      </c>
      <c r="CH373" s="20" t="str">
        <f>IFERROR((BR373/C373)^(1/15)-1,"n/m")</f>
        <v>n/m</v>
      </c>
    </row>
    <row r="374" ht="15" customHeight="1" s="251">
      <c r="B374" s="25" t="inlineStr">
        <is>
          <t>LIABILITIES AND EQUITY</t>
        </is>
      </c>
      <c r="CC374" s="153" t="n"/>
    </row>
    <row r="375" ht="15" customHeight="1" s="251">
      <c r="B375" s="25" t="inlineStr">
        <is>
          <t xml:space="preserve">  Accounts payable</t>
        </is>
      </c>
      <c r="C375" s="34" t="n"/>
      <c r="D375" s="34" t="n"/>
      <c r="E375" s="253" t="n">
        <v>249</v>
      </c>
      <c r="F375" s="253" t="n">
        <v>250</v>
      </c>
      <c r="G375" s="253" t="n">
        <v>227</v>
      </c>
      <c r="H375" s="253" t="n">
        <v>227</v>
      </c>
      <c r="I375" s="253" t="n">
        <v>219</v>
      </c>
      <c r="J375" s="253" t="n">
        <v>219</v>
      </c>
      <c r="K375" s="253" t="n">
        <v>206</v>
      </c>
      <c r="L375" s="253" t="n">
        <v>198</v>
      </c>
      <c r="M375" s="253" t="n">
        <v>192</v>
      </c>
      <c r="N375" s="253" t="n">
        <v>191</v>
      </c>
      <c r="O375" s="253" t="n">
        <v>191</v>
      </c>
      <c r="P375" s="253" t="n">
        <v>181</v>
      </c>
      <c r="Q375" s="253" t="n">
        <v>181</v>
      </c>
      <c r="R375" s="253" t="n">
        <v>211</v>
      </c>
      <c r="S375" s="253" t="n">
        <v>206</v>
      </c>
      <c r="T375" s="253" t="n">
        <v>206</v>
      </c>
      <c r="U375" s="253" t="n">
        <v>168</v>
      </c>
      <c r="V375" s="253" t="n">
        <v>178</v>
      </c>
      <c r="W375" s="253" t="n">
        <v>199</v>
      </c>
      <c r="X375" s="253" t="n">
        <v>183</v>
      </c>
      <c r="Y375" s="253" t="n">
        <v>183</v>
      </c>
      <c r="Z375" s="253" t="n">
        <v>162</v>
      </c>
      <c r="AA375" s="253" t="n">
        <v>162</v>
      </c>
      <c r="AB375" s="253" t="n">
        <v>170</v>
      </c>
      <c r="AC375" s="253" t="n">
        <v>195</v>
      </c>
      <c r="AD375" s="253" t="n">
        <v>195</v>
      </c>
      <c r="AE375" s="253" t="n">
        <v>196</v>
      </c>
      <c r="AF375" s="253" t="n">
        <v>192</v>
      </c>
      <c r="AG375" s="253" t="n">
        <v>194</v>
      </c>
      <c r="AH375" s="253" t="n">
        <v>211</v>
      </c>
      <c r="AI375" s="253" t="n">
        <v>211</v>
      </c>
      <c r="AJ375" s="253" t="n">
        <v>217</v>
      </c>
      <c r="AK375" s="253" t="n">
        <v>214</v>
      </c>
      <c r="AL375" s="253" t="n">
        <v>188</v>
      </c>
      <c r="AM375" s="253" t="n">
        <v>190</v>
      </c>
      <c r="AN375" s="253" t="n">
        <v>190</v>
      </c>
      <c r="AO375" s="253" t="n">
        <v>203</v>
      </c>
      <c r="AP375" s="253" t="n">
        <v>186</v>
      </c>
      <c r="AQ375" s="253" t="n">
        <v>186</v>
      </c>
      <c r="AR375" s="253" t="n">
        <v>233</v>
      </c>
      <c r="AS375" s="253" t="n">
        <v>233</v>
      </c>
      <c r="AT375" s="253" t="n">
        <v>241</v>
      </c>
      <c r="AU375" s="253" t="n">
        <v>210</v>
      </c>
      <c r="AV375" s="253" t="n">
        <v>244</v>
      </c>
      <c r="AW375" s="253" t="n">
        <v>205</v>
      </c>
      <c r="AX375" s="253" t="n">
        <v>205</v>
      </c>
      <c r="AY375" s="253" t="n">
        <v>410</v>
      </c>
      <c r="AZ375" s="253" t="n">
        <v>385</v>
      </c>
      <c r="BA375" s="253" t="n">
        <v>371</v>
      </c>
      <c r="BB375" s="253" t="n">
        <v>450</v>
      </c>
      <c r="BC375" s="253" t="n">
        <v>450</v>
      </c>
      <c r="BD375" s="253" t="n">
        <v>456</v>
      </c>
      <c r="BE375" s="253" t="n">
        <v>488</v>
      </c>
      <c r="BF375" s="253" t="n">
        <v>458</v>
      </c>
      <c r="BG375" s="253" t="n">
        <v>557</v>
      </c>
      <c r="BH375" s="253" t="n">
        <v>557</v>
      </c>
      <c r="BI375" s="253" t="n">
        <v>458</v>
      </c>
      <c r="BJ375" s="253" t="n">
        <v>477</v>
      </c>
      <c r="BK375" s="253" t="n">
        <v>475</v>
      </c>
      <c r="BL375" s="253" t="n">
        <v>553</v>
      </c>
      <c r="BM375" s="253" t="n">
        <v>553</v>
      </c>
      <c r="BN375" s="253" t="n">
        <v>525</v>
      </c>
      <c r="BO375" s="253" t="n">
        <v>532</v>
      </c>
      <c r="BP375" s="253" t="n">
        <v>418</v>
      </c>
      <c r="BQ375" s="253" t="n">
        <v>610</v>
      </c>
      <c r="BR375" s="253" t="n">
        <v>610</v>
      </c>
      <c r="BS375" s="253" t="n">
        <v>510</v>
      </c>
      <c r="BT375" s="253" t="n">
        <v>611</v>
      </c>
      <c r="BU375" s="35" t="n"/>
      <c r="BV375" s="35" t="n"/>
      <c r="BW375" s="254">
        <f>BW405*BW408</f>
        <v>595.592281</v>
      </c>
      <c r="BX375" s="254">
        <f>BX405*BX408</f>
        <v>632.47432535134</v>
      </c>
      <c r="BY375" s="254">
        <f>BY405*BY408</f>
        <v>677.188111254642</v>
      </c>
      <c r="BZ375" s="254">
        <f>BZ405*BZ408</f>
        <v>723.684560583671</v>
      </c>
      <c r="CA375" s="254">
        <f>CA405*CA408</f>
        <v>771.181663379266</v>
      </c>
      <c r="CB375" s="254">
        <f>CB405*CB408</f>
        <v>821.722100678396</v>
      </c>
      <c r="CC375" s="19" t="n"/>
    </row>
    <row r="376" ht="15" customHeight="1" s="251">
      <c r="B376" s="25" t="inlineStr">
        <is>
          <t xml:space="preserve">  Accrued compensation and contributions to retirement plans</t>
        </is>
      </c>
      <c r="C376" s="34" t="n"/>
      <c r="D376" s="34" t="n"/>
      <c r="E376" s="253" t="n">
        <v>453</v>
      </c>
      <c r="F376" s="253" t="n">
        <v>250</v>
      </c>
      <c r="G376" s="253" t="n">
        <v>310</v>
      </c>
      <c r="H376" s="253" t="n">
        <v>349</v>
      </c>
      <c r="I376" s="253" t="n">
        <v>427</v>
      </c>
      <c r="J376" s="253" t="n">
        <v>427</v>
      </c>
      <c r="K376" s="253" t="n">
        <v>212</v>
      </c>
      <c r="L376" s="253" t="n">
        <v>292</v>
      </c>
      <c r="M376" s="253" t="n">
        <v>334</v>
      </c>
      <c r="N376" s="253" t="n">
        <v>410</v>
      </c>
      <c r="O376" s="253" t="n">
        <v>410</v>
      </c>
      <c r="P376" s="253" t="n">
        <v>201</v>
      </c>
      <c r="Q376" s="253" t="n">
        <v>264</v>
      </c>
      <c r="R376" s="253" t="n">
        <v>320</v>
      </c>
      <c r="S376" s="253" t="n">
        <v>383</v>
      </c>
      <c r="T376" s="253" t="n">
        <v>383</v>
      </c>
      <c r="U376" s="253" t="n">
        <v>193</v>
      </c>
      <c r="V376" s="253" t="n">
        <v>265</v>
      </c>
      <c r="W376" s="253" t="n">
        <v>315</v>
      </c>
      <c r="X376" s="253" t="n">
        <v>409</v>
      </c>
      <c r="Y376" s="253" t="n">
        <v>409</v>
      </c>
      <c r="Z376" s="253" t="n">
        <v>205</v>
      </c>
      <c r="AA376" s="253" t="n">
        <v>294</v>
      </c>
      <c r="AB376" s="253" t="n">
        <v>373</v>
      </c>
      <c r="AC376" s="253" t="n">
        <v>472</v>
      </c>
      <c r="AD376" s="253" t="n">
        <v>472</v>
      </c>
      <c r="AE376" s="253" t="n">
        <v>195</v>
      </c>
      <c r="AF376" s="253" t="n">
        <v>263</v>
      </c>
      <c r="AG376" s="253" t="n">
        <v>307</v>
      </c>
      <c r="AH376" s="253" t="n">
        <v>354</v>
      </c>
      <c r="AI376" s="253" t="n">
        <v>354</v>
      </c>
      <c r="AJ376" s="253" t="n">
        <v>200</v>
      </c>
      <c r="AK376" s="253" t="n">
        <v>269</v>
      </c>
      <c r="AL376" s="253" t="n">
        <v>327</v>
      </c>
      <c r="AM376" s="253" t="n">
        <v>446</v>
      </c>
      <c r="AN376" s="253" t="n">
        <v>446</v>
      </c>
      <c r="AO376" s="253" t="n">
        <v>222</v>
      </c>
      <c r="AP376" s="253" t="n">
        <v>295</v>
      </c>
      <c r="AQ376" s="253" t="n">
        <v>392</v>
      </c>
      <c r="AR376" s="253" t="n">
        <v>551</v>
      </c>
      <c r="AS376" s="253" t="n">
        <v>551</v>
      </c>
      <c r="AT376" s="253" t="n">
        <v>261</v>
      </c>
      <c r="AU376" s="253" t="n">
        <v>338</v>
      </c>
      <c r="AV376" s="253" t="n">
        <v>468</v>
      </c>
      <c r="AW376" s="253" t="n">
        <v>607</v>
      </c>
      <c r="AX376" s="253" t="n">
        <v>607</v>
      </c>
      <c r="AY376" s="253" t="n">
        <v>381</v>
      </c>
      <c r="AZ376" s="253" t="n">
        <v>431</v>
      </c>
      <c r="BA376" s="253" t="n">
        <v>531</v>
      </c>
      <c r="BB376" s="253" t="n">
        <v>753</v>
      </c>
      <c r="BC376" s="253" t="n">
        <v>753</v>
      </c>
      <c r="BD376" s="253" t="n">
        <v>385</v>
      </c>
      <c r="BE376" s="253" t="n">
        <v>507</v>
      </c>
      <c r="BF376" s="253" t="n">
        <v>655</v>
      </c>
      <c r="BG376" s="253" t="n">
        <v>906</v>
      </c>
      <c r="BH376" s="253" t="n">
        <v>906</v>
      </c>
      <c r="BI376" s="253" t="n">
        <v>419</v>
      </c>
      <c r="BJ376" s="253" t="n">
        <v>583</v>
      </c>
      <c r="BK376" s="253" t="n">
        <v>823</v>
      </c>
      <c r="BL376" s="253" t="n">
        <v>1073</v>
      </c>
      <c r="BM376" s="253" t="n">
        <v>1073</v>
      </c>
      <c r="BN376" s="253" t="n">
        <v>426</v>
      </c>
      <c r="BO376" s="253" t="n">
        <v>582</v>
      </c>
      <c r="BP376" s="253" t="n">
        <v>714</v>
      </c>
      <c r="BQ376" s="253" t="n">
        <v>988</v>
      </c>
      <c r="BR376" s="253" t="n">
        <v>988</v>
      </c>
      <c r="BS376" s="253" t="n">
        <v>439</v>
      </c>
      <c r="BT376" s="253" t="n">
        <v>581</v>
      </c>
      <c r="BU376" s="35" t="n"/>
      <c r="BV376" s="35" t="n"/>
      <c r="BW376" s="254">
        <f>BW405*BW409</f>
        <v>1031.391511</v>
      </c>
      <c r="BX376" s="254">
        <f>BX405*BX409</f>
        <v>1095.26041707183</v>
      </c>
      <c r="BY376" s="254">
        <f>BY405*BY409</f>
        <v>1172.69160729462</v>
      </c>
      <c r="BZ376" s="254">
        <f>BZ405*BZ409</f>
        <v>1253.20984881563</v>
      </c>
      <c r="CA376" s="254">
        <f>CA405*CA409</f>
        <v>1335.46092926653</v>
      </c>
      <c r="CB376" s="254">
        <f>CB405*CB409</f>
        <v>1422.98217434552</v>
      </c>
      <c r="CC376" s="19" t="n"/>
    </row>
    <row r="377" ht="15" customHeight="1" s="251">
      <c r="B377" s="25" t="inlineStr">
        <is>
          <t xml:space="preserve">  Short-term debt (commercial paper + current maturities)</t>
        </is>
      </c>
      <c r="C377" s="34" t="n"/>
      <c r="D377" s="34" t="n"/>
      <c r="E377" s="253" t="n">
        <v>457</v>
      </c>
      <c r="F377" s="253" t="n">
        <v>0</v>
      </c>
      <c r="G377" s="253" t="n">
        <v>0</v>
      </c>
      <c r="H377" s="253" t="n">
        <v>0</v>
      </c>
      <c r="I377" s="253" t="n">
        <v>0</v>
      </c>
      <c r="J377" s="253" t="n">
        <v>0</v>
      </c>
      <c r="K377" s="253" t="n">
        <v>0</v>
      </c>
      <c r="L377" s="253" t="n">
        <v>0</v>
      </c>
      <c r="M377" s="253" t="n">
        <v>0</v>
      </c>
      <c r="N377" s="253" t="n">
        <v>0</v>
      </c>
      <c r="O377" s="253" t="n">
        <v>0</v>
      </c>
      <c r="P377" s="253" t="n">
        <v>365</v>
      </c>
      <c r="Q377" s="253" t="n">
        <v>0</v>
      </c>
      <c r="R377" s="253" t="n">
        <v>0</v>
      </c>
      <c r="S377" s="253" t="n">
        <v>143</v>
      </c>
      <c r="T377" s="253" t="n">
        <v>143</v>
      </c>
      <c r="U377" s="253" t="n">
        <v>472</v>
      </c>
      <c r="V377" s="253" t="n">
        <v>309</v>
      </c>
      <c r="W377" s="253" t="n">
        <v>400</v>
      </c>
      <c r="X377" s="253" t="n">
        <v>0</v>
      </c>
      <c r="Y377" s="253" t="n">
        <v>0</v>
      </c>
      <c r="Z377" s="253" t="n">
        <v>0</v>
      </c>
      <c r="AA377" s="253" t="n">
        <v>0</v>
      </c>
      <c r="AB377" s="253" t="n">
        <v>0</v>
      </c>
      <c r="AC377" s="253" t="n">
        <v>399</v>
      </c>
      <c r="AD377" s="253" t="n">
        <v>399</v>
      </c>
      <c r="AE377" s="253" t="n">
        <v>400</v>
      </c>
      <c r="AF377" s="253" t="n">
        <v>0</v>
      </c>
      <c r="AG377" s="253" t="n">
        <v>0</v>
      </c>
      <c r="AH377" s="253" t="n">
        <v>0</v>
      </c>
      <c r="AI377" s="253" t="n">
        <v>0</v>
      </c>
      <c r="AJ377" s="253" t="n">
        <v>0</v>
      </c>
      <c r="AK377" s="253" t="n">
        <v>0</v>
      </c>
      <c r="AL377" s="253" t="n">
        <v>699</v>
      </c>
      <c r="AM377" s="253" t="n">
        <v>0</v>
      </c>
      <c r="AN377" s="253" t="n">
        <v>0</v>
      </c>
      <c r="AO377" s="253" t="n">
        <v>0</v>
      </c>
      <c r="AP377" s="253" t="n">
        <v>0</v>
      </c>
      <c r="AQ377" s="253" t="n">
        <v>0</v>
      </c>
      <c r="AR377" s="253" t="n">
        <v>0</v>
      </c>
      <c r="AS377" s="253" t="n">
        <v>0</v>
      </c>
      <c r="AT377" s="253" t="n">
        <v>0</v>
      </c>
      <c r="AU377" s="253" t="n">
        <v>0</v>
      </c>
      <c r="AV377" s="253" t="n">
        <v>0</v>
      </c>
      <c r="AW377" s="253" t="n">
        <v>0</v>
      </c>
      <c r="AX377" s="253" t="n">
        <v>0</v>
      </c>
      <c r="AY377" s="253" t="n">
        <v>66</v>
      </c>
      <c r="AZ377" s="253" t="n">
        <v>14</v>
      </c>
      <c r="BA377" s="253" t="n">
        <v>52</v>
      </c>
      <c r="BB377" s="253" t="n">
        <v>226</v>
      </c>
      <c r="BC377" s="253" t="n">
        <v>226</v>
      </c>
      <c r="BD377" s="253" t="n">
        <v>936</v>
      </c>
      <c r="BE377" s="253" t="n">
        <v>825</v>
      </c>
      <c r="BF377" s="253" t="n">
        <v>47</v>
      </c>
      <c r="BG377" s="253" t="n">
        <v>47</v>
      </c>
      <c r="BH377" s="253" t="n">
        <v>47</v>
      </c>
      <c r="BI377" s="253" t="n">
        <v>301</v>
      </c>
      <c r="BJ377" s="253" t="n">
        <v>4</v>
      </c>
      <c r="BK377" s="253" t="n">
        <v>4</v>
      </c>
      <c r="BL377" s="253" t="n">
        <v>4</v>
      </c>
      <c r="BM377" s="253" t="n">
        <v>4</v>
      </c>
      <c r="BN377" s="253" t="n">
        <v>3</v>
      </c>
      <c r="BO377" s="253" t="n">
        <v>3</v>
      </c>
      <c r="BP377" s="253" t="n">
        <v>3</v>
      </c>
      <c r="BQ377" s="253" t="n">
        <v>718</v>
      </c>
      <c r="BR377" s="253" t="n">
        <v>718</v>
      </c>
      <c r="BS377" s="253" t="n">
        <v>2697</v>
      </c>
      <c r="BT377" s="253" t="n">
        <v>2572</v>
      </c>
      <c r="BU377" s="35" t="n"/>
      <c r="BV377" s="35" t="n"/>
      <c r="BW377" s="254">
        <f>BW440+MIN(BW434,BW437)</f>
        <v>3200.8973737703</v>
      </c>
      <c r="BX377" s="254">
        <f>BX440+MIN(BX434,BX437)</f>
        <v>1348.95648041275</v>
      </c>
      <c r="BY377" s="254">
        <f>BY440+MIN(BY434,BY437)</f>
        <v>4142.97070110395</v>
      </c>
      <c r="BZ377" s="254">
        <f>BZ440+MIN(BZ434,BZ437)</f>
        <v>2071.39420732333</v>
      </c>
      <c r="CA377" s="254">
        <f>CA440+MIN(CA434,CA437)</f>
        <v>2109.61068940676</v>
      </c>
      <c r="CB377" s="254">
        <f>CB440+MIN(CB434,CB437)</f>
        <v>3031.26551998465</v>
      </c>
      <c r="CC377" s="19" t="n"/>
    </row>
    <row r="378" ht="15" customHeight="1" s="251">
      <c r="B378" s="25" t="inlineStr">
        <is>
          <t xml:space="preserve">  Income taxes currently payable</t>
        </is>
      </c>
      <c r="C378" s="34" t="n"/>
      <c r="D378" s="34" t="n"/>
      <c r="E378" s="253" t="n">
        <v>158</v>
      </c>
      <c r="F378" s="253" t="n">
        <v>346</v>
      </c>
      <c r="G378" s="253" t="n">
        <v>177</v>
      </c>
      <c r="H378" s="253" t="n">
        <v>113</v>
      </c>
      <c r="I378" s="253" t="n">
        <v>15</v>
      </c>
      <c r="J378" s="253" t="n">
        <v>15</v>
      </c>
      <c r="K378" s="253" t="n">
        <v>75</v>
      </c>
      <c r="L378" s="253" t="n">
        <v>96</v>
      </c>
      <c r="M378" s="253" t="n">
        <v>73</v>
      </c>
      <c r="N378" s="253" t="n">
        <v>32</v>
      </c>
      <c r="O378" s="253" t="n">
        <v>32</v>
      </c>
      <c r="P378" s="253" t="n">
        <v>0</v>
      </c>
      <c r="Q378" s="253" t="n">
        <v>59</v>
      </c>
      <c r="R378" s="253" t="n">
        <v>0</v>
      </c>
      <c r="S378" s="253" t="n">
        <v>56</v>
      </c>
      <c r="T378" s="253" t="n">
        <v>56</v>
      </c>
      <c r="U378" s="253" t="n">
        <v>0</v>
      </c>
      <c r="V378" s="253" t="n">
        <v>0</v>
      </c>
      <c r="W378" s="253" t="n">
        <v>0</v>
      </c>
      <c r="X378" s="253" t="n">
        <v>95</v>
      </c>
      <c r="Y378" s="253" t="n">
        <v>95</v>
      </c>
      <c r="Z378" s="253" t="n">
        <v>0</v>
      </c>
      <c r="AA378" s="253" t="n">
        <v>0</v>
      </c>
      <c r="AB378" s="253" t="n">
        <v>0</v>
      </c>
      <c r="AC378" s="253" t="n">
        <v>77</v>
      </c>
      <c r="AD378" s="253" t="n">
        <v>77</v>
      </c>
      <c r="AE378" s="253" t="n">
        <v>0</v>
      </c>
      <c r="AF378" s="253" t="n">
        <v>0</v>
      </c>
      <c r="AG378" s="253" t="n">
        <v>0</v>
      </c>
      <c r="AH378" s="253" t="n">
        <v>72</v>
      </c>
      <c r="AI378" s="253" t="n">
        <v>72</v>
      </c>
      <c r="AJ378" s="253" t="n">
        <v>0</v>
      </c>
      <c r="AK378" s="253" t="n">
        <v>0</v>
      </c>
      <c r="AL378" s="253" t="n">
        <v>0</v>
      </c>
      <c r="AM378" s="253" t="n">
        <v>68</v>
      </c>
      <c r="AN378" s="253" t="n">
        <v>68</v>
      </c>
      <c r="AO378" s="253" t="n">
        <v>0</v>
      </c>
      <c r="AP378" s="253" t="n">
        <v>0</v>
      </c>
      <c r="AQ378" s="253" t="n">
        <v>0</v>
      </c>
      <c r="AR378" s="253" t="n">
        <v>84</v>
      </c>
      <c r="AS378" s="253" t="n">
        <v>84</v>
      </c>
      <c r="AT378" s="253" t="n">
        <v>0</v>
      </c>
      <c r="AU378" s="253" t="n">
        <v>0</v>
      </c>
      <c r="AV378" s="253" t="n">
        <v>0</v>
      </c>
      <c r="AW378" s="253" t="n">
        <v>90</v>
      </c>
      <c r="AX378" s="253" t="n">
        <v>90</v>
      </c>
      <c r="AY378" s="253" t="n">
        <v>0</v>
      </c>
      <c r="AZ378" s="253" t="n">
        <v>0</v>
      </c>
      <c r="BA378" s="253" t="n">
        <v>0</v>
      </c>
      <c r="BB378" s="253" t="n">
        <v>116</v>
      </c>
      <c r="BC378" s="253" t="n">
        <v>116</v>
      </c>
      <c r="BD378" s="253" t="n">
        <v>219</v>
      </c>
      <c r="BE378" s="253" t="n">
        <v>127</v>
      </c>
      <c r="BF378" s="253" t="n">
        <v>59</v>
      </c>
      <c r="BG378" s="253" t="n">
        <v>121</v>
      </c>
      <c r="BH378" s="253" t="n">
        <v>121</v>
      </c>
      <c r="BI378" s="253" t="n">
        <v>179</v>
      </c>
      <c r="BJ378" s="253" t="n">
        <v>180</v>
      </c>
      <c r="BK378" s="253" t="n">
        <v>188</v>
      </c>
      <c r="BL378" s="253" t="n">
        <v>199</v>
      </c>
      <c r="BM378" s="253" t="n">
        <v>199</v>
      </c>
      <c r="BN378" s="253" t="n">
        <v>228</v>
      </c>
      <c r="BO378" s="253" t="n">
        <v>198</v>
      </c>
      <c r="BP378" s="253" t="n">
        <v>197</v>
      </c>
      <c r="BQ378" s="253" t="n">
        <v>180</v>
      </c>
      <c r="BR378" s="253" t="n">
        <v>180</v>
      </c>
      <c r="BS378" s="253" t="n">
        <v>482</v>
      </c>
      <c r="BT378" s="253" t="n">
        <v>238</v>
      </c>
      <c r="BU378" s="35" t="n"/>
      <c r="BV378" s="35" t="n"/>
      <c r="BW378" s="254">
        <f>BW405*BW410</f>
        <v>188.846333</v>
      </c>
      <c r="BX378" s="254">
        <f>BX405*BX410</f>
        <v>200.540639745547</v>
      </c>
      <c r="BY378" s="254">
        <f>BY405*BY410</f>
        <v>214.718181617326</v>
      </c>
      <c r="BZ378" s="254">
        <f>BZ405*BZ410</f>
        <v>229.460958233847</v>
      </c>
      <c r="CA378" s="254">
        <f>CA405*CA410</f>
        <v>244.521015217816</v>
      </c>
      <c r="CB378" s="254">
        <f>CB405*CB410</f>
        <v>260.546031922418</v>
      </c>
      <c r="CC378" s="19" t="n"/>
    </row>
    <row r="379" ht="15" customHeight="1" s="251">
      <c r="B379" s="25" t="inlineStr">
        <is>
          <t xml:space="preserve">  Unearned revenue</t>
        </is>
      </c>
      <c r="C379" s="34" t="n"/>
      <c r="D379" s="34" t="n"/>
      <c r="E379" s="253" t="n">
        <v>1229</v>
      </c>
      <c r="F379" s="253" t="n">
        <v>1279</v>
      </c>
      <c r="G379" s="253" t="n">
        <v>1284</v>
      </c>
      <c r="H379" s="253" t="n">
        <v>1240</v>
      </c>
      <c r="I379" s="253" t="n">
        <v>1309</v>
      </c>
      <c r="J379" s="253" t="n">
        <v>1309</v>
      </c>
      <c r="K379" s="253" t="n">
        <v>1310</v>
      </c>
      <c r="L379" s="253" t="n">
        <v>1322</v>
      </c>
      <c r="M379" s="253" t="n">
        <v>1266</v>
      </c>
      <c r="N379" s="253" t="n">
        <v>1323</v>
      </c>
      <c r="O379" s="253" t="n">
        <v>1323</v>
      </c>
      <c r="P379" s="253" t="n">
        <v>1356</v>
      </c>
      <c r="Q379" s="253" t="n">
        <v>1387</v>
      </c>
      <c r="R379" s="253" t="n">
        <v>1453</v>
      </c>
      <c r="S379" s="253" t="n">
        <v>1421</v>
      </c>
      <c r="T379" s="253" t="n">
        <v>1421</v>
      </c>
      <c r="U379" s="253" t="n">
        <v>1458</v>
      </c>
      <c r="V379" s="253" t="n">
        <v>1460</v>
      </c>
      <c r="W379" s="253" t="n">
        <v>1408</v>
      </c>
      <c r="X379" s="253" t="n">
        <v>1509</v>
      </c>
      <c r="Y379" s="253" t="n">
        <v>1509</v>
      </c>
      <c r="Z379" s="253" t="n">
        <v>1510</v>
      </c>
      <c r="AA379" s="253" t="n">
        <v>1502</v>
      </c>
      <c r="AB379" s="253" t="n">
        <v>1424</v>
      </c>
      <c r="AC379" s="253" t="n">
        <v>1613</v>
      </c>
      <c r="AD379" s="253" t="n">
        <v>1613</v>
      </c>
      <c r="AE379" s="253" t="n">
        <v>1679</v>
      </c>
      <c r="AF379" s="253" t="n">
        <v>1689</v>
      </c>
      <c r="AG379" s="253" t="n">
        <v>1576</v>
      </c>
      <c r="AH379" s="253" t="n">
        <v>1641</v>
      </c>
      <c r="AI379" s="253" t="n">
        <v>1641</v>
      </c>
      <c r="AJ379" s="253" t="n">
        <v>1689</v>
      </c>
      <c r="AK379" s="253" t="n">
        <v>1709</v>
      </c>
      <c r="AL379" s="253" t="n">
        <v>1614</v>
      </c>
      <c r="AM379" s="253" t="n">
        <v>1928</v>
      </c>
      <c r="AN379" s="253" t="n">
        <v>1928</v>
      </c>
      <c r="AO379" s="253" t="n">
        <v>1897</v>
      </c>
      <c r="AP379" s="253" t="n">
        <v>1850</v>
      </c>
      <c r="AQ379" s="253" t="n">
        <v>1720</v>
      </c>
      <c r="AR379" s="253" t="n">
        <v>2168</v>
      </c>
      <c r="AS379" s="253" t="n">
        <v>2168</v>
      </c>
      <c r="AT379" s="253" t="n">
        <v>2111</v>
      </c>
      <c r="AU379" s="253" t="n">
        <v>2099</v>
      </c>
      <c r="AV379" s="253" t="n">
        <v>2006</v>
      </c>
      <c r="AW379" s="253" t="n">
        <v>2217</v>
      </c>
      <c r="AX379" s="253" t="n">
        <v>2217</v>
      </c>
      <c r="AY379" s="253" t="n">
        <v>3167</v>
      </c>
      <c r="AZ379" s="253" t="n">
        <v>2933</v>
      </c>
      <c r="BA379" s="253" t="n">
        <v>2870</v>
      </c>
      <c r="BB379" s="253" t="n">
        <v>3126</v>
      </c>
      <c r="BC379" s="253" t="n">
        <v>3126</v>
      </c>
      <c r="BD379" s="253" t="n">
        <v>3175</v>
      </c>
      <c r="BE379" s="253" t="n">
        <v>3148</v>
      </c>
      <c r="BF379" s="253" t="n">
        <v>3022</v>
      </c>
      <c r="BG379" s="253" t="n">
        <v>3461</v>
      </c>
      <c r="BH379" s="253" t="n">
        <v>3461</v>
      </c>
      <c r="BI379" s="253" t="n">
        <v>3535</v>
      </c>
      <c r="BJ379" s="253" t="n">
        <v>3406</v>
      </c>
      <c r="BK379" s="253" t="n">
        <v>3288</v>
      </c>
      <c r="BL379" s="253" t="n">
        <v>3694</v>
      </c>
      <c r="BM379" s="253" t="n">
        <v>3694</v>
      </c>
      <c r="BN379" s="253" t="n">
        <v>3891</v>
      </c>
      <c r="BO379" s="253" t="n">
        <v>3871</v>
      </c>
      <c r="BP379" s="253" t="n">
        <v>3627</v>
      </c>
      <c r="BQ379" s="253" t="n">
        <v>4088</v>
      </c>
      <c r="BR379" s="253" t="n">
        <v>4088</v>
      </c>
      <c r="BS379" s="253" t="n">
        <v>3980</v>
      </c>
      <c r="BT379" s="253" t="n">
        <v>3929</v>
      </c>
      <c r="BU379" s="35" t="n"/>
      <c r="BV379" s="35" t="n"/>
      <c r="BW379" s="254">
        <f>BW405*BW407</f>
        <v>4270.832454</v>
      </c>
      <c r="BX379" s="254">
        <f>BX405*BX407</f>
        <v>4535.30369886083</v>
      </c>
      <c r="BY379" s="254">
        <f>BY405*BY407</f>
        <v>4855.93426119183</v>
      </c>
      <c r="BZ379" s="254">
        <f>BZ405*BZ407</f>
        <v>5189.34782467315</v>
      </c>
      <c r="CA379" s="254">
        <f>CA405*CA407</f>
        <v>5529.93680569522</v>
      </c>
      <c r="CB379" s="254">
        <f>CB405*CB407</f>
        <v>5892.34872193777</v>
      </c>
      <c r="CC379" s="19" t="n"/>
    </row>
    <row r="380" ht="15" customHeight="1" s="251">
      <c r="B380" s="25" t="inlineStr">
        <is>
          <t xml:space="preserve">  Other current liabilities, liabilities held for sale (derived)</t>
        </is>
      </c>
      <c r="C380" s="34" t="n"/>
      <c r="D380" s="34" t="n"/>
      <c r="E380" s="253" t="n">
        <v>1121</v>
      </c>
      <c r="F380" s="253" t="n">
        <v>563</v>
      </c>
      <c r="G380" s="253" t="n">
        <v>397</v>
      </c>
      <c r="H380" s="253" t="n">
        <v>430</v>
      </c>
      <c r="I380" s="253" t="n">
        <v>402</v>
      </c>
      <c r="J380" s="253" t="n">
        <v>402</v>
      </c>
      <c r="K380" s="253" t="n">
        <v>451</v>
      </c>
      <c r="L380" s="253" t="n">
        <v>344</v>
      </c>
      <c r="M380" s="253" t="n">
        <v>519</v>
      </c>
      <c r="N380" s="253" t="n">
        <v>2011</v>
      </c>
      <c r="O380" s="253" t="n">
        <v>2011</v>
      </c>
      <c r="P380" s="253" t="n">
        <v>476</v>
      </c>
      <c r="Q380" s="253" t="n">
        <v>349</v>
      </c>
      <c r="R380" s="253" t="n">
        <v>521</v>
      </c>
      <c r="S380" s="253" t="n">
        <v>699</v>
      </c>
      <c r="T380" s="253" t="n">
        <v>699</v>
      </c>
      <c r="U380" s="253" t="n">
        <v>691</v>
      </c>
      <c r="V380" s="253" t="n">
        <v>633</v>
      </c>
      <c r="W380" s="253" t="n">
        <v>729</v>
      </c>
      <c r="X380" s="253" t="n">
        <v>415</v>
      </c>
      <c r="Y380" s="253" t="n">
        <v>415</v>
      </c>
      <c r="Z380" s="253" t="n">
        <v>592</v>
      </c>
      <c r="AA380" s="253" t="n">
        <v>404</v>
      </c>
      <c r="AB380" s="253" t="n">
        <v>441</v>
      </c>
      <c r="AC380" s="253" t="n">
        <v>458</v>
      </c>
      <c r="AD380" s="253" t="n">
        <v>458</v>
      </c>
      <c r="AE380" s="253" t="n">
        <v>665</v>
      </c>
      <c r="AF380" s="253" t="n">
        <v>580</v>
      </c>
      <c r="AG380" s="253" t="n">
        <v>440</v>
      </c>
      <c r="AH380" s="253" t="n">
        <v>351</v>
      </c>
      <c r="AI380" s="253" t="n">
        <v>351</v>
      </c>
      <c r="AJ380" s="253" t="n">
        <v>549</v>
      </c>
      <c r="AK380" s="253" t="n">
        <v>507</v>
      </c>
      <c r="AL380" s="253" t="n">
        <v>545</v>
      </c>
      <c r="AM380" s="253" t="n">
        <v>461</v>
      </c>
      <c r="AN380" s="253" t="n">
        <v>461</v>
      </c>
      <c r="AO380" s="253" t="n">
        <v>661</v>
      </c>
      <c r="AP380" s="253" t="n">
        <v>709</v>
      </c>
      <c r="AQ380" s="253" t="n">
        <v>517</v>
      </c>
      <c r="AR380" s="253" t="n">
        <v>551</v>
      </c>
      <c r="AS380" s="253" t="n">
        <v>551</v>
      </c>
      <c r="AT380" s="253" t="n">
        <v>790</v>
      </c>
      <c r="AU380" s="253" t="n">
        <v>668</v>
      </c>
      <c r="AV380" s="253" t="n">
        <v>668</v>
      </c>
      <c r="AW380" s="253" t="n">
        <v>696</v>
      </c>
      <c r="AX380" s="253" t="n">
        <v>696</v>
      </c>
      <c r="AY380" s="253" t="n">
        <v>1629</v>
      </c>
      <c r="AZ380" s="253" t="n">
        <v>1195</v>
      </c>
      <c r="BA380" s="253" t="n">
        <v>1224</v>
      </c>
      <c r="BB380" s="253" t="n">
        <v>1328</v>
      </c>
      <c r="BC380" s="253" t="n">
        <v>1328</v>
      </c>
      <c r="BD380" s="253" t="n">
        <v>1223</v>
      </c>
      <c r="BE380" s="253" t="n">
        <v>935</v>
      </c>
      <c r="BF380" s="253" t="n">
        <v>977</v>
      </c>
      <c r="BG380" s="253" t="n">
        <v>1033</v>
      </c>
      <c r="BH380" s="253" t="n">
        <v>1033</v>
      </c>
      <c r="BI380" s="253" t="n">
        <v>985</v>
      </c>
      <c r="BJ380" s="253" t="n">
        <v>850</v>
      </c>
      <c r="BK380" s="253" t="n">
        <v>727</v>
      </c>
      <c r="BL380" s="253" t="n">
        <v>869</v>
      </c>
      <c r="BM380" s="253" t="n">
        <v>869</v>
      </c>
      <c r="BN380" s="253" t="n">
        <v>847</v>
      </c>
      <c r="BO380" s="253" t="n">
        <v>796</v>
      </c>
      <c r="BP380" s="253" t="n">
        <v>844</v>
      </c>
      <c r="BQ380" s="253" t="n">
        <v>1053</v>
      </c>
      <c r="BR380" s="253" t="n">
        <v>1053</v>
      </c>
      <c r="BS380" s="253" t="n">
        <v>1227</v>
      </c>
      <c r="BT380" s="253" t="n">
        <v>1194</v>
      </c>
      <c r="BU380" s="35" t="n"/>
      <c r="BV380" s="35" t="n"/>
      <c r="BW380" s="254">
        <f>BW405*BW411</f>
        <v>1045.918152</v>
      </c>
      <c r="BX380" s="254">
        <f>BX405*BX411</f>
        <v>1110.68662012918</v>
      </c>
      <c r="BY380" s="254">
        <f>BY405*BY411</f>
        <v>1189.20839049596</v>
      </c>
      <c r="BZ380" s="254">
        <f>BZ405*BZ411</f>
        <v>1270.86069175669</v>
      </c>
      <c r="CA380" s="254">
        <f>CA405*CA411</f>
        <v>1354.27023812944</v>
      </c>
      <c r="CB380" s="254">
        <f>CB405*CB411</f>
        <v>1443.02417680109</v>
      </c>
      <c r="CC380" s="19" t="n"/>
    </row>
    <row r="381" ht="15" customHeight="1" s="251">
      <c r="B381" s="16" t="inlineStr">
        <is>
          <t>Total current liabilities</t>
        </is>
      </c>
      <c r="C381" s="260">
        <f>IF(ISNUMBER(C375),SUM(C375:C380),"")</f>
      </c>
      <c r="D381" s="260">
        <f>IF(ISNUMBER(D375),SUM(D375:D380),"")</f>
      </c>
      <c r="E381" s="260">
        <f>IF(ISNUMBER(E375),SUM(E375:E380),"")</f>
        <v>3667</v>
      </c>
      <c r="F381" s="260">
        <f>IF(ISNUMBER(F375),SUM(F375:F380),"")</f>
        <v>2688</v>
      </c>
      <c r="G381" s="260">
        <f>IF(ISNUMBER(G375),SUM(G375:G380),"")</f>
        <v>2395</v>
      </c>
      <c r="H381" s="260">
        <f>IF(ISNUMBER(H375),SUM(H375:H380),"")</f>
        <v>2359</v>
      </c>
      <c r="I381" s="260">
        <f>IF(ISNUMBER(I375),SUM(I375:I380),"")</f>
        <v>2372</v>
      </c>
      <c r="J381" s="260">
        <f>IF(ISNUMBER(J375),SUM(J375:J380),"")</f>
        <v>2372</v>
      </c>
      <c r="K381" s="260">
        <f>IF(ISNUMBER(K375),SUM(K375:K380),"")</f>
        <v>2254</v>
      </c>
      <c r="L381" s="260">
        <f>IF(ISNUMBER(L375),SUM(L375:L380),"")</f>
        <v>2252</v>
      </c>
      <c r="M381" s="260">
        <f>IF(ISNUMBER(M375),SUM(M375:M380),"")</f>
        <v>2384</v>
      </c>
      <c r="N381" s="260">
        <f>IF(ISNUMBER(N375),SUM(N375:N380),"")</f>
        <v>3967</v>
      </c>
      <c r="O381" s="260">
        <f>IF(ISNUMBER(O375),SUM(O375:O380),"")</f>
        <v>3967</v>
      </c>
      <c r="P381" s="260">
        <f>IF(ISNUMBER(P375),SUM(P375:P380),"")</f>
        <v>2579</v>
      </c>
      <c r="Q381" s="260">
        <f>IF(ISNUMBER(Q375),SUM(Q375:Q380),"")</f>
        <v>2240</v>
      </c>
      <c r="R381" s="260">
        <f>IF(ISNUMBER(R375),SUM(R375:R380),"")</f>
        <v>2505</v>
      </c>
      <c r="S381" s="260">
        <f>IF(ISNUMBER(S375),SUM(S375:S380),"")</f>
        <v>2908</v>
      </c>
      <c r="T381" s="260">
        <f>IF(ISNUMBER(T375),SUM(T375:T380),"")</f>
        <v>2908</v>
      </c>
      <c r="U381" s="260">
        <f>IF(ISNUMBER(U375),SUM(U375:U380),"")</f>
        <v>2982</v>
      </c>
      <c r="V381" s="260">
        <f>IF(ISNUMBER(V375),SUM(V375:V380),"")</f>
        <v>2845</v>
      </c>
      <c r="W381" s="260">
        <f>IF(ISNUMBER(W375),SUM(W375:W380),"")</f>
        <v>3051</v>
      </c>
      <c r="X381" s="260">
        <f>IF(ISNUMBER(X375),SUM(X375:X380),"")</f>
        <v>2611</v>
      </c>
      <c r="Y381" s="260">
        <f>IF(ISNUMBER(Y375),SUM(Y375:Y380),"")</f>
        <v>2611</v>
      </c>
      <c r="Z381" s="260">
        <f>IF(ISNUMBER(Z375),SUM(Z375:Z380),"")</f>
        <v>2469</v>
      </c>
      <c r="AA381" s="260">
        <f>IF(ISNUMBER(AA375),SUM(AA375:AA380),"")</f>
        <v>2362</v>
      </c>
      <c r="AB381" s="260">
        <f>IF(ISNUMBER(AB375),SUM(AB375:AB380),"")</f>
        <v>2408</v>
      </c>
      <c r="AC381" s="260">
        <f>IF(ISNUMBER(AC375),SUM(AC375:AC380),"")</f>
        <v>3214</v>
      </c>
      <c r="AD381" s="260">
        <f>IF(ISNUMBER(AD375),SUM(AD375:AD380),"")</f>
        <v>3214</v>
      </c>
      <c r="AE381" s="260">
        <f>IF(ISNUMBER(AE375),SUM(AE375:AE380),"")</f>
        <v>3135</v>
      </c>
      <c r="AF381" s="260">
        <f>IF(ISNUMBER(AF375),SUM(AF375:AF380),"")</f>
        <v>2724</v>
      </c>
      <c r="AG381" s="260">
        <f>IF(ISNUMBER(AG375),SUM(AG375:AG380),"")</f>
        <v>2517</v>
      </c>
      <c r="AH381" s="260">
        <f>IF(ISNUMBER(AH375),SUM(AH375:AH380),"")</f>
        <v>2629</v>
      </c>
      <c r="AI381" s="260">
        <f>IF(ISNUMBER(AI375),SUM(AI375:AI380),"")</f>
        <v>2629</v>
      </c>
      <c r="AJ381" s="260">
        <f>IF(ISNUMBER(AJ375),SUM(AJ375:AJ380),"")</f>
        <v>2655</v>
      </c>
      <c r="AK381" s="260">
        <f>IF(ISNUMBER(AK375),SUM(AK375:AK380),"")</f>
        <v>2699</v>
      </c>
      <c r="AL381" s="260">
        <f>IF(ISNUMBER(AL375),SUM(AL375:AL380),"")</f>
        <v>3373</v>
      </c>
      <c r="AM381" s="260">
        <f>IF(ISNUMBER(AM375),SUM(AM375:AM380),"")</f>
        <v>3093</v>
      </c>
      <c r="AN381" s="260">
        <f>IF(ISNUMBER(AN375),SUM(AN375:AN380),"")</f>
        <v>3093</v>
      </c>
      <c r="AO381" s="260">
        <f>IF(ISNUMBER(AO375),SUM(AO375:AO380),"")</f>
        <v>2983</v>
      </c>
      <c r="AP381" s="260">
        <f>IF(ISNUMBER(AP375),SUM(AP375:AP380),"")</f>
        <v>3040</v>
      </c>
      <c r="AQ381" s="260">
        <f>IF(ISNUMBER(AQ375),SUM(AQ375:AQ380),"")</f>
        <v>2815</v>
      </c>
      <c r="AR381" s="260">
        <f>IF(ISNUMBER(AR375),SUM(AR375:AR380),"")</f>
        <v>3587</v>
      </c>
      <c r="AS381" s="260">
        <f>IF(ISNUMBER(AS375),SUM(AS375:AS380),"")</f>
        <v>3587</v>
      </c>
      <c r="AT381" s="260">
        <f>IF(ISNUMBER(AT375),SUM(AT375:AT380),"")</f>
        <v>3403</v>
      </c>
      <c r="AU381" s="260">
        <f>IF(ISNUMBER(AU375),SUM(AU375:AU380),"")</f>
        <v>3315</v>
      </c>
      <c r="AV381" s="260">
        <f>IF(ISNUMBER(AV375),SUM(AV375:AV380),"")</f>
        <v>3386</v>
      </c>
      <c r="AW381" s="260">
        <f>IF(ISNUMBER(AW375),SUM(AW375:AW380),"")</f>
        <v>3815</v>
      </c>
      <c r="AX381" s="260">
        <f>IF(ISNUMBER(AX375),SUM(AX375:AX380),"")</f>
        <v>3815</v>
      </c>
      <c r="AY381" s="260">
        <f>IF(ISNUMBER(AY375),SUM(AY375:AY380),"")</f>
        <v>5653</v>
      </c>
      <c r="AZ381" s="260">
        <f>IF(ISNUMBER(AZ375),SUM(AZ375:AZ380),"")</f>
        <v>4958</v>
      </c>
      <c r="BA381" s="260">
        <f>IF(ISNUMBER(BA375),SUM(BA375:BA380),"")</f>
        <v>5048</v>
      </c>
      <c r="BB381" s="260">
        <f>IF(ISNUMBER(BB375),SUM(BB375:BB380),"")</f>
        <v>5999</v>
      </c>
      <c r="BC381" s="260">
        <f>IF(ISNUMBER(BC375),SUM(BC375:BC380),"")</f>
        <v>5999</v>
      </c>
      <c r="BD381" s="260">
        <f>IF(ISNUMBER(BD375),SUM(BD375:BD380),"")</f>
        <v>6394</v>
      </c>
      <c r="BE381" s="260">
        <f>IF(ISNUMBER(BE375),SUM(BE375:BE380),"")</f>
        <v>6030</v>
      </c>
      <c r="BF381" s="260">
        <f>IF(ISNUMBER(BF375),SUM(BF375:BF380),"")</f>
        <v>5218</v>
      </c>
      <c r="BG381" s="260">
        <f>IF(ISNUMBER(BG375),SUM(BG375:BG380),"")</f>
        <v>6125</v>
      </c>
      <c r="BH381" s="260">
        <f>IF(ISNUMBER(BH375),SUM(BH375:BH380),"")</f>
        <v>6125</v>
      </c>
      <c r="BI381" s="260">
        <f>IF(ISNUMBER(BI375),SUM(BI375:BI380),"")</f>
        <v>5877</v>
      </c>
      <c r="BJ381" s="260">
        <f>IF(ISNUMBER(BJ375),SUM(BJ375:BJ380),"")</f>
        <v>5500</v>
      </c>
      <c r="BK381" s="260">
        <f>IF(ISNUMBER(BK375),SUM(BK375:BK380),"")</f>
        <v>5505</v>
      </c>
      <c r="BL381" s="260">
        <f>IF(ISNUMBER(BL375),SUM(BL375:BL380),"")</f>
        <v>6392</v>
      </c>
      <c r="BM381" s="260">
        <f>IF(ISNUMBER(BM375),SUM(BM375:BM380),"")</f>
        <v>6392</v>
      </c>
      <c r="BN381" s="260">
        <f>IF(ISNUMBER(BN375),SUM(BN375:BN380),"")</f>
        <v>5920</v>
      </c>
      <c r="BO381" s="260">
        <f>IF(ISNUMBER(BO375),SUM(BO375:BO380),"")</f>
        <v>5982</v>
      </c>
      <c r="BP381" s="260">
        <f>IF(ISNUMBER(BP375),SUM(BP375:BP380),"")</f>
        <v>5803</v>
      </c>
      <c r="BQ381" s="260">
        <f>IF(ISNUMBER(BQ375),SUM(BQ375:BQ380),"")</f>
        <v>7637</v>
      </c>
      <c r="BR381" s="260">
        <f>IF(ISNUMBER(BR375),SUM(BR375:BR380),"")</f>
        <v>7637</v>
      </c>
      <c r="BS381" s="260">
        <f>IF(ISNUMBER(BS375),SUM(BS375:BS380),"")</f>
        <v>9335</v>
      </c>
      <c r="BT381" s="260">
        <f>IF(ISNUMBER(BT375),SUM(BT375:BT380),"")</f>
        <v>9125</v>
      </c>
      <c r="BU381" s="32" t="n"/>
      <c r="BV381" s="32" t="n"/>
      <c r="BW381" s="261">
        <f>IF(ISNUMBER(BW375),SUM(BW375:BW380),"")</f>
        <v>10333.4781047703</v>
      </c>
      <c r="BX381" s="261">
        <f>IF(ISNUMBER(BX375),SUM(BX375:BX380),"")</f>
        <v>8923.22218157148</v>
      </c>
      <c r="BY381" s="261">
        <f>IF(ISNUMBER(BY375),SUM(BY375:BY380),"")</f>
        <v>12252.7112529583</v>
      </c>
      <c r="BZ381" s="261">
        <f>IF(ISNUMBER(BZ375),SUM(BZ375:BZ380),"")</f>
        <v>10737.9580913863</v>
      </c>
      <c r="CA381" s="261">
        <f>IF(ISNUMBER(CA375),SUM(CA375:CA380),"")</f>
        <v>11344.981341095</v>
      </c>
      <c r="CB381" s="261">
        <f>IF(ISNUMBER(CB375),SUM(CB375:CB380),"")</f>
        <v>12871.8887256698</v>
      </c>
      <c r="CC381" s="153" t="n"/>
    </row>
    <row r="382" ht="15" customHeight="1" s="251">
      <c r="B382" s="25" t="inlineStr">
        <is>
          <t xml:space="preserve">  Long-term debt</t>
        </is>
      </c>
      <c r="C382" s="34" t="n"/>
      <c r="D382" s="34" t="n"/>
      <c r="E382" s="253" t="n">
        <v>799</v>
      </c>
      <c r="F382" s="253" t="n">
        <v>799</v>
      </c>
      <c r="G382" s="253" t="n">
        <v>799</v>
      </c>
      <c r="H382" s="253" t="n">
        <v>799</v>
      </c>
      <c r="I382" s="253" t="n">
        <v>799</v>
      </c>
      <c r="J382" s="253" t="n">
        <v>799</v>
      </c>
      <c r="K382" s="253" t="n">
        <v>799</v>
      </c>
      <c r="L382" s="253" t="n">
        <v>799</v>
      </c>
      <c r="M382" s="253" t="n">
        <v>799</v>
      </c>
      <c r="N382" s="253" t="n">
        <v>799</v>
      </c>
      <c r="O382" s="253" t="n">
        <v>799</v>
      </c>
      <c r="P382" s="253" t="n">
        <v>799</v>
      </c>
      <c r="Q382" s="253" t="n">
        <v>1494</v>
      </c>
      <c r="R382" s="253" t="n">
        <v>3489</v>
      </c>
      <c r="S382" s="253" t="n">
        <v>3468</v>
      </c>
      <c r="T382" s="253" t="n">
        <v>3468</v>
      </c>
      <c r="U382" s="253" t="n">
        <v>3469</v>
      </c>
      <c r="V382" s="253" t="n">
        <v>3470</v>
      </c>
      <c r="W382" s="253" t="n">
        <v>3563</v>
      </c>
      <c r="X382" s="253" t="n">
        <v>3564</v>
      </c>
      <c r="Y382" s="253" t="n">
        <v>3564</v>
      </c>
      <c r="Z382" s="253" t="n">
        <v>3565</v>
      </c>
      <c r="AA382" s="253" t="n">
        <v>3566</v>
      </c>
      <c r="AB382" s="253" t="n">
        <v>3568</v>
      </c>
      <c r="AC382" s="253" t="n">
        <v>3170</v>
      </c>
      <c r="AD382" s="253" t="n">
        <v>3170</v>
      </c>
      <c r="AE382" s="253" t="n">
        <v>3170</v>
      </c>
      <c r="AF382" s="253" t="n">
        <v>3660</v>
      </c>
      <c r="AG382" s="253" t="n">
        <v>3661</v>
      </c>
      <c r="AH382" s="253" t="n">
        <v>3662</v>
      </c>
      <c r="AI382" s="253" t="n">
        <v>3662</v>
      </c>
      <c r="AJ382" s="253" t="n">
        <v>3663</v>
      </c>
      <c r="AK382" s="253" t="n">
        <v>3664</v>
      </c>
      <c r="AL382" s="253" t="n">
        <v>2966</v>
      </c>
      <c r="AM382" s="253" t="n">
        <v>3948</v>
      </c>
      <c r="AN382" s="253" t="n">
        <v>3948</v>
      </c>
      <c r="AO382" s="253" t="n">
        <v>3949</v>
      </c>
      <c r="AP382" s="253" t="n">
        <v>3950</v>
      </c>
      <c r="AQ382" s="253" t="n">
        <v>4110</v>
      </c>
      <c r="AR382" s="253" t="n">
        <v>4110</v>
      </c>
      <c r="AS382" s="253" t="n">
        <v>4110</v>
      </c>
      <c r="AT382" s="253" t="n">
        <v>4111</v>
      </c>
      <c r="AU382" s="253" t="n">
        <v>4112</v>
      </c>
      <c r="AV382" s="253" t="n">
        <v>4113</v>
      </c>
      <c r="AW382" s="253" t="n">
        <v>4114</v>
      </c>
      <c r="AX382" s="253" t="n">
        <v>4114</v>
      </c>
      <c r="AY382" s="253" t="n">
        <v>11326</v>
      </c>
      <c r="AZ382" s="253" t="n">
        <v>10776</v>
      </c>
      <c r="BA382" s="253" t="n">
        <v>10734</v>
      </c>
      <c r="BB382" s="253" t="n">
        <v>10730</v>
      </c>
      <c r="BC382" s="253" t="n">
        <v>10730</v>
      </c>
      <c r="BD382" s="253" t="n">
        <v>10727</v>
      </c>
      <c r="BE382" s="253" t="n">
        <v>10676</v>
      </c>
      <c r="BF382" s="253" t="n">
        <v>11415</v>
      </c>
      <c r="BG382" s="253" t="n">
        <v>11412</v>
      </c>
      <c r="BH382" s="253" t="n">
        <v>11412</v>
      </c>
      <c r="BI382" s="253" t="n">
        <v>11404</v>
      </c>
      <c r="BJ382" s="253" t="n">
        <v>11401</v>
      </c>
      <c r="BK382" s="253" t="n">
        <v>11398</v>
      </c>
      <c r="BL382" s="253" t="n">
        <v>11394</v>
      </c>
      <c r="BM382" s="253" t="n">
        <v>11394</v>
      </c>
      <c r="BN382" s="253" t="n">
        <v>11388</v>
      </c>
      <c r="BO382" s="253" t="n">
        <v>11385</v>
      </c>
      <c r="BP382" s="253" t="n">
        <v>11382</v>
      </c>
      <c r="BQ382" s="253" t="n">
        <v>12370</v>
      </c>
      <c r="BR382" s="253" t="n">
        <v>12370</v>
      </c>
      <c r="BS382" s="253" t="n">
        <v>10621</v>
      </c>
      <c r="BT382" s="253" t="n">
        <v>12598</v>
      </c>
      <c r="BU382" s="35" t="n"/>
      <c r="BV382" s="35" t="n"/>
      <c r="BW382" s="254">
        <f>BW433-BW377</f>
        <v>10614</v>
      </c>
      <c r="BX382" s="254">
        <f>BX433-BX377</f>
        <v>12614.8973737703</v>
      </c>
      <c r="BY382" s="254">
        <f>BY433-BY377</f>
        <v>10813.8538541831</v>
      </c>
      <c r="BZ382" s="254">
        <f>BZ433-BZ377</f>
        <v>13856.824555287</v>
      </c>
      <c r="CA382" s="254">
        <f>CA433-CA377</f>
        <v>14828.2187626103</v>
      </c>
      <c r="CB382" s="254">
        <f>CB433-CB377</f>
        <v>14937.8294520171</v>
      </c>
      <c r="CC382" s="19" t="n"/>
    </row>
    <row r="383" ht="15" customHeight="1" s="251">
      <c r="B383" s="25" t="inlineStr">
        <is>
          <t xml:space="preserve">  Lease liabilities — non-current</t>
        </is>
      </c>
      <c r="C383" s="34" t="n"/>
      <c r="D383" s="34" t="n"/>
      <c r="E383" s="253" t="n">
        <v>0</v>
      </c>
      <c r="F383" s="253" t="n">
        <v>0</v>
      </c>
      <c r="G383" s="253" t="n">
        <v>0</v>
      </c>
      <c r="H383" s="253" t="n">
        <v>0</v>
      </c>
      <c r="I383" s="253" t="n">
        <v>0</v>
      </c>
      <c r="J383" s="253" t="n">
        <v>0</v>
      </c>
      <c r="K383" s="253" t="n">
        <v>0</v>
      </c>
      <c r="L383" s="253" t="n">
        <v>0</v>
      </c>
      <c r="M383" s="253" t="n">
        <v>0</v>
      </c>
      <c r="N383" s="253" t="n">
        <v>0</v>
      </c>
      <c r="O383" s="253" t="n">
        <v>0</v>
      </c>
      <c r="P383" s="253" t="n">
        <v>0</v>
      </c>
      <c r="Q383" s="253" t="n">
        <v>0</v>
      </c>
      <c r="R383" s="253" t="n">
        <v>0</v>
      </c>
      <c r="S383" s="253" t="n">
        <v>0</v>
      </c>
      <c r="T383" s="253" t="n">
        <v>0</v>
      </c>
      <c r="U383" s="253" t="n">
        <v>0</v>
      </c>
      <c r="V383" s="253" t="n">
        <v>0</v>
      </c>
      <c r="W383" s="253" t="n">
        <v>0</v>
      </c>
      <c r="X383" s="253" t="n">
        <v>0</v>
      </c>
      <c r="Y383" s="253" t="n">
        <v>0</v>
      </c>
      <c r="Z383" s="253" t="n">
        <v>0</v>
      </c>
      <c r="AA383" s="253" t="n">
        <v>0</v>
      </c>
      <c r="AB383" s="253" t="n">
        <v>0</v>
      </c>
      <c r="AC383" s="253" t="n">
        <v>0</v>
      </c>
      <c r="AD383" s="253" t="n">
        <v>0</v>
      </c>
      <c r="AE383" s="253" t="n">
        <v>0</v>
      </c>
      <c r="AF383" s="253" t="n">
        <v>0</v>
      </c>
      <c r="AG383" s="253" t="n">
        <v>0</v>
      </c>
      <c r="AH383" s="253" t="n">
        <v>0</v>
      </c>
      <c r="AI383" s="253" t="n">
        <v>0</v>
      </c>
      <c r="AJ383" s="253" t="n">
        <v>617</v>
      </c>
      <c r="AK383" s="253" t="n">
        <v>621</v>
      </c>
      <c r="AL383" s="253" t="n">
        <v>615</v>
      </c>
      <c r="AM383" s="253" t="n">
        <v>620</v>
      </c>
      <c r="AN383" s="253" t="n">
        <v>620</v>
      </c>
      <c r="AO383" s="253" t="n">
        <v>603</v>
      </c>
      <c r="AP383" s="253" t="n">
        <v>578</v>
      </c>
      <c r="AQ383" s="253" t="n">
        <v>563</v>
      </c>
      <c r="AR383" s="253" t="n">
        <v>544</v>
      </c>
      <c r="AS383" s="253" t="n">
        <v>544</v>
      </c>
      <c r="AT383" s="253" t="n">
        <v>525</v>
      </c>
      <c r="AU383" s="253" t="n">
        <v>496</v>
      </c>
      <c r="AV383" s="253" t="n">
        <v>508</v>
      </c>
      <c r="AW383" s="253" t="n">
        <v>492</v>
      </c>
      <c r="AX383" s="253" t="n">
        <v>492</v>
      </c>
      <c r="AY383" s="253" t="n">
        <v>692</v>
      </c>
      <c r="AZ383" s="253" t="n">
        <v>632</v>
      </c>
      <c r="BA383" s="253" t="n">
        <v>592</v>
      </c>
      <c r="BB383" s="253" t="n">
        <v>577</v>
      </c>
      <c r="BC383" s="253" t="n">
        <v>577</v>
      </c>
      <c r="BD383" s="253" t="n">
        <v>566</v>
      </c>
      <c r="BE383" s="253" t="n">
        <v>547</v>
      </c>
      <c r="BF383" s="253" t="n">
        <v>543</v>
      </c>
      <c r="BG383" s="253" t="n">
        <v>541</v>
      </c>
      <c r="BH383" s="253" t="n">
        <v>541</v>
      </c>
      <c r="BI383" s="253" t="n">
        <v>524</v>
      </c>
      <c r="BJ383" s="253" t="n">
        <v>515</v>
      </c>
      <c r="BK383" s="253" t="n">
        <v>527</v>
      </c>
      <c r="BL383" s="253" t="n">
        <v>535</v>
      </c>
      <c r="BM383" s="253" t="n">
        <v>535</v>
      </c>
      <c r="BN383" s="253" t="n">
        <v>522</v>
      </c>
      <c r="BO383" s="253" t="n">
        <v>512</v>
      </c>
      <c r="BP383" s="253" t="n">
        <v>481</v>
      </c>
      <c r="BQ383" s="253" t="n">
        <v>494</v>
      </c>
      <c r="BR383" s="253" t="n">
        <v>494</v>
      </c>
      <c r="BS383" s="253" t="n">
        <v>458</v>
      </c>
      <c r="BT383" s="253" t="n">
        <v>452</v>
      </c>
      <c r="BU383" s="35" t="n"/>
      <c r="BV383" s="35" t="n"/>
      <c r="BW383" s="254">
        <f>BT383-18</f>
        <v>434</v>
      </c>
      <c r="BX383" s="254">
        <f>BW383</f>
        <v>434</v>
      </c>
      <c r="BY383" s="254">
        <f>BX383</f>
        <v>434</v>
      </c>
      <c r="BZ383" s="254">
        <f>BY383</f>
        <v>434</v>
      </c>
      <c r="CA383" s="254">
        <f>BZ383</f>
        <v>434</v>
      </c>
      <c r="CB383" s="254">
        <f>CA383</f>
        <v>434</v>
      </c>
      <c r="CC383" s="19" t="n"/>
    </row>
    <row r="384" ht="15" customHeight="1" s="251">
      <c r="B384" s="25" t="inlineStr">
        <is>
          <t xml:space="preserve">  Deferred tax liability — non-current</t>
        </is>
      </c>
      <c r="C384" s="34" t="n"/>
      <c r="D384" s="34" t="n"/>
      <c r="E384" s="253" t="n">
        <v>0</v>
      </c>
      <c r="F384" s="253" t="n">
        <v>0</v>
      </c>
      <c r="G384" s="253" t="n">
        <v>0</v>
      </c>
      <c r="H384" s="253" t="n">
        <v>0</v>
      </c>
      <c r="I384" s="253" t="n">
        <v>0</v>
      </c>
      <c r="J384" s="253" t="n">
        <v>0</v>
      </c>
      <c r="K384" s="253" t="n">
        <v>0</v>
      </c>
      <c r="L384" s="253" t="n">
        <v>0</v>
      </c>
      <c r="M384" s="253" t="n">
        <v>0</v>
      </c>
      <c r="N384" s="253" t="n">
        <v>0</v>
      </c>
      <c r="O384" s="253" t="n">
        <v>0</v>
      </c>
      <c r="P384" s="253" t="n">
        <v>0</v>
      </c>
      <c r="Q384" s="253" t="n">
        <v>0</v>
      </c>
      <c r="R384" s="253" t="n">
        <v>0</v>
      </c>
      <c r="S384" s="253" t="n">
        <v>0</v>
      </c>
      <c r="T384" s="253" t="n">
        <v>0</v>
      </c>
      <c r="U384" s="253" t="n">
        <v>0</v>
      </c>
      <c r="V384" s="253" t="n">
        <v>0</v>
      </c>
      <c r="W384" s="253" t="n">
        <v>0</v>
      </c>
      <c r="X384" s="253" t="n">
        <v>48</v>
      </c>
      <c r="Y384" s="253" t="n">
        <v>48</v>
      </c>
      <c r="Z384" s="253" t="n">
        <v>0</v>
      </c>
      <c r="AA384" s="253" t="n">
        <v>0</v>
      </c>
      <c r="AB384" s="253" t="n">
        <v>0</v>
      </c>
      <c r="AC384" s="253" t="n">
        <v>67</v>
      </c>
      <c r="AD384" s="253" t="n">
        <v>67</v>
      </c>
      <c r="AE384" s="253" t="n">
        <v>0</v>
      </c>
      <c r="AF384" s="253" t="n">
        <v>0</v>
      </c>
      <c r="AG384" s="253" t="n">
        <v>0</v>
      </c>
      <c r="AH384" s="253" t="n">
        <v>162</v>
      </c>
      <c r="AI384" s="253" t="n">
        <v>162</v>
      </c>
      <c r="AJ384" s="253" t="n">
        <v>0</v>
      </c>
      <c r="AK384" s="253" t="n">
        <v>0</v>
      </c>
      <c r="AL384" s="253" t="n">
        <v>0</v>
      </c>
      <c r="AM384" s="253" t="n">
        <v>200</v>
      </c>
      <c r="AN384" s="253" t="n">
        <v>200</v>
      </c>
      <c r="AO384" s="253" t="n">
        <v>0</v>
      </c>
      <c r="AP384" s="253" t="n">
        <v>0</v>
      </c>
      <c r="AQ384" s="253" t="n">
        <v>0</v>
      </c>
      <c r="AR384" s="253" t="n">
        <v>177</v>
      </c>
      <c r="AS384" s="253" t="n">
        <v>177</v>
      </c>
      <c r="AT384" s="253" t="n">
        <v>0</v>
      </c>
      <c r="AU384" s="253" t="n">
        <v>0</v>
      </c>
      <c r="AV384" s="253" t="n">
        <v>0</v>
      </c>
      <c r="AW384" s="253" t="n">
        <v>147</v>
      </c>
      <c r="AX384" s="253" t="n">
        <v>147</v>
      </c>
      <c r="AY384" s="253" t="n">
        <v>4450</v>
      </c>
      <c r="AZ384" s="253" t="n">
        <v>4449</v>
      </c>
      <c r="BA384" s="253" t="n">
        <v>4336</v>
      </c>
      <c r="BB384" s="253" t="n">
        <v>4065</v>
      </c>
      <c r="BC384" s="253" t="n">
        <v>4065</v>
      </c>
      <c r="BD384" s="253" t="n">
        <v>3906</v>
      </c>
      <c r="BE384" s="253" t="n">
        <v>3693</v>
      </c>
      <c r="BF384" s="253" t="n">
        <v>3671</v>
      </c>
      <c r="BG384" s="253" t="n">
        <v>3690</v>
      </c>
      <c r="BH384" s="253" t="n">
        <v>3690</v>
      </c>
      <c r="BI384" s="253" t="n">
        <v>3631</v>
      </c>
      <c r="BJ384" s="253" t="n">
        <v>3540</v>
      </c>
      <c r="BK384" s="253" t="n">
        <v>3415</v>
      </c>
      <c r="BL384" s="253" t="n">
        <v>3397</v>
      </c>
      <c r="BM384" s="253" t="n">
        <v>3397</v>
      </c>
      <c r="BN384" s="253" t="n">
        <v>3319</v>
      </c>
      <c r="BO384" s="253" t="n">
        <v>3175</v>
      </c>
      <c r="BP384" s="253" t="n">
        <v>3031</v>
      </c>
      <c r="BQ384" s="253" t="n">
        <v>3262</v>
      </c>
      <c r="BR384" s="253" t="n">
        <v>3262</v>
      </c>
      <c r="BS384" s="253" t="n">
        <v>3226</v>
      </c>
      <c r="BT384" s="253" t="n">
        <v>3150</v>
      </c>
      <c r="BU384" s="35" t="n"/>
      <c r="BV384" s="35" t="n"/>
      <c r="BW384" s="254">
        <f>BT384-962+(BW316-SUM(BS316:BT316))</f>
        <v>2088</v>
      </c>
      <c r="BX384" s="254">
        <f>BW384+BX316</f>
        <v>1908</v>
      </c>
      <c r="BY384" s="254">
        <f>BX384+BY316</f>
        <v>1728</v>
      </c>
      <c r="BZ384" s="254">
        <f>BY384+BZ316</f>
        <v>1548</v>
      </c>
      <c r="CA384" s="254">
        <f>BZ384+CA316</f>
        <v>1368</v>
      </c>
      <c r="CB384" s="254">
        <f>CA384+CB316</f>
        <v>1188</v>
      </c>
      <c r="CC384" s="19" t="n"/>
    </row>
    <row r="385" ht="15" customHeight="1" s="251">
      <c r="B385" s="25" t="inlineStr">
        <is>
          <t xml:space="preserve">  Pension, other postretirement benefits &amp; other non-current liabilities (derived)</t>
        </is>
      </c>
      <c r="C385" s="34" t="n"/>
      <c r="D385" s="34" t="n"/>
      <c r="E385" s="253" t="n">
        <v>936</v>
      </c>
      <c r="F385" s="253" t="n">
        <v>891</v>
      </c>
      <c r="G385" s="253" t="n">
        <v>885</v>
      </c>
      <c r="H385" s="253" t="n">
        <v>865</v>
      </c>
      <c r="I385" s="253" t="n">
        <v>736</v>
      </c>
      <c r="J385" s="253" t="n">
        <v>736</v>
      </c>
      <c r="K385" s="253" t="n">
        <v>741</v>
      </c>
      <c r="L385" s="253" t="n">
        <v>707</v>
      </c>
      <c r="M385" s="253" t="n">
        <v>687</v>
      </c>
      <c r="N385" s="253" t="n">
        <v>656</v>
      </c>
      <c r="O385" s="253" t="n">
        <v>656</v>
      </c>
      <c r="P385" s="253" t="n">
        <v>671</v>
      </c>
      <c r="Q385" s="253" t="n">
        <v>654</v>
      </c>
      <c r="R385" s="253" t="n">
        <v>655</v>
      </c>
      <c r="S385" s="253" t="n">
        <v>644</v>
      </c>
      <c r="T385" s="253" t="n">
        <v>644</v>
      </c>
      <c r="U385" s="253" t="n">
        <v>620</v>
      </c>
      <c r="V385" s="253" t="n">
        <v>631</v>
      </c>
      <c r="W385" s="253" t="n">
        <v>631</v>
      </c>
      <c r="X385" s="253" t="n">
        <v>665</v>
      </c>
      <c r="Y385" s="253" t="n">
        <v>665</v>
      </c>
      <c r="Z385" s="253" t="n">
        <v>696</v>
      </c>
      <c r="AA385" s="253" t="n">
        <v>683</v>
      </c>
      <c r="AB385" s="253" t="n">
        <v>684</v>
      </c>
      <c r="AC385" s="253" t="n">
        <v>856</v>
      </c>
      <c r="AD385" s="253" t="n">
        <v>856</v>
      </c>
      <c r="AE385" s="253" t="n">
        <v>774</v>
      </c>
      <c r="AF385" s="253" t="n">
        <v>766</v>
      </c>
      <c r="AG385" s="253" t="n">
        <v>762</v>
      </c>
      <c r="AH385" s="253" t="n">
        <v>701</v>
      </c>
      <c r="AI385" s="253" t="n">
        <v>701</v>
      </c>
      <c r="AJ385" s="253" t="n">
        <v>750</v>
      </c>
      <c r="AK385" s="253" t="n">
        <v>741</v>
      </c>
      <c r="AL385" s="253" t="n">
        <v>807</v>
      </c>
      <c r="AM385" s="253" t="n">
        <v>683</v>
      </c>
      <c r="AN385" s="253" t="n">
        <v>683</v>
      </c>
      <c r="AO385" s="253" t="n">
        <v>854</v>
      </c>
      <c r="AP385" s="253" t="n">
        <v>866</v>
      </c>
      <c r="AQ385" s="253" t="n">
        <v>955</v>
      </c>
      <c r="AR385" s="253" t="n">
        <v>767</v>
      </c>
      <c r="AS385" s="253" t="n">
        <v>767</v>
      </c>
      <c r="AT385" s="253" t="n">
        <v>885</v>
      </c>
      <c r="AU385" s="253" t="n">
        <v>1039</v>
      </c>
      <c r="AV385" s="253" t="n">
        <v>1003</v>
      </c>
      <c r="AW385" s="253" t="n">
        <v>922</v>
      </c>
      <c r="AX385" s="253" t="n">
        <v>922</v>
      </c>
      <c r="AY385" s="253" t="n">
        <v>761</v>
      </c>
      <c r="AZ385" s="253" t="n">
        <v>708</v>
      </c>
      <c r="BA385" s="253" t="n">
        <v>704</v>
      </c>
      <c r="BB385" s="253" t="n">
        <v>669</v>
      </c>
      <c r="BC385" s="253" t="n">
        <v>669</v>
      </c>
      <c r="BD385" s="253" t="n">
        <v>659</v>
      </c>
      <c r="BE385" s="253" t="n">
        <v>680</v>
      </c>
      <c r="BF385" s="253" t="n">
        <v>690</v>
      </c>
      <c r="BG385" s="253" t="n">
        <v>721</v>
      </c>
      <c r="BH385" s="253" t="n">
        <v>721</v>
      </c>
      <c r="BI385" s="253" t="n">
        <v>792</v>
      </c>
      <c r="BJ385" s="253" t="n">
        <v>1016</v>
      </c>
      <c r="BK385" s="253" t="n">
        <v>1132</v>
      </c>
      <c r="BL385" s="253" t="n">
        <v>995</v>
      </c>
      <c r="BM385" s="253" t="n">
        <v>995</v>
      </c>
      <c r="BN385" s="253" t="n">
        <v>1015</v>
      </c>
      <c r="BO385" s="253" t="n">
        <v>1380</v>
      </c>
      <c r="BP385" s="253" t="n">
        <v>1354</v>
      </c>
      <c r="BQ385" s="253" t="n">
        <v>1285</v>
      </c>
      <c r="BR385" s="253" t="n">
        <v>1285</v>
      </c>
      <c r="BS385" s="253" t="n">
        <v>947</v>
      </c>
      <c r="BT385" s="253" t="n">
        <v>941</v>
      </c>
      <c r="BU385" s="35" t="n"/>
      <c r="BV385" s="35" t="n"/>
      <c r="BW385" s="254">
        <f>BT385-1-1</f>
        <v>939</v>
      </c>
      <c r="BX385" s="254">
        <f>BW385</f>
        <v>939</v>
      </c>
      <c r="BY385" s="254">
        <f>BX385</f>
        <v>939</v>
      </c>
      <c r="BZ385" s="254">
        <f>BY385</f>
        <v>939</v>
      </c>
      <c r="CA385" s="254">
        <f>BZ385</f>
        <v>939</v>
      </c>
      <c r="CB385" s="254">
        <f>CA385</f>
        <v>939</v>
      </c>
      <c r="CC385" s="19" t="n"/>
    </row>
    <row r="386" ht="15" customHeight="1" s="251">
      <c r="B386" s="16" t="inlineStr">
        <is>
          <t>Total liabilities</t>
        </is>
      </c>
      <c r="C386" s="260">
        <f>IF(ISNUMBER(C375),C381+SUM(C382:C385),"")</f>
      </c>
      <c r="D386" s="260">
        <f>IF(ISNUMBER(D375),D381+SUM(D382:D385),"")</f>
      </c>
      <c r="E386" s="260">
        <f>IF(ISNUMBER(E375),E381+SUM(E382:E385),"")</f>
        <v>5402</v>
      </c>
      <c r="F386" s="260">
        <f>IF(ISNUMBER(F375),F381+SUM(F382:F385),"")</f>
        <v>4378</v>
      </c>
      <c r="G386" s="260">
        <f>IF(ISNUMBER(G375),G381+SUM(G382:G385),"")</f>
        <v>4079</v>
      </c>
      <c r="H386" s="260">
        <f>IF(ISNUMBER(H375),H381+SUM(H382:H385),"")</f>
        <v>4023</v>
      </c>
      <c r="I386" s="260">
        <f>IF(ISNUMBER(I375),I381+SUM(I382:I385),"")</f>
        <v>3907</v>
      </c>
      <c r="J386" s="260">
        <f>IF(ISNUMBER(J375),J381+SUM(J382:J385),"")</f>
        <v>3907</v>
      </c>
      <c r="K386" s="260">
        <f>IF(ISNUMBER(K375),K381+SUM(K382:K385),"")</f>
        <v>3794</v>
      </c>
      <c r="L386" s="260">
        <f>IF(ISNUMBER(L375),L381+SUM(L382:L385),"")</f>
        <v>3758</v>
      </c>
      <c r="M386" s="260">
        <f>IF(ISNUMBER(M375),M381+SUM(M382:M385),"")</f>
        <v>3870</v>
      </c>
      <c r="N386" s="260">
        <f>IF(ISNUMBER(N375),N381+SUM(N382:N385),"")</f>
        <v>5422</v>
      </c>
      <c r="O386" s="260">
        <f>IF(ISNUMBER(O375),O381+SUM(O382:O385),"")</f>
        <v>5422</v>
      </c>
      <c r="P386" s="260">
        <f>IF(ISNUMBER(P375),P381+SUM(P382:P385),"")</f>
        <v>4049</v>
      </c>
      <c r="Q386" s="260">
        <f>IF(ISNUMBER(Q375),Q381+SUM(Q382:Q385),"")</f>
        <v>4388</v>
      </c>
      <c r="R386" s="260">
        <f>IF(ISNUMBER(R375),R381+SUM(R382:R385),"")</f>
        <v>6649</v>
      </c>
      <c r="S386" s="260">
        <f>IF(ISNUMBER(S375),S381+SUM(S382:S385),"")</f>
        <v>7020</v>
      </c>
      <c r="T386" s="260">
        <f>IF(ISNUMBER(T375),T381+SUM(T382:T385),"")</f>
        <v>7020</v>
      </c>
      <c r="U386" s="260">
        <f>IF(ISNUMBER(U375),U381+SUM(U382:U385),"")</f>
        <v>7071</v>
      </c>
      <c r="V386" s="260">
        <f>IF(ISNUMBER(V375),V381+SUM(V382:V385),"")</f>
        <v>6946</v>
      </c>
      <c r="W386" s="260">
        <f>IF(ISNUMBER(W375),W381+SUM(W382:W385),"")</f>
        <v>7245</v>
      </c>
      <c r="X386" s="260">
        <f>IF(ISNUMBER(X375),X381+SUM(X382:X385),"")</f>
        <v>6888</v>
      </c>
      <c r="Y386" s="260">
        <f>IF(ISNUMBER(Y375),Y381+SUM(Y382:Y385),"")</f>
        <v>6888</v>
      </c>
      <c r="Z386" s="260">
        <f>IF(ISNUMBER(Z375),Z381+SUM(Z382:Z385),"")</f>
        <v>6730</v>
      </c>
      <c r="AA386" s="260">
        <f>IF(ISNUMBER(AA375),AA381+SUM(AA382:AA385),"")</f>
        <v>6611</v>
      </c>
      <c r="AB386" s="260">
        <f>IF(ISNUMBER(AB375),AB381+SUM(AB382:AB385),"")</f>
        <v>6660</v>
      </c>
      <c r="AC386" s="260">
        <f>IF(ISNUMBER(AC375),AC381+SUM(AC382:AC385),"")</f>
        <v>7307</v>
      </c>
      <c r="AD386" s="260">
        <f>IF(ISNUMBER(AD375),AD381+SUM(AD382:AD385),"")</f>
        <v>7307</v>
      </c>
      <c r="AE386" s="260">
        <f>IF(ISNUMBER(AE375),AE381+SUM(AE382:AE385),"")</f>
        <v>7079</v>
      </c>
      <c r="AF386" s="260">
        <f>IF(ISNUMBER(AF375),AF381+SUM(AF382:AF385),"")</f>
        <v>7150</v>
      </c>
      <c r="AG386" s="260">
        <f>IF(ISNUMBER(AG375),AG381+SUM(AG382:AG385),"")</f>
        <v>6940</v>
      </c>
      <c r="AH386" s="260">
        <f>IF(ISNUMBER(AH375),AH381+SUM(AH382:AH385),"")</f>
        <v>7154</v>
      </c>
      <c r="AI386" s="260">
        <f>IF(ISNUMBER(AI375),AI381+SUM(AI382:AI385),"")</f>
        <v>7154</v>
      </c>
      <c r="AJ386" s="260">
        <f>IF(ISNUMBER(AJ375),AJ381+SUM(AJ382:AJ385),"")</f>
        <v>7685</v>
      </c>
      <c r="AK386" s="260">
        <f>IF(ISNUMBER(AK375),AK381+SUM(AK382:AK385),"")</f>
        <v>7725</v>
      </c>
      <c r="AL386" s="260">
        <f>IF(ISNUMBER(AL375),AL381+SUM(AL382:AL385),"")</f>
        <v>7761</v>
      </c>
      <c r="AM386" s="260">
        <f>IF(ISNUMBER(AM375),AM381+SUM(AM382:AM385),"")</f>
        <v>8544</v>
      </c>
      <c r="AN386" s="260">
        <f>IF(ISNUMBER(AN375),AN381+SUM(AN382:AN385),"")</f>
        <v>8544</v>
      </c>
      <c r="AO386" s="260">
        <f>IF(ISNUMBER(AO375),AO381+SUM(AO382:AO385),"")</f>
        <v>8389</v>
      </c>
      <c r="AP386" s="260">
        <f>IF(ISNUMBER(AP375),AP381+SUM(AP382:AP385),"")</f>
        <v>8434</v>
      </c>
      <c r="AQ386" s="260">
        <f>IF(ISNUMBER(AQ375),AQ381+SUM(AQ382:AQ385),"")</f>
        <v>8443</v>
      </c>
      <c r="AR386" s="260">
        <f>IF(ISNUMBER(AR375),AR381+SUM(AR382:AR385),"")</f>
        <v>9185</v>
      </c>
      <c r="AS386" s="260">
        <f>IF(ISNUMBER(AS375),AS381+SUM(AS382:AS385),"")</f>
        <v>9185</v>
      </c>
      <c r="AT386" s="260">
        <f>IF(ISNUMBER(AT375),AT381+SUM(AT382:AT385),"")</f>
        <v>8924</v>
      </c>
      <c r="AU386" s="260">
        <f>IF(ISNUMBER(AU375),AU381+SUM(AU382:AU385),"")</f>
        <v>8962</v>
      </c>
      <c r="AV386" s="260">
        <f>IF(ISNUMBER(AV375),AV381+SUM(AV382:AV385),"")</f>
        <v>9010</v>
      </c>
      <c r="AW386" s="260">
        <f>IF(ISNUMBER(AW375),AW381+SUM(AW382:AW385),"")</f>
        <v>9490</v>
      </c>
      <c r="AX386" s="260">
        <f>IF(ISNUMBER(AX375),AX381+SUM(AX382:AX385),"")</f>
        <v>9490</v>
      </c>
      <c r="AY386" s="260">
        <f>IF(ISNUMBER(AY375),AY381+SUM(AY382:AY385),"")</f>
        <v>22882</v>
      </c>
      <c r="AZ386" s="260">
        <f>IF(ISNUMBER(AZ375),AZ381+SUM(AZ382:AZ385),"")</f>
        <v>21523</v>
      </c>
      <c r="BA386" s="260">
        <f>IF(ISNUMBER(BA375),BA381+SUM(BA382:BA385),"")</f>
        <v>21414</v>
      </c>
      <c r="BB386" s="260">
        <f>IF(ISNUMBER(BB375),BB381+SUM(BB382:BB385),"")</f>
        <v>22040</v>
      </c>
      <c r="BC386" s="260">
        <f>IF(ISNUMBER(BC375),BC381+SUM(BC382:BC385),"")</f>
        <v>22040</v>
      </c>
      <c r="BD386" s="260">
        <f>IF(ISNUMBER(BD375),BD381+SUM(BD382:BD385),"")</f>
        <v>22252</v>
      </c>
      <c r="BE386" s="260">
        <f>IF(ISNUMBER(BE375),BE381+SUM(BE382:BE385),"")</f>
        <v>21626</v>
      </c>
      <c r="BF386" s="260">
        <f>IF(ISNUMBER(BF375),BF381+SUM(BF382:BF385),"")</f>
        <v>21537</v>
      </c>
      <c r="BG386" s="260">
        <f>IF(ISNUMBER(BG375),BG381+SUM(BG382:BG385),"")</f>
        <v>22489</v>
      </c>
      <c r="BH386" s="260">
        <f>IF(ISNUMBER(BH375),BH381+SUM(BH382:BH385),"")</f>
        <v>22489</v>
      </c>
      <c r="BI386" s="260">
        <f>IF(ISNUMBER(BI375),BI381+SUM(BI382:BI385),"")</f>
        <v>22228</v>
      </c>
      <c r="BJ386" s="260">
        <f>IF(ISNUMBER(BJ375),BJ381+SUM(BJ382:BJ385),"")</f>
        <v>21972</v>
      </c>
      <c r="BK386" s="260">
        <f>IF(ISNUMBER(BK375),BK381+SUM(BK382:BK385),"")</f>
        <v>21977</v>
      </c>
      <c r="BL386" s="260">
        <f>IF(ISNUMBER(BL375),BL381+SUM(BL382:BL385),"")</f>
        <v>22713</v>
      </c>
      <c r="BM386" s="260">
        <f>IF(ISNUMBER(BM375),BM381+SUM(BM382:BM385),"")</f>
        <v>22713</v>
      </c>
      <c r="BN386" s="260">
        <f>IF(ISNUMBER(BN375),BN381+SUM(BN382:BN385),"")</f>
        <v>22164</v>
      </c>
      <c r="BO386" s="260">
        <f>IF(ISNUMBER(BO375),BO381+SUM(BO382:BO385),"")</f>
        <v>22434</v>
      </c>
      <c r="BP386" s="260">
        <f>IF(ISNUMBER(BP375),BP381+SUM(BP382:BP385),"")</f>
        <v>22051</v>
      </c>
      <c r="BQ386" s="260">
        <f>IF(ISNUMBER(BQ375),BQ381+SUM(BQ382:BQ385),"")</f>
        <v>25048</v>
      </c>
      <c r="BR386" s="260">
        <f>IF(ISNUMBER(BR375),BR381+SUM(BR382:BR385),"")</f>
        <v>25048</v>
      </c>
      <c r="BS386" s="260">
        <f>IF(ISNUMBER(BS375),BS381+SUM(BS382:BS385),"")</f>
        <v>24587</v>
      </c>
      <c r="BT386" s="260">
        <f>IF(ISNUMBER(BT375),BT381+SUM(BT382:BT385),"")</f>
        <v>26266</v>
      </c>
      <c r="BU386" s="32" t="n"/>
      <c r="BV386" s="32" t="n"/>
      <c r="BW386" s="261">
        <f>IF(ISNUMBER(BW375),BW381+SUM(BW382:BW385),"")</f>
        <v>24408.4781047703</v>
      </c>
      <c r="BX386" s="261">
        <f>IF(ISNUMBER(BX375),BX381+SUM(BX382:BX385),"")</f>
        <v>24819.1195553418</v>
      </c>
      <c r="BY386" s="261">
        <f>IF(ISNUMBER(BY375),BY381+SUM(BY382:BY385),"")</f>
        <v>26167.5651071414</v>
      </c>
      <c r="BZ386" s="261">
        <f>IF(ISNUMBER(BZ375),BZ381+SUM(BZ382:BZ385),"")</f>
        <v>27515.7826466733</v>
      </c>
      <c r="CA386" s="261">
        <f>IF(ISNUMBER(CA375),CA381+SUM(CA382:CA385),"")</f>
        <v>28914.2001037054</v>
      </c>
      <c r="CB386" s="261">
        <f>IF(ISNUMBER(CB375),CB381+SUM(CB382:CB385),"")</f>
        <v>30370.7181776869</v>
      </c>
      <c r="CC386" s="153" t="n"/>
    </row>
    <row r="387" ht="15" customHeight="1" s="251">
      <c r="B387" s="25" t="inlineStr">
        <is>
          <t xml:space="preserve">  Redeemable noncontrolling interests (CME Group 27% of S&amp;P DJI; held flat)</t>
        </is>
      </c>
      <c r="C387" s="34" t="n"/>
      <c r="D387" s="34" t="n"/>
      <c r="E387" s="253" t="n">
        <v>810</v>
      </c>
      <c r="F387" s="253" t="n">
        <v>810</v>
      </c>
      <c r="G387" s="253" t="n">
        <v>810</v>
      </c>
      <c r="H387" s="253" t="n">
        <v>810</v>
      </c>
      <c r="I387" s="253" t="n">
        <v>810</v>
      </c>
      <c r="J387" s="253" t="n">
        <v>810</v>
      </c>
      <c r="K387" s="253" t="n">
        <v>810</v>
      </c>
      <c r="L387" s="253" t="n">
        <v>810</v>
      </c>
      <c r="M387" s="253" t="n">
        <v>810</v>
      </c>
      <c r="N387" s="253" t="n">
        <v>810</v>
      </c>
      <c r="O387" s="253" t="n">
        <v>810</v>
      </c>
      <c r="P387" s="253" t="n">
        <v>810</v>
      </c>
      <c r="Q387" s="253" t="n">
        <v>810</v>
      </c>
      <c r="R387" s="253" t="n">
        <v>810</v>
      </c>
      <c r="S387" s="253" t="n">
        <v>920</v>
      </c>
      <c r="T387" s="253" t="n">
        <v>920</v>
      </c>
      <c r="U387" s="253" t="n">
        <v>920</v>
      </c>
      <c r="V387" s="253" t="n">
        <v>920</v>
      </c>
      <c r="W387" s="253" t="n">
        <v>920</v>
      </c>
      <c r="X387" s="253" t="n">
        <v>1080</v>
      </c>
      <c r="Y387" s="253" t="n">
        <v>1080</v>
      </c>
      <c r="Z387" s="253" t="n">
        <v>1080</v>
      </c>
      <c r="AA387" s="253" t="n">
        <v>1107</v>
      </c>
      <c r="AB387" s="253" t="n">
        <v>1161</v>
      </c>
      <c r="AC387" s="253" t="n">
        <v>1350</v>
      </c>
      <c r="AD387" s="253" t="n">
        <v>1350</v>
      </c>
      <c r="AE387" s="253" t="n">
        <v>1350</v>
      </c>
      <c r="AF387" s="253" t="n">
        <v>1431</v>
      </c>
      <c r="AG387" s="253" t="n">
        <v>1485</v>
      </c>
      <c r="AH387" s="253" t="n">
        <v>1620</v>
      </c>
      <c r="AI387" s="253" t="n">
        <v>1620</v>
      </c>
      <c r="AJ387" s="253" t="n">
        <v>1647</v>
      </c>
      <c r="AK387" s="253" t="n">
        <v>1890</v>
      </c>
      <c r="AL387" s="253" t="n">
        <v>2025</v>
      </c>
      <c r="AM387" s="253" t="n">
        <v>2268</v>
      </c>
      <c r="AN387" s="253" t="n">
        <v>2268</v>
      </c>
      <c r="AO387" s="253" t="n">
        <v>2268</v>
      </c>
      <c r="AP387" s="253" t="n">
        <v>2403</v>
      </c>
      <c r="AQ387" s="253" t="n">
        <v>2511</v>
      </c>
      <c r="AR387" s="253" t="n">
        <v>2781</v>
      </c>
      <c r="AS387" s="253" t="n">
        <v>2781</v>
      </c>
      <c r="AT387" s="253" t="n">
        <v>2808</v>
      </c>
      <c r="AU387" s="253" t="n">
        <v>3105</v>
      </c>
      <c r="AV387" s="253" t="n">
        <v>3186</v>
      </c>
      <c r="AW387" s="253" t="n">
        <v>3429</v>
      </c>
      <c r="AX387" s="253" t="n">
        <v>3429</v>
      </c>
      <c r="AY387" s="253" t="n">
        <v>3429</v>
      </c>
      <c r="AZ387" s="253" t="n">
        <v>3294</v>
      </c>
      <c r="BA387" s="253" t="n">
        <v>3159</v>
      </c>
      <c r="BB387" s="253" t="n">
        <v>3267</v>
      </c>
      <c r="BC387" s="253" t="n">
        <v>3267</v>
      </c>
      <c r="BD387" s="253" t="n">
        <v>3402</v>
      </c>
      <c r="BE387" s="253" t="n">
        <v>3510</v>
      </c>
      <c r="BF387" s="253" t="n">
        <v>3510</v>
      </c>
      <c r="BG387" s="253" t="n">
        <v>3800</v>
      </c>
      <c r="BH387" s="253" t="n">
        <v>3800</v>
      </c>
      <c r="BI387" s="253" t="n">
        <v>3825</v>
      </c>
      <c r="BJ387" s="253" t="n">
        <v>4014</v>
      </c>
      <c r="BK387" s="253" t="n">
        <v>4305</v>
      </c>
      <c r="BL387" s="253" t="n">
        <v>4252</v>
      </c>
      <c r="BM387" s="253" t="n">
        <v>4252</v>
      </c>
      <c r="BN387" s="253" t="n">
        <v>4252</v>
      </c>
      <c r="BO387" s="253" t="n">
        <v>4465</v>
      </c>
      <c r="BP387" s="253" t="n">
        <v>4460</v>
      </c>
      <c r="BQ387" s="253" t="n">
        <v>4917</v>
      </c>
      <c r="BR387" s="253" t="n">
        <v>4917</v>
      </c>
      <c r="BS387" s="253" t="n">
        <v>4917</v>
      </c>
      <c r="BT387" s="253" t="n">
        <v>5024</v>
      </c>
      <c r="BU387" s="35" t="n"/>
      <c r="BV387" s="35" t="n"/>
      <c r="BW387" s="254">
        <f>BT387</f>
        <v>5024</v>
      </c>
      <c r="BX387" s="254">
        <f>BW387</f>
        <v>5024</v>
      </c>
      <c r="BY387" s="254">
        <f>BX387</f>
        <v>5024</v>
      </c>
      <c r="BZ387" s="254">
        <f>BY387</f>
        <v>5024</v>
      </c>
      <c r="CA387" s="254">
        <f>BZ387</f>
        <v>5024</v>
      </c>
      <c r="CB387" s="254">
        <f>CA387</f>
        <v>5024</v>
      </c>
      <c r="CC387" s="19" t="n"/>
    </row>
    <row r="388" ht="15" customHeight="1" s="251">
      <c r="B388" s="25" t="inlineStr">
        <is>
          <t xml:space="preserve">  Total equity — controlling interests</t>
        </is>
      </c>
      <c r="C388" s="34" t="n"/>
      <c r="D388" s="34" t="n"/>
      <c r="E388" s="253" t="n">
        <v>767</v>
      </c>
      <c r="F388" s="253" t="n">
        <v>1030</v>
      </c>
      <c r="G388" s="253" t="n">
        <v>1223</v>
      </c>
      <c r="H388" s="253" t="n">
        <v>977</v>
      </c>
      <c r="I388" s="253" t="n">
        <v>1301</v>
      </c>
      <c r="J388" s="253" t="n">
        <v>1301</v>
      </c>
      <c r="K388" s="253" t="n">
        <v>1363</v>
      </c>
      <c r="L388" s="253" t="n">
        <v>1442</v>
      </c>
      <c r="M388" s="253" t="n">
        <v>1541</v>
      </c>
      <c r="N388" s="253" t="n">
        <v>488</v>
      </c>
      <c r="O388" s="253" t="n">
        <v>488</v>
      </c>
      <c r="P388" s="253" t="n">
        <v>539</v>
      </c>
      <c r="Q388" s="253" t="n">
        <v>763</v>
      </c>
      <c r="R388" s="253" t="n">
        <v>658</v>
      </c>
      <c r="S388" s="253" t="n">
        <v>194</v>
      </c>
      <c r="T388" s="253" t="n">
        <v>194</v>
      </c>
      <c r="U388" s="253" t="n">
        <v>222</v>
      </c>
      <c r="V388" s="253" t="n">
        <v>376</v>
      </c>
      <c r="W388" s="253" t="n">
        <v>462</v>
      </c>
      <c r="X388" s="253" t="n">
        <v>650</v>
      </c>
      <c r="Y388" s="253" t="n">
        <v>650</v>
      </c>
      <c r="Z388" s="253" t="n">
        <v>789</v>
      </c>
      <c r="AA388" s="253" t="n">
        <v>1019</v>
      </c>
      <c r="AB388" s="253" t="n">
        <v>839</v>
      </c>
      <c r="AC388" s="253" t="n">
        <v>711</v>
      </c>
      <c r="AD388" s="253" t="n">
        <v>711</v>
      </c>
      <c r="AE388" s="253" t="n">
        <v>7</v>
      </c>
      <c r="AF388" s="253" t="n">
        <v>583</v>
      </c>
      <c r="AG388" s="253" t="n">
        <v>905</v>
      </c>
      <c r="AH388" s="253" t="n">
        <v>628</v>
      </c>
      <c r="AI388" s="253" t="n">
        <v>628</v>
      </c>
      <c r="AJ388" s="253" t="n">
        <v>327</v>
      </c>
      <c r="AK388" s="253" t="n">
        <v>512</v>
      </c>
      <c r="AL388" s="253" t="n">
        <v>346</v>
      </c>
      <c r="AM388" s="253" t="n">
        <v>479</v>
      </c>
      <c r="AN388" s="253" t="n">
        <v>479</v>
      </c>
      <c r="AO388" s="253" t="n">
        <v>-250</v>
      </c>
      <c r="AP388" s="253" t="n">
        <v>210</v>
      </c>
      <c r="AQ388" s="253" t="n">
        <v>442</v>
      </c>
      <c r="AR388" s="253" t="n">
        <v>509</v>
      </c>
      <c r="AS388" s="253" t="n">
        <v>509</v>
      </c>
      <c r="AT388" s="253" t="n">
        <v>1032</v>
      </c>
      <c r="AU388" s="253" t="n">
        <v>1265</v>
      </c>
      <c r="AV388" s="253" t="n">
        <v>1845</v>
      </c>
      <c r="AW388" s="253" t="n">
        <v>2032</v>
      </c>
      <c r="AX388" s="253" t="n">
        <v>2032</v>
      </c>
      <c r="AY388" s="253" t="n">
        <v>39702</v>
      </c>
      <c r="AZ388" s="253" t="n">
        <v>39433</v>
      </c>
      <c r="BA388" s="253" t="n">
        <v>37167</v>
      </c>
      <c r="BB388" s="253" t="n">
        <v>36388</v>
      </c>
      <c r="BC388" s="253" t="n">
        <v>36388</v>
      </c>
      <c r="BD388" s="253" t="n">
        <v>36275</v>
      </c>
      <c r="BE388" s="253" t="n">
        <v>35468</v>
      </c>
      <c r="BF388" s="253" t="n">
        <v>35419</v>
      </c>
      <c r="BG388" s="253" t="n">
        <v>34200</v>
      </c>
      <c r="BH388" s="253" t="n">
        <v>34200</v>
      </c>
      <c r="BI388" s="253" t="n">
        <v>34327</v>
      </c>
      <c r="BJ388" s="253" t="n">
        <v>34881</v>
      </c>
      <c r="BK388" s="253" t="n">
        <v>33992</v>
      </c>
      <c r="BL388" s="253" t="n">
        <v>33159</v>
      </c>
      <c r="BM388" s="253" t="n">
        <v>33159</v>
      </c>
      <c r="BN388" s="253" t="n">
        <v>33371</v>
      </c>
      <c r="BO388" s="253" t="n">
        <v>33390</v>
      </c>
      <c r="BP388" s="253" t="n">
        <v>33133</v>
      </c>
      <c r="BQ388" s="253" t="n">
        <v>31127</v>
      </c>
      <c r="BR388" s="253" t="n">
        <v>31127</v>
      </c>
      <c r="BS388" s="253" t="n">
        <v>31173</v>
      </c>
      <c r="BT388" s="253" t="n">
        <v>31501</v>
      </c>
      <c r="BU388" s="35" t="n"/>
      <c r="BV388" s="35" t="n"/>
      <c r="BW388" s="254">
        <f>BT388+SUM(BU208:BV208)+(BW326-SUM(BS326:BT326))+(BW325-SUM(BS325:BT325))+SUM(BU173:BV173)-BW402</f>
        <v>17756.0363253667</v>
      </c>
      <c r="BX388" s="254">
        <f>BW388+BX210+BX326+BX325+BX315</f>
        <v>17355.5349214208</v>
      </c>
      <c r="BY388" s="254">
        <f>BX388+BY210+BY326+BY325+BY315</f>
        <v>16075.6365689019</v>
      </c>
      <c r="BZ388" s="254">
        <f>BY388+BZ210+BZ326+BZ325+BZ315</f>
        <v>14827.4675500941</v>
      </c>
      <c r="CA388" s="254">
        <f>BZ388+CA210+CA326+CA325+CA315</f>
        <v>13556.2001066059</v>
      </c>
      <c r="CB388" s="254">
        <f>CA388+CB210+CB326+CB325+CB315</f>
        <v>12265.2541639648</v>
      </c>
      <c r="CC388" s="19" t="inlineStr">
        <is>
          <t>+ net income attributable − dividends − repurchases + stock-based compensation (OCI, redemption-value changes of redeemable NCI and share-plan withholding held flat); 2026E − Mobility net assets distributed.</t>
        </is>
      </c>
    </row>
    <row r="389" ht="15" customHeight="1" s="251">
      <c r="B389" s="25" t="inlineStr">
        <is>
          <t xml:space="preserve">  Total equity — noncontrolling interests</t>
        </is>
      </c>
      <c r="C389" s="34" t="n"/>
      <c r="D389" s="34" t="n"/>
      <c r="E389" s="253" t="n">
        <v>73</v>
      </c>
      <c r="F389" s="253" t="n">
        <v>52</v>
      </c>
      <c r="G389" s="253" t="n">
        <v>48</v>
      </c>
      <c r="H389" s="253" t="n">
        <v>38</v>
      </c>
      <c r="I389" s="253" t="n">
        <v>43</v>
      </c>
      <c r="J389" s="253" t="n">
        <v>43</v>
      </c>
      <c r="K389" s="253" t="n">
        <v>44</v>
      </c>
      <c r="L389" s="253" t="n">
        <v>47</v>
      </c>
      <c r="M389" s="253" t="n">
        <v>49</v>
      </c>
      <c r="N389" s="253" t="n">
        <v>51</v>
      </c>
      <c r="O389" s="253" t="n">
        <v>51</v>
      </c>
      <c r="P389" s="253" t="n">
        <v>50</v>
      </c>
      <c r="Q389" s="253" t="n">
        <v>52</v>
      </c>
      <c r="R389" s="253" t="n">
        <v>46</v>
      </c>
      <c r="S389" s="253" t="n">
        <v>49</v>
      </c>
      <c r="T389" s="253" t="n">
        <v>49</v>
      </c>
      <c r="U389" s="253" t="n">
        <v>48</v>
      </c>
      <c r="V389" s="253" t="n">
        <v>49</v>
      </c>
      <c r="W389" s="253" t="n">
        <v>49</v>
      </c>
      <c r="X389" s="253" t="n">
        <v>51</v>
      </c>
      <c r="Y389" s="253" t="n">
        <v>51</v>
      </c>
      <c r="Z389" s="253" t="n">
        <v>55</v>
      </c>
      <c r="AA389" s="253" t="n">
        <v>54</v>
      </c>
      <c r="AB389" s="253" t="n">
        <v>54</v>
      </c>
      <c r="AC389" s="253" t="n">
        <v>57</v>
      </c>
      <c r="AD389" s="253" t="n">
        <v>57</v>
      </c>
      <c r="AE389" s="253" t="n">
        <v>61</v>
      </c>
      <c r="AF389" s="253" t="n">
        <v>53</v>
      </c>
      <c r="AG389" s="253" t="n">
        <v>53</v>
      </c>
      <c r="AH389" s="253" t="n">
        <v>56</v>
      </c>
      <c r="AI389" s="253" t="n">
        <v>56</v>
      </c>
      <c r="AJ389" s="253" t="n">
        <v>61</v>
      </c>
      <c r="AK389" s="253" t="n">
        <v>58</v>
      </c>
      <c r="AL389" s="253" t="n">
        <v>56</v>
      </c>
      <c r="AM389" s="253" t="n">
        <v>57</v>
      </c>
      <c r="AN389" s="253" t="n">
        <v>57</v>
      </c>
      <c r="AO389" s="253" t="n">
        <v>56</v>
      </c>
      <c r="AP389" s="253" t="n">
        <v>58</v>
      </c>
      <c r="AQ389" s="253" t="n">
        <v>56</v>
      </c>
      <c r="AR389" s="253" t="n">
        <v>62</v>
      </c>
      <c r="AS389" s="253" t="n">
        <v>62</v>
      </c>
      <c r="AT389" s="253" t="n">
        <v>66</v>
      </c>
      <c r="AU389" s="253" t="n">
        <v>66</v>
      </c>
      <c r="AV389" s="253" t="n">
        <v>70</v>
      </c>
      <c r="AW389" s="253" t="n">
        <v>75</v>
      </c>
      <c r="AX389" s="253" t="n">
        <v>75</v>
      </c>
      <c r="AY389" s="253" t="n">
        <v>79</v>
      </c>
      <c r="AZ389" s="253" t="n">
        <v>73</v>
      </c>
      <c r="BA389" s="253" t="n">
        <v>73</v>
      </c>
      <c r="BB389" s="253" t="n">
        <v>89</v>
      </c>
      <c r="BC389" s="253" t="n">
        <v>89</v>
      </c>
      <c r="BD389" s="253" t="n">
        <v>95</v>
      </c>
      <c r="BE389" s="253" t="n">
        <v>91</v>
      </c>
      <c r="BF389" s="253" t="n">
        <v>95</v>
      </c>
      <c r="BG389" s="253" t="n">
        <v>100</v>
      </c>
      <c r="BH389" s="253" t="n">
        <v>100</v>
      </c>
      <c r="BI389" s="253" t="n">
        <v>97</v>
      </c>
      <c r="BJ389" s="253" t="n">
        <v>89</v>
      </c>
      <c r="BK389" s="253" t="n">
        <v>94</v>
      </c>
      <c r="BL389" s="253" t="n">
        <v>97</v>
      </c>
      <c r="BM389" s="253" t="n">
        <v>97</v>
      </c>
      <c r="BN389" s="253" t="n">
        <v>102</v>
      </c>
      <c r="BO389" s="253" t="n">
        <v>106</v>
      </c>
      <c r="BP389" s="253" t="n">
        <v>105</v>
      </c>
      <c r="BQ389" s="253" t="n">
        <v>108</v>
      </c>
      <c r="BR389" s="253" t="n">
        <v>108</v>
      </c>
      <c r="BS389" s="253" t="n">
        <v>115</v>
      </c>
      <c r="BT389" s="253" t="n">
        <v>115</v>
      </c>
      <c r="BU389" s="35" t="n"/>
      <c r="BV389" s="35" t="n"/>
      <c r="BW389" s="254">
        <f>BT389</f>
        <v>115</v>
      </c>
      <c r="BX389" s="254">
        <f>BW389</f>
        <v>115</v>
      </c>
      <c r="BY389" s="254">
        <f>BX389</f>
        <v>115</v>
      </c>
      <c r="BZ389" s="254">
        <f>BY389</f>
        <v>115</v>
      </c>
      <c r="CA389" s="254">
        <f>BZ389</f>
        <v>115</v>
      </c>
      <c r="CB389" s="254">
        <f>CA389</f>
        <v>115</v>
      </c>
      <c r="CC389" s="19" t="n"/>
    </row>
    <row r="390" ht="15" customHeight="1" s="251">
      <c r="B390" s="16" t="inlineStr">
        <is>
          <t>Total equity (incl. redeemable NCI)</t>
        </is>
      </c>
      <c r="C390" s="260">
        <f>IF(ISNUMBER(C388),C388+N(C389)+N(C387),"")</f>
      </c>
      <c r="D390" s="260">
        <f>IF(ISNUMBER(D388),D388+N(D389)+N(D387),"")</f>
      </c>
      <c r="E390" s="260">
        <f>IF(ISNUMBER(E388),E388+N(E389)+N(E387),"")</f>
        <v>1650</v>
      </c>
      <c r="F390" s="260">
        <f>IF(ISNUMBER(F388),F388+N(F389)+N(F387),"")</f>
        <v>1892</v>
      </c>
      <c r="G390" s="260">
        <f>IF(ISNUMBER(G388),G388+N(G389)+N(G387),"")</f>
        <v>2081</v>
      </c>
      <c r="H390" s="260">
        <f>IF(ISNUMBER(H388),H388+N(H389)+N(H387),"")</f>
        <v>1825</v>
      </c>
      <c r="I390" s="260">
        <f>IF(ISNUMBER(I388),I388+N(I389)+N(I387),"")</f>
        <v>2154</v>
      </c>
      <c r="J390" s="260">
        <f>IF(ISNUMBER(J388),J388+N(J389)+N(J387),"")</f>
        <v>2154</v>
      </c>
      <c r="K390" s="260">
        <f>IF(ISNUMBER(K388),K388+N(K389)+N(K387),"")</f>
        <v>2217</v>
      </c>
      <c r="L390" s="260">
        <f>IF(ISNUMBER(L388),L388+N(L389)+N(L387),"")</f>
        <v>2299</v>
      </c>
      <c r="M390" s="260">
        <f>IF(ISNUMBER(M388),M388+N(M389)+N(M387),"")</f>
        <v>2400</v>
      </c>
      <c r="N390" s="260">
        <f>IF(ISNUMBER(N388),N388+N(N389)+N(N387),"")</f>
        <v>1349</v>
      </c>
      <c r="O390" s="260">
        <f>IF(ISNUMBER(O388),O388+N(O389)+N(O387),"")</f>
        <v>1349</v>
      </c>
      <c r="P390" s="260">
        <f>IF(ISNUMBER(P388),P388+N(P389)+N(P387),"")</f>
        <v>1399</v>
      </c>
      <c r="Q390" s="260">
        <f>IF(ISNUMBER(Q388),Q388+N(Q389)+N(Q387),"")</f>
        <v>1625</v>
      </c>
      <c r="R390" s="260">
        <f>IF(ISNUMBER(R388),R388+N(R389)+N(R387),"")</f>
        <v>1514</v>
      </c>
      <c r="S390" s="260">
        <f>IF(ISNUMBER(S388),S388+N(S389)+N(S387),"")</f>
        <v>1163</v>
      </c>
      <c r="T390" s="260">
        <f>IF(ISNUMBER(T388),T388+N(T389)+N(T387),"")</f>
        <v>1163</v>
      </c>
      <c r="U390" s="260">
        <f>IF(ISNUMBER(U388),U388+N(U389)+N(U387),"")</f>
        <v>1190</v>
      </c>
      <c r="V390" s="260">
        <f>IF(ISNUMBER(V388),V388+N(V389)+N(V387),"")</f>
        <v>1345</v>
      </c>
      <c r="W390" s="260">
        <f>IF(ISNUMBER(W388),W388+N(W389)+N(W387),"")</f>
        <v>1431</v>
      </c>
      <c r="X390" s="260">
        <f>IF(ISNUMBER(X388),X388+N(X389)+N(X387),"")</f>
        <v>1781</v>
      </c>
      <c r="Y390" s="260">
        <f>IF(ISNUMBER(Y388),Y388+N(Y389)+N(Y387),"")</f>
        <v>1781</v>
      </c>
      <c r="Z390" s="260">
        <f>IF(ISNUMBER(Z388),Z388+N(Z389)+N(Z387),"")</f>
        <v>1924</v>
      </c>
      <c r="AA390" s="260">
        <f>IF(ISNUMBER(AA388),AA388+N(AA389)+N(AA387),"")</f>
        <v>2180</v>
      </c>
      <c r="AB390" s="260">
        <f>IF(ISNUMBER(AB388),AB388+N(AB389)+N(AB387),"")</f>
        <v>2054</v>
      </c>
      <c r="AC390" s="260">
        <f>IF(ISNUMBER(AC388),AC388+N(AC389)+N(AC387),"")</f>
        <v>2118</v>
      </c>
      <c r="AD390" s="260">
        <f>IF(ISNUMBER(AD388),AD388+N(AD389)+N(AD387),"")</f>
        <v>2118</v>
      </c>
      <c r="AE390" s="260">
        <f>IF(ISNUMBER(AE388),AE388+N(AE389)+N(AE387),"")</f>
        <v>1418</v>
      </c>
      <c r="AF390" s="260">
        <f>IF(ISNUMBER(AF388),AF388+N(AF389)+N(AF387),"")</f>
        <v>2067</v>
      </c>
      <c r="AG390" s="260">
        <f>IF(ISNUMBER(AG388),AG388+N(AG389)+N(AG387),"")</f>
        <v>2443</v>
      </c>
      <c r="AH390" s="260">
        <f>IF(ISNUMBER(AH388),AH388+N(AH389)+N(AH387),"")</f>
        <v>2304</v>
      </c>
      <c r="AI390" s="260">
        <f>IF(ISNUMBER(AI388),AI388+N(AI389)+N(AI387),"")</f>
        <v>2304</v>
      </c>
      <c r="AJ390" s="260">
        <f>IF(ISNUMBER(AJ388),AJ388+N(AJ389)+N(AJ387),"")</f>
        <v>2035</v>
      </c>
      <c r="AK390" s="260">
        <f>IF(ISNUMBER(AK388),AK388+N(AK389)+N(AK387),"")</f>
        <v>2460</v>
      </c>
      <c r="AL390" s="260">
        <f>IF(ISNUMBER(AL388),AL388+N(AL389)+N(AL387),"")</f>
        <v>2427</v>
      </c>
      <c r="AM390" s="260">
        <f>IF(ISNUMBER(AM388),AM388+N(AM389)+N(AM387),"")</f>
        <v>2804</v>
      </c>
      <c r="AN390" s="260">
        <f>IF(ISNUMBER(AN388),AN388+N(AN389)+N(AN387),"")</f>
        <v>2804</v>
      </c>
      <c r="AO390" s="260">
        <f>IF(ISNUMBER(AO388),AO388+N(AO389)+N(AO387),"")</f>
        <v>2074</v>
      </c>
      <c r="AP390" s="260">
        <f>IF(ISNUMBER(AP388),AP388+N(AP389)+N(AP387),"")</f>
        <v>2671</v>
      </c>
      <c r="AQ390" s="260">
        <f>IF(ISNUMBER(AQ388),AQ388+N(AQ389)+N(AQ387),"")</f>
        <v>3009</v>
      </c>
      <c r="AR390" s="260">
        <f>IF(ISNUMBER(AR388),AR388+N(AR389)+N(AR387),"")</f>
        <v>3352</v>
      </c>
      <c r="AS390" s="260">
        <f>IF(ISNUMBER(AS388),AS388+N(AS389)+N(AS387),"")</f>
        <v>3352</v>
      </c>
      <c r="AT390" s="260">
        <f>IF(ISNUMBER(AT388),AT388+N(AT389)+N(AT387),"")</f>
        <v>3906</v>
      </c>
      <c r="AU390" s="260">
        <f>IF(ISNUMBER(AU388),AU388+N(AU389)+N(AU387),"")</f>
        <v>4436</v>
      </c>
      <c r="AV390" s="260">
        <f>IF(ISNUMBER(AV388),AV388+N(AV389)+N(AV387),"")</f>
        <v>5101</v>
      </c>
      <c r="AW390" s="260">
        <f>IF(ISNUMBER(AW388),AW388+N(AW389)+N(AW387),"")</f>
        <v>5536</v>
      </c>
      <c r="AX390" s="260">
        <f>IF(ISNUMBER(AX388),AX388+N(AX389)+N(AX387),"")</f>
        <v>5536</v>
      </c>
      <c r="AY390" s="260">
        <f>IF(ISNUMBER(AY388),AY388+N(AY389)+N(AY387),"")</f>
        <v>43210</v>
      </c>
      <c r="AZ390" s="260">
        <f>IF(ISNUMBER(AZ388),AZ388+N(AZ389)+N(AZ387),"")</f>
        <v>42800</v>
      </c>
      <c r="BA390" s="260">
        <f>IF(ISNUMBER(BA388),BA388+N(BA389)+N(BA387),"")</f>
        <v>40399</v>
      </c>
      <c r="BB390" s="260">
        <f>IF(ISNUMBER(BB388),BB388+N(BB389)+N(BB387),"")</f>
        <v>39744</v>
      </c>
      <c r="BC390" s="260">
        <f>IF(ISNUMBER(BC388),BC388+N(BC389)+N(BC387),"")</f>
        <v>39744</v>
      </c>
      <c r="BD390" s="260">
        <f>IF(ISNUMBER(BD388),BD388+N(BD389)+N(BD387),"")</f>
        <v>39772</v>
      </c>
      <c r="BE390" s="260">
        <f>IF(ISNUMBER(BE388),BE388+N(BE389)+N(BE387),"")</f>
        <v>39069</v>
      </c>
      <c r="BF390" s="260">
        <f>IF(ISNUMBER(BF388),BF388+N(BF389)+N(BF387),"")</f>
        <v>39024</v>
      </c>
      <c r="BG390" s="260">
        <f>IF(ISNUMBER(BG388),BG388+N(BG389)+N(BG387),"")</f>
        <v>38100</v>
      </c>
      <c r="BH390" s="260">
        <f>IF(ISNUMBER(BH388),BH388+N(BH389)+N(BH387),"")</f>
        <v>38100</v>
      </c>
      <c r="BI390" s="260">
        <f>IF(ISNUMBER(BI388),BI388+N(BI389)+N(BI387),"")</f>
        <v>38249</v>
      </c>
      <c r="BJ390" s="260">
        <f>IF(ISNUMBER(BJ388),BJ388+N(BJ389)+N(BJ387),"")</f>
        <v>38984</v>
      </c>
      <c r="BK390" s="260">
        <f>IF(ISNUMBER(BK388),BK388+N(BK389)+N(BK387),"")</f>
        <v>38391</v>
      </c>
      <c r="BL390" s="260">
        <f>IF(ISNUMBER(BL388),BL388+N(BL389)+N(BL387),"")</f>
        <v>37508</v>
      </c>
      <c r="BM390" s="260">
        <f>IF(ISNUMBER(BM388),BM388+N(BM389)+N(BM387),"")</f>
        <v>37508</v>
      </c>
      <c r="BN390" s="260">
        <f>IF(ISNUMBER(BN388),BN388+N(BN389)+N(BN387),"")</f>
        <v>37725</v>
      </c>
      <c r="BO390" s="260">
        <f>IF(ISNUMBER(BO388),BO388+N(BO389)+N(BO387),"")</f>
        <v>37961</v>
      </c>
      <c r="BP390" s="260">
        <f>IF(ISNUMBER(BP388),BP388+N(BP389)+N(BP387),"")</f>
        <v>37698</v>
      </c>
      <c r="BQ390" s="260">
        <f>IF(ISNUMBER(BQ388),BQ388+N(BQ389)+N(BQ387),"")</f>
        <v>36152</v>
      </c>
      <c r="BR390" s="260">
        <f>IF(ISNUMBER(BR388),BR388+N(BR389)+N(BR387),"")</f>
        <v>36152</v>
      </c>
      <c r="BS390" s="260">
        <f>IF(ISNUMBER(BS388),BS388+N(BS389)+N(BS387),"")</f>
        <v>36205</v>
      </c>
      <c r="BT390" s="260">
        <f>IF(ISNUMBER(BT388),BT388+N(BT389)+N(BT387),"")</f>
        <v>36640</v>
      </c>
      <c r="BU390" s="32" t="n"/>
      <c r="BV390" s="32" t="n"/>
      <c r="BW390" s="261">
        <f>IF(ISNUMBER(BW388),BW388+N(BW389)+N(BW387),"")</f>
        <v>22895.0363253667</v>
      </c>
      <c r="BX390" s="261">
        <f>IF(ISNUMBER(BX388),BX388+N(BX389)+N(BX387),"")</f>
        <v>22494.5349214208</v>
      </c>
      <c r="BY390" s="261">
        <f>IF(ISNUMBER(BY388),BY388+N(BY389)+N(BY387),"")</f>
        <v>21214.6365689019</v>
      </c>
      <c r="BZ390" s="261">
        <f>IF(ISNUMBER(BZ388),BZ388+N(BZ389)+N(BZ387),"")</f>
        <v>19966.4675500941</v>
      </c>
      <c r="CA390" s="261">
        <f>IF(ISNUMBER(CA388),CA388+N(CA389)+N(CA387),"")</f>
        <v>18695.2001066059</v>
      </c>
      <c r="CB390" s="261">
        <f>IF(ISNUMBER(CB388),CB388+N(CB389)+N(CB387),"")</f>
        <v>17404.2541639648</v>
      </c>
      <c r="CC390" s="153" t="n"/>
    </row>
    <row r="391" ht="15" customHeight="1" s="251">
      <c r="B391" s="55" t="inlineStr">
        <is>
          <t>TOTAL LIABILITIES AND EQUITY</t>
        </is>
      </c>
      <c r="C391" s="269">
        <f>IF(ISNUMBER(C386),C386+C390,"")</f>
      </c>
      <c r="D391" s="269">
        <f>IF(ISNUMBER(D386),D386+D390,"")</f>
      </c>
      <c r="E391" s="269">
        <f>IF(ISNUMBER(E386),E386+E390,"")</f>
        <v>7052</v>
      </c>
      <c r="F391" s="269">
        <f>IF(ISNUMBER(F386),F386+F390,"")</f>
        <v>6270</v>
      </c>
      <c r="G391" s="269">
        <f>IF(ISNUMBER(G386),G386+G390,"")</f>
        <v>6160</v>
      </c>
      <c r="H391" s="269">
        <f>IF(ISNUMBER(H386),H386+H390,"")</f>
        <v>5848</v>
      </c>
      <c r="I391" s="269">
        <f>IF(ISNUMBER(I386),I386+I390,"")</f>
        <v>6061</v>
      </c>
      <c r="J391" s="269">
        <f>IF(ISNUMBER(J386),J386+J390,"")</f>
        <v>6061</v>
      </c>
      <c r="K391" s="269">
        <f>IF(ISNUMBER(K386),K386+K390,"")</f>
        <v>6011</v>
      </c>
      <c r="L391" s="269">
        <f>IF(ISNUMBER(L386),L386+L390,"")</f>
        <v>6057</v>
      </c>
      <c r="M391" s="269">
        <f>IF(ISNUMBER(M386),M386+M390,"")</f>
        <v>6270</v>
      </c>
      <c r="N391" s="269">
        <f>IF(ISNUMBER(N386),N386+N390,"")</f>
        <v>6771</v>
      </c>
      <c r="O391" s="269">
        <f>IF(ISNUMBER(O386),O386+O390,"")</f>
        <v>6771</v>
      </c>
      <c r="P391" s="269">
        <f>IF(ISNUMBER(P386),P386+P390,"")</f>
        <v>5448</v>
      </c>
      <c r="Q391" s="269">
        <f>IF(ISNUMBER(Q386),Q386+Q390,"")</f>
        <v>6013</v>
      </c>
      <c r="R391" s="269">
        <f>IF(ISNUMBER(R386),R386+R390,"")</f>
        <v>8163</v>
      </c>
      <c r="S391" s="269">
        <f>IF(ISNUMBER(S386),S386+S390,"")</f>
        <v>8183</v>
      </c>
      <c r="T391" s="269">
        <f>IF(ISNUMBER(T386),T386+T390,"")</f>
        <v>8183</v>
      </c>
      <c r="U391" s="269">
        <f>IF(ISNUMBER(U386),U386+U390,"")</f>
        <v>8261</v>
      </c>
      <c r="V391" s="269">
        <f>IF(ISNUMBER(V386),V386+V390,"")</f>
        <v>8291</v>
      </c>
      <c r="W391" s="269">
        <f>IF(ISNUMBER(W386),W386+W390,"")</f>
        <v>8676</v>
      </c>
      <c r="X391" s="269">
        <f>IF(ISNUMBER(X386),X386+X390,"")</f>
        <v>8669</v>
      </c>
      <c r="Y391" s="269">
        <f>IF(ISNUMBER(Y386),Y386+Y390,"")</f>
        <v>8669</v>
      </c>
      <c r="Z391" s="269">
        <f>IF(ISNUMBER(Z386),Z386+Z390,"")</f>
        <v>8654</v>
      </c>
      <c r="AA391" s="269">
        <f>IF(ISNUMBER(AA386),AA386+AA390,"")</f>
        <v>8791</v>
      </c>
      <c r="AB391" s="269">
        <f>IF(ISNUMBER(AB386),AB386+AB390,"")</f>
        <v>8714</v>
      </c>
      <c r="AC391" s="269">
        <f>IF(ISNUMBER(AC386),AC386+AC390,"")</f>
        <v>9425</v>
      </c>
      <c r="AD391" s="269">
        <f>IF(ISNUMBER(AD386),AD386+AD390,"")</f>
        <v>9425</v>
      </c>
      <c r="AE391" s="269">
        <f>IF(ISNUMBER(AE386),AE386+AE390,"")</f>
        <v>8497</v>
      </c>
      <c r="AF391" s="269">
        <f>IF(ISNUMBER(AF386),AF386+AF390,"")</f>
        <v>9217</v>
      </c>
      <c r="AG391" s="269">
        <f>IF(ISNUMBER(AG386),AG386+AG390,"")</f>
        <v>9383</v>
      </c>
      <c r="AH391" s="269">
        <f>IF(ISNUMBER(AH386),AH386+AH390,"")</f>
        <v>9458</v>
      </c>
      <c r="AI391" s="269">
        <f>IF(ISNUMBER(AI386),AI386+AI390,"")</f>
        <v>9458</v>
      </c>
      <c r="AJ391" s="269">
        <f>IF(ISNUMBER(AJ386),AJ386+AJ390,"")</f>
        <v>9720</v>
      </c>
      <c r="AK391" s="269">
        <f>IF(ISNUMBER(AK386),AK386+AK390,"")</f>
        <v>10185</v>
      </c>
      <c r="AL391" s="269">
        <f>IF(ISNUMBER(AL386),AL386+AL390,"")</f>
        <v>10188</v>
      </c>
      <c r="AM391" s="269">
        <f>IF(ISNUMBER(AM386),AM386+AM390,"")</f>
        <v>11348</v>
      </c>
      <c r="AN391" s="269">
        <f>IF(ISNUMBER(AN386),AN386+AN390,"")</f>
        <v>11348</v>
      </c>
      <c r="AO391" s="269">
        <f>IF(ISNUMBER(AO386),AO386+AO390,"")</f>
        <v>10463</v>
      </c>
      <c r="AP391" s="269">
        <f>IF(ISNUMBER(AP386),AP386+AP390,"")</f>
        <v>11105</v>
      </c>
      <c r="AQ391" s="269">
        <f>IF(ISNUMBER(AQ386),AQ386+AQ390,"")</f>
        <v>11452</v>
      </c>
      <c r="AR391" s="269">
        <f>IF(ISNUMBER(AR386),AR386+AR390,"")</f>
        <v>12537</v>
      </c>
      <c r="AS391" s="269">
        <f>IF(ISNUMBER(AS386),AS386+AS390,"")</f>
        <v>12537</v>
      </c>
      <c r="AT391" s="269">
        <f>IF(ISNUMBER(AT386),AT386+AT390,"")</f>
        <v>12830</v>
      </c>
      <c r="AU391" s="269">
        <f>IF(ISNUMBER(AU386),AU386+AU390,"")</f>
        <v>13398</v>
      </c>
      <c r="AV391" s="269">
        <f>IF(ISNUMBER(AV386),AV386+AV390,"")</f>
        <v>14111</v>
      </c>
      <c r="AW391" s="269">
        <f>IF(ISNUMBER(AW386),AW386+AW390,"")</f>
        <v>15026</v>
      </c>
      <c r="AX391" s="269">
        <f>IF(ISNUMBER(AX386),AX386+AX390,"")</f>
        <v>15026</v>
      </c>
      <c r="AY391" s="269">
        <f>IF(ISNUMBER(AY386),AY386+AY390,"")</f>
        <v>66092</v>
      </c>
      <c r="AZ391" s="269">
        <f>IF(ISNUMBER(AZ386),AZ386+AZ390,"")</f>
        <v>64323</v>
      </c>
      <c r="BA391" s="269">
        <f>IF(ISNUMBER(BA386),BA386+BA390,"")</f>
        <v>61813</v>
      </c>
      <c r="BB391" s="269">
        <f>IF(ISNUMBER(BB386),BB386+BB390,"")</f>
        <v>61784</v>
      </c>
      <c r="BC391" s="269">
        <f>IF(ISNUMBER(BC386),BC386+BC390,"")</f>
        <v>61784</v>
      </c>
      <c r="BD391" s="269">
        <f>IF(ISNUMBER(BD386),BD386+BD390,"")</f>
        <v>62024</v>
      </c>
      <c r="BE391" s="269">
        <f>IF(ISNUMBER(BE386),BE386+BE390,"")</f>
        <v>60695</v>
      </c>
      <c r="BF391" s="269">
        <f>IF(ISNUMBER(BF386),BF386+BF390,"")</f>
        <v>60561</v>
      </c>
      <c r="BG391" s="269">
        <f>IF(ISNUMBER(BG386),BG386+BG390,"")</f>
        <v>60589</v>
      </c>
      <c r="BH391" s="269">
        <f>IF(ISNUMBER(BH386),BH386+BH390,"")</f>
        <v>60589</v>
      </c>
      <c r="BI391" s="269">
        <f>IF(ISNUMBER(BI386),BI386+BI390,"")</f>
        <v>60477</v>
      </c>
      <c r="BJ391" s="269">
        <f>IF(ISNUMBER(BJ386),BJ386+BJ390,"")</f>
        <v>60956</v>
      </c>
      <c r="BK391" s="269">
        <f>IF(ISNUMBER(BK386),BK386+BK390,"")</f>
        <v>60368</v>
      </c>
      <c r="BL391" s="269">
        <f>IF(ISNUMBER(BL386),BL386+BL390,"")</f>
        <v>60221</v>
      </c>
      <c r="BM391" s="269">
        <f>IF(ISNUMBER(BM386),BM386+BM390,"")</f>
        <v>60221</v>
      </c>
      <c r="BN391" s="269">
        <f>IF(ISNUMBER(BN386),BN386+BN390,"")</f>
        <v>59889</v>
      </c>
      <c r="BO391" s="269">
        <f>IF(ISNUMBER(BO386),BO386+BO390,"")</f>
        <v>60395</v>
      </c>
      <c r="BP391" s="269">
        <f>IF(ISNUMBER(BP386),BP386+BP390,"")</f>
        <v>59749</v>
      </c>
      <c r="BQ391" s="269">
        <f>IF(ISNUMBER(BQ386),BQ386+BQ390,"")</f>
        <v>61200</v>
      </c>
      <c r="BR391" s="269">
        <f>IF(ISNUMBER(BR386),BR386+BR390,"")</f>
        <v>61200</v>
      </c>
      <c r="BS391" s="269">
        <f>IF(ISNUMBER(BS386),BS386+BS390,"")</f>
        <v>60792</v>
      </c>
      <c r="BT391" s="269">
        <f>IF(ISNUMBER(BT386),BT386+BT390,"")</f>
        <v>62906</v>
      </c>
      <c r="BU391" s="56" t="n"/>
      <c r="BV391" s="56" t="n"/>
      <c r="BW391" s="269">
        <f>IF(ISNUMBER(BW386),BW386+BW390,"")</f>
        <v>47303.514430137</v>
      </c>
      <c r="BX391" s="269">
        <f>IF(ISNUMBER(BX386),BX386+BX390,"")</f>
        <v>47313.6544767626</v>
      </c>
      <c r="BY391" s="269">
        <f>IF(ISNUMBER(BY386),BY386+BY390,"")</f>
        <v>47382.2016760433</v>
      </c>
      <c r="BZ391" s="269">
        <f>IF(ISNUMBER(BZ386),BZ386+BZ390,"")</f>
        <v>47482.2501967674</v>
      </c>
      <c r="CA391" s="269">
        <f>IF(ISNUMBER(CA386),CA386+CA390,"")</f>
        <v>47609.4002103113</v>
      </c>
      <c r="CB391" s="269">
        <f>IF(ISNUMBER(CB386),CB386+CB390,"")</f>
        <v>47774.9723416518</v>
      </c>
      <c r="CC391" s="153" t="n"/>
    </row>
    <row r="392" ht="15" customHeight="1" s="251">
      <c r="B392" s="57" t="inlineStr">
        <is>
          <t>BS tie-out check (TA − TL&amp;E)</t>
        </is>
      </c>
      <c r="C392" s="211">
        <f>IF(ISNUMBER(C373),IF(ABS(C373-C391)&lt;=1.01,0,ROUND(C373-C391,0)),"")</f>
      </c>
      <c r="D392" s="211">
        <f>IF(ISNUMBER(D373),IF(ABS(D373-D391)&lt;=1.01,0,ROUND(D373-D391,0)),"")</f>
      </c>
      <c r="E392" s="211">
        <f>IF(ISNUMBER(E373),IF(ABS(E373-E391)&lt;=1.01,0,ROUND(E373-E391,0)),"")</f>
        <v>0</v>
      </c>
      <c r="F392" s="211">
        <f>IF(ISNUMBER(F373),IF(ABS(F373-F391)&lt;=1.01,0,ROUND(F373-F391,0)),"")</f>
        <v>0</v>
      </c>
      <c r="G392" s="211">
        <f>IF(ISNUMBER(G373),IF(ABS(G373-G391)&lt;=1.01,0,ROUND(G373-G391,0)),"")</f>
        <v>0</v>
      </c>
      <c r="H392" s="211">
        <f>IF(ISNUMBER(H373),IF(ABS(H373-H391)&lt;=1.01,0,ROUND(H373-H391,0)),"")</f>
        <v>0</v>
      </c>
      <c r="I392" s="211">
        <f>IF(ISNUMBER(I373),IF(ABS(I373-I391)&lt;=1.01,0,ROUND(I373-I391,0)),"")</f>
        <v>0</v>
      </c>
      <c r="J392" s="211">
        <f>IF(ISNUMBER(J373),IF(ABS(J373-J391)&lt;=1.01,0,ROUND(J373-J391,0)),"")</f>
        <v>0</v>
      </c>
      <c r="K392" s="211">
        <f>IF(ISNUMBER(K373),IF(ABS(K373-K391)&lt;=1.01,0,ROUND(K373-K391,0)),"")</f>
        <v>0</v>
      </c>
      <c r="L392" s="211">
        <f>IF(ISNUMBER(L373),IF(ABS(L373-L391)&lt;=1.01,0,ROUND(L373-L391,0)),"")</f>
        <v>0</v>
      </c>
      <c r="M392" s="211">
        <f>IF(ISNUMBER(M373),IF(ABS(M373-M391)&lt;=1.01,0,ROUND(M373-M391,0)),"")</f>
        <v>0</v>
      </c>
      <c r="N392" s="211">
        <f>IF(ISNUMBER(N373),IF(ABS(N373-N391)&lt;=1.01,0,ROUND(N373-N391,0)),"")</f>
        <v>0</v>
      </c>
      <c r="O392" s="211">
        <f>IF(ISNUMBER(O373),IF(ABS(O373-O391)&lt;=1.01,0,ROUND(O373-O391,0)),"")</f>
        <v>0</v>
      </c>
      <c r="P392" s="211">
        <f>IF(ISNUMBER(P373),IF(ABS(P373-P391)&lt;=1.01,0,ROUND(P373-P391,0)),"")</f>
        <v>0</v>
      </c>
      <c r="Q392" s="211">
        <f>IF(ISNUMBER(Q373),IF(ABS(Q373-Q391)&lt;=1.01,0,ROUND(Q373-Q391,0)),"")</f>
        <v>0</v>
      </c>
      <c r="R392" s="211">
        <f>IF(ISNUMBER(R373),IF(ABS(R373-R391)&lt;=1.01,0,ROUND(R373-R391,0)),"")</f>
        <v>0</v>
      </c>
      <c r="S392" s="211">
        <f>IF(ISNUMBER(S373),IF(ABS(S373-S391)&lt;=1.01,0,ROUND(S373-S391,0)),"")</f>
        <v>0</v>
      </c>
      <c r="T392" s="211">
        <f>IF(ISNUMBER(T373),IF(ABS(T373-T391)&lt;=1.01,0,ROUND(T373-T391,0)),"")</f>
        <v>0</v>
      </c>
      <c r="U392" s="211">
        <f>IF(ISNUMBER(U373),IF(ABS(U373-U391)&lt;=1.01,0,ROUND(U373-U391,0)),"")</f>
        <v>0</v>
      </c>
      <c r="V392" s="211">
        <f>IF(ISNUMBER(V373),IF(ABS(V373-V391)&lt;=1.01,0,ROUND(V373-V391,0)),"")</f>
        <v>0</v>
      </c>
      <c r="W392" s="211">
        <f>IF(ISNUMBER(W373),IF(ABS(W373-W391)&lt;=1.01,0,ROUND(W373-W391,0)),"")</f>
        <v>0</v>
      </c>
      <c r="X392" s="211">
        <f>IF(ISNUMBER(X373),IF(ABS(X373-X391)&lt;=1.01,0,ROUND(X373-X391,0)),"")</f>
        <v>0</v>
      </c>
      <c r="Y392" s="211">
        <f>IF(ISNUMBER(Y373),IF(ABS(Y373-Y391)&lt;=1.01,0,ROUND(Y373-Y391,0)),"")</f>
        <v>0</v>
      </c>
      <c r="Z392" s="211">
        <f>IF(ISNUMBER(Z373),IF(ABS(Z373-Z391)&lt;=1.01,0,ROUND(Z373-Z391,0)),"")</f>
        <v>0</v>
      </c>
      <c r="AA392" s="211">
        <f>IF(ISNUMBER(AA373),IF(ABS(AA373-AA391)&lt;=1.01,0,ROUND(AA373-AA391,0)),"")</f>
        <v>0</v>
      </c>
      <c r="AB392" s="211">
        <f>IF(ISNUMBER(AB373),IF(ABS(AB373-AB391)&lt;=1.01,0,ROUND(AB373-AB391,0)),"")</f>
        <v>0</v>
      </c>
      <c r="AC392" s="211">
        <f>IF(ISNUMBER(AC373),IF(ABS(AC373-AC391)&lt;=1.01,0,ROUND(AC373-AC391,0)),"")</f>
        <v>0</v>
      </c>
      <c r="AD392" s="211">
        <f>IF(ISNUMBER(AD373),IF(ABS(AD373-AD391)&lt;=1.01,0,ROUND(AD373-AD391,0)),"")</f>
        <v>0</v>
      </c>
      <c r="AE392" s="211">
        <f>IF(ISNUMBER(AE373),IF(ABS(AE373-AE391)&lt;=1.01,0,ROUND(AE373-AE391,0)),"")</f>
        <v>0</v>
      </c>
      <c r="AF392" s="211">
        <f>IF(ISNUMBER(AF373),IF(ABS(AF373-AF391)&lt;=1.01,0,ROUND(AF373-AF391,0)),"")</f>
        <v>0</v>
      </c>
      <c r="AG392" s="211">
        <f>IF(ISNUMBER(AG373),IF(ABS(AG373-AG391)&lt;=1.01,0,ROUND(AG373-AG391,0)),"")</f>
        <v>0</v>
      </c>
      <c r="AH392" s="211">
        <f>IF(ISNUMBER(AH373),IF(ABS(AH373-AH391)&lt;=1.01,0,ROUND(AH373-AH391,0)),"")</f>
        <v>0</v>
      </c>
      <c r="AI392" s="211">
        <f>IF(ISNUMBER(AI373),IF(ABS(AI373-AI391)&lt;=1.01,0,ROUND(AI373-AI391,0)),"")</f>
        <v>0</v>
      </c>
      <c r="AJ392" s="211">
        <f>IF(ISNUMBER(AJ373),IF(ABS(AJ373-AJ391)&lt;=1.01,0,ROUND(AJ373-AJ391,0)),"")</f>
        <v>0</v>
      </c>
      <c r="AK392" s="211">
        <f>IF(ISNUMBER(AK373),IF(ABS(AK373-AK391)&lt;=1.01,0,ROUND(AK373-AK391,0)),"")</f>
        <v>0</v>
      </c>
      <c r="AL392" s="211">
        <f>IF(ISNUMBER(AL373),IF(ABS(AL373-AL391)&lt;=1.01,0,ROUND(AL373-AL391,0)),"")</f>
        <v>0</v>
      </c>
      <c r="AM392" s="211">
        <f>IF(ISNUMBER(AM373),IF(ABS(AM373-AM391)&lt;=1.01,0,ROUND(AM373-AM391,0)),"")</f>
        <v>0</v>
      </c>
      <c r="AN392" s="211">
        <f>IF(ISNUMBER(AN373),IF(ABS(AN373-AN391)&lt;=1.01,0,ROUND(AN373-AN391,0)),"")</f>
        <v>0</v>
      </c>
      <c r="AO392" s="211">
        <f>IF(ISNUMBER(AO373),IF(ABS(AO373-AO391)&lt;=1.01,0,ROUND(AO373-AO391,0)),"")</f>
        <v>0</v>
      </c>
      <c r="AP392" s="211">
        <f>IF(ISNUMBER(AP373),IF(ABS(AP373-AP391)&lt;=1.01,0,ROUND(AP373-AP391,0)),"")</f>
        <v>0</v>
      </c>
      <c r="AQ392" s="211">
        <f>IF(ISNUMBER(AQ373),IF(ABS(AQ373-AQ391)&lt;=1.01,0,ROUND(AQ373-AQ391,0)),"")</f>
        <v>0</v>
      </c>
      <c r="AR392" s="211">
        <f>IF(ISNUMBER(AR373),IF(ABS(AR373-AR391)&lt;=1.01,0,ROUND(AR373-AR391,0)),"")</f>
        <v>0</v>
      </c>
      <c r="AS392" s="211">
        <f>IF(ISNUMBER(AS373),IF(ABS(AS373-AS391)&lt;=1.01,0,ROUND(AS373-AS391,0)),"")</f>
        <v>0</v>
      </c>
      <c r="AT392" s="211">
        <f>IF(ISNUMBER(AT373),IF(ABS(AT373-AT391)&lt;=1.01,0,ROUND(AT373-AT391,0)),"")</f>
        <v>0</v>
      </c>
      <c r="AU392" s="211">
        <f>IF(ISNUMBER(AU373),IF(ABS(AU373-AU391)&lt;=1.01,0,ROUND(AU373-AU391,0)),"")</f>
        <v>0</v>
      </c>
      <c r="AV392" s="211">
        <f>IF(ISNUMBER(AV373),IF(ABS(AV373-AV391)&lt;=1.01,0,ROUND(AV373-AV391,0)),"")</f>
        <v>0</v>
      </c>
      <c r="AW392" s="211">
        <f>IF(ISNUMBER(AW373),IF(ABS(AW373-AW391)&lt;=1.01,0,ROUND(AW373-AW391,0)),"")</f>
        <v>0</v>
      </c>
      <c r="AX392" s="211">
        <f>IF(ISNUMBER(AX373),IF(ABS(AX373-AX391)&lt;=1.01,0,ROUND(AX373-AX391,0)),"")</f>
        <v>0</v>
      </c>
      <c r="AY392" s="211">
        <f>IF(ISNUMBER(AY373),IF(ABS(AY373-AY391)&lt;=1.01,0,ROUND(AY373-AY391,0)),"")</f>
        <v>0</v>
      </c>
      <c r="AZ392" s="211">
        <f>IF(ISNUMBER(AZ373),IF(ABS(AZ373-AZ391)&lt;=1.01,0,ROUND(AZ373-AZ391,0)),"")</f>
        <v>0</v>
      </c>
      <c r="BA392" s="211">
        <f>IF(ISNUMBER(BA373),IF(ABS(BA373-BA391)&lt;=1.01,0,ROUND(BA373-BA391,0)),"")</f>
        <v>0</v>
      </c>
      <c r="BB392" s="211">
        <f>IF(ISNUMBER(BB373),IF(ABS(BB373-BB391)&lt;=1.01,0,ROUND(BB373-BB391,0)),"")</f>
        <v>0</v>
      </c>
      <c r="BC392" s="211">
        <f>IF(ISNUMBER(BC373),IF(ABS(BC373-BC391)&lt;=1.01,0,ROUND(BC373-BC391,0)),"")</f>
        <v>0</v>
      </c>
      <c r="BD392" s="211">
        <f>IF(ISNUMBER(BD373),IF(ABS(BD373-BD391)&lt;=1.01,0,ROUND(BD373-BD391,0)),"")</f>
        <v>0</v>
      </c>
      <c r="BE392" s="211">
        <f>IF(ISNUMBER(BE373),IF(ABS(BE373-BE391)&lt;=1.01,0,ROUND(BE373-BE391,0)),"")</f>
        <v>0</v>
      </c>
      <c r="BF392" s="211">
        <f>IF(ISNUMBER(BF373),IF(ABS(BF373-BF391)&lt;=1.01,0,ROUND(BF373-BF391,0)),"")</f>
        <v>0</v>
      </c>
      <c r="BG392" s="211">
        <f>IF(ISNUMBER(BG373),IF(ABS(BG373-BG391)&lt;=1.01,0,ROUND(BG373-BG391,0)),"")</f>
        <v>0</v>
      </c>
      <c r="BH392" s="211">
        <f>IF(ISNUMBER(BH373),IF(ABS(BH373-BH391)&lt;=1.01,0,ROUND(BH373-BH391,0)),"")</f>
        <v>0</v>
      </c>
      <c r="BI392" s="211">
        <f>IF(ISNUMBER(BI373),IF(ABS(BI373-BI391)&lt;=1.01,0,ROUND(BI373-BI391,0)),"")</f>
        <v>0</v>
      </c>
      <c r="BJ392" s="211">
        <f>IF(ISNUMBER(BJ373),IF(ABS(BJ373-BJ391)&lt;=1.01,0,ROUND(BJ373-BJ391,0)),"")</f>
        <v>0</v>
      </c>
      <c r="BK392" s="211">
        <f>IF(ISNUMBER(BK373),IF(ABS(BK373-BK391)&lt;=1.01,0,ROUND(BK373-BK391,0)),"")</f>
        <v>0</v>
      </c>
      <c r="BL392" s="211">
        <f>IF(ISNUMBER(BL373),IF(ABS(BL373-BL391)&lt;=1.01,0,ROUND(BL373-BL391,0)),"")</f>
        <v>0</v>
      </c>
      <c r="BM392" s="211">
        <f>IF(ISNUMBER(BM373),IF(ABS(BM373-BM391)&lt;=1.01,0,ROUND(BM373-BM391,0)),"")</f>
        <v>0</v>
      </c>
      <c r="BN392" s="211">
        <f>IF(ISNUMBER(BN373),IF(ABS(BN373-BN391)&lt;=1.01,0,ROUND(BN373-BN391,0)),"")</f>
        <v>0</v>
      </c>
      <c r="BO392" s="211">
        <f>IF(ISNUMBER(BO373),IF(ABS(BO373-BO391)&lt;=1.01,0,ROUND(BO373-BO391,0)),"")</f>
        <v>0</v>
      </c>
      <c r="BP392" s="211">
        <f>IF(ISNUMBER(BP373),IF(ABS(BP373-BP391)&lt;=1.01,0,ROUND(BP373-BP391,0)),"")</f>
        <v>0</v>
      </c>
      <c r="BQ392" s="211">
        <f>IF(ISNUMBER(BQ373),IF(ABS(BQ373-BQ391)&lt;=1.01,0,ROUND(BQ373-BQ391,0)),"")</f>
        <v>0</v>
      </c>
      <c r="BR392" s="211">
        <f>IF(ISNUMBER(BR373),IF(ABS(BR373-BR391)&lt;=1.01,0,ROUND(BR373-BR391,0)),"")</f>
        <v>0</v>
      </c>
      <c r="BS392" s="211">
        <f>IF(ISNUMBER(BS373),IF(ABS(BS373-BS391)&lt;=1.01,0,ROUND(BS373-BS391,0)),"")</f>
        <v>0</v>
      </c>
      <c r="BT392" s="211">
        <f>IF(ISNUMBER(BT373),IF(ABS(BT373-BT391)&lt;=1.01,0,ROUND(BT373-BT391,0)),"")</f>
        <v>0</v>
      </c>
      <c r="BU392" s="153" t="n"/>
      <c r="BV392" s="153" t="n"/>
      <c r="BW392" s="270">
        <f>IF(ISNUMBER(BW373),IF(ABS(BW373-BW391)&lt;=1.01,0,ROUND(BW373-BW391,0)),"")</f>
        <v>0</v>
      </c>
      <c r="BX392" s="270">
        <f>IF(ISNUMBER(BX373),IF(ABS(BX373-BX391)&lt;=1.01,0,ROUND(BX373-BX391,0)),"")</f>
        <v>0</v>
      </c>
      <c r="BY392" s="270">
        <f>IF(ISNUMBER(BY373),IF(ABS(BY373-BY391)&lt;=1.01,0,ROUND(BY373-BY391,0)),"")</f>
        <v>0</v>
      </c>
      <c r="BZ392" s="270">
        <f>IF(ISNUMBER(BZ373),IF(ABS(BZ373-BZ391)&lt;=1.01,0,ROUND(BZ373-BZ391,0)),"")</f>
        <v>0</v>
      </c>
      <c r="CA392" s="270">
        <f>IF(ISNUMBER(CA373),IF(ABS(CA373-CA391)&lt;=1.01,0,ROUND(CA373-CA391,0)),"")</f>
        <v>0</v>
      </c>
      <c r="CB392" s="270">
        <f>IF(ISNUMBER(CB373),IF(ABS(CB373-CB391)&lt;=1.01,0,ROUND(CB373-CB391,0)),"")</f>
        <v>0</v>
      </c>
      <c r="CC392" s="153" t="n"/>
    </row>
    <row r="393" ht="15" customHeight="1" s="251">
      <c r="B393" s="57" t="inlineStr">
        <is>
          <t xml:space="preserve">  Check: model total assets vs reported (should be 0)</t>
        </is>
      </c>
      <c r="C393" s="211">
        <f>IF(ISNUMBER(C394),IF(ABS(C373-C394)&lt;=1.01,0,ROUND(C373-C394,0)),"")</f>
      </c>
      <c r="D393" s="211">
        <f>IF(ISNUMBER(D394),IF(ABS(D373-D394)&lt;=1.01,0,ROUND(D373-D394,0)),"")</f>
      </c>
      <c r="E393" s="211">
        <f>IF(ISNUMBER(E394),IF(ABS(E373-E394)&lt;=1.01,0,ROUND(E373-E394,0)),"")</f>
        <v>0</v>
      </c>
      <c r="F393" s="211">
        <f>IF(ISNUMBER(F394),IF(ABS(F373-F394)&lt;=1.01,0,ROUND(F373-F394,0)),"")</f>
        <v>0</v>
      </c>
      <c r="G393" s="211">
        <f>IF(ISNUMBER(G394),IF(ABS(G373-G394)&lt;=1.01,0,ROUND(G373-G394,0)),"")</f>
        <v>0</v>
      </c>
      <c r="H393" s="211">
        <f>IF(ISNUMBER(H394),IF(ABS(H373-H394)&lt;=1.01,0,ROUND(H373-H394,0)),"")</f>
        <v>0</v>
      </c>
      <c r="I393" s="211">
        <f>IF(ISNUMBER(I394),IF(ABS(I373-I394)&lt;=1.01,0,ROUND(I373-I394,0)),"")</f>
        <v>0</v>
      </c>
      <c r="J393" s="211">
        <f>IF(ISNUMBER(J394),IF(ABS(J373-J394)&lt;=1.01,0,ROUND(J373-J394,0)),"")</f>
        <v>0</v>
      </c>
      <c r="K393" s="211">
        <f>IF(ISNUMBER(K394),IF(ABS(K373-K394)&lt;=1.01,0,ROUND(K373-K394,0)),"")</f>
        <v>0</v>
      </c>
      <c r="L393" s="211">
        <f>IF(ISNUMBER(L394),IF(ABS(L373-L394)&lt;=1.01,0,ROUND(L373-L394,0)),"")</f>
        <v>0</v>
      </c>
      <c r="M393" s="211">
        <f>IF(ISNUMBER(M394),IF(ABS(M373-M394)&lt;=1.01,0,ROUND(M373-M394,0)),"")</f>
        <v>0</v>
      </c>
      <c r="N393" s="211">
        <f>IF(ISNUMBER(N394),IF(ABS(N373-N394)&lt;=1.01,0,ROUND(N373-N394,0)),"")</f>
        <v>0</v>
      </c>
      <c r="O393" s="211">
        <f>IF(ISNUMBER(O394),IF(ABS(O373-O394)&lt;=1.01,0,ROUND(O373-O394,0)),"")</f>
        <v>0</v>
      </c>
      <c r="P393" s="211">
        <f>IF(ISNUMBER(P394),IF(ABS(P373-P394)&lt;=1.01,0,ROUND(P373-P394,0)),"")</f>
        <v>0</v>
      </c>
      <c r="Q393" s="211">
        <f>IF(ISNUMBER(Q394),IF(ABS(Q373-Q394)&lt;=1.01,0,ROUND(Q373-Q394,0)),"")</f>
        <v>0</v>
      </c>
      <c r="R393" s="211">
        <f>IF(ISNUMBER(R394),IF(ABS(R373-R394)&lt;=1.01,0,ROUND(R373-R394,0)),"")</f>
        <v>0</v>
      </c>
      <c r="S393" s="211">
        <f>IF(ISNUMBER(S394),IF(ABS(S373-S394)&lt;=1.01,0,ROUND(S373-S394,0)),"")</f>
        <v>0</v>
      </c>
      <c r="T393" s="211">
        <f>IF(ISNUMBER(T394),IF(ABS(T373-T394)&lt;=1.01,0,ROUND(T373-T394,0)),"")</f>
        <v>0</v>
      </c>
      <c r="U393" s="211">
        <f>IF(ISNUMBER(U394),IF(ABS(U373-U394)&lt;=1.01,0,ROUND(U373-U394,0)),"")</f>
        <v>0</v>
      </c>
      <c r="V393" s="211">
        <f>IF(ISNUMBER(V394),IF(ABS(V373-V394)&lt;=1.01,0,ROUND(V373-V394,0)),"")</f>
        <v>0</v>
      </c>
      <c r="W393" s="211">
        <f>IF(ISNUMBER(W394),IF(ABS(W373-W394)&lt;=1.01,0,ROUND(W373-W394,0)),"")</f>
        <v>0</v>
      </c>
      <c r="X393" s="211">
        <f>IF(ISNUMBER(X394),IF(ABS(X373-X394)&lt;=1.01,0,ROUND(X373-X394,0)),"")</f>
        <v>0</v>
      </c>
      <c r="Y393" s="211">
        <f>IF(ISNUMBER(Y394),IF(ABS(Y373-Y394)&lt;=1.01,0,ROUND(Y373-Y394,0)),"")</f>
        <v>0</v>
      </c>
      <c r="Z393" s="211">
        <f>IF(ISNUMBER(Z394),IF(ABS(Z373-Z394)&lt;=1.01,0,ROUND(Z373-Z394,0)),"")</f>
        <v>0</v>
      </c>
      <c r="AA393" s="211">
        <f>IF(ISNUMBER(AA394),IF(ABS(AA373-AA394)&lt;=1.01,0,ROUND(AA373-AA394,0)),"")</f>
        <v>0</v>
      </c>
      <c r="AB393" s="211">
        <f>IF(ISNUMBER(AB394),IF(ABS(AB373-AB394)&lt;=1.01,0,ROUND(AB373-AB394,0)),"")</f>
        <v>0</v>
      </c>
      <c r="AC393" s="211">
        <f>IF(ISNUMBER(AC394),IF(ABS(AC373-AC394)&lt;=1.01,0,ROUND(AC373-AC394,0)),"")</f>
        <v>0</v>
      </c>
      <c r="AD393" s="211">
        <f>IF(ISNUMBER(AD394),IF(ABS(AD373-AD394)&lt;=1.01,0,ROUND(AD373-AD394,0)),"")</f>
        <v>0</v>
      </c>
      <c r="AE393" s="211">
        <f>IF(ISNUMBER(AE394),IF(ABS(AE373-AE394)&lt;=1.01,0,ROUND(AE373-AE394,0)),"")</f>
        <v>0</v>
      </c>
      <c r="AF393" s="211">
        <f>IF(ISNUMBER(AF394),IF(ABS(AF373-AF394)&lt;=1.01,0,ROUND(AF373-AF394,0)),"")</f>
        <v>0</v>
      </c>
      <c r="AG393" s="211">
        <f>IF(ISNUMBER(AG394),IF(ABS(AG373-AG394)&lt;=1.01,0,ROUND(AG373-AG394,0)),"")</f>
        <v>0</v>
      </c>
      <c r="AH393" s="211">
        <f>IF(ISNUMBER(AH394),IF(ABS(AH373-AH394)&lt;=1.01,0,ROUND(AH373-AH394,0)),"")</f>
        <v>0</v>
      </c>
      <c r="AI393" s="211">
        <f>IF(ISNUMBER(AI394),IF(ABS(AI373-AI394)&lt;=1.01,0,ROUND(AI373-AI394,0)),"")</f>
        <v>0</v>
      </c>
      <c r="AJ393" s="211">
        <f>IF(ISNUMBER(AJ394),IF(ABS(AJ373-AJ394)&lt;=1.01,0,ROUND(AJ373-AJ394,0)),"")</f>
        <v>0</v>
      </c>
      <c r="AK393" s="211">
        <f>IF(ISNUMBER(AK394),IF(ABS(AK373-AK394)&lt;=1.01,0,ROUND(AK373-AK394,0)),"")</f>
        <v>0</v>
      </c>
      <c r="AL393" s="211">
        <f>IF(ISNUMBER(AL394),IF(ABS(AL373-AL394)&lt;=1.01,0,ROUND(AL373-AL394,0)),"")</f>
        <v>0</v>
      </c>
      <c r="AM393" s="211">
        <f>IF(ISNUMBER(AM394),IF(ABS(AM373-AM394)&lt;=1.01,0,ROUND(AM373-AM394,0)),"")</f>
        <v>0</v>
      </c>
      <c r="AN393" s="211">
        <f>IF(ISNUMBER(AN394),IF(ABS(AN373-AN394)&lt;=1.01,0,ROUND(AN373-AN394,0)),"")</f>
        <v>0</v>
      </c>
      <c r="AO393" s="211">
        <f>IF(ISNUMBER(AO394),IF(ABS(AO373-AO394)&lt;=1.01,0,ROUND(AO373-AO394,0)),"")</f>
        <v>0</v>
      </c>
      <c r="AP393" s="211">
        <f>IF(ISNUMBER(AP394),IF(ABS(AP373-AP394)&lt;=1.01,0,ROUND(AP373-AP394,0)),"")</f>
        <v>0</v>
      </c>
      <c r="AQ393" s="211">
        <f>IF(ISNUMBER(AQ394),IF(ABS(AQ373-AQ394)&lt;=1.01,0,ROUND(AQ373-AQ394,0)),"")</f>
        <v>0</v>
      </c>
      <c r="AR393" s="211">
        <f>IF(ISNUMBER(AR394),IF(ABS(AR373-AR394)&lt;=1.01,0,ROUND(AR373-AR394,0)),"")</f>
        <v>0</v>
      </c>
      <c r="AS393" s="211">
        <f>IF(ISNUMBER(AS394),IF(ABS(AS373-AS394)&lt;=1.01,0,ROUND(AS373-AS394,0)),"")</f>
        <v>0</v>
      </c>
      <c r="AT393" s="211">
        <f>IF(ISNUMBER(AT394),IF(ABS(AT373-AT394)&lt;=1.01,0,ROUND(AT373-AT394,0)),"")</f>
        <v>0</v>
      </c>
      <c r="AU393" s="211">
        <f>IF(ISNUMBER(AU394),IF(ABS(AU373-AU394)&lt;=1.01,0,ROUND(AU373-AU394,0)),"")</f>
        <v>0</v>
      </c>
      <c r="AV393" s="211">
        <f>IF(ISNUMBER(AV394),IF(ABS(AV373-AV394)&lt;=1.01,0,ROUND(AV373-AV394,0)),"")</f>
        <v>0</v>
      </c>
      <c r="AW393" s="211">
        <f>IF(ISNUMBER(AW394),IF(ABS(AW373-AW394)&lt;=1.01,0,ROUND(AW373-AW394,0)),"")</f>
        <v>0</v>
      </c>
      <c r="AX393" s="211">
        <f>IF(ISNUMBER(AX394),IF(ABS(AX373-AX394)&lt;=1.01,0,ROUND(AX373-AX394,0)),"")</f>
        <v>0</v>
      </c>
      <c r="AY393" s="211">
        <f>IF(ISNUMBER(AY394),IF(ABS(AY373-AY394)&lt;=1.01,0,ROUND(AY373-AY394,0)),"")</f>
        <v>0</v>
      </c>
      <c r="AZ393" s="211">
        <f>IF(ISNUMBER(AZ394),IF(ABS(AZ373-AZ394)&lt;=1.01,0,ROUND(AZ373-AZ394,0)),"")</f>
        <v>0</v>
      </c>
      <c r="BA393" s="211">
        <f>IF(ISNUMBER(BA394),IF(ABS(BA373-BA394)&lt;=1.01,0,ROUND(BA373-BA394,0)),"")</f>
        <v>0</v>
      </c>
      <c r="BB393" s="211">
        <f>IF(ISNUMBER(BB394),IF(ABS(BB373-BB394)&lt;=1.01,0,ROUND(BB373-BB394,0)),"")</f>
        <v>0</v>
      </c>
      <c r="BC393" s="211">
        <f>IF(ISNUMBER(BC394),IF(ABS(BC373-BC394)&lt;=1.01,0,ROUND(BC373-BC394,0)),"")</f>
        <v>0</v>
      </c>
      <c r="BD393" s="211">
        <f>IF(ISNUMBER(BD394),IF(ABS(BD373-BD394)&lt;=1.01,0,ROUND(BD373-BD394,0)),"")</f>
        <v>0</v>
      </c>
      <c r="BE393" s="211">
        <f>IF(ISNUMBER(BE394),IF(ABS(BE373-BE394)&lt;=1.01,0,ROUND(BE373-BE394,0)),"")</f>
        <v>0</v>
      </c>
      <c r="BF393" s="211">
        <f>IF(ISNUMBER(BF394),IF(ABS(BF373-BF394)&lt;=1.01,0,ROUND(BF373-BF394,0)),"")</f>
        <v>0</v>
      </c>
      <c r="BG393" s="211">
        <f>IF(ISNUMBER(BG394),IF(ABS(BG373-BG394)&lt;=1.01,0,ROUND(BG373-BG394,0)),"")</f>
        <v>0</v>
      </c>
      <c r="BH393" s="211">
        <f>IF(ISNUMBER(BH394),IF(ABS(BH373-BH394)&lt;=1.01,0,ROUND(BH373-BH394,0)),"")</f>
        <v>0</v>
      </c>
      <c r="BI393" s="211">
        <f>IF(ISNUMBER(BI394),IF(ABS(BI373-BI394)&lt;=1.01,0,ROUND(BI373-BI394,0)),"")</f>
        <v>0</v>
      </c>
      <c r="BJ393" s="211">
        <f>IF(ISNUMBER(BJ394),IF(ABS(BJ373-BJ394)&lt;=1.01,0,ROUND(BJ373-BJ394,0)),"")</f>
        <v>0</v>
      </c>
      <c r="BK393" s="211">
        <f>IF(ISNUMBER(BK394),IF(ABS(BK373-BK394)&lt;=1.01,0,ROUND(BK373-BK394,0)),"")</f>
        <v>0</v>
      </c>
      <c r="BL393" s="211">
        <f>IF(ISNUMBER(BL394),IF(ABS(BL373-BL394)&lt;=1.01,0,ROUND(BL373-BL394,0)),"")</f>
        <v>0</v>
      </c>
      <c r="BM393" s="211">
        <f>IF(ISNUMBER(BM394),IF(ABS(BM373-BM394)&lt;=1.01,0,ROUND(BM373-BM394,0)),"")</f>
        <v>0</v>
      </c>
      <c r="BN393" s="211">
        <f>IF(ISNUMBER(BN394),IF(ABS(BN373-BN394)&lt;=1.01,0,ROUND(BN373-BN394,0)),"")</f>
        <v>0</v>
      </c>
      <c r="BO393" s="211">
        <f>IF(ISNUMBER(BO394),IF(ABS(BO373-BO394)&lt;=1.01,0,ROUND(BO373-BO394,0)),"")</f>
        <v>0</v>
      </c>
      <c r="BP393" s="211">
        <f>IF(ISNUMBER(BP394),IF(ABS(BP373-BP394)&lt;=1.01,0,ROUND(BP373-BP394,0)),"")</f>
        <v>0</v>
      </c>
      <c r="BQ393" s="211">
        <f>IF(ISNUMBER(BQ394),IF(ABS(BQ373-BQ394)&lt;=1.01,0,ROUND(BQ373-BQ394,0)),"")</f>
        <v>0</v>
      </c>
      <c r="BR393" s="211">
        <f>IF(ISNUMBER(BR394),IF(ABS(BR373-BR394)&lt;=1.01,0,ROUND(BR373-BR394,0)),"")</f>
        <v>0</v>
      </c>
      <c r="BS393" s="211">
        <f>IF(ISNUMBER(BS394),IF(ABS(BS373-BS394)&lt;=1.01,0,ROUND(BS373-BS394,0)),"")</f>
        <v>0</v>
      </c>
      <c r="BT393" s="211">
        <f>IF(ISNUMBER(BT394),IF(ABS(BT373-BT394)&lt;=1.01,0,ROUND(BT373-BT394,0)),"")</f>
        <v>0</v>
      </c>
      <c r="BU393" s="153" t="n"/>
      <c r="BV393" s="153" t="n"/>
      <c r="BW393" s="153" t="n"/>
      <c r="BX393" s="153" t="n"/>
      <c r="BY393" s="153" t="n"/>
      <c r="BZ393" s="153" t="n"/>
      <c r="CA393" s="153" t="n"/>
      <c r="CB393" s="153" t="n"/>
      <c r="CC393" s="153" t="n"/>
    </row>
    <row r="394" ht="15" customHeight="1" s="251">
      <c r="B394" s="156" t="inlineStr">
        <is>
          <t xml:space="preserve">  Memo: total assets as reported</t>
        </is>
      </c>
      <c r="C394" s="34" t="n"/>
      <c r="D394" s="34" t="n"/>
      <c r="E394" s="253" t="n">
        <v>7052</v>
      </c>
      <c r="F394" s="253" t="n">
        <v>6270</v>
      </c>
      <c r="G394" s="253" t="n">
        <v>6160</v>
      </c>
      <c r="H394" s="253" t="n">
        <v>5848</v>
      </c>
      <c r="I394" s="253" t="n">
        <v>6061</v>
      </c>
      <c r="J394" s="253" t="n">
        <v>6061</v>
      </c>
      <c r="K394" s="253" t="n">
        <v>6011</v>
      </c>
      <c r="L394" s="253" t="n">
        <v>6057</v>
      </c>
      <c r="M394" s="253" t="n">
        <v>6270</v>
      </c>
      <c r="N394" s="253" t="n">
        <v>6771</v>
      </c>
      <c r="O394" s="253" t="n">
        <v>6771</v>
      </c>
      <c r="P394" s="253" t="n">
        <v>5448</v>
      </c>
      <c r="Q394" s="253" t="n">
        <v>6013</v>
      </c>
      <c r="R394" s="253" t="n">
        <v>8163</v>
      </c>
      <c r="S394" s="253" t="n">
        <v>8183</v>
      </c>
      <c r="T394" s="253" t="n">
        <v>8183</v>
      </c>
      <c r="U394" s="253" t="n">
        <v>8261</v>
      </c>
      <c r="V394" s="253" t="n">
        <v>8291</v>
      </c>
      <c r="W394" s="253" t="n">
        <v>8676</v>
      </c>
      <c r="X394" s="253" t="n">
        <v>8669</v>
      </c>
      <c r="Y394" s="253" t="n">
        <v>8669</v>
      </c>
      <c r="Z394" s="253" t="n">
        <v>8654</v>
      </c>
      <c r="AA394" s="253" t="n">
        <v>8791</v>
      </c>
      <c r="AB394" s="253" t="n">
        <v>8714</v>
      </c>
      <c r="AC394" s="253" t="n">
        <v>9425</v>
      </c>
      <c r="AD394" s="253" t="n">
        <v>9425</v>
      </c>
      <c r="AE394" s="253" t="n">
        <v>8497</v>
      </c>
      <c r="AF394" s="253" t="n">
        <v>9217</v>
      </c>
      <c r="AG394" s="253" t="n">
        <v>9383</v>
      </c>
      <c r="AH394" s="253" t="n">
        <v>9458</v>
      </c>
      <c r="AI394" s="253" t="n">
        <v>9458</v>
      </c>
      <c r="AJ394" s="253" t="n">
        <v>9720</v>
      </c>
      <c r="AK394" s="253" t="n">
        <v>10185</v>
      </c>
      <c r="AL394" s="253" t="n">
        <v>10188</v>
      </c>
      <c r="AM394" s="253" t="n">
        <v>11348</v>
      </c>
      <c r="AN394" s="253" t="n">
        <v>11348</v>
      </c>
      <c r="AO394" s="253" t="n">
        <v>10463</v>
      </c>
      <c r="AP394" s="253" t="n">
        <v>11105</v>
      </c>
      <c r="AQ394" s="253" t="n">
        <v>11452</v>
      </c>
      <c r="AR394" s="253" t="n">
        <v>12537</v>
      </c>
      <c r="AS394" s="253" t="n">
        <v>12537</v>
      </c>
      <c r="AT394" s="253" t="n">
        <v>12830</v>
      </c>
      <c r="AU394" s="253" t="n">
        <v>13398</v>
      </c>
      <c r="AV394" s="253" t="n">
        <v>14111</v>
      </c>
      <c r="AW394" s="253" t="n">
        <v>15026</v>
      </c>
      <c r="AX394" s="253" t="n">
        <v>15026</v>
      </c>
      <c r="AY394" s="253" t="n">
        <v>66092</v>
      </c>
      <c r="AZ394" s="253" t="n">
        <v>64323</v>
      </c>
      <c r="BA394" s="253" t="n">
        <v>61813</v>
      </c>
      <c r="BB394" s="253" t="n">
        <v>61784</v>
      </c>
      <c r="BC394" s="253" t="n">
        <v>61784</v>
      </c>
      <c r="BD394" s="253" t="n">
        <v>62024</v>
      </c>
      <c r="BE394" s="253" t="n">
        <v>60695</v>
      </c>
      <c r="BF394" s="253" t="n">
        <v>60561</v>
      </c>
      <c r="BG394" s="253" t="n">
        <v>60589</v>
      </c>
      <c r="BH394" s="253" t="n">
        <v>60589</v>
      </c>
      <c r="BI394" s="253" t="n">
        <v>60477</v>
      </c>
      <c r="BJ394" s="253" t="n">
        <v>60956</v>
      </c>
      <c r="BK394" s="253" t="n">
        <v>60368</v>
      </c>
      <c r="BL394" s="253" t="n">
        <v>60221</v>
      </c>
      <c r="BM394" s="253" t="n">
        <v>60221</v>
      </c>
      <c r="BN394" s="253" t="n">
        <v>59889</v>
      </c>
      <c r="BO394" s="253" t="n">
        <v>60395</v>
      </c>
      <c r="BP394" s="253" t="n">
        <v>59749</v>
      </c>
      <c r="BQ394" s="253" t="n">
        <v>61200</v>
      </c>
      <c r="BR394" s="253" t="n">
        <v>61200</v>
      </c>
      <c r="BS394" s="253" t="n">
        <v>60792</v>
      </c>
      <c r="BT394" s="253" t="n">
        <v>62906</v>
      </c>
      <c r="BU394" s="153" t="n"/>
      <c r="BV394" s="153" t="n"/>
      <c r="BW394" s="153" t="n"/>
      <c r="BX394" s="153" t="n"/>
      <c r="BY394" s="153" t="n"/>
      <c r="BZ394" s="153" t="n"/>
      <c r="CA394" s="153" t="n"/>
      <c r="CB394" s="153" t="n"/>
      <c r="CC394" s="153" t="n"/>
    </row>
    <row r="395" ht="15" customHeight="1" s="251">
      <c r="B395" s="57" t="inlineStr">
        <is>
          <t xml:space="preserve">  Check: BS cash vs cash-flow ending cash (should be 0)</t>
        </is>
      </c>
      <c r="C395" s="211">
        <f>IF(AND(ISNUMBER(C363),ISNUMBER(C335)),IF(ABS(C363-C335)&lt;=1.01,0,ROUND(C363-C335,0)),"")</f>
      </c>
      <c r="D395" s="211">
        <f>IF(AND(ISNUMBER(D363),ISNUMBER(D335)),IF(ABS(D363-D335)&lt;=1.01,0,ROUND(D363-D335,0)),"")</f>
      </c>
      <c r="E395" s="211">
        <f>IF(AND(ISNUMBER(E363),ISNUMBER(E335)),IF(ABS(E363-E335)&lt;=1.01,0,ROUND(E363-E335,0)),"")</f>
        <v>0</v>
      </c>
      <c r="F395" s="211">
        <f>IF(AND(ISNUMBER(F363),ISNUMBER(F335)),IF(ABS(F363-F335)&lt;=1.01,0,ROUND(F363-F335,0)),"")</f>
        <v>0</v>
      </c>
      <c r="G395" s="211">
        <f>IF(AND(ISNUMBER(G363),ISNUMBER(G335)),IF(ABS(G363-G335)&lt;=1.01,0,ROUND(G363-G335,0)),"")</f>
        <v>0</v>
      </c>
      <c r="H395" s="211">
        <f>IF(AND(ISNUMBER(H363),ISNUMBER(H335)),IF(ABS(H363-H335)&lt;=1.01,0,ROUND(H363-H335,0)),"")</f>
        <v>0</v>
      </c>
      <c r="I395" s="211">
        <f>IF(AND(ISNUMBER(I363),ISNUMBER(I335)),IF(ABS(I363-I335)&lt;=1.01,0,ROUND(I363-I335,0)),"")</f>
        <v>0</v>
      </c>
      <c r="J395" s="211">
        <f>IF(AND(ISNUMBER(J363),ISNUMBER(J335)),IF(ABS(J363-J335)&lt;=1.01,0,ROUND(J363-J335,0)),"")</f>
        <v>0</v>
      </c>
      <c r="K395" s="211">
        <f>IF(AND(ISNUMBER(K363),ISNUMBER(K335)),IF(ABS(K363-K335)&lt;=1.01,0,ROUND(K363-K335,0)),"")</f>
        <v>0</v>
      </c>
      <c r="L395" s="211">
        <f>IF(AND(ISNUMBER(L363),ISNUMBER(L335)),IF(ABS(L363-L335)&lt;=1.01,0,ROUND(L363-L335,0)),"")</f>
        <v>0</v>
      </c>
      <c r="M395" s="211">
        <f>IF(AND(ISNUMBER(M363),ISNUMBER(M335)),IF(ABS(M363-M335)&lt;=1.01,0,ROUND(M363-M335,0)),"")</f>
        <v>0</v>
      </c>
      <c r="N395" s="211">
        <f>IF(AND(ISNUMBER(N363),ISNUMBER(N335)),IF(ABS(N363-N335)&lt;=1.01,0,ROUND(N363-N335,0)),"")</f>
        <v>0</v>
      </c>
      <c r="O395" s="211">
        <f>IF(AND(ISNUMBER(O363),ISNUMBER(O335)),IF(ABS(O363-O335)&lt;=1.01,0,ROUND(O363-O335,0)),"")</f>
        <v>0</v>
      </c>
      <c r="P395" s="211">
        <f>IF(AND(ISNUMBER(P363),ISNUMBER(P335)),IF(ABS(P363-P335)&lt;=1.01,0,ROUND(P363-P335,0)),"")</f>
        <v>0</v>
      </c>
      <c r="Q395" s="211">
        <f>IF(AND(ISNUMBER(Q363),ISNUMBER(Q335)),IF(ABS(Q363-Q335)&lt;=1.01,0,ROUND(Q363-Q335,0)),"")</f>
        <v>0</v>
      </c>
      <c r="R395" s="211">
        <f>IF(AND(ISNUMBER(R363),ISNUMBER(R335)),IF(ABS(R363-R335)&lt;=1.01,0,ROUND(R363-R335,0)),"")</f>
        <v>0</v>
      </c>
      <c r="S395" s="211">
        <f>IF(AND(ISNUMBER(S363),ISNUMBER(S335)),IF(ABS(S363-S335)&lt;=1.01,0,ROUND(S363-S335,0)),"")</f>
        <v>0</v>
      </c>
      <c r="T395" s="211">
        <f>IF(AND(ISNUMBER(T363),ISNUMBER(T335)),IF(ABS(T363-T335)&lt;=1.01,0,ROUND(T363-T335,0)),"")</f>
        <v>0</v>
      </c>
      <c r="U395" s="211">
        <f>IF(AND(ISNUMBER(U363),ISNUMBER(U335)),IF(ABS(U363-U335)&lt;=1.01,0,ROUND(U363-U335,0)),"")</f>
        <v>0</v>
      </c>
      <c r="V395" s="211">
        <f>IF(AND(ISNUMBER(V363),ISNUMBER(V335)),IF(ABS(V363-V335)&lt;=1.01,0,ROUND(V363-V335,0)),"")</f>
        <v>0</v>
      </c>
      <c r="W395" s="211">
        <f>IF(AND(ISNUMBER(W363),ISNUMBER(W335)),IF(ABS(W363-W335)&lt;=1.01,0,ROUND(W363-W335,0)),"")</f>
        <v>0</v>
      </c>
      <c r="X395" s="211">
        <f>IF(AND(ISNUMBER(X363),ISNUMBER(X335)),IF(ABS(X363-X335)&lt;=1.01,0,ROUND(X363-X335,0)),"")</f>
        <v>0</v>
      </c>
      <c r="Y395" s="211">
        <f>IF(AND(ISNUMBER(Y363),ISNUMBER(Y335)),IF(ABS(Y363-Y335)&lt;=1.01,0,ROUND(Y363-Y335,0)),"")</f>
        <v>0</v>
      </c>
      <c r="Z395" s="211">
        <f>IF(AND(ISNUMBER(Z363),ISNUMBER(Z335)),IF(ABS(Z363-Z335)&lt;=1.01,0,ROUND(Z363-Z335,0)),"")</f>
        <v>0</v>
      </c>
      <c r="AA395" s="211">
        <f>IF(AND(ISNUMBER(AA363),ISNUMBER(AA335)),IF(ABS(AA363-AA335)&lt;=1.01,0,ROUND(AA363-AA335,0)),"")</f>
        <v>0</v>
      </c>
      <c r="AB395" s="211">
        <f>IF(AND(ISNUMBER(AB363),ISNUMBER(AB335)),IF(ABS(AB363-AB335)&lt;=1.01,0,ROUND(AB363-AB335,0)),"")</f>
        <v>0</v>
      </c>
      <c r="AC395" s="211">
        <f>IF(AND(ISNUMBER(AC363),ISNUMBER(AC335)),IF(ABS(AC363-AC335)&lt;=1.01,0,ROUND(AC363-AC335,0)),"")</f>
        <v>0</v>
      </c>
      <c r="AD395" s="211">
        <f>IF(AND(ISNUMBER(AD363),ISNUMBER(AD335)),IF(ABS(AD363-AD335)&lt;=1.01,0,ROUND(AD363-AD335,0)),"")</f>
        <v>0</v>
      </c>
      <c r="AE395" s="211">
        <f>IF(AND(ISNUMBER(AE363),ISNUMBER(AE335)),IF(ABS(AE363-AE335)&lt;=1.01,0,ROUND(AE363-AE335,0)),"")</f>
        <v>0</v>
      </c>
      <c r="AF395" s="211">
        <f>IF(AND(ISNUMBER(AF363),ISNUMBER(AF335)),IF(ABS(AF363-AF335)&lt;=1.01,0,ROUND(AF363-AF335,0)),"")</f>
        <v>0</v>
      </c>
      <c r="AG395" s="211">
        <f>IF(AND(ISNUMBER(AG363),ISNUMBER(AG335)),IF(ABS(AG363-AG335)&lt;=1.01,0,ROUND(AG363-AG335,0)),"")</f>
        <v>0</v>
      </c>
      <c r="AH395" s="211">
        <f>IF(AND(ISNUMBER(AH363),ISNUMBER(AH335)),IF(ABS(AH363-AH335)&lt;=1.01,0,ROUND(AH363-AH335,0)),"")</f>
        <v>0</v>
      </c>
      <c r="AI395" s="211">
        <f>IF(AND(ISNUMBER(AI363),ISNUMBER(AI335)),IF(ABS(AI363-AI335)&lt;=1.01,0,ROUND(AI363-AI335,0)),"")</f>
        <v>0</v>
      </c>
      <c r="AJ395" s="211">
        <f>IF(AND(ISNUMBER(AJ363),ISNUMBER(AJ335)),IF(ABS(AJ363-AJ335)&lt;=1.01,0,ROUND(AJ363-AJ335,0)),"")</f>
        <v>0</v>
      </c>
      <c r="AK395" s="211">
        <f>IF(AND(ISNUMBER(AK363),ISNUMBER(AK335)),IF(ABS(AK363-AK335)&lt;=1.01,0,ROUND(AK363-AK335,0)),"")</f>
        <v>0</v>
      </c>
      <c r="AL395" s="211">
        <f>IF(AND(ISNUMBER(AL363),ISNUMBER(AL335)),IF(ABS(AL363-AL335)&lt;=1.01,0,ROUND(AL363-AL335,0)),"")</f>
        <v>0</v>
      </c>
      <c r="AM395" s="211">
        <f>IF(AND(ISNUMBER(AM363),ISNUMBER(AM335)),IF(ABS(AM363-AM335)&lt;=1.01,0,ROUND(AM363-AM335,0)),"")</f>
        <v>0</v>
      </c>
      <c r="AN395" s="211">
        <f>IF(AND(ISNUMBER(AN363),ISNUMBER(AN335)),IF(ABS(AN363-AN335)&lt;=1.01,0,ROUND(AN363-AN335,0)),"")</f>
        <v>0</v>
      </c>
      <c r="AO395" s="211">
        <f>IF(AND(ISNUMBER(AO363),ISNUMBER(AO335)),IF(ABS(AO363-AO335)&lt;=1.01,0,ROUND(AO363-AO335,0)),"")</f>
        <v>0</v>
      </c>
      <c r="AP395" s="211">
        <f>IF(AND(ISNUMBER(AP363),ISNUMBER(AP335)),IF(ABS(AP363-AP335)&lt;=1.01,0,ROUND(AP363-AP335,0)),"")</f>
        <v>0</v>
      </c>
      <c r="AQ395" s="211">
        <f>IF(AND(ISNUMBER(AQ363),ISNUMBER(AQ335)),IF(ABS(AQ363-AQ335)&lt;=1.01,0,ROUND(AQ363-AQ335,0)),"")</f>
        <v>0</v>
      </c>
      <c r="AR395" s="211">
        <f>IF(AND(ISNUMBER(AR363),ISNUMBER(AR335)),IF(ABS(AR363-AR335)&lt;=1.01,0,ROUND(AR363-AR335,0)),"")</f>
        <v>0</v>
      </c>
      <c r="AS395" s="211">
        <f>IF(AND(ISNUMBER(AS363),ISNUMBER(AS335)),IF(ABS(AS363-AS335)&lt;=1.01,0,ROUND(AS363-AS335,0)),"")</f>
        <v>0</v>
      </c>
      <c r="AT395" s="211">
        <f>IF(AND(ISNUMBER(AT363),ISNUMBER(AT335)),IF(ABS(AT363-AT335)&lt;=1.01,0,ROUND(AT363-AT335,0)),"")</f>
        <v>0</v>
      </c>
      <c r="AU395" s="211">
        <f>IF(AND(ISNUMBER(AU363),ISNUMBER(AU335)),IF(ABS(AU363-AU335)&lt;=1.01,0,ROUND(AU363-AU335,0)),"")</f>
        <v>0</v>
      </c>
      <c r="AV395" s="211">
        <f>IF(AND(ISNUMBER(AV363),ISNUMBER(AV335)),IF(ABS(AV363-AV335)&lt;=1.01,0,ROUND(AV363-AV335,0)),"")</f>
        <v>0</v>
      </c>
      <c r="AW395" s="211">
        <f>IF(AND(ISNUMBER(AW363),ISNUMBER(AW335)),IF(ABS(AW363-AW335)&lt;=1.01,0,ROUND(AW363-AW335,0)),"")</f>
        <v>0</v>
      </c>
      <c r="AX395" s="211">
        <f>IF(AND(ISNUMBER(AX363),ISNUMBER(AX335)),IF(ABS(AX363-AX335)&lt;=1.01,0,ROUND(AX363-AX335,0)),"")</f>
        <v>0</v>
      </c>
      <c r="AY395" s="211">
        <f>IF(AND(ISNUMBER(AY363),ISNUMBER(AY335)),IF(ABS(AY363-AY335)&lt;=1.01,0,ROUND(AY363-AY335,0)),"")</f>
        <v>0</v>
      </c>
      <c r="AZ395" s="211">
        <f>IF(AND(ISNUMBER(AZ363),ISNUMBER(AZ335)),IF(ABS(AZ363-AZ335)&lt;=1.01,0,ROUND(AZ363-AZ335,0)),"")</f>
        <v>0</v>
      </c>
      <c r="BA395" s="211">
        <f>IF(AND(ISNUMBER(BA363),ISNUMBER(BA335)),IF(ABS(BA363-BA335)&lt;=1.01,0,ROUND(BA363-BA335,0)),"")</f>
        <v>0</v>
      </c>
      <c r="BB395" s="211">
        <f>IF(AND(ISNUMBER(BB363),ISNUMBER(BB335)),IF(ABS(BB363-BB335)&lt;=1.01,0,ROUND(BB363-BB335,0)),"")</f>
        <v>0</v>
      </c>
      <c r="BC395" s="211">
        <f>IF(AND(ISNUMBER(BC363),ISNUMBER(BC335)),IF(ABS(BC363-BC335)&lt;=1.01,0,ROUND(BC363-BC335,0)),"")</f>
        <v>0</v>
      </c>
      <c r="BD395" s="211">
        <f>IF(AND(ISNUMBER(BD363),ISNUMBER(BD335)),IF(ABS(BD363-BD335)&lt;=1.01,0,ROUND(BD363-BD335,0)),"")</f>
        <v>0</v>
      </c>
      <c r="BE395" s="211">
        <f>IF(AND(ISNUMBER(BE363),ISNUMBER(BE335)),IF(ABS(BE363-BE335)&lt;=1.01,0,ROUND(BE363-BE335,0)),"")</f>
        <v>0</v>
      </c>
      <c r="BF395" s="211">
        <f>IF(AND(ISNUMBER(BF363),ISNUMBER(BF335)),IF(ABS(BF363-BF335)&lt;=1.01,0,ROUND(BF363-BF335,0)),"")</f>
        <v>0</v>
      </c>
      <c r="BG395" s="211">
        <f>IF(AND(ISNUMBER(BG363),ISNUMBER(BG335)),IF(ABS(BG363-BG335)&lt;=1.01,0,ROUND(BG363-BG335,0)),"")</f>
        <v>0</v>
      </c>
      <c r="BH395" s="211">
        <f>IF(AND(ISNUMBER(BH363),ISNUMBER(BH335)),IF(ABS(BH363-BH335)&lt;=1.01,0,ROUND(BH363-BH335,0)),"")</f>
        <v>0</v>
      </c>
      <c r="BI395" s="211">
        <f>IF(AND(ISNUMBER(BI363),ISNUMBER(BI335)),IF(ABS(BI363-BI335)&lt;=1.01,0,ROUND(BI363-BI335,0)),"")</f>
        <v>0</v>
      </c>
      <c r="BJ395" s="211">
        <f>IF(AND(ISNUMBER(BJ363),ISNUMBER(BJ335)),IF(ABS(BJ363-BJ335)&lt;=1.01,0,ROUND(BJ363-BJ335,0)),"")</f>
        <v>0</v>
      </c>
      <c r="BK395" s="211">
        <f>IF(AND(ISNUMBER(BK363),ISNUMBER(BK335)),IF(ABS(BK363-BK335)&lt;=1.01,0,ROUND(BK363-BK335,0)),"")</f>
        <v>0</v>
      </c>
      <c r="BL395" s="211">
        <f>IF(AND(ISNUMBER(BL363),ISNUMBER(BL335)),IF(ABS(BL363-BL335)&lt;=1.01,0,ROUND(BL363-BL335,0)),"")</f>
        <v>0</v>
      </c>
      <c r="BM395" s="211">
        <f>IF(AND(ISNUMBER(BM363),ISNUMBER(BM335)),IF(ABS(BM363-BM335)&lt;=1.01,0,ROUND(BM363-BM335,0)),"")</f>
        <v>0</v>
      </c>
      <c r="BN395" s="211">
        <f>IF(AND(ISNUMBER(BN363),ISNUMBER(BN335)),IF(ABS(BN363-BN335)&lt;=1.01,0,ROUND(BN363-BN335,0)),"")</f>
        <v>0</v>
      </c>
      <c r="BO395" s="211">
        <f>IF(AND(ISNUMBER(BO363),ISNUMBER(BO335)),IF(ABS(BO363-BO335)&lt;=1.01,0,ROUND(BO363-BO335,0)),"")</f>
        <v>0</v>
      </c>
      <c r="BP395" s="211">
        <f>IF(AND(ISNUMBER(BP363),ISNUMBER(BP335)),IF(ABS(BP363-BP335)&lt;=1.01,0,ROUND(BP363-BP335,0)),"")</f>
        <v>0</v>
      </c>
      <c r="BQ395" s="211">
        <f>IF(AND(ISNUMBER(BQ363),ISNUMBER(BQ335)),IF(ABS(BQ363-BQ335)&lt;=1.01,0,ROUND(BQ363-BQ335,0)),"")</f>
        <v>0</v>
      </c>
      <c r="BR395" s="211">
        <f>IF(AND(ISNUMBER(BR363),ISNUMBER(BR335)),IF(ABS(BR363-BR335)&lt;=1.01,0,ROUND(BR363-BR335,0)),"")</f>
        <v>0</v>
      </c>
      <c r="BS395" s="211">
        <f>IF(AND(ISNUMBER(BS363),ISNUMBER(BS335)),IF(ABS(BS363-BS335)&lt;=1.01,0,ROUND(BS363-BS335,0)),"")</f>
        <v>0</v>
      </c>
      <c r="BT395" s="211">
        <f>IF(AND(ISNUMBER(BT363),ISNUMBER(BT335)),IF(ABS(BT363-BT335)&lt;=1.01,0,ROUND(BT363-BT335,0)),"")</f>
        <v>0</v>
      </c>
      <c r="BU395" s="153" t="n"/>
      <c r="BV395" s="153" t="n"/>
      <c r="BW395" s="270">
        <f>IF(AND(ISNUMBER(BW363),ISNUMBER(BW335)),IF(ABS(BW363-BW335)&lt;=1.01,0,ROUND(BW363-BW335,0)),"")</f>
        <v>0</v>
      </c>
      <c r="BX395" s="270">
        <f>IF(AND(ISNUMBER(BX363),ISNUMBER(BX335)),IF(ABS(BX363-BX335)&lt;=1.01,0,ROUND(BX363-BX335,0)),"")</f>
        <v>0</v>
      </c>
      <c r="BY395" s="270">
        <f>IF(AND(ISNUMBER(BY363),ISNUMBER(BY335)),IF(ABS(BY363-BY335)&lt;=1.01,0,ROUND(BY363-BY335,0)),"")</f>
        <v>0</v>
      </c>
      <c r="BZ395" s="270">
        <f>IF(AND(ISNUMBER(BZ363),ISNUMBER(BZ335)),IF(ABS(BZ363-BZ335)&lt;=1.01,0,ROUND(BZ363-BZ335,0)),"")</f>
        <v>0</v>
      </c>
      <c r="CA395" s="270">
        <f>IF(AND(ISNUMBER(CA363),ISNUMBER(CA335)),IF(ABS(CA363-CA335)&lt;=1.01,0,ROUND(CA363-CA335,0)),"")</f>
        <v>0</v>
      </c>
      <c r="CB395" s="270">
        <f>IF(AND(ISNUMBER(CB363),ISNUMBER(CB335)),IF(ABS(CB363-CB335)&lt;=1.01,0,ROUND(CB363-CB335,0)),"")</f>
        <v>0</v>
      </c>
      <c r="CC395" s="153" t="n"/>
    </row>
    <row r="396" ht="15" customHeight="1" s="251">
      <c r="B396" s="156" t="inlineStr">
        <is>
          <t xml:space="preserve">  Memo: shares outstanding at period end (m)</t>
        </is>
      </c>
      <c r="C396" s="34" t="n"/>
      <c r="D396" s="34" t="n"/>
      <c r="E396" s="278" t="n">
        <v>280.8</v>
      </c>
      <c r="F396" s="278" t="n">
        <v>274.1</v>
      </c>
      <c r="G396" s="278" t="n">
        <v>275.2</v>
      </c>
      <c r="H396" s="278" t="n">
        <v>270.8</v>
      </c>
      <c r="I396" s="278" t="n">
        <v>270.4</v>
      </c>
      <c r="J396" s="278" t="n">
        <v>270.4</v>
      </c>
      <c r="K396" s="278" t="n">
        <v>272.2</v>
      </c>
      <c r="L396" s="278" t="n">
        <v>270.9</v>
      </c>
      <c r="M396" s="278" t="n">
        <v>271.5</v>
      </c>
      <c r="N396" s="278" t="n">
        <v>272</v>
      </c>
      <c r="O396" s="278" t="n">
        <v>272</v>
      </c>
      <c r="P396" s="278" t="n">
        <v>273.7</v>
      </c>
      <c r="Q396" s="278" t="n">
        <v>272.5</v>
      </c>
      <c r="R396" s="278" t="n">
        <v>270.3</v>
      </c>
      <c r="S396" s="278" t="n">
        <v>265.2</v>
      </c>
      <c r="T396" s="278" t="n">
        <v>265.2</v>
      </c>
      <c r="U396" s="278" t="n">
        <v>264.5</v>
      </c>
      <c r="V396" s="278" t="n">
        <v>263.9</v>
      </c>
      <c r="W396" s="278" t="n">
        <v>259.1</v>
      </c>
      <c r="X396" s="278" t="n">
        <v>258.3</v>
      </c>
      <c r="Y396" s="278" t="n">
        <v>258.3</v>
      </c>
      <c r="Z396" s="278" t="n">
        <v>257.8</v>
      </c>
      <c r="AA396" s="278" t="n">
        <v>257</v>
      </c>
      <c r="AB396" s="278" t="n">
        <v>255</v>
      </c>
      <c r="AC396" s="278" t="n">
        <v>253.7</v>
      </c>
      <c r="AD396" s="278" t="n">
        <v>253.7</v>
      </c>
      <c r="AE396" s="278" t="n">
        <v>249.4</v>
      </c>
      <c r="AF396" s="278" t="n">
        <v>251.4</v>
      </c>
      <c r="AG396" s="278" t="n">
        <v>250.9</v>
      </c>
      <c r="AH396" s="278" t="n">
        <v>248.4</v>
      </c>
      <c r="AI396" s="278" t="n">
        <v>248.4</v>
      </c>
      <c r="AJ396" s="278" t="n">
        <v>246.1</v>
      </c>
      <c r="AK396" s="278" t="n">
        <v>246.3</v>
      </c>
      <c r="AL396" s="278" t="n">
        <v>244.4</v>
      </c>
      <c r="AM396" s="278" t="n">
        <v>244</v>
      </c>
      <c r="AN396" s="278" t="n">
        <v>244</v>
      </c>
      <c r="AO396" s="278" t="n">
        <v>240.9</v>
      </c>
      <c r="AP396" s="278" t="n">
        <v>241</v>
      </c>
      <c r="AQ396" s="278" t="n">
        <v>240.6</v>
      </c>
      <c r="AR396" s="278" t="n">
        <v>240.6</v>
      </c>
      <c r="AS396" s="278" t="n">
        <v>240.6</v>
      </c>
      <c r="AT396" s="278" t="n">
        <v>240.9</v>
      </c>
      <c r="AU396" s="278" t="n">
        <v>241</v>
      </c>
      <c r="AV396" s="278" t="n">
        <v>241</v>
      </c>
      <c r="AW396" s="278" t="n">
        <v>241</v>
      </c>
      <c r="AX396" s="278" t="n">
        <v>241</v>
      </c>
      <c r="AY396" s="278" t="n">
        <v>339.9</v>
      </c>
      <c r="AZ396" s="278" t="n">
        <v>336.2</v>
      </c>
      <c r="BA396" s="278" t="n">
        <v>325.8</v>
      </c>
      <c r="BB396" s="278" t="n">
        <v>321.9</v>
      </c>
      <c r="BC396" s="278" t="n">
        <v>321.9</v>
      </c>
      <c r="BD396" s="278" t="n">
        <v>320.8</v>
      </c>
      <c r="BE396" s="278" t="n">
        <v>318.2</v>
      </c>
      <c r="BF396" s="278" t="n">
        <v>316.8</v>
      </c>
      <c r="BG396" s="278" t="n">
        <v>314.1</v>
      </c>
      <c r="BH396" s="278" t="n">
        <v>314.1</v>
      </c>
      <c r="BI396" s="278" t="n">
        <v>313.1</v>
      </c>
      <c r="BJ396" s="278" t="n">
        <v>313</v>
      </c>
      <c r="BK396" s="278" t="n">
        <v>310.3</v>
      </c>
      <c r="BL396" s="278" t="n">
        <v>307.8</v>
      </c>
      <c r="BM396" s="278" t="n">
        <v>307.8</v>
      </c>
      <c r="BN396" s="278" t="n">
        <v>306.7</v>
      </c>
      <c r="BO396" s="278" t="n">
        <v>305.3</v>
      </c>
      <c r="BP396" s="278" t="n">
        <v>303.4</v>
      </c>
      <c r="BQ396" s="278" t="n">
        <v>298.8</v>
      </c>
      <c r="BR396" s="278" t="n">
        <v>298.8</v>
      </c>
      <c r="BS396" s="278" t="n">
        <v>296</v>
      </c>
      <c r="BT396" s="278" t="n">
        <v>294.8</v>
      </c>
      <c r="BU396" s="153" t="n"/>
      <c r="BV396" s="153" t="n"/>
      <c r="BW396" s="290">
        <f>BW357</f>
        <v>281.444578313253</v>
      </c>
      <c r="BX396" s="290">
        <f>BX357</f>
        <v>272.741595514173</v>
      </c>
      <c r="BY396" s="290">
        <f>BY357</f>
        <v>262.002950409536</v>
      </c>
      <c r="BZ396" s="290">
        <f>BZ357</f>
        <v>251.397600688393</v>
      </c>
      <c r="CA396" s="290">
        <f>CA357</f>
        <v>240.817895008019</v>
      </c>
      <c r="CB396" s="290">
        <f>CB357</f>
        <v>230.301986954842</v>
      </c>
      <c r="CC396" s="153" t="n"/>
    </row>
    <row r="397" ht="15" customHeight="1" s="251">
      <c r="CK397" s="11" t="n"/>
      <c r="CL397" s="12" t="n"/>
      <c r="CM397" s="12" t="n"/>
      <c r="CN397" s="12" t="n"/>
      <c r="CO397" s="13" t="n"/>
    </row>
    <row r="398" ht="15" customHeight="1" s="251">
      <c r="B398" s="25" t="inlineStr">
        <is>
          <t>Mobility spin-off (1-Jul-2026) — net assets distributed (31-Mar-2026 pro forma balances; replace with the Q3-26 10-Q)</t>
        </is>
      </c>
      <c r="CC398" s="153" t="n"/>
    </row>
    <row r="399" ht="15" customHeight="1" s="251">
      <c r="B399" s="69" t="inlineStr">
        <is>
          <t xml:space="preserve">  Mobility assets (incl. cash $121m)</t>
        </is>
      </c>
      <c r="C399" s="44" t="n"/>
      <c r="D399" s="44" t="n"/>
      <c r="E399" s="44" t="n"/>
      <c r="F399" s="44" t="n"/>
      <c r="G399" s="44" t="n"/>
      <c r="H399" s="44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  <c r="R399" s="44" t="n"/>
      <c r="S399" s="44" t="n"/>
      <c r="T399" s="44" t="n"/>
      <c r="U399" s="44" t="n"/>
      <c r="V399" s="44" t="n"/>
      <c r="W399" s="44" t="n"/>
      <c r="X399" s="44" t="n"/>
      <c r="Y399" s="44" t="n"/>
      <c r="Z399" s="44" t="n"/>
      <c r="AA399" s="44" t="n"/>
      <c r="AB399" s="44" t="n"/>
      <c r="AC399" s="44" t="n"/>
      <c r="AD399" s="44" t="n"/>
      <c r="AE399" s="44" t="n"/>
      <c r="AF399" s="44" t="n"/>
      <c r="AG399" s="44" t="n"/>
      <c r="AH399" s="44" t="n"/>
      <c r="AI399" s="44" t="n"/>
      <c r="AJ399" s="44" t="n"/>
      <c r="AK399" s="44" t="n"/>
      <c r="AL399" s="44" t="n"/>
      <c r="AM399" s="44" t="n"/>
      <c r="AN399" s="44" t="n"/>
      <c r="AO399" s="44" t="n"/>
      <c r="AP399" s="44" t="n"/>
      <c r="AQ399" s="44" t="n"/>
      <c r="AR399" s="44" t="n"/>
      <c r="AS399" s="44" t="n"/>
      <c r="AT399" s="44" t="n"/>
      <c r="AU399" s="44" t="n"/>
      <c r="AV399" s="44" t="n"/>
      <c r="AW399" s="44" t="n"/>
      <c r="AX399" s="44" t="n"/>
      <c r="AY399" s="44" t="n"/>
      <c r="AZ399" s="44" t="n"/>
      <c r="BA399" s="44" t="n"/>
      <c r="BB399" s="44" t="n"/>
      <c r="BC399" s="44" t="n"/>
      <c r="BD399" s="44" t="n"/>
      <c r="BE399" s="44" t="n"/>
      <c r="BF399" s="44" t="n"/>
      <c r="BG399" s="44" t="n"/>
      <c r="BH399" s="44" t="n"/>
      <c r="BI399" s="44" t="n"/>
      <c r="BJ399" s="44" t="n"/>
      <c r="BK399" s="44" t="n"/>
      <c r="BL399" s="44" t="n"/>
      <c r="BM399" s="44" t="n"/>
      <c r="BN399" s="44" t="n"/>
      <c r="BO399" s="44" t="n"/>
      <c r="BP399" s="44" t="n"/>
      <c r="BQ399" s="44" t="n"/>
      <c r="BR399" s="44" t="n"/>
      <c r="BS399" s="44" t="n"/>
      <c r="BT399" s="44" t="n"/>
      <c r="BU399" s="153" t="n"/>
      <c r="BV399" s="153" t="n"/>
      <c r="BW399" s="265" t="n">
        <v>12995</v>
      </c>
      <c r="BX399" s="35" t="n"/>
      <c r="BY399" s="35" t="n"/>
      <c r="BZ399" s="35" t="n"/>
      <c r="CA399" s="35" t="n"/>
      <c r="CB399" s="35" t="n"/>
      <c r="CC399" s="19" t="inlineStr">
        <is>
          <t>https://www.sec.gov/Archives/edgar/data/64040/000110465926080571/tm2619099d2_ex99-2.htm (pro forma BS at 31-Mar-2026, Mobility discontinued operations column; TAA notes b–d); https://www.sec.gov/Archives/edgar/data/64040/000006404026000045/spgi-20260630.htm (Note 4: Mobility notes issued 19-May-2026, $650m 5.05% 2029, $650m 5.45% 2031, $700m 6.05% 2036, sole responsibility of Mobility Global after the Separation).</t>
        </is>
      </c>
    </row>
    <row r="400" ht="15" customHeight="1" s="251">
      <c r="B400" s="69" t="inlineStr">
        <is>
          <t xml:space="preserve">  Mobility liabilities (excl. debt)</t>
        </is>
      </c>
      <c r="C400" s="44" t="n"/>
      <c r="D400" s="44" t="n"/>
      <c r="E400" s="44" t="n"/>
      <c r="F400" s="44" t="n"/>
      <c r="G400" s="44" t="n"/>
      <c r="H400" s="44" t="n"/>
      <c r="I400" s="44" t="n"/>
      <c r="J400" s="44" t="n"/>
      <c r="K400" s="44" t="n"/>
      <c r="L400" s="44" t="n"/>
      <c r="M400" s="44" t="n"/>
      <c r="N400" s="44" t="n"/>
      <c r="O400" s="44" t="n"/>
      <c r="P400" s="44" t="n"/>
      <c r="Q400" s="44" t="n"/>
      <c r="R400" s="44" t="n"/>
      <c r="S400" s="44" t="n"/>
      <c r="T400" s="44" t="n"/>
      <c r="U400" s="44" t="n"/>
      <c r="V400" s="44" t="n"/>
      <c r="W400" s="44" t="n"/>
      <c r="X400" s="44" t="n"/>
      <c r="Y400" s="44" t="n"/>
      <c r="Z400" s="44" t="n"/>
      <c r="AA400" s="44" t="n"/>
      <c r="AB400" s="44" t="n"/>
      <c r="AC400" s="44" t="n"/>
      <c r="AD400" s="44" t="n"/>
      <c r="AE400" s="44" t="n"/>
      <c r="AF400" s="44" t="n"/>
      <c r="AG400" s="44" t="n"/>
      <c r="AH400" s="44" t="n"/>
      <c r="AI400" s="44" t="n"/>
      <c r="AJ400" s="44" t="n"/>
      <c r="AK400" s="44" t="n"/>
      <c r="AL400" s="44" t="n"/>
      <c r="AM400" s="44" t="n"/>
      <c r="AN400" s="44" t="n"/>
      <c r="AO400" s="44" t="n"/>
      <c r="AP400" s="44" t="n"/>
      <c r="AQ400" s="44" t="n"/>
      <c r="AR400" s="44" t="n"/>
      <c r="AS400" s="44" t="n"/>
      <c r="AT400" s="44" t="n"/>
      <c r="AU400" s="44" t="n"/>
      <c r="AV400" s="44" t="n"/>
      <c r="AW400" s="44" t="n"/>
      <c r="AX400" s="44" t="n"/>
      <c r="AY400" s="44" t="n"/>
      <c r="AZ400" s="44" t="n"/>
      <c r="BA400" s="44" t="n"/>
      <c r="BB400" s="44" t="n"/>
      <c r="BC400" s="44" t="n"/>
      <c r="BD400" s="44" t="n"/>
      <c r="BE400" s="44" t="n"/>
      <c r="BF400" s="44" t="n"/>
      <c r="BG400" s="44" t="n"/>
      <c r="BH400" s="44" t="n"/>
      <c r="BI400" s="44" t="n"/>
      <c r="BJ400" s="44" t="n"/>
      <c r="BK400" s="44" t="n"/>
      <c r="BL400" s="44" t="n"/>
      <c r="BM400" s="44" t="n"/>
      <c r="BN400" s="44" t="n"/>
      <c r="BO400" s="44" t="n"/>
      <c r="BP400" s="44" t="n"/>
      <c r="BQ400" s="44" t="n"/>
      <c r="BR400" s="44" t="n"/>
      <c r="BS400" s="44" t="n"/>
      <c r="BT400" s="44" t="n"/>
      <c r="BU400" s="153" t="n"/>
      <c r="BV400" s="153" t="n"/>
      <c r="BW400" s="265" t="n">
        <v>1178</v>
      </c>
      <c r="BX400" s="35" t="n"/>
      <c r="BY400" s="35" t="n"/>
      <c r="BZ400" s="35" t="n"/>
      <c r="CA400" s="35" t="n"/>
      <c r="CB400" s="35" t="n"/>
      <c r="CC400" s="19" t="n"/>
    </row>
    <row r="401" ht="15" customHeight="1" s="251">
      <c r="B401" s="69" t="inlineStr">
        <is>
          <t xml:space="preserve">  Mobility senior notes transferred (carrying amount 30-Jun-2026)</t>
        </is>
      </c>
      <c r="C401" s="44" t="n"/>
      <c r="D401" s="44" t="n"/>
      <c r="E401" s="44" t="n"/>
      <c r="F401" s="44" t="n"/>
      <c r="G401" s="44" t="n"/>
      <c r="H401" s="44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  <c r="R401" s="44" t="n"/>
      <c r="S401" s="44" t="n"/>
      <c r="T401" s="44" t="n"/>
      <c r="U401" s="44" t="n"/>
      <c r="V401" s="44" t="n"/>
      <c r="W401" s="44" t="n"/>
      <c r="X401" s="44" t="n"/>
      <c r="Y401" s="44" t="n"/>
      <c r="Z401" s="44" t="n"/>
      <c r="AA401" s="44" t="n"/>
      <c r="AB401" s="44" t="n"/>
      <c r="AC401" s="44" t="n"/>
      <c r="AD401" s="44" t="n"/>
      <c r="AE401" s="44" t="n"/>
      <c r="AF401" s="44" t="n"/>
      <c r="AG401" s="44" t="n"/>
      <c r="AH401" s="44" t="n"/>
      <c r="AI401" s="44" t="n"/>
      <c r="AJ401" s="44" t="n"/>
      <c r="AK401" s="44" t="n"/>
      <c r="AL401" s="44" t="n"/>
      <c r="AM401" s="44" t="n"/>
      <c r="AN401" s="44" t="n"/>
      <c r="AO401" s="44" t="n"/>
      <c r="AP401" s="44" t="n"/>
      <c r="AQ401" s="44" t="n"/>
      <c r="AR401" s="44" t="n"/>
      <c r="AS401" s="44" t="n"/>
      <c r="AT401" s="44" t="n"/>
      <c r="AU401" s="44" t="n"/>
      <c r="AV401" s="44" t="n"/>
      <c r="AW401" s="44" t="n"/>
      <c r="AX401" s="44" t="n"/>
      <c r="AY401" s="44" t="n"/>
      <c r="AZ401" s="44" t="n"/>
      <c r="BA401" s="44" t="n"/>
      <c r="BB401" s="44" t="n"/>
      <c r="BC401" s="44" t="n"/>
      <c r="BD401" s="44" t="n"/>
      <c r="BE401" s="44" t="n"/>
      <c r="BF401" s="44" t="n"/>
      <c r="BG401" s="44" t="n"/>
      <c r="BH401" s="44" t="n"/>
      <c r="BI401" s="44" t="n"/>
      <c r="BJ401" s="44" t="n"/>
      <c r="BK401" s="44" t="n"/>
      <c r="BL401" s="44" t="n"/>
      <c r="BM401" s="44" t="n"/>
      <c r="BN401" s="44" t="n"/>
      <c r="BO401" s="44" t="n"/>
      <c r="BP401" s="44" t="n"/>
      <c r="BQ401" s="44" t="n"/>
      <c r="BR401" s="44" t="n"/>
      <c r="BS401" s="44" t="n"/>
      <c r="BT401" s="44" t="n"/>
      <c r="BU401" s="153" t="n"/>
      <c r="BV401" s="153" t="n"/>
      <c r="BW401" s="265" t="n">
        <v>1981</v>
      </c>
      <c r="BX401" s="35" t="n"/>
      <c r="BY401" s="35" t="n"/>
      <c r="BZ401" s="35" t="n"/>
      <c r="CA401" s="35" t="n"/>
      <c r="CB401" s="35" t="n"/>
      <c r="CC401" s="19" t="n"/>
    </row>
    <row r="402" ht="15" customHeight="1" s="251">
      <c r="B402" s="69" t="inlineStr">
        <is>
          <t xml:space="preserve">  = Equity reduction (net assets distributed to shareholders)</t>
        </is>
      </c>
      <c r="C402" s="44" t="n"/>
      <c r="D402" s="44" t="n"/>
      <c r="E402" s="44" t="n"/>
      <c r="F402" s="44" t="n"/>
      <c r="G402" s="44" t="n"/>
      <c r="H402" s="44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  <c r="R402" s="44" t="n"/>
      <c r="S402" s="44" t="n"/>
      <c r="T402" s="44" t="n"/>
      <c r="U402" s="44" t="n"/>
      <c r="V402" s="44" t="n"/>
      <c r="W402" s="44" t="n"/>
      <c r="X402" s="44" t="n"/>
      <c r="Y402" s="44" t="n"/>
      <c r="Z402" s="44" t="n"/>
      <c r="AA402" s="44" t="n"/>
      <c r="AB402" s="44" t="n"/>
      <c r="AC402" s="44" t="n"/>
      <c r="AD402" s="44" t="n"/>
      <c r="AE402" s="44" t="n"/>
      <c r="AF402" s="44" t="n"/>
      <c r="AG402" s="44" t="n"/>
      <c r="AH402" s="44" t="n"/>
      <c r="AI402" s="44" t="n"/>
      <c r="AJ402" s="44" t="n"/>
      <c r="AK402" s="44" t="n"/>
      <c r="AL402" s="44" t="n"/>
      <c r="AM402" s="44" t="n"/>
      <c r="AN402" s="44" t="n"/>
      <c r="AO402" s="44" t="n"/>
      <c r="AP402" s="44" t="n"/>
      <c r="AQ402" s="44" t="n"/>
      <c r="AR402" s="44" t="n"/>
      <c r="AS402" s="44" t="n"/>
      <c r="AT402" s="44" t="n"/>
      <c r="AU402" s="44" t="n"/>
      <c r="AV402" s="44" t="n"/>
      <c r="AW402" s="44" t="n"/>
      <c r="AX402" s="44" t="n"/>
      <c r="AY402" s="44" t="n"/>
      <c r="AZ402" s="44" t="n"/>
      <c r="BA402" s="44" t="n"/>
      <c r="BB402" s="44" t="n"/>
      <c r="BC402" s="44" t="n"/>
      <c r="BD402" s="44" t="n"/>
      <c r="BE402" s="44" t="n"/>
      <c r="BF402" s="44" t="n"/>
      <c r="BG402" s="44" t="n"/>
      <c r="BH402" s="44" t="n"/>
      <c r="BI402" s="44" t="n"/>
      <c r="BJ402" s="44" t="n"/>
      <c r="BK402" s="44" t="n"/>
      <c r="BL402" s="44" t="n"/>
      <c r="BM402" s="44" t="n"/>
      <c r="BN402" s="44" t="n"/>
      <c r="BO402" s="44" t="n"/>
      <c r="BP402" s="44" t="n"/>
      <c r="BQ402" s="44" t="n"/>
      <c r="BR402" s="44" t="n"/>
      <c r="BS402" s="44" t="n"/>
      <c r="BT402" s="44" t="n"/>
      <c r="BU402" s="153" t="n"/>
      <c r="BV402" s="153" t="n"/>
      <c r="BW402" s="254">
        <f>BW399-BW400-BW401</f>
        <v>9836</v>
      </c>
      <c r="BX402" s="35" t="n"/>
      <c r="BY402" s="35" t="n"/>
      <c r="BZ402" s="35" t="n"/>
      <c r="CA402" s="35" t="n"/>
      <c r="CB402" s="35" t="n"/>
      <c r="CC402" s="19" t="inlineStr">
        <is>
          <t>Q3/26E removes Mobility net assets at the 31-Mar-2026 pro forma amounts (latest published; the 30-Jun-2026 Mobility balances will first appear in the Q3-2026 10-Q — replace then) and the $1,981m Mobility notes; the equity reduction is the balancing figure. Cash: the $1,974m net distribution was already in SPGI cash at 30-Jun-2026 (Mobility note proceeds); Mobility's own cash ($121m at 31-Mar) leaves with it.</t>
        </is>
      </c>
    </row>
    <row r="403" ht="15" customHeight="1" s="251">
      <c r="CK403" s="11" t="n"/>
      <c r="CL403" s="12" t="n"/>
      <c r="CM403" s="12" t="n"/>
      <c r="CN403" s="12" t="n"/>
      <c r="CO403" s="13" t="n"/>
    </row>
    <row r="404" ht="15" customHeight="1" s="251">
      <c r="B404" s="10" t="inlineStr">
        <is>
          <t>WORKING CAPITAL &amp; CASH CONVERSION</t>
        </is>
      </c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  <c r="AD404" s="10" t="n"/>
      <c r="AE404" s="10" t="n"/>
      <c r="AF404" s="10" t="n"/>
      <c r="AG404" s="10" t="n"/>
      <c r="AH404" s="10" t="n"/>
      <c r="AI404" s="10" t="n"/>
      <c r="AJ404" s="10" t="n"/>
      <c r="AK404" s="10" t="n"/>
      <c r="AL404" s="10" t="n"/>
      <c r="AM404" s="10" t="n"/>
      <c r="AN404" s="10" t="n"/>
      <c r="AO404" s="10" t="n"/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0" t="n"/>
      <c r="BC404" s="10" t="n"/>
      <c r="BD404" s="10" t="n"/>
      <c r="BE404" s="10" t="n"/>
      <c r="BF404" s="10" t="n"/>
      <c r="BG404" s="10" t="n"/>
      <c r="BH404" s="10" t="n"/>
      <c r="BI404" s="10" t="n"/>
      <c r="BJ404" s="10" t="n"/>
      <c r="BK404" s="10" t="n"/>
      <c r="BL404" s="10" t="n"/>
      <c r="BM404" s="10" t="n"/>
      <c r="BN404" s="10" t="n"/>
      <c r="BO404" s="10" t="n"/>
      <c r="BP404" s="10" t="n"/>
      <c r="BQ404" s="10" t="n"/>
      <c r="BR404" s="10" t="n"/>
      <c r="BS404" s="10" t="n"/>
      <c r="BT404" s="10" t="n"/>
      <c r="BU404" s="10" t="n"/>
      <c r="BV404" s="10" t="n"/>
      <c r="BW404" s="10" t="n"/>
      <c r="BX404" s="10" t="n"/>
      <c r="BY404" s="10" t="n"/>
      <c r="BZ404" s="10" t="n"/>
      <c r="CA404" s="10" t="n"/>
      <c r="CB404" s="10" t="n"/>
      <c r="CC404" s="10" t="inlineStr">
        <is>
          <t>WORKING CAPITAL — forecast drivers (blue = input; fiscal-year-end balances, ex-Mobility, on pro forma FY2025 revenue)</t>
        </is>
      </c>
    </row>
    <row r="405" ht="15" customHeight="1" s="251">
      <c r="B405" s="25" t="inlineStr">
        <is>
          <t xml:space="preserve">  Revenue — annualised (quarters × 4)</t>
        </is>
      </c>
      <c r="C405" s="211">
        <f>IF(ISNUMBER(C187),C187*1,"")</f>
        <v>3639</v>
      </c>
      <c r="D405" s="211">
        <f>IF(ISNUMBER(D187),D187*1,"")</f>
        <v>3954</v>
      </c>
      <c r="E405" s="211">
        <f>IF(ISNUMBER(E187),E187*1,"")</f>
        <v>4450</v>
      </c>
      <c r="F405" s="211">
        <f>IF(ISNUMBER(F187),F187*4,"")</f>
        <v>4724</v>
      </c>
      <c r="G405" s="211">
        <f>IF(ISNUMBER(G187),G187*4,"")</f>
        <v>5000</v>
      </c>
      <c r="H405" s="211">
        <f>IF(ISNUMBER(H187),H187*4,"")</f>
        <v>4776</v>
      </c>
      <c r="I405" s="211">
        <f>IF(ISNUMBER(I187),I187*4,"")</f>
        <v>5000</v>
      </c>
      <c r="J405" s="211">
        <f>IF(ISNUMBER(J187),J187*1,"")</f>
        <v>4875</v>
      </c>
      <c r="K405" s="211">
        <f>IF(ISNUMBER(K187),K187*4,"")</f>
        <v>4944</v>
      </c>
      <c r="L405" s="211">
        <f>IF(ISNUMBER(L187),L187*4,"")</f>
        <v>5384</v>
      </c>
      <c r="M405" s="211">
        <f>IF(ISNUMBER(M187),M187*4,"")</f>
        <v>5052</v>
      </c>
      <c r="N405" s="211">
        <f>IF(ISNUMBER(N187),N187*4,"")</f>
        <v>5160</v>
      </c>
      <c r="O405" s="211">
        <f>IF(ISNUMBER(O187),O187*1,"")</f>
        <v>5051</v>
      </c>
      <c r="P405" s="211">
        <f>IF(ISNUMBER(P187),P187*4,"")</f>
        <v>5092</v>
      </c>
      <c r="Q405" s="211">
        <f>IF(ISNUMBER(Q187),Q187*4,"")</f>
        <v>5368</v>
      </c>
      <c r="R405" s="211">
        <f>IF(ISNUMBER(R187),R187*4,"")</f>
        <v>5296</v>
      </c>
      <c r="S405" s="211">
        <f>IF(ISNUMBER(S187),S187*4,"")</f>
        <v>5496</v>
      </c>
      <c r="T405" s="211">
        <f>IF(ISNUMBER(T187),T187*1,"")</f>
        <v>5313</v>
      </c>
      <c r="U405" s="211">
        <f>IF(ISNUMBER(U187),U187*4,"")</f>
        <v>5364</v>
      </c>
      <c r="V405" s="211">
        <f>IF(ISNUMBER(V187),V187*4,"")</f>
        <v>5928</v>
      </c>
      <c r="W405" s="211">
        <f>IF(ISNUMBER(W187),W187*4,"")</f>
        <v>5756</v>
      </c>
      <c r="X405" s="211">
        <f>IF(ISNUMBER(X187),X187*4,"")</f>
        <v>5596</v>
      </c>
      <c r="Y405" s="211">
        <f>IF(ISNUMBER(Y187),Y187*1,"")</f>
        <v>5661</v>
      </c>
      <c r="Z405" s="211">
        <f>IF(ISNUMBER(Z187),Z187*4,"")</f>
        <v>5812</v>
      </c>
      <c r="AA405" s="211">
        <f>IF(ISNUMBER(AA187),AA187*4,"")</f>
        <v>6036</v>
      </c>
      <c r="AB405" s="211">
        <f>IF(ISNUMBER(AB187),AB187*4,"")</f>
        <v>6052</v>
      </c>
      <c r="AC405" s="211">
        <f>IF(ISNUMBER(AC187),AC187*4,"")</f>
        <v>6356</v>
      </c>
      <c r="AD405" s="211">
        <f>IF(ISNUMBER(AD187),AD187*1,"")</f>
        <v>6063</v>
      </c>
      <c r="AE405" s="211">
        <f>IF(ISNUMBER(AE187),AE187*4,"")</f>
        <v>6268</v>
      </c>
      <c r="AF405" s="211">
        <f>IF(ISNUMBER(AF187),AF187*4,"")</f>
        <v>6436</v>
      </c>
      <c r="AG405" s="211">
        <f>IF(ISNUMBER(AG187),AG187*4,"")</f>
        <v>6184</v>
      </c>
      <c r="AH405" s="211">
        <f>IF(ISNUMBER(AH187),AH187*4,"")</f>
        <v>6144</v>
      </c>
      <c r="AI405" s="211">
        <f>IF(ISNUMBER(AI187),AI187*1,"")</f>
        <v>6258</v>
      </c>
      <c r="AJ405" s="211">
        <f>IF(ISNUMBER(AJ187),AJ187*4,"")</f>
        <v>6284</v>
      </c>
      <c r="AK405" s="211">
        <f>IF(ISNUMBER(AK187),AK187*4,"")</f>
        <v>6816</v>
      </c>
      <c r="AL405" s="211">
        <f>IF(ISNUMBER(AL187),AL187*4,"")</f>
        <v>6756</v>
      </c>
      <c r="AM405" s="211">
        <f>IF(ISNUMBER(AM187),AM187*4,"")</f>
        <v>6940</v>
      </c>
      <c r="AN405" s="211">
        <f>IF(ISNUMBER(AN187),AN187*1,"")</f>
        <v>6699</v>
      </c>
      <c r="AO405" s="211">
        <f>IF(ISNUMBER(AO187),AO187*4,"")</f>
        <v>7144</v>
      </c>
      <c r="AP405" s="211">
        <f>IF(ISNUMBER(AP187),AP187*4,"")</f>
        <v>7772</v>
      </c>
      <c r="AQ405" s="211">
        <f>IF(ISNUMBER(AQ187),AQ187*4,"")</f>
        <v>7384</v>
      </c>
      <c r="AR405" s="211">
        <f>IF(ISNUMBER(AR187),AR187*4,"")</f>
        <v>7468</v>
      </c>
      <c r="AS405" s="211">
        <f>IF(ISNUMBER(AS187),AS187*1,"")</f>
        <v>7442</v>
      </c>
      <c r="AT405" s="211">
        <f>IF(ISNUMBER(AT187),AT187*4,"")</f>
        <v>8064</v>
      </c>
      <c r="AU405" s="211">
        <f>IF(ISNUMBER(AU187),AU187*4,"")</f>
        <v>8424</v>
      </c>
      <c r="AV405" s="211">
        <f>IF(ISNUMBER(AV187),AV187*4,"")</f>
        <v>8348</v>
      </c>
      <c r="AW405" s="211">
        <f>IF(ISNUMBER(AW187),AW187*4,"")</f>
        <v>8352</v>
      </c>
      <c r="AX405" s="211">
        <f>IF(ISNUMBER(AX187),AX187*1,"")</f>
        <v>8297</v>
      </c>
      <c r="AY405" s="211">
        <f>IF(ISNUMBER(AY187),AY187*4,"")</f>
        <v>9556</v>
      </c>
      <c r="AZ405" s="211">
        <f>IF(ISNUMBER(AZ187),AZ187*4,"")</f>
        <v>11972</v>
      </c>
      <c r="BA405" s="211">
        <f>IF(ISNUMBER(BA187),BA187*4,"")</f>
        <v>11444</v>
      </c>
      <c r="BB405" s="211">
        <f>IF(ISNUMBER(BB187),BB187*4,"")</f>
        <v>11748</v>
      </c>
      <c r="BC405" s="211">
        <f>IF(ISNUMBER(BC187),BC187*1,"")</f>
        <v>11181</v>
      </c>
      <c r="BD405" s="211">
        <f>IF(ISNUMBER(BD187),BD187*4,"")</f>
        <v>12640</v>
      </c>
      <c r="BE405" s="211">
        <f>IF(ISNUMBER(BE187),BE187*4,"")</f>
        <v>12404</v>
      </c>
      <c r="BF405" s="211">
        <f>IF(ISNUMBER(BF187),BF187*4,"")</f>
        <v>12336</v>
      </c>
      <c r="BG405" s="211">
        <f>IF(ISNUMBER(BG187),BG187*4,"")</f>
        <v>12608</v>
      </c>
      <c r="BH405" s="211">
        <f>IF(ISNUMBER(BH187),BH187*1,"")</f>
        <v>12497</v>
      </c>
      <c r="BI405" s="211">
        <f>IF(ISNUMBER(BI187),BI187*4,"")</f>
        <v>13964</v>
      </c>
      <c r="BJ405" s="211">
        <f>IF(ISNUMBER(BJ187),BJ187*4,"")</f>
        <v>14196</v>
      </c>
      <c r="BK405" s="211">
        <f>IF(ISNUMBER(BK187),BK187*4,"")</f>
        <v>14300</v>
      </c>
      <c r="BL405" s="211">
        <f>IF(ISNUMBER(BL187),BL187*4,"")</f>
        <v>14368</v>
      </c>
      <c r="BM405" s="211">
        <f>IF(ISNUMBER(BM187),BM187*1,"")</f>
        <v>14208</v>
      </c>
      <c r="BN405" s="211">
        <f>IF(ISNUMBER(BN187),BN187*4,"")</f>
        <v>13428</v>
      </c>
      <c r="BO405" s="211">
        <f>IF(ISNUMBER(BO187),BO187*4,"")</f>
        <v>13268</v>
      </c>
      <c r="BP405" s="211">
        <f>IF(ISNUMBER(BP187),BP187*4,"")</f>
        <v>13772</v>
      </c>
      <c r="BQ405" s="211">
        <f>IF(ISNUMBER(BQ187),BQ187*4,"")</f>
        <v>13888</v>
      </c>
      <c r="BR405" s="211">
        <f>IF(ISNUMBER(BR187),BR187*1,"")</f>
        <v>13589</v>
      </c>
      <c r="BS405" s="211">
        <f>IF(ISNUMBER(BS187),BS187*4,"")</f>
        <v>14868</v>
      </c>
      <c r="BT405" s="211">
        <f>IF(ISNUMBER(BT187),BT187*4,"")</f>
        <v>14712</v>
      </c>
      <c r="BU405" s="35" t="n"/>
      <c r="BV405" s="35" t="n"/>
      <c r="BW405" s="254">
        <f>IF(ISNUMBER(BW187),BW187*1,"")</f>
        <v>14526.641</v>
      </c>
      <c r="BX405" s="254">
        <f>IF(ISNUMBER(BX187),BX187*1,"")</f>
        <v>15426.2030573497</v>
      </c>
      <c r="BY405" s="254">
        <f>IF(ISNUMBER(BY187),BY187*1,"")</f>
        <v>16516.7832013327</v>
      </c>
      <c r="BZ405" s="254">
        <f>IF(ISNUMBER(BZ187),BZ187*1,"")</f>
        <v>17650.8429410651</v>
      </c>
      <c r="CA405" s="254">
        <f>IF(ISNUMBER(CA187),CA187*1,"")</f>
        <v>18809.3088629089</v>
      </c>
      <c r="CB405" s="254">
        <f>IF(ISNUMBER(CB187),CB187*1,"")</f>
        <v>20042.0024555706</v>
      </c>
      <c r="CC405" s="19" t="n"/>
    </row>
    <row r="406" ht="15" customHeight="1" s="251">
      <c r="B406" s="25" t="inlineStr">
        <is>
          <t xml:space="preserve">  DSO — receivables / revenue × 365</t>
        </is>
      </c>
      <c r="C406" s="291">
        <f>IFERROR(C364/C405*365,"")</f>
        <v>0</v>
      </c>
      <c r="D406" s="291">
        <f>IFERROR(D364/D405*365,"")</f>
        <v>0</v>
      </c>
      <c r="E406" s="291">
        <f>IFERROR(E364/E405*365,"")</f>
        <v>78.2494382022472</v>
      </c>
      <c r="F406" s="291">
        <f>IFERROR(F364/F405*365,"")</f>
        <v>77.1877646062659</v>
      </c>
      <c r="G406" s="291">
        <f>IFERROR(G364/G405*365,"")</f>
        <v>69.861</v>
      </c>
      <c r="H406" s="291">
        <f>IFERROR(H364/H405*365,"")</f>
        <v>73.1375628140704</v>
      </c>
      <c r="I406" s="291">
        <f>IFERROR(I364/I405*365,"")</f>
        <v>71.467</v>
      </c>
      <c r="J406" s="291">
        <f>IFERROR(J364/J405*365,"")</f>
        <v>73.2994871794872</v>
      </c>
      <c r="K406" s="291">
        <f>IFERROR(K364/K405*365,"")</f>
        <v>72.9409385113269</v>
      </c>
      <c r="L406" s="291">
        <f>IFERROR(L364/L405*365,"")</f>
        <v>67.1155274888559</v>
      </c>
      <c r="M406" s="291">
        <f>IFERROR(M364/M405*365,"")</f>
        <v>67.0467141726049</v>
      </c>
      <c r="N406" s="291">
        <f>IFERROR(N364/N405*365,"")</f>
        <v>65.9263565891473</v>
      </c>
      <c r="O406" s="291">
        <f>IFERROR(O364/O405*365,"")</f>
        <v>67.3490397941002</v>
      </c>
      <c r="P406" s="291">
        <f>IFERROR(P364/P405*365,"")</f>
        <v>71.1076197957581</v>
      </c>
      <c r="Q406" s="291">
        <f>IFERROR(Q364/Q405*365,"")</f>
        <v>72.2792473919523</v>
      </c>
      <c r="R406" s="291">
        <f>IFERROR(R364/R405*365,"")</f>
        <v>67.9550604229607</v>
      </c>
      <c r="S406" s="291">
        <f>IFERROR(S364/S405*365,"")</f>
        <v>65.8142285298399</v>
      </c>
      <c r="T406" s="291">
        <f>IFERROR(T364/T405*365,"")</f>
        <v>68.081121776774</v>
      </c>
      <c r="U406" s="291">
        <f>IFERROR(U364/U405*365,"")</f>
        <v>66.5492170022371</v>
      </c>
      <c r="V406" s="291">
        <f>IFERROR(V364/V405*365,"")</f>
        <v>62.0032051282051</v>
      </c>
      <c r="W406" s="291">
        <f>IFERROR(W364/W405*365,"")</f>
        <v>62.1438498957609</v>
      </c>
      <c r="X406" s="291">
        <f>IFERROR(X364/X405*365,"")</f>
        <v>73.1826304503217</v>
      </c>
      <c r="Y406" s="291">
        <f>IFERROR(Y364/Y405*365,"")</f>
        <v>72.3423423423424</v>
      </c>
      <c r="Z406" s="291">
        <f>IFERROR(Z364/Z405*365,"")</f>
        <v>69.5836200963524</v>
      </c>
      <c r="AA406" s="291">
        <f>IFERROR(AA364/AA405*365,"")</f>
        <v>70.5086149768058</v>
      </c>
      <c r="AB406" s="291">
        <f>IFERROR(AB364/AB405*365,"")</f>
        <v>71.6490416391276</v>
      </c>
      <c r="AC406" s="291">
        <f>IFERROR(AC364/AC405*365,"")</f>
        <v>75.7449653870359</v>
      </c>
      <c r="AD406" s="291">
        <f>IFERROR(AD364/AD405*365,"")</f>
        <v>79.4054098631041</v>
      </c>
      <c r="AE406" s="291">
        <f>IFERROR(AE364/AE405*365,"")</f>
        <v>76.4589980855137</v>
      </c>
      <c r="AF406" s="291">
        <f>IFERROR(AF364/AF405*365,"")</f>
        <v>73.1587942821628</v>
      </c>
      <c r="AG406" s="291">
        <f>IFERROR(AG364/AG405*365,"")</f>
        <v>73.0118046571798</v>
      </c>
      <c r="AH406" s="291">
        <f>IFERROR(AH364/AH405*365,"")</f>
        <v>86.08154296875</v>
      </c>
      <c r="AI406" s="291">
        <f>IFERROR(AI364/AI405*365,"")</f>
        <v>84.513422818792</v>
      </c>
      <c r="AJ406" s="291">
        <f>IFERROR(AJ364/AJ405*365,"")</f>
        <v>89.3913112667091</v>
      </c>
      <c r="AK406" s="291">
        <f>IFERROR(AK364/AK405*365,"")</f>
        <v>82.6283744131455</v>
      </c>
      <c r="AL406" s="291">
        <f>IFERROR(AL364/AL405*365,"")</f>
        <v>80.2827116637063</v>
      </c>
      <c r="AM406" s="291">
        <f>IFERROR(AM364/AM405*365,"")</f>
        <v>82.9402017291066</v>
      </c>
      <c r="AN406" s="291">
        <f>IFERROR(AN364/AN405*365,"")</f>
        <v>85.9240185102254</v>
      </c>
      <c r="AO406" s="291">
        <f>IFERROR(AO364/AO405*365,"")</f>
        <v>76.8421052631579</v>
      </c>
      <c r="AP406" s="291">
        <f>IFERROR(AP364/AP405*365,"")</f>
        <v>73.12210499228</v>
      </c>
      <c r="AQ406" s="291">
        <f>IFERROR(AQ364/AQ405*365,"")</f>
        <v>70.5383261105092</v>
      </c>
      <c r="AR406" s="291">
        <f>IFERROR(AR364/AR405*365,"")</f>
        <v>77.8581949651848</v>
      </c>
      <c r="AS406" s="291">
        <f>IFERROR(AS364/AS405*365,"")</f>
        <v>78.13020693362</v>
      </c>
      <c r="AT406" s="291">
        <f>IFERROR(AT364/AT405*365,"")</f>
        <v>68.3017113095238</v>
      </c>
      <c r="AU406" s="291">
        <f>IFERROR(AU364/AU405*365,"")</f>
        <v>61.5699192782526</v>
      </c>
      <c r="AV406" s="291">
        <f>IFERROR(AV364/AV405*365,"")</f>
        <v>63.1798035457595</v>
      </c>
      <c r="AW406" s="291">
        <f>IFERROR(AW364/AW405*365,"")</f>
        <v>72.1084770114943</v>
      </c>
      <c r="AX406" s="291">
        <f>IFERROR(AX364/AX405*365,"")</f>
        <v>72.5864770398939</v>
      </c>
      <c r="AY406" s="291">
        <f>IFERROR(AY364/AY405*365,"")</f>
        <v>92.6250523231478</v>
      </c>
      <c r="AZ406" s="291">
        <f>IFERROR(AZ364/AZ405*365,"")</f>
        <v>64.7865853658537</v>
      </c>
      <c r="BA406" s="291">
        <f>IFERROR(BA364/BA405*365,"")</f>
        <v>70.5824012583013</v>
      </c>
      <c r="BB406" s="291">
        <f>IFERROR(BB364/BB405*365,"")</f>
        <v>77.486380660538</v>
      </c>
      <c r="BC406" s="291">
        <f>IFERROR(BC364/BC405*365,"")</f>
        <v>81.4157946516412</v>
      </c>
      <c r="BD406" s="291">
        <f>IFERROR(BD364/BD405*365,"")</f>
        <v>71.556170886076</v>
      </c>
      <c r="BE406" s="291">
        <f>IFERROR(BE364/BE405*365,"")</f>
        <v>74.889148661722</v>
      </c>
      <c r="BF406" s="291">
        <f>IFERROR(BF364/BF405*365,"")</f>
        <v>75.3611381322957</v>
      </c>
      <c r="BG406" s="291">
        <f>IFERROR(BG364/BG405*365,"")</f>
        <v>81.8123413705584</v>
      </c>
      <c r="BH406" s="291">
        <f>IFERROR(BH364/BH405*365,"")</f>
        <v>82.5390093622469</v>
      </c>
      <c r="BI406" s="291">
        <f>IFERROR(BI364/BI405*365,"")</f>
        <v>77.8670151818963</v>
      </c>
      <c r="BJ406" s="291">
        <f>IFERROR(BJ364/BJ405*365,"")</f>
        <v>69.6523668639053</v>
      </c>
      <c r="BK406" s="291">
        <f>IFERROR(BK364/BK405*365,"")</f>
        <v>67.256993006993</v>
      </c>
      <c r="BL406" s="291">
        <f>IFERROR(BL364/BL405*365,"")</f>
        <v>72.8323357461025</v>
      </c>
      <c r="BM406" s="291">
        <f>IFERROR(BM364/BM405*365,"")</f>
        <v>73.6525197072072</v>
      </c>
      <c r="BN406" s="291">
        <f>IFERROR(BN364/BN405*365,"")</f>
        <v>83.7477658623771</v>
      </c>
      <c r="BO406" s="291">
        <f>IFERROR(BO364/BO405*365,"")</f>
        <v>81.9516882725354</v>
      </c>
      <c r="BP406" s="291">
        <f>IFERROR(BP364/BP405*365,"")</f>
        <v>75.6927098460645</v>
      </c>
      <c r="BQ406" s="291">
        <f>IFERROR(BQ364/BQ405*365,"")</f>
        <v>90.4352678571429</v>
      </c>
      <c r="BR406" s="291">
        <f>IFERROR(BR364/BR405*365,"")</f>
        <v>92.4251232614615</v>
      </c>
      <c r="BS406" s="291">
        <f>IFERROR(BS364/BS405*365,"")</f>
        <v>85.7509416195857</v>
      </c>
      <c r="BT406" s="291">
        <f>IFERROR(BT364/BT405*365,"")</f>
        <v>85.2956769983687</v>
      </c>
      <c r="BU406" s="35" t="n"/>
      <c r="BV406" s="35" t="n"/>
      <c r="BW406" s="292" t="n">
        <v>87</v>
      </c>
      <c r="BX406" s="292" t="n">
        <v>87</v>
      </c>
      <c r="BY406" s="292" t="n">
        <v>87</v>
      </c>
      <c r="BZ406" s="292" t="n">
        <v>87</v>
      </c>
      <c r="CA406" s="292" t="n">
        <v>87</v>
      </c>
      <c r="CB406" s="292" t="n">
        <v>87</v>
      </c>
      <c r="CC406" s="19" t="n"/>
    </row>
    <row r="407" ht="15" customHeight="1" s="251">
      <c r="B407" s="25" t="inlineStr">
        <is>
          <t xml:space="preserve">  Unearned revenue % of revenue</t>
        </is>
      </c>
      <c r="C407" s="215">
        <f>IFERROR(C379/C405,"")</f>
        <v>0</v>
      </c>
      <c r="D407" s="215">
        <f>IFERROR(D379/D405,"")</f>
        <v>0</v>
      </c>
      <c r="E407" s="215">
        <f>IFERROR(E379/E405,"")</f>
        <v>0.276179775280899</v>
      </c>
      <c r="F407" s="215">
        <f>IFERROR(F379/F405,"")</f>
        <v>0.270745131244708</v>
      </c>
      <c r="G407" s="215">
        <f>IFERROR(G379/G405,"")</f>
        <v>0.2568</v>
      </c>
      <c r="H407" s="215">
        <f>IFERROR(H379/H405,"")</f>
        <v>0.25963149078727</v>
      </c>
      <c r="I407" s="215">
        <f>IFERROR(I379/I405,"")</f>
        <v>0.2618</v>
      </c>
      <c r="J407" s="215">
        <f>IFERROR(J379/J405,"")</f>
        <v>0.268512820512821</v>
      </c>
      <c r="K407" s="215">
        <f>IFERROR(K379/K405,"")</f>
        <v>0.264967637540453</v>
      </c>
      <c r="L407" s="215">
        <f>IFERROR(L379/L405,"")</f>
        <v>0.24554234769688</v>
      </c>
      <c r="M407" s="215">
        <f>IFERROR(M379/M405,"")</f>
        <v>0.250593824228029</v>
      </c>
      <c r="N407" s="215">
        <f>IFERROR(N379/N405,"")</f>
        <v>0.256395348837209</v>
      </c>
      <c r="O407" s="215">
        <f>IFERROR(O379/O405,"")</f>
        <v>0.26192833102356</v>
      </c>
      <c r="P407" s="215">
        <f>IFERROR(P379/P405,"")</f>
        <v>0.266300078554595</v>
      </c>
      <c r="Q407" s="215">
        <f>IFERROR(Q379/Q405,"")</f>
        <v>0.258383010432191</v>
      </c>
      <c r="R407" s="215">
        <f>IFERROR(R379/R405,"")</f>
        <v>0.274358006042296</v>
      </c>
      <c r="S407" s="215">
        <f>IFERROR(S379/S405,"")</f>
        <v>0.258551673944687</v>
      </c>
      <c r="T407" s="215">
        <f>IFERROR(T379/T405,"")</f>
        <v>0.267457180500659</v>
      </c>
      <c r="U407" s="215">
        <f>IFERROR(U379/U405,"")</f>
        <v>0.271812080536913</v>
      </c>
      <c r="V407" s="215">
        <f>IFERROR(V379/V405,"")</f>
        <v>0.246288798920378</v>
      </c>
      <c r="W407" s="215">
        <f>IFERROR(W379/W405,"")</f>
        <v>0.244614315496873</v>
      </c>
      <c r="X407" s="215">
        <f>IFERROR(X379/X405,"")</f>
        <v>0.269656897784132</v>
      </c>
      <c r="Y407" s="215">
        <f>IFERROR(Y379/Y405,"")</f>
        <v>0.266560678325384</v>
      </c>
      <c r="Z407" s="215">
        <f>IFERROR(Z379/Z405,"")</f>
        <v>0.259807295251204</v>
      </c>
      <c r="AA407" s="215">
        <f>IFERROR(AA379/AA405,"")</f>
        <v>0.24884029158383</v>
      </c>
      <c r="AB407" s="215">
        <f>IFERROR(AB379/AB405,"")</f>
        <v>0.235294117647059</v>
      </c>
      <c r="AC407" s="215">
        <f>IFERROR(AC379/AC405,"")</f>
        <v>0.253775959723096</v>
      </c>
      <c r="AD407" s="215">
        <f>IFERROR(AD379/AD405,"")</f>
        <v>0.266039914233878</v>
      </c>
      <c r="AE407" s="215">
        <f>IFERROR(AE379/AE405,"")</f>
        <v>0.267868538608807</v>
      </c>
      <c r="AF407" s="215">
        <f>IFERROR(AF379/AF405,"")</f>
        <v>0.262430080795525</v>
      </c>
      <c r="AG407" s="215">
        <f>IFERROR(AG379/AG405,"")</f>
        <v>0.254851228978008</v>
      </c>
      <c r="AH407" s="215">
        <f>IFERROR(AH379/AH405,"")</f>
        <v>0.26708984375</v>
      </c>
      <c r="AI407" s="215">
        <f>IFERROR(AI379/AI405,"")</f>
        <v>0.26222435282838</v>
      </c>
      <c r="AJ407" s="215">
        <f>IFERROR(AJ379/AJ405,"")</f>
        <v>0.268777848504138</v>
      </c>
      <c r="AK407" s="215">
        <f>IFERROR(AK379/AK405,"")</f>
        <v>0.250733568075117</v>
      </c>
      <c r="AL407" s="215">
        <f>IFERROR(AL379/AL405,"")</f>
        <v>0.238898756660746</v>
      </c>
      <c r="AM407" s="215">
        <f>IFERROR(AM379/AM405,"")</f>
        <v>0.277809798270893</v>
      </c>
      <c r="AN407" s="215">
        <f>IFERROR(AN379/AN405,"")</f>
        <v>0.287804149873115</v>
      </c>
      <c r="AO407" s="215">
        <f>IFERROR(AO379/AO405,"")</f>
        <v>0.26553751399776</v>
      </c>
      <c r="AP407" s="215">
        <f>IFERROR(AP379/AP405,"")</f>
        <v>0.238033968090582</v>
      </c>
      <c r="AQ407" s="215">
        <f>IFERROR(AQ379/AQ405,"")</f>
        <v>0.232936078006501</v>
      </c>
      <c r="AR407" s="215">
        <f>IFERROR(AR379/AR405,"")</f>
        <v>0.290305302624531</v>
      </c>
      <c r="AS407" s="215">
        <f>IFERROR(AS379/AS405,"")</f>
        <v>0.291319537758667</v>
      </c>
      <c r="AT407" s="215">
        <f>IFERROR(AT379/AT405,"")</f>
        <v>0.261780753968254</v>
      </c>
      <c r="AU407" s="215">
        <f>IFERROR(AU379/AU405,"")</f>
        <v>0.249169040835708</v>
      </c>
      <c r="AV407" s="215">
        <f>IFERROR(AV379/AV405,"")</f>
        <v>0.240297077144226</v>
      </c>
      <c r="AW407" s="215">
        <f>IFERROR(AW379/AW405,"")</f>
        <v>0.265445402298851</v>
      </c>
      <c r="AX407" s="215">
        <f>IFERROR(AX379/AX405,"")</f>
        <v>0.267205013860432</v>
      </c>
      <c r="AY407" s="215">
        <f>IFERROR(AY379/AY405,"")</f>
        <v>0.331414817915446</v>
      </c>
      <c r="AZ407" s="215">
        <f>IFERROR(AZ379/AZ405,"")</f>
        <v>0.244988306047444</v>
      </c>
      <c r="BA407" s="215">
        <f>IFERROR(BA379/BA405,"")</f>
        <v>0.250786438308284</v>
      </c>
      <c r="BB407" s="215">
        <f>IFERROR(BB379/BB405,"")</f>
        <v>0.26608784473953</v>
      </c>
      <c r="BC407" s="215">
        <f>IFERROR(BC379/BC405,"")</f>
        <v>0.279581432787765</v>
      </c>
      <c r="BD407" s="215">
        <f>IFERROR(BD379/BD405,"")</f>
        <v>0.25118670886076</v>
      </c>
      <c r="BE407" s="215">
        <f>IFERROR(BE379/BE405,"")</f>
        <v>0.253789100290229</v>
      </c>
      <c r="BF407" s="215">
        <f>IFERROR(BF379/BF405,"")</f>
        <v>0.244974059662776</v>
      </c>
      <c r="BG407" s="215">
        <f>IFERROR(BG379/BG405,"")</f>
        <v>0.274508248730964</v>
      </c>
      <c r="BH407" s="215">
        <f>IFERROR(BH379/BH405,"")</f>
        <v>0.276946467152117</v>
      </c>
      <c r="BI407" s="215">
        <f>IFERROR(BI379/BI405,"")</f>
        <v>0.253150959610427</v>
      </c>
      <c r="BJ407" s="215">
        <f>IFERROR(BJ379/BJ405,"")</f>
        <v>0.23992673992674</v>
      </c>
      <c r="BK407" s="215">
        <f>IFERROR(BK379/BK405,"")</f>
        <v>0.22993006993007</v>
      </c>
      <c r="BL407" s="215">
        <f>IFERROR(BL379/BL405,"")</f>
        <v>0.257099109131403</v>
      </c>
      <c r="BM407" s="215">
        <f>IFERROR(BM379/BM405,"")</f>
        <v>0.259994369369369</v>
      </c>
      <c r="BN407" s="215">
        <f>IFERROR(BN379/BN405,"")</f>
        <v>0.289767649687221</v>
      </c>
      <c r="BO407" s="215">
        <f>IFERROR(BO379/BO405,"")</f>
        <v>0.291754597527887</v>
      </c>
      <c r="BP407" s="215">
        <f>IFERROR(BP379/BP405,"")</f>
        <v>0.263360441475457</v>
      </c>
      <c r="BQ407" s="215">
        <f>IFERROR(BQ379/BQ405,"")</f>
        <v>0.294354838709677</v>
      </c>
      <c r="BR407" s="215">
        <f>IFERROR(BR379/BR405,"")</f>
        <v>0.300831554934138</v>
      </c>
      <c r="BS407" s="215">
        <f>IFERROR(BS379/BS405,"")</f>
        <v>0.267688996502556</v>
      </c>
      <c r="BT407" s="215">
        <f>IFERROR(BT379/BT405,"")</f>
        <v>0.267060902664492</v>
      </c>
      <c r="BU407" s="24" t="n"/>
      <c r="BV407" s="24" t="n"/>
      <c r="BW407" s="264" t="n">
        <v>0.294</v>
      </c>
      <c r="BX407" s="264" t="n">
        <v>0.294</v>
      </c>
      <c r="BY407" s="264" t="n">
        <v>0.294</v>
      </c>
      <c r="BZ407" s="264" t="n">
        <v>0.294</v>
      </c>
      <c r="CA407" s="264" t="n">
        <v>0.294</v>
      </c>
      <c r="CB407" s="264" t="n">
        <v>0.294</v>
      </c>
      <c r="CC407" s="153" t="n"/>
    </row>
    <row r="408" ht="15" customHeight="1" s="251">
      <c r="B408" s="25" t="inlineStr">
        <is>
          <t xml:space="preserve">  Accounts payable % of revenue</t>
        </is>
      </c>
      <c r="C408" s="215">
        <f>IFERROR(C375/C405,"")</f>
        <v>0</v>
      </c>
      <c r="D408" s="215">
        <f>IFERROR(D375/D405,"")</f>
        <v>0</v>
      </c>
      <c r="E408" s="215">
        <f>IFERROR(E375/E405,"")</f>
        <v>0.0559550561797753</v>
      </c>
      <c r="F408" s="215">
        <f>IFERROR(F375/F405,"")</f>
        <v>0.0529212531752752</v>
      </c>
      <c r="G408" s="215">
        <f>IFERROR(G375/G405,"")</f>
        <v>0.0454</v>
      </c>
      <c r="H408" s="215">
        <f>IFERROR(H375/H405,"")</f>
        <v>0.0475293132328308</v>
      </c>
      <c r="I408" s="215">
        <f>IFERROR(I375/I405,"")</f>
        <v>0.0438</v>
      </c>
      <c r="J408" s="215">
        <f>IFERROR(J375/J405,"")</f>
        <v>0.0449230769230769</v>
      </c>
      <c r="K408" s="215">
        <f>IFERROR(K375/K405,"")</f>
        <v>0.0416666666666667</v>
      </c>
      <c r="L408" s="215">
        <f>IFERROR(L375/L405,"")</f>
        <v>0.0367756315007429</v>
      </c>
      <c r="M408" s="215">
        <f>IFERROR(M375/M405,"")</f>
        <v>0.0380047505938242</v>
      </c>
      <c r="N408" s="215">
        <f>IFERROR(N375/N405,"")</f>
        <v>0.037015503875969</v>
      </c>
      <c r="O408" s="215">
        <f>IFERROR(O375/O405,"")</f>
        <v>0.0378142941991685</v>
      </c>
      <c r="P408" s="215">
        <f>IFERROR(P375/P405,"")</f>
        <v>0.0355459544383346</v>
      </c>
      <c r="Q408" s="215">
        <f>IFERROR(Q375/Q405,"")</f>
        <v>0.0337183308494784</v>
      </c>
      <c r="R408" s="215">
        <f>IFERROR(R375/R405,"")</f>
        <v>0.0398413897280967</v>
      </c>
      <c r="S408" s="215">
        <f>IFERROR(S375/S405,"")</f>
        <v>0.0374818049490539</v>
      </c>
      <c r="T408" s="215">
        <f>IFERROR(T375/T405,"")</f>
        <v>0.038772821381517</v>
      </c>
      <c r="U408" s="215">
        <f>IFERROR(U375/U405,"")</f>
        <v>0.0313199105145414</v>
      </c>
      <c r="V408" s="215">
        <f>IFERROR(V375/V405,"")</f>
        <v>0.0300269905533063</v>
      </c>
      <c r="W408" s="215">
        <f>IFERROR(W375/W405,"")</f>
        <v>0.0345726198749131</v>
      </c>
      <c r="X408" s="215">
        <f>IFERROR(X375/X405,"")</f>
        <v>0.0327019299499643</v>
      </c>
      <c r="Y408" s="215">
        <f>IFERROR(Y375/Y405,"")</f>
        <v>0.03232644409115</v>
      </c>
      <c r="Z408" s="215">
        <f>IFERROR(Z375/Z405,"")</f>
        <v>0.0278733654507915</v>
      </c>
      <c r="AA408" s="215">
        <f>IFERROR(AA375/AA405,"")</f>
        <v>0.0268389662027833</v>
      </c>
      <c r="AB408" s="215">
        <f>IFERROR(AB375/AB405,"")</f>
        <v>0.0280898876404494</v>
      </c>
      <c r="AC408" s="215">
        <f>IFERROR(AC375/AC405,"")</f>
        <v>0.0306796727501573</v>
      </c>
      <c r="AD408" s="215">
        <f>IFERROR(AD375/AD405,"")</f>
        <v>0.0321622958931222</v>
      </c>
      <c r="AE408" s="215">
        <f>IFERROR(AE375/AE405,"")</f>
        <v>0.0312699425654116</v>
      </c>
      <c r="AF408" s="215">
        <f>IFERROR(AF375/AF405,"")</f>
        <v>0.0298321939092604</v>
      </c>
      <c r="AG408" s="215">
        <f>IFERROR(AG375/AG405,"")</f>
        <v>0.0313712807244502</v>
      </c>
      <c r="AH408" s="215">
        <f>IFERROR(AH375/AH405,"")</f>
        <v>0.0343424479166667</v>
      </c>
      <c r="AI408" s="215">
        <f>IFERROR(AI375/AI405,"")</f>
        <v>0.0337168424416747</v>
      </c>
      <c r="AJ408" s="215">
        <f>IFERROR(AJ375/AJ405,"")</f>
        <v>0.0345321451304901</v>
      </c>
      <c r="AK408" s="215">
        <f>IFERROR(AK375/AK405,"")</f>
        <v>0.0313967136150235</v>
      </c>
      <c r="AL408" s="215">
        <f>IFERROR(AL375/AL405,"")</f>
        <v>0.0278271166370634</v>
      </c>
      <c r="AM408" s="215">
        <f>IFERROR(AM375/AM405,"")</f>
        <v>0.0273775216138329</v>
      </c>
      <c r="AN408" s="215">
        <f>IFERROR(AN375/AN405,"")</f>
        <v>0.0283624421555456</v>
      </c>
      <c r="AO408" s="215">
        <f>IFERROR(AO375/AO405,"")</f>
        <v>0.0284154535274356</v>
      </c>
      <c r="AP408" s="215">
        <f>IFERROR(AP375/AP405,"")</f>
        <v>0.0239320638188369</v>
      </c>
      <c r="AQ408" s="215">
        <f>IFERROR(AQ375/AQ405,"")</f>
        <v>0.0251895991332611</v>
      </c>
      <c r="AR408" s="215">
        <f>IFERROR(AR375/AR405,"")</f>
        <v>0.0311997857525442</v>
      </c>
      <c r="AS408" s="215">
        <f>IFERROR(AS375/AS405,"")</f>
        <v>0.0313087879602257</v>
      </c>
      <c r="AT408" s="215">
        <f>IFERROR(AT375/AT405,"")</f>
        <v>0.0298859126984127</v>
      </c>
      <c r="AU408" s="215">
        <f>IFERROR(AU375/AU405,"")</f>
        <v>0.0249287749287749</v>
      </c>
      <c r="AV408" s="215">
        <f>IFERROR(AV375/AV405,"")</f>
        <v>0.0292285577383805</v>
      </c>
      <c r="AW408" s="215">
        <f>IFERROR(AW375/AW405,"")</f>
        <v>0.0245450191570881</v>
      </c>
      <c r="AX408" s="215">
        <f>IFERROR(AX375/AX405,"")</f>
        <v>0.0247077256839822</v>
      </c>
      <c r="AY408" s="215">
        <f>IFERROR(AY375/AY405,"")</f>
        <v>0.0429049811636668</v>
      </c>
      <c r="AZ408" s="215">
        <f>IFERROR(AZ375/AZ405,"")</f>
        <v>0.0321583695289008</v>
      </c>
      <c r="BA408" s="215">
        <f>IFERROR(BA375/BA405,"")</f>
        <v>0.032418734708144</v>
      </c>
      <c r="BB408" s="215">
        <f>IFERROR(BB375/BB405,"")</f>
        <v>0.0383043922369765</v>
      </c>
      <c r="BC408" s="215">
        <f>IFERROR(BC375/BC405,"")</f>
        <v>0.0402468473302925</v>
      </c>
      <c r="BD408" s="215">
        <f>IFERROR(BD375/BD405,"")</f>
        <v>0.0360759493670886</v>
      </c>
      <c r="BE408" s="215">
        <f>IFERROR(BE375/BE405,"")</f>
        <v>0.0393421476942922</v>
      </c>
      <c r="BF408" s="215">
        <f>IFERROR(BF375/BF405,"")</f>
        <v>0.0371271076523995</v>
      </c>
      <c r="BG408" s="215">
        <f>IFERROR(BG375/BG405,"")</f>
        <v>0.0441782994923858</v>
      </c>
      <c r="BH408" s="215">
        <f>IFERROR(BH375/BH405,"")</f>
        <v>0.0445706969672721</v>
      </c>
      <c r="BI408" s="215">
        <f>IFERROR(BI375/BI405,"")</f>
        <v>0.0327986250358064</v>
      </c>
      <c r="BJ408" s="215">
        <f>IFERROR(BJ375/BJ405,"")</f>
        <v>0.0336010143702451</v>
      </c>
      <c r="BK408" s="215">
        <f>IFERROR(BK375/BK405,"")</f>
        <v>0.0332167832167832</v>
      </c>
      <c r="BL408" s="215">
        <f>IFERROR(BL375/BL405,"")</f>
        <v>0.0384883073496659</v>
      </c>
      <c r="BM408" s="215">
        <f>IFERROR(BM375/BM405,"")</f>
        <v>0.0389217342342342</v>
      </c>
      <c r="BN408" s="215">
        <f>IFERROR(BN375/BN405,"")</f>
        <v>0.0390974084003575</v>
      </c>
      <c r="BO408" s="215">
        <f>IFERROR(BO375/BO405,"")</f>
        <v>0.0400964727163099</v>
      </c>
      <c r="BP408" s="215">
        <f>IFERROR(BP375/BP405,"")</f>
        <v>0.0303514376996805</v>
      </c>
      <c r="BQ408" s="215">
        <f>IFERROR(BQ375/BQ405,"")</f>
        <v>0.0439228110599078</v>
      </c>
      <c r="BR408" s="215">
        <f>IFERROR(BR375/BR405,"")</f>
        <v>0.044889248657002</v>
      </c>
      <c r="BS408" s="215">
        <f>IFERROR(BS375/BS405,"")</f>
        <v>0.0343018563357546</v>
      </c>
      <c r="BT408" s="215">
        <f>IFERROR(BT375/BT405,"")</f>
        <v>0.0415307232191408</v>
      </c>
      <c r="BU408" s="24" t="n"/>
      <c r="BV408" s="24" t="n"/>
      <c r="BW408" s="264" t="n">
        <v>0.041</v>
      </c>
      <c r="BX408" s="264" t="n">
        <v>0.041</v>
      </c>
      <c r="BY408" s="264" t="n">
        <v>0.041</v>
      </c>
      <c r="BZ408" s="264" t="n">
        <v>0.041</v>
      </c>
      <c r="CA408" s="264" t="n">
        <v>0.041</v>
      </c>
      <c r="CB408" s="264" t="n">
        <v>0.041</v>
      </c>
      <c r="CC408" s="153" t="n"/>
    </row>
    <row r="409" ht="15" customHeight="1" s="251">
      <c r="B409" s="25" t="inlineStr">
        <is>
          <t xml:space="preserve">  Accrued compensation % of revenue</t>
        </is>
      </c>
      <c r="C409" s="215">
        <f>IFERROR(C376/C405,"")</f>
        <v>0</v>
      </c>
      <c r="D409" s="215">
        <f>IFERROR(D376/D405,"")</f>
        <v>0</v>
      </c>
      <c r="E409" s="215">
        <f>IFERROR(E376/E405,"")</f>
        <v>0.101797752808989</v>
      </c>
      <c r="F409" s="215">
        <f>IFERROR(F376/F405,"")</f>
        <v>0.0529212531752752</v>
      </c>
      <c r="G409" s="215">
        <f>IFERROR(G376/G405,"")</f>
        <v>0.062</v>
      </c>
      <c r="H409" s="215">
        <f>IFERROR(H376/H405,"")</f>
        <v>0.0730737018425461</v>
      </c>
      <c r="I409" s="215">
        <f>IFERROR(I376/I405,"")</f>
        <v>0.0854</v>
      </c>
      <c r="J409" s="215">
        <f>IFERROR(J376/J405,"")</f>
        <v>0.0875897435897436</v>
      </c>
      <c r="K409" s="215">
        <f>IFERROR(K376/K405,"")</f>
        <v>0.0428802588996764</v>
      </c>
      <c r="L409" s="215">
        <f>IFERROR(L376/L405,"")</f>
        <v>0.0542347696879643</v>
      </c>
      <c r="M409" s="215">
        <f>IFERROR(M376/M405,"")</f>
        <v>0.0661124307205067</v>
      </c>
      <c r="N409" s="215">
        <f>IFERROR(N376/N405,"")</f>
        <v>0.0794573643410853</v>
      </c>
      <c r="O409" s="215">
        <f>IFERROR(O376/O405,"")</f>
        <v>0.0811720451395763</v>
      </c>
      <c r="P409" s="215">
        <f>IFERROR(P376/P405,"")</f>
        <v>0.0394736842105263</v>
      </c>
      <c r="Q409" s="215">
        <f>IFERROR(Q376/Q405,"")</f>
        <v>0.0491803278688525</v>
      </c>
      <c r="R409" s="215">
        <f>IFERROR(R376/R405,"")</f>
        <v>0.0604229607250755</v>
      </c>
      <c r="S409" s="215">
        <f>IFERROR(S376/S405,"")</f>
        <v>0.0696870451237264</v>
      </c>
      <c r="T409" s="215">
        <f>IFERROR(T376/T405,"")</f>
        <v>0.0720873329568982</v>
      </c>
      <c r="U409" s="215">
        <f>IFERROR(U376/U405,"")</f>
        <v>0.0359806114839672</v>
      </c>
      <c r="V409" s="215">
        <f>IFERROR(V376/V405,"")</f>
        <v>0.0447031039136302</v>
      </c>
      <c r="W409" s="215">
        <f>IFERROR(W376/W405,"")</f>
        <v>0.0547255038220987</v>
      </c>
      <c r="X409" s="215">
        <f>IFERROR(X376/X405,"")</f>
        <v>0.0730879199428163</v>
      </c>
      <c r="Y409" s="215">
        <f>IFERROR(Y376/Y405,"")</f>
        <v>0.0722487193075428</v>
      </c>
      <c r="Z409" s="215">
        <f>IFERROR(Z376/Z405,"")</f>
        <v>0.0352718513420509</v>
      </c>
      <c r="AA409" s="215">
        <f>IFERROR(AA376/AA405,"")</f>
        <v>0.0487077534791252</v>
      </c>
      <c r="AB409" s="215">
        <f>IFERROR(AB376/AB405,"")</f>
        <v>0.0616325181758097</v>
      </c>
      <c r="AC409" s="215">
        <f>IFERROR(AC376/AC405,"")</f>
        <v>0.0742605412208937</v>
      </c>
      <c r="AD409" s="215">
        <f>IFERROR(AD376/AD405,"")</f>
        <v>0.0778492495464292</v>
      </c>
      <c r="AE409" s="215">
        <f>IFERROR(AE376/AE405,"")</f>
        <v>0.0311104020421187</v>
      </c>
      <c r="AF409" s="215">
        <f>IFERROR(AF376/AF405,"")</f>
        <v>0.040863890615289</v>
      </c>
      <c r="AG409" s="215">
        <f>IFERROR(AG376/AG405,"")</f>
        <v>0.0496442432082794</v>
      </c>
      <c r="AH409" s="215">
        <f>IFERROR(AH376/AH405,"")</f>
        <v>0.0576171875</v>
      </c>
      <c r="AI409" s="215">
        <f>IFERROR(AI376/AI405,"")</f>
        <v>0.0565675934803452</v>
      </c>
      <c r="AJ409" s="215">
        <f>IFERROR(AJ376/AJ405,"")</f>
        <v>0.0318268618714195</v>
      </c>
      <c r="AK409" s="215">
        <f>IFERROR(AK376/AK405,"")</f>
        <v>0.0394659624413146</v>
      </c>
      <c r="AL409" s="215">
        <f>IFERROR(AL376/AL405,"")</f>
        <v>0.0484014209591474</v>
      </c>
      <c r="AM409" s="215">
        <f>IFERROR(AM376/AM405,"")</f>
        <v>0.0642651296829971</v>
      </c>
      <c r="AN409" s="215">
        <f>IFERROR(AN376/AN405,"")</f>
        <v>0.0665771010598597</v>
      </c>
      <c r="AO409" s="215">
        <f>IFERROR(AO376/AO405,"")</f>
        <v>0.0310750279955207</v>
      </c>
      <c r="AP409" s="215">
        <f>IFERROR(AP376/AP405,"")</f>
        <v>0.0379567678847144</v>
      </c>
      <c r="AQ409" s="215">
        <f>IFERROR(AQ376/AQ405,"")</f>
        <v>0.0530877573131094</v>
      </c>
      <c r="AR409" s="215">
        <f>IFERROR(AR376/AR405,"")</f>
        <v>0.0737814675950723</v>
      </c>
      <c r="AS409" s="215">
        <f>IFERROR(AS376/AS405,"")</f>
        <v>0.0740392367643107</v>
      </c>
      <c r="AT409" s="215">
        <f>IFERROR(AT376/AT405,"")</f>
        <v>0.0323660714285714</v>
      </c>
      <c r="AU409" s="215">
        <f>IFERROR(AU376/AU405,"")</f>
        <v>0.0401234567901235</v>
      </c>
      <c r="AV409" s="215">
        <f>IFERROR(AV376/AV405,"")</f>
        <v>0.0560613320555822</v>
      </c>
      <c r="AW409" s="215">
        <f>IFERROR(AW376/AW405,"")</f>
        <v>0.0726772030651341</v>
      </c>
      <c r="AX409" s="215">
        <f>IFERROR(AX376/AX405,"")</f>
        <v>0.0731589731228155</v>
      </c>
      <c r="AY409" s="215">
        <f>IFERROR(AY376/AY405,"")</f>
        <v>0.0398702385935538</v>
      </c>
      <c r="AZ409" s="215">
        <f>IFERROR(AZ376/AZ405,"")</f>
        <v>0.0360006682258603</v>
      </c>
      <c r="BA409" s="215">
        <f>IFERROR(BA376/BA405,"")</f>
        <v>0.0463998601887452</v>
      </c>
      <c r="BB409" s="215">
        <f>IFERROR(BB376/BB405,"")</f>
        <v>0.0640960163432074</v>
      </c>
      <c r="BC409" s="215">
        <f>IFERROR(BC376/BC405,"")</f>
        <v>0.0673463911993561</v>
      </c>
      <c r="BD409" s="215">
        <f>IFERROR(BD376/BD405,"")</f>
        <v>0.0304588607594937</v>
      </c>
      <c r="BE409" s="215">
        <f>IFERROR(BE376/BE405,"")</f>
        <v>0.040873911641406</v>
      </c>
      <c r="BF409" s="215">
        <f>IFERROR(BF376/BF405,"")</f>
        <v>0.0530966277561608</v>
      </c>
      <c r="BG409" s="215">
        <f>IFERROR(BG376/BG405,"")</f>
        <v>0.0718591370558376</v>
      </c>
      <c r="BH409" s="215">
        <f>IFERROR(BH376/BH405,"")</f>
        <v>0.0724973993758502</v>
      </c>
      <c r="BI409" s="215">
        <f>IFERROR(BI376/BI405,"")</f>
        <v>0.0300057290174735</v>
      </c>
      <c r="BJ409" s="215">
        <f>IFERROR(BJ376/BJ405,"")</f>
        <v>0.0410679064525218</v>
      </c>
      <c r="BK409" s="215">
        <f>IFERROR(BK376/BK405,"")</f>
        <v>0.0575524475524476</v>
      </c>
      <c r="BL409" s="215">
        <f>IFERROR(BL376/BL405,"")</f>
        <v>0.0746798440979956</v>
      </c>
      <c r="BM409" s="215">
        <f>IFERROR(BM376/BM405,"")</f>
        <v>0.0755208333333333</v>
      </c>
      <c r="BN409" s="215">
        <f>IFERROR(BN376/BN405,"")</f>
        <v>0.0317247542448615</v>
      </c>
      <c r="BO409" s="215">
        <f>IFERROR(BO376/BO405,"")</f>
        <v>0.0438649381971661</v>
      </c>
      <c r="BP409" s="215">
        <f>IFERROR(BP376/BP405,"")</f>
        <v>0.0518443218123729</v>
      </c>
      <c r="BQ409" s="215">
        <f>IFERROR(BQ376/BQ405,"")</f>
        <v>0.0711405529953917</v>
      </c>
      <c r="BR409" s="215">
        <f>IFERROR(BR376/BR405,"")</f>
        <v>0.0727058650378983</v>
      </c>
      <c r="BS409" s="215">
        <f>IFERROR(BS376/BS405,"")</f>
        <v>0.0295264998654829</v>
      </c>
      <c r="BT409" s="215">
        <f>IFERROR(BT376/BT405,"")</f>
        <v>0.0394915715062534</v>
      </c>
      <c r="BU409" s="24" t="n"/>
      <c r="BV409" s="24" t="n"/>
      <c r="BW409" s="264" t="n">
        <v>0.07099999999999999</v>
      </c>
      <c r="BX409" s="264" t="n">
        <v>0.07099999999999999</v>
      </c>
      <c r="BY409" s="264" t="n">
        <v>0.07099999999999999</v>
      </c>
      <c r="BZ409" s="264" t="n">
        <v>0.07099999999999999</v>
      </c>
      <c r="CA409" s="264" t="n">
        <v>0.07099999999999999</v>
      </c>
      <c r="CB409" s="264" t="n">
        <v>0.07099999999999999</v>
      </c>
      <c r="CC409" s="153" t="n"/>
    </row>
    <row r="410" ht="15" customHeight="1" s="251">
      <c r="B410" s="25" t="inlineStr">
        <is>
          <t xml:space="preserve">  Income taxes payable % of revenue</t>
        </is>
      </c>
      <c r="C410" s="215">
        <f>IFERROR(C378/C405,"")</f>
        <v>0</v>
      </c>
      <c r="D410" s="215">
        <f>IFERROR(D378/D405,"")</f>
        <v>0</v>
      </c>
      <c r="E410" s="215">
        <f>IFERROR(E378/E405,"")</f>
        <v>0.0355056179775281</v>
      </c>
      <c r="F410" s="215">
        <f>IFERROR(F378/F405,"")</f>
        <v>0.0732430143945809</v>
      </c>
      <c r="G410" s="215">
        <f>IFERROR(G378/G405,"")</f>
        <v>0.0354</v>
      </c>
      <c r="H410" s="215">
        <f>IFERROR(H378/H405,"")</f>
        <v>0.0236599664991625</v>
      </c>
      <c r="I410" s="215">
        <f>IFERROR(I378/I405,"")</f>
        <v>0.003</v>
      </c>
      <c r="J410" s="215">
        <f>IFERROR(J378/J405,"")</f>
        <v>0.00307692307692308</v>
      </c>
      <c r="K410" s="215">
        <f>IFERROR(K378/K405,"")</f>
        <v>0.0151699029126214</v>
      </c>
      <c r="L410" s="215">
        <f>IFERROR(L378/L405,"")</f>
        <v>0.0178306092124814</v>
      </c>
      <c r="M410" s="215">
        <f>IFERROR(M378/M405,"")</f>
        <v>0.0144497228820269</v>
      </c>
      <c r="N410" s="215">
        <f>IFERROR(N378/N405,"")</f>
        <v>0.0062015503875969</v>
      </c>
      <c r="O410" s="215">
        <f>IFERROR(O378/O405,"")</f>
        <v>0.00633537913284498</v>
      </c>
      <c r="P410" s="215">
        <f>IFERROR(P378/P405,"")</f>
        <v>0</v>
      </c>
      <c r="Q410" s="215">
        <f>IFERROR(Q378/Q405,"")</f>
        <v>0.0109910581222057</v>
      </c>
      <c r="R410" s="215">
        <f>IFERROR(R378/R405,"")</f>
        <v>0</v>
      </c>
      <c r="S410" s="215">
        <f>IFERROR(S378/S405,"")</f>
        <v>0.0101892285298399</v>
      </c>
      <c r="T410" s="215">
        <f>IFERROR(T378/T405,"")</f>
        <v>0.0105401844532279</v>
      </c>
      <c r="U410" s="215">
        <f>IFERROR(U378/U405,"")</f>
        <v>0</v>
      </c>
      <c r="V410" s="215">
        <f>IFERROR(V378/V405,"")</f>
        <v>0</v>
      </c>
      <c r="W410" s="215">
        <f>IFERROR(W378/W405,"")</f>
        <v>0</v>
      </c>
      <c r="X410" s="215">
        <f>IFERROR(X378/X405,"")</f>
        <v>0.016976411722659</v>
      </c>
      <c r="Y410" s="215">
        <f>IFERROR(Y378/Y405,"")</f>
        <v>0.0167814873697227</v>
      </c>
      <c r="Z410" s="215">
        <f>IFERROR(Z378/Z405,"")</f>
        <v>0</v>
      </c>
      <c r="AA410" s="215">
        <f>IFERROR(AA378/AA405,"")</f>
        <v>0</v>
      </c>
      <c r="AB410" s="215">
        <f>IFERROR(AB378/AB405,"")</f>
        <v>0</v>
      </c>
      <c r="AC410" s="215">
        <f>IFERROR(AC378/AC405,"")</f>
        <v>0.0121145374449339</v>
      </c>
      <c r="AD410" s="215">
        <f>IFERROR(AD378/AD405,"")</f>
        <v>0.0126999835065149</v>
      </c>
      <c r="AE410" s="215">
        <f>IFERROR(AE378/AE405,"")</f>
        <v>0</v>
      </c>
      <c r="AF410" s="215">
        <f>IFERROR(AF378/AF405,"")</f>
        <v>0</v>
      </c>
      <c r="AG410" s="215">
        <f>IFERROR(AG378/AG405,"")</f>
        <v>0</v>
      </c>
      <c r="AH410" s="215">
        <f>IFERROR(AH378/AH405,"")</f>
        <v>0.01171875</v>
      </c>
      <c r="AI410" s="215">
        <f>IFERROR(AI378/AI405,"")</f>
        <v>0.0115052732502397</v>
      </c>
      <c r="AJ410" s="215">
        <f>IFERROR(AJ378/AJ405,"")</f>
        <v>0</v>
      </c>
      <c r="AK410" s="215">
        <f>IFERROR(AK378/AK405,"")</f>
        <v>0</v>
      </c>
      <c r="AL410" s="215">
        <f>IFERROR(AL378/AL405,"")</f>
        <v>0</v>
      </c>
      <c r="AM410" s="215">
        <f>IFERROR(AM378/AM405,"")</f>
        <v>0.00979827089337176</v>
      </c>
      <c r="AN410" s="215">
        <f>IFERROR(AN378/AN405,"")</f>
        <v>0.0101507687714584</v>
      </c>
      <c r="AO410" s="215">
        <f>IFERROR(AO378/AO405,"")</f>
        <v>0</v>
      </c>
      <c r="AP410" s="215">
        <f>IFERROR(AP378/AP405,"")</f>
        <v>0</v>
      </c>
      <c r="AQ410" s="215">
        <f>IFERROR(AQ378/AQ405,"")</f>
        <v>0</v>
      </c>
      <c r="AR410" s="215">
        <f>IFERROR(AR378/AR405,"")</f>
        <v>0.0112479914301018</v>
      </c>
      <c r="AS410" s="215">
        <f>IFERROR(AS378/AS405,"")</f>
        <v>0.0112872883633432</v>
      </c>
      <c r="AT410" s="215">
        <f>IFERROR(AT378/AT405,"")</f>
        <v>0</v>
      </c>
      <c r="AU410" s="215">
        <f>IFERROR(AU378/AU405,"")</f>
        <v>0</v>
      </c>
      <c r="AV410" s="215">
        <f>IFERROR(AV378/AV405,"")</f>
        <v>0</v>
      </c>
      <c r="AW410" s="215">
        <f>IFERROR(AW378/AW405,"")</f>
        <v>0.0107758620689655</v>
      </c>
      <c r="AX410" s="215">
        <f>IFERROR(AX378/AX405,"")</f>
        <v>0.0108472942027239</v>
      </c>
      <c r="AY410" s="215">
        <f>IFERROR(AY378/AY405,"")</f>
        <v>0</v>
      </c>
      <c r="AZ410" s="215">
        <f>IFERROR(AZ378/AZ405,"")</f>
        <v>0</v>
      </c>
      <c r="BA410" s="215">
        <f>IFERROR(BA378/BA405,"")</f>
        <v>0</v>
      </c>
      <c r="BB410" s="215">
        <f>IFERROR(BB378/BB405,"")</f>
        <v>0.00987402110997617</v>
      </c>
      <c r="BC410" s="215">
        <f>IFERROR(BC378/BC405,"")</f>
        <v>0.0103747428673643</v>
      </c>
      <c r="BD410" s="215">
        <f>IFERROR(BD378/BD405,"")</f>
        <v>0.0173259493670886</v>
      </c>
      <c r="BE410" s="215">
        <f>IFERROR(BE378/BE405,"")</f>
        <v>0.0102386326991293</v>
      </c>
      <c r="BF410" s="215">
        <f>IFERROR(BF378/BF405,"")</f>
        <v>0.00478274967574579</v>
      </c>
      <c r="BG410" s="215">
        <f>IFERROR(BG378/BG405,"")</f>
        <v>0.00959708121827411</v>
      </c>
      <c r="BH410" s="215">
        <f>IFERROR(BH378/BH405,"")</f>
        <v>0.00968232375770185</v>
      </c>
      <c r="BI410" s="215">
        <f>IFERROR(BI378/BI405,"")</f>
        <v>0.0128186765969636</v>
      </c>
      <c r="BJ410" s="215">
        <f>IFERROR(BJ378/BJ405,"")</f>
        <v>0.0126796280642435</v>
      </c>
      <c r="BK410" s="215">
        <f>IFERROR(BK378/BK405,"")</f>
        <v>0.0131468531468531</v>
      </c>
      <c r="BL410" s="215">
        <f>IFERROR(BL378/BL405,"")</f>
        <v>0.0138502227171492</v>
      </c>
      <c r="BM410" s="215">
        <f>IFERROR(BM378/BM405,"")</f>
        <v>0.0140061936936937</v>
      </c>
      <c r="BN410" s="215">
        <f>IFERROR(BN378/BN405,"")</f>
        <v>0.0169794459338695</v>
      </c>
      <c r="BO410" s="215">
        <f>IFERROR(BO378/BO405,"")</f>
        <v>0.0149231233041905</v>
      </c>
      <c r="BP410" s="215">
        <f>IFERROR(BP378/BP405,"")</f>
        <v>0.0143043857101365</v>
      </c>
      <c r="BQ410" s="215">
        <f>IFERROR(BQ378/BQ405,"")</f>
        <v>0.0129608294930876</v>
      </c>
      <c r="BR410" s="215">
        <f>IFERROR(BR378/BR405,"")</f>
        <v>0.0132460078004268</v>
      </c>
      <c r="BS410" s="215">
        <f>IFERROR(BS378/BS405,"")</f>
        <v>0.0324186171643799</v>
      </c>
      <c r="BT410" s="215">
        <f>IFERROR(BT378/BT405,"")</f>
        <v>0.0161772702555737</v>
      </c>
      <c r="BU410" s="24" t="n"/>
      <c r="BV410" s="24" t="n"/>
      <c r="BW410" s="264" t="n">
        <v>0.013</v>
      </c>
      <c r="BX410" s="264" t="n">
        <v>0.013</v>
      </c>
      <c r="BY410" s="264" t="n">
        <v>0.013</v>
      </c>
      <c r="BZ410" s="264" t="n">
        <v>0.013</v>
      </c>
      <c r="CA410" s="264" t="n">
        <v>0.013</v>
      </c>
      <c r="CB410" s="264" t="n">
        <v>0.013</v>
      </c>
      <c r="CC410" s="153" t="n"/>
    </row>
    <row r="411" ht="15" customHeight="1" s="251">
      <c r="B411" s="25" t="inlineStr">
        <is>
          <t xml:space="preserve">  Other current liabilities % of revenue</t>
        </is>
      </c>
      <c r="C411" s="215">
        <f>IFERROR(C380/C405,"")</f>
        <v>0</v>
      </c>
      <c r="D411" s="215">
        <f>IFERROR(D380/D405,"")</f>
        <v>0</v>
      </c>
      <c r="E411" s="215">
        <f>IFERROR(E380/E405,"")</f>
        <v>0.251910112359551</v>
      </c>
      <c r="F411" s="215">
        <f>IFERROR(F380/F405,"")</f>
        <v>0.11917866215072</v>
      </c>
      <c r="G411" s="215">
        <f>IFERROR(G380/G405,"")</f>
        <v>0.0794</v>
      </c>
      <c r="H411" s="215">
        <f>IFERROR(H380/H405,"")</f>
        <v>0.0900335008375209</v>
      </c>
      <c r="I411" s="215">
        <f>IFERROR(I380/I405,"")</f>
        <v>0.0804</v>
      </c>
      <c r="J411" s="215">
        <f>IFERROR(J380/J405,"")</f>
        <v>0.0824615384615385</v>
      </c>
      <c r="K411" s="215">
        <f>IFERROR(K380/K405,"")</f>
        <v>0.0912216828478965</v>
      </c>
      <c r="L411" s="215">
        <f>IFERROR(L380/L405,"")</f>
        <v>0.0638930163447251</v>
      </c>
      <c r="M411" s="215">
        <f>IFERROR(M380/M405,"")</f>
        <v>0.102731591448931</v>
      </c>
      <c r="N411" s="215">
        <f>IFERROR(N380/N405,"")</f>
        <v>0.389728682170543</v>
      </c>
      <c r="O411" s="215">
        <f>IFERROR(O380/O405,"")</f>
        <v>0.398138982379727</v>
      </c>
      <c r="P411" s="215">
        <f>IFERROR(P380/P405,"")</f>
        <v>0.0934799685781618</v>
      </c>
      <c r="Q411" s="215">
        <f>IFERROR(Q380/Q405,"")</f>
        <v>0.0650149031296572</v>
      </c>
      <c r="R411" s="215">
        <f>IFERROR(R380/R405,"")</f>
        <v>0.0983761329305136</v>
      </c>
      <c r="S411" s="215">
        <f>IFERROR(S380/S405,"")</f>
        <v>0.127183406113537</v>
      </c>
      <c r="T411" s="215">
        <f>IFERROR(T380/T405,"")</f>
        <v>0.131564088085827</v>
      </c>
      <c r="U411" s="215">
        <f>IFERROR(U380/U405,"")</f>
        <v>0.128821774794929</v>
      </c>
      <c r="V411" s="215">
        <f>IFERROR(V380/V405,"")</f>
        <v>0.106781376518219</v>
      </c>
      <c r="W411" s="215">
        <f>IFERROR(W380/W405,"")</f>
        <v>0.126650451702571</v>
      </c>
      <c r="X411" s="215">
        <f>IFERROR(X380/X405,"")</f>
        <v>0.0741601143674053</v>
      </c>
      <c r="Y411" s="215">
        <f>IFERROR(Y380/Y405,"")</f>
        <v>0.0733086027203674</v>
      </c>
      <c r="Z411" s="215">
        <f>IFERROR(Z380/Z405,"")</f>
        <v>0.101858224363386</v>
      </c>
      <c r="AA411" s="215">
        <f>IFERROR(AA380/AA405,"")</f>
        <v>0.0669317428760769</v>
      </c>
      <c r="AB411" s="215">
        <f>IFERROR(AB380/AB405,"")</f>
        <v>0.0728684732319894</v>
      </c>
      <c r="AC411" s="215">
        <f>IFERROR(AC380/AC405,"")</f>
        <v>0.0720578980490875</v>
      </c>
      <c r="AD411" s="215">
        <f>IFERROR(AD380/AD405,"")</f>
        <v>0.0755401616361537</v>
      </c>
      <c r="AE411" s="215">
        <f>IFERROR(AE380/AE405,"")</f>
        <v>0.106094447989789</v>
      </c>
      <c r="AF411" s="215">
        <f>IFERROR(AF380/AF405,"")</f>
        <v>0.0901180857675575</v>
      </c>
      <c r="AG411" s="215">
        <f>IFERROR(AG380/AG405,"")</f>
        <v>0.0711513583441139</v>
      </c>
      <c r="AH411" s="215">
        <f>IFERROR(AH380/AH405,"")</f>
        <v>0.05712890625</v>
      </c>
      <c r="AI411" s="215">
        <f>IFERROR(AI380/AI405,"")</f>
        <v>0.0560882070949185</v>
      </c>
      <c r="AJ411" s="215">
        <f>IFERROR(AJ380/AJ405,"")</f>
        <v>0.0873647358370465</v>
      </c>
      <c r="AK411" s="215">
        <f>IFERROR(AK380/AK405,"")</f>
        <v>0.0743838028169014</v>
      </c>
      <c r="AL411" s="215">
        <f>IFERROR(AL380/AL405,"")</f>
        <v>0.0806690349319124</v>
      </c>
      <c r="AM411" s="215">
        <f>IFERROR(AM380/AM405,"")</f>
        <v>0.0664265129682997</v>
      </c>
      <c r="AN411" s="215">
        <f>IFERROR(AN380/AN405,"")</f>
        <v>0.0688162412300343</v>
      </c>
      <c r="AO411" s="215">
        <f>IFERROR(AO380/AO405,"")</f>
        <v>0.092525195968645</v>
      </c>
      <c r="AP411" s="215">
        <f>IFERROR(AP380/AP405,"")</f>
        <v>0.0912249099330932</v>
      </c>
      <c r="AQ411" s="215">
        <f>IFERROR(AQ380/AQ405,"")</f>
        <v>0.0700162513542795</v>
      </c>
      <c r="AR411" s="215">
        <f>IFERROR(AR380/AR405,"")</f>
        <v>0.0737814675950723</v>
      </c>
      <c r="AS411" s="215">
        <f>IFERROR(AS380/AS405,"")</f>
        <v>0.0740392367643107</v>
      </c>
      <c r="AT411" s="215">
        <f>IFERROR(AT380/AT405,"")</f>
        <v>0.0979662698412698</v>
      </c>
      <c r="AU411" s="215">
        <f>IFERROR(AU380/AU405,"")</f>
        <v>0.0792972459639126</v>
      </c>
      <c r="AV411" s="215">
        <f>IFERROR(AV380/AV405,"")</f>
        <v>0.0800191662673694</v>
      </c>
      <c r="AW411" s="215">
        <f>IFERROR(AW380/AW405,"")</f>
        <v>0.0833333333333333</v>
      </c>
      <c r="AX411" s="215">
        <f>IFERROR(AX380/AX405,"")</f>
        <v>0.083885741834398</v>
      </c>
      <c r="AY411" s="215">
        <f>IFERROR(AY380/AY405,"")</f>
        <v>0.170468815403935</v>
      </c>
      <c r="AZ411" s="215">
        <f>IFERROR(AZ380/AZ405,"")</f>
        <v>0.0998162378884063</v>
      </c>
      <c r="BA411" s="215">
        <f>IFERROR(BA380/BA405,"")</f>
        <v>0.106955609926599</v>
      </c>
      <c r="BB411" s="215">
        <f>IFERROR(BB380/BB405,"")</f>
        <v>0.1130405175349</v>
      </c>
      <c r="BC411" s="215">
        <f>IFERROR(BC380/BC405,"")</f>
        <v>0.118772918343619</v>
      </c>
      <c r="BD411" s="215">
        <f>IFERROR(BD380/BD405,"")</f>
        <v>0.0967563291139241</v>
      </c>
      <c r="BE411" s="215">
        <f>IFERROR(BE380/BE405,"")</f>
        <v>0.0753789100290229</v>
      </c>
      <c r="BF411" s="215">
        <f>IFERROR(BF380/BF405,"")</f>
        <v>0.0791990920881971</v>
      </c>
      <c r="BG411" s="215">
        <f>IFERROR(BG380/BG405,"")</f>
        <v>0.0819321065989848</v>
      </c>
      <c r="BH411" s="215">
        <f>IFERROR(BH380/BH405,"")</f>
        <v>0.0826598383612067</v>
      </c>
      <c r="BI411" s="215">
        <f>IFERROR(BI380/BI405,"")</f>
        <v>0.0705385276425093</v>
      </c>
      <c r="BJ411" s="215">
        <f>IFERROR(BJ380/BJ405,"")</f>
        <v>0.059876021414483</v>
      </c>
      <c r="BK411" s="215">
        <f>IFERROR(BK380/BK405,"")</f>
        <v>0.0508391608391608</v>
      </c>
      <c r="BL411" s="215">
        <f>IFERROR(BL380/BL405,"")</f>
        <v>0.0604816258351893</v>
      </c>
      <c r="BM411" s="215">
        <f>IFERROR(BM380/BM405,"")</f>
        <v>0.0611627252252252</v>
      </c>
      <c r="BN411" s="215">
        <f>IFERROR(BN380/BN405,"")</f>
        <v>0.0630771522192434</v>
      </c>
      <c r="BO411" s="215">
        <f>IFERROR(BO380/BO405,"")</f>
        <v>0.0599939704552306</v>
      </c>
      <c r="BP411" s="215">
        <f>IFERROR(BP380/BP405,"")</f>
        <v>0.0612837641591635</v>
      </c>
      <c r="BQ411" s="215">
        <f>IFERROR(BQ380/BQ405,"")</f>
        <v>0.0758208525345622</v>
      </c>
      <c r="BR411" s="215">
        <f>IFERROR(BR380/BR405,"")</f>
        <v>0.0774891456324969</v>
      </c>
      <c r="BS411" s="215">
        <f>IFERROR(BS380/BS405,"")</f>
        <v>0.0825262308313156</v>
      </c>
      <c r="BT411" s="215">
        <f>IFERROR(BT380/BT405,"")</f>
        <v>0.0811582381729201</v>
      </c>
      <c r="BU411" s="24" t="n"/>
      <c r="BV411" s="24" t="n"/>
      <c r="BW411" s="264" t="n">
        <v>0.07199999999999999</v>
      </c>
      <c r="BX411" s="264" t="n">
        <v>0.07199999999999999</v>
      </c>
      <c r="BY411" s="264" t="n">
        <v>0.07199999999999999</v>
      </c>
      <c r="BZ411" s="264" t="n">
        <v>0.07199999999999999</v>
      </c>
      <c r="CA411" s="264" t="n">
        <v>0.07199999999999999</v>
      </c>
      <c r="CB411" s="264" t="n">
        <v>0.07199999999999999</v>
      </c>
      <c r="CC411" s="153" t="inlineStr">
        <is>
          <t>Forecast inputs at 31-Dec-2025 levels excluding Mobility (31-Mar-2026 pro forma balances as proxy) and held-for-sale liabilities, on FY2025 pro forma revenue: DSO 87d, unearned revenue 29.4%, payables 4.1%, accrued compensation 7.1%, taxes payable 1.3%, other current liabilities 7.2% of revenue. Year ends are compared with year ends (unearned revenue peaks at year end on annual billing).</t>
        </is>
      </c>
    </row>
    <row r="412" ht="15" customHeight="1" s="251">
      <c r="B412" s="25" t="inlineStr">
        <is>
          <t xml:space="preserve">  Operating NWC (receivables + other current assets − payables − accrued − taxes − unearned − other current liabilities)</t>
        </is>
      </c>
      <c r="C412" s="211">
        <f>IF(ISNUMBER(C364),C364+C365-C375-C376-C378-C379-C380,"")</f>
      </c>
      <c r="D412" s="211">
        <f>IF(ISNUMBER(D364),D364+D365-D375-D376-D378-D379-D380,"")</f>
      </c>
      <c r="E412" s="211">
        <f>IF(ISNUMBER(E364),E364+E365-E375-E376-E378-E379-E380,"")</f>
        <v>-71</v>
      </c>
      <c r="F412" s="211">
        <f>IF(ISNUMBER(F364),F364+F365-F375-F376-F378-F379-F380,"")</f>
        <v>-1412</v>
      </c>
      <c r="G412" s="211">
        <f>IF(ISNUMBER(G364),G364+G365-G375-G376-G378-G379-G380,"")</f>
        <v>-1188</v>
      </c>
      <c r="H412" s="211">
        <f>IF(ISNUMBER(H364),H364+H365-H375-H376-H378-H379-H380,"")</f>
        <v>-1108</v>
      </c>
      <c r="I412" s="211">
        <f>IF(ISNUMBER(I364),I364+I365-I375-I376-I378-I379-I380,"")</f>
        <v>-978</v>
      </c>
      <c r="J412" s="211">
        <f>IF(ISNUMBER(J364),J364+J365-J375-J376-J378-J379-J380,"")</f>
        <v>-978</v>
      </c>
      <c r="K412" s="211">
        <f>IF(ISNUMBER(K364),K364+K365-K375-K376-K378-K379-K380,"")</f>
        <v>-921</v>
      </c>
      <c r="L412" s="211">
        <f>IF(ISNUMBER(L364),L364+L365-L375-L376-L378-L379-L380,"")</f>
        <v>-876</v>
      </c>
      <c r="M412" s="211">
        <f>IF(ISNUMBER(M364),M364+M365-M375-M376-M378-M379-M380,"")</f>
        <v>-1114</v>
      </c>
      <c r="N412" s="211">
        <f>IF(ISNUMBER(N364),N364+N365-N375-N376-N378-N379-N380,"")</f>
        <v>-2498</v>
      </c>
      <c r="O412" s="211">
        <f>IF(ISNUMBER(O364),O364+O365-O375-O376-O378-O379-O380,"")</f>
        <v>-2498</v>
      </c>
      <c r="P412" s="211">
        <f>IF(ISNUMBER(P364),P364+P365-P375-P376-P378-P379-P380,"")</f>
        <v>-702</v>
      </c>
      <c r="Q412" s="211">
        <f>IF(ISNUMBER(Q364),Q364+Q365-Q375-Q376-Q378-Q379-Q380,"")</f>
        <v>-747</v>
      </c>
      <c r="R412" s="211">
        <f>IF(ISNUMBER(R364),R364+R365-R375-R376-R378-R379-R380,"")</f>
        <v>-1110</v>
      </c>
      <c r="S412" s="211">
        <f>IF(ISNUMBER(S364),S364+S365-S375-S376-S378-S379-S380,"")</f>
        <v>-950</v>
      </c>
      <c r="T412" s="211">
        <f>IF(ISNUMBER(T364),T364+T365-T375-T376-T378-T379-T380,"")</f>
        <v>-950</v>
      </c>
      <c r="U412" s="211">
        <f>IF(ISNUMBER(U364),U364+U365-U375-U376-U378-U379-U380,"")</f>
        <v>-662</v>
      </c>
      <c r="V412" s="211">
        <f>IF(ISNUMBER(V364),V364+V365-V375-V376-V378-V379-V380,"")</f>
        <v>-644</v>
      </c>
      <c r="W412" s="211">
        <f>IF(ISNUMBER(W364),W364+W365-W375-W376-W378-W379-W380,"")</f>
        <v>-1346</v>
      </c>
      <c r="X412" s="211">
        <f>IF(ISNUMBER(X364),X364+X365-X375-X376-X378-X379-X380,"")</f>
        <v>-1332</v>
      </c>
      <c r="Y412" s="211">
        <f>IF(ISNUMBER(Y364),Y364+Y365-Y375-Y376-Y378-Y379-Y380,"")</f>
        <v>-1332</v>
      </c>
      <c r="Z412" s="211">
        <f>IF(ISNUMBER(Z364),Z364+Z365-Z375-Z376-Z378-Z379-Z380,"")</f>
        <v>-1217</v>
      </c>
      <c r="AA412" s="211">
        <f>IF(ISNUMBER(AA364),AA364+AA365-AA375-AA376-AA378-AA379-AA380,"")</f>
        <v>-1023</v>
      </c>
      <c r="AB412" s="211">
        <f>IF(ISNUMBER(AB364),AB364+AB365-AB375-AB376-AB378-AB379-AB380,"")</f>
        <v>-1067</v>
      </c>
      <c r="AC412" s="211">
        <f>IF(ISNUMBER(AC364),AC364+AC365-AC375-AC376-AC378-AC379-AC380,"")</f>
        <v>-1270</v>
      </c>
      <c r="AD412" s="211">
        <f>IF(ISNUMBER(AD364),AD364+AD365-AD375-AD376-AD378-AD379-AD380,"")</f>
        <v>-1270</v>
      </c>
      <c r="AE412" s="211">
        <f>IF(ISNUMBER(AE364),AE364+AE365-AE375-AE376-AE378-AE379-AE380,"")</f>
        <v>-1207</v>
      </c>
      <c r="AF412" s="211">
        <f>IF(ISNUMBER(AF364),AF364+AF365-AF375-AF376-AF378-AF379-AF380,"")</f>
        <v>-1191</v>
      </c>
      <c r="AG412" s="211">
        <f>IF(ISNUMBER(AG364),AG364+AG365-AG375-AG376-AG378-AG379-AG380,"")</f>
        <v>-1092</v>
      </c>
      <c r="AH412" s="211">
        <f>IF(ISNUMBER(AH364),AH364+AH365-AH375-AH376-AH378-AH379-AH380,"")</f>
        <v>-983</v>
      </c>
      <c r="AI412" s="211">
        <f>IF(ISNUMBER(AI364),AI364+AI365-AI375-AI376-AI378-AI379-AI380,"")</f>
        <v>-983</v>
      </c>
      <c r="AJ412" s="211">
        <f>IF(ISNUMBER(AJ364),AJ364+AJ365-AJ375-AJ376-AJ378-AJ379-AJ380,"")</f>
        <v>-909</v>
      </c>
      <c r="AK412" s="211">
        <f>IF(ISNUMBER(AK364),AK364+AK365-AK375-AK376-AK378-AK379-AK380,"")</f>
        <v>-925</v>
      </c>
      <c r="AL412" s="211">
        <f>IF(ISNUMBER(AL364),AL364+AL365-AL375-AL376-AL378-AL379-AL380,"")</f>
        <v>-971</v>
      </c>
      <c r="AM412" s="211">
        <f>IF(ISNUMBER(AM364),AM364+AM365-AM375-AM376-AM378-AM379-AM380,"")</f>
        <v>-1267</v>
      </c>
      <c r="AN412" s="211">
        <f>IF(ISNUMBER(AN364),AN364+AN365-AN375-AN376-AN378-AN379-AN380,"")</f>
        <v>-1267</v>
      </c>
      <c r="AO412" s="211">
        <f>IF(ISNUMBER(AO364),AO364+AO365-AO375-AO376-AO378-AO379-AO380,"")</f>
        <v>-1240</v>
      </c>
      <c r="AP412" s="211">
        <f>IF(ISNUMBER(AP364),AP364+AP365-AP375-AP376-AP378-AP379-AP380,"")</f>
        <v>-1265</v>
      </c>
      <c r="AQ412" s="211">
        <f>IF(ISNUMBER(AQ364),AQ364+AQ365-AQ375-AQ376-AQ378-AQ379-AQ380,"")</f>
        <v>-1142</v>
      </c>
      <c r="AR412" s="211">
        <f>IF(ISNUMBER(AR364),AR364+AR365-AR375-AR376-AR378-AR379-AR380,"")</f>
        <v>-1721</v>
      </c>
      <c r="AS412" s="211">
        <f>IF(ISNUMBER(AS364),AS364+AS365-AS375-AS376-AS378-AS379-AS380,"")</f>
        <v>-1721</v>
      </c>
      <c r="AT412" s="211">
        <f>IF(ISNUMBER(AT364),AT364+AT365-AT375-AT376-AT378-AT379-AT380,"")</f>
        <v>-1615</v>
      </c>
      <c r="AU412" s="211">
        <f>IF(ISNUMBER(AU364),AU364+AU365-AU375-AU376-AU378-AU379-AU380,"")</f>
        <v>-1604</v>
      </c>
      <c r="AV412" s="211">
        <f>IF(ISNUMBER(AV364),AV364+AV365-AV375-AV376-AV378-AV379-AV380,"")</f>
        <v>-1655</v>
      </c>
      <c r="AW412" s="211">
        <f>IF(ISNUMBER(AW364),AW364+AW365-AW375-AW376-AW378-AW379-AW380,"")</f>
        <v>-1510</v>
      </c>
      <c r="AX412" s="211">
        <f>IF(ISNUMBER(AX364),AX364+AX365-AX375-AX376-AX378-AX379-AX380,"")</f>
        <v>-1510</v>
      </c>
      <c r="AY412" s="211">
        <f>IF(ISNUMBER(AY364),AY364+AY365-AY375-AY376-AY378-AY379-AY380,"")</f>
        <v>-2207</v>
      </c>
      <c r="AZ412" s="211">
        <f>IF(ISNUMBER(AZ364),AZ364+AZ365-AZ375-AZ376-AZ378-AZ379-AZ380,"")</f>
        <v>-2282</v>
      </c>
      <c r="BA412" s="211">
        <f>IF(ISNUMBER(BA364),BA364+BA365-BA375-BA376-BA378-BA379-BA380,"")</f>
        <v>-2207</v>
      </c>
      <c r="BB412" s="211">
        <f>IF(ISNUMBER(BB364),BB364+BB365-BB375-BB376-BB378-BB379-BB380,"")</f>
        <v>-1393</v>
      </c>
      <c r="BC412" s="211">
        <f>IF(ISNUMBER(BC364),BC364+BC365-BC375-BC376-BC378-BC379-BC380,"")</f>
        <v>-1393</v>
      </c>
      <c r="BD412" s="211">
        <f>IF(ISNUMBER(BD364),BD364+BD365-BD375-BD376-BD378-BD379-BD380,"")</f>
        <v>-1041</v>
      </c>
      <c r="BE412" s="211">
        <f>IF(ISNUMBER(BE364),BE364+BE365-BE375-BE376-BE378-BE379-BE380,"")</f>
        <v>-2047</v>
      </c>
      <c r="BF412" s="211">
        <f>IF(ISNUMBER(BF364),BF364+BF365-BF375-BF376-BF378-BF379-BF380,"")</f>
        <v>-2013</v>
      </c>
      <c r="BG412" s="211">
        <f>IF(ISNUMBER(BG364),BG364+BG365-BG375-BG376-BG378-BG379-BG380,"")</f>
        <v>-2226</v>
      </c>
      <c r="BH412" s="211">
        <f>IF(ISNUMBER(BH364),BH364+BH365-BH375-BH376-BH378-BH379-BH380,"")</f>
        <v>-2226</v>
      </c>
      <c r="BI412" s="211">
        <f>IF(ISNUMBER(BI364),BI364+BI365-BI375-BI376-BI378-BI379-BI380,"")</f>
        <v>-1692</v>
      </c>
      <c r="BJ412" s="211">
        <f>IF(ISNUMBER(BJ364),BJ364+BJ365-BJ375-BJ376-BJ378-BJ379-BJ380,"")</f>
        <v>-1893</v>
      </c>
      <c r="BK412" s="211">
        <f>IF(ISNUMBER(BK364),BK364+BK365-BK375-BK376-BK378-BK379-BK380,"")</f>
        <v>-1996</v>
      </c>
      <c r="BL412" s="211">
        <f>IF(ISNUMBER(BL364),BL364+BL365-BL375-BL376-BL378-BL379-BL380,"")</f>
        <v>-2595</v>
      </c>
      <c r="BM412" s="211">
        <f>IF(ISNUMBER(BM364),BM364+BM365-BM375-BM376-BM378-BM379-BM380,"")</f>
        <v>-2595</v>
      </c>
      <c r="BN412" s="211">
        <f>IF(ISNUMBER(BN364),BN364+BN365-BN375-BN376-BN378-BN379-BN380,"")</f>
        <v>-2046</v>
      </c>
      <c r="BO412" s="211">
        <f>IF(ISNUMBER(BO364),BO364+BO365-BO375-BO376-BO378-BO379-BO380,"")</f>
        <v>-1949</v>
      </c>
      <c r="BP412" s="211">
        <f>IF(ISNUMBER(BP364),BP364+BP365-BP375-BP376-BP378-BP379-BP380,"")</f>
        <v>-1818</v>
      </c>
      <c r="BQ412" s="211">
        <f>IF(ISNUMBER(BQ364),BQ364+BQ365-BQ375-BQ376-BQ378-BQ379-BQ380,"")</f>
        <v>-2368</v>
      </c>
      <c r="BR412" s="211">
        <f>IF(ISNUMBER(BR364),BR364+BR365-BR375-BR376-BR378-BR379-BR380,"")</f>
        <v>-2368</v>
      </c>
      <c r="BS412" s="211">
        <f>IF(ISNUMBER(BS364),BS364+BS365-BS375-BS376-BS378-BS379-BS380,"")</f>
        <v>-2128</v>
      </c>
      <c r="BT412" s="211">
        <f>IF(ISNUMBER(BT364),BT364+BT365-BT375-BT376-BT378-BT379-BT380,"")</f>
        <v>-1985</v>
      </c>
      <c r="BU412" s="35" t="n"/>
      <c r="BV412" s="35" t="n"/>
      <c r="BW412" s="254">
        <f>IF(ISNUMBER(BW364),BW364+BW365-BW375-BW376-BW378-BW379-BW380,"")</f>
        <v>-2695.06630086301</v>
      </c>
      <c r="BX412" s="254">
        <f>IF(ISNUMBER(BX364),BX364+BX365-BX375-BX376-BX378-BX379-BX380,"")</f>
        <v>-2922.33510940687</v>
      </c>
      <c r="BY412" s="254">
        <f>IF(ISNUMBER(BY364),BY364+BY365-BY375-BY376-BY378-BY379-BY380,"")</f>
        <v>-3197.86346002986</v>
      </c>
      <c r="BZ412" s="254">
        <f>IF(ISNUMBER(BZ364),BZ364+BZ365-BZ375-BZ376-BZ378-BZ379-BZ380,"")</f>
        <v>-3484.37666249403</v>
      </c>
      <c r="CA412" s="254">
        <f>IF(ISNUMBER(CA364),CA364+CA365-CA375-CA376-CA378-CA379-CA380,"")</f>
        <v>-3777.05593641958</v>
      </c>
      <c r="CB412" s="254">
        <f>IF(ISNUMBER(CB364),CB364+CB365-CB375-CB376-CB378-CB379-CB380,"")</f>
        <v>-4088.48837380944</v>
      </c>
      <c r="CC412" s="19" t="n"/>
    </row>
    <row r="413" ht="15" customHeight="1" s="251">
      <c r="B413" s="25" t="inlineStr">
        <is>
          <t xml:space="preserve">  NWC % of revenue</t>
        </is>
      </c>
      <c r="C413" s="215">
        <f>IF(ISNUMBER(C412),IFERROR(C412/C405,""),"")</f>
      </c>
      <c r="D413" s="215">
        <f>IF(ISNUMBER(D412),IFERROR(D412/D405,""),"")</f>
      </c>
      <c r="E413" s="215">
        <f>IF(ISNUMBER(E412),IFERROR(E412/E405,""),"")</f>
        <v>-0.0159550561797753</v>
      </c>
      <c r="F413" s="215">
        <f>IF(ISNUMBER(F412),IFERROR(F412/F405,""),"")</f>
        <v>-0.298899237933954</v>
      </c>
      <c r="G413" s="215">
        <f>IF(ISNUMBER(G412),IFERROR(G412/G405,""),"")</f>
        <v>-0.2376</v>
      </c>
      <c r="H413" s="215">
        <f>IF(ISNUMBER(H412),IFERROR(H412/H405,""),"")</f>
        <v>-0.231993299832496</v>
      </c>
      <c r="I413" s="215">
        <f>IF(ISNUMBER(I412),IFERROR(I412/I405,""),"")</f>
        <v>-0.1956</v>
      </c>
      <c r="J413" s="215">
        <f>IF(ISNUMBER(J412),IFERROR(J412/J405,""),"")</f>
        <v>-0.200615384615385</v>
      </c>
      <c r="K413" s="215">
        <f>IF(ISNUMBER(K412),IFERROR(K412/K405,""),"")</f>
        <v>-0.18628640776699</v>
      </c>
      <c r="L413" s="215">
        <f>IF(ISNUMBER(L412),IFERROR(L412/L405,""),"")</f>
        <v>-0.162704309063893</v>
      </c>
      <c r="M413" s="215">
        <f>IF(ISNUMBER(M412),IFERROR(M412/M405,""),"")</f>
        <v>-0.220506730007918</v>
      </c>
      <c r="N413" s="215">
        <f>IF(ISNUMBER(N412),IFERROR(N412/N405,""),"")</f>
        <v>-0.484108527131783</v>
      </c>
      <c r="O413" s="215">
        <f>IF(ISNUMBER(O412),IFERROR(O412/O405,""),"")</f>
        <v>-0.494555533557711</v>
      </c>
      <c r="P413" s="215">
        <f>IF(ISNUMBER(P412),IFERROR(P412/P405,""),"")</f>
        <v>-0.137863315003928</v>
      </c>
      <c r="Q413" s="215">
        <f>IF(ISNUMBER(Q412),IFERROR(Q412/Q405,""),"")</f>
        <v>-0.139157973174367</v>
      </c>
      <c r="R413" s="215">
        <f>IF(ISNUMBER(R412),IFERROR(R412/R405,""),"")</f>
        <v>-0.209592145015106</v>
      </c>
      <c r="S413" s="215">
        <f>IF(ISNUMBER(S412),IFERROR(S412/S405,""),"")</f>
        <v>-0.172852983988355</v>
      </c>
      <c r="T413" s="215">
        <f>IF(ISNUMBER(T412),IFERROR(T412/T405,""),"")</f>
        <v>-0.178806700545831</v>
      </c>
      <c r="U413" s="215">
        <f>IF(ISNUMBER(U412),IFERROR(U412/U405,""),"")</f>
        <v>-0.123415361670395</v>
      </c>
      <c r="V413" s="215">
        <f>IF(ISNUMBER(V412),IFERROR(V412/V405,""),"")</f>
        <v>-0.10863697705803</v>
      </c>
      <c r="W413" s="215">
        <f>IF(ISNUMBER(W412),IFERROR(W412/W405,""),"")</f>
        <v>-0.233842946490619</v>
      </c>
      <c r="X413" s="215">
        <f>IF(ISNUMBER(X412),IFERROR(X412/X405,""),"")</f>
        <v>-0.238027162258756</v>
      </c>
      <c r="Y413" s="215">
        <f>IF(ISNUMBER(Y412),IFERROR(Y412/Y405,""),"")</f>
        <v>-0.235294117647059</v>
      </c>
      <c r="Z413" s="215">
        <f>IF(ISNUMBER(Z412),IFERROR(Z412/Z405,""),"")</f>
        <v>-0.209394356503785</v>
      </c>
      <c r="AA413" s="215">
        <f>IF(ISNUMBER(AA412),IFERROR(AA412/AA405,""),"")</f>
        <v>-0.16948310139165</v>
      </c>
      <c r="AB413" s="215">
        <f>IF(ISNUMBER(AB412),IFERROR(AB412/AB405,""),"")</f>
        <v>-0.176305353602115</v>
      </c>
      <c r="AC413" s="215">
        <f>IF(ISNUMBER(AC412),IFERROR(AC412/AC405,""),"")</f>
        <v>-0.199811202013845</v>
      </c>
      <c r="AD413" s="215">
        <f>IF(ISNUMBER(AD412),IFERROR(AD412/AD405,""),"")</f>
        <v>-0.209467260432129</v>
      </c>
      <c r="AE413" s="215">
        <f>IF(ISNUMBER(AE412),IFERROR(AE412/AE405,""),"")</f>
        <v>-0.19256541161455</v>
      </c>
      <c r="AF413" s="215">
        <f>IF(ISNUMBER(AF412),IFERROR(AF412/AF405,""),"")</f>
        <v>-0.185052827843381</v>
      </c>
      <c r="AG413" s="215">
        <f>IF(ISNUMBER(AG412),IFERROR(AG412/AG405,""),"")</f>
        <v>-0.176584734799483</v>
      </c>
      <c r="AH413" s="215">
        <f>IF(ISNUMBER(AH412),IFERROR(AH412/AH405,""),"")</f>
        <v>-0.159993489583333</v>
      </c>
      <c r="AI413" s="215">
        <f>IF(ISNUMBER(AI412),IFERROR(AI412/AI405,""),"")</f>
        <v>-0.157078938958134</v>
      </c>
      <c r="AJ413" s="215">
        <f>IF(ISNUMBER(AJ412),IFERROR(AJ412/AJ405,""),"")</f>
        <v>-0.144653087205602</v>
      </c>
      <c r="AK413" s="215">
        <f>IF(ISNUMBER(AK412),IFERROR(AK412/AK405,""),"")</f>
        <v>-0.135710093896714</v>
      </c>
      <c r="AL413" s="215">
        <f>IF(ISNUMBER(AL412),IFERROR(AL412/AL405,""),"")</f>
        <v>-0.143724097098875</v>
      </c>
      <c r="AM413" s="215">
        <f>IF(ISNUMBER(AM412),IFERROR(AM412/AM405,""),"")</f>
        <v>-0.182564841498559</v>
      </c>
      <c r="AN413" s="215">
        <f>IF(ISNUMBER(AN412),IFERROR(AN412/AN405,""),"")</f>
        <v>-0.189132706374086</v>
      </c>
      <c r="AO413" s="215">
        <f>IF(ISNUMBER(AO412),IFERROR(AO412/AO405,""),"")</f>
        <v>-0.173572228443449</v>
      </c>
      <c r="AP413" s="215">
        <f>IF(ISNUMBER(AP412),IFERROR(AP412/AP405,""),"")</f>
        <v>-0.162763767370046</v>
      </c>
      <c r="AQ413" s="215">
        <f>IF(ISNUMBER(AQ412),IFERROR(AQ412/AQ405,""),"")</f>
        <v>-0.15465872156013</v>
      </c>
      <c r="AR413" s="215">
        <f>IF(ISNUMBER(AR412),IFERROR(AR412/AR405,""),"")</f>
        <v>-0.230449919657204</v>
      </c>
      <c r="AS413" s="215">
        <f>IF(ISNUMBER(AS412),IFERROR(AS412/AS405,""),"")</f>
        <v>-0.231255038968019</v>
      </c>
      <c r="AT413" s="215">
        <f>IF(ISNUMBER(AT412),IFERROR(AT412/AT405,""),"")</f>
        <v>-0.200272817460317</v>
      </c>
      <c r="AU413" s="215">
        <f>IF(ISNUMBER(AU412),IFERROR(AU412/AU405,""),"")</f>
        <v>-0.190408357075024</v>
      </c>
      <c r="AV413" s="215">
        <f>IF(ISNUMBER(AV412),IFERROR(AV412/AV405,""),"")</f>
        <v>-0.19825107810254</v>
      </c>
      <c r="AW413" s="215">
        <f>IF(ISNUMBER(AW412),IFERROR(AW412/AW405,""),"")</f>
        <v>-0.180795019157088</v>
      </c>
      <c r="AX413" s="215">
        <f>IF(ISNUMBER(AX412),IFERROR(AX412/AX405,""),"")</f>
        <v>-0.181993491623478</v>
      </c>
      <c r="AY413" s="215">
        <f>IF(ISNUMBER(AY412),IFERROR(AY412/AY405,""),"")</f>
        <v>-0.230954374215153</v>
      </c>
      <c r="AZ413" s="215">
        <f>IF(ISNUMBER(AZ412),IFERROR(AZ412/AZ405,""),"")</f>
        <v>-0.190611426662212</v>
      </c>
      <c r="BA413" s="215">
        <f>IF(ISNUMBER(BA412),IFERROR(BA412/BA405,""),"")</f>
        <v>-0.192852149598043</v>
      </c>
      <c r="BB413" s="215">
        <f>IF(ISNUMBER(BB412),IFERROR(BB412/BB405,""),"")</f>
        <v>-0.118573374191352</v>
      </c>
      <c r="BC413" s="215">
        <f>IF(ISNUMBER(BC412),IFERROR(BC412/BC405,""),"")</f>
        <v>-0.124586351846883</v>
      </c>
      <c r="BD413" s="215">
        <f>IF(ISNUMBER(BD412),IFERROR(BD412/BD405,""),"")</f>
        <v>-0.0823575949367089</v>
      </c>
      <c r="BE413" s="215">
        <f>IF(ISNUMBER(BE412),IFERROR(BE412/BE405,""),"")</f>
        <v>-0.165027410512738</v>
      </c>
      <c r="BF413" s="215">
        <f>IF(ISNUMBER(BF412),IFERROR(BF412/BF405,""),"")</f>
        <v>-0.16318093385214</v>
      </c>
      <c r="BG413" s="215">
        <f>IF(ISNUMBER(BG412),IFERROR(BG412/BG405,""),"")</f>
        <v>-0.176554568527919</v>
      </c>
      <c r="BH413" s="215">
        <f>IF(ISNUMBER(BH412),IFERROR(BH412/BH405,""),"")</f>
        <v>-0.17812274945987</v>
      </c>
      <c r="BI413" s="215">
        <f>IF(ISNUMBER(BI412),IFERROR(BI412/BI405,""),"")</f>
        <v>-0.121168719564595</v>
      </c>
      <c r="BJ413" s="215">
        <f>IF(ISNUMBER(BJ412),IFERROR(BJ412/BJ405,""),"")</f>
        <v>-0.13334742180896</v>
      </c>
      <c r="BK413" s="215">
        <f>IF(ISNUMBER(BK412),IFERROR(BK412/BK405,""),"")</f>
        <v>-0.13958041958042</v>
      </c>
      <c r="BL413" s="215">
        <f>IF(ISNUMBER(BL412),IFERROR(BL412/BL405,""),"")</f>
        <v>-0.180609688195991</v>
      </c>
      <c r="BM413" s="215">
        <f>IF(ISNUMBER(BM412),IFERROR(BM412/BM405,""),"")</f>
        <v>-0.182643581081081</v>
      </c>
      <c r="BN413" s="215">
        <f>IF(ISNUMBER(BN412),IFERROR(BN412/BN405,""),"")</f>
        <v>-0.15236818588025</v>
      </c>
      <c r="BO413" s="215">
        <f>IF(ISNUMBER(BO412),IFERROR(BO412/BO405,""),"")</f>
        <v>-0.146894784443775</v>
      </c>
      <c r="BP413" s="215">
        <f>IF(ISNUMBER(BP412),IFERROR(BP412/BP405,""),"")</f>
        <v>-0.132006970665118</v>
      </c>
      <c r="BQ413" s="215">
        <f>IF(ISNUMBER(BQ412),IFERROR(BQ412/BQ405,""),"")</f>
        <v>-0.170506912442396</v>
      </c>
      <c r="BR413" s="215">
        <f>IF(ISNUMBER(BR412),IFERROR(BR412/BR405,""),"")</f>
        <v>-0.174258591507837</v>
      </c>
      <c r="BS413" s="215">
        <f>IF(ISNUMBER(BS412),IFERROR(BS412/BS405,""),"")</f>
        <v>-0.143126177024482</v>
      </c>
      <c r="BT413" s="215">
        <f>IF(ISNUMBER(BT412),IFERROR(BT412/BT405,""),"")</f>
        <v>-0.134923871669386</v>
      </c>
      <c r="BU413" s="24" t="n"/>
      <c r="BV413" s="24" t="n"/>
      <c r="BW413" s="256">
        <f>IF(ISNUMBER(BW412),IFERROR(BW412/BW405,""),"")</f>
        <v>-0.185525773016833</v>
      </c>
      <c r="BX413" s="256">
        <f>IF(ISNUMBER(BX412),IFERROR(BX412/BX405,""),"")</f>
        <v>-0.189439688985199</v>
      </c>
      <c r="BY413" s="256">
        <f>IF(ISNUMBER(BY412),IFERROR(BY412/BY405,""),"")</f>
        <v>-0.193612970579636</v>
      </c>
      <c r="BZ413" s="256">
        <f>IF(ISNUMBER(BZ412),IFERROR(BZ412/BZ405,""),"")</f>
        <v>-0.197405680517815</v>
      </c>
      <c r="CA413" s="256">
        <f>IF(ISNUMBER(CA412),IFERROR(CA412/CA405,""),"")</f>
        <v>-0.200807800220015</v>
      </c>
      <c r="CB413" s="256">
        <f>IF(ISNUMBER(CB412),IFERROR(CB412/CB405,""),"")</f>
        <v>-0.203996002039859</v>
      </c>
      <c r="CC413" s="153" t="n"/>
      <c r="CE413" s="37">
        <f>IFERROR(AVERAGE(BX413,BY413,BZ413,CA413,CB413),"n/m")</f>
        <v>-0.197052428468505</v>
      </c>
      <c r="CF413" s="37">
        <f>IFERROR(AVERAGE(AX413,BC413,BH413,BM413,BR413),"n/m")</f>
        <v>-0.16832095310383</v>
      </c>
      <c r="CG413" s="37">
        <f>IFERROR(AVERAGE(Y413,AD413,AI413,AN413,AS413,AX413,BC413,BH413,BM413,BR413),"n/m")</f>
        <v>-0.186383282789858</v>
      </c>
      <c r="CH413" s="37">
        <f>IFERROR(AVERAGE(C413,D413,E413,J413,O413,T413,Y413,AD413,AI413,AN413,AS413,AX413,BC413,BH413,BM413,BR413),"n/m")</f>
        <v>-0.196697535914091</v>
      </c>
    </row>
    <row r="414" ht="15" customHeight="1" s="251">
      <c r="B414" s="25" t="inlineStr">
        <is>
          <t xml:space="preserve">  ΔNWC (y/y)</t>
        </is>
      </c>
      <c r="C414" s="34" t="n"/>
      <c r="D414" s="211">
        <f>IF(AND(ISNUMBER(D412),ISNUMBER(C412)),D412-C412,"")</f>
      </c>
      <c r="E414" s="211">
        <f>IF(AND(ISNUMBER(E412),ISNUMBER(D412)),E412-D412,"")</f>
      </c>
      <c r="F414" s="34" t="n"/>
      <c r="G414" s="34" t="n"/>
      <c r="H414" s="34" t="n"/>
      <c r="I414" s="34" t="n"/>
      <c r="J414" s="211">
        <f>IF(AND(ISNUMBER(J412),ISNUMBER(E412)),J412-E412,"")</f>
        <v>-907</v>
      </c>
      <c r="K414" s="211">
        <f>IF(AND(ISNUMBER(K412),ISNUMBER(F412)),K412-F412,"")</f>
        <v>491</v>
      </c>
      <c r="L414" s="211">
        <f>IF(AND(ISNUMBER(L412),ISNUMBER(G412)),L412-G412,"")</f>
        <v>312</v>
      </c>
      <c r="M414" s="211">
        <f>IF(AND(ISNUMBER(M412),ISNUMBER(H412)),M412-H412,"")</f>
        <v>-6</v>
      </c>
      <c r="N414" s="211">
        <f>IF(AND(ISNUMBER(N412),ISNUMBER(I412)),N412-I412,"")</f>
        <v>-1520</v>
      </c>
      <c r="O414" s="211">
        <f>IF(AND(ISNUMBER(O412),ISNUMBER(J412)),O412-J412,"")</f>
        <v>-1520</v>
      </c>
      <c r="P414" s="211">
        <f>IF(AND(ISNUMBER(P412),ISNUMBER(K412)),P412-K412,"")</f>
        <v>219</v>
      </c>
      <c r="Q414" s="211">
        <f>IF(AND(ISNUMBER(Q412),ISNUMBER(L412)),Q412-L412,"")</f>
        <v>129</v>
      </c>
      <c r="R414" s="211">
        <f>IF(AND(ISNUMBER(R412),ISNUMBER(M412)),R412-M412,"")</f>
        <v>4</v>
      </c>
      <c r="S414" s="211">
        <f>IF(AND(ISNUMBER(S412),ISNUMBER(N412)),S412-N412,"")</f>
        <v>1548</v>
      </c>
      <c r="T414" s="211">
        <f>IF(AND(ISNUMBER(T412),ISNUMBER(O412)),T412-O412,"")</f>
        <v>1548</v>
      </c>
      <c r="U414" s="211">
        <f>IF(AND(ISNUMBER(U412),ISNUMBER(P412)),U412-P412,"")</f>
        <v>40</v>
      </c>
      <c r="V414" s="211">
        <f>IF(AND(ISNUMBER(V412),ISNUMBER(Q412)),V412-Q412,"")</f>
        <v>103</v>
      </c>
      <c r="W414" s="211">
        <f>IF(AND(ISNUMBER(W412),ISNUMBER(R412)),W412-R412,"")</f>
        <v>-236</v>
      </c>
      <c r="X414" s="211">
        <f>IF(AND(ISNUMBER(X412),ISNUMBER(S412)),X412-S412,"")</f>
        <v>-382</v>
      </c>
      <c r="Y414" s="211">
        <f>IF(AND(ISNUMBER(Y412),ISNUMBER(T412)),Y412-T412,"")</f>
        <v>-382</v>
      </c>
      <c r="Z414" s="211">
        <f>IF(AND(ISNUMBER(Z412),ISNUMBER(U412)),Z412-U412,"")</f>
        <v>-555</v>
      </c>
      <c r="AA414" s="211">
        <f>IF(AND(ISNUMBER(AA412),ISNUMBER(V412)),AA412-V412,"")</f>
        <v>-379</v>
      </c>
      <c r="AB414" s="211">
        <f>IF(AND(ISNUMBER(AB412),ISNUMBER(W412)),AB412-W412,"")</f>
        <v>279</v>
      </c>
      <c r="AC414" s="211">
        <f>IF(AND(ISNUMBER(AC412),ISNUMBER(X412)),AC412-X412,"")</f>
        <v>62</v>
      </c>
      <c r="AD414" s="211">
        <f>IF(AND(ISNUMBER(AD412),ISNUMBER(Y412)),AD412-Y412,"")</f>
        <v>62</v>
      </c>
      <c r="AE414" s="211">
        <f>IF(AND(ISNUMBER(AE412),ISNUMBER(Z412)),AE412-Z412,"")</f>
        <v>10</v>
      </c>
      <c r="AF414" s="211">
        <f>IF(AND(ISNUMBER(AF412),ISNUMBER(AA412)),AF412-AA412,"")</f>
        <v>-168</v>
      </c>
      <c r="AG414" s="211">
        <f>IF(AND(ISNUMBER(AG412),ISNUMBER(AB412)),AG412-AB412,"")</f>
        <v>-25</v>
      </c>
      <c r="AH414" s="211">
        <f>IF(AND(ISNUMBER(AH412),ISNUMBER(AC412)),AH412-AC412,"")</f>
        <v>287</v>
      </c>
      <c r="AI414" s="211">
        <f>IF(AND(ISNUMBER(AI412),ISNUMBER(AD412)),AI412-AD412,"")</f>
        <v>287</v>
      </c>
      <c r="AJ414" s="211">
        <f>IF(AND(ISNUMBER(AJ412),ISNUMBER(AE412)),AJ412-AE412,"")</f>
        <v>298</v>
      </c>
      <c r="AK414" s="211">
        <f>IF(AND(ISNUMBER(AK412),ISNUMBER(AF412)),AK412-AF412,"")</f>
        <v>266</v>
      </c>
      <c r="AL414" s="211">
        <f>IF(AND(ISNUMBER(AL412),ISNUMBER(AG412)),AL412-AG412,"")</f>
        <v>121</v>
      </c>
      <c r="AM414" s="211">
        <f>IF(AND(ISNUMBER(AM412),ISNUMBER(AH412)),AM412-AH412,"")</f>
        <v>-284</v>
      </c>
      <c r="AN414" s="211">
        <f>IF(AND(ISNUMBER(AN412),ISNUMBER(AI412)),AN412-AI412,"")</f>
        <v>-284</v>
      </c>
      <c r="AO414" s="211">
        <f>IF(AND(ISNUMBER(AO412),ISNUMBER(AJ412)),AO412-AJ412,"")</f>
        <v>-331</v>
      </c>
      <c r="AP414" s="211">
        <f>IF(AND(ISNUMBER(AP412),ISNUMBER(AK412)),AP412-AK412,"")</f>
        <v>-340</v>
      </c>
      <c r="AQ414" s="211">
        <f>IF(AND(ISNUMBER(AQ412),ISNUMBER(AL412)),AQ412-AL412,"")</f>
        <v>-171</v>
      </c>
      <c r="AR414" s="211">
        <f>IF(AND(ISNUMBER(AR412),ISNUMBER(AM412)),AR412-AM412,"")</f>
        <v>-454</v>
      </c>
      <c r="AS414" s="211">
        <f>IF(AND(ISNUMBER(AS412),ISNUMBER(AN412)),AS412-AN412,"")</f>
        <v>-454</v>
      </c>
      <c r="AT414" s="211">
        <f>IF(AND(ISNUMBER(AT412),ISNUMBER(AO412)),AT412-AO412,"")</f>
        <v>-375</v>
      </c>
      <c r="AU414" s="211">
        <f>IF(AND(ISNUMBER(AU412),ISNUMBER(AP412)),AU412-AP412,"")</f>
        <v>-339</v>
      </c>
      <c r="AV414" s="211">
        <f>IF(AND(ISNUMBER(AV412),ISNUMBER(AQ412)),AV412-AQ412,"")</f>
        <v>-513</v>
      </c>
      <c r="AW414" s="211">
        <f>IF(AND(ISNUMBER(AW412),ISNUMBER(AR412)),AW412-AR412,"")</f>
        <v>211</v>
      </c>
      <c r="AX414" s="211">
        <f>IF(AND(ISNUMBER(AX412),ISNUMBER(AS412)),AX412-AS412,"")</f>
        <v>211</v>
      </c>
      <c r="AY414" s="211">
        <f>IF(AND(ISNUMBER(AY412),ISNUMBER(AT412)),AY412-AT412,"")</f>
        <v>-592</v>
      </c>
      <c r="AZ414" s="211">
        <f>IF(AND(ISNUMBER(AZ412),ISNUMBER(AU412)),AZ412-AU412,"")</f>
        <v>-678</v>
      </c>
      <c r="BA414" s="211">
        <f>IF(AND(ISNUMBER(BA412),ISNUMBER(AV412)),BA412-AV412,"")</f>
        <v>-552</v>
      </c>
      <c r="BB414" s="211">
        <f>IF(AND(ISNUMBER(BB412),ISNUMBER(AW412)),BB412-AW412,"")</f>
        <v>117</v>
      </c>
      <c r="BC414" s="211">
        <f>IF(AND(ISNUMBER(BC412),ISNUMBER(AX412)),BC412-AX412,"")</f>
        <v>117</v>
      </c>
      <c r="BD414" s="211">
        <f>IF(AND(ISNUMBER(BD412),ISNUMBER(AY412)),BD412-AY412,"")</f>
        <v>1166</v>
      </c>
      <c r="BE414" s="211">
        <f>IF(AND(ISNUMBER(BE412),ISNUMBER(AZ412)),BE412-AZ412,"")</f>
        <v>235</v>
      </c>
      <c r="BF414" s="211">
        <f>IF(AND(ISNUMBER(BF412),ISNUMBER(BA412)),BF412-BA412,"")</f>
        <v>194</v>
      </c>
      <c r="BG414" s="211">
        <f>IF(AND(ISNUMBER(BG412),ISNUMBER(BB412)),BG412-BB412,"")</f>
        <v>-833</v>
      </c>
      <c r="BH414" s="211">
        <f>IF(AND(ISNUMBER(BH412),ISNUMBER(BC412)),BH412-BC412,"")</f>
        <v>-833</v>
      </c>
      <c r="BI414" s="211">
        <f>IF(AND(ISNUMBER(BI412),ISNUMBER(BD412)),BI412-BD412,"")</f>
        <v>-651</v>
      </c>
      <c r="BJ414" s="211">
        <f>IF(AND(ISNUMBER(BJ412),ISNUMBER(BE412)),BJ412-BE412,"")</f>
        <v>154</v>
      </c>
      <c r="BK414" s="211">
        <f>IF(AND(ISNUMBER(BK412),ISNUMBER(BF412)),BK412-BF412,"")</f>
        <v>17</v>
      </c>
      <c r="BL414" s="211">
        <f>IF(AND(ISNUMBER(BL412),ISNUMBER(BG412)),BL412-BG412,"")</f>
        <v>-369</v>
      </c>
      <c r="BM414" s="211">
        <f>IF(AND(ISNUMBER(BM412),ISNUMBER(BH412)),BM412-BH412,"")</f>
        <v>-369</v>
      </c>
      <c r="BN414" s="211">
        <f>IF(AND(ISNUMBER(BN412),ISNUMBER(BI412)),BN412-BI412,"")</f>
        <v>-354</v>
      </c>
      <c r="BO414" s="211">
        <f>IF(AND(ISNUMBER(BO412),ISNUMBER(BJ412)),BO412-BJ412,"")</f>
        <v>-56</v>
      </c>
      <c r="BP414" s="211">
        <f>IF(AND(ISNUMBER(BP412),ISNUMBER(BK412)),BP412-BK412,"")</f>
        <v>178</v>
      </c>
      <c r="BQ414" s="211">
        <f>IF(AND(ISNUMBER(BQ412),ISNUMBER(BL412)),BQ412-BL412,"")</f>
        <v>227</v>
      </c>
      <c r="BR414" s="211">
        <f>IF(AND(ISNUMBER(BR412),ISNUMBER(BM412)),BR412-BM412,"")</f>
        <v>227</v>
      </c>
      <c r="BS414" s="211">
        <f>IF(AND(ISNUMBER(BS412),ISNUMBER(BN412)),BS412-BN412,"")</f>
        <v>-82</v>
      </c>
      <c r="BT414" s="211">
        <f>IF(AND(ISNUMBER(BT412),ISNUMBER(BO412)),BT412-BO412,"")</f>
        <v>-36</v>
      </c>
      <c r="BU414" s="35" t="n"/>
      <c r="BV414" s="35" t="n"/>
      <c r="BW414" s="254">
        <f>IF(AND(ISNUMBER(BW412),ISNUMBER(BR412)),BW412-BR412,"")</f>
        <v>-327.066300863013</v>
      </c>
      <c r="BX414" s="254">
        <f>IF(AND(ISNUMBER(BX412),ISNUMBER(BW412)),BX412-BW412,"")</f>
        <v>-227.268808543855</v>
      </c>
      <c r="BY414" s="254">
        <f>IF(AND(ISNUMBER(BY412),ISNUMBER(BX412)),BY412-BX412,"")</f>
        <v>-275.52835062299</v>
      </c>
      <c r="BZ414" s="254">
        <f>IF(AND(ISNUMBER(BZ412),ISNUMBER(BY412)),BZ412-BY412,"")</f>
        <v>-286.513202464174</v>
      </c>
      <c r="CA414" s="254">
        <f>IF(AND(ISNUMBER(CA412),ISNUMBER(BZ412)),CA412-BZ412,"")</f>
        <v>-292.679273925546</v>
      </c>
      <c r="CB414" s="254">
        <f>IF(AND(ISNUMBER(CB412),ISNUMBER(CA412)),CB412-CA412,"")</f>
        <v>-311.432437389864</v>
      </c>
      <c r="CC414" s="19" t="n"/>
    </row>
    <row r="415" ht="15" customHeight="1" s="251">
      <c r="CK415" s="11" t="n"/>
      <c r="CL415" s="12" t="n"/>
      <c r="CM415" s="12" t="n"/>
      <c r="CN415" s="12" t="n"/>
      <c r="CO415" s="13" t="n"/>
    </row>
    <row r="416" ht="15" customHeight="1" s="251">
      <c r="B416" s="10" t="inlineStr">
        <is>
          <t>BALANCE SHEET FORECAST SCHEDULES</t>
        </is>
      </c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  <c r="AD416" s="10" t="n"/>
      <c r="AE416" s="10" t="n"/>
      <c r="AF416" s="10" t="n"/>
      <c r="AG416" s="10" t="n"/>
      <c r="AH416" s="10" t="n"/>
      <c r="AI416" s="10" t="n"/>
      <c r="AJ416" s="10" t="n"/>
      <c r="AK416" s="10" t="n"/>
      <c r="AL416" s="10" t="n"/>
      <c r="AM416" s="10" t="n"/>
      <c r="AN416" s="10" t="n"/>
      <c r="AO416" s="10" t="n"/>
      <c r="AP416" s="10" t="n"/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0" t="n"/>
      <c r="BC416" s="10" t="n"/>
      <c r="BD416" s="10" t="n"/>
      <c r="BE416" s="10" t="n"/>
      <c r="BF416" s="10" t="n"/>
      <c r="BG416" s="10" t="n"/>
      <c r="BH416" s="10" t="n"/>
      <c r="BI416" s="10" t="n"/>
      <c r="BJ416" s="10" t="n"/>
      <c r="BK416" s="10" t="n"/>
      <c r="BL416" s="10" t="n"/>
      <c r="BM416" s="10" t="n"/>
      <c r="BN416" s="10" t="n"/>
      <c r="BO416" s="10" t="n"/>
      <c r="BP416" s="10" t="n"/>
      <c r="BQ416" s="10" t="n"/>
      <c r="BR416" s="10" t="n"/>
      <c r="BS416" s="10" t="n"/>
      <c r="BT416" s="10" t="n"/>
      <c r="BU416" s="10" t="n"/>
      <c r="BV416" s="10" t="n"/>
      <c r="BW416" s="10" t="n"/>
      <c r="BX416" s="10" t="n"/>
      <c r="BY416" s="10" t="n"/>
      <c r="BZ416" s="10" t="n"/>
      <c r="CA416" s="10" t="n"/>
      <c r="CB416" s="10" t="n"/>
      <c r="CC416" s="10" t="inlineStr">
        <is>
          <t>BS FORECAST SCHEDULES — explicit driver assumptions</t>
        </is>
      </c>
    </row>
    <row r="417" ht="15" customHeight="1" s="251">
      <c r="B417" s="25" t="inlineStr">
        <is>
          <t>Acquisitions — consideration &amp; purchase-price allocation (closing-period column)</t>
        </is>
      </c>
      <c r="CC417" s="153" t="n"/>
    </row>
    <row r="418" ht="15" customHeight="1" s="251">
      <c r="B418" s="69" t="inlineStr">
        <is>
          <t xml:space="preserve">  Consideration (fair value, incl. shares issued)</t>
        </is>
      </c>
      <c r="C418" s="44" t="n"/>
      <c r="D418" s="44" t="n"/>
      <c r="E418" s="44" t="n"/>
      <c r="F418" s="44" t="n"/>
      <c r="G418" s="44" t="n"/>
      <c r="H418" s="44" t="n"/>
      <c r="I418" s="44" t="n"/>
      <c r="J418" s="44" t="n"/>
      <c r="K418" s="44" t="n"/>
      <c r="L418" s="44" t="n"/>
      <c r="M418" s="44" t="n"/>
      <c r="N418" s="44" t="n"/>
      <c r="O418" s="44" t="n"/>
      <c r="P418" s="44" t="n"/>
      <c r="Q418" s="44" t="n"/>
      <c r="R418" s="44" t="n"/>
      <c r="S418" s="44" t="n"/>
      <c r="T418" s="44" t="n"/>
      <c r="U418" s="44" t="n"/>
      <c r="V418" s="44" t="n"/>
      <c r="W418" s="44" t="n"/>
      <c r="X418" s="44" t="n"/>
      <c r="Y418" s="44" t="n"/>
      <c r="Z418" s="44" t="n"/>
      <c r="AA418" s="44" t="n"/>
      <c r="AB418" s="44" t="n"/>
      <c r="AC418" s="44" t="n"/>
      <c r="AD418" s="44" t="n"/>
      <c r="AE418" s="44" t="n"/>
      <c r="AF418" s="44" t="n"/>
      <c r="AG418" s="44" t="n"/>
      <c r="AH418" s="44" t="n"/>
      <c r="AI418" s="44" t="n"/>
      <c r="AJ418" s="44" t="n"/>
      <c r="AK418" s="44" t="n"/>
      <c r="AL418" s="44" t="n"/>
      <c r="AM418" s="44" t="n"/>
      <c r="AN418" s="44" t="n"/>
      <c r="AO418" s="44" t="n"/>
      <c r="AP418" s="44" t="n"/>
      <c r="AQ418" s="44" t="n"/>
      <c r="AR418" s="44" t="n"/>
      <c r="AS418" s="44" t="n"/>
      <c r="AT418" s="44" t="n"/>
      <c r="AU418" s="44" t="n"/>
      <c r="AV418" s="44" t="n"/>
      <c r="AW418" s="44" t="n"/>
      <c r="AX418" s="44" t="n"/>
      <c r="AY418" s="253" t="n">
        <v>43536</v>
      </c>
      <c r="AZ418" s="44" t="n"/>
      <c r="BA418" s="44" t="n"/>
      <c r="BB418" s="44" t="n"/>
      <c r="BC418" s="44" t="n"/>
      <c r="BD418" s="44" t="n"/>
      <c r="BE418" s="44" t="n"/>
      <c r="BF418" s="44" t="n"/>
      <c r="BG418" s="44" t="n"/>
      <c r="BH418" s="44" t="n"/>
      <c r="BI418" s="44" t="n"/>
      <c r="BJ418" s="44" t="n"/>
      <c r="BK418" s="44" t="n"/>
      <c r="BL418" s="44" t="n"/>
      <c r="BM418" s="44" t="n"/>
      <c r="BN418" s="44" t="n"/>
      <c r="BO418" s="44" t="n"/>
      <c r="BP418" s="44" t="n"/>
      <c r="BQ418" s="44" t="n"/>
      <c r="BR418" s="44" t="n"/>
      <c r="BS418" s="44" t="n"/>
      <c r="BT418" s="44" t="n"/>
      <c r="BU418" s="153" t="n"/>
      <c r="BV418" s="153" t="n"/>
      <c r="BW418" s="35" t="n"/>
      <c r="BX418" s="35" t="n"/>
      <c r="BY418" s="35" t="n"/>
      <c r="BZ418" s="35" t="n"/>
      <c r="CA418" s="35" t="n"/>
      <c r="CB418" s="35" t="n"/>
      <c r="CC418" s="19" t="n"/>
    </row>
    <row r="419" ht="15" customHeight="1" s="251">
      <c r="B419" s="69" t="inlineStr">
        <is>
          <t xml:space="preserve">  Current assets acquired (incl. cash)</t>
        </is>
      </c>
      <c r="C419" s="44" t="n"/>
      <c r="D419" s="44" t="n"/>
      <c r="E419" s="44" t="n"/>
      <c r="F419" s="44" t="n"/>
      <c r="G419" s="44" t="n"/>
      <c r="H419" s="44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  <c r="R419" s="44" t="n"/>
      <c r="S419" s="44" t="n"/>
      <c r="T419" s="44" t="n"/>
      <c r="U419" s="44" t="n"/>
      <c r="V419" s="44" t="n"/>
      <c r="W419" s="44" t="n"/>
      <c r="X419" s="44" t="n"/>
      <c r="Y419" s="44" t="n"/>
      <c r="Z419" s="44" t="n"/>
      <c r="AA419" s="44" t="n"/>
      <c r="AB419" s="44" t="n"/>
      <c r="AC419" s="44" t="n"/>
      <c r="AD419" s="44" t="n"/>
      <c r="AE419" s="44" t="n"/>
      <c r="AF419" s="44" t="n"/>
      <c r="AG419" s="44" t="n"/>
      <c r="AH419" s="44" t="n"/>
      <c r="AI419" s="44" t="n"/>
      <c r="AJ419" s="44" t="n"/>
      <c r="AK419" s="44" t="n"/>
      <c r="AL419" s="44" t="n"/>
      <c r="AM419" s="44" t="n"/>
      <c r="AN419" s="44" t="n"/>
      <c r="AO419" s="44" t="n"/>
      <c r="AP419" s="44" t="n"/>
      <c r="AQ419" s="44" t="n"/>
      <c r="AR419" s="44" t="n"/>
      <c r="AS419" s="44" t="n"/>
      <c r="AT419" s="44" t="n"/>
      <c r="AU419" s="44" t="n"/>
      <c r="AV419" s="44" t="n"/>
      <c r="AW419" s="44" t="n"/>
      <c r="AX419" s="44" t="n"/>
      <c r="AY419" s="253" t="n">
        <v>3021</v>
      </c>
      <c r="AZ419" s="44" t="n"/>
      <c r="BA419" s="44" t="n"/>
      <c r="BB419" s="44" t="n"/>
      <c r="BC419" s="44" t="n"/>
      <c r="BD419" s="44" t="n"/>
      <c r="BE419" s="44" t="n"/>
      <c r="BF419" s="44" t="n"/>
      <c r="BG419" s="44" t="n"/>
      <c r="BH419" s="44" t="n"/>
      <c r="BI419" s="44" t="n"/>
      <c r="BJ419" s="44" t="n"/>
      <c r="BK419" s="44" t="n"/>
      <c r="BL419" s="44" t="n"/>
      <c r="BM419" s="44" t="n"/>
      <c r="BN419" s="44" t="n"/>
      <c r="BO419" s="44" t="n"/>
      <c r="BP419" s="44" t="n"/>
      <c r="BQ419" s="44" t="n"/>
      <c r="BR419" s="44" t="n"/>
      <c r="BS419" s="44" t="n"/>
      <c r="BT419" s="44" t="n"/>
      <c r="BU419" s="153" t="n"/>
      <c r="BV419" s="153" t="n"/>
      <c r="BW419" s="35" t="n"/>
      <c r="BX419" s="35" t="n"/>
      <c r="BY419" s="35" t="n"/>
      <c r="BZ419" s="35" t="n"/>
      <c r="CA419" s="35" t="n"/>
      <c r="CB419" s="35" t="n"/>
      <c r="CC419" s="19" t="n"/>
    </row>
    <row r="420" ht="15" customHeight="1" s="251">
      <c r="B420" s="69" t="inlineStr">
        <is>
          <t xml:space="preserve">  Property &amp; equipment and other non-current assets</t>
        </is>
      </c>
      <c r="C420" s="44" t="n"/>
      <c r="D420" s="44" t="n"/>
      <c r="E420" s="44" t="n"/>
      <c r="F420" s="44" t="n"/>
      <c r="G420" s="44" t="n"/>
      <c r="H420" s="44" t="n"/>
      <c r="I420" s="44" t="n"/>
      <c r="J420" s="44" t="n"/>
      <c r="K420" s="44" t="n"/>
      <c r="L420" s="44" t="n"/>
      <c r="M420" s="44" t="n"/>
      <c r="N420" s="44" t="n"/>
      <c r="O420" s="44" t="n"/>
      <c r="P420" s="44" t="n"/>
      <c r="Q420" s="44" t="n"/>
      <c r="R420" s="44" t="n"/>
      <c r="S420" s="44" t="n"/>
      <c r="T420" s="44" t="n"/>
      <c r="U420" s="44" t="n"/>
      <c r="V420" s="44" t="n"/>
      <c r="W420" s="44" t="n"/>
      <c r="X420" s="44" t="n"/>
      <c r="Y420" s="44" t="n"/>
      <c r="Z420" s="44" t="n"/>
      <c r="AA420" s="44" t="n"/>
      <c r="AB420" s="44" t="n"/>
      <c r="AC420" s="44" t="n"/>
      <c r="AD420" s="44" t="n"/>
      <c r="AE420" s="44" t="n"/>
      <c r="AF420" s="44" t="n"/>
      <c r="AG420" s="44" t="n"/>
      <c r="AH420" s="44" t="n"/>
      <c r="AI420" s="44" t="n"/>
      <c r="AJ420" s="44" t="n"/>
      <c r="AK420" s="44" t="n"/>
      <c r="AL420" s="44" t="n"/>
      <c r="AM420" s="44" t="n"/>
      <c r="AN420" s="44" t="n"/>
      <c r="AO420" s="44" t="n"/>
      <c r="AP420" s="44" t="n"/>
      <c r="AQ420" s="44" t="n"/>
      <c r="AR420" s="44" t="n"/>
      <c r="AS420" s="44" t="n"/>
      <c r="AT420" s="44" t="n"/>
      <c r="AU420" s="44" t="n"/>
      <c r="AV420" s="44" t="n"/>
      <c r="AW420" s="44" t="n"/>
      <c r="AX420" s="44" t="n"/>
      <c r="AY420" s="253" t="n">
        <v>2056</v>
      </c>
      <c r="AZ420" s="44" t="n"/>
      <c r="BA420" s="44" t="n"/>
      <c r="BB420" s="44" t="n"/>
      <c r="BC420" s="44" t="n"/>
      <c r="BD420" s="44" t="n"/>
      <c r="BE420" s="44" t="n"/>
      <c r="BF420" s="44" t="n"/>
      <c r="BG420" s="44" t="n"/>
      <c r="BH420" s="44" t="n"/>
      <c r="BI420" s="44" t="n"/>
      <c r="BJ420" s="44" t="n"/>
      <c r="BK420" s="44" t="n"/>
      <c r="BL420" s="44" t="n"/>
      <c r="BM420" s="44" t="n"/>
      <c r="BN420" s="44" t="n"/>
      <c r="BO420" s="44" t="n"/>
      <c r="BP420" s="44" t="n"/>
      <c r="BQ420" s="44" t="n"/>
      <c r="BR420" s="44" t="n"/>
      <c r="BS420" s="44" t="n"/>
      <c r="BT420" s="44" t="n"/>
      <c r="BU420" s="153" t="n"/>
      <c r="BV420" s="153" t="n"/>
      <c r="BW420" s="35" t="n"/>
      <c r="BX420" s="35" t="n"/>
      <c r="BY420" s="35" t="n"/>
      <c r="BZ420" s="35" t="n"/>
      <c r="CA420" s="35" t="n"/>
      <c r="CB420" s="35" t="n"/>
      <c r="CC420" s="19" t="n"/>
    </row>
    <row r="421" ht="15" customHeight="1" s="251">
      <c r="B421" s="69" t="inlineStr">
        <is>
          <t xml:space="preserve">  Intangible assets</t>
        </is>
      </c>
      <c r="C421" s="44" t="n"/>
      <c r="D421" s="44" t="n"/>
      <c r="E421" s="44" t="n"/>
      <c r="F421" s="44" t="n"/>
      <c r="G421" s="44" t="n"/>
      <c r="H421" s="44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  <c r="R421" s="44" t="n"/>
      <c r="S421" s="44" t="n"/>
      <c r="T421" s="44" t="n"/>
      <c r="U421" s="44" t="n"/>
      <c r="V421" s="44" t="n"/>
      <c r="W421" s="44" t="n"/>
      <c r="X421" s="44" t="n"/>
      <c r="Y421" s="44" t="n"/>
      <c r="Z421" s="44" t="n"/>
      <c r="AA421" s="44" t="n"/>
      <c r="AB421" s="44" t="n"/>
      <c r="AC421" s="44" t="n"/>
      <c r="AD421" s="44" t="n"/>
      <c r="AE421" s="44" t="n"/>
      <c r="AF421" s="44" t="n"/>
      <c r="AG421" s="44" t="n"/>
      <c r="AH421" s="44" t="n"/>
      <c r="AI421" s="44" t="n"/>
      <c r="AJ421" s="44" t="n"/>
      <c r="AK421" s="44" t="n"/>
      <c r="AL421" s="44" t="n"/>
      <c r="AM421" s="44" t="n"/>
      <c r="AN421" s="44" t="n"/>
      <c r="AO421" s="44" t="n"/>
      <c r="AP421" s="44" t="n"/>
      <c r="AQ421" s="44" t="n"/>
      <c r="AR421" s="44" t="n"/>
      <c r="AS421" s="44" t="n"/>
      <c r="AT421" s="44" t="n"/>
      <c r="AU421" s="44" t="n"/>
      <c r="AV421" s="44" t="n"/>
      <c r="AW421" s="44" t="n"/>
      <c r="AX421" s="44" t="n"/>
      <c r="AY421" s="253" t="n">
        <v>18620</v>
      </c>
      <c r="AZ421" s="44" t="n"/>
      <c r="BA421" s="44" t="n"/>
      <c r="BB421" s="44" t="n"/>
      <c r="BC421" s="44" t="n"/>
      <c r="BD421" s="44" t="n"/>
      <c r="BE421" s="44" t="n"/>
      <c r="BF421" s="44" t="n"/>
      <c r="BG421" s="44" t="n"/>
      <c r="BH421" s="44" t="n"/>
      <c r="BI421" s="44" t="n"/>
      <c r="BJ421" s="44" t="n"/>
      <c r="BK421" s="44" t="n"/>
      <c r="BL421" s="44" t="n"/>
      <c r="BM421" s="44" t="n"/>
      <c r="BN421" s="44" t="n"/>
      <c r="BO421" s="44" t="n"/>
      <c r="BP421" s="44" t="n"/>
      <c r="BQ421" s="44" t="n"/>
      <c r="BR421" s="44" t="n"/>
      <c r="BS421" s="44" t="n"/>
      <c r="BT421" s="44" t="n"/>
      <c r="BU421" s="153" t="n"/>
      <c r="BV421" s="153" t="n"/>
      <c r="BW421" s="35" t="n"/>
      <c r="BX421" s="35" t="n"/>
      <c r="BY421" s="35" t="n"/>
      <c r="BZ421" s="35" t="n"/>
      <c r="CA421" s="35" t="n"/>
      <c r="CB421" s="35" t="n"/>
      <c r="CC421" s="19" t="n"/>
    </row>
    <row r="422" ht="15" customHeight="1" s="251">
      <c r="B422" s="69" t="inlineStr">
        <is>
          <t xml:space="preserve">  Goodwill</t>
        </is>
      </c>
      <c r="C422" s="44" t="n"/>
      <c r="D422" s="44" t="n"/>
      <c r="E422" s="44" t="n"/>
      <c r="F422" s="44" t="n"/>
      <c r="G422" s="44" t="n"/>
      <c r="H422" s="44" t="n"/>
      <c r="I422" s="44" t="n"/>
      <c r="J422" s="44" t="n"/>
      <c r="K422" s="44" t="n"/>
      <c r="L422" s="44" t="n"/>
      <c r="M422" s="44" t="n"/>
      <c r="N422" s="44" t="n"/>
      <c r="O422" s="44" t="n"/>
      <c r="P422" s="44" t="n"/>
      <c r="Q422" s="44" t="n"/>
      <c r="R422" s="44" t="n"/>
      <c r="S422" s="44" t="n"/>
      <c r="T422" s="44" t="n"/>
      <c r="U422" s="44" t="n"/>
      <c r="V422" s="44" t="n"/>
      <c r="W422" s="44" t="n"/>
      <c r="X422" s="44" t="n"/>
      <c r="Y422" s="44" t="n"/>
      <c r="Z422" s="44" t="n"/>
      <c r="AA422" s="44" t="n"/>
      <c r="AB422" s="44" t="n"/>
      <c r="AC422" s="44" t="n"/>
      <c r="AD422" s="44" t="n"/>
      <c r="AE422" s="44" t="n"/>
      <c r="AF422" s="44" t="n"/>
      <c r="AG422" s="44" t="n"/>
      <c r="AH422" s="44" t="n"/>
      <c r="AI422" s="44" t="n"/>
      <c r="AJ422" s="44" t="n"/>
      <c r="AK422" s="44" t="n"/>
      <c r="AL422" s="44" t="n"/>
      <c r="AM422" s="44" t="n"/>
      <c r="AN422" s="44" t="n"/>
      <c r="AO422" s="44" t="n"/>
      <c r="AP422" s="44" t="n"/>
      <c r="AQ422" s="44" t="n"/>
      <c r="AR422" s="44" t="n"/>
      <c r="AS422" s="44" t="n"/>
      <c r="AT422" s="44" t="n"/>
      <c r="AU422" s="44" t="n"/>
      <c r="AV422" s="44" t="n"/>
      <c r="AW422" s="44" t="n"/>
      <c r="AX422" s="44" t="n"/>
      <c r="AY422" s="253" t="n">
        <v>31451</v>
      </c>
      <c r="AZ422" s="44" t="n"/>
      <c r="BA422" s="44" t="n"/>
      <c r="BB422" s="44" t="n"/>
      <c r="BC422" s="44" t="n"/>
      <c r="BD422" s="44" t="n"/>
      <c r="BE422" s="44" t="n"/>
      <c r="BF422" s="44" t="n"/>
      <c r="BG422" s="44" t="n"/>
      <c r="BH422" s="44" t="n"/>
      <c r="BI422" s="44" t="n"/>
      <c r="BJ422" s="44" t="n"/>
      <c r="BK422" s="44" t="n"/>
      <c r="BL422" s="44" t="n"/>
      <c r="BM422" s="44" t="n"/>
      <c r="BN422" s="44" t="n"/>
      <c r="BO422" s="44" t="n"/>
      <c r="BP422" s="44" t="n"/>
      <c r="BQ422" s="44" t="n"/>
      <c r="BR422" s="44" t="n"/>
      <c r="BS422" s="44" t="n"/>
      <c r="BT422" s="44" t="n"/>
      <c r="BU422" s="153" t="n"/>
      <c r="BV422" s="153" t="n"/>
      <c r="BW422" s="35" t="n"/>
      <c r="BX422" s="35" t="n"/>
      <c r="BY422" s="35" t="n"/>
      <c r="BZ422" s="35" t="n"/>
      <c r="CA422" s="35" t="n"/>
      <c r="CB422" s="35" t="n"/>
      <c r="CC422" s="19" t="n"/>
    </row>
    <row r="423" ht="15" customHeight="1" s="251">
      <c r="B423" s="69" t="inlineStr">
        <is>
          <t xml:space="preserve">  Current liabilities assumed (incl. unearned revenue)</t>
        </is>
      </c>
      <c r="C423" s="44" t="n"/>
      <c r="D423" s="44" t="n"/>
      <c r="E423" s="44" t="n"/>
      <c r="F423" s="44" t="n"/>
      <c r="G423" s="44" t="n"/>
      <c r="H423" s="44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  <c r="R423" s="44" t="n"/>
      <c r="S423" s="44" t="n"/>
      <c r="T423" s="44" t="n"/>
      <c r="U423" s="44" t="n"/>
      <c r="V423" s="44" t="n"/>
      <c r="W423" s="44" t="n"/>
      <c r="X423" s="44" t="n"/>
      <c r="Y423" s="44" t="n"/>
      <c r="Z423" s="44" t="n"/>
      <c r="AA423" s="44" t="n"/>
      <c r="AB423" s="44" t="n"/>
      <c r="AC423" s="44" t="n"/>
      <c r="AD423" s="44" t="n"/>
      <c r="AE423" s="44" t="n"/>
      <c r="AF423" s="44" t="n"/>
      <c r="AG423" s="44" t="n"/>
      <c r="AH423" s="44" t="n"/>
      <c r="AI423" s="44" t="n"/>
      <c r="AJ423" s="44" t="n"/>
      <c r="AK423" s="44" t="n"/>
      <c r="AL423" s="44" t="n"/>
      <c r="AM423" s="44" t="n"/>
      <c r="AN423" s="44" t="n"/>
      <c r="AO423" s="44" t="n"/>
      <c r="AP423" s="44" t="n"/>
      <c r="AQ423" s="44" t="n"/>
      <c r="AR423" s="44" t="n"/>
      <c r="AS423" s="44" t="n"/>
      <c r="AT423" s="44" t="n"/>
      <c r="AU423" s="44" t="n"/>
      <c r="AV423" s="44" t="n"/>
      <c r="AW423" s="44" t="n"/>
      <c r="AX423" s="44" t="n"/>
      <c r="AY423" s="253" t="n">
        <v>1968</v>
      </c>
      <c r="AZ423" s="44" t="n"/>
      <c r="BA423" s="44" t="n"/>
      <c r="BB423" s="44" t="n"/>
      <c r="BC423" s="44" t="n"/>
      <c r="BD423" s="44" t="n"/>
      <c r="BE423" s="44" t="n"/>
      <c r="BF423" s="44" t="n"/>
      <c r="BG423" s="44" t="n"/>
      <c r="BH423" s="44" t="n"/>
      <c r="BI423" s="44" t="n"/>
      <c r="BJ423" s="44" t="n"/>
      <c r="BK423" s="44" t="n"/>
      <c r="BL423" s="44" t="n"/>
      <c r="BM423" s="44" t="n"/>
      <c r="BN423" s="44" t="n"/>
      <c r="BO423" s="44" t="n"/>
      <c r="BP423" s="44" t="n"/>
      <c r="BQ423" s="44" t="n"/>
      <c r="BR423" s="44" t="n"/>
      <c r="BS423" s="44" t="n"/>
      <c r="BT423" s="44" t="n"/>
      <c r="BU423" s="153" t="n"/>
      <c r="BV423" s="153" t="n"/>
      <c r="BW423" s="35" t="n"/>
      <c r="BX423" s="35" t="n"/>
      <c r="BY423" s="35" t="n"/>
      <c r="BZ423" s="35" t="n"/>
      <c r="CA423" s="35" t="n"/>
      <c r="CB423" s="35" t="n"/>
      <c r="CC423" s="19" t="n"/>
    </row>
    <row r="424" ht="15" customHeight="1" s="251">
      <c r="B424" s="69" t="inlineStr">
        <is>
          <t xml:space="preserve">  Debt assumed</t>
        </is>
      </c>
      <c r="C424" s="44" t="n"/>
      <c r="D424" s="44" t="n"/>
      <c r="E424" s="44" t="n"/>
      <c r="F424" s="44" t="n"/>
      <c r="G424" s="44" t="n"/>
      <c r="H424" s="44" t="n"/>
      <c r="I424" s="44" t="n"/>
      <c r="J424" s="44" t="n"/>
      <c r="K424" s="44" t="n"/>
      <c r="L424" s="44" t="n"/>
      <c r="M424" s="44" t="n"/>
      <c r="N424" s="44" t="n"/>
      <c r="O424" s="44" t="n"/>
      <c r="P424" s="44" t="n"/>
      <c r="Q424" s="44" t="n"/>
      <c r="R424" s="44" t="n"/>
      <c r="S424" s="44" t="n"/>
      <c r="T424" s="44" t="n"/>
      <c r="U424" s="44" t="n"/>
      <c r="V424" s="44" t="n"/>
      <c r="W424" s="44" t="n"/>
      <c r="X424" s="44" t="n"/>
      <c r="Y424" s="44" t="n"/>
      <c r="Z424" s="44" t="n"/>
      <c r="AA424" s="44" t="n"/>
      <c r="AB424" s="44" t="n"/>
      <c r="AC424" s="44" t="n"/>
      <c r="AD424" s="44" t="n"/>
      <c r="AE424" s="44" t="n"/>
      <c r="AF424" s="44" t="n"/>
      <c r="AG424" s="44" t="n"/>
      <c r="AH424" s="44" t="n"/>
      <c r="AI424" s="44" t="n"/>
      <c r="AJ424" s="44" t="n"/>
      <c r="AK424" s="44" t="n"/>
      <c r="AL424" s="44" t="n"/>
      <c r="AM424" s="44" t="n"/>
      <c r="AN424" s="44" t="n"/>
      <c r="AO424" s="44" t="n"/>
      <c r="AP424" s="44" t="n"/>
      <c r="AQ424" s="44" t="n"/>
      <c r="AR424" s="44" t="n"/>
      <c r="AS424" s="44" t="n"/>
      <c r="AT424" s="44" t="n"/>
      <c r="AU424" s="44" t="n"/>
      <c r="AV424" s="44" t="n"/>
      <c r="AW424" s="44" t="n"/>
      <c r="AX424" s="44" t="n"/>
      <c r="AY424" s="253" t="n">
        <v>5159</v>
      </c>
      <c r="AZ424" s="44" t="n"/>
      <c r="BA424" s="44" t="n"/>
      <c r="BB424" s="44" t="n"/>
      <c r="BC424" s="44" t="n"/>
      <c r="BD424" s="44" t="n"/>
      <c r="BE424" s="44" t="n"/>
      <c r="BF424" s="44" t="n"/>
      <c r="BG424" s="44" t="n"/>
      <c r="BH424" s="44" t="n"/>
      <c r="BI424" s="44" t="n"/>
      <c r="BJ424" s="44" t="n"/>
      <c r="BK424" s="44" t="n"/>
      <c r="BL424" s="44" t="n"/>
      <c r="BM424" s="44" t="n"/>
      <c r="BN424" s="44" t="n"/>
      <c r="BO424" s="44" t="n"/>
      <c r="BP424" s="44" t="n"/>
      <c r="BQ424" s="44" t="n"/>
      <c r="BR424" s="44" t="n"/>
      <c r="BS424" s="44" t="n"/>
      <c r="BT424" s="44" t="n"/>
      <c r="BU424" s="153" t="n"/>
      <c r="BV424" s="153" t="n"/>
      <c r="BW424" s="35" t="n"/>
      <c r="BX424" s="35" t="n"/>
      <c r="BY424" s="35" t="n"/>
      <c r="BZ424" s="35" t="n"/>
      <c r="CA424" s="35" t="n"/>
      <c r="CB424" s="35" t="n"/>
      <c r="CC424" s="19" t="n"/>
    </row>
    <row r="425" ht="15" customHeight="1" s="251">
      <c r="B425" s="69" t="inlineStr">
        <is>
          <t xml:space="preserve">  Non-current liabilities assumed (deferred taxes, other)</t>
        </is>
      </c>
      <c r="C425" s="44" t="n"/>
      <c r="D425" s="44" t="n"/>
      <c r="E425" s="44" t="n"/>
      <c r="F425" s="44" t="n"/>
      <c r="G425" s="44" t="n"/>
      <c r="H425" s="44" t="n"/>
      <c r="I425" s="44" t="n"/>
      <c r="J425" s="44" t="n"/>
      <c r="K425" s="44" t="n"/>
      <c r="L425" s="44" t="n"/>
      <c r="M425" s="44" t="n"/>
      <c r="N425" s="44" t="n"/>
      <c r="O425" s="44" t="n"/>
      <c r="P425" s="44" t="n"/>
      <c r="Q425" s="44" t="n"/>
      <c r="R425" s="44" t="n"/>
      <c r="S425" s="44" t="n"/>
      <c r="T425" s="44" t="n"/>
      <c r="U425" s="44" t="n"/>
      <c r="V425" s="44" t="n"/>
      <c r="W425" s="44" t="n"/>
      <c r="X425" s="44" t="n"/>
      <c r="Y425" s="44" t="n"/>
      <c r="Z425" s="44" t="n"/>
      <c r="AA425" s="44" t="n"/>
      <c r="AB425" s="44" t="n"/>
      <c r="AC425" s="44" t="n"/>
      <c r="AD425" s="44" t="n"/>
      <c r="AE425" s="44" t="n"/>
      <c r="AF425" s="44" t="n"/>
      <c r="AG425" s="44" t="n"/>
      <c r="AH425" s="44" t="n"/>
      <c r="AI425" s="44" t="n"/>
      <c r="AJ425" s="44" t="n"/>
      <c r="AK425" s="44" t="n"/>
      <c r="AL425" s="44" t="n"/>
      <c r="AM425" s="44" t="n"/>
      <c r="AN425" s="44" t="n"/>
      <c r="AO425" s="44" t="n"/>
      <c r="AP425" s="44" t="n"/>
      <c r="AQ425" s="44" t="n"/>
      <c r="AR425" s="44" t="n"/>
      <c r="AS425" s="44" t="n"/>
      <c r="AT425" s="44" t="n"/>
      <c r="AU425" s="44" t="n"/>
      <c r="AV425" s="44" t="n"/>
      <c r="AW425" s="44" t="n"/>
      <c r="AX425" s="44" t="n"/>
      <c r="AY425" s="253" t="n">
        <v>4485</v>
      </c>
      <c r="AZ425" s="44" t="n"/>
      <c r="BA425" s="44" t="n"/>
      <c r="BB425" s="44" t="n"/>
      <c r="BC425" s="44" t="n"/>
      <c r="BD425" s="44" t="n"/>
      <c r="BE425" s="44" t="n"/>
      <c r="BF425" s="44" t="n"/>
      <c r="BG425" s="44" t="n"/>
      <c r="BH425" s="44" t="n"/>
      <c r="BI425" s="44" t="n"/>
      <c r="BJ425" s="44" t="n"/>
      <c r="BK425" s="44" t="n"/>
      <c r="BL425" s="44" t="n"/>
      <c r="BM425" s="44" t="n"/>
      <c r="BN425" s="44" t="n"/>
      <c r="BO425" s="44" t="n"/>
      <c r="BP425" s="44" t="n"/>
      <c r="BQ425" s="44" t="n"/>
      <c r="BR425" s="44" t="n"/>
      <c r="BS425" s="44" t="n"/>
      <c r="BT425" s="44" t="n"/>
      <c r="BU425" s="153" t="n"/>
      <c r="BV425" s="153" t="n"/>
      <c r="BW425" s="35" t="n"/>
      <c r="BX425" s="35" t="n"/>
      <c r="BY425" s="35" t="n"/>
      <c r="BZ425" s="35" t="n"/>
      <c r="CA425" s="35" t="n"/>
      <c r="CB425" s="35" t="n"/>
      <c r="CC425" s="19" t="n"/>
    </row>
    <row r="426" ht="15" customHeight="1" s="251">
      <c r="B426" s="69" t="inlineStr">
        <is>
          <t xml:space="preserve">  Noncontrolling interests</t>
        </is>
      </c>
      <c r="C426" s="44" t="n"/>
      <c r="D426" s="44" t="n"/>
      <c r="E426" s="44" t="n"/>
      <c r="F426" s="44" t="n"/>
      <c r="G426" s="44" t="n"/>
      <c r="H426" s="44" t="n"/>
      <c r="I426" s="44" t="n"/>
      <c r="J426" s="44" t="n"/>
      <c r="K426" s="44" t="n"/>
      <c r="L426" s="44" t="n"/>
      <c r="M426" s="44" t="n"/>
      <c r="N426" s="44" t="n"/>
      <c r="O426" s="44" t="n"/>
      <c r="P426" s="44" t="n"/>
      <c r="Q426" s="44" t="n"/>
      <c r="R426" s="44" t="n"/>
      <c r="S426" s="44" t="n"/>
      <c r="T426" s="44" t="n"/>
      <c r="U426" s="44" t="n"/>
      <c r="V426" s="44" t="n"/>
      <c r="W426" s="44" t="n"/>
      <c r="X426" s="44" t="n"/>
      <c r="Y426" s="44" t="n"/>
      <c r="Z426" s="44" t="n"/>
      <c r="AA426" s="44" t="n"/>
      <c r="AB426" s="44" t="n"/>
      <c r="AC426" s="44" t="n"/>
      <c r="AD426" s="44" t="n"/>
      <c r="AE426" s="44" t="n"/>
      <c r="AF426" s="44" t="n"/>
      <c r="AG426" s="44" t="n"/>
      <c r="AH426" s="44" t="n"/>
      <c r="AI426" s="44" t="n"/>
      <c r="AJ426" s="44" t="n"/>
      <c r="AK426" s="44" t="n"/>
      <c r="AL426" s="44" t="n"/>
      <c r="AM426" s="44" t="n"/>
      <c r="AN426" s="44" t="n"/>
      <c r="AO426" s="44" t="n"/>
      <c r="AP426" s="44" t="n"/>
      <c r="AQ426" s="44" t="n"/>
      <c r="AR426" s="44" t="n"/>
      <c r="AS426" s="44" t="n"/>
      <c r="AT426" s="44" t="n"/>
      <c r="AU426" s="44" t="n"/>
      <c r="AV426" s="44" t="n"/>
      <c r="AW426" s="44" t="n"/>
      <c r="AX426" s="44" t="n"/>
      <c r="AY426" s="253" t="n">
        <v>0</v>
      </c>
      <c r="AZ426" s="44" t="n"/>
      <c r="BA426" s="44" t="n"/>
      <c r="BB426" s="44" t="n"/>
      <c r="BC426" s="44" t="n"/>
      <c r="BD426" s="44" t="n"/>
      <c r="BE426" s="44" t="n"/>
      <c r="BF426" s="44" t="n"/>
      <c r="BG426" s="44" t="n"/>
      <c r="BH426" s="44" t="n"/>
      <c r="BI426" s="44" t="n"/>
      <c r="BJ426" s="44" t="n"/>
      <c r="BK426" s="44" t="n"/>
      <c r="BL426" s="44" t="n"/>
      <c r="BM426" s="44" t="n"/>
      <c r="BN426" s="44" t="n"/>
      <c r="BO426" s="44" t="n"/>
      <c r="BP426" s="44" t="n"/>
      <c r="BQ426" s="44" t="n"/>
      <c r="BR426" s="44" t="n"/>
      <c r="BS426" s="44" t="n"/>
      <c r="BT426" s="44" t="n"/>
      <c r="BU426" s="153" t="n"/>
      <c r="BV426" s="153" t="n"/>
      <c r="BW426" s="35" t="n"/>
      <c r="BX426" s="35" t="n"/>
      <c r="BY426" s="35" t="n"/>
      <c r="BZ426" s="35" t="n"/>
      <c r="CA426" s="35" t="n"/>
      <c r="CB426" s="35" t="n"/>
      <c r="CC426" s="19" t="n"/>
    </row>
    <row r="427" ht="15" customHeight="1" s="251">
      <c r="B427" s="57" t="inlineStr">
        <is>
          <t xml:space="preserve">  Check: assets acquired − liabilities assumed − NCI − consideration (should be 0)</t>
        </is>
      </c>
      <c r="C427" s="211">
        <f>IF(ISNUMBER(C418),ROUND(N(C419)+N(C420)+N(C421)+N(C422)-N(C423)-N(C424)-N(C425)-N(C426)-C418,0),"")</f>
      </c>
      <c r="D427" s="211">
        <f>IF(ISNUMBER(D418),ROUND(N(D419)+N(D420)+N(D421)+N(D422)-N(D423)-N(D424)-N(D425)-N(D426)-D418,0),"")</f>
      </c>
      <c r="E427" s="211">
        <f>IF(ISNUMBER(E418),ROUND(N(E419)+N(E420)+N(E421)+N(E422)-N(E423)-N(E424)-N(E425)-N(E426)-E418,0),"")</f>
      </c>
      <c r="F427" s="211">
        <f>IF(ISNUMBER(F418),ROUND(N(F419)+N(F420)+N(F421)+N(F422)-N(F423)-N(F424)-N(F425)-N(F426)-F418,0),"")</f>
      </c>
      <c r="G427" s="211">
        <f>IF(ISNUMBER(G418),ROUND(N(G419)+N(G420)+N(G421)+N(G422)-N(G423)-N(G424)-N(G425)-N(G426)-G418,0),"")</f>
      </c>
      <c r="H427" s="211">
        <f>IF(ISNUMBER(H418),ROUND(N(H419)+N(H420)+N(H421)+N(H422)-N(H423)-N(H424)-N(H425)-N(H426)-H418,0),"")</f>
      </c>
      <c r="I427" s="211">
        <f>IF(ISNUMBER(I418),ROUND(N(I419)+N(I420)+N(I421)+N(I422)-N(I423)-N(I424)-N(I425)-N(I426)-I418,0),"")</f>
      </c>
      <c r="J427" s="211">
        <f>IF(ISNUMBER(J418),ROUND(N(J419)+N(J420)+N(J421)+N(J422)-N(J423)-N(J424)-N(J425)-N(J426)-J418,0),"")</f>
      </c>
      <c r="K427" s="211">
        <f>IF(ISNUMBER(K418),ROUND(N(K419)+N(K420)+N(K421)+N(K422)-N(K423)-N(K424)-N(K425)-N(K426)-K418,0),"")</f>
      </c>
      <c r="L427" s="211">
        <f>IF(ISNUMBER(L418),ROUND(N(L419)+N(L420)+N(L421)+N(L422)-N(L423)-N(L424)-N(L425)-N(L426)-L418,0),"")</f>
      </c>
      <c r="M427" s="211">
        <f>IF(ISNUMBER(M418),ROUND(N(M419)+N(M420)+N(M421)+N(M422)-N(M423)-N(M424)-N(M425)-N(M426)-M418,0),"")</f>
      </c>
      <c r="N427" s="211">
        <f>IF(ISNUMBER(N418),ROUND(N(N419)+N(N420)+N(N421)+N(N422)-N(N423)-N(N424)-N(N425)-N(N426)-N418,0),"")</f>
      </c>
      <c r="O427" s="211">
        <f>IF(ISNUMBER(O418),ROUND(N(O419)+N(O420)+N(O421)+N(O422)-N(O423)-N(O424)-N(O425)-N(O426)-O418,0),"")</f>
      </c>
      <c r="P427" s="211">
        <f>IF(ISNUMBER(P418),ROUND(N(P419)+N(P420)+N(P421)+N(P422)-N(P423)-N(P424)-N(P425)-N(P426)-P418,0),"")</f>
      </c>
      <c r="Q427" s="211">
        <f>IF(ISNUMBER(Q418),ROUND(N(Q419)+N(Q420)+N(Q421)+N(Q422)-N(Q423)-N(Q424)-N(Q425)-N(Q426)-Q418,0),"")</f>
      </c>
      <c r="R427" s="211">
        <f>IF(ISNUMBER(R418),ROUND(N(R419)+N(R420)+N(R421)+N(R422)-N(R423)-N(R424)-N(R425)-N(R426)-R418,0),"")</f>
      </c>
      <c r="S427" s="211">
        <f>IF(ISNUMBER(S418),ROUND(N(S419)+N(S420)+N(S421)+N(S422)-N(S423)-N(S424)-N(S425)-N(S426)-S418,0),"")</f>
      </c>
      <c r="T427" s="211">
        <f>IF(ISNUMBER(T418),ROUND(N(T419)+N(T420)+N(T421)+N(T422)-N(T423)-N(T424)-N(T425)-N(T426)-T418,0),"")</f>
      </c>
      <c r="U427" s="211">
        <f>IF(ISNUMBER(U418),ROUND(N(U419)+N(U420)+N(U421)+N(U422)-N(U423)-N(U424)-N(U425)-N(U426)-U418,0),"")</f>
      </c>
      <c r="V427" s="211">
        <f>IF(ISNUMBER(V418),ROUND(N(V419)+N(V420)+N(V421)+N(V422)-N(V423)-N(V424)-N(V425)-N(V426)-V418,0),"")</f>
      </c>
      <c r="W427" s="211">
        <f>IF(ISNUMBER(W418),ROUND(N(W419)+N(W420)+N(W421)+N(W422)-N(W423)-N(W424)-N(W425)-N(W426)-W418,0),"")</f>
      </c>
      <c r="X427" s="211">
        <f>IF(ISNUMBER(X418),ROUND(N(X419)+N(X420)+N(X421)+N(X422)-N(X423)-N(X424)-N(X425)-N(X426)-X418,0),"")</f>
      </c>
      <c r="Y427" s="211">
        <f>IF(ISNUMBER(Y418),ROUND(N(Y419)+N(Y420)+N(Y421)+N(Y422)-N(Y423)-N(Y424)-N(Y425)-N(Y426)-Y418,0),"")</f>
      </c>
      <c r="Z427" s="211">
        <f>IF(ISNUMBER(Z418),ROUND(N(Z419)+N(Z420)+N(Z421)+N(Z422)-N(Z423)-N(Z424)-N(Z425)-N(Z426)-Z418,0),"")</f>
      </c>
      <c r="AA427" s="211">
        <f>IF(ISNUMBER(AA418),ROUND(N(AA419)+N(AA420)+N(AA421)+N(AA422)-N(AA423)-N(AA424)-N(AA425)-N(AA426)-AA418,0),"")</f>
      </c>
      <c r="AB427" s="211">
        <f>IF(ISNUMBER(AB418),ROUND(N(AB419)+N(AB420)+N(AB421)+N(AB422)-N(AB423)-N(AB424)-N(AB425)-N(AB426)-AB418,0),"")</f>
      </c>
      <c r="AC427" s="211">
        <f>IF(ISNUMBER(AC418),ROUND(N(AC419)+N(AC420)+N(AC421)+N(AC422)-N(AC423)-N(AC424)-N(AC425)-N(AC426)-AC418,0),"")</f>
      </c>
      <c r="AD427" s="211">
        <f>IF(ISNUMBER(AD418),ROUND(N(AD419)+N(AD420)+N(AD421)+N(AD422)-N(AD423)-N(AD424)-N(AD425)-N(AD426)-AD418,0),"")</f>
      </c>
      <c r="AE427" s="211">
        <f>IF(ISNUMBER(AE418),ROUND(N(AE419)+N(AE420)+N(AE421)+N(AE422)-N(AE423)-N(AE424)-N(AE425)-N(AE426)-AE418,0),"")</f>
      </c>
      <c r="AF427" s="211">
        <f>IF(ISNUMBER(AF418),ROUND(N(AF419)+N(AF420)+N(AF421)+N(AF422)-N(AF423)-N(AF424)-N(AF425)-N(AF426)-AF418,0),"")</f>
      </c>
      <c r="AG427" s="211">
        <f>IF(ISNUMBER(AG418),ROUND(N(AG419)+N(AG420)+N(AG421)+N(AG422)-N(AG423)-N(AG424)-N(AG425)-N(AG426)-AG418,0),"")</f>
      </c>
      <c r="AH427" s="211">
        <f>IF(ISNUMBER(AH418),ROUND(N(AH419)+N(AH420)+N(AH421)+N(AH422)-N(AH423)-N(AH424)-N(AH425)-N(AH426)-AH418,0),"")</f>
      </c>
      <c r="AI427" s="211">
        <f>IF(ISNUMBER(AI418),ROUND(N(AI419)+N(AI420)+N(AI421)+N(AI422)-N(AI423)-N(AI424)-N(AI425)-N(AI426)-AI418,0),"")</f>
      </c>
      <c r="AJ427" s="211">
        <f>IF(ISNUMBER(AJ418),ROUND(N(AJ419)+N(AJ420)+N(AJ421)+N(AJ422)-N(AJ423)-N(AJ424)-N(AJ425)-N(AJ426)-AJ418,0),"")</f>
      </c>
      <c r="AK427" s="211">
        <f>IF(ISNUMBER(AK418),ROUND(N(AK419)+N(AK420)+N(AK421)+N(AK422)-N(AK423)-N(AK424)-N(AK425)-N(AK426)-AK418,0),"")</f>
      </c>
      <c r="AL427" s="211">
        <f>IF(ISNUMBER(AL418),ROUND(N(AL419)+N(AL420)+N(AL421)+N(AL422)-N(AL423)-N(AL424)-N(AL425)-N(AL426)-AL418,0),"")</f>
      </c>
      <c r="AM427" s="211">
        <f>IF(ISNUMBER(AM418),ROUND(N(AM419)+N(AM420)+N(AM421)+N(AM422)-N(AM423)-N(AM424)-N(AM425)-N(AM426)-AM418,0),"")</f>
      </c>
      <c r="AN427" s="211">
        <f>IF(ISNUMBER(AN418),ROUND(N(AN419)+N(AN420)+N(AN421)+N(AN422)-N(AN423)-N(AN424)-N(AN425)-N(AN426)-AN418,0),"")</f>
      </c>
      <c r="AO427" s="211">
        <f>IF(ISNUMBER(AO418),ROUND(N(AO419)+N(AO420)+N(AO421)+N(AO422)-N(AO423)-N(AO424)-N(AO425)-N(AO426)-AO418,0),"")</f>
      </c>
      <c r="AP427" s="211">
        <f>IF(ISNUMBER(AP418),ROUND(N(AP419)+N(AP420)+N(AP421)+N(AP422)-N(AP423)-N(AP424)-N(AP425)-N(AP426)-AP418,0),"")</f>
      </c>
      <c r="AQ427" s="211">
        <f>IF(ISNUMBER(AQ418),ROUND(N(AQ419)+N(AQ420)+N(AQ421)+N(AQ422)-N(AQ423)-N(AQ424)-N(AQ425)-N(AQ426)-AQ418,0),"")</f>
      </c>
      <c r="AR427" s="211">
        <f>IF(ISNUMBER(AR418),ROUND(N(AR419)+N(AR420)+N(AR421)+N(AR422)-N(AR423)-N(AR424)-N(AR425)-N(AR426)-AR418,0),"")</f>
      </c>
      <c r="AS427" s="211">
        <f>IF(ISNUMBER(AS418),ROUND(N(AS419)+N(AS420)+N(AS421)+N(AS422)-N(AS423)-N(AS424)-N(AS425)-N(AS426)-AS418,0),"")</f>
      </c>
      <c r="AT427" s="211">
        <f>IF(ISNUMBER(AT418),ROUND(N(AT419)+N(AT420)+N(AT421)+N(AT422)-N(AT423)-N(AT424)-N(AT425)-N(AT426)-AT418,0),"")</f>
      </c>
      <c r="AU427" s="211">
        <f>IF(ISNUMBER(AU418),ROUND(N(AU419)+N(AU420)+N(AU421)+N(AU422)-N(AU423)-N(AU424)-N(AU425)-N(AU426)-AU418,0),"")</f>
      </c>
      <c r="AV427" s="211">
        <f>IF(ISNUMBER(AV418),ROUND(N(AV419)+N(AV420)+N(AV421)+N(AV422)-N(AV423)-N(AV424)-N(AV425)-N(AV426)-AV418,0),"")</f>
      </c>
      <c r="AW427" s="211">
        <f>IF(ISNUMBER(AW418),ROUND(N(AW419)+N(AW420)+N(AW421)+N(AW422)-N(AW423)-N(AW424)-N(AW425)-N(AW426)-AW418,0),"")</f>
      </c>
      <c r="AX427" s="211">
        <f>IF(ISNUMBER(AX418),ROUND(N(AX419)+N(AX420)+N(AX421)+N(AX422)-N(AX423)-N(AX424)-N(AX425)-N(AX426)-AX418,0),"")</f>
      </c>
      <c r="AY427" s="211">
        <f>IF(ISNUMBER(AY418),ROUND(N(AY419)+N(AY420)+N(AY421)+N(AY422)-N(AY423)-N(AY424)-N(AY425)-N(AY426)-AY418,0),"")</f>
        <v>0</v>
      </c>
      <c r="AZ427" s="211">
        <f>IF(ISNUMBER(AZ418),ROUND(N(AZ419)+N(AZ420)+N(AZ421)+N(AZ422)-N(AZ423)-N(AZ424)-N(AZ425)-N(AZ426)-AZ418,0),"")</f>
      </c>
      <c r="BA427" s="211">
        <f>IF(ISNUMBER(BA418),ROUND(N(BA419)+N(BA420)+N(BA421)+N(BA422)-N(BA423)-N(BA424)-N(BA425)-N(BA426)-BA418,0),"")</f>
      </c>
      <c r="BB427" s="211">
        <f>IF(ISNUMBER(BB418),ROUND(N(BB419)+N(BB420)+N(BB421)+N(BB422)-N(BB423)-N(BB424)-N(BB425)-N(BB426)-BB418,0),"")</f>
      </c>
      <c r="BC427" s="211">
        <f>IF(ISNUMBER(BC418),ROUND(N(BC419)+N(BC420)+N(BC421)+N(BC422)-N(BC423)-N(BC424)-N(BC425)-N(BC426)-BC418,0),"")</f>
      </c>
      <c r="BD427" s="211">
        <f>IF(ISNUMBER(BD418),ROUND(N(BD419)+N(BD420)+N(BD421)+N(BD422)-N(BD423)-N(BD424)-N(BD425)-N(BD426)-BD418,0),"")</f>
      </c>
      <c r="BE427" s="211">
        <f>IF(ISNUMBER(BE418),ROUND(N(BE419)+N(BE420)+N(BE421)+N(BE422)-N(BE423)-N(BE424)-N(BE425)-N(BE426)-BE418,0),"")</f>
      </c>
      <c r="BF427" s="211">
        <f>IF(ISNUMBER(BF418),ROUND(N(BF419)+N(BF420)+N(BF421)+N(BF422)-N(BF423)-N(BF424)-N(BF425)-N(BF426)-BF418,0),"")</f>
      </c>
      <c r="BG427" s="211">
        <f>IF(ISNUMBER(BG418),ROUND(N(BG419)+N(BG420)+N(BG421)+N(BG422)-N(BG423)-N(BG424)-N(BG425)-N(BG426)-BG418,0),"")</f>
      </c>
      <c r="BH427" s="211">
        <f>IF(ISNUMBER(BH418),ROUND(N(BH419)+N(BH420)+N(BH421)+N(BH422)-N(BH423)-N(BH424)-N(BH425)-N(BH426)-BH418,0),"")</f>
      </c>
      <c r="BI427" s="211">
        <f>IF(ISNUMBER(BI418),ROUND(N(BI419)+N(BI420)+N(BI421)+N(BI422)-N(BI423)-N(BI424)-N(BI425)-N(BI426)-BI418,0),"")</f>
      </c>
      <c r="BJ427" s="211">
        <f>IF(ISNUMBER(BJ418),ROUND(N(BJ419)+N(BJ420)+N(BJ421)+N(BJ422)-N(BJ423)-N(BJ424)-N(BJ425)-N(BJ426)-BJ418,0),"")</f>
      </c>
      <c r="BK427" s="211">
        <f>IF(ISNUMBER(BK418),ROUND(N(BK419)+N(BK420)+N(BK421)+N(BK422)-N(BK423)-N(BK424)-N(BK425)-N(BK426)-BK418,0),"")</f>
      </c>
      <c r="BL427" s="211">
        <f>IF(ISNUMBER(BL418),ROUND(N(BL419)+N(BL420)+N(BL421)+N(BL422)-N(BL423)-N(BL424)-N(BL425)-N(BL426)-BL418,0),"")</f>
      </c>
      <c r="BM427" s="211">
        <f>IF(ISNUMBER(BM418),ROUND(N(BM419)+N(BM420)+N(BM421)+N(BM422)-N(BM423)-N(BM424)-N(BM425)-N(BM426)-BM418,0),"")</f>
      </c>
      <c r="BN427" s="211">
        <f>IF(ISNUMBER(BN418),ROUND(N(BN419)+N(BN420)+N(BN421)+N(BN422)-N(BN423)-N(BN424)-N(BN425)-N(BN426)-BN418,0),"")</f>
      </c>
      <c r="BO427" s="211">
        <f>IF(ISNUMBER(BO418),ROUND(N(BO419)+N(BO420)+N(BO421)+N(BO422)-N(BO423)-N(BO424)-N(BO425)-N(BO426)-BO418,0),"")</f>
      </c>
      <c r="BP427" s="211">
        <f>IF(ISNUMBER(BP418),ROUND(N(BP419)+N(BP420)+N(BP421)+N(BP422)-N(BP423)-N(BP424)-N(BP425)-N(BP426)-BP418,0),"")</f>
      </c>
      <c r="BQ427" s="211">
        <f>IF(ISNUMBER(BQ418),ROUND(N(BQ419)+N(BQ420)+N(BQ421)+N(BQ422)-N(BQ423)-N(BQ424)-N(BQ425)-N(BQ426)-BQ418,0),"")</f>
      </c>
      <c r="BR427" s="211">
        <f>IF(ISNUMBER(BR418),ROUND(N(BR419)+N(BR420)+N(BR421)+N(BR422)-N(BR423)-N(BR424)-N(BR425)-N(BR426)-BR418,0),"")</f>
      </c>
      <c r="BS427" s="211">
        <f>IF(ISNUMBER(BS418),ROUND(N(BS419)+N(BS420)+N(BS421)+N(BS422)-N(BS423)-N(BS424)-N(BS425)-N(BS426)-BS418,0),"")</f>
      </c>
      <c r="BT427" s="211">
        <f>IF(ISNUMBER(BT418),ROUND(N(BT419)+N(BT420)+N(BT421)+N(BT422)-N(BT423)-N(BT424)-N(BT425)-N(BT426)-BT418,0),"")</f>
      </c>
      <c r="BU427" s="153" t="n"/>
      <c r="BV427" s="153" t="n"/>
      <c r="BW427" s="153" t="n"/>
      <c r="BX427" s="153" t="n"/>
      <c r="BY427" s="153" t="n"/>
      <c r="BZ427" s="153" t="n"/>
      <c r="CA427" s="153" t="n"/>
      <c r="CB427" s="153" t="n"/>
      <c r="CC427" s="153" t="n"/>
    </row>
    <row r="428" ht="15" customHeight="1" s="251">
      <c r="B428" s="158" t="inlineStr">
        <is>
          <t xml:space="preserve">  Deal closed in the period</t>
        </is>
      </c>
      <c r="AY428" s="293" t="inlineStr">
        <is>
          <t>IHS Markit (all-stock merger, 28-Feb-2022; preliminary PPA)</t>
        </is>
      </c>
      <c r="BU428" s="153" t="n"/>
      <c r="BV428" s="153" t="n"/>
      <c r="BW428" s="153" t="n"/>
      <c r="BX428" s="153" t="n"/>
      <c r="BY428" s="153" t="n"/>
      <c r="BZ428" s="153" t="n"/>
      <c r="CA428" s="153" t="n"/>
      <c r="CB428" s="153" t="n"/>
      <c r="CC428" s="19" t="n"/>
    </row>
    <row r="429" ht="15" customHeight="1" s="251">
      <c r="B429" s="25" t="inlineStr">
        <is>
          <t>Share count &amp; pricing</t>
        </is>
      </c>
      <c r="CC429" s="153" t="n"/>
    </row>
    <row r="430" ht="15" customHeight="1" s="251">
      <c r="B430" s="69" t="inlineStr">
        <is>
          <t xml:space="preserve">  Dilutive securities (m shares; options &amp; RSUs)</t>
        </is>
      </c>
      <c r="C430" s="44" t="n"/>
      <c r="D430" s="44" t="n"/>
      <c r="E430" s="44" t="n"/>
      <c r="F430" s="44" t="n"/>
      <c r="G430" s="44" t="n"/>
      <c r="H430" s="44" t="n"/>
      <c r="I430" s="44" t="n"/>
      <c r="J430" s="44" t="n"/>
      <c r="K430" s="44" t="n"/>
      <c r="L430" s="44" t="n"/>
      <c r="M430" s="44" t="n"/>
      <c r="N430" s="44" t="n"/>
      <c r="O430" s="44" t="n"/>
      <c r="P430" s="44" t="n"/>
      <c r="Q430" s="44" t="n"/>
      <c r="R430" s="44" t="n"/>
      <c r="S430" s="44" t="n"/>
      <c r="T430" s="44" t="n"/>
      <c r="U430" s="44" t="n"/>
      <c r="V430" s="44" t="n"/>
      <c r="W430" s="44" t="n"/>
      <c r="X430" s="44" t="n"/>
      <c r="Y430" s="44" t="n"/>
      <c r="Z430" s="44" t="n"/>
      <c r="AA430" s="44" t="n"/>
      <c r="AB430" s="44" t="n"/>
      <c r="AC430" s="44" t="n"/>
      <c r="AD430" s="44" t="n"/>
      <c r="AE430" s="44" t="n"/>
      <c r="AF430" s="44" t="n"/>
      <c r="AG430" s="44" t="n"/>
      <c r="AH430" s="44" t="n"/>
      <c r="AI430" s="44" t="n"/>
      <c r="AJ430" s="44" t="n"/>
      <c r="AK430" s="44" t="n"/>
      <c r="AL430" s="44" t="n"/>
      <c r="AM430" s="44" t="n"/>
      <c r="AN430" s="44" t="n"/>
      <c r="AO430" s="44" t="n"/>
      <c r="AP430" s="44" t="n"/>
      <c r="AQ430" s="44" t="n"/>
      <c r="AR430" s="44" t="n"/>
      <c r="AS430" s="44" t="n"/>
      <c r="AT430" s="44" t="n"/>
      <c r="AU430" s="44" t="n"/>
      <c r="AV430" s="44" t="n"/>
      <c r="AW430" s="44" t="n"/>
      <c r="AX430" s="44" t="n"/>
      <c r="AY430" s="44" t="n"/>
      <c r="AZ430" s="44" t="n"/>
      <c r="BA430" s="44" t="n"/>
      <c r="BB430" s="44" t="n"/>
      <c r="BC430" s="44" t="n"/>
      <c r="BD430" s="44" t="n"/>
      <c r="BE430" s="44" t="n"/>
      <c r="BF430" s="44" t="n"/>
      <c r="BG430" s="44" t="n"/>
      <c r="BH430" s="44" t="n"/>
      <c r="BI430" s="44" t="n"/>
      <c r="BJ430" s="44" t="n"/>
      <c r="BK430" s="44" t="n"/>
      <c r="BL430" s="44" t="n"/>
      <c r="BM430" s="44" t="n"/>
      <c r="BN430" s="44" t="n"/>
      <c r="BO430" s="44" t="n"/>
      <c r="BP430" s="44" t="n"/>
      <c r="BQ430" s="44" t="n"/>
      <c r="BR430" s="44" t="n"/>
      <c r="BS430" s="44" t="n"/>
      <c r="BT430" s="44" t="n"/>
      <c r="BU430" s="153" t="n"/>
      <c r="BV430" s="153" t="n"/>
      <c r="BW430" s="35" t="n"/>
      <c r="BX430" s="294" t="n">
        <v>0.3</v>
      </c>
      <c r="BY430" s="294" t="n">
        <v>0.3</v>
      </c>
      <c r="BZ430" s="294" t="n">
        <v>0.3</v>
      </c>
      <c r="CA430" s="294" t="n">
        <v>0.3</v>
      </c>
      <c r="CB430" s="294" t="n">
        <v>0.3</v>
      </c>
      <c r="CC430" s="19" t="n"/>
    </row>
    <row r="431" ht="15" customHeight="1" s="251">
      <c r="B431" s="69" t="inlineStr">
        <is>
          <t xml:space="preserve">  Share-price appreciation % (buyback pricing)</t>
        </is>
      </c>
      <c r="C431" s="44" t="n"/>
      <c r="D431" s="44" t="n"/>
      <c r="E431" s="44" t="n"/>
      <c r="F431" s="44" t="n"/>
      <c r="G431" s="44" t="n"/>
      <c r="H431" s="44" t="n"/>
      <c r="I431" s="44" t="n"/>
      <c r="J431" s="44" t="n"/>
      <c r="K431" s="44" t="n"/>
      <c r="L431" s="44" t="n"/>
      <c r="M431" s="44" t="n"/>
      <c r="N431" s="44" t="n"/>
      <c r="O431" s="44" t="n"/>
      <c r="P431" s="44" t="n"/>
      <c r="Q431" s="44" t="n"/>
      <c r="R431" s="44" t="n"/>
      <c r="S431" s="44" t="n"/>
      <c r="T431" s="44" t="n"/>
      <c r="U431" s="44" t="n"/>
      <c r="V431" s="44" t="n"/>
      <c r="W431" s="44" t="n"/>
      <c r="X431" s="44" t="n"/>
      <c r="Y431" s="44" t="n"/>
      <c r="Z431" s="44" t="n"/>
      <c r="AA431" s="44" t="n"/>
      <c r="AB431" s="44" t="n"/>
      <c r="AC431" s="44" t="n"/>
      <c r="AD431" s="44" t="n"/>
      <c r="AE431" s="44" t="n"/>
      <c r="AF431" s="44" t="n"/>
      <c r="AG431" s="44" t="n"/>
      <c r="AH431" s="44" t="n"/>
      <c r="AI431" s="44" t="n"/>
      <c r="AJ431" s="44" t="n"/>
      <c r="AK431" s="44" t="n"/>
      <c r="AL431" s="44" t="n"/>
      <c r="AM431" s="44" t="n"/>
      <c r="AN431" s="44" t="n"/>
      <c r="AO431" s="44" t="n"/>
      <c r="AP431" s="44" t="n"/>
      <c r="AQ431" s="44" t="n"/>
      <c r="AR431" s="44" t="n"/>
      <c r="AS431" s="44" t="n"/>
      <c r="AT431" s="44" t="n"/>
      <c r="AU431" s="44" t="n"/>
      <c r="AV431" s="44" t="n"/>
      <c r="AW431" s="44" t="n"/>
      <c r="AX431" s="44" t="n"/>
      <c r="AY431" s="44" t="n"/>
      <c r="AZ431" s="44" t="n"/>
      <c r="BA431" s="44" t="n"/>
      <c r="BB431" s="44" t="n"/>
      <c r="BC431" s="44" t="n"/>
      <c r="BD431" s="44" t="n"/>
      <c r="BE431" s="44" t="n"/>
      <c r="BF431" s="44" t="n"/>
      <c r="BG431" s="44" t="n"/>
      <c r="BH431" s="44" t="n"/>
      <c r="BI431" s="44" t="n"/>
      <c r="BJ431" s="44" t="n"/>
      <c r="BK431" s="44" t="n"/>
      <c r="BL431" s="44" t="n"/>
      <c r="BM431" s="44" t="n"/>
      <c r="BN431" s="44" t="n"/>
      <c r="BO431" s="44" t="n"/>
      <c r="BP431" s="44" t="n"/>
      <c r="BQ431" s="44" t="n"/>
      <c r="BR431" s="44" t="n"/>
      <c r="BS431" s="44" t="n"/>
      <c r="BT431" s="44" t="n"/>
      <c r="BU431" s="153" t="n"/>
      <c r="BV431" s="153" t="n"/>
      <c r="BW431" s="35" t="n"/>
      <c r="BX431" s="264" t="n">
        <v>0.08</v>
      </c>
      <c r="BY431" s="264" t="n">
        <v>0.08</v>
      </c>
      <c r="BZ431" s="264" t="n">
        <v>0.08</v>
      </c>
      <c r="CA431" s="264" t="n">
        <v>0.08</v>
      </c>
      <c r="CB431" s="264" t="n">
        <v>0.08</v>
      </c>
      <c r="CC431" s="19" t="n"/>
    </row>
    <row r="432" ht="15" customHeight="1" s="251">
      <c r="B432" s="25" t="inlineStr">
        <is>
          <t>Debt schedule (senior notes repaid at maturity and refinanced; commercial paper drawn or repaid to a minimum cash balance)</t>
        </is>
      </c>
      <c r="CC432" s="153" t="n"/>
    </row>
    <row r="433" ht="15" customHeight="1" s="251">
      <c r="B433" s="69" t="inlineStr">
        <is>
          <t xml:space="preserve">  Total debt (short-term + long-term)</t>
        </is>
      </c>
      <c r="C433" s="211">
        <f>IF(ISNUMBER(C382),N(C377)+C382,"")</f>
      </c>
      <c r="D433" s="211">
        <f>IF(ISNUMBER(D382),N(D377)+D382,"")</f>
      </c>
      <c r="E433" s="211">
        <f>IF(ISNUMBER(E382),N(E377)+E382,"")</f>
        <v>1256</v>
      </c>
      <c r="F433" s="211">
        <f>IF(ISNUMBER(F382),N(F377)+F382,"")</f>
        <v>799</v>
      </c>
      <c r="G433" s="211">
        <f>IF(ISNUMBER(G382),N(G377)+G382,"")</f>
        <v>799</v>
      </c>
      <c r="H433" s="211">
        <f>IF(ISNUMBER(H382),N(H377)+H382,"")</f>
        <v>799</v>
      </c>
      <c r="I433" s="211">
        <f>IF(ISNUMBER(I382),N(I377)+I382,"")</f>
        <v>799</v>
      </c>
      <c r="J433" s="211">
        <f>IF(ISNUMBER(J382),N(J377)+J382,"")</f>
        <v>799</v>
      </c>
      <c r="K433" s="211">
        <f>IF(ISNUMBER(K382),N(K377)+K382,"")</f>
        <v>799</v>
      </c>
      <c r="L433" s="211">
        <f>IF(ISNUMBER(L382),N(L377)+L382,"")</f>
        <v>799</v>
      </c>
      <c r="M433" s="211">
        <f>IF(ISNUMBER(M382),N(M377)+M382,"")</f>
        <v>799</v>
      </c>
      <c r="N433" s="211">
        <f>IF(ISNUMBER(N382),N(N377)+N382,"")</f>
        <v>799</v>
      </c>
      <c r="O433" s="211">
        <f>IF(ISNUMBER(O382),N(O377)+O382,"")</f>
        <v>799</v>
      </c>
      <c r="P433" s="211">
        <f>IF(ISNUMBER(P382),N(P377)+P382,"")</f>
        <v>1164</v>
      </c>
      <c r="Q433" s="211">
        <f>IF(ISNUMBER(Q382),N(Q377)+Q382,"")</f>
        <v>1494</v>
      </c>
      <c r="R433" s="211">
        <f>IF(ISNUMBER(R382),N(R377)+R382,"")</f>
        <v>3489</v>
      </c>
      <c r="S433" s="211">
        <f>IF(ISNUMBER(S382),N(S377)+S382,"")</f>
        <v>3611</v>
      </c>
      <c r="T433" s="211">
        <f>IF(ISNUMBER(T382),N(T377)+T382,"")</f>
        <v>3611</v>
      </c>
      <c r="U433" s="211">
        <f>IF(ISNUMBER(U382),N(U377)+U382,"")</f>
        <v>3941</v>
      </c>
      <c r="V433" s="211">
        <f>IF(ISNUMBER(V382),N(V377)+V382,"")</f>
        <v>3779</v>
      </c>
      <c r="W433" s="211">
        <f>IF(ISNUMBER(W382),N(W377)+W382,"")</f>
        <v>3963</v>
      </c>
      <c r="X433" s="211">
        <f>IF(ISNUMBER(X382),N(X377)+X382,"")</f>
        <v>3564</v>
      </c>
      <c r="Y433" s="211">
        <f>IF(ISNUMBER(Y382),N(Y377)+Y382,"")</f>
        <v>3564</v>
      </c>
      <c r="Z433" s="211">
        <f>IF(ISNUMBER(Z382),N(Z377)+Z382,"")</f>
        <v>3565</v>
      </c>
      <c r="AA433" s="211">
        <f>IF(ISNUMBER(AA382),N(AA377)+AA382,"")</f>
        <v>3566</v>
      </c>
      <c r="AB433" s="211">
        <f>IF(ISNUMBER(AB382),N(AB377)+AB382,"")</f>
        <v>3568</v>
      </c>
      <c r="AC433" s="211">
        <f>IF(ISNUMBER(AC382),N(AC377)+AC382,"")</f>
        <v>3569</v>
      </c>
      <c r="AD433" s="211">
        <f>IF(ISNUMBER(AD382),N(AD377)+AD382,"")</f>
        <v>3569</v>
      </c>
      <c r="AE433" s="211">
        <f>IF(ISNUMBER(AE382),N(AE377)+AE382,"")</f>
        <v>3570</v>
      </c>
      <c r="AF433" s="211">
        <f>IF(ISNUMBER(AF382),N(AF377)+AF382,"")</f>
        <v>3660</v>
      </c>
      <c r="AG433" s="211">
        <f>IF(ISNUMBER(AG382),N(AG377)+AG382,"")</f>
        <v>3661</v>
      </c>
      <c r="AH433" s="211">
        <f>IF(ISNUMBER(AH382),N(AH377)+AH382,"")</f>
        <v>3662</v>
      </c>
      <c r="AI433" s="211">
        <f>IF(ISNUMBER(AI382),N(AI377)+AI382,"")</f>
        <v>3662</v>
      </c>
      <c r="AJ433" s="211">
        <f>IF(ISNUMBER(AJ382),N(AJ377)+AJ382,"")</f>
        <v>3663</v>
      </c>
      <c r="AK433" s="211">
        <f>IF(ISNUMBER(AK382),N(AK377)+AK382,"")</f>
        <v>3664</v>
      </c>
      <c r="AL433" s="211">
        <f>IF(ISNUMBER(AL382),N(AL377)+AL382,"")</f>
        <v>3665</v>
      </c>
      <c r="AM433" s="211">
        <f>IF(ISNUMBER(AM382),N(AM377)+AM382,"")</f>
        <v>3948</v>
      </c>
      <c r="AN433" s="211">
        <f>IF(ISNUMBER(AN382),N(AN377)+AN382,"")</f>
        <v>3948</v>
      </c>
      <c r="AO433" s="211">
        <f>IF(ISNUMBER(AO382),N(AO377)+AO382,"")</f>
        <v>3949</v>
      </c>
      <c r="AP433" s="211">
        <f>IF(ISNUMBER(AP382),N(AP377)+AP382,"")</f>
        <v>3950</v>
      </c>
      <c r="AQ433" s="211">
        <f>IF(ISNUMBER(AQ382),N(AQ377)+AQ382,"")</f>
        <v>4110</v>
      </c>
      <c r="AR433" s="211">
        <f>IF(ISNUMBER(AR382),N(AR377)+AR382,"")</f>
        <v>4110</v>
      </c>
      <c r="AS433" s="211">
        <f>IF(ISNUMBER(AS382),N(AS377)+AS382,"")</f>
        <v>4110</v>
      </c>
      <c r="AT433" s="211">
        <f>IF(ISNUMBER(AT382),N(AT377)+AT382,"")</f>
        <v>4111</v>
      </c>
      <c r="AU433" s="211">
        <f>IF(ISNUMBER(AU382),N(AU377)+AU382,"")</f>
        <v>4112</v>
      </c>
      <c r="AV433" s="211">
        <f>IF(ISNUMBER(AV382),N(AV377)+AV382,"")</f>
        <v>4113</v>
      </c>
      <c r="AW433" s="211">
        <f>IF(ISNUMBER(AW382),N(AW377)+AW382,"")</f>
        <v>4114</v>
      </c>
      <c r="AX433" s="211">
        <f>IF(ISNUMBER(AX382),N(AX377)+AX382,"")</f>
        <v>4114</v>
      </c>
      <c r="AY433" s="211">
        <f>IF(ISNUMBER(AY382),N(AY377)+AY382,"")</f>
        <v>11392</v>
      </c>
      <c r="AZ433" s="211">
        <f>IF(ISNUMBER(AZ382),N(AZ377)+AZ382,"")</f>
        <v>10790</v>
      </c>
      <c r="BA433" s="211">
        <f>IF(ISNUMBER(BA382),N(BA377)+BA382,"")</f>
        <v>10786</v>
      </c>
      <c r="BB433" s="211">
        <f>IF(ISNUMBER(BB382),N(BB377)+BB382,"")</f>
        <v>10956</v>
      </c>
      <c r="BC433" s="211">
        <f>IF(ISNUMBER(BC382),N(BC377)+BC382,"")</f>
        <v>10956</v>
      </c>
      <c r="BD433" s="211">
        <f>IF(ISNUMBER(BD382),N(BD377)+BD382,"")</f>
        <v>11663</v>
      </c>
      <c r="BE433" s="211">
        <f>IF(ISNUMBER(BE382),N(BE377)+BE382,"")</f>
        <v>11501</v>
      </c>
      <c r="BF433" s="211">
        <f>IF(ISNUMBER(BF382),N(BF377)+BF382,"")</f>
        <v>11462</v>
      </c>
      <c r="BG433" s="211">
        <f>IF(ISNUMBER(BG382),N(BG377)+BG382,"")</f>
        <v>11459</v>
      </c>
      <c r="BH433" s="211">
        <f>IF(ISNUMBER(BH382),N(BH377)+BH382,"")</f>
        <v>11459</v>
      </c>
      <c r="BI433" s="211">
        <f>IF(ISNUMBER(BI382),N(BI377)+BI382,"")</f>
        <v>11705</v>
      </c>
      <c r="BJ433" s="211">
        <f>IF(ISNUMBER(BJ382),N(BJ377)+BJ382,"")</f>
        <v>11405</v>
      </c>
      <c r="BK433" s="211">
        <f>IF(ISNUMBER(BK382),N(BK377)+BK382,"")</f>
        <v>11402</v>
      </c>
      <c r="BL433" s="211">
        <f>IF(ISNUMBER(BL382),N(BL377)+BL382,"")</f>
        <v>11398</v>
      </c>
      <c r="BM433" s="211">
        <f>IF(ISNUMBER(BM382),N(BM377)+BM382,"")</f>
        <v>11398</v>
      </c>
      <c r="BN433" s="211">
        <f>IF(ISNUMBER(BN382),N(BN377)+BN382,"")</f>
        <v>11391</v>
      </c>
      <c r="BO433" s="211">
        <f>IF(ISNUMBER(BO382),N(BO377)+BO382,"")</f>
        <v>11388</v>
      </c>
      <c r="BP433" s="211">
        <f>IF(ISNUMBER(BP382),N(BP377)+BP382,"")</f>
        <v>11385</v>
      </c>
      <c r="BQ433" s="211">
        <f>IF(ISNUMBER(BQ382),N(BQ377)+BQ382,"")</f>
        <v>13088</v>
      </c>
      <c r="BR433" s="211">
        <f>IF(ISNUMBER(BR382),N(BR377)+BR382,"")</f>
        <v>13088</v>
      </c>
      <c r="BS433" s="211">
        <f>IF(ISNUMBER(BS382),N(BS377)+BS382,"")</f>
        <v>13318</v>
      </c>
      <c r="BT433" s="211">
        <f>IF(ISNUMBER(BT382),N(BT377)+BT382,"")</f>
        <v>15170</v>
      </c>
      <c r="BU433" s="153" t="n"/>
      <c r="BV433" s="153" t="n"/>
      <c r="BW433" s="254">
        <f>BW434+BW440</f>
        <v>13814.8973737703</v>
      </c>
      <c r="BX433" s="254">
        <f>BX434+BX440</f>
        <v>13963.8538541831</v>
      </c>
      <c r="BY433" s="254">
        <f>BY434+BY440</f>
        <v>14956.824555287</v>
      </c>
      <c r="BZ433" s="254">
        <f>BZ434+BZ440</f>
        <v>15928.2187626103</v>
      </c>
      <c r="CA433" s="254">
        <f>CA434+CA440</f>
        <v>16937.8294520171</v>
      </c>
      <c r="CB433" s="254">
        <f>CB434+CB440</f>
        <v>17969.0949720018</v>
      </c>
      <c r="CC433" s="19" t="inlineStr">
        <is>
          <t>$2.0bn commercial paper program backed by a $2.0bn credit agreement to 17-Dec-2029 (commitment fee 7 bp).</t>
        </is>
      </c>
    </row>
    <row r="434" ht="15" customHeight="1" s="251">
      <c r="B434" s="69" t="inlineStr">
        <is>
          <t xml:space="preserve">  Senior notes (carrying amount, incl. current maturities; ex-Mobility notes)</t>
        </is>
      </c>
      <c r="C434" s="44" t="n"/>
      <c r="D434" s="44" t="n"/>
      <c r="E434" s="44" t="n"/>
      <c r="F434" s="44" t="n"/>
      <c r="G434" s="44" t="n"/>
      <c r="H434" s="44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  <c r="R434" s="44" t="n"/>
      <c r="S434" s="44" t="n"/>
      <c r="T434" s="44" t="n"/>
      <c r="U434" s="44" t="n"/>
      <c r="V434" s="44" t="n"/>
      <c r="W434" s="44" t="n"/>
      <c r="X434" s="44" t="n"/>
      <c r="Y434" s="44" t="n"/>
      <c r="Z434" s="44" t="n"/>
      <c r="AA434" s="44" t="n"/>
      <c r="AB434" s="44" t="n"/>
      <c r="AC434" s="44" t="n"/>
      <c r="AD434" s="44" t="n"/>
      <c r="AE434" s="44" t="n"/>
      <c r="AF434" s="44" t="n"/>
      <c r="AG434" s="44" t="n"/>
      <c r="AH434" s="44" t="n"/>
      <c r="AI434" s="44" t="n"/>
      <c r="AJ434" s="44" t="n"/>
      <c r="AK434" s="44" t="n"/>
      <c r="AL434" s="44" t="n"/>
      <c r="AM434" s="44" t="n"/>
      <c r="AN434" s="44" t="n"/>
      <c r="AO434" s="44" t="n"/>
      <c r="AP434" s="44" t="n"/>
      <c r="AQ434" s="44" t="n"/>
      <c r="AR434" s="44" t="n"/>
      <c r="AS434" s="44" t="n"/>
      <c r="AT434" s="44" t="n"/>
      <c r="AU434" s="44" t="n"/>
      <c r="AV434" s="44" t="n"/>
      <c r="AW434" s="44" t="n"/>
      <c r="AX434" s="44" t="n"/>
      <c r="AY434" s="44" t="n"/>
      <c r="AZ434" s="44" t="n"/>
      <c r="BA434" s="44" t="n"/>
      <c r="BB434" s="44" t="n"/>
      <c r="BC434" s="44" t="n"/>
      <c r="BD434" s="44" t="n"/>
      <c r="BE434" s="44" t="n"/>
      <c r="BF434" s="44" t="n"/>
      <c r="BG434" s="44" t="n"/>
      <c r="BH434" s="44" t="n"/>
      <c r="BI434" s="44" t="n"/>
      <c r="BJ434" s="44" t="n"/>
      <c r="BK434" s="44" t="n"/>
      <c r="BL434" s="44" t="n"/>
      <c r="BM434" s="44" t="n"/>
      <c r="BN434" s="44" t="n"/>
      <c r="BO434" s="44" t="n"/>
      <c r="BP434" s="44" t="n"/>
      <c r="BQ434" s="44" t="n"/>
      <c r="BR434" s="44" t="n"/>
      <c r="BS434" s="44" t="n"/>
      <c r="BT434" s="253" t="n">
        <v>12364</v>
      </c>
      <c r="BU434" s="153" t="n"/>
      <c r="BV434" s="153" t="n"/>
      <c r="BW434" s="254">
        <f>BT434-BW436+BW435</f>
        <v>12364</v>
      </c>
      <c r="BX434" s="254">
        <f>BW434-BX436+BX435</f>
        <v>13314.8973737703</v>
      </c>
      <c r="BY434" s="254">
        <f>BX434-BY436+BY435</f>
        <v>13463.8538541831</v>
      </c>
      <c r="BZ434" s="254">
        <f>BY434-BZ436+BZ435</f>
        <v>14456.824555287</v>
      </c>
      <c r="CA434" s="254">
        <f>BZ434-CA436+CA435</f>
        <v>15428.2187626103</v>
      </c>
      <c r="CB434" s="254">
        <f>CA434-CB436+CB435</f>
        <v>16437.8294520171</v>
      </c>
      <c r="CC434" s="19" t="inlineStr">
        <is>
          <t>30-Jun-2026: $15,170m total debt − $825m commercial paper − $1,981m Mobility notes = $12,364m of S&amp;P Global notes (10-Q Note 4).</t>
        </is>
      </c>
    </row>
    <row r="435" ht="15" customHeight="1" s="251">
      <c r="B435" s="69" t="inlineStr">
        <is>
          <t xml:space="preserve">  New notes issued (2026E input; 2027E+ = maturities refinanced + prior year-end CP above $500m termed out)</t>
        </is>
      </c>
      <c r="C435" s="44" t="n"/>
      <c r="D435" s="44" t="n"/>
      <c r="E435" s="44" t="n"/>
      <c r="F435" s="44" t="n"/>
      <c r="G435" s="44" t="n"/>
      <c r="H435" s="44" t="n"/>
      <c r="I435" s="44" t="n"/>
      <c r="J435" s="44" t="n"/>
      <c r="K435" s="44" t="n"/>
      <c r="L435" s="44" t="n"/>
      <c r="M435" s="44" t="n"/>
      <c r="N435" s="44" t="n"/>
      <c r="O435" s="44" t="n"/>
      <c r="P435" s="44" t="n"/>
      <c r="Q435" s="44" t="n"/>
      <c r="R435" s="44" t="n"/>
      <c r="S435" s="44" t="n"/>
      <c r="T435" s="44" t="n"/>
      <c r="U435" s="44" t="n"/>
      <c r="V435" s="44" t="n"/>
      <c r="W435" s="44" t="n"/>
      <c r="X435" s="44" t="n"/>
      <c r="Y435" s="44" t="n"/>
      <c r="Z435" s="44" t="n"/>
      <c r="AA435" s="44" t="n"/>
      <c r="AB435" s="44" t="n"/>
      <c r="AC435" s="44" t="n"/>
      <c r="AD435" s="44" t="n"/>
      <c r="AE435" s="44" t="n"/>
      <c r="AF435" s="44" t="n"/>
      <c r="AG435" s="44" t="n"/>
      <c r="AH435" s="44" t="n"/>
      <c r="AI435" s="44" t="n"/>
      <c r="AJ435" s="44" t="n"/>
      <c r="AK435" s="44" t="n"/>
      <c r="AL435" s="44" t="n"/>
      <c r="AM435" s="44" t="n"/>
      <c r="AN435" s="44" t="n"/>
      <c r="AO435" s="44" t="n"/>
      <c r="AP435" s="44" t="n"/>
      <c r="AQ435" s="44" t="n"/>
      <c r="AR435" s="44" t="n"/>
      <c r="AS435" s="44" t="n"/>
      <c r="AT435" s="44" t="n"/>
      <c r="AU435" s="44" t="n"/>
      <c r="AV435" s="44" t="n"/>
      <c r="AW435" s="44" t="n"/>
      <c r="AX435" s="44" t="n"/>
      <c r="AY435" s="44" t="n"/>
      <c r="AZ435" s="44" t="n"/>
      <c r="BA435" s="44" t="n"/>
      <c r="BB435" s="44" t="n"/>
      <c r="BC435" s="44" t="n"/>
      <c r="BD435" s="44" t="n"/>
      <c r="BE435" s="44" t="n"/>
      <c r="BF435" s="44" t="n"/>
      <c r="BG435" s="44" t="n"/>
      <c r="BH435" s="44" t="n"/>
      <c r="BI435" s="44" t="n"/>
      <c r="BJ435" s="44" t="n"/>
      <c r="BK435" s="44" t="n"/>
      <c r="BL435" s="44" t="n"/>
      <c r="BM435" s="44" t="n"/>
      <c r="BN435" s="44" t="n"/>
      <c r="BO435" s="44" t="n"/>
      <c r="BP435" s="44" t="n"/>
      <c r="BQ435" s="44" t="n"/>
      <c r="BR435" s="44" t="n"/>
      <c r="BS435" s="44" t="n"/>
      <c r="BT435" s="44" t="n"/>
      <c r="BU435" s="153" t="n"/>
      <c r="BV435" s="153" t="n"/>
      <c r="BW435" s="265" t="n">
        <v>0</v>
      </c>
      <c r="BX435" s="254">
        <f>BX436+MAX(0,BW440-500)</f>
        <v>2700.8973737703</v>
      </c>
      <c r="BY435" s="254">
        <f>BY436+MAX(0,BX440-500)</f>
        <v>848.956480412754</v>
      </c>
      <c r="BZ435" s="254">
        <f>BZ436+MAX(0,BY440-500)</f>
        <v>3642.97070110395</v>
      </c>
      <c r="CA435" s="254">
        <f>CA436+MAX(0,BZ440-500)</f>
        <v>1571.39420732333</v>
      </c>
      <c r="CB435" s="254">
        <f>CB436+MAX(0,CA440-500)</f>
        <v>1609.61068940676</v>
      </c>
      <c r="CC435" s="19" t="inlineStr">
        <is>
          <t>Assumption: maturities refinanced in full; commercial paper above $500m at the prior year end is termed out into new notes, so CP stays within the $2.0bn facility.</t>
        </is>
      </c>
    </row>
    <row r="436" ht="15" customHeight="1" s="251">
      <c r="B436" s="69" t="inlineStr">
        <is>
          <t xml:space="preserve">  Notes repaid at maturity (input)</t>
        </is>
      </c>
      <c r="C436" s="44" t="n"/>
      <c r="D436" s="44" t="n"/>
      <c r="E436" s="44" t="n"/>
      <c r="F436" s="44" t="n"/>
      <c r="G436" s="44" t="n"/>
      <c r="H436" s="44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  <c r="R436" s="44" t="n"/>
      <c r="S436" s="44" t="n"/>
      <c r="T436" s="44" t="n"/>
      <c r="U436" s="44" t="n"/>
      <c r="V436" s="44" t="n"/>
      <c r="W436" s="44" t="n"/>
      <c r="X436" s="44" t="n"/>
      <c r="Y436" s="44" t="n"/>
      <c r="Z436" s="44" t="n"/>
      <c r="AA436" s="44" t="n"/>
      <c r="AB436" s="44" t="n"/>
      <c r="AC436" s="44" t="n"/>
      <c r="AD436" s="44" t="n"/>
      <c r="AE436" s="44" t="n"/>
      <c r="AF436" s="44" t="n"/>
      <c r="AG436" s="44" t="n"/>
      <c r="AH436" s="44" t="n"/>
      <c r="AI436" s="44" t="n"/>
      <c r="AJ436" s="44" t="n"/>
      <c r="AK436" s="44" t="n"/>
      <c r="AL436" s="44" t="n"/>
      <c r="AM436" s="44" t="n"/>
      <c r="AN436" s="44" t="n"/>
      <c r="AO436" s="44" t="n"/>
      <c r="AP436" s="44" t="n"/>
      <c r="AQ436" s="44" t="n"/>
      <c r="AR436" s="44" t="n"/>
      <c r="AS436" s="44" t="n"/>
      <c r="AT436" s="44" t="n"/>
      <c r="AU436" s="44" t="n"/>
      <c r="AV436" s="44" t="n"/>
      <c r="AW436" s="44" t="n"/>
      <c r="AX436" s="44" t="n"/>
      <c r="AY436" s="44" t="n"/>
      <c r="AZ436" s="44" t="n"/>
      <c r="BA436" s="44" t="n"/>
      <c r="BB436" s="44" t="n"/>
      <c r="BC436" s="44" t="n"/>
      <c r="BD436" s="44" t="n"/>
      <c r="BE436" s="44" t="n"/>
      <c r="BF436" s="44" t="n"/>
      <c r="BG436" s="44" t="n"/>
      <c r="BH436" s="44" t="n"/>
      <c r="BI436" s="44" t="n"/>
      <c r="BJ436" s="44" t="n"/>
      <c r="BK436" s="44" t="n"/>
      <c r="BL436" s="44" t="n"/>
      <c r="BM436" s="44" t="n"/>
      <c r="BN436" s="44" t="n"/>
      <c r="BO436" s="44" t="n"/>
      <c r="BP436" s="44" t="n"/>
      <c r="BQ436" s="44" t="n"/>
      <c r="BR436" s="44" t="n"/>
      <c r="BS436" s="44" t="n"/>
      <c r="BT436" s="44" t="n"/>
      <c r="BU436" s="153" t="n"/>
      <c r="BV436" s="153" t="n"/>
      <c r="BW436" s="265" t="n">
        <v>0</v>
      </c>
      <c r="BX436" s="265" t="n">
        <v>1750</v>
      </c>
      <c r="BY436" s="265" t="n">
        <v>700</v>
      </c>
      <c r="BZ436" s="265" t="n">
        <v>2650</v>
      </c>
      <c r="CA436" s="265" t="n">
        <v>600</v>
      </c>
      <c r="CB436" s="265" t="n">
        <v>600</v>
      </c>
      <c r="CC436" s="19" t="inlineStr">
        <is>
          <t>Face amounts (10-Q Note 4 / 10-K): 2027 $500m 2.95% (Jan) + $1,250m 2.45% (Mar); 2028 $700m 4.75%; 2029 $921m 4.25% + $500m 2.5% + $1,227m 2.95% SLB; 2030 $600m 1.25%; 2031 $600m 4.25%; 2032 $1,500m 2.90%. Assumed refinanced in full (input row above).</t>
        </is>
      </c>
    </row>
    <row r="437" ht="15" customHeight="1" s="251">
      <c r="B437" s="69" t="inlineStr">
        <is>
          <t xml:space="preserve">  Maturities in the following year (current portion)</t>
        </is>
      </c>
      <c r="C437" s="44" t="n"/>
      <c r="D437" s="44" t="n"/>
      <c r="E437" s="44" t="n"/>
      <c r="F437" s="44" t="n"/>
      <c r="G437" s="44" t="n"/>
      <c r="H437" s="44" t="n"/>
      <c r="I437" s="44" t="n"/>
      <c r="J437" s="44" t="n"/>
      <c r="K437" s="44" t="n"/>
      <c r="L437" s="44" t="n"/>
      <c r="M437" s="44" t="n"/>
      <c r="N437" s="44" t="n"/>
      <c r="O437" s="44" t="n"/>
      <c r="P437" s="44" t="n"/>
      <c r="Q437" s="44" t="n"/>
      <c r="R437" s="44" t="n"/>
      <c r="S437" s="44" t="n"/>
      <c r="T437" s="44" t="n"/>
      <c r="U437" s="44" t="n"/>
      <c r="V437" s="44" t="n"/>
      <c r="W437" s="44" t="n"/>
      <c r="X437" s="44" t="n"/>
      <c r="Y437" s="44" t="n"/>
      <c r="Z437" s="44" t="n"/>
      <c r="AA437" s="44" t="n"/>
      <c r="AB437" s="44" t="n"/>
      <c r="AC437" s="44" t="n"/>
      <c r="AD437" s="44" t="n"/>
      <c r="AE437" s="44" t="n"/>
      <c r="AF437" s="44" t="n"/>
      <c r="AG437" s="44" t="n"/>
      <c r="AH437" s="44" t="n"/>
      <c r="AI437" s="44" t="n"/>
      <c r="AJ437" s="44" t="n"/>
      <c r="AK437" s="44" t="n"/>
      <c r="AL437" s="44" t="n"/>
      <c r="AM437" s="44" t="n"/>
      <c r="AN437" s="44" t="n"/>
      <c r="AO437" s="44" t="n"/>
      <c r="AP437" s="44" t="n"/>
      <c r="AQ437" s="44" t="n"/>
      <c r="AR437" s="44" t="n"/>
      <c r="AS437" s="44" t="n"/>
      <c r="AT437" s="44" t="n"/>
      <c r="AU437" s="44" t="n"/>
      <c r="AV437" s="44" t="n"/>
      <c r="AW437" s="44" t="n"/>
      <c r="AX437" s="44" t="n"/>
      <c r="AY437" s="44" t="n"/>
      <c r="AZ437" s="44" t="n"/>
      <c r="BA437" s="44" t="n"/>
      <c r="BB437" s="44" t="n"/>
      <c r="BC437" s="44" t="n"/>
      <c r="BD437" s="44" t="n"/>
      <c r="BE437" s="44" t="n"/>
      <c r="BF437" s="44" t="n"/>
      <c r="BG437" s="44" t="n"/>
      <c r="BH437" s="44" t="n"/>
      <c r="BI437" s="44" t="n"/>
      <c r="BJ437" s="44" t="n"/>
      <c r="BK437" s="44" t="n"/>
      <c r="BL437" s="44" t="n"/>
      <c r="BM437" s="44" t="n"/>
      <c r="BN437" s="44" t="n"/>
      <c r="BO437" s="44" t="n"/>
      <c r="BP437" s="44" t="n"/>
      <c r="BQ437" s="44" t="n"/>
      <c r="BR437" s="44" t="n"/>
      <c r="BS437" s="44" t="n"/>
      <c r="BT437" s="44" t="n"/>
      <c r="BU437" s="153" t="n"/>
      <c r="BV437" s="153" t="n"/>
      <c r="BW437" s="265" t="n">
        <v>1750</v>
      </c>
      <c r="BX437" s="265" t="n">
        <v>700</v>
      </c>
      <c r="BY437" s="265" t="n">
        <v>2650</v>
      </c>
      <c r="BZ437" s="265" t="n">
        <v>600</v>
      </c>
      <c r="CA437" s="265" t="n">
        <v>600</v>
      </c>
      <c r="CB437" s="265" t="n">
        <v>1500</v>
      </c>
      <c r="CC437" s="19" t="n"/>
    </row>
    <row r="438" ht="15" customHeight="1" s="251">
      <c r="B438" s="69" t="inlineStr">
        <is>
          <t xml:space="preserve">  Cash before commercial-paper draws / repayments (opening cash + CFO + CFI + buybacks, dividends, NCI, spin, other financing + FX − notes repaid + issued)</t>
        </is>
      </c>
      <c r="C438" s="44" t="n"/>
      <c r="D438" s="44" t="n"/>
      <c r="E438" s="44" t="n"/>
      <c r="F438" s="44" t="n"/>
      <c r="G438" s="44" t="n"/>
      <c r="H438" s="44" t="n"/>
      <c r="I438" s="44" t="n"/>
      <c r="J438" s="44" t="n"/>
      <c r="K438" s="44" t="n"/>
      <c r="L438" s="44" t="n"/>
      <c r="M438" s="44" t="n"/>
      <c r="N438" s="44" t="n"/>
      <c r="O438" s="44" t="n"/>
      <c r="P438" s="44" t="n"/>
      <c r="Q438" s="44" t="n"/>
      <c r="R438" s="44" t="n"/>
      <c r="S438" s="44" t="n"/>
      <c r="T438" s="44" t="n"/>
      <c r="U438" s="44" t="n"/>
      <c r="V438" s="44" t="n"/>
      <c r="W438" s="44" t="n"/>
      <c r="X438" s="44" t="n"/>
      <c r="Y438" s="44" t="n"/>
      <c r="Z438" s="44" t="n"/>
      <c r="AA438" s="44" t="n"/>
      <c r="AB438" s="44" t="n"/>
      <c r="AC438" s="44" t="n"/>
      <c r="AD438" s="44" t="n"/>
      <c r="AE438" s="44" t="n"/>
      <c r="AF438" s="44" t="n"/>
      <c r="AG438" s="44" t="n"/>
      <c r="AH438" s="44" t="n"/>
      <c r="AI438" s="44" t="n"/>
      <c r="AJ438" s="44" t="n"/>
      <c r="AK438" s="44" t="n"/>
      <c r="AL438" s="44" t="n"/>
      <c r="AM438" s="44" t="n"/>
      <c r="AN438" s="44" t="n"/>
      <c r="AO438" s="44" t="n"/>
      <c r="AP438" s="44" t="n"/>
      <c r="AQ438" s="44" t="n"/>
      <c r="AR438" s="44" t="n"/>
      <c r="AS438" s="44" t="n"/>
      <c r="AT438" s="44" t="n"/>
      <c r="AU438" s="44" t="n"/>
      <c r="AV438" s="44" t="n"/>
      <c r="AW438" s="44" t="n"/>
      <c r="AX438" s="44" t="n"/>
      <c r="AY438" s="44" t="n"/>
      <c r="AZ438" s="44" t="n"/>
      <c r="BA438" s="44" t="n"/>
      <c r="BB438" s="44" t="n"/>
      <c r="BC438" s="44" t="n"/>
      <c r="BD438" s="44" t="n"/>
      <c r="BE438" s="44" t="n"/>
      <c r="BF438" s="44" t="n"/>
      <c r="BG438" s="44" t="n"/>
      <c r="BH438" s="44" t="n"/>
      <c r="BI438" s="44" t="n"/>
      <c r="BJ438" s="44" t="n"/>
      <c r="BK438" s="44" t="n"/>
      <c r="BL438" s="44" t="n"/>
      <c r="BM438" s="44" t="n"/>
      <c r="BN438" s="44" t="n"/>
      <c r="BO438" s="44" t="n"/>
      <c r="BP438" s="44" t="n"/>
      <c r="BQ438" s="44" t="n"/>
      <c r="BR438" s="44" t="n"/>
      <c r="BS438" s="44" t="n"/>
      <c r="BT438" s="44" t="n"/>
      <c r="BU438" s="153" t="n"/>
      <c r="BV438" s="153" t="n"/>
      <c r="BW438" s="254">
        <f>BT363+(BW319-SUM(BS319:BT319))+(BW324-SUM(BS324:BT324))+(BW325-SUM(BS325:BT325))+(BW326-SUM(BS326:BT326))+(BW327-SUM(BS327:BT327))+BW329+(BW330-SUM(BS330:BT330))+(BW332-SUM(BS332:BT332))-BW436+BW435</f>
        <v>874.102626229697</v>
      </c>
      <c r="BX438" s="254">
        <f>BX334+BX319+BX324+BX325+BX326+BX327+BX329+BX330+BX332-BX436+BX435</f>
        <v>2301.94089335755</v>
      </c>
      <c r="BY438" s="254">
        <f>BY334+BY319+BY324+BY325+BY326+BY327+BY329+BY330+BY332-BY436+BY435</f>
        <v>655.9857793088</v>
      </c>
      <c r="BZ438" s="254">
        <f>BZ334+BZ319+BZ324+BZ325+BZ326+BZ327+BZ329+BZ330+BZ332-BZ436+BZ435</f>
        <v>1521.57649378062</v>
      </c>
      <c r="CA438" s="254">
        <f>CA334+CA319+CA324+CA325+CA326+CA327+CA329+CA330+CA332-CA436+CA435</f>
        <v>1461.78351791657</v>
      </c>
      <c r="CB438" s="254">
        <f>CB334+CB319+CB324+CB325+CB326+CB327+CB329+CB330+CB332-CB436+CB435</f>
        <v>1478.34516942212</v>
      </c>
      <c r="CC438" s="19" t="n"/>
    </row>
    <row r="439" ht="15" customHeight="1" s="251">
      <c r="B439" s="69" t="inlineStr">
        <is>
          <t xml:space="preserve">  Minimum cash balance</t>
        </is>
      </c>
      <c r="C439" s="44" t="n"/>
      <c r="D439" s="44" t="n"/>
      <c r="E439" s="44" t="n"/>
      <c r="F439" s="44" t="n"/>
      <c r="G439" s="44" t="n"/>
      <c r="H439" s="44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  <c r="R439" s="44" t="n"/>
      <c r="S439" s="44" t="n"/>
      <c r="T439" s="44" t="n"/>
      <c r="U439" s="44" t="n"/>
      <c r="V439" s="44" t="n"/>
      <c r="W439" s="44" t="n"/>
      <c r="X439" s="44" t="n"/>
      <c r="Y439" s="44" t="n"/>
      <c r="Z439" s="44" t="n"/>
      <c r="AA439" s="44" t="n"/>
      <c r="AB439" s="44" t="n"/>
      <c r="AC439" s="44" t="n"/>
      <c r="AD439" s="44" t="n"/>
      <c r="AE439" s="44" t="n"/>
      <c r="AF439" s="44" t="n"/>
      <c r="AG439" s="44" t="n"/>
      <c r="AH439" s="44" t="n"/>
      <c r="AI439" s="44" t="n"/>
      <c r="AJ439" s="44" t="n"/>
      <c r="AK439" s="44" t="n"/>
      <c r="AL439" s="44" t="n"/>
      <c r="AM439" s="44" t="n"/>
      <c r="AN439" s="44" t="n"/>
      <c r="AO439" s="44" t="n"/>
      <c r="AP439" s="44" t="n"/>
      <c r="AQ439" s="44" t="n"/>
      <c r="AR439" s="44" t="n"/>
      <c r="AS439" s="44" t="n"/>
      <c r="AT439" s="44" t="n"/>
      <c r="AU439" s="44" t="n"/>
      <c r="AV439" s="44" t="n"/>
      <c r="AW439" s="44" t="n"/>
      <c r="AX439" s="44" t="n"/>
      <c r="AY439" s="44" t="n"/>
      <c r="AZ439" s="44" t="n"/>
      <c r="BA439" s="44" t="n"/>
      <c r="BB439" s="44" t="n"/>
      <c r="BC439" s="44" t="n"/>
      <c r="BD439" s="44" t="n"/>
      <c r="BE439" s="44" t="n"/>
      <c r="BF439" s="44" t="n"/>
      <c r="BG439" s="44" t="n"/>
      <c r="BH439" s="44" t="n"/>
      <c r="BI439" s="44" t="n"/>
      <c r="BJ439" s="44" t="n"/>
      <c r="BK439" s="44" t="n"/>
      <c r="BL439" s="44" t="n"/>
      <c r="BM439" s="44" t="n"/>
      <c r="BN439" s="44" t="n"/>
      <c r="BO439" s="44" t="n"/>
      <c r="BP439" s="44" t="n"/>
      <c r="BQ439" s="44" t="n"/>
      <c r="BR439" s="44" t="n"/>
      <c r="BS439" s="44" t="n"/>
      <c r="BT439" s="44" t="n"/>
      <c r="BU439" s="153" t="n"/>
      <c r="BV439" s="153" t="n"/>
      <c r="BW439" s="265" t="n">
        <v>1500</v>
      </c>
      <c r="BX439" s="265" t="n">
        <v>1500</v>
      </c>
      <c r="BY439" s="265" t="n">
        <v>1500</v>
      </c>
      <c r="BZ439" s="265" t="n">
        <v>1500</v>
      </c>
      <c r="CA439" s="265" t="n">
        <v>1500</v>
      </c>
      <c r="CB439" s="265" t="n">
        <v>1500</v>
      </c>
      <c r="CC439" s="19" t="n"/>
    </row>
    <row r="440" ht="15" customHeight="1" s="251">
      <c r="B440" s="69" t="inlineStr">
        <is>
          <t xml:space="preserve">  Commercial paper (year end)</t>
        </is>
      </c>
      <c r="C440" s="44" t="n"/>
      <c r="D440" s="44" t="n"/>
      <c r="E440" s="44" t="n"/>
      <c r="F440" s="44" t="n"/>
      <c r="G440" s="44" t="n"/>
      <c r="H440" s="44" t="n"/>
      <c r="I440" s="44" t="n"/>
      <c r="J440" s="44" t="n"/>
      <c r="K440" s="44" t="n"/>
      <c r="L440" s="44" t="n"/>
      <c r="M440" s="44" t="n"/>
      <c r="N440" s="44" t="n"/>
      <c r="O440" s="44" t="n"/>
      <c r="P440" s="44" t="n"/>
      <c r="Q440" s="44" t="n"/>
      <c r="R440" s="44" t="n"/>
      <c r="S440" s="44" t="n"/>
      <c r="T440" s="44" t="n"/>
      <c r="U440" s="44" t="n"/>
      <c r="V440" s="44" t="n"/>
      <c r="W440" s="44" t="n"/>
      <c r="X440" s="44" t="n"/>
      <c r="Y440" s="44" t="n"/>
      <c r="Z440" s="44" t="n"/>
      <c r="AA440" s="44" t="n"/>
      <c r="AB440" s="44" t="n"/>
      <c r="AC440" s="44" t="n"/>
      <c r="AD440" s="44" t="n"/>
      <c r="AE440" s="44" t="n"/>
      <c r="AF440" s="44" t="n"/>
      <c r="AG440" s="44" t="n"/>
      <c r="AH440" s="44" t="n"/>
      <c r="AI440" s="44" t="n"/>
      <c r="AJ440" s="44" t="n"/>
      <c r="AK440" s="44" t="n"/>
      <c r="AL440" s="44" t="n"/>
      <c r="AM440" s="44" t="n"/>
      <c r="AN440" s="44" t="n"/>
      <c r="AO440" s="44" t="n"/>
      <c r="AP440" s="44" t="n"/>
      <c r="AQ440" s="44" t="n"/>
      <c r="AR440" s="44" t="n"/>
      <c r="AS440" s="44" t="n"/>
      <c r="AT440" s="44" t="n"/>
      <c r="AU440" s="44" t="n"/>
      <c r="AV440" s="44" t="n"/>
      <c r="AW440" s="44" t="n"/>
      <c r="AX440" s="44" t="n"/>
      <c r="AY440" s="44" t="n"/>
      <c r="AZ440" s="44" t="n"/>
      <c r="BA440" s="44" t="n"/>
      <c r="BB440" s="44" t="n"/>
      <c r="BC440" s="44" t="n"/>
      <c r="BD440" s="44" t="n"/>
      <c r="BE440" s="44" t="n"/>
      <c r="BF440" s="44" t="n"/>
      <c r="BG440" s="44" t="n"/>
      <c r="BH440" s="44" t="n"/>
      <c r="BI440" s="44" t="n"/>
      <c r="BJ440" s="44" t="n"/>
      <c r="BK440" s="44" t="n"/>
      <c r="BL440" s="44" t="n"/>
      <c r="BM440" s="44" t="n"/>
      <c r="BN440" s="44" t="n"/>
      <c r="BO440" s="44" t="n"/>
      <c r="BP440" s="44" t="n"/>
      <c r="BQ440" s="44" t="n"/>
      <c r="BR440" s="44" t="n"/>
      <c r="BS440" s="44" t="n"/>
      <c r="BT440" s="253" t="n">
        <v>825</v>
      </c>
      <c r="BU440" s="153" t="n"/>
      <c r="BV440" s="153" t="n"/>
      <c r="BW440" s="254">
        <f>MAX(0,BT440+BW439-BW438)</f>
        <v>1450.8973737703</v>
      </c>
      <c r="BX440" s="254">
        <f>MAX(0,BW440+BX439-BX438)</f>
        <v>648.956480412754</v>
      </c>
      <c r="BY440" s="254">
        <f>MAX(0,BX440+BY439-BY438)</f>
        <v>1492.97070110395</v>
      </c>
      <c r="BZ440" s="254">
        <f>MAX(0,BY440+BZ439-BZ438)</f>
        <v>1471.39420732333</v>
      </c>
      <c r="CA440" s="254">
        <f>MAX(0,BZ440+CA439-CA438)</f>
        <v>1509.61068940676</v>
      </c>
      <c r="CB440" s="254">
        <f>MAX(0,CA440+CB439-CB438)</f>
        <v>1531.26551998465</v>
      </c>
      <c r="CC440" s="19" t="inlineStr">
        <is>
          <t>$2.0bn CP program backed by the $2.0bn credit facility (to Dec-2029); $825m outstanding at 30-Jun-2026. Shortfalls below the minimum cash balance are drawn; surplus repays CP.</t>
        </is>
      </c>
    </row>
    <row r="441" ht="15" customHeight="1" s="251">
      <c r="B441" s="156" t="inlineStr">
        <is>
          <t xml:space="preserve">  Memo: CP headroom vs the $2.0bn facility (negative = would need term debt)</t>
        </is>
      </c>
      <c r="C441" s="44" t="n"/>
      <c r="D441" s="44" t="n"/>
      <c r="E441" s="44" t="n"/>
      <c r="F441" s="44" t="n"/>
      <c r="G441" s="44" t="n"/>
      <c r="H441" s="44" t="n"/>
      <c r="I441" s="44" t="n"/>
      <c r="J441" s="44" t="n"/>
      <c r="K441" s="44" t="n"/>
      <c r="L441" s="44" t="n"/>
      <c r="M441" s="44" t="n"/>
      <c r="N441" s="44" t="n"/>
      <c r="O441" s="44" t="n"/>
      <c r="P441" s="44" t="n"/>
      <c r="Q441" s="44" t="n"/>
      <c r="R441" s="44" t="n"/>
      <c r="S441" s="44" t="n"/>
      <c r="T441" s="44" t="n"/>
      <c r="U441" s="44" t="n"/>
      <c r="V441" s="44" t="n"/>
      <c r="W441" s="44" t="n"/>
      <c r="X441" s="44" t="n"/>
      <c r="Y441" s="44" t="n"/>
      <c r="Z441" s="44" t="n"/>
      <c r="AA441" s="44" t="n"/>
      <c r="AB441" s="44" t="n"/>
      <c r="AC441" s="44" t="n"/>
      <c r="AD441" s="44" t="n"/>
      <c r="AE441" s="44" t="n"/>
      <c r="AF441" s="44" t="n"/>
      <c r="AG441" s="44" t="n"/>
      <c r="AH441" s="44" t="n"/>
      <c r="AI441" s="44" t="n"/>
      <c r="AJ441" s="44" t="n"/>
      <c r="AK441" s="44" t="n"/>
      <c r="AL441" s="44" t="n"/>
      <c r="AM441" s="44" t="n"/>
      <c r="AN441" s="44" t="n"/>
      <c r="AO441" s="44" t="n"/>
      <c r="AP441" s="44" t="n"/>
      <c r="AQ441" s="44" t="n"/>
      <c r="AR441" s="44" t="n"/>
      <c r="AS441" s="44" t="n"/>
      <c r="AT441" s="44" t="n"/>
      <c r="AU441" s="44" t="n"/>
      <c r="AV441" s="44" t="n"/>
      <c r="AW441" s="44" t="n"/>
      <c r="AX441" s="44" t="n"/>
      <c r="AY441" s="44" t="n"/>
      <c r="AZ441" s="44" t="n"/>
      <c r="BA441" s="44" t="n"/>
      <c r="BB441" s="44" t="n"/>
      <c r="BC441" s="44" t="n"/>
      <c r="BD441" s="44" t="n"/>
      <c r="BE441" s="44" t="n"/>
      <c r="BF441" s="44" t="n"/>
      <c r="BG441" s="44" t="n"/>
      <c r="BH441" s="44" t="n"/>
      <c r="BI441" s="44" t="n"/>
      <c r="BJ441" s="44" t="n"/>
      <c r="BK441" s="44" t="n"/>
      <c r="BL441" s="44" t="n"/>
      <c r="BM441" s="44" t="n"/>
      <c r="BN441" s="44" t="n"/>
      <c r="BO441" s="44" t="n"/>
      <c r="BP441" s="44" t="n"/>
      <c r="BQ441" s="44" t="n"/>
      <c r="BR441" s="44" t="n"/>
      <c r="BS441" s="44" t="n"/>
      <c r="BT441" s="44" t="n"/>
      <c r="BU441" s="35" t="n"/>
      <c r="BV441" s="35" t="n"/>
      <c r="BW441" s="254">
        <f>2000-BW440</f>
        <v>549.102626229696</v>
      </c>
      <c r="BX441" s="254">
        <f>2000-BX440</f>
        <v>1351.04351958725</v>
      </c>
      <c r="BY441" s="254">
        <f>2000-BY440</f>
        <v>507.029298896046</v>
      </c>
      <c r="BZ441" s="254">
        <f>2000-BZ440</f>
        <v>528.605792676668</v>
      </c>
      <c r="CA441" s="254">
        <f>2000-CA440</f>
        <v>490.389310593237</v>
      </c>
      <c r="CB441" s="254">
        <f>2000-CB440</f>
        <v>468.734480015353</v>
      </c>
      <c r="CC441" s="153" t="n"/>
    </row>
    <row r="442" ht="15" customHeight="1" s="251">
      <c r="B442" s="69" t="inlineStr">
        <is>
          <t xml:space="preserve">  Net issuance / (repayment)</t>
        </is>
      </c>
      <c r="C442" s="44" t="n"/>
      <c r="D442" s="44" t="n"/>
      <c r="E442" s="44" t="n"/>
      <c r="F442" s="44" t="n"/>
      <c r="G442" s="44" t="n"/>
      <c r="H442" s="44" t="n"/>
      <c r="I442" s="44" t="n"/>
      <c r="J442" s="44" t="n"/>
      <c r="K442" s="44" t="n"/>
      <c r="L442" s="44" t="n"/>
      <c r="M442" s="44" t="n"/>
      <c r="N442" s="44" t="n"/>
      <c r="O442" s="44" t="n"/>
      <c r="P442" s="44" t="n"/>
      <c r="Q442" s="44" t="n"/>
      <c r="R442" s="44" t="n"/>
      <c r="S442" s="44" t="n"/>
      <c r="T442" s="44" t="n"/>
      <c r="U442" s="44" t="n"/>
      <c r="V442" s="44" t="n"/>
      <c r="W442" s="44" t="n"/>
      <c r="X442" s="44" t="n"/>
      <c r="Y442" s="44" t="n"/>
      <c r="Z442" s="44" t="n"/>
      <c r="AA442" s="44" t="n"/>
      <c r="AB442" s="44" t="n"/>
      <c r="AC442" s="44" t="n"/>
      <c r="AD442" s="44" t="n"/>
      <c r="AE442" s="44" t="n"/>
      <c r="AF442" s="44" t="n"/>
      <c r="AG442" s="44" t="n"/>
      <c r="AH442" s="44" t="n"/>
      <c r="AI442" s="44" t="n"/>
      <c r="AJ442" s="44" t="n"/>
      <c r="AK442" s="44" t="n"/>
      <c r="AL442" s="44" t="n"/>
      <c r="AM442" s="44" t="n"/>
      <c r="AN442" s="44" t="n"/>
      <c r="AO442" s="44" t="n"/>
      <c r="AP442" s="44" t="n"/>
      <c r="AQ442" s="44" t="n"/>
      <c r="AR442" s="44" t="n"/>
      <c r="AS442" s="44" t="n"/>
      <c r="AT442" s="44" t="n"/>
      <c r="AU442" s="44" t="n"/>
      <c r="AV442" s="44" t="n"/>
      <c r="AW442" s="44" t="n"/>
      <c r="AX442" s="44" t="n"/>
      <c r="AY442" s="44" t="n"/>
      <c r="AZ442" s="44" t="n"/>
      <c r="BA442" s="44" t="n"/>
      <c r="BB442" s="44" t="n"/>
      <c r="BC442" s="44" t="n"/>
      <c r="BD442" s="44" t="n"/>
      <c r="BE442" s="44" t="n"/>
      <c r="BF442" s="44" t="n"/>
      <c r="BG442" s="44" t="n"/>
      <c r="BH442" s="44" t="n"/>
      <c r="BI442" s="44" t="n"/>
      <c r="BJ442" s="44" t="n"/>
      <c r="BK442" s="44" t="n"/>
      <c r="BL442" s="44" t="n"/>
      <c r="BM442" s="44" t="n"/>
      <c r="BN442" s="44" t="n"/>
      <c r="BO442" s="44" t="n"/>
      <c r="BP442" s="44" t="n"/>
      <c r="BQ442" s="44" t="n"/>
      <c r="BR442" s="44" t="n"/>
      <c r="BS442" s="44" t="n"/>
      <c r="BT442" s="44" t="n"/>
      <c r="BU442" s="153" t="n"/>
      <c r="BV442" s="153" t="n"/>
      <c r="BW442" s="254">
        <f>IFERROR(BW433-BR433,"")</f>
        <v>726.897373770304</v>
      </c>
      <c r="BX442" s="254">
        <f>IFERROR(BX433-BW433,"")</f>
        <v>148.956480412753</v>
      </c>
      <c r="BY442" s="254">
        <f>IFERROR(BY433-BX433,"")</f>
        <v>992.970701103954</v>
      </c>
      <c r="BZ442" s="254">
        <f>IFERROR(BZ433-BY433,"")</f>
        <v>971.394207323332</v>
      </c>
      <c r="CA442" s="254">
        <f>IFERROR(CA433-BZ433,"")</f>
        <v>1009.61068940676</v>
      </c>
      <c r="CB442" s="254">
        <f>IFERROR(CB433-CA433,"")</f>
        <v>1031.26551998465</v>
      </c>
      <c r="CC442" s="19" t="n"/>
    </row>
    <row r="443" ht="15" customHeight="1" s="251">
      <c r="B443" s="69" t="inlineStr">
        <is>
          <t xml:space="preserve">  Interest rate on opening notes %</t>
        </is>
      </c>
      <c r="C443" s="44" t="n"/>
      <c r="D443" s="44" t="n"/>
      <c r="E443" s="44" t="n"/>
      <c r="F443" s="44" t="n"/>
      <c r="G443" s="44" t="n"/>
      <c r="H443" s="44" t="n"/>
      <c r="I443" s="44" t="n"/>
      <c r="J443" s="44" t="n"/>
      <c r="K443" s="44" t="n"/>
      <c r="L443" s="44" t="n"/>
      <c r="M443" s="44" t="n"/>
      <c r="N443" s="44" t="n"/>
      <c r="O443" s="44" t="n"/>
      <c r="P443" s="44" t="n"/>
      <c r="Q443" s="44" t="n"/>
      <c r="R443" s="44" t="n"/>
      <c r="S443" s="44" t="n"/>
      <c r="T443" s="44" t="n"/>
      <c r="U443" s="44" t="n"/>
      <c r="V443" s="44" t="n"/>
      <c r="W443" s="44" t="n"/>
      <c r="X443" s="44" t="n"/>
      <c r="Y443" s="44" t="n"/>
      <c r="Z443" s="44" t="n"/>
      <c r="AA443" s="44" t="n"/>
      <c r="AB443" s="44" t="n"/>
      <c r="AC443" s="44" t="n"/>
      <c r="AD443" s="44" t="n"/>
      <c r="AE443" s="44" t="n"/>
      <c r="AF443" s="44" t="n"/>
      <c r="AG443" s="44" t="n"/>
      <c r="AH443" s="44" t="n"/>
      <c r="AI443" s="44" t="n"/>
      <c r="AJ443" s="44" t="n"/>
      <c r="AK443" s="44" t="n"/>
      <c r="AL443" s="44" t="n"/>
      <c r="AM443" s="44" t="n"/>
      <c r="AN443" s="44" t="n"/>
      <c r="AO443" s="44" t="n"/>
      <c r="AP443" s="44" t="n"/>
      <c r="AQ443" s="44" t="n"/>
      <c r="AR443" s="44" t="n"/>
      <c r="AS443" s="44" t="n"/>
      <c r="AT443" s="44" t="n"/>
      <c r="AU443" s="44" t="n"/>
      <c r="AV443" s="44" t="n"/>
      <c r="AW443" s="44" t="n"/>
      <c r="AX443" s="44" t="n"/>
      <c r="AY443" s="44" t="n"/>
      <c r="AZ443" s="44" t="n"/>
      <c r="BA443" s="44" t="n"/>
      <c r="BB443" s="44" t="n"/>
      <c r="BC443" s="44" t="n"/>
      <c r="BD443" s="44" t="n"/>
      <c r="BE443" s="44" t="n"/>
      <c r="BF443" s="44" t="n"/>
      <c r="BG443" s="44" t="n"/>
      <c r="BH443" s="44" t="n"/>
      <c r="BI443" s="44" t="n"/>
      <c r="BJ443" s="44" t="n"/>
      <c r="BK443" s="44" t="n"/>
      <c r="BL443" s="44" t="n"/>
      <c r="BM443" s="44" t="n"/>
      <c r="BN443" s="44" t="n"/>
      <c r="BO443" s="44" t="n"/>
      <c r="BP443" s="44" t="n"/>
      <c r="BQ443" s="44" t="n"/>
      <c r="BR443" s="44" t="n"/>
      <c r="BS443" s="44" t="n"/>
      <c r="BT443" s="44" t="n"/>
      <c r="BU443" s="153" t="n"/>
      <c r="BV443" s="153" t="n"/>
      <c r="BW443" s="35" t="n"/>
      <c r="BX443" s="264" t="n">
        <v>0.0335</v>
      </c>
      <c r="BY443" s="264" t="n">
        <v>0.0345</v>
      </c>
      <c r="BZ443" s="264" t="n">
        <v>0.0365</v>
      </c>
      <c r="CA443" s="264" t="n">
        <v>0.0375</v>
      </c>
      <c r="CB443" s="264" t="n">
        <v>0.038</v>
      </c>
      <c r="CC443" s="19" t="inlineStr">
        <is>
          <t>Weighted coupon on the 30-Jun-2026 notes ex-Mobility ~3.3% (2.45–6.55%; IHS Markit notes carried above face); maturities refinanced at ~5% (assumption) lift the average over time.</t>
        </is>
      </c>
    </row>
    <row r="444" ht="15" customHeight="1" s="251">
      <c r="B444" s="69" t="inlineStr">
        <is>
          <t xml:space="preserve">  Interest rate on opening commercial paper %</t>
        </is>
      </c>
      <c r="C444" s="44" t="n"/>
      <c r="D444" s="44" t="n"/>
      <c r="E444" s="44" t="n"/>
      <c r="F444" s="44" t="n"/>
      <c r="G444" s="44" t="n"/>
      <c r="H444" s="44" t="n"/>
      <c r="I444" s="44" t="n"/>
      <c r="J444" s="44" t="n"/>
      <c r="K444" s="44" t="n"/>
      <c r="L444" s="44" t="n"/>
      <c r="M444" s="44" t="n"/>
      <c r="N444" s="44" t="n"/>
      <c r="O444" s="44" t="n"/>
      <c r="P444" s="44" t="n"/>
      <c r="Q444" s="44" t="n"/>
      <c r="R444" s="44" t="n"/>
      <c r="S444" s="44" t="n"/>
      <c r="T444" s="44" t="n"/>
      <c r="U444" s="44" t="n"/>
      <c r="V444" s="44" t="n"/>
      <c r="W444" s="44" t="n"/>
      <c r="X444" s="44" t="n"/>
      <c r="Y444" s="44" t="n"/>
      <c r="Z444" s="44" t="n"/>
      <c r="AA444" s="44" t="n"/>
      <c r="AB444" s="44" t="n"/>
      <c r="AC444" s="44" t="n"/>
      <c r="AD444" s="44" t="n"/>
      <c r="AE444" s="44" t="n"/>
      <c r="AF444" s="44" t="n"/>
      <c r="AG444" s="44" t="n"/>
      <c r="AH444" s="44" t="n"/>
      <c r="AI444" s="44" t="n"/>
      <c r="AJ444" s="44" t="n"/>
      <c r="AK444" s="44" t="n"/>
      <c r="AL444" s="44" t="n"/>
      <c r="AM444" s="44" t="n"/>
      <c r="AN444" s="44" t="n"/>
      <c r="AO444" s="44" t="n"/>
      <c r="AP444" s="44" t="n"/>
      <c r="AQ444" s="44" t="n"/>
      <c r="AR444" s="44" t="n"/>
      <c r="AS444" s="44" t="n"/>
      <c r="AT444" s="44" t="n"/>
      <c r="AU444" s="44" t="n"/>
      <c r="AV444" s="44" t="n"/>
      <c r="AW444" s="44" t="n"/>
      <c r="AX444" s="44" t="n"/>
      <c r="AY444" s="44" t="n"/>
      <c r="AZ444" s="44" t="n"/>
      <c r="BA444" s="44" t="n"/>
      <c r="BB444" s="44" t="n"/>
      <c r="BC444" s="44" t="n"/>
      <c r="BD444" s="44" t="n"/>
      <c r="BE444" s="44" t="n"/>
      <c r="BF444" s="44" t="n"/>
      <c r="BG444" s="44" t="n"/>
      <c r="BH444" s="44" t="n"/>
      <c r="BI444" s="44" t="n"/>
      <c r="BJ444" s="44" t="n"/>
      <c r="BK444" s="44" t="n"/>
      <c r="BL444" s="44" t="n"/>
      <c r="BM444" s="44" t="n"/>
      <c r="BN444" s="44" t="n"/>
      <c r="BO444" s="44" t="n"/>
      <c r="BP444" s="44" t="n"/>
      <c r="BQ444" s="44" t="n"/>
      <c r="BR444" s="44" t="n"/>
      <c r="BS444" s="44" t="n"/>
      <c r="BT444" s="44" t="n"/>
      <c r="BU444" s="153" t="n"/>
      <c r="BV444" s="153" t="n"/>
      <c r="BW444" s="35" t="n"/>
      <c r="BX444" s="264" t="n">
        <v>0.042</v>
      </c>
      <c r="BY444" s="264" t="n">
        <v>0.042</v>
      </c>
      <c r="BZ444" s="264" t="n">
        <v>0.042</v>
      </c>
      <c r="CA444" s="264" t="n">
        <v>0.042</v>
      </c>
      <c r="CB444" s="264" t="n">
        <v>0.042</v>
      </c>
      <c r="CC444" s="19" t="inlineStr">
        <is>
          <t>Assumption: US commercial paper ~4.0–4.5%.</t>
        </is>
      </c>
    </row>
    <row r="445" ht="15" customHeight="1" s="251">
      <c r="B445" s="69" t="inlineStr">
        <is>
          <t xml:space="preserve">  Commitment fees &amp; financing-cost amortization ($m)</t>
        </is>
      </c>
      <c r="C445" s="44" t="n"/>
      <c r="D445" s="44" t="n"/>
      <c r="E445" s="44" t="n"/>
      <c r="F445" s="44" t="n"/>
      <c r="G445" s="44" t="n"/>
      <c r="H445" s="44" t="n"/>
      <c r="I445" s="44" t="n"/>
      <c r="J445" s="44" t="n"/>
      <c r="K445" s="44" t="n"/>
      <c r="L445" s="44" t="n"/>
      <c r="M445" s="44" t="n"/>
      <c r="N445" s="44" t="n"/>
      <c r="O445" s="44" t="n"/>
      <c r="P445" s="44" t="n"/>
      <c r="Q445" s="44" t="n"/>
      <c r="R445" s="44" t="n"/>
      <c r="S445" s="44" t="n"/>
      <c r="T445" s="44" t="n"/>
      <c r="U445" s="44" t="n"/>
      <c r="V445" s="44" t="n"/>
      <c r="W445" s="44" t="n"/>
      <c r="X445" s="44" t="n"/>
      <c r="Y445" s="44" t="n"/>
      <c r="Z445" s="44" t="n"/>
      <c r="AA445" s="44" t="n"/>
      <c r="AB445" s="44" t="n"/>
      <c r="AC445" s="44" t="n"/>
      <c r="AD445" s="44" t="n"/>
      <c r="AE445" s="44" t="n"/>
      <c r="AF445" s="44" t="n"/>
      <c r="AG445" s="44" t="n"/>
      <c r="AH445" s="44" t="n"/>
      <c r="AI445" s="44" t="n"/>
      <c r="AJ445" s="44" t="n"/>
      <c r="AK445" s="44" t="n"/>
      <c r="AL445" s="44" t="n"/>
      <c r="AM445" s="44" t="n"/>
      <c r="AN445" s="44" t="n"/>
      <c r="AO445" s="44" t="n"/>
      <c r="AP445" s="44" t="n"/>
      <c r="AQ445" s="44" t="n"/>
      <c r="AR445" s="44" t="n"/>
      <c r="AS445" s="44" t="n"/>
      <c r="AT445" s="44" t="n"/>
      <c r="AU445" s="44" t="n"/>
      <c r="AV445" s="44" t="n"/>
      <c r="AW445" s="44" t="n"/>
      <c r="AX445" s="44" t="n"/>
      <c r="AY445" s="44" t="n"/>
      <c r="AZ445" s="44" t="n"/>
      <c r="BA445" s="44" t="n"/>
      <c r="BB445" s="44" t="n"/>
      <c r="BC445" s="44" t="n"/>
      <c r="BD445" s="44" t="n"/>
      <c r="BE445" s="44" t="n"/>
      <c r="BF445" s="44" t="n"/>
      <c r="BG445" s="44" t="n"/>
      <c r="BH445" s="44" t="n"/>
      <c r="BI445" s="44" t="n"/>
      <c r="BJ445" s="44" t="n"/>
      <c r="BK445" s="44" t="n"/>
      <c r="BL445" s="44" t="n"/>
      <c r="BM445" s="44" t="n"/>
      <c r="BN445" s="44" t="n"/>
      <c r="BO445" s="44" t="n"/>
      <c r="BP445" s="44" t="n"/>
      <c r="BQ445" s="44" t="n"/>
      <c r="BR445" s="44" t="n"/>
      <c r="BS445" s="44" t="n"/>
      <c r="BT445" s="44" t="n"/>
      <c r="BU445" s="153" t="n"/>
      <c r="BV445" s="153" t="n"/>
      <c r="BW445" s="35" t="n"/>
      <c r="BX445" s="265" t="n">
        <v>10</v>
      </c>
      <c r="BY445" s="265" t="n">
        <v>10</v>
      </c>
      <c r="BZ445" s="265" t="n">
        <v>10</v>
      </c>
      <c r="CA445" s="265" t="n">
        <v>10</v>
      </c>
      <c r="CB445" s="265" t="n">
        <v>10</v>
      </c>
      <c r="CC445" s="19" t="n"/>
    </row>
    <row r="446" ht="15" customHeight="1" s="251">
      <c r="B446" s="69" t="inlineStr">
        <is>
          <t xml:space="preserve">  Interest income yield on opening cash %</t>
        </is>
      </c>
      <c r="C446" s="44" t="n"/>
      <c r="D446" s="44" t="n"/>
      <c r="E446" s="44" t="n"/>
      <c r="F446" s="44" t="n"/>
      <c r="G446" s="44" t="n"/>
      <c r="H446" s="44" t="n"/>
      <c r="I446" s="44" t="n"/>
      <c r="J446" s="44" t="n"/>
      <c r="K446" s="44" t="n"/>
      <c r="L446" s="44" t="n"/>
      <c r="M446" s="44" t="n"/>
      <c r="N446" s="44" t="n"/>
      <c r="O446" s="44" t="n"/>
      <c r="P446" s="44" t="n"/>
      <c r="Q446" s="44" t="n"/>
      <c r="R446" s="44" t="n"/>
      <c r="S446" s="44" t="n"/>
      <c r="T446" s="44" t="n"/>
      <c r="U446" s="44" t="n"/>
      <c r="V446" s="44" t="n"/>
      <c r="W446" s="44" t="n"/>
      <c r="X446" s="44" t="n"/>
      <c r="Y446" s="44" t="n"/>
      <c r="Z446" s="44" t="n"/>
      <c r="AA446" s="44" t="n"/>
      <c r="AB446" s="44" t="n"/>
      <c r="AC446" s="44" t="n"/>
      <c r="AD446" s="44" t="n"/>
      <c r="AE446" s="44" t="n"/>
      <c r="AF446" s="44" t="n"/>
      <c r="AG446" s="44" t="n"/>
      <c r="AH446" s="44" t="n"/>
      <c r="AI446" s="44" t="n"/>
      <c r="AJ446" s="44" t="n"/>
      <c r="AK446" s="44" t="n"/>
      <c r="AL446" s="44" t="n"/>
      <c r="AM446" s="44" t="n"/>
      <c r="AN446" s="44" t="n"/>
      <c r="AO446" s="44" t="n"/>
      <c r="AP446" s="44" t="n"/>
      <c r="AQ446" s="44" t="n"/>
      <c r="AR446" s="44" t="n"/>
      <c r="AS446" s="44" t="n"/>
      <c r="AT446" s="44" t="n"/>
      <c r="AU446" s="44" t="n"/>
      <c r="AV446" s="44" t="n"/>
      <c r="AW446" s="44" t="n"/>
      <c r="AX446" s="44" t="n"/>
      <c r="AY446" s="44" t="n"/>
      <c r="AZ446" s="44" t="n"/>
      <c r="BA446" s="44" t="n"/>
      <c r="BB446" s="44" t="n"/>
      <c r="BC446" s="44" t="n"/>
      <c r="BD446" s="44" t="n"/>
      <c r="BE446" s="44" t="n"/>
      <c r="BF446" s="44" t="n"/>
      <c r="BG446" s="44" t="n"/>
      <c r="BH446" s="44" t="n"/>
      <c r="BI446" s="44" t="n"/>
      <c r="BJ446" s="44" t="n"/>
      <c r="BK446" s="44" t="n"/>
      <c r="BL446" s="44" t="n"/>
      <c r="BM446" s="44" t="n"/>
      <c r="BN446" s="44" t="n"/>
      <c r="BO446" s="44" t="n"/>
      <c r="BP446" s="44" t="n"/>
      <c r="BQ446" s="44" t="n"/>
      <c r="BR446" s="44" t="n"/>
      <c r="BS446" s="44" t="n"/>
      <c r="BT446" s="44" t="n"/>
      <c r="BU446" s="153" t="n"/>
      <c r="BV446" s="153" t="n"/>
      <c r="BW446" s="35" t="n"/>
      <c r="BX446" s="264" t="n">
        <v>0.03</v>
      </c>
      <c r="BY446" s="264" t="n">
        <v>0.03</v>
      </c>
      <c r="BZ446" s="264" t="n">
        <v>0.03</v>
      </c>
      <c r="CA446" s="264" t="n">
        <v>0.03</v>
      </c>
      <c r="CB446" s="264" t="n">
        <v>0.03</v>
      </c>
      <c r="CC446" s="19" t="inlineStr">
        <is>
          <t>Assumption: ~3% on cash balances (interest expense is reported net of interest income).</t>
        </is>
      </c>
    </row>
    <row r="447" ht="15" customHeight="1" s="251">
      <c r="B447" s="25" t="inlineStr">
        <is>
          <t>Leverage-targeted buybacks (repurchases plug to a target net debt / adjusted EBITDA, 2027E+)</t>
        </is>
      </c>
      <c r="CC447" s="153" t="n"/>
    </row>
    <row r="448" ht="15" customHeight="1" s="251">
      <c r="B448" s="69" t="inlineStr">
        <is>
          <t xml:space="preserve">  Target net debt / adjusted EBITDA (x) (scenario)</t>
        </is>
      </c>
      <c r="C448" s="44" t="n"/>
      <c r="D448" s="44" t="n"/>
      <c r="E448" s="44" t="n"/>
      <c r="F448" s="44" t="n"/>
      <c r="G448" s="44" t="n"/>
      <c r="H448" s="44" t="n"/>
      <c r="I448" s="44" t="n"/>
      <c r="J448" s="44" t="n"/>
      <c r="K448" s="44" t="n"/>
      <c r="L448" s="44" t="n"/>
      <c r="M448" s="44" t="n"/>
      <c r="N448" s="44" t="n"/>
      <c r="O448" s="44" t="n"/>
      <c r="P448" s="44" t="n"/>
      <c r="Q448" s="44" t="n"/>
      <c r="R448" s="44" t="n"/>
      <c r="S448" s="44" t="n"/>
      <c r="T448" s="44" t="n"/>
      <c r="U448" s="44" t="n"/>
      <c r="V448" s="44" t="n"/>
      <c r="W448" s="44" t="n"/>
      <c r="X448" s="44" t="n"/>
      <c r="Y448" s="44" t="n"/>
      <c r="Z448" s="44" t="n"/>
      <c r="AA448" s="44" t="n"/>
      <c r="AB448" s="44" t="n"/>
      <c r="AC448" s="44" t="n"/>
      <c r="AD448" s="44" t="n"/>
      <c r="AE448" s="44" t="n"/>
      <c r="AF448" s="44" t="n"/>
      <c r="AG448" s="44" t="n"/>
      <c r="AH448" s="44" t="n"/>
      <c r="AI448" s="44" t="n"/>
      <c r="AJ448" s="44" t="n"/>
      <c r="AK448" s="44" t="n"/>
      <c r="AL448" s="44" t="n"/>
      <c r="AM448" s="44" t="n"/>
      <c r="AN448" s="44" t="n"/>
      <c r="AO448" s="44" t="n"/>
      <c r="AP448" s="44" t="n"/>
      <c r="AQ448" s="44" t="n"/>
      <c r="AR448" s="44" t="n"/>
      <c r="AS448" s="44" t="n"/>
      <c r="AT448" s="44" t="n"/>
      <c r="AU448" s="44" t="n"/>
      <c r="AV448" s="44" t="n"/>
      <c r="AW448" s="44" t="n"/>
      <c r="AX448" s="44" t="n"/>
      <c r="AY448" s="44" t="n"/>
      <c r="AZ448" s="44" t="n"/>
      <c r="BA448" s="44" t="n"/>
      <c r="BB448" s="44" t="n"/>
      <c r="BC448" s="44" t="n"/>
      <c r="BD448" s="44" t="n"/>
      <c r="BE448" s="44" t="n"/>
      <c r="BF448" s="44" t="n"/>
      <c r="BG448" s="44" t="n"/>
      <c r="BH448" s="44" t="n"/>
      <c r="BI448" s="44" t="n"/>
      <c r="BJ448" s="44" t="n"/>
      <c r="BK448" s="44" t="n"/>
      <c r="BL448" s="44" t="n"/>
      <c r="BM448" s="44" t="n"/>
      <c r="BN448" s="44" t="n"/>
      <c r="BO448" s="44" t="n"/>
      <c r="BP448" s="44" t="n"/>
      <c r="BQ448" s="44" t="n"/>
      <c r="BR448" s="44" t="n"/>
      <c r="BS448" s="44" t="n"/>
      <c r="BT448" s="44" t="n"/>
      <c r="BU448" s="153" t="n"/>
      <c r="BV448" s="153" t="n"/>
      <c r="BW448" s="35" t="n"/>
      <c r="BX448" s="295">
        <f>CHOOSE(MATCH($CC$2,{"Bull","Base","Bear"},0),$CL$32,$CM$32,$CN$32)</f>
        <v>1.5</v>
      </c>
      <c r="BY448" s="295">
        <f>CHOOSE(MATCH($CC$2,{"Bull","Base","Bear"},0),$CL$32,$CM$32,$CN$32)</f>
        <v>1.5</v>
      </c>
      <c r="BZ448" s="295">
        <f>CHOOSE(MATCH($CC$2,{"Bull","Base","Bear"},0),$CL$32,$CM$32,$CN$32)</f>
        <v>1.5</v>
      </c>
      <c r="CA448" s="295">
        <f>CHOOSE(MATCH($CC$2,{"Bull","Base","Bear"},0),$CL$32,$CM$32,$CN$32)</f>
        <v>1.5</v>
      </c>
      <c r="CB448" s="295">
        <f>CHOOSE(MATCH($CC$2,{"Bull","Base","Bear"},0),$CL$32,$CM$32,$CN$32)</f>
        <v>1.5</v>
      </c>
      <c r="CC448" s="19" t="inlineStr">
        <is>
          <t>Assumption: net debt / adjusted EBITDA target for 2027E+ buybacks. Model YE2026E ~1.4x after the $7bn+ 2026 buybacks; S&amp;P Global has historically returned ~85% of adjusted FCF and kept leverage near 2x gross. Bull = more buybacks (higher target).</t>
        </is>
      </c>
    </row>
    <row r="449" ht="15" customHeight="1" s="251">
      <c r="B449" s="69" t="inlineStr">
        <is>
          <t xml:space="preserve">  Net debt before buybacks (year end)</t>
        </is>
      </c>
      <c r="C449" s="44" t="n"/>
      <c r="D449" s="44" t="n"/>
      <c r="E449" s="44" t="n"/>
      <c r="F449" s="44" t="n"/>
      <c r="G449" s="44" t="n"/>
      <c r="H449" s="44" t="n"/>
      <c r="I449" s="44" t="n"/>
      <c r="J449" s="44" t="n"/>
      <c r="K449" s="44" t="n"/>
      <c r="L449" s="44" t="n"/>
      <c r="M449" s="44" t="n"/>
      <c r="N449" s="44" t="n"/>
      <c r="O449" s="44" t="n"/>
      <c r="P449" s="44" t="n"/>
      <c r="Q449" s="44" t="n"/>
      <c r="R449" s="44" t="n"/>
      <c r="S449" s="44" t="n"/>
      <c r="T449" s="44" t="n"/>
      <c r="U449" s="44" t="n"/>
      <c r="V449" s="44" t="n"/>
      <c r="W449" s="44" t="n"/>
      <c r="X449" s="44" t="n"/>
      <c r="Y449" s="44" t="n"/>
      <c r="Z449" s="44" t="n"/>
      <c r="AA449" s="44" t="n"/>
      <c r="AB449" s="44" t="n"/>
      <c r="AC449" s="44" t="n"/>
      <c r="AD449" s="44" t="n"/>
      <c r="AE449" s="44" t="n"/>
      <c r="AF449" s="44" t="n"/>
      <c r="AG449" s="44" t="n"/>
      <c r="AH449" s="44" t="n"/>
      <c r="AI449" s="44" t="n"/>
      <c r="AJ449" s="44" t="n"/>
      <c r="AK449" s="44" t="n"/>
      <c r="AL449" s="44" t="n"/>
      <c r="AM449" s="44" t="n"/>
      <c r="AN449" s="44" t="n"/>
      <c r="AO449" s="44" t="n"/>
      <c r="AP449" s="44" t="n"/>
      <c r="AQ449" s="44" t="n"/>
      <c r="AR449" s="44" t="n"/>
      <c r="AS449" s="44" t="n"/>
      <c r="AT449" s="44" t="n"/>
      <c r="AU449" s="44" t="n"/>
      <c r="AV449" s="44" t="n"/>
      <c r="AW449" s="44" t="n"/>
      <c r="AX449" s="44" t="n"/>
      <c r="AY449" s="44" t="n"/>
      <c r="AZ449" s="44" t="n"/>
      <c r="BA449" s="44" t="n"/>
      <c r="BB449" s="44" t="n"/>
      <c r="BC449" s="44" t="n"/>
      <c r="BD449" s="44" t="n"/>
      <c r="BE449" s="44" t="n"/>
      <c r="BF449" s="44" t="n"/>
      <c r="BG449" s="44" t="n"/>
      <c r="BH449" s="44" t="n"/>
      <c r="BI449" s="44" t="n"/>
      <c r="BJ449" s="44" t="n"/>
      <c r="BK449" s="44" t="n"/>
      <c r="BL449" s="44" t="n"/>
      <c r="BM449" s="44" t="n"/>
      <c r="BN449" s="44" t="n"/>
      <c r="BO449" s="44" t="n"/>
      <c r="BP449" s="44" t="n"/>
      <c r="BQ449" s="44" t="n"/>
      <c r="BR449" s="44" t="n"/>
      <c r="BS449" s="44" t="n"/>
      <c r="BT449" s="44" t="n"/>
      <c r="BU449" s="153" t="n"/>
      <c r="BV449" s="153" t="n"/>
      <c r="BW449" s="35" t="n"/>
      <c r="BX449" s="254">
        <f>BW433-BW335-BX319-BX324-BX326-BX327-BX329-BX330-BX332</f>
        <v>8114.97696363548</v>
      </c>
      <c r="BY449" s="254">
        <f>BX433-BX335-BY319-BY324-BY326-BY327-BY329-BY330-BY332</f>
        <v>7774.66296051675</v>
      </c>
      <c r="BZ449" s="254">
        <f>BY433-BY335-BZ319-BZ324-BZ326-BZ327-BZ329-BZ330-BZ332</f>
        <v>8361.16846482321</v>
      </c>
      <c r="CA449" s="254">
        <f>BZ433-BZ335-CA319-CA324-CA326-CA327-CA329-CA330-CA332</f>
        <v>8899.89383066526</v>
      </c>
      <c r="CB449" s="254">
        <f>CA433-CA335-CB319-CB324-CB326-CB327-CB329-CB330-CB332</f>
        <v>9447.02645356348</v>
      </c>
      <c r="CC449" s="19" t="n"/>
    </row>
    <row r="450" ht="15" customHeight="1" s="251">
      <c r="B450" s="69" t="inlineStr">
        <is>
          <t xml:space="preserve">  Target net debt = target leverage × adjusted EBITDA</t>
        </is>
      </c>
      <c r="C450" s="44" t="n"/>
      <c r="D450" s="44" t="n"/>
      <c r="E450" s="44" t="n"/>
      <c r="F450" s="44" t="n"/>
      <c r="G450" s="44" t="n"/>
      <c r="H450" s="44" t="n"/>
      <c r="I450" s="44" t="n"/>
      <c r="J450" s="44" t="n"/>
      <c r="K450" s="44" t="n"/>
      <c r="L450" s="44" t="n"/>
      <c r="M450" s="44" t="n"/>
      <c r="N450" s="44" t="n"/>
      <c r="O450" s="44" t="n"/>
      <c r="P450" s="44" t="n"/>
      <c r="Q450" s="44" t="n"/>
      <c r="R450" s="44" t="n"/>
      <c r="S450" s="44" t="n"/>
      <c r="T450" s="44" t="n"/>
      <c r="U450" s="44" t="n"/>
      <c r="V450" s="44" t="n"/>
      <c r="W450" s="44" t="n"/>
      <c r="X450" s="44" t="n"/>
      <c r="Y450" s="44" t="n"/>
      <c r="Z450" s="44" t="n"/>
      <c r="AA450" s="44" t="n"/>
      <c r="AB450" s="44" t="n"/>
      <c r="AC450" s="44" t="n"/>
      <c r="AD450" s="44" t="n"/>
      <c r="AE450" s="44" t="n"/>
      <c r="AF450" s="44" t="n"/>
      <c r="AG450" s="44" t="n"/>
      <c r="AH450" s="44" t="n"/>
      <c r="AI450" s="44" t="n"/>
      <c r="AJ450" s="44" t="n"/>
      <c r="AK450" s="44" t="n"/>
      <c r="AL450" s="44" t="n"/>
      <c r="AM450" s="44" t="n"/>
      <c r="AN450" s="44" t="n"/>
      <c r="AO450" s="44" t="n"/>
      <c r="AP450" s="44" t="n"/>
      <c r="AQ450" s="44" t="n"/>
      <c r="AR450" s="44" t="n"/>
      <c r="AS450" s="44" t="n"/>
      <c r="AT450" s="44" t="n"/>
      <c r="AU450" s="44" t="n"/>
      <c r="AV450" s="44" t="n"/>
      <c r="AW450" s="44" t="n"/>
      <c r="AX450" s="44" t="n"/>
      <c r="AY450" s="44" t="n"/>
      <c r="AZ450" s="44" t="n"/>
      <c r="BA450" s="44" t="n"/>
      <c r="BB450" s="44" t="n"/>
      <c r="BC450" s="44" t="n"/>
      <c r="BD450" s="44" t="n"/>
      <c r="BE450" s="44" t="n"/>
      <c r="BF450" s="44" t="n"/>
      <c r="BG450" s="44" t="n"/>
      <c r="BH450" s="44" t="n"/>
      <c r="BI450" s="44" t="n"/>
      <c r="BJ450" s="44" t="n"/>
      <c r="BK450" s="44" t="n"/>
      <c r="BL450" s="44" t="n"/>
      <c r="BM450" s="44" t="n"/>
      <c r="BN450" s="44" t="n"/>
      <c r="BO450" s="44" t="n"/>
      <c r="BP450" s="44" t="n"/>
      <c r="BQ450" s="44" t="n"/>
      <c r="BR450" s="44" t="n"/>
      <c r="BS450" s="44" t="n"/>
      <c r="BT450" s="44" t="n"/>
      <c r="BU450" s="153" t="n"/>
      <c r="BV450" s="153" t="n"/>
      <c r="BW450" s="35" t="n"/>
      <c r="BX450" s="254">
        <f>BX448*BX256</f>
        <v>12463.8538541831</v>
      </c>
      <c r="BY450" s="254">
        <f>BY448*BY256</f>
        <v>13456.824555287</v>
      </c>
      <c r="BZ450" s="254">
        <f>BZ448*BZ256</f>
        <v>14428.2187626103</v>
      </c>
      <c r="CA450" s="254">
        <f>CA448*CA256</f>
        <v>15437.8294520171</v>
      </c>
      <c r="CB450" s="254">
        <f>CB448*CB256</f>
        <v>16469.0949720018</v>
      </c>
      <c r="CC450" s="19" t="n"/>
    </row>
    <row r="451" ht="15" customHeight="1" s="251">
      <c r="B451" s="69" t="inlineStr">
        <is>
          <t xml:space="preserve">  Share repurchases: plug to target leverage</t>
        </is>
      </c>
      <c r="C451" s="44" t="n"/>
      <c r="D451" s="44" t="n"/>
      <c r="E451" s="44" t="n"/>
      <c r="F451" s="44" t="n"/>
      <c r="G451" s="44" t="n"/>
      <c r="H451" s="44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  <c r="R451" s="44" t="n"/>
      <c r="S451" s="44" t="n"/>
      <c r="T451" s="44" t="n"/>
      <c r="U451" s="44" t="n"/>
      <c r="V451" s="44" t="n"/>
      <c r="W451" s="44" t="n"/>
      <c r="X451" s="44" t="n"/>
      <c r="Y451" s="44" t="n"/>
      <c r="Z451" s="44" t="n"/>
      <c r="AA451" s="44" t="n"/>
      <c r="AB451" s="44" t="n"/>
      <c r="AC451" s="44" t="n"/>
      <c r="AD451" s="44" t="n"/>
      <c r="AE451" s="44" t="n"/>
      <c r="AF451" s="44" t="n"/>
      <c r="AG451" s="44" t="n"/>
      <c r="AH451" s="44" t="n"/>
      <c r="AI451" s="44" t="n"/>
      <c r="AJ451" s="44" t="n"/>
      <c r="AK451" s="44" t="n"/>
      <c r="AL451" s="44" t="n"/>
      <c r="AM451" s="44" t="n"/>
      <c r="AN451" s="44" t="n"/>
      <c r="AO451" s="44" t="n"/>
      <c r="AP451" s="44" t="n"/>
      <c r="AQ451" s="44" t="n"/>
      <c r="AR451" s="44" t="n"/>
      <c r="AS451" s="44" t="n"/>
      <c r="AT451" s="44" t="n"/>
      <c r="AU451" s="44" t="n"/>
      <c r="AV451" s="44" t="n"/>
      <c r="AW451" s="44" t="n"/>
      <c r="AX451" s="44" t="n"/>
      <c r="AY451" s="44" t="n"/>
      <c r="AZ451" s="44" t="n"/>
      <c r="BA451" s="44" t="n"/>
      <c r="BB451" s="44" t="n"/>
      <c r="BC451" s="44" t="n"/>
      <c r="BD451" s="44" t="n"/>
      <c r="BE451" s="44" t="n"/>
      <c r="BF451" s="44" t="n"/>
      <c r="BG451" s="44" t="n"/>
      <c r="BH451" s="44" t="n"/>
      <c r="BI451" s="44" t="n"/>
      <c r="BJ451" s="44" t="n"/>
      <c r="BK451" s="44" t="n"/>
      <c r="BL451" s="44" t="n"/>
      <c r="BM451" s="44" t="n"/>
      <c r="BN451" s="44" t="n"/>
      <c r="BO451" s="44" t="n"/>
      <c r="BP451" s="44" t="n"/>
      <c r="BQ451" s="44" t="n"/>
      <c r="BR451" s="44" t="n"/>
      <c r="BS451" s="44" t="n"/>
      <c r="BT451" s="44" t="n"/>
      <c r="BU451" s="153" t="n"/>
      <c r="BV451" s="153" t="n"/>
      <c r="BW451" s="35" t="n"/>
      <c r="BX451" s="254">
        <f>MAX(0,BX450-BX449)</f>
        <v>4348.87689054758</v>
      </c>
      <c r="BY451" s="254">
        <f>MAX(0,BY450-BY449)</f>
        <v>5682.16159477026</v>
      </c>
      <c r="BZ451" s="254">
        <f>MAX(0,BZ450-BZ449)</f>
        <v>6067.05029778714</v>
      </c>
      <c r="CA451" s="254">
        <f>MAX(0,CA450-CA449)</f>
        <v>6537.93562135185</v>
      </c>
      <c r="CB451" s="254">
        <f>MAX(0,CB450-CB449)</f>
        <v>7022.06851843828</v>
      </c>
      <c r="CC451" s="19" t="inlineStr">
        <is>
          <t>Surplus cash beyond the leverage target is returned via buybacks; feeds the cash-flow repurchase line.</t>
        </is>
      </c>
    </row>
    <row r="452" ht="15" customHeight="1" s="251">
      <c r="B452" s="25" t="inlineStr">
        <is>
          <t>Historical reference (driver context)</t>
        </is>
      </c>
      <c r="CC452" s="153" t="n"/>
    </row>
    <row r="453" ht="15" customHeight="1" s="251">
      <c r="B453" s="25" t="inlineStr">
        <is>
          <t xml:space="preserve">  D&amp;A % of revenue</t>
        </is>
      </c>
      <c r="C453" s="215">
        <f>IF(AND(ISNUMBER(C213),ISNUMBER(C187)),IFERROR(C213/C187,""),"")</f>
        <v>0.0263808738664468</v>
      </c>
      <c r="D453" s="215">
        <f>IF(AND(ISNUMBER(D213),ISNUMBER(D187)),IFERROR(D213/D187,""),"")</f>
        <v>0.0280728376327769</v>
      </c>
      <c r="E453" s="215">
        <f>IF(AND(ISNUMBER(E213),ISNUMBER(E187)),IFERROR(E213/E187,""),"")</f>
        <v>0.0274157303370787</v>
      </c>
      <c r="F453" s="215">
        <f>IF(AND(ISNUMBER(F213),ISNUMBER(F187)),IFERROR(F213/F187,""),"")</f>
        <v>0.0296359017781541</v>
      </c>
      <c r="G453" s="215">
        <f>IF(AND(ISNUMBER(G213),ISNUMBER(G187)),IFERROR(G213/G187,""),"")</f>
        <v>0.028</v>
      </c>
      <c r="H453" s="215">
        <f>IF(AND(ISNUMBER(H213),ISNUMBER(H187)),IFERROR(H213/H187,""),"")</f>
        <v>0.0276381909547739</v>
      </c>
      <c r="I453" s="215">
        <f>IF(AND(ISNUMBER(I213),ISNUMBER(I187)),IFERROR(I213/I187,""),"")</f>
        <v>0.0272</v>
      </c>
      <c r="J453" s="215">
        <f>IF(AND(ISNUMBER(J213),ISNUMBER(J187)),IFERROR(J213/J187,""),"")</f>
        <v>0.0281025641025641</v>
      </c>
      <c r="K453" s="215">
        <f>IF(AND(ISNUMBER(K213),ISNUMBER(K187)),IFERROR(K213/K187,""),"")</f>
        <v>0.0266990291262136</v>
      </c>
      <c r="L453" s="215">
        <f>IF(AND(ISNUMBER(L213),ISNUMBER(L187)),IFERROR(L213/L187,""),"")</f>
        <v>0.025260029717682</v>
      </c>
      <c r="M453" s="215">
        <f>IF(AND(ISNUMBER(M213),ISNUMBER(M187)),IFERROR(M213/M187,""),"")</f>
        <v>0.0261282660332542</v>
      </c>
      <c r="N453" s="215">
        <f>IF(AND(ISNUMBER(N213),ISNUMBER(N187)),IFERROR(N213/N187,""),"")</f>
        <v>0.0263565891472868</v>
      </c>
      <c r="O453" s="215">
        <f>IF(AND(ISNUMBER(O213),ISNUMBER(O187)),IFERROR(O213/O187,""),"")</f>
        <v>0.0265294001187884</v>
      </c>
      <c r="P453" s="215">
        <f>IF(AND(ISNUMBER(P213),ISNUMBER(P187)),IFERROR(P213/P187,""),"")</f>
        <v>0.025923016496465</v>
      </c>
      <c r="Q453" s="215">
        <f>IF(AND(ISNUMBER(Q213),ISNUMBER(Q187)),IFERROR(Q213/Q187,""),"")</f>
        <v>0.0245901639344262</v>
      </c>
      <c r="R453" s="215">
        <f>IF(AND(ISNUMBER(R213),ISNUMBER(R187)),IFERROR(R213/R187,""),"")</f>
        <v>0.0279456193353474</v>
      </c>
      <c r="S453" s="215">
        <f>IF(AND(ISNUMBER(S213),ISNUMBER(S187)),IFERROR(S213/S187,""),"")</f>
        <v>0.0385735080058224</v>
      </c>
      <c r="T453" s="215">
        <f>IF(AND(ISNUMBER(T213),ISNUMBER(T187)),IFERROR(T213/T187,""),"")</f>
        <v>0.0295501599849426</v>
      </c>
      <c r="U453" s="215">
        <f>IF(AND(ISNUMBER(U213),ISNUMBER(U187)),IFERROR(U213/U187,""),"")</f>
        <v>0.0313199105145414</v>
      </c>
      <c r="V453" s="215">
        <f>IF(AND(ISNUMBER(V213),ISNUMBER(V187)),IFERROR(V213/V187,""),"")</f>
        <v>0.0303643724696356</v>
      </c>
      <c r="W453" s="215">
        <f>IF(AND(ISNUMBER(W213),ISNUMBER(W187)),IFERROR(W213/W187,""),"")</f>
        <v>0.0312717164697707</v>
      </c>
      <c r="X453" s="215">
        <f>IF(AND(ISNUMBER(X213),ISNUMBER(X187)),IFERROR(X213/X187,""),"")</f>
        <v>0.0335954253037884</v>
      </c>
      <c r="Y453" s="215">
        <f>IF(AND(ISNUMBER(Y213),ISNUMBER(Y187)),IFERROR(Y213/Y187,""),"")</f>
        <v>0.0319731496202084</v>
      </c>
      <c r="Z453" s="215">
        <f>IF(AND(ISNUMBER(Z213),ISNUMBER(Z187)),IFERROR(Z213/Z187,""),"")</f>
        <v>0.0295939435650379</v>
      </c>
      <c r="AA453" s="215">
        <f>IF(AND(ISNUMBER(AA213),ISNUMBER(AA187)),IFERROR(AA213/AA187,""),"")</f>
        <v>0.0298210735586481</v>
      </c>
      <c r="AB453" s="215">
        <f>IF(AND(ISNUMBER(AB213),ISNUMBER(AB187)),IFERROR(AB213/AB187,""),"")</f>
        <v>0.030403172504957</v>
      </c>
      <c r="AC453" s="215">
        <f>IF(AND(ISNUMBER(AC213),ISNUMBER(AC187)),IFERROR(AC213/AC187,""),"")</f>
        <v>0.0289490245437382</v>
      </c>
      <c r="AD453" s="215">
        <f>IF(AND(ISNUMBER(AD213),ISNUMBER(AD187)),IFERROR(AD213/AD187,""),"")</f>
        <v>0.0296882731321128</v>
      </c>
      <c r="AE453" s="215">
        <f>IF(AND(ISNUMBER(AE213),ISNUMBER(AE187)),IFERROR(AE213/AE187,""),"")</f>
        <v>0.028717294192725</v>
      </c>
      <c r="AF453" s="215">
        <f>IF(AND(ISNUMBER(AF213),ISNUMBER(AF187)),IFERROR(AF213/AF187,""),"")</f>
        <v>0.0323182100683654</v>
      </c>
      <c r="AG453" s="215">
        <f>IF(AND(ISNUMBER(AG213),ISNUMBER(AG187)),IFERROR(AG213/AG187,""),"")</f>
        <v>0.0342820181112549</v>
      </c>
      <c r="AH453" s="215">
        <f>IF(AND(ISNUMBER(AH213),ISNUMBER(AH187)),IFERROR(AH213/AH187,""),"")</f>
        <v>0.0358072916666667</v>
      </c>
      <c r="AI453" s="215">
        <f>IF(AND(ISNUMBER(AI213),ISNUMBER(AI187)),IFERROR(AI213/AI187,""),"")</f>
        <v>0.0329178651326302</v>
      </c>
      <c r="AJ453" s="215">
        <f>IF(AND(ISNUMBER(AJ213),ISNUMBER(AJ187)),IFERROR(AJ213/AJ187,""),"")</f>
        <v>0.0330999363462763</v>
      </c>
      <c r="AK453" s="215">
        <f>IF(AND(ISNUMBER(AK213),ISNUMBER(AK187)),IFERROR(AK213/AK187,""),"")</f>
        <v>0.0305164319248826</v>
      </c>
      <c r="AL453" s="215">
        <f>IF(AND(ISNUMBER(AL213),ISNUMBER(AL187)),IFERROR(AL213/AL187,""),"")</f>
        <v>0.0290112492599171</v>
      </c>
      <c r="AM453" s="215">
        <f>IF(AND(ISNUMBER(AM213),ISNUMBER(AM187)),IFERROR(AM213/AM187,""),"")</f>
        <v>0.0293948126801153</v>
      </c>
      <c r="AN453" s="215">
        <f>IF(AND(ISNUMBER(AN213),ISNUMBER(AN187)),IFERROR(AN213/AN187,""),"")</f>
        <v>0.0304523063143753</v>
      </c>
      <c r="AO453" s="215">
        <f>IF(AND(ISNUMBER(AO213),ISNUMBER(AO187)),IFERROR(AO213/AO187,""),"")</f>
        <v>0.0274356103023516</v>
      </c>
      <c r="AP453" s="215">
        <f>IF(AND(ISNUMBER(AP213),ISNUMBER(AP187)),IFERROR(AP213/AP187,""),"")</f>
        <v>0.0262480699948533</v>
      </c>
      <c r="AQ453" s="215">
        <f>IF(AND(ISNUMBER(AQ213),ISNUMBER(AQ187)),IFERROR(AQ213/AQ187,""),"")</f>
        <v>0.028169014084507</v>
      </c>
      <c r="AR453" s="215">
        <f>IF(AND(ISNUMBER(AR213),ISNUMBER(AR187)),IFERROR(AR213/AR187,""),"")</f>
        <v>0.0278521692554901</v>
      </c>
      <c r="AS453" s="215">
        <f>IF(AND(ISNUMBER(AS213),ISNUMBER(AS187)),IFERROR(AS213/AS187,""),"")</f>
        <v>0.027680730986294</v>
      </c>
      <c r="AT453" s="215">
        <f>IF(AND(ISNUMBER(AT213),ISNUMBER(AT187)),IFERROR(AT213/AT187,""),"")</f>
        <v>0.0248015873015873</v>
      </c>
      <c r="AU453" s="215">
        <f>IF(AND(ISNUMBER(AU213),ISNUMBER(AU187)),IFERROR(AU213/AU187,""),"")</f>
        <v>0.0213675213675214</v>
      </c>
      <c r="AV453" s="215">
        <f>IF(AND(ISNUMBER(AV213),ISNUMBER(AV187)),IFERROR(AV213/AV187,""),"")</f>
        <v>0.0196454240536656</v>
      </c>
      <c r="AW453" s="215">
        <f>IF(AND(ISNUMBER(AW213),ISNUMBER(AW187)),IFERROR(AW213/AW187,""),"")</f>
        <v>0.0196360153256705</v>
      </c>
      <c r="AX453" s="215">
        <f>IF(AND(ISNUMBER(AX213),ISNUMBER(AX187)),IFERROR(AX213/AX187,""),"")</f>
        <v>0.021453537423165</v>
      </c>
      <c r="AY453" s="215">
        <f>IF(AND(ISNUMBER(AY213),ISNUMBER(AY187)),IFERROR(AY213/AY187,""),"")</f>
        <v>0.0573461699455839</v>
      </c>
      <c r="AZ453" s="215">
        <f>IF(AND(ISNUMBER(AZ213),ISNUMBER(AZ187)),IFERROR(AZ213/AZ187,""),"")</f>
        <v>0.10123621784163</v>
      </c>
      <c r="BA453" s="215">
        <f>IF(AND(ISNUMBER(BA213),ISNUMBER(BA187)),IFERROR(BA213/BA187,""),"")</f>
        <v>0.104159384830479</v>
      </c>
      <c r="BB453" s="215">
        <f>IF(AND(ISNUMBER(BB213),ISNUMBER(BB187)),IFERROR(BB213/BB187,""),"")</f>
        <v>0.0936329588014981</v>
      </c>
      <c r="BC453" s="215">
        <f>IF(AND(ISNUMBER(BC213),ISNUMBER(BC187)),IFERROR(BC213/BC187,""),"")</f>
        <v>0.0906001252124139</v>
      </c>
      <c r="BD453" s="215">
        <f>IF(AND(ISNUMBER(BD213),ISNUMBER(BD187)),IFERROR(BD213/BD187,""),"")</f>
        <v>0.0908227848101266</v>
      </c>
      <c r="BE453" s="215">
        <f>IF(AND(ISNUMBER(BE213),ISNUMBER(BE187)),IFERROR(BE213/BE187,""),"")</f>
        <v>0.0919058368268301</v>
      </c>
      <c r="BF453" s="215">
        <f>IF(AND(ISNUMBER(BF213),ISNUMBER(BF187)),IFERROR(BF213/BF187,""),"")</f>
        <v>0.0914396887159533</v>
      </c>
      <c r="BG453" s="215">
        <f>IF(AND(ISNUMBER(BG213),ISNUMBER(BG187)),IFERROR(BG213/BG187,""),"")</f>
        <v>0.092005076142132</v>
      </c>
      <c r="BH453" s="215">
        <f>IF(AND(ISNUMBER(BH213),ISNUMBER(BH187)),IFERROR(BH213/BH187,""),"")</f>
        <v>0.0914619508682084</v>
      </c>
      <c r="BI453" s="215">
        <f>IF(AND(ISNUMBER(BI213),ISNUMBER(BI187)),IFERROR(BI213/BI187,""),"")</f>
        <v>0.0822114007447723</v>
      </c>
      <c r="BJ453" s="215">
        <f>IF(AND(ISNUMBER(BJ213),ISNUMBER(BJ187)),IFERROR(BJ213/BJ187,""),"")</f>
        <v>0.0819949281487743</v>
      </c>
      <c r="BK453" s="215">
        <f>IF(AND(ISNUMBER(BK213),ISNUMBER(BK187)),IFERROR(BK213/BK187,""),"")</f>
        <v>0.081958041958042</v>
      </c>
      <c r="BL453" s="215">
        <f>IF(AND(ISNUMBER(BL213),ISNUMBER(BL187)),IFERROR(BL213/BL187,""),"")</f>
        <v>0.0835189309576837</v>
      </c>
      <c r="BM453" s="215">
        <f>IF(AND(ISNUMBER(BM213),ISNUMBER(BM187)),IFERROR(BM213/BM187,""),"")</f>
        <v>0.0825591216216216</v>
      </c>
      <c r="BN453" s="215">
        <f>IF(AND(ISNUMBER(BN213),ISNUMBER(BN187)),IFERROR(BN213/BN187,""),"")</f>
        <v>0.063449508489723</v>
      </c>
      <c r="BO453" s="215">
        <f>IF(AND(ISNUMBER(BO213),ISNUMBER(BO187)),IFERROR(BO213/BO187,""),"")</f>
        <v>0.0651190835091951</v>
      </c>
      <c r="BP453" s="215">
        <f>IF(AND(ISNUMBER(BP213),ISNUMBER(BP187)),IFERROR(BP213/BP187,""),"")</f>
        <v>0.0624455416787685</v>
      </c>
      <c r="BQ453" s="215">
        <f>IF(AND(ISNUMBER(BQ213),ISNUMBER(BQ187)),IFERROR(BQ213/BQ187,""),"")</f>
        <v>0.0627880184331797</v>
      </c>
      <c r="BR453" s="215">
        <f>IF(AND(ISNUMBER(BR213),ISNUMBER(BR187)),IFERROR(BR213/BR187,""),"")</f>
        <v>0.0634336595775995</v>
      </c>
      <c r="BS453" s="215">
        <f>IF(AND(ISNUMBER(BS213),ISNUMBER(BS187)),IFERROR(BS213/BS187,""),"")</f>
        <v>0.0610707559860102</v>
      </c>
      <c r="BT453" s="215">
        <f>IF(AND(ISNUMBER(BT213),ISNUMBER(BT187)),IFERROR(BT213/BT187,""),"")</f>
        <v>0.0619902120717781</v>
      </c>
      <c r="BU453" s="24" t="n"/>
      <c r="BV453" s="24" t="n"/>
      <c r="BW453" s="256">
        <f>IF(AND(ISNUMBER(BW213),ISNUMBER(BW187)),IFERROR(BW213/BW187,""),"")</f>
        <v>0.0618862956687647</v>
      </c>
      <c r="BX453" s="256">
        <f>IF(AND(ISNUMBER(BX213),ISNUMBER(BX187)),IFERROR(BX213/BX187,""),"")</f>
        <v>0.0596545341955476</v>
      </c>
      <c r="BY453" s="256">
        <f>IF(AND(ISNUMBER(BY213),ISNUMBER(BY187)),IFERROR(BY213/BY187,""),"")</f>
        <v>0.0558604090375307</v>
      </c>
      <c r="BZ453" s="256">
        <f>IF(AND(ISNUMBER(BZ213),ISNUMBER(BZ187)),IFERROR(BZ213/BZ187,""),"")</f>
        <v>0.0519733484263743</v>
      </c>
      <c r="CA453" s="256">
        <f>IF(AND(ISNUMBER(CA213),ISNUMBER(CA187)),IFERROR(CA213/CA187,""),"")</f>
        <v>0.0485029944952222</v>
      </c>
      <c r="CB453" s="256">
        <f>IF(AND(ISNUMBER(CB213),ISNUMBER(CB187)),IFERROR(CB213/CB187,""),"")</f>
        <v>0.0453465676226357</v>
      </c>
      <c r="CC453" s="153" t="n"/>
    </row>
    <row r="454" ht="15" customHeight="1" s="251">
      <c r="B454" s="25" t="inlineStr">
        <is>
          <t xml:space="preserve">  Deal-related amortization % of revenue</t>
        </is>
      </c>
      <c r="C454" s="215">
        <f>IF(AND(ISNUMBER(C170),ISNUMBER(C187)),IFERROR(C170/C187,""),"")</f>
      </c>
      <c r="D454" s="215">
        <f>IF(AND(ISNUMBER(D170),ISNUMBER(D187)),IFERROR(D170/D187,""),"")</f>
        <v>0</v>
      </c>
      <c r="E454" s="215">
        <f>IF(AND(ISNUMBER(E170),ISNUMBER(E187)),IFERROR(E170/E187,""),"")</f>
        <v>0</v>
      </c>
      <c r="F454" s="215">
        <f>IF(AND(ISNUMBER(F170),ISNUMBER(F187)),IFERROR(F170/F187,""),"")</f>
        <v>0</v>
      </c>
      <c r="G454" s="215">
        <f>IF(AND(ISNUMBER(G170),ISNUMBER(G187)),IFERROR(G170/G187,""),"")</f>
        <v>0</v>
      </c>
      <c r="H454" s="215">
        <f>IF(AND(ISNUMBER(H170),ISNUMBER(H187)),IFERROR(H170/H187,""),"")</f>
        <v>0</v>
      </c>
      <c r="I454" s="215">
        <f>IF(AND(ISNUMBER(I170),ISNUMBER(I187)),IFERROR(I170/I187,""),"")</f>
        <v>0</v>
      </c>
      <c r="J454" s="215">
        <f>IF(AND(ISNUMBER(J170),ISNUMBER(J187)),IFERROR(J170/J187,""),"")</f>
        <v>0</v>
      </c>
      <c r="K454" s="215">
        <f>IF(AND(ISNUMBER(K170),ISNUMBER(K187)),IFERROR(K170/K187,""),"")</f>
        <v>0</v>
      </c>
      <c r="L454" s="215">
        <f>IF(AND(ISNUMBER(L170),ISNUMBER(L187)),IFERROR(L170/L187,""),"")</f>
        <v>0</v>
      </c>
      <c r="M454" s="215">
        <f>IF(AND(ISNUMBER(M170),ISNUMBER(M187)),IFERROR(M170/M187,""),"")</f>
        <v>0</v>
      </c>
      <c r="N454" s="215">
        <f>IF(AND(ISNUMBER(N170),ISNUMBER(N187)),IFERROR(N170/N187,""),"")</f>
        <v>0</v>
      </c>
      <c r="O454" s="215">
        <f>IF(AND(ISNUMBER(O170),ISNUMBER(O187)),IFERROR(O170/O187,""),"")</f>
        <v>0</v>
      </c>
      <c r="P454" s="215">
        <f>IF(AND(ISNUMBER(P170),ISNUMBER(P187)),IFERROR(P170/P187,""),"")</f>
        <v>0</v>
      </c>
      <c r="Q454" s="215">
        <f>IF(AND(ISNUMBER(Q170),ISNUMBER(Q187)),IFERROR(Q170/Q187,""),"")</f>
        <v>0</v>
      </c>
      <c r="R454" s="215">
        <f>IF(AND(ISNUMBER(R170),ISNUMBER(R187)),IFERROR(R170/R187,""),"")</f>
        <v>0</v>
      </c>
      <c r="S454" s="215">
        <f>IF(AND(ISNUMBER(S170),ISNUMBER(S187)),IFERROR(S170/S187,""),"")</f>
        <v>0</v>
      </c>
      <c r="T454" s="215">
        <f>IF(AND(ISNUMBER(T170),ISNUMBER(T187)),IFERROR(T170/T187,""),"")</f>
        <v>0</v>
      </c>
      <c r="U454" s="215">
        <f>IF(AND(ISNUMBER(U170),ISNUMBER(U187)),IFERROR(U170/U187,""),"")</f>
        <v>0.0178970917225951</v>
      </c>
      <c r="V454" s="215">
        <f>IF(AND(ISNUMBER(V170),ISNUMBER(V187)),IFERROR(V170/V187,""),"")</f>
        <v>0.0155195681511471</v>
      </c>
      <c r="W454" s="215">
        <f>IF(AND(ISNUMBER(W170),ISNUMBER(W187)),IFERROR(W170/W187,""),"")</f>
        <v>0.0159833217512161</v>
      </c>
      <c r="X454" s="215">
        <f>IF(AND(ISNUMBER(X170),ISNUMBER(X187)),IFERROR(X170/X187,""),"")</f>
        <v>0.0178699070764832</v>
      </c>
      <c r="Y454" s="215">
        <f>IF(AND(ISNUMBER(Y170),ISNUMBER(Y187)),IFERROR(Y170/Y187,""),"")</f>
        <v>0.0169581346051934</v>
      </c>
      <c r="Z454" s="215">
        <f>IF(AND(ISNUMBER(Z170),ISNUMBER(Z187)),IFERROR(Z170/Z187,""),"")</f>
        <v>0.0165175498967653</v>
      </c>
      <c r="AA454" s="215">
        <f>IF(AND(ISNUMBER(AA170),ISNUMBER(AA187)),IFERROR(AA170/AA187,""),"")</f>
        <v>0.0165672630881378</v>
      </c>
      <c r="AB454" s="215">
        <f>IF(AND(ISNUMBER(AB170),ISNUMBER(AB187)),IFERROR(AB170/AB187,""),"")</f>
        <v>0.015862524785195</v>
      </c>
      <c r="AC454" s="215">
        <f>IF(AND(ISNUMBER(AC170),ISNUMBER(AC187)),IFERROR(AC170/AC187,""),"")</f>
        <v>0.0157331655129012</v>
      </c>
      <c r="AD454" s="215">
        <f>IF(AND(ISNUMBER(AD170),ISNUMBER(AD187)),IFERROR(AD170/AD187,""),"")</f>
        <v>0.0161636153719281</v>
      </c>
      <c r="AE454" s="215">
        <f>IF(AND(ISNUMBER(AE170),ISNUMBER(AE187)),IFERROR(AE170/AE187,""),"")</f>
        <v>0.01531589023612</v>
      </c>
      <c r="AF454" s="215">
        <f>IF(AND(ISNUMBER(AF170),ISNUMBER(AF187)),IFERROR(AF170/AF187,""),"")</f>
        <v>0.0205096333126165</v>
      </c>
      <c r="AG454" s="215">
        <f>IF(AND(ISNUMBER(AG170),ISNUMBER(AG187)),IFERROR(AG170/AG187,""),"")</f>
        <v>0.0213454075032342</v>
      </c>
      <c r="AH454" s="215">
        <f>IF(AND(ISNUMBER(AH170),ISNUMBER(AH187)),IFERROR(AH170/AH187,""),"")</f>
        <v>0.0201822916666667</v>
      </c>
      <c r="AI454" s="215">
        <f>IF(AND(ISNUMBER(AI170),ISNUMBER(AI187)),IFERROR(AI170/AI187,""),"")</f>
        <v>0.0194950463406839</v>
      </c>
      <c r="AJ454" s="215">
        <f>IF(AND(ISNUMBER(AJ170),ISNUMBER(AJ187)),IFERROR(AJ170/AJ187,""),"")</f>
        <v>0.0203691915977085</v>
      </c>
      <c r="AK454" s="215">
        <f>IF(AND(ISNUMBER(AK170),ISNUMBER(AK187)),IFERROR(AK170/AK187,""),"")</f>
        <v>0.0181924882629108</v>
      </c>
      <c r="AL454" s="215">
        <f>IF(AND(ISNUMBER(AL170),ISNUMBER(AL187)),IFERROR(AL170/AL187,""),"")</f>
        <v>0.0171699230313795</v>
      </c>
      <c r="AM454" s="215">
        <f>IF(AND(ISNUMBER(AM170),ISNUMBER(AM187)),IFERROR(AM170/AM187,""),"")</f>
        <v>0.0172910662824208</v>
      </c>
      <c r="AN454" s="215">
        <f>IF(AND(ISNUMBER(AN170),ISNUMBER(AN187)),IFERROR(AN170/AN187,""),"")</f>
        <v>0.0182116733840872</v>
      </c>
      <c r="AO454" s="215">
        <f>IF(AND(ISNUMBER(AO170),ISNUMBER(AO187)),IFERROR(AO170/AO187,""),"")</f>
        <v>0.0162374020156775</v>
      </c>
      <c r="AP454" s="215">
        <f>IF(AND(ISNUMBER(AP170),ISNUMBER(AP187)),IFERROR(AP170/AP187,""),"")</f>
        <v>0.0164693772516727</v>
      </c>
      <c r="AQ454" s="215">
        <f>IF(AND(ISNUMBER(AQ170),ISNUMBER(AQ187)),IFERROR(AQ170/AQ187,""),"")</f>
        <v>0.0173347778981582</v>
      </c>
      <c r="AR454" s="215">
        <f>IF(AND(ISNUMBER(AR170),ISNUMBER(AR187)),IFERROR(AR170/AR187,""),"")</f>
        <v>0.015532940546331</v>
      </c>
      <c r="AS454" s="215">
        <f>IF(AND(ISNUMBER(AS170),ISNUMBER(AS187)),IFERROR(AS170/AS187,""),"")</f>
        <v>0.0165278151034668</v>
      </c>
      <c r="AT454" s="215">
        <f>IF(AND(ISNUMBER(AT170),ISNUMBER(AT187)),IFERROR(AT170/AT187,""),"")</f>
        <v>0.0153769841269841</v>
      </c>
      <c r="AU454" s="215">
        <f>IF(AND(ISNUMBER(AU170),ISNUMBER(AU187)),IFERROR(AU170/AU187,""),"")</f>
        <v>0.0104463437796771</v>
      </c>
      <c r="AV454" s="215">
        <f>IF(AND(ISNUMBER(AV170),ISNUMBER(AV187)),IFERROR(AV170/AV187,""),"")</f>
        <v>0.0100622903689506</v>
      </c>
      <c r="AW454" s="215">
        <f>IF(AND(ISNUMBER(AW170),ISNUMBER(AW187)),IFERROR(AW170/AW187,""),"")</f>
        <v>0.0100574712643678</v>
      </c>
      <c r="AX454" s="215">
        <f>IF(AND(ISNUMBER(AX170),ISNUMBER(AX187)),IFERROR(AX170/AX187,""),"")</f>
        <v>0.0115704471495721</v>
      </c>
      <c r="AY454" s="215">
        <f>IF(AND(ISNUMBER(AY170),ISNUMBER(AY187)),IFERROR(AY170/AY187,""),"")</f>
        <v>0.0523231477605693</v>
      </c>
      <c r="AZ454" s="215">
        <f>IF(AND(ISNUMBER(AZ170),ISNUMBER(AZ187)),IFERROR(AZ170/AZ187,""),"")</f>
        <v>0.0942198463080521</v>
      </c>
      <c r="BA454" s="215">
        <f>IF(AND(ISNUMBER(BA170),ISNUMBER(BA187)),IFERROR(BA170/BA187,""),"")</f>
        <v>0.0978678783642083</v>
      </c>
      <c r="BB454" s="215">
        <f>IF(AND(ISNUMBER(BB170),ISNUMBER(BB187)),IFERROR(BB170/BB187,""),"")</f>
        <v>0.0926115083418454</v>
      </c>
      <c r="BC454" s="215">
        <f>IF(AND(ISNUMBER(BC170),ISNUMBER(BC187)),IFERROR(BC170/BC187,""),"")</f>
        <v>0.0857705035327788</v>
      </c>
      <c r="BD454" s="215">
        <f>IF(AND(ISNUMBER(BD170),ISNUMBER(BD187)),IFERROR(BD170/BD187,""),"")</f>
        <v>0.0870253164556962</v>
      </c>
      <c r="BE454" s="215">
        <f>IF(AND(ISNUMBER(BE170),ISNUMBER(BE187)),IFERROR(BE170/BE187,""),"")</f>
        <v>0.0886810706223799</v>
      </c>
      <c r="BF454" s="215">
        <f>IF(AND(ISNUMBER(BF170),ISNUMBER(BF187)),IFERROR(BF170/BF187,""),"")</f>
        <v>0.0888456549935149</v>
      </c>
      <c r="BG454" s="215">
        <f>IF(AND(ISNUMBER(BG170),ISNUMBER(BG187)),IFERROR(BG170/BG187,""),"")</f>
        <v>0.0866116751269036</v>
      </c>
      <c r="BH454" s="215">
        <f>IF(AND(ISNUMBER(BH170),ISNUMBER(BH187)),IFERROR(BH170/BH187,""),"")</f>
        <v>0.0877810674561895</v>
      </c>
      <c r="BI454" s="215">
        <f>IF(AND(ISNUMBER(BI170),ISNUMBER(BI187)),IFERROR(BI170/BI187,""),"")</f>
        <v>0.0796333428816958</v>
      </c>
      <c r="BJ454" s="215">
        <f>IF(AND(ISNUMBER(BJ170),ISNUMBER(BJ187)),IFERROR(BJ170/BJ187,""),"")</f>
        <v>0.0791772330233869</v>
      </c>
      <c r="BK454" s="215">
        <f>IF(AND(ISNUMBER(BK170),ISNUMBER(BK187)),IFERROR(BK170/BK187,""),"")</f>
        <v>0.0797202797202797</v>
      </c>
      <c r="BL454" s="215">
        <f>IF(AND(ISNUMBER(BL170),ISNUMBER(BL187)),IFERROR(BL170/BL187,""),"")</f>
        <v>0.0801781737193764</v>
      </c>
      <c r="BM454" s="215">
        <f>IF(AND(ISNUMBER(BM170),ISNUMBER(BM187)),IFERROR(BM170/BM187,""),"")</f>
        <v>0.0797438063063063</v>
      </c>
      <c r="BN454" s="215">
        <f>IF(AND(ISNUMBER(BN170),ISNUMBER(BN187)),IFERROR(BN170/BN187,""),"")</f>
        <v>0.0610664283586536</v>
      </c>
      <c r="BO454" s="215">
        <f>IF(AND(ISNUMBER(BO170),ISNUMBER(BO187)),IFERROR(BO170/BO187,""),"")</f>
        <v>0.0627072656014471</v>
      </c>
      <c r="BP454" s="215">
        <f>IF(AND(ISNUMBER(BP170),ISNUMBER(BP187)),IFERROR(BP170/BP187,""),"")</f>
        <v>0.0589602091199535</v>
      </c>
      <c r="BQ454" s="215">
        <f>IF(AND(ISNUMBER(BQ170),ISNUMBER(BQ187)),IFERROR(BQ170/BQ187,""),"")</f>
        <v>0.0550115207373272</v>
      </c>
      <c r="BR454" s="215">
        <f>IF(AND(ISNUMBER(BR170),ISNUMBER(BR187)),IFERROR(BR170/BR187,""),"")</f>
        <v>0.0593126793730223</v>
      </c>
      <c r="BS454" s="215">
        <f>IF(AND(ISNUMBER(BS170),ISNUMBER(BS187)),IFERROR(BS170/BS187,""),"")</f>
        <v>0.0538068334678504</v>
      </c>
      <c r="BT454" s="215">
        <f>IF(AND(ISNUMBER(BT170),ISNUMBER(BT187)),IFERROR(BT170/BT187,""),"")</f>
        <v>0.05410549211528</v>
      </c>
      <c r="BU454" s="24" t="n"/>
      <c r="BV454" s="24" t="n"/>
      <c r="BW454" s="256">
        <f>IF(AND(ISNUMBER(BW170),ISNUMBER(BW187)),IFERROR(BW170/BW187,""),"")</f>
        <v>0.0540386452725031</v>
      </c>
      <c r="BX454" s="256">
        <f>IF(AND(ISNUMBER(BX170),ISNUMBER(BX187)),IFERROR(BX170/BX187,""),"")</f>
        <v>0.0516545341955476</v>
      </c>
      <c r="BY454" s="256">
        <f>IF(AND(ISNUMBER(BY170),ISNUMBER(BY187)),IFERROR(BY170/BY187,""),"")</f>
        <v>0.0478604090375307</v>
      </c>
      <c r="BZ454" s="256">
        <f>IF(AND(ISNUMBER(BZ170),ISNUMBER(BZ187)),IFERROR(BZ170/BZ187,""),"")</f>
        <v>0.0439733484263743</v>
      </c>
      <c r="CA454" s="256">
        <f>IF(AND(ISNUMBER(CA170),ISNUMBER(CA187)),IFERROR(CA170/CA187,""),"")</f>
        <v>0.0405029944952222</v>
      </c>
      <c r="CB454" s="256">
        <f>IF(AND(ISNUMBER(CB170),ISNUMBER(CB187)),IFERROR(CB170/CB187,""),"")</f>
        <v>0.0373465676226357</v>
      </c>
      <c r="CC454" s="153" t="n"/>
    </row>
    <row r="455" ht="15" customHeight="1" s="251">
      <c r="B455" s="25" t="inlineStr">
        <is>
          <t xml:space="preserve">  Interest expense, net ÷ average total debt %</t>
        </is>
      </c>
      <c r="C455" s="36" t="n"/>
      <c r="D455" s="215">
        <f>IFERROR(D200*1/AVERAGE(D433,C433),"")</f>
      </c>
      <c r="E455" s="215">
        <f>IFERROR(E200*1/AVERAGE(E433,D433),"")</f>
        <v>0.0644904458598726</v>
      </c>
      <c r="F455" s="36" t="n"/>
      <c r="G455" s="215">
        <f>IFERROR(G200*4/AVERAGE(G433,F433),"")</f>
        <v>0.0801001251564456</v>
      </c>
      <c r="H455" s="215">
        <f>IFERROR(H200*4/AVERAGE(H433,G433),"")</f>
        <v>0.0700876095118899</v>
      </c>
      <c r="I455" s="215">
        <f>IFERROR(I200*4/AVERAGE(I433,H433),"")</f>
        <v>0.0700876095118899</v>
      </c>
      <c r="J455" s="215">
        <f>IFERROR(J200*1/AVERAGE(J433,E433),"")</f>
        <v>0.0574209245742093</v>
      </c>
      <c r="K455" s="215">
        <f>IFERROR(K200*4/AVERAGE(K433,I433),"")</f>
        <v>0.0700876095118899</v>
      </c>
      <c r="L455" s="215">
        <f>IFERROR(L200*4/AVERAGE(L433,K433),"")</f>
        <v>0.0700876095118899</v>
      </c>
      <c r="M455" s="215">
        <f>IFERROR(M200*4/AVERAGE(M433,L433),"")</f>
        <v>0.0600750938673342</v>
      </c>
      <c r="N455" s="215">
        <f>IFERROR(N200*4/AVERAGE(N433,M433),"")</f>
        <v>0.0951188986232791</v>
      </c>
      <c r="O455" s="215">
        <f>IFERROR(O200*1/AVERAGE(O433,J433),"")</f>
        <v>0.0738423028785983</v>
      </c>
      <c r="P455" s="215">
        <f>IFERROR(P200*4/AVERAGE(P433,N433),"")</f>
        <v>0.065206316861946</v>
      </c>
      <c r="Q455" s="215">
        <f>IFERROR(Q200*4/AVERAGE(Q433,P433),"")</f>
        <v>0.0481565086531227</v>
      </c>
      <c r="R455" s="215">
        <f>IFERROR(R200*4/AVERAGE(R433,Q433),"")</f>
        <v>0.0481637567730283</v>
      </c>
      <c r="S455" s="215">
        <f>IFERROR(S200*4/AVERAGE(S433,R433),"")</f>
        <v>0.0450704225352113</v>
      </c>
      <c r="T455" s="215">
        <f>IFERROR(T200*1/AVERAGE(T433,O433),"")</f>
        <v>0.0462585034013605</v>
      </c>
      <c r="U455" s="215">
        <f>IFERROR(U200*4/AVERAGE(U433,S433),"")</f>
        <v>0.0423728813559322</v>
      </c>
      <c r="V455" s="215">
        <f>IFERROR(V200*4/AVERAGE(V433,U433),"")</f>
        <v>0.0435233160621762</v>
      </c>
      <c r="W455" s="215">
        <f>IFERROR(W200*4/AVERAGE(W433,V433),"")</f>
        <v>0.0402996641694653</v>
      </c>
      <c r="X455" s="215">
        <f>IFERROR(X200*4/AVERAGE(X433,W433),"")</f>
        <v>0.063770426464727</v>
      </c>
      <c r="Y455" s="215">
        <f>IFERROR(Y200*1/AVERAGE(Y433,T433),"")</f>
        <v>0.0504529616724739</v>
      </c>
      <c r="Z455" s="215">
        <f>IFERROR(Z200*4/AVERAGE(Z433,X433),"")</f>
        <v>0.0415205498667415</v>
      </c>
      <c r="AA455" s="215">
        <f>IFERROR(AA200*4/AVERAGE(AA433,Z433),"")</f>
        <v>0.041508904781938</v>
      </c>
      <c r="AB455" s="215">
        <f>IFERROR(AB200*4/AVERAGE(AB433,AA433),"")</f>
        <v>0.0414914493972526</v>
      </c>
      <c r="AC455" s="215">
        <f>IFERROR(AC200*4/AVERAGE(AC433,AB433),"")</f>
        <v>0.0437158469945355</v>
      </c>
      <c r="AD455" s="215">
        <f>IFERROR(AD200*1/AVERAGE(AD433,Y433),"")</f>
        <v>0.0417776531613627</v>
      </c>
      <c r="AE455" s="215">
        <f>IFERROR(AE200*4/AVERAGE(AE433,AC433),"")</f>
        <v>0.0381005743101275</v>
      </c>
      <c r="AF455" s="215">
        <f>IFERROR(AF200*4/AVERAGE(AF433,AE433),"")</f>
        <v>0.0287690179806362</v>
      </c>
      <c r="AG455" s="215">
        <f>IFERROR(AG200*4/AVERAGE(AG433,AF433),"")</f>
        <v>0.0415243819150389</v>
      </c>
      <c r="AH455" s="215">
        <f>IFERROR(AH200*4/AVERAGE(AH433,AG433),"")</f>
        <v>0.0393281442031954</v>
      </c>
      <c r="AI455" s="215">
        <f>IFERROR(AI200*1/AVERAGE(AI433,AD433),"")</f>
        <v>0.0370626469367999</v>
      </c>
      <c r="AJ455" s="215">
        <f>IFERROR(AJ200*4/AVERAGE(AJ433,AH433),"")</f>
        <v>0.0393174061433447</v>
      </c>
      <c r="AK455" s="215">
        <f>IFERROR(AK200*4/AVERAGE(AK433,AJ433),"")</f>
        <v>0.040398525999727</v>
      </c>
      <c r="AL455" s="215">
        <f>IFERROR(AL200*4/AVERAGE(AL433,AK433),"")</f>
        <v>0.0349297312048028</v>
      </c>
      <c r="AM455" s="215">
        <f>IFERROR(AM200*4/AVERAGE(AM433,AL433),"")</f>
        <v>0.0977275712596874</v>
      </c>
      <c r="AN455" s="215">
        <f>IFERROR(AN200*1/AVERAGE(AN433,AI433),"")</f>
        <v>0.0520367936925099</v>
      </c>
      <c r="AO455" s="215">
        <f>IFERROR(AO200*4/AVERAGE(AO433,AM433),"")</f>
        <v>0.0344434595415981</v>
      </c>
      <c r="AP455" s="215">
        <f>IFERROR(AP200*4/AVERAGE(AP433,AO433),"")</f>
        <v>0.0405114571464742</v>
      </c>
      <c r="AQ455" s="215">
        <f>IFERROR(AQ200*4/AVERAGE(AQ433,AP433),"")</f>
        <v>0.0347394540942928</v>
      </c>
      <c r="AR455" s="215">
        <f>IFERROR(AR200*4/AVERAGE(AR433,AQ433),"")</f>
        <v>0.0311435523114355</v>
      </c>
      <c r="AS455" s="215">
        <f>IFERROR(AS200*1/AVERAGE(AS433,AN433),"")</f>
        <v>0.0349962769918094</v>
      </c>
      <c r="AT455" s="215">
        <f>IFERROR(AT200*4/AVERAGE(AT433,AR433),"")</f>
        <v>0.0311397640189758</v>
      </c>
      <c r="AU455" s="215">
        <f>IFERROR(AU200*4/AVERAGE(AU433,AT433),"")</f>
        <v>0.0311321901982245</v>
      </c>
      <c r="AV455" s="215">
        <f>IFERROR(AV200*4/AVERAGE(AV433,AU433),"")</f>
        <v>0.0301519756838906</v>
      </c>
      <c r="AW455" s="215">
        <f>IFERROR(AW200*4/AVERAGE(AW433,AV433),"")</f>
        <v>0.0243101981281147</v>
      </c>
      <c r="AX455" s="215">
        <f>IFERROR(AX200*1/AVERAGE(AX433,AS433),"")</f>
        <v>0.0289396887159533</v>
      </c>
      <c r="AY455" s="215">
        <f>IFERROR(AY200*4/AVERAGE(AY433,AW433),"")</f>
        <v>0.0294079711079582</v>
      </c>
      <c r="AZ455" s="215">
        <f>IFERROR(AZ200*4/AVERAGE(AZ433,AY433),"")</f>
        <v>0.032458750338112</v>
      </c>
      <c r="BA455" s="215">
        <f>IFERROR(BA200*4/AVERAGE(BA433,AZ433),"")</f>
        <v>0.0263255469039674</v>
      </c>
      <c r="BB455" s="215">
        <f>IFERROR(BB200*4/AVERAGE(BB433,BA433),"")</f>
        <v>0.031643823015362</v>
      </c>
      <c r="BC455" s="215">
        <f>IFERROR(BC200*1/AVERAGE(BC433,AX433),"")</f>
        <v>0.0403450564034506</v>
      </c>
      <c r="BD455" s="215">
        <f>IFERROR(BD200*4/AVERAGE(BD433,BB433),"")</f>
        <v>0.0300632211857288</v>
      </c>
      <c r="BE455" s="215">
        <f>IFERROR(BE200*4/AVERAGE(BE433,BD433),"")</f>
        <v>0.0303919875669142</v>
      </c>
      <c r="BF455" s="215">
        <f>IFERROR(BF200*4/AVERAGE(BF433,BE433),"")</f>
        <v>0.0292644689282759</v>
      </c>
      <c r="BG455" s="215">
        <f>IFERROR(BG200*4/AVERAGE(BG433,BF433),"")</f>
        <v>0.0265258932856333</v>
      </c>
      <c r="BH455" s="215">
        <f>IFERROR(BH200*1/AVERAGE(BH433,BC433),"")</f>
        <v>0.0298014722284185</v>
      </c>
      <c r="BI455" s="215">
        <f>IFERROR(BI200*4/AVERAGE(BI433,BG433),"")</f>
        <v>0.0269383526161285</v>
      </c>
      <c r="BJ455" s="215">
        <f>IFERROR(BJ200*4/AVERAGE(BJ433,BI433),"")</f>
        <v>0.0266551276503678</v>
      </c>
      <c r="BK455" s="215">
        <f>IFERROR(BK200*4/AVERAGE(BK433,BJ433),"")</f>
        <v>0.0252554040426185</v>
      </c>
      <c r="BL455" s="215">
        <f>IFERROR(BL200*4/AVERAGE(BL433,BK433),"")</f>
        <v>0.0242105263157895</v>
      </c>
      <c r="BM455" s="215">
        <f>IFERROR(BM200*1/AVERAGE(BM433,BH433),"")</f>
        <v>0.0259876624228901</v>
      </c>
      <c r="BN455" s="215">
        <f>IFERROR(BN200*4/AVERAGE(BN433,BL433),"")</f>
        <v>0.0273816314888762</v>
      </c>
      <c r="BO455" s="215">
        <f>IFERROR(BO200*4/AVERAGE(BO433,BN433),"")</f>
        <v>0.0270424513806576</v>
      </c>
      <c r="BP455" s="215">
        <f>IFERROR(BP200*4/AVERAGE(BP433,BO433),"")</f>
        <v>0.0277521626487507</v>
      </c>
      <c r="BQ455" s="215">
        <f>IFERROR(BQ200*4/AVERAGE(BQ433,BP433),"")</f>
        <v>0.0179789972622891</v>
      </c>
      <c r="BR455" s="215">
        <f>IFERROR(BR200*1/AVERAGE(BR433,BM433),"")</f>
        <v>0.0235236461651556</v>
      </c>
      <c r="BS455" s="215">
        <f>IFERROR(BS200*4/AVERAGE(BS433,BQ433),"")</f>
        <v>0.0290842990229493</v>
      </c>
      <c r="BT455" s="215">
        <f>IFERROR(BT200*4/AVERAGE(BT433,BS433),"")</f>
        <v>0.0233080595338388</v>
      </c>
      <c r="BU455" s="24" t="n"/>
      <c r="BV455" s="24" t="n"/>
      <c r="BW455" s="256">
        <f>IFERROR(BW200*1/AVERAGE(BW433,BR433),"")</f>
        <v>0.0278780381748485</v>
      </c>
      <c r="BX455" s="256">
        <f>IFERROR(BX200*1/AVERAGE(BX433,BW433),"")</f>
        <v>0.0299604317187308</v>
      </c>
      <c r="BY455" s="256">
        <f>IFERROR(BY200*1/AVERAGE(BY433,BX433),"")</f>
        <v>0.029571929504419</v>
      </c>
      <c r="BZ455" s="256">
        <f>IFERROR(BZ200*1/AVERAGE(BZ433,BY433),"")</f>
        <v>0.0320631206521329</v>
      </c>
      <c r="CA455" s="256">
        <f>IFERROR(CA200*1/AVERAGE(CA433,BZ433),"")</f>
        <v>0.0331606327582952</v>
      </c>
      <c r="CB455" s="256">
        <f>IFERROR(CB200*1/AVERAGE(CB433,CA433),"")</f>
        <v>0.0338429106362543</v>
      </c>
      <c r="CC455" s="153" t="n"/>
    </row>
    <row r="456" ht="15" customHeight="1" s="251">
      <c r="CK456" s="11" t="n"/>
      <c r="CL456" s="12" t="n"/>
      <c r="CM456" s="12" t="n"/>
      <c r="CN456" s="12" t="n"/>
      <c r="CO456" s="13" t="n"/>
    </row>
    <row r="457" ht="15" customHeight="1" s="251">
      <c r="B457" s="10" t="inlineStr">
        <is>
          <t>RATIO ANALYSIS</t>
        </is>
      </c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  <c r="AD457" s="10" t="n"/>
      <c r="AE457" s="10" t="n"/>
      <c r="AF457" s="10" t="n"/>
      <c r="AG457" s="10" t="n"/>
      <c r="AH457" s="10" t="n"/>
      <c r="AI457" s="10" t="n"/>
      <c r="AJ457" s="10" t="n"/>
      <c r="AK457" s="10" t="n"/>
      <c r="AL457" s="10" t="n"/>
      <c r="AM457" s="10" t="n"/>
      <c r="AN457" s="10" t="n"/>
      <c r="AO457" s="10" t="n"/>
      <c r="AP457" s="10" t="n"/>
      <c r="AQ457" s="10" t="n"/>
      <c r="AR457" s="10" t="n"/>
      <c r="AS457" s="10" t="n"/>
      <c r="AT457" s="10" t="n"/>
      <c r="AU457" s="10" t="n"/>
      <c r="AV457" s="10" t="n"/>
      <c r="AW457" s="10" t="n"/>
      <c r="AX457" s="10" t="n"/>
      <c r="AY457" s="10" t="n"/>
      <c r="AZ457" s="10" t="n"/>
      <c r="BA457" s="10" t="n"/>
      <c r="BB457" s="10" t="n"/>
      <c r="BC457" s="10" t="n"/>
      <c r="BD457" s="10" t="n"/>
      <c r="BE457" s="10" t="n"/>
      <c r="BF457" s="10" t="n"/>
      <c r="BG457" s="10" t="n"/>
      <c r="BH457" s="10" t="n"/>
      <c r="BI457" s="10" t="n"/>
      <c r="BJ457" s="10" t="n"/>
      <c r="BK457" s="10" t="n"/>
      <c r="BL457" s="10" t="n"/>
      <c r="BM457" s="10" t="n"/>
      <c r="BN457" s="10" t="n"/>
      <c r="BO457" s="10" t="n"/>
      <c r="BP457" s="10" t="n"/>
      <c r="BQ457" s="10" t="n"/>
      <c r="BR457" s="10" t="n"/>
      <c r="BS457" s="10" t="n"/>
      <c r="BT457" s="10" t="n"/>
      <c r="BU457" s="10" t="n"/>
      <c r="BV457" s="10" t="n"/>
      <c r="BW457" s="10" t="n"/>
      <c r="BX457" s="10" t="n"/>
      <c r="BY457" s="10" t="n"/>
      <c r="BZ457" s="10" t="n"/>
      <c r="CA457" s="10" t="n"/>
      <c r="CB457" s="10" t="n"/>
      <c r="CC457" s="10" t="inlineStr">
        <is>
          <t>RETURNS — annual columns (NOPAT on adjusted EBITA less cash adjusting costs; standard basis)</t>
        </is>
      </c>
    </row>
    <row r="458" ht="15" customHeight="1" s="251">
      <c r="B458" s="25" t="inlineStr">
        <is>
          <t>DuPont decomposition of ROIC</t>
        </is>
      </c>
      <c r="CC458" s="153" t="n"/>
    </row>
    <row r="459" ht="15" customHeight="1" s="251">
      <c r="B459" s="25" t="inlineStr">
        <is>
          <t>Adjusted EBITA less severance / acquisition / disposition / legal cash costs</t>
        </is>
      </c>
      <c r="C459" s="211" t="str">
        <f>IFERROR(C260-N(C262),"n/a")</f>
        <v>n/a</v>
      </c>
      <c r="D459" s="211">
        <f>IFERROR(D260-N(D262),"n/a")</f>
        <v>1077</v>
      </c>
      <c r="E459" s="211">
        <f>IFERROR(E260-N(E262),"n/a")</f>
        <v>1159</v>
      </c>
      <c r="F459" s="34" t="n"/>
      <c r="G459" s="34" t="n"/>
      <c r="H459" s="34" t="n"/>
      <c r="I459" s="34" t="n"/>
      <c r="J459" s="211">
        <f>IFERROR(J260-N(J262),"n/a")</f>
        <v>1459</v>
      </c>
      <c r="K459" s="34" t="n"/>
      <c r="L459" s="34" t="n"/>
      <c r="M459" s="34" t="n"/>
      <c r="N459" s="34" t="n"/>
      <c r="O459" s="211">
        <f>IFERROR(O260-N(O262),"n/a")</f>
        <v>113</v>
      </c>
      <c r="P459" s="34" t="n"/>
      <c r="Q459" s="34" t="n"/>
      <c r="R459" s="34" t="n"/>
      <c r="S459" s="34" t="n"/>
      <c r="T459" s="211">
        <f>IFERROR(T260-N(T262),"n/a")</f>
        <v>1916</v>
      </c>
      <c r="U459" s="34" t="n"/>
      <c r="V459" s="34" t="n"/>
      <c r="W459" s="34" t="n"/>
      <c r="X459" s="34" t="n"/>
      <c r="Y459" s="211">
        <f>IFERROR(Y260-N(Y262),"n/a")</f>
        <v>2389</v>
      </c>
      <c r="Z459" s="34" t="n"/>
      <c r="AA459" s="34" t="n"/>
      <c r="AB459" s="34" t="n"/>
      <c r="AC459" s="34" t="n"/>
      <c r="AD459" s="211">
        <f>IFERROR(AD260-N(AD262),"n/a")</f>
        <v>2758</v>
      </c>
      <c r="AE459" s="34" t="n"/>
      <c r="AF459" s="34" t="n"/>
      <c r="AG459" s="34" t="n"/>
      <c r="AH459" s="34" t="n"/>
      <c r="AI459" s="211">
        <f>IFERROR(AI260-N(AI262),"n/a")</f>
        <v>2922</v>
      </c>
      <c r="AJ459" s="34" t="n"/>
      <c r="AK459" s="34" t="n"/>
      <c r="AL459" s="34" t="n"/>
      <c r="AM459" s="34" t="n"/>
      <c r="AN459" s="211">
        <f>IFERROR(AN260-N(AN262),"n/a")</f>
        <v>3310</v>
      </c>
      <c r="AO459" s="34" t="n"/>
      <c r="AP459" s="34" t="n"/>
      <c r="AQ459" s="34" t="n"/>
      <c r="AR459" s="34" t="n"/>
      <c r="AS459" s="211">
        <f>IFERROR(AS260-N(AS262),"n/a")</f>
        <v>3865</v>
      </c>
      <c r="AT459" s="34" t="n"/>
      <c r="AU459" s="34" t="n"/>
      <c r="AV459" s="34" t="n"/>
      <c r="AW459" s="34" t="n"/>
      <c r="AX459" s="211">
        <f>IFERROR(AX260-N(AX262),"n/a")</f>
        <v>4307</v>
      </c>
      <c r="AY459" s="34" t="n"/>
      <c r="AZ459" s="34" t="n"/>
      <c r="BA459" s="34" t="n"/>
      <c r="BB459" s="34" t="n"/>
      <c r="BC459" s="211">
        <f>IFERROR(BC260-N(BC262),"n/a")</f>
        <v>4200</v>
      </c>
      <c r="BD459" s="34" t="n"/>
      <c r="BE459" s="34" t="n"/>
      <c r="BF459" s="34" t="n"/>
      <c r="BG459" s="34" t="n"/>
      <c r="BH459" s="211">
        <f>IFERROR(BH260-N(BH262),"n/a")</f>
        <v>5210</v>
      </c>
      <c r="BI459" s="34" t="n"/>
      <c r="BJ459" s="34" t="n"/>
      <c r="BK459" s="34" t="n"/>
      <c r="BL459" s="34" t="n"/>
      <c r="BM459" s="211">
        <f>IFERROR(BM260-N(BM262),"n/a")</f>
        <v>6663</v>
      </c>
      <c r="BN459" s="34" t="n"/>
      <c r="BO459" s="34" t="n"/>
      <c r="BP459" s="34" t="n"/>
      <c r="BQ459" s="34" t="n"/>
      <c r="BR459" s="211">
        <f>IFERROR(BR260-N(BR262),"n/a")</f>
        <v>6606</v>
      </c>
      <c r="BS459" s="34" t="n"/>
      <c r="BT459" s="34" t="n"/>
      <c r="BU459" s="35" t="n"/>
      <c r="BV459" s="35" t="n"/>
      <c r="BW459" s="254">
        <f>IFERROR(BW260-N(BW262),"n/a")</f>
        <v>7326.28237019501</v>
      </c>
      <c r="BX459" s="254">
        <f>IFERROR(BX260-N(BX262),"n/a")</f>
        <v>8135.82627832991</v>
      </c>
      <c r="BY459" s="254">
        <f>IFERROR(BY260-N(BY262),"n/a")</f>
        <v>8789.08210458068</v>
      </c>
      <c r="BZ459" s="254">
        <f>IFERROR(BZ260-N(BZ262),"n/a")</f>
        <v>9427.60576487838</v>
      </c>
      <c r="CA459" s="254">
        <f>IFERROR(CA260-N(CA262),"n/a")</f>
        <v>10091.4118304415</v>
      </c>
      <c r="CB459" s="254">
        <f>IFERROR(CB260-N(CB262),"n/a")</f>
        <v>10769.0606283566</v>
      </c>
      <c r="CC459" s="19" t="n"/>
    </row>
    <row r="460" ht="15" customHeight="1" s="251">
      <c r="B460" s="25" t="inlineStr">
        <is>
          <t>Effective tax rate (adjusted)</t>
        </is>
      </c>
      <c r="C460" s="215">
        <f>IFERROR(C282+0,0.225)</f>
        <v>0.225</v>
      </c>
      <c r="D460" s="215">
        <f>IFERROR(D282+0,0.225)</f>
        <v>0.369481765834933</v>
      </c>
      <c r="E460" s="215">
        <f>IFERROR(E282+0,0.225)</f>
        <v>0.357361963190184</v>
      </c>
      <c r="F460" s="34" t="n"/>
      <c r="G460" s="34" t="n"/>
      <c r="H460" s="34" t="n"/>
      <c r="I460" s="34" t="n"/>
      <c r="J460" s="215">
        <f>IFERROR(J282+0,0.225)</f>
        <v>0.338302009073234</v>
      </c>
      <c r="K460" s="34" t="n"/>
      <c r="L460" s="34" t="n"/>
      <c r="M460" s="34" t="n"/>
      <c r="N460" s="34" t="n"/>
      <c r="O460" s="215">
        <f>IFERROR(O282+0,0.225)</f>
        <v>0.330865603644647</v>
      </c>
      <c r="P460" s="34" t="n"/>
      <c r="Q460" s="34" t="n"/>
      <c r="R460" s="34" t="n"/>
      <c r="S460" s="34" t="n"/>
      <c r="T460" s="215">
        <f>IFERROR(T282+0,0.225)</f>
        <v>0.304971809328549</v>
      </c>
      <c r="U460" s="34" t="n"/>
      <c r="V460" s="34" t="n"/>
      <c r="W460" s="34" t="n"/>
      <c r="X460" s="34" t="n"/>
      <c r="Y460" s="215">
        <f>IFERROR(Y282+0,0.225)</f>
        <v>0.321003963011889</v>
      </c>
      <c r="Z460" s="34" t="n"/>
      <c r="AA460" s="34" t="n"/>
      <c r="AB460" s="34" t="n"/>
      <c r="AC460" s="34" t="n"/>
      <c r="AD460" s="215">
        <f>IFERROR(AD282+0,0.225)</f>
        <v>0.28877400295421</v>
      </c>
      <c r="AE460" s="34" t="n"/>
      <c r="AF460" s="34" t="n"/>
      <c r="AG460" s="34" t="n"/>
      <c r="AH460" s="34" t="n"/>
      <c r="AI460" s="215">
        <f>IFERROR(AI282+0,0.225)</f>
        <v>0.21472184531886</v>
      </c>
      <c r="AJ460" s="34" t="n"/>
      <c r="AK460" s="34" t="n"/>
      <c r="AL460" s="34" t="n"/>
      <c r="AM460" s="34" t="n"/>
      <c r="AN460" s="215">
        <f>IFERROR(AN282+0,0.225)</f>
        <v>0.217068645640074</v>
      </c>
      <c r="AO460" s="34" t="n"/>
      <c r="AP460" s="34" t="n"/>
      <c r="AQ460" s="34" t="n"/>
      <c r="AR460" s="34" t="n"/>
      <c r="AS460" s="215">
        <f>IFERROR(AS282+0,0.225)</f>
        <v>0.216321243523316</v>
      </c>
      <c r="AT460" s="34" t="n"/>
      <c r="AU460" s="34" t="n"/>
      <c r="AV460" s="34" t="n"/>
      <c r="AW460" s="34" t="n"/>
      <c r="AX460" s="215">
        <f>IFERROR(AX282+0,0.225)</f>
        <v>0.215296198054819</v>
      </c>
      <c r="AY460" s="34" t="n"/>
      <c r="AZ460" s="34" t="n"/>
      <c r="BA460" s="34" t="n"/>
      <c r="BB460" s="34" t="n"/>
      <c r="BC460" s="215">
        <f>IFERROR(BC282+0,0.225)</f>
        <v>0.209122378334351</v>
      </c>
      <c r="BD460" s="34" t="n"/>
      <c r="BE460" s="34" t="n"/>
      <c r="BF460" s="34" t="n"/>
      <c r="BG460" s="34" t="n"/>
      <c r="BH460" s="215">
        <f>IFERROR(BH282+0,0.225)</f>
        <v>0.203197620375535</v>
      </c>
      <c r="BI460" s="34" t="n"/>
      <c r="BJ460" s="34" t="n"/>
      <c r="BK460" s="34" t="n"/>
      <c r="BL460" s="34" t="n"/>
      <c r="BM460" s="215">
        <f>IFERROR(BM282+0,0.225)</f>
        <v>0.217971797179718</v>
      </c>
      <c r="BN460" s="34" t="n"/>
      <c r="BO460" s="34" t="n"/>
      <c r="BP460" s="34" t="n"/>
      <c r="BQ460" s="34" t="n"/>
      <c r="BR460" s="215">
        <f>IFERROR(BR282+0,0.225)</f>
        <v>0.226254480286738</v>
      </c>
      <c r="BS460" s="34" t="n"/>
      <c r="BT460" s="34" t="n"/>
      <c r="BU460" s="35" t="n"/>
      <c r="BV460" s="35" t="n"/>
      <c r="BW460" s="256">
        <f>IFERROR(BW282+0,0.225)</f>
        <v>0.21974589934166</v>
      </c>
      <c r="BX460" s="256">
        <f>IFERROR(BX282+0,0.225)</f>
        <v>0.225</v>
      </c>
      <c r="BY460" s="256">
        <f>IFERROR(BY282+0,0.225)</f>
        <v>0.225</v>
      </c>
      <c r="BZ460" s="256">
        <f>IFERROR(BZ282+0,0.225)</f>
        <v>0.225</v>
      </c>
      <c r="CA460" s="256">
        <f>IFERROR(CA282+0,0.225)</f>
        <v>0.225</v>
      </c>
      <c r="CB460" s="256">
        <f>IFERROR(CB282+0,0.225)</f>
        <v>0.225</v>
      </c>
      <c r="CC460" s="19" t="n"/>
    </row>
    <row r="461" ht="15" customHeight="1" s="251">
      <c r="B461" s="25" t="inlineStr">
        <is>
          <t>NOPAT = Adjusted EBITA × (1 − tax rate)</t>
        </is>
      </c>
      <c r="C461" s="211" t="str">
        <f>IFERROR(C459*(1-C460),"n/a")</f>
        <v>n/a</v>
      </c>
      <c r="D461" s="211">
        <f>IFERROR(D459*(1-D460),"n/a")</f>
        <v>679.068138195778</v>
      </c>
      <c r="E461" s="211">
        <f>IFERROR(E459*(1-E460),"n/a")</f>
        <v>744.817484662577</v>
      </c>
      <c r="F461" s="34" t="n"/>
      <c r="G461" s="34" t="n"/>
      <c r="H461" s="34" t="n"/>
      <c r="I461" s="34" t="n"/>
      <c r="J461" s="211">
        <f>IFERROR(J459*(1-J460),"n/a")</f>
        <v>965.417368762152</v>
      </c>
      <c r="K461" s="34" t="n"/>
      <c r="L461" s="34" t="n"/>
      <c r="M461" s="34" t="n"/>
      <c r="N461" s="34" t="n"/>
      <c r="O461" s="211">
        <f>IFERROR(O459*(1-O460),"n/a")</f>
        <v>75.6121867881549</v>
      </c>
      <c r="P461" s="34" t="n"/>
      <c r="Q461" s="34" t="n"/>
      <c r="R461" s="34" t="n"/>
      <c r="S461" s="34" t="n"/>
      <c r="T461" s="211">
        <f>IFERROR(T459*(1-T460),"n/a")</f>
        <v>1331.6740133265</v>
      </c>
      <c r="U461" s="34" t="n"/>
      <c r="V461" s="34" t="n"/>
      <c r="W461" s="34" t="n"/>
      <c r="X461" s="34" t="n"/>
      <c r="Y461" s="211">
        <f>IFERROR(Y459*(1-Y460),"n/a")</f>
        <v>1622.1215323646</v>
      </c>
      <c r="Z461" s="34" t="n"/>
      <c r="AA461" s="34" t="n"/>
      <c r="AB461" s="34" t="n"/>
      <c r="AC461" s="34" t="n"/>
      <c r="AD461" s="211">
        <f>IFERROR(AD459*(1-AD460),"n/a")</f>
        <v>1961.56129985229</v>
      </c>
      <c r="AE461" s="34" t="n"/>
      <c r="AF461" s="34" t="n"/>
      <c r="AG461" s="34" t="n"/>
      <c r="AH461" s="34" t="n"/>
      <c r="AI461" s="211">
        <f>IFERROR(AI459*(1-AI460),"n/a")</f>
        <v>2294.58276797829</v>
      </c>
      <c r="AJ461" s="34" t="n"/>
      <c r="AK461" s="34" t="n"/>
      <c r="AL461" s="34" t="n"/>
      <c r="AM461" s="34" t="n"/>
      <c r="AN461" s="211">
        <f>IFERROR(AN459*(1-AN460),"n/a")</f>
        <v>2591.50278293135</v>
      </c>
      <c r="AO461" s="34" t="n"/>
      <c r="AP461" s="34" t="n"/>
      <c r="AQ461" s="34" t="n"/>
      <c r="AR461" s="34" t="n"/>
      <c r="AS461" s="211">
        <f>IFERROR(AS459*(1-AS460),"n/a")</f>
        <v>3028.91839378238</v>
      </c>
      <c r="AT461" s="34" t="n"/>
      <c r="AU461" s="34" t="n"/>
      <c r="AV461" s="34" t="n"/>
      <c r="AW461" s="34" t="n"/>
      <c r="AX461" s="211">
        <f>IFERROR(AX459*(1-AX460),"n/a")</f>
        <v>3379.7192749779</v>
      </c>
      <c r="AY461" s="34" t="n"/>
      <c r="AZ461" s="34" t="n"/>
      <c r="BA461" s="34" t="n"/>
      <c r="BB461" s="34" t="n"/>
      <c r="BC461" s="211">
        <f>IFERROR(BC459*(1-BC460),"n/a")</f>
        <v>3321.68601099572</v>
      </c>
      <c r="BD461" s="34" t="n"/>
      <c r="BE461" s="34" t="n"/>
      <c r="BF461" s="34" t="n"/>
      <c r="BG461" s="34" t="n"/>
      <c r="BH461" s="211">
        <f>IFERROR(BH459*(1-BH460),"n/a")</f>
        <v>4151.34039784347</v>
      </c>
      <c r="BI461" s="34" t="n"/>
      <c r="BJ461" s="34" t="n"/>
      <c r="BK461" s="34" t="n"/>
      <c r="BL461" s="34" t="n"/>
      <c r="BM461" s="211">
        <f>IFERROR(BM459*(1-BM460),"n/a")</f>
        <v>5210.65391539154</v>
      </c>
      <c r="BN461" s="34" t="n"/>
      <c r="BO461" s="34" t="n"/>
      <c r="BP461" s="34" t="n"/>
      <c r="BQ461" s="34" t="n"/>
      <c r="BR461" s="211">
        <f>IFERROR(BR459*(1-BR460),"n/a")</f>
        <v>5111.36290322581</v>
      </c>
      <c r="BS461" s="34" t="n"/>
      <c r="BT461" s="34" t="n"/>
      <c r="BU461" s="35" t="n"/>
      <c r="BV461" s="35" t="n"/>
      <c r="BW461" s="254">
        <f>IFERROR(BW459*(1-BW460),"n/a")</f>
        <v>5716.36186192556</v>
      </c>
      <c r="BX461" s="254">
        <f>IFERROR(BX459*(1-BX460),"n/a")</f>
        <v>6305.26536570568</v>
      </c>
      <c r="BY461" s="254">
        <f>IFERROR(BY459*(1-BY460),"n/a")</f>
        <v>6811.53863105003</v>
      </c>
      <c r="BZ461" s="254">
        <f>IFERROR(BZ459*(1-BZ460),"n/a")</f>
        <v>7306.39446778074</v>
      </c>
      <c r="CA461" s="254">
        <f>IFERROR(CA459*(1-CA460),"n/a")</f>
        <v>7820.84416859214</v>
      </c>
      <c r="CB461" s="254">
        <f>IFERROR(CB459*(1-CB460),"n/a")</f>
        <v>8346.02198697637</v>
      </c>
      <c r="CC461" s="19" t="n"/>
    </row>
    <row r="462" ht="15" customHeight="1" s="251">
      <c r="B462" s="25" t="inlineStr">
        <is>
          <t>Invested capital (IC) = Equity (incl. redeemable NCI) + Net debt</t>
        </is>
      </c>
      <c r="C462" s="211" t="str">
        <f>IFERROR(C463+C464,"n/a")</f>
        <v>n/a</v>
      </c>
      <c r="D462" s="211" t="str">
        <f>IFERROR(D463+D464,"n/a")</f>
        <v>n/a</v>
      </c>
      <c r="E462" s="211">
        <f>IFERROR(E463+E464,"n/a")</f>
        <v>2146</v>
      </c>
      <c r="F462" s="34" t="n"/>
      <c r="G462" s="34" t="n"/>
      <c r="H462" s="34" t="n"/>
      <c r="I462" s="34" t="n"/>
      <c r="J462" s="211">
        <f>IFERROR(J463+J464,"n/a")</f>
        <v>1411</v>
      </c>
      <c r="K462" s="34" t="n"/>
      <c r="L462" s="34" t="n"/>
      <c r="M462" s="34" t="n"/>
      <c r="N462" s="34" t="n"/>
      <c r="O462" s="211">
        <f>IFERROR(O463+O464,"n/a")</f>
        <v>-349</v>
      </c>
      <c r="P462" s="34" t="n"/>
      <c r="Q462" s="34" t="n"/>
      <c r="R462" s="34" t="n"/>
      <c r="S462" s="34" t="n"/>
      <c r="T462" s="211">
        <f>IFERROR(T463+T464,"n/a")</f>
        <v>3293</v>
      </c>
      <c r="U462" s="34" t="n"/>
      <c r="V462" s="34" t="n"/>
      <c r="W462" s="34" t="n"/>
      <c r="X462" s="34" t="n"/>
      <c r="Y462" s="211">
        <f>IFERROR(Y463+Y464,"n/a")</f>
        <v>2953</v>
      </c>
      <c r="Z462" s="34" t="n"/>
      <c r="AA462" s="34" t="n"/>
      <c r="AB462" s="34" t="n"/>
      <c r="AC462" s="34" t="n"/>
      <c r="AD462" s="211">
        <f>IFERROR(AD463+AD464,"n/a")</f>
        <v>2908</v>
      </c>
      <c r="AE462" s="34" t="n"/>
      <c r="AF462" s="34" t="n"/>
      <c r="AG462" s="34" t="n"/>
      <c r="AH462" s="34" t="n"/>
      <c r="AI462" s="211">
        <f>IFERROR(AI463+AI464,"n/a")</f>
        <v>4008</v>
      </c>
      <c r="AJ462" s="34" t="n"/>
      <c r="AK462" s="34" t="n"/>
      <c r="AL462" s="34" t="n"/>
      <c r="AM462" s="34" t="n"/>
      <c r="AN462" s="211">
        <f>IFERROR(AN463+AN464,"n/a")</f>
        <v>3866</v>
      </c>
      <c r="AO462" s="34" t="n"/>
      <c r="AP462" s="34" t="n"/>
      <c r="AQ462" s="34" t="n"/>
      <c r="AR462" s="34" t="n"/>
      <c r="AS462" s="211">
        <f>IFERROR(AS463+AS464,"n/a")</f>
        <v>3340</v>
      </c>
      <c r="AT462" s="34" t="n"/>
      <c r="AU462" s="34" t="n"/>
      <c r="AV462" s="34" t="n"/>
      <c r="AW462" s="34" t="n"/>
      <c r="AX462" s="211">
        <f>IFERROR(AX463+AX464,"n/a")</f>
        <v>3145</v>
      </c>
      <c r="AY462" s="34" t="n"/>
      <c r="AZ462" s="34" t="n"/>
      <c r="BA462" s="34" t="n"/>
      <c r="BB462" s="34" t="n"/>
      <c r="BC462" s="211">
        <f>IFERROR(BC463+BC464,"n/a")</f>
        <v>49413</v>
      </c>
      <c r="BD462" s="34" t="n"/>
      <c r="BE462" s="34" t="n"/>
      <c r="BF462" s="34" t="n"/>
      <c r="BG462" s="34" t="n"/>
      <c r="BH462" s="211">
        <f>IFERROR(BH463+BH464,"n/a")</f>
        <v>48268</v>
      </c>
      <c r="BI462" s="34" t="n"/>
      <c r="BJ462" s="34" t="n"/>
      <c r="BK462" s="34" t="n"/>
      <c r="BL462" s="34" t="n"/>
      <c r="BM462" s="211">
        <f>IFERROR(BM463+BM464,"n/a")</f>
        <v>47240</v>
      </c>
      <c r="BN462" s="34" t="n"/>
      <c r="BO462" s="34" t="n"/>
      <c r="BP462" s="34" t="n"/>
      <c r="BQ462" s="34" t="n"/>
      <c r="BR462" s="211">
        <f>IFERROR(BR463+BR464,"n/a")</f>
        <v>47495</v>
      </c>
      <c r="BS462" s="34" t="n"/>
      <c r="BT462" s="34" t="n"/>
      <c r="BU462" s="35" t="n"/>
      <c r="BV462" s="35" t="n"/>
      <c r="BW462" s="254">
        <f>IFERROR(BW463+BW464,"n/a")</f>
        <v>35209.933699137</v>
      </c>
      <c r="BX462" s="254">
        <f>IFERROR(BX463+BX464,"n/a")</f>
        <v>34958.3887756039</v>
      </c>
      <c r="BY462" s="254">
        <f>IFERROR(BY463+BY464,"n/a")</f>
        <v>34671.4611241889</v>
      </c>
      <c r="BZ462" s="254">
        <f>IFERROR(BZ463+BZ464,"n/a")</f>
        <v>34394.6863127045</v>
      </c>
      <c r="CA462" s="254">
        <f>IFERROR(CA463+CA464,"n/a")</f>
        <v>34133.029558623</v>
      </c>
      <c r="CB462" s="254">
        <f>IFERROR(CB463+CB464,"n/a")</f>
        <v>33873.3491359666</v>
      </c>
      <c r="CC462" s="19" t="n"/>
    </row>
    <row r="463" ht="15" customHeight="1" s="251">
      <c r="B463" s="25" t="inlineStr">
        <is>
          <t xml:space="preserve">  Total equity incl. redeemable NCI</t>
        </is>
      </c>
      <c r="C463" s="211" t="str">
        <f>IF(ISNUMBER(C390),C390,"n/a")</f>
        <v>n/a</v>
      </c>
      <c r="D463" s="211" t="str">
        <f>IF(ISNUMBER(D390),D390,"n/a")</f>
        <v>n/a</v>
      </c>
      <c r="E463" s="211">
        <f>IF(ISNUMBER(E390),E390,"n/a")</f>
        <v>1650</v>
      </c>
      <c r="F463" s="34" t="n"/>
      <c r="G463" s="34" t="n"/>
      <c r="H463" s="34" t="n"/>
      <c r="I463" s="34" t="n"/>
      <c r="J463" s="211">
        <f>IF(ISNUMBER(J390),J390,"n/a")</f>
        <v>2154</v>
      </c>
      <c r="K463" s="34" t="n"/>
      <c r="L463" s="34" t="n"/>
      <c r="M463" s="34" t="n"/>
      <c r="N463" s="34" t="n"/>
      <c r="O463" s="211">
        <f>IF(ISNUMBER(O390),O390,"n/a")</f>
        <v>1349</v>
      </c>
      <c r="P463" s="34" t="n"/>
      <c r="Q463" s="34" t="n"/>
      <c r="R463" s="34" t="n"/>
      <c r="S463" s="34" t="n"/>
      <c r="T463" s="211">
        <f>IF(ISNUMBER(T390),T390,"n/a")</f>
        <v>1163</v>
      </c>
      <c r="U463" s="34" t="n"/>
      <c r="V463" s="34" t="n"/>
      <c r="W463" s="34" t="n"/>
      <c r="X463" s="34" t="n"/>
      <c r="Y463" s="211">
        <f>IF(ISNUMBER(Y390),Y390,"n/a")</f>
        <v>1781</v>
      </c>
      <c r="Z463" s="34" t="n"/>
      <c r="AA463" s="34" t="n"/>
      <c r="AB463" s="34" t="n"/>
      <c r="AC463" s="34" t="n"/>
      <c r="AD463" s="211">
        <f>IF(ISNUMBER(AD390),AD390,"n/a")</f>
        <v>2118</v>
      </c>
      <c r="AE463" s="34" t="n"/>
      <c r="AF463" s="34" t="n"/>
      <c r="AG463" s="34" t="n"/>
      <c r="AH463" s="34" t="n"/>
      <c r="AI463" s="211">
        <f>IF(ISNUMBER(AI390),AI390,"n/a")</f>
        <v>2304</v>
      </c>
      <c r="AJ463" s="34" t="n"/>
      <c r="AK463" s="34" t="n"/>
      <c r="AL463" s="34" t="n"/>
      <c r="AM463" s="34" t="n"/>
      <c r="AN463" s="211">
        <f>IF(ISNUMBER(AN390),AN390,"n/a")</f>
        <v>2804</v>
      </c>
      <c r="AO463" s="34" t="n"/>
      <c r="AP463" s="34" t="n"/>
      <c r="AQ463" s="34" t="n"/>
      <c r="AR463" s="34" t="n"/>
      <c r="AS463" s="211">
        <f>IF(ISNUMBER(AS390),AS390,"n/a")</f>
        <v>3352</v>
      </c>
      <c r="AT463" s="34" t="n"/>
      <c r="AU463" s="34" t="n"/>
      <c r="AV463" s="34" t="n"/>
      <c r="AW463" s="34" t="n"/>
      <c r="AX463" s="211">
        <f>IF(ISNUMBER(AX390),AX390,"n/a")</f>
        <v>5536</v>
      </c>
      <c r="AY463" s="34" t="n"/>
      <c r="AZ463" s="34" t="n"/>
      <c r="BA463" s="34" t="n"/>
      <c r="BB463" s="34" t="n"/>
      <c r="BC463" s="211">
        <f>IF(ISNUMBER(BC390),BC390,"n/a")</f>
        <v>39744</v>
      </c>
      <c r="BD463" s="34" t="n"/>
      <c r="BE463" s="34" t="n"/>
      <c r="BF463" s="34" t="n"/>
      <c r="BG463" s="34" t="n"/>
      <c r="BH463" s="211">
        <f>IF(ISNUMBER(BH390),BH390,"n/a")</f>
        <v>38100</v>
      </c>
      <c r="BI463" s="34" t="n"/>
      <c r="BJ463" s="34" t="n"/>
      <c r="BK463" s="34" t="n"/>
      <c r="BL463" s="34" t="n"/>
      <c r="BM463" s="211">
        <f>IF(ISNUMBER(BM390),BM390,"n/a")</f>
        <v>37508</v>
      </c>
      <c r="BN463" s="34" t="n"/>
      <c r="BO463" s="34" t="n"/>
      <c r="BP463" s="34" t="n"/>
      <c r="BQ463" s="34" t="n"/>
      <c r="BR463" s="211">
        <f>IF(ISNUMBER(BR390),BR390,"n/a")</f>
        <v>36152</v>
      </c>
      <c r="BS463" s="34" t="n"/>
      <c r="BT463" s="34" t="n"/>
      <c r="BU463" s="35" t="n"/>
      <c r="BV463" s="35" t="n"/>
      <c r="BW463" s="254">
        <f>IF(ISNUMBER(BW390),BW390,"n/a")</f>
        <v>22895.0363253667</v>
      </c>
      <c r="BX463" s="254">
        <f>IF(ISNUMBER(BX390),BX390,"n/a")</f>
        <v>22494.5349214208</v>
      </c>
      <c r="BY463" s="254">
        <f>IF(ISNUMBER(BY390),BY390,"n/a")</f>
        <v>21214.6365689019</v>
      </c>
      <c r="BZ463" s="254">
        <f>IF(ISNUMBER(BZ390),BZ390,"n/a")</f>
        <v>19966.4675500941</v>
      </c>
      <c r="CA463" s="254">
        <f>IF(ISNUMBER(CA390),CA390,"n/a")</f>
        <v>18695.2001066059</v>
      </c>
      <c r="CB463" s="254">
        <f>IF(ISNUMBER(CB390),CB390,"n/a")</f>
        <v>17404.2541639648</v>
      </c>
      <c r="CC463" s="19" t="n"/>
    </row>
    <row r="464" ht="15" customHeight="1" s="251">
      <c r="B464" s="25" t="inlineStr">
        <is>
          <t xml:space="preserve">  Net debt = Total debt − Cash</t>
        </is>
      </c>
      <c r="C464" s="211" t="str">
        <f>IFERROR(C433-C363,"n/a")</f>
        <v>n/a</v>
      </c>
      <c r="D464" s="211" t="str">
        <f>IFERROR(D433-D363,"n/a")</f>
        <v>n/a</v>
      </c>
      <c r="E464" s="211">
        <f>IFERROR(E433-E363,"n/a")</f>
        <v>496</v>
      </c>
      <c r="F464" s="34" t="n"/>
      <c r="G464" s="34" t="n"/>
      <c r="H464" s="34" t="n"/>
      <c r="I464" s="34" t="n"/>
      <c r="J464" s="211">
        <f>IFERROR(J433-J363,"n/a")</f>
        <v>-743</v>
      </c>
      <c r="K464" s="34" t="n"/>
      <c r="L464" s="34" t="n"/>
      <c r="M464" s="34" t="n"/>
      <c r="N464" s="34" t="n"/>
      <c r="O464" s="211">
        <f>IFERROR(O433-O363,"n/a")</f>
        <v>-1698</v>
      </c>
      <c r="P464" s="34" t="n"/>
      <c r="Q464" s="34" t="n"/>
      <c r="R464" s="34" t="n"/>
      <c r="S464" s="34" t="n"/>
      <c r="T464" s="211">
        <f>IFERROR(T433-T363,"n/a")</f>
        <v>2130</v>
      </c>
      <c r="U464" s="34" t="n"/>
      <c r="V464" s="34" t="n"/>
      <c r="W464" s="34" t="n"/>
      <c r="X464" s="34" t="n"/>
      <c r="Y464" s="211">
        <f>IFERROR(Y433-Y363,"n/a")</f>
        <v>1172</v>
      </c>
      <c r="Z464" s="34" t="n"/>
      <c r="AA464" s="34" t="n"/>
      <c r="AB464" s="34" t="n"/>
      <c r="AC464" s="34" t="n"/>
      <c r="AD464" s="211">
        <f>IFERROR(AD433-AD363,"n/a")</f>
        <v>790</v>
      </c>
      <c r="AE464" s="34" t="n"/>
      <c r="AF464" s="34" t="n"/>
      <c r="AG464" s="34" t="n"/>
      <c r="AH464" s="34" t="n"/>
      <c r="AI464" s="211">
        <f>IFERROR(AI433-AI363,"n/a")</f>
        <v>1704</v>
      </c>
      <c r="AJ464" s="34" t="n"/>
      <c r="AK464" s="34" t="n"/>
      <c r="AL464" s="34" t="n"/>
      <c r="AM464" s="34" t="n"/>
      <c r="AN464" s="211">
        <f>IFERROR(AN433-AN363,"n/a")</f>
        <v>1062</v>
      </c>
      <c r="AO464" s="34" t="n"/>
      <c r="AP464" s="34" t="n"/>
      <c r="AQ464" s="34" t="n"/>
      <c r="AR464" s="34" t="n"/>
      <c r="AS464" s="211">
        <f>IFERROR(AS433-AS363,"n/a")</f>
        <v>-12</v>
      </c>
      <c r="AT464" s="34" t="n"/>
      <c r="AU464" s="34" t="n"/>
      <c r="AV464" s="34" t="n"/>
      <c r="AW464" s="34" t="n"/>
      <c r="AX464" s="211">
        <f>IFERROR(AX433-AX363,"n/a")</f>
        <v>-2391</v>
      </c>
      <c r="AY464" s="34" t="n"/>
      <c r="AZ464" s="34" t="n"/>
      <c r="BA464" s="34" t="n"/>
      <c r="BB464" s="34" t="n"/>
      <c r="BC464" s="211">
        <f>IFERROR(BC433-BC363,"n/a")</f>
        <v>9669</v>
      </c>
      <c r="BD464" s="34" t="n"/>
      <c r="BE464" s="34" t="n"/>
      <c r="BF464" s="34" t="n"/>
      <c r="BG464" s="34" t="n"/>
      <c r="BH464" s="211">
        <f>IFERROR(BH433-BH363,"n/a")</f>
        <v>10168</v>
      </c>
      <c r="BI464" s="34" t="n"/>
      <c r="BJ464" s="34" t="n"/>
      <c r="BK464" s="34" t="n"/>
      <c r="BL464" s="34" t="n"/>
      <c r="BM464" s="211">
        <f>IFERROR(BM433-BM363,"n/a")</f>
        <v>9732</v>
      </c>
      <c r="BN464" s="34" t="n"/>
      <c r="BO464" s="34" t="n"/>
      <c r="BP464" s="34" t="n"/>
      <c r="BQ464" s="34" t="n"/>
      <c r="BR464" s="211">
        <f>IFERROR(BR433-BR363,"n/a")</f>
        <v>11343</v>
      </c>
      <c r="BS464" s="34" t="n"/>
      <c r="BT464" s="34" t="n"/>
      <c r="BU464" s="35" t="n"/>
      <c r="BV464" s="35" t="n"/>
      <c r="BW464" s="254">
        <f>IFERROR(BW433-BW363,"n/a")</f>
        <v>12314.8973737703</v>
      </c>
      <c r="BX464" s="254">
        <f>IFERROR(BX433-BX363,"n/a")</f>
        <v>12463.8538541831</v>
      </c>
      <c r="BY464" s="254">
        <f>IFERROR(BY433-BY363,"n/a")</f>
        <v>13456.824555287</v>
      </c>
      <c r="BZ464" s="254">
        <f>IFERROR(BZ433-BZ363,"n/a")</f>
        <v>14428.2187626103</v>
      </c>
      <c r="CA464" s="254">
        <f>IFERROR(CA433-CA363,"n/a")</f>
        <v>15437.8294520171</v>
      </c>
      <c r="CB464" s="254">
        <f>IFERROR(CB433-CB363,"n/a")</f>
        <v>16469.0949720018</v>
      </c>
      <c r="CC464" s="19" t="n"/>
    </row>
    <row r="465" ht="15" customHeight="1" s="251">
      <c r="B465" s="55" t="inlineStr">
        <is>
          <t>ROIC = NOPAT / IC</t>
        </is>
      </c>
      <c r="C465" s="296" t="str">
        <f>IFERROR(C461/C462,"n/a")</f>
        <v>n/a</v>
      </c>
      <c r="D465" s="296" t="str">
        <f>IFERROR(D461/D462,"n/a")</f>
        <v>n/a</v>
      </c>
      <c r="E465" s="296">
        <f>IFERROR(E461/E462,"n/a")</f>
        <v>0.347072453244444</v>
      </c>
      <c r="F465" s="56" t="n"/>
      <c r="G465" s="56" t="n"/>
      <c r="H465" s="56" t="n"/>
      <c r="I465" s="56" t="n"/>
      <c r="J465" s="296">
        <f>IFERROR(J461/J462,"n/a")</f>
        <v>0.684207915494083</v>
      </c>
      <c r="K465" s="56" t="n"/>
      <c r="L465" s="56" t="n"/>
      <c r="M465" s="56" t="n"/>
      <c r="N465" s="56" t="n"/>
      <c r="O465" s="296">
        <f>IFERROR(O461/O462,"n/a")</f>
        <v>-0.216653830338553</v>
      </c>
      <c r="P465" s="56" t="n"/>
      <c r="Q465" s="56" t="n"/>
      <c r="R465" s="56" t="n"/>
      <c r="S465" s="56" t="n"/>
      <c r="T465" s="296">
        <f>IFERROR(T461/T462,"n/a")</f>
        <v>0.404395388195111</v>
      </c>
      <c r="U465" s="56" t="n"/>
      <c r="V465" s="56" t="n"/>
      <c r="W465" s="56" t="n"/>
      <c r="X465" s="56" t="n"/>
      <c r="Y465" s="296">
        <f>IFERROR(Y461/Y462,"n/a")</f>
        <v>0.549313082412664</v>
      </c>
      <c r="Z465" s="56" t="n"/>
      <c r="AA465" s="56" t="n"/>
      <c r="AB465" s="56" t="n"/>
      <c r="AC465" s="56" t="n"/>
      <c r="AD465" s="296">
        <f>IFERROR(AD461/AD462,"n/a")</f>
        <v>0.674539649192672</v>
      </c>
      <c r="AE465" s="56" t="n"/>
      <c r="AF465" s="56" t="n"/>
      <c r="AG465" s="56" t="n"/>
      <c r="AH465" s="56" t="n"/>
      <c r="AI465" s="296">
        <f>IFERROR(AI461/AI462,"n/a")</f>
        <v>0.572500690613346</v>
      </c>
      <c r="AJ465" s="56" t="n"/>
      <c r="AK465" s="56" t="n"/>
      <c r="AL465" s="56" t="n"/>
      <c r="AM465" s="56" t="n"/>
      <c r="AN465" s="296">
        <f>IFERROR(AN461/AN462,"n/a")</f>
        <v>0.670331811415249</v>
      </c>
      <c r="AO465" s="56" t="n"/>
      <c r="AP465" s="56" t="n"/>
      <c r="AQ465" s="56" t="n"/>
      <c r="AR465" s="56" t="n"/>
      <c r="AS465" s="296">
        <f>IFERROR(AS461/AS462,"n/a")</f>
        <v>0.906861794545624</v>
      </c>
      <c r="AT465" s="56" t="n"/>
      <c r="AU465" s="56" t="n"/>
      <c r="AV465" s="56" t="n"/>
      <c r="AW465" s="56" t="n"/>
      <c r="AX465" s="296">
        <f>IFERROR(AX461/AX462,"n/a")</f>
        <v>1.07463251986579</v>
      </c>
      <c r="AY465" s="56" t="n"/>
      <c r="AZ465" s="56" t="n"/>
      <c r="BA465" s="56" t="n"/>
      <c r="BB465" s="56" t="n"/>
      <c r="BC465" s="296">
        <f>IFERROR(BC461/BC462,"n/a")</f>
        <v>0.0672229172686484</v>
      </c>
      <c r="BD465" s="56" t="n"/>
      <c r="BE465" s="56" t="n"/>
      <c r="BF465" s="56" t="n"/>
      <c r="BG465" s="56" t="n"/>
      <c r="BH465" s="296">
        <f>IFERROR(BH461/BH462,"n/a")</f>
        <v>0.0860060577990276</v>
      </c>
      <c r="BI465" s="56" t="n"/>
      <c r="BJ465" s="56" t="n"/>
      <c r="BK465" s="56" t="n"/>
      <c r="BL465" s="56" t="n"/>
      <c r="BM465" s="296">
        <f>IFERROR(BM461/BM462,"n/a")</f>
        <v>0.11030173402607</v>
      </c>
      <c r="BN465" s="56" t="n"/>
      <c r="BO465" s="56" t="n"/>
      <c r="BP465" s="56" t="n"/>
      <c r="BQ465" s="56" t="n"/>
      <c r="BR465" s="296">
        <f>IFERROR(BR461/BR462,"n/a")</f>
        <v>0.107618968380373</v>
      </c>
      <c r="BS465" s="56" t="n"/>
      <c r="BT465" s="56" t="n"/>
      <c r="BU465" s="56" t="n"/>
      <c r="BV465" s="56" t="n"/>
      <c r="BW465" s="296">
        <f>IFERROR(BW461/BW462,"n/a")</f>
        <v>0.162350827206064</v>
      </c>
      <c r="BX465" s="296">
        <f>IFERROR(BX461/BX462,"n/a")</f>
        <v>0.18036487339788</v>
      </c>
      <c r="BY465" s="296">
        <f>IFERROR(BY461/BY462,"n/a")</f>
        <v>0.196459520602606</v>
      </c>
      <c r="BZ465" s="296">
        <f>IFERROR(BZ461/BZ462,"n/a")</f>
        <v>0.21242800127187</v>
      </c>
      <c r="CA465" s="296">
        <f>IFERROR(CA461/CA462,"n/a")</f>
        <v>0.229128333163628</v>
      </c>
      <c r="CB465" s="296">
        <f>IFERROR(CB461/CB462,"n/a")</f>
        <v>0.246389040347788</v>
      </c>
      <c r="CC465" s="153" t="n"/>
      <c r="CE465" s="37">
        <f>IFERROR(AVERAGE(BX465,BY465,BZ465,CA465,CB465),"n/m")</f>
        <v>0.212953953756754</v>
      </c>
      <c r="CF465" s="37">
        <f>IFERROR(AVERAGE(AX465,BC465,BH465,BM465,BR465),"n/m")</f>
        <v>0.289156439467981</v>
      </c>
      <c r="CG465" s="37">
        <f>IFERROR(AVERAGE(Y465,AD465,AI465,AN465,AS465,AX465,BC465,BH465,BM465,BR465),"n/m")</f>
        <v>0.481932922551946</v>
      </c>
      <c r="CH465" s="37">
        <f>IFERROR(AVERAGE(C465,D465,E465,J465,O465,T465,Y465,AD465,AI465,AN465,AS465,AX465,BC465,BH465,BM465,BR465),"n/m")</f>
        <v>0.43131079657961</v>
      </c>
    </row>
    <row r="466" ht="15" customHeight="1" s="251">
      <c r="B466" s="25" t="inlineStr">
        <is>
          <t xml:space="preserve">  Margin = Adjusted EBITA / Revenue</t>
        </is>
      </c>
      <c r="C466" s="215" t="str">
        <f>IFERROR(C459/C187,"n/a")</f>
        <v>n/a</v>
      </c>
      <c r="D466" s="215">
        <f>IFERROR(D459/D187,"n/a")</f>
        <v>0.272382397572079</v>
      </c>
      <c r="E466" s="215">
        <f>IFERROR(E459/E187,"n/a")</f>
        <v>0.260449438202247</v>
      </c>
      <c r="F466" s="34" t="n"/>
      <c r="G466" s="34" t="n"/>
      <c r="H466" s="34" t="n"/>
      <c r="I466" s="34" t="n"/>
      <c r="J466" s="215">
        <f>IFERROR(J459/J187,"n/a")</f>
        <v>0.299282051282051</v>
      </c>
      <c r="K466" s="34" t="n"/>
      <c r="L466" s="34" t="n"/>
      <c r="M466" s="34" t="n"/>
      <c r="N466" s="34" t="n"/>
      <c r="O466" s="215">
        <f>IFERROR(O459/O187,"n/a")</f>
        <v>0.0223718075628588</v>
      </c>
      <c r="P466" s="34" t="n"/>
      <c r="Q466" s="34" t="n"/>
      <c r="R466" s="34" t="n"/>
      <c r="S466" s="34" t="n"/>
      <c r="T466" s="215">
        <f>IFERROR(T459/T187,"n/a")</f>
        <v>0.360624882364013</v>
      </c>
      <c r="U466" s="34" t="n"/>
      <c r="V466" s="34" t="n"/>
      <c r="W466" s="34" t="n"/>
      <c r="X466" s="34" t="n"/>
      <c r="Y466" s="215">
        <f>IFERROR(Y459/Y187,"n/a")</f>
        <v>0.422010245539657</v>
      </c>
      <c r="Z466" s="34" t="n"/>
      <c r="AA466" s="34" t="n"/>
      <c r="AB466" s="34" t="n"/>
      <c r="AC466" s="34" t="n"/>
      <c r="AD466" s="215">
        <f>IFERROR(AD459/AD187,"n/a")</f>
        <v>0.454890318324262</v>
      </c>
      <c r="AE466" s="34" t="n"/>
      <c r="AF466" s="34" t="n"/>
      <c r="AG466" s="34" t="n"/>
      <c r="AH466" s="34" t="n"/>
      <c r="AI466" s="215">
        <f>IFERROR(AI459/AI187,"n/a")</f>
        <v>0.466922339405561</v>
      </c>
      <c r="AJ466" s="34" t="n"/>
      <c r="AK466" s="34" t="n"/>
      <c r="AL466" s="34" t="n"/>
      <c r="AM466" s="34" t="n"/>
      <c r="AN466" s="215">
        <f>IFERROR(AN459/AN187,"n/a")</f>
        <v>0.494103597551873</v>
      </c>
      <c r="AO466" s="34" t="n"/>
      <c r="AP466" s="34" t="n"/>
      <c r="AQ466" s="34" t="n"/>
      <c r="AR466" s="34" t="n"/>
      <c r="AS466" s="215">
        <f>IFERROR(AS459/AS187,"n/a")</f>
        <v>0.519349637194303</v>
      </c>
      <c r="AT466" s="34" t="n"/>
      <c r="AU466" s="34" t="n"/>
      <c r="AV466" s="34" t="n"/>
      <c r="AW466" s="34" t="n"/>
      <c r="AX466" s="215">
        <f>IFERROR(AX459/AX187,"n/a")</f>
        <v>0.519103290345908</v>
      </c>
      <c r="AY466" s="34" t="n"/>
      <c r="AZ466" s="34" t="n"/>
      <c r="BA466" s="34" t="n"/>
      <c r="BB466" s="34" t="n"/>
      <c r="BC466" s="215">
        <f>IFERROR(BC459/BC187,"n/a")</f>
        <v>0.375637241749396</v>
      </c>
      <c r="BD466" s="34" t="n"/>
      <c r="BE466" s="34" t="n"/>
      <c r="BF466" s="34" t="n"/>
      <c r="BG466" s="34" t="n"/>
      <c r="BH466" s="215">
        <f>IFERROR(BH459/BH187,"n/a")</f>
        <v>0.416900056013443</v>
      </c>
      <c r="BI466" s="34" t="n"/>
      <c r="BJ466" s="34" t="n"/>
      <c r="BK466" s="34" t="n"/>
      <c r="BL466" s="34" t="n"/>
      <c r="BM466" s="215">
        <f>IFERROR(BM459/BM187,"n/a")</f>
        <v>0.468961148648649</v>
      </c>
      <c r="BN466" s="34" t="n"/>
      <c r="BO466" s="34" t="n"/>
      <c r="BP466" s="34" t="n"/>
      <c r="BQ466" s="34" t="n"/>
      <c r="BR466" s="215">
        <f>IFERROR(BR459/BR187,"n/a")</f>
        <v>0.486128486275664</v>
      </c>
      <c r="BS466" s="34" t="n"/>
      <c r="BT466" s="34" t="n"/>
      <c r="BU466" s="35" t="n"/>
      <c r="BV466" s="35" t="n"/>
      <c r="BW466" s="256">
        <f>IFERROR(BW459/BW187,"n/a")</f>
        <v>0.504334234610397</v>
      </c>
      <c r="BX466" s="256">
        <f>IFERROR(BX459/BX187,"n/a")</f>
        <v>0.527403032883949</v>
      </c>
      <c r="BY466" s="256">
        <f>IFERROR(BY459/BY187,"n/a")</f>
        <v>0.532130378987568</v>
      </c>
      <c r="BZ466" s="256">
        <f>IFERROR(BZ459/BZ187,"n/a")</f>
        <v>0.534116460973363</v>
      </c>
      <c r="CA466" s="256">
        <f>IFERROR(CA459/CA187,"n/a")</f>
        <v>0.536511570095021</v>
      </c>
      <c r="CB466" s="256">
        <f>IFERROR(CB459/CB187,"n/a")</f>
        <v>0.537324583819885</v>
      </c>
      <c r="CC466" s="19" t="n"/>
    </row>
    <row r="467" ht="15" customHeight="1" s="251">
      <c r="B467" s="25" t="inlineStr">
        <is>
          <t xml:space="preserve">  Capital turnover = Revenue / IC</t>
        </is>
      </c>
      <c r="C467" s="286" t="str">
        <f>IFERROR(C187/C462,"n/a")</f>
        <v>n/a</v>
      </c>
      <c r="D467" s="286" t="str">
        <f>IFERROR(D187/D462,"n/a")</f>
        <v>n/a</v>
      </c>
      <c r="E467" s="286">
        <f>IFERROR(E187/E462,"n/a")</f>
        <v>2.07362534948742</v>
      </c>
      <c r="F467" s="34" t="n"/>
      <c r="G467" s="34" t="n"/>
      <c r="H467" s="34" t="n"/>
      <c r="I467" s="34" t="n"/>
      <c r="J467" s="286">
        <f>IFERROR(J187/J462,"n/a")</f>
        <v>3.45499645641389</v>
      </c>
      <c r="K467" s="34" t="n"/>
      <c r="L467" s="34" t="n"/>
      <c r="M467" s="34" t="n"/>
      <c r="N467" s="34" t="n"/>
      <c r="O467" s="286">
        <f>IFERROR(O187/O462,"n/a")</f>
        <v>-14.4727793696275</v>
      </c>
      <c r="P467" s="34" t="n"/>
      <c r="Q467" s="34" t="n"/>
      <c r="R467" s="34" t="n"/>
      <c r="S467" s="34" t="n"/>
      <c r="T467" s="286">
        <f>IFERROR(T187/T462,"n/a")</f>
        <v>1.61342241117522</v>
      </c>
      <c r="U467" s="34" t="n"/>
      <c r="V467" s="34" t="n"/>
      <c r="W467" s="34" t="n"/>
      <c r="X467" s="34" t="n"/>
      <c r="Y467" s="286">
        <f>IFERROR(Y187/Y462,"n/a")</f>
        <v>1.91703352522858</v>
      </c>
      <c r="Z467" s="34" t="n"/>
      <c r="AA467" s="34" t="n"/>
      <c r="AB467" s="34" t="n"/>
      <c r="AC467" s="34" t="n"/>
      <c r="AD467" s="286">
        <f>IFERROR(AD187/AD462,"n/a")</f>
        <v>2.08493810178817</v>
      </c>
      <c r="AE467" s="34" t="n"/>
      <c r="AF467" s="34" t="n"/>
      <c r="AG467" s="34" t="n"/>
      <c r="AH467" s="34" t="n"/>
      <c r="AI467" s="286">
        <f>IFERROR(AI187/AI462,"n/a")</f>
        <v>1.56137724550898</v>
      </c>
      <c r="AJ467" s="34" t="n"/>
      <c r="AK467" s="34" t="n"/>
      <c r="AL467" s="34" t="n"/>
      <c r="AM467" s="34" t="n"/>
      <c r="AN467" s="286">
        <f>IFERROR(AN187/AN462,"n/a")</f>
        <v>1.73279875840662</v>
      </c>
      <c r="AO467" s="34" t="n"/>
      <c r="AP467" s="34" t="n"/>
      <c r="AQ467" s="34" t="n"/>
      <c r="AR467" s="34" t="n"/>
      <c r="AS467" s="286">
        <f>IFERROR(AS187/AS462,"n/a")</f>
        <v>2.22814371257485</v>
      </c>
      <c r="AT467" s="34" t="n"/>
      <c r="AU467" s="34" t="n"/>
      <c r="AV467" s="34" t="n"/>
      <c r="AW467" s="34" t="n"/>
      <c r="AX467" s="286">
        <f>IFERROR(AX187/AX462,"n/a")</f>
        <v>2.63815580286169</v>
      </c>
      <c r="AY467" s="34" t="n"/>
      <c r="AZ467" s="34" t="n"/>
      <c r="BA467" s="34" t="n"/>
      <c r="BB467" s="34" t="n"/>
      <c r="BC467" s="286">
        <f>IFERROR(BC187/BC462,"n/a")</f>
        <v>0.226276485944994</v>
      </c>
      <c r="BD467" s="34" t="n"/>
      <c r="BE467" s="34" t="n"/>
      <c r="BF467" s="34" t="n"/>
      <c r="BG467" s="34" t="n"/>
      <c r="BH467" s="286">
        <f>IFERROR(BH187/BH462,"n/a")</f>
        <v>0.258908593685257</v>
      </c>
      <c r="BI467" s="34" t="n"/>
      <c r="BJ467" s="34" t="n"/>
      <c r="BK467" s="34" t="n"/>
      <c r="BL467" s="34" t="n"/>
      <c r="BM467" s="286">
        <f>IFERROR(BM187/BM462,"n/a")</f>
        <v>0.300762066045724</v>
      </c>
      <c r="BN467" s="34" t="n"/>
      <c r="BO467" s="34" t="n"/>
      <c r="BP467" s="34" t="n"/>
      <c r="BQ467" s="34" t="n"/>
      <c r="BR467" s="286">
        <f>IFERROR(BR187/BR462,"n/a")</f>
        <v>0.286114327823982</v>
      </c>
      <c r="BS467" s="34" t="n"/>
      <c r="BT467" s="34" t="n"/>
      <c r="BU467" s="35" t="n"/>
      <c r="BV467" s="35" t="n"/>
      <c r="BW467" s="287">
        <f>IFERROR(BW187/BW462,"n/a")</f>
        <v>0.412572233851041</v>
      </c>
      <c r="BX467" s="287">
        <f>IFERROR(BX187/BX462,"n/a")</f>
        <v>0.441273285115334</v>
      </c>
      <c r="BY467" s="287">
        <f>IFERROR(BY187/BY462,"n/a")</f>
        <v>0.476379785154472</v>
      </c>
      <c r="BZ467" s="287">
        <f>IFERROR(BZ187/BZ462,"n/a")</f>
        <v>0.513185169958809</v>
      </c>
      <c r="CA467" s="287">
        <f>IFERROR(CA187/CA462,"n/a")</f>
        <v>0.551058874823994</v>
      </c>
      <c r="CB467" s="287">
        <f>IFERROR(CB187/CB462,"n/a")</f>
        <v>0.591674663616009</v>
      </c>
      <c r="CC467" s="19" t="n"/>
    </row>
    <row r="468" ht="15" customHeight="1" s="251">
      <c r="B468" s="25" t="inlineStr">
        <is>
          <t xml:space="preserve">  Tax burden = (1 − tax rate)</t>
        </is>
      </c>
      <c r="C468" s="215">
        <f>IFERROR(1-C460,"n/a")</f>
        <v>0.775</v>
      </c>
      <c r="D468" s="215">
        <f>IFERROR(1-D460,"n/a")</f>
        <v>0.630518234165067</v>
      </c>
      <c r="E468" s="215">
        <f>IFERROR(1-E460,"n/a")</f>
        <v>0.642638036809816</v>
      </c>
      <c r="F468" s="34" t="n"/>
      <c r="G468" s="34" t="n"/>
      <c r="H468" s="34" t="n"/>
      <c r="I468" s="34" t="n"/>
      <c r="J468" s="215">
        <f>IFERROR(1-J460,"n/a")</f>
        <v>0.661697990926766</v>
      </c>
      <c r="K468" s="34" t="n"/>
      <c r="L468" s="34" t="n"/>
      <c r="M468" s="34" t="n"/>
      <c r="N468" s="34" t="n"/>
      <c r="O468" s="215">
        <f>IFERROR(1-O460,"n/a")</f>
        <v>0.669134396355353</v>
      </c>
      <c r="P468" s="34" t="n"/>
      <c r="Q468" s="34" t="n"/>
      <c r="R468" s="34" t="n"/>
      <c r="S468" s="34" t="n"/>
      <c r="T468" s="215">
        <f>IFERROR(1-T460,"n/a")</f>
        <v>0.695028190671451</v>
      </c>
      <c r="U468" s="34" t="n"/>
      <c r="V468" s="34" t="n"/>
      <c r="W468" s="34" t="n"/>
      <c r="X468" s="34" t="n"/>
      <c r="Y468" s="215">
        <f>IFERROR(1-Y460,"n/a")</f>
        <v>0.678996036988111</v>
      </c>
      <c r="Z468" s="34" t="n"/>
      <c r="AA468" s="34" t="n"/>
      <c r="AB468" s="34" t="n"/>
      <c r="AC468" s="34" t="n"/>
      <c r="AD468" s="215">
        <f>IFERROR(1-AD460,"n/a")</f>
        <v>0.71122599704579</v>
      </c>
      <c r="AE468" s="34" t="n"/>
      <c r="AF468" s="34" t="n"/>
      <c r="AG468" s="34" t="n"/>
      <c r="AH468" s="34" t="n"/>
      <c r="AI468" s="215">
        <f>IFERROR(1-AI460,"n/a")</f>
        <v>0.78527815468114</v>
      </c>
      <c r="AJ468" s="34" t="n"/>
      <c r="AK468" s="34" t="n"/>
      <c r="AL468" s="34" t="n"/>
      <c r="AM468" s="34" t="n"/>
      <c r="AN468" s="215">
        <f>IFERROR(1-AN460,"n/a")</f>
        <v>0.782931354359926</v>
      </c>
      <c r="AO468" s="34" t="n"/>
      <c r="AP468" s="34" t="n"/>
      <c r="AQ468" s="34" t="n"/>
      <c r="AR468" s="34" t="n"/>
      <c r="AS468" s="215">
        <f>IFERROR(1-AS460,"n/a")</f>
        <v>0.783678756476684</v>
      </c>
      <c r="AT468" s="34" t="n"/>
      <c r="AU468" s="34" t="n"/>
      <c r="AV468" s="34" t="n"/>
      <c r="AW468" s="34" t="n"/>
      <c r="AX468" s="215">
        <f>IFERROR(1-AX460,"n/a")</f>
        <v>0.784703801945181</v>
      </c>
      <c r="AY468" s="34" t="n"/>
      <c r="AZ468" s="34" t="n"/>
      <c r="BA468" s="34" t="n"/>
      <c r="BB468" s="34" t="n"/>
      <c r="BC468" s="215">
        <f>IFERROR(1-BC460,"n/a")</f>
        <v>0.790877621665649</v>
      </c>
      <c r="BD468" s="34" t="n"/>
      <c r="BE468" s="34" t="n"/>
      <c r="BF468" s="34" t="n"/>
      <c r="BG468" s="34" t="n"/>
      <c r="BH468" s="215">
        <f>IFERROR(1-BH460,"n/a")</f>
        <v>0.796802379624466</v>
      </c>
      <c r="BI468" s="34" t="n"/>
      <c r="BJ468" s="34" t="n"/>
      <c r="BK468" s="34" t="n"/>
      <c r="BL468" s="34" t="n"/>
      <c r="BM468" s="215">
        <f>IFERROR(1-BM460,"n/a")</f>
        <v>0.782028202820282</v>
      </c>
      <c r="BN468" s="34" t="n"/>
      <c r="BO468" s="34" t="n"/>
      <c r="BP468" s="34" t="n"/>
      <c r="BQ468" s="34" t="n"/>
      <c r="BR468" s="215">
        <f>IFERROR(1-BR460,"n/a")</f>
        <v>0.773745519713262</v>
      </c>
      <c r="BS468" s="34" t="n"/>
      <c r="BT468" s="34" t="n"/>
      <c r="BU468" s="35" t="n"/>
      <c r="BV468" s="35" t="n"/>
      <c r="BW468" s="256">
        <f>IFERROR(1-BW460,"n/a")</f>
        <v>0.78025410065834</v>
      </c>
      <c r="BX468" s="256">
        <f>IFERROR(1-BX460,"n/a")</f>
        <v>0.775</v>
      </c>
      <c r="BY468" s="256">
        <f>IFERROR(1-BY460,"n/a")</f>
        <v>0.775</v>
      </c>
      <c r="BZ468" s="256">
        <f>IFERROR(1-BZ460,"n/a")</f>
        <v>0.775</v>
      </c>
      <c r="CA468" s="256">
        <f>IFERROR(1-CA460,"n/a")</f>
        <v>0.775</v>
      </c>
      <c r="CB468" s="256">
        <f>IFERROR(1-CB460,"n/a")</f>
        <v>0.775</v>
      </c>
      <c r="CC468" s="19" t="n"/>
    </row>
    <row r="469" ht="15" customHeight="1" s="251">
      <c r="B469" s="25" t="inlineStr">
        <is>
          <t xml:space="preserve">  Check: Margin × Turnover × Tax burden = ROIC</t>
        </is>
      </c>
      <c r="C469" s="215" t="str">
        <f>IFERROR(C466*C467*C468,"n/a")</f>
        <v>n/a</v>
      </c>
      <c r="D469" s="215" t="str">
        <f>IFERROR(D466*D467*D468,"n/a")</f>
        <v>n/a</v>
      </c>
      <c r="E469" s="215">
        <f>IFERROR(E466*E467*E468,"n/a")</f>
        <v>0.347072453244444</v>
      </c>
      <c r="F469" s="34" t="n"/>
      <c r="G469" s="34" t="n"/>
      <c r="H469" s="34" t="n"/>
      <c r="I469" s="34" t="n"/>
      <c r="J469" s="215">
        <f>IFERROR(J466*J467*J468,"n/a")</f>
        <v>0.684207915494083</v>
      </c>
      <c r="K469" s="34" t="n"/>
      <c r="L469" s="34" t="n"/>
      <c r="M469" s="34" t="n"/>
      <c r="N469" s="34" t="n"/>
      <c r="O469" s="215">
        <f>IFERROR(O466*O467*O468,"n/a")</f>
        <v>-0.216653830338553</v>
      </c>
      <c r="P469" s="34" t="n"/>
      <c r="Q469" s="34" t="n"/>
      <c r="R469" s="34" t="n"/>
      <c r="S469" s="34" t="n"/>
      <c r="T469" s="215">
        <f>IFERROR(T466*T467*T468,"n/a")</f>
        <v>0.404395388195111</v>
      </c>
      <c r="U469" s="34" t="n"/>
      <c r="V469" s="34" t="n"/>
      <c r="W469" s="34" t="n"/>
      <c r="X469" s="34" t="n"/>
      <c r="Y469" s="215">
        <f>IFERROR(Y466*Y467*Y468,"n/a")</f>
        <v>0.549313082412664</v>
      </c>
      <c r="Z469" s="34" t="n"/>
      <c r="AA469" s="34" t="n"/>
      <c r="AB469" s="34" t="n"/>
      <c r="AC469" s="34" t="n"/>
      <c r="AD469" s="215">
        <f>IFERROR(AD466*AD467*AD468,"n/a")</f>
        <v>0.674539649192672</v>
      </c>
      <c r="AE469" s="34" t="n"/>
      <c r="AF469" s="34" t="n"/>
      <c r="AG469" s="34" t="n"/>
      <c r="AH469" s="34" t="n"/>
      <c r="AI469" s="215">
        <f>IFERROR(AI466*AI467*AI468,"n/a")</f>
        <v>0.572500690613346</v>
      </c>
      <c r="AJ469" s="34" t="n"/>
      <c r="AK469" s="34" t="n"/>
      <c r="AL469" s="34" t="n"/>
      <c r="AM469" s="34" t="n"/>
      <c r="AN469" s="215">
        <f>IFERROR(AN466*AN467*AN468,"n/a")</f>
        <v>0.670331811415249</v>
      </c>
      <c r="AO469" s="34" t="n"/>
      <c r="AP469" s="34" t="n"/>
      <c r="AQ469" s="34" t="n"/>
      <c r="AR469" s="34" t="n"/>
      <c r="AS469" s="215">
        <f>IFERROR(AS466*AS467*AS468,"n/a")</f>
        <v>0.906861794545624</v>
      </c>
      <c r="AT469" s="34" t="n"/>
      <c r="AU469" s="34" t="n"/>
      <c r="AV469" s="34" t="n"/>
      <c r="AW469" s="34" t="n"/>
      <c r="AX469" s="215">
        <f>IFERROR(AX466*AX467*AX468,"n/a")</f>
        <v>1.07463251986579</v>
      </c>
      <c r="AY469" s="34" t="n"/>
      <c r="AZ469" s="34" t="n"/>
      <c r="BA469" s="34" t="n"/>
      <c r="BB469" s="34" t="n"/>
      <c r="BC469" s="215">
        <f>IFERROR(BC466*BC467*BC468,"n/a")</f>
        <v>0.0672229172686484</v>
      </c>
      <c r="BD469" s="34" t="n"/>
      <c r="BE469" s="34" t="n"/>
      <c r="BF469" s="34" t="n"/>
      <c r="BG469" s="34" t="n"/>
      <c r="BH469" s="215">
        <f>IFERROR(BH466*BH467*BH468,"n/a")</f>
        <v>0.0860060577990276</v>
      </c>
      <c r="BI469" s="34" t="n"/>
      <c r="BJ469" s="34" t="n"/>
      <c r="BK469" s="34" t="n"/>
      <c r="BL469" s="34" t="n"/>
      <c r="BM469" s="215">
        <f>IFERROR(BM466*BM467*BM468,"n/a")</f>
        <v>0.11030173402607</v>
      </c>
      <c r="BN469" s="34" t="n"/>
      <c r="BO469" s="34" t="n"/>
      <c r="BP469" s="34" t="n"/>
      <c r="BQ469" s="34" t="n"/>
      <c r="BR469" s="215">
        <f>IFERROR(BR466*BR467*BR468,"n/a")</f>
        <v>0.107618968380373</v>
      </c>
      <c r="BS469" s="34" t="n"/>
      <c r="BT469" s="34" t="n"/>
      <c r="BU469" s="35" t="n"/>
      <c r="BV469" s="35" t="n"/>
      <c r="BW469" s="256">
        <f>IFERROR(BW466*BW467*BW468,"n/a")</f>
        <v>0.162350827206064</v>
      </c>
      <c r="BX469" s="256">
        <f>IFERROR(BX466*BX467*BX468,"n/a")</f>
        <v>0.18036487339788</v>
      </c>
      <c r="BY469" s="256">
        <f>IFERROR(BY466*BY467*BY468,"n/a")</f>
        <v>0.196459520602606</v>
      </c>
      <c r="BZ469" s="256">
        <f>IFERROR(BZ466*BZ467*BZ468,"n/a")</f>
        <v>0.21242800127187</v>
      </c>
      <c r="CA469" s="256">
        <f>IFERROR(CA466*CA467*CA468,"n/a")</f>
        <v>0.229128333163628</v>
      </c>
      <c r="CB469" s="256">
        <f>IFERROR(CB466*CB467*CB468,"n/a")</f>
        <v>0.246389040347788</v>
      </c>
      <c r="CC469" s="19" t="n"/>
    </row>
    <row r="470" ht="15" customHeight="1" s="251">
      <c r="B470" s="25" t="inlineStr">
        <is>
          <t>RONTA decomposition</t>
        </is>
      </c>
      <c r="CC470" s="153" t="n"/>
    </row>
    <row r="471" ht="15" customHeight="1" s="251">
      <c r="B471" s="25" t="inlineStr">
        <is>
          <t>NOPAT = Adjusted EBITA × (1 − tax rate)</t>
        </is>
      </c>
      <c r="C471" s="211" t="str">
        <f>C461</f>
        <v>n/a</v>
      </c>
      <c r="D471" s="211">
        <f>D461</f>
        <v>679.068138195778</v>
      </c>
      <c r="E471" s="211">
        <f>E461</f>
        <v>744.817484662577</v>
      </c>
      <c r="F471" s="34" t="n"/>
      <c r="G471" s="34" t="n"/>
      <c r="H471" s="34" t="n"/>
      <c r="I471" s="34" t="n"/>
      <c r="J471" s="211">
        <f>J461</f>
        <v>965.417368762152</v>
      </c>
      <c r="K471" s="34" t="n"/>
      <c r="L471" s="34" t="n"/>
      <c r="M471" s="34" t="n"/>
      <c r="N471" s="34" t="n"/>
      <c r="O471" s="211">
        <f>O461</f>
        <v>75.6121867881549</v>
      </c>
      <c r="P471" s="34" t="n"/>
      <c r="Q471" s="34" t="n"/>
      <c r="R471" s="34" t="n"/>
      <c r="S471" s="34" t="n"/>
      <c r="T471" s="211">
        <f>T461</f>
        <v>1331.6740133265</v>
      </c>
      <c r="U471" s="34" t="n"/>
      <c r="V471" s="34" t="n"/>
      <c r="W471" s="34" t="n"/>
      <c r="X471" s="34" t="n"/>
      <c r="Y471" s="211">
        <f>Y461</f>
        <v>1622.1215323646</v>
      </c>
      <c r="Z471" s="34" t="n"/>
      <c r="AA471" s="34" t="n"/>
      <c r="AB471" s="34" t="n"/>
      <c r="AC471" s="34" t="n"/>
      <c r="AD471" s="211">
        <f>AD461</f>
        <v>1961.56129985229</v>
      </c>
      <c r="AE471" s="34" t="n"/>
      <c r="AF471" s="34" t="n"/>
      <c r="AG471" s="34" t="n"/>
      <c r="AH471" s="34" t="n"/>
      <c r="AI471" s="211">
        <f>AI461</f>
        <v>2294.58276797829</v>
      </c>
      <c r="AJ471" s="34" t="n"/>
      <c r="AK471" s="34" t="n"/>
      <c r="AL471" s="34" t="n"/>
      <c r="AM471" s="34" t="n"/>
      <c r="AN471" s="211">
        <f>AN461</f>
        <v>2591.50278293135</v>
      </c>
      <c r="AO471" s="34" t="n"/>
      <c r="AP471" s="34" t="n"/>
      <c r="AQ471" s="34" t="n"/>
      <c r="AR471" s="34" t="n"/>
      <c r="AS471" s="211">
        <f>AS461</f>
        <v>3028.91839378238</v>
      </c>
      <c r="AT471" s="34" t="n"/>
      <c r="AU471" s="34" t="n"/>
      <c r="AV471" s="34" t="n"/>
      <c r="AW471" s="34" t="n"/>
      <c r="AX471" s="211">
        <f>AX461</f>
        <v>3379.7192749779</v>
      </c>
      <c r="AY471" s="34" t="n"/>
      <c r="AZ471" s="34" t="n"/>
      <c r="BA471" s="34" t="n"/>
      <c r="BB471" s="34" t="n"/>
      <c r="BC471" s="211">
        <f>BC461</f>
        <v>3321.68601099572</v>
      </c>
      <c r="BD471" s="34" t="n"/>
      <c r="BE471" s="34" t="n"/>
      <c r="BF471" s="34" t="n"/>
      <c r="BG471" s="34" t="n"/>
      <c r="BH471" s="211">
        <f>BH461</f>
        <v>4151.34039784347</v>
      </c>
      <c r="BI471" s="34" t="n"/>
      <c r="BJ471" s="34" t="n"/>
      <c r="BK471" s="34" t="n"/>
      <c r="BL471" s="34" t="n"/>
      <c r="BM471" s="211">
        <f>BM461</f>
        <v>5210.65391539154</v>
      </c>
      <c r="BN471" s="34" t="n"/>
      <c r="BO471" s="34" t="n"/>
      <c r="BP471" s="34" t="n"/>
      <c r="BQ471" s="34" t="n"/>
      <c r="BR471" s="211">
        <f>BR461</f>
        <v>5111.36290322581</v>
      </c>
      <c r="BS471" s="34" t="n"/>
      <c r="BT471" s="34" t="n"/>
      <c r="BU471" s="35" t="n"/>
      <c r="BV471" s="35" t="n"/>
      <c r="BW471" s="254">
        <f>BW461</f>
        <v>5716.36186192556</v>
      </c>
      <c r="BX471" s="254">
        <f>BX461</f>
        <v>6305.26536570568</v>
      </c>
      <c r="BY471" s="254">
        <f>BY461</f>
        <v>6811.53863105003</v>
      </c>
      <c r="BZ471" s="254">
        <f>BZ461</f>
        <v>7306.39446778074</v>
      </c>
      <c r="CA471" s="254">
        <f>CA461</f>
        <v>7820.84416859214</v>
      </c>
      <c r="CB471" s="254">
        <f>CB461</f>
        <v>8346.02198697637</v>
      </c>
      <c r="CC471" s="19" t="n"/>
    </row>
    <row r="472" ht="15" customHeight="1" s="251">
      <c r="B472" s="25" t="inlineStr">
        <is>
          <t xml:space="preserve">  Total assets</t>
        </is>
      </c>
      <c r="C472" s="211">
        <f>C373</f>
      </c>
      <c r="D472" s="211">
        <f>D373</f>
      </c>
      <c r="E472" s="211">
        <f>E373</f>
        <v>7052</v>
      </c>
      <c r="F472" s="34" t="n"/>
      <c r="G472" s="34" t="n"/>
      <c r="H472" s="34" t="n"/>
      <c r="I472" s="34" t="n"/>
      <c r="J472" s="211">
        <f>J373</f>
        <v>6061</v>
      </c>
      <c r="K472" s="34" t="n"/>
      <c r="L472" s="34" t="n"/>
      <c r="M472" s="34" t="n"/>
      <c r="N472" s="34" t="n"/>
      <c r="O472" s="211">
        <f>O373</f>
        <v>6771</v>
      </c>
      <c r="P472" s="34" t="n"/>
      <c r="Q472" s="34" t="n"/>
      <c r="R472" s="34" t="n"/>
      <c r="S472" s="34" t="n"/>
      <c r="T472" s="211">
        <f>T373</f>
        <v>8183</v>
      </c>
      <c r="U472" s="34" t="n"/>
      <c r="V472" s="34" t="n"/>
      <c r="W472" s="34" t="n"/>
      <c r="X472" s="34" t="n"/>
      <c r="Y472" s="211">
        <f>Y373</f>
        <v>8669</v>
      </c>
      <c r="Z472" s="34" t="n"/>
      <c r="AA472" s="34" t="n"/>
      <c r="AB472" s="34" t="n"/>
      <c r="AC472" s="34" t="n"/>
      <c r="AD472" s="211">
        <f>AD373</f>
        <v>9425</v>
      </c>
      <c r="AE472" s="34" t="n"/>
      <c r="AF472" s="34" t="n"/>
      <c r="AG472" s="34" t="n"/>
      <c r="AH472" s="34" t="n"/>
      <c r="AI472" s="211">
        <f>AI373</f>
        <v>9458</v>
      </c>
      <c r="AJ472" s="34" t="n"/>
      <c r="AK472" s="34" t="n"/>
      <c r="AL472" s="34" t="n"/>
      <c r="AM472" s="34" t="n"/>
      <c r="AN472" s="211">
        <f>AN373</f>
        <v>11348</v>
      </c>
      <c r="AO472" s="34" t="n"/>
      <c r="AP472" s="34" t="n"/>
      <c r="AQ472" s="34" t="n"/>
      <c r="AR472" s="34" t="n"/>
      <c r="AS472" s="211">
        <f>AS373</f>
        <v>12537</v>
      </c>
      <c r="AT472" s="34" t="n"/>
      <c r="AU472" s="34" t="n"/>
      <c r="AV472" s="34" t="n"/>
      <c r="AW472" s="34" t="n"/>
      <c r="AX472" s="211">
        <f>AX373</f>
        <v>15026</v>
      </c>
      <c r="AY472" s="34" t="n"/>
      <c r="AZ472" s="34" t="n"/>
      <c r="BA472" s="34" t="n"/>
      <c r="BB472" s="34" t="n"/>
      <c r="BC472" s="211">
        <f>BC373</f>
        <v>61784</v>
      </c>
      <c r="BD472" s="34" t="n"/>
      <c r="BE472" s="34" t="n"/>
      <c r="BF472" s="34" t="n"/>
      <c r="BG472" s="34" t="n"/>
      <c r="BH472" s="211">
        <f>BH373</f>
        <v>60589</v>
      </c>
      <c r="BI472" s="34" t="n"/>
      <c r="BJ472" s="34" t="n"/>
      <c r="BK472" s="34" t="n"/>
      <c r="BL472" s="34" t="n"/>
      <c r="BM472" s="211">
        <f>BM373</f>
        <v>60221</v>
      </c>
      <c r="BN472" s="34" t="n"/>
      <c r="BO472" s="34" t="n"/>
      <c r="BP472" s="34" t="n"/>
      <c r="BQ472" s="34" t="n"/>
      <c r="BR472" s="211">
        <f>BR373</f>
        <v>61200</v>
      </c>
      <c r="BS472" s="34" t="n"/>
      <c r="BT472" s="34" t="n"/>
      <c r="BU472" s="35" t="n"/>
      <c r="BV472" s="35" t="n"/>
      <c r="BW472" s="254">
        <f>BW373</f>
        <v>47303.514430137</v>
      </c>
      <c r="BX472" s="254">
        <f>BX373</f>
        <v>47313.6544767626</v>
      </c>
      <c r="BY472" s="254">
        <f>BY373</f>
        <v>47382.2016760433</v>
      </c>
      <c r="BZ472" s="254">
        <f>BZ373</f>
        <v>47482.2501967674</v>
      </c>
      <c r="CA472" s="254">
        <f>CA373</f>
        <v>47609.4002103113</v>
      </c>
      <c r="CB472" s="254">
        <f>CB373</f>
        <v>47774.9723416518</v>
      </c>
      <c r="CC472" s="19" t="n"/>
    </row>
    <row r="473" ht="15" customHeight="1" s="251">
      <c r="B473" s="25" t="inlineStr">
        <is>
          <t xml:space="preserve">  − Goodwill &amp; intangible assets</t>
        </is>
      </c>
      <c r="C473" s="211">
        <f>IFERROR(-(C369+C370),"n/a")</f>
        <v>0</v>
      </c>
      <c r="D473" s="211">
        <f>IFERROR(-(D369+D370),"n/a")</f>
        <v>0</v>
      </c>
      <c r="E473" s="211">
        <f>IFERROR(-(E369+E370),"n/a")</f>
        <v>-2519</v>
      </c>
      <c r="F473" s="34" t="n"/>
      <c r="G473" s="34" t="n"/>
      <c r="H473" s="34" t="n"/>
      <c r="I473" s="34" t="n"/>
      <c r="J473" s="211">
        <f>IFERROR(-(J369+J370),"n/a")</f>
        <v>-2445</v>
      </c>
      <c r="K473" s="34" t="n"/>
      <c r="L473" s="34" t="n"/>
      <c r="M473" s="34" t="n"/>
      <c r="N473" s="34" t="n"/>
      <c r="O473" s="211">
        <f>IFERROR(-(O369+O370),"n/a")</f>
        <v>-2391</v>
      </c>
      <c r="P473" s="34" t="n"/>
      <c r="Q473" s="34" t="n"/>
      <c r="R473" s="34" t="n"/>
      <c r="S473" s="34" t="n"/>
      <c r="T473" s="211">
        <f>IFERROR(-(T369+T370),"n/a")</f>
        <v>-4404</v>
      </c>
      <c r="U473" s="34" t="n"/>
      <c r="V473" s="34" t="n"/>
      <c r="W473" s="34" t="n"/>
      <c r="X473" s="34" t="n"/>
      <c r="Y473" s="211">
        <f>IFERROR(-(Y369+Y370),"n/a")</f>
        <v>-4455</v>
      </c>
      <c r="Z473" s="34" t="n"/>
      <c r="AA473" s="34" t="n"/>
      <c r="AB473" s="34" t="n"/>
      <c r="AC473" s="34" t="n"/>
      <c r="AD473" s="211">
        <f>IFERROR(-(AD369+AD370),"n/a")</f>
        <v>-4377</v>
      </c>
      <c r="AE473" s="34" t="n"/>
      <c r="AF473" s="34" t="n"/>
      <c r="AG473" s="34" t="n"/>
      <c r="AH473" s="34" t="n"/>
      <c r="AI473" s="211">
        <f>IFERROR(-(AI369+AI370),"n/a")</f>
        <v>-5059</v>
      </c>
      <c r="AJ473" s="34" t="n"/>
      <c r="AK473" s="34" t="n"/>
      <c r="AL473" s="34" t="n"/>
      <c r="AM473" s="34" t="n"/>
      <c r="AN473" s="211">
        <f>IFERROR(-(AN369+AN370),"n/a")</f>
        <v>-4999</v>
      </c>
      <c r="AO473" s="34" t="n"/>
      <c r="AP473" s="34" t="n"/>
      <c r="AQ473" s="34" t="n"/>
      <c r="AR473" s="34" t="n"/>
      <c r="AS473" s="211">
        <f>IFERROR(-(AS369+AS370),"n/a")</f>
        <v>-5087</v>
      </c>
      <c r="AT473" s="34" t="n"/>
      <c r="AU473" s="34" t="n"/>
      <c r="AV473" s="34" t="n"/>
      <c r="AW473" s="34" t="n"/>
      <c r="AX473" s="211">
        <f>IFERROR(-(AX369+AX370),"n/a")</f>
        <v>-4791</v>
      </c>
      <c r="AY473" s="34" t="n"/>
      <c r="AZ473" s="34" t="n"/>
      <c r="BA473" s="34" t="n"/>
      <c r="BB473" s="34" t="n"/>
      <c r="BC473" s="211">
        <f>IFERROR(-(BC369+BC370),"n/a")</f>
        <v>-52851</v>
      </c>
      <c r="BD473" s="34" t="n"/>
      <c r="BE473" s="34" t="n"/>
      <c r="BF473" s="34" t="n"/>
      <c r="BG473" s="34" t="n"/>
      <c r="BH473" s="211">
        <f>IFERROR(-(BH369+BH370),"n/a")</f>
        <v>-52248</v>
      </c>
      <c r="BI473" s="34" t="n"/>
      <c r="BJ473" s="34" t="n"/>
      <c r="BK473" s="34" t="n"/>
      <c r="BL473" s="34" t="n"/>
      <c r="BM473" s="211">
        <f>IFERROR(-(BM369+BM370),"n/a")</f>
        <v>-51473</v>
      </c>
      <c r="BN473" s="34" t="n"/>
      <c r="BO473" s="34" t="n"/>
      <c r="BP473" s="34" t="n"/>
      <c r="BQ473" s="34" t="n"/>
      <c r="BR473" s="211">
        <f>IFERROR(-(BR369+BR370),"n/a")</f>
        <v>-52746</v>
      </c>
      <c r="BS473" s="34" t="n"/>
      <c r="BT473" s="34" t="n"/>
      <c r="BU473" s="35" t="n"/>
      <c r="BV473" s="35" t="n"/>
      <c r="BW473" s="254">
        <f>IFERROR(-(BW369+BW370),"n/a")</f>
        <v>-39225</v>
      </c>
      <c r="BX473" s="254">
        <f>IFERROR(-(BX369+BX370),"n/a")</f>
        <v>-38928.1666666667</v>
      </c>
      <c r="BY473" s="254">
        <f>IFERROR(-(BY369+BY370),"n/a")</f>
        <v>-38637.6666666667</v>
      </c>
      <c r="BZ473" s="254">
        <f>IFERROR(-(BZ369+BZ370),"n/a")</f>
        <v>-38361.5</v>
      </c>
      <c r="CA473" s="254">
        <f>IFERROR(-(CA369+CA370),"n/a")</f>
        <v>-38099.6666666667</v>
      </c>
      <c r="CB473" s="254">
        <f>IFERROR(-(CB369+CB370),"n/a")</f>
        <v>-37851.1666666667</v>
      </c>
      <c r="CC473" s="19" t="n"/>
    </row>
    <row r="474" ht="15" customHeight="1" s="251">
      <c r="B474" s="25" t="inlineStr">
        <is>
          <t xml:space="preserve">  − Non-interest-bearing current liabilities (total CL excl. short-term debt)</t>
        </is>
      </c>
      <c r="C474" s="211" t="str">
        <f>IFERROR(-(C381-N(C377)),"n/a")</f>
        <v>n/a</v>
      </c>
      <c r="D474" s="211" t="str">
        <f>IFERROR(-(D381-N(D377)),"n/a")</f>
        <v>n/a</v>
      </c>
      <c r="E474" s="211">
        <f>IFERROR(-(E381-N(E377)),"n/a")</f>
        <v>-3210</v>
      </c>
      <c r="F474" s="34" t="n"/>
      <c r="G474" s="34" t="n"/>
      <c r="H474" s="34" t="n"/>
      <c r="I474" s="34" t="n"/>
      <c r="J474" s="211">
        <f>IFERROR(-(J381-N(J377)),"n/a")</f>
        <v>-2372</v>
      </c>
      <c r="K474" s="34" t="n"/>
      <c r="L474" s="34" t="n"/>
      <c r="M474" s="34" t="n"/>
      <c r="N474" s="34" t="n"/>
      <c r="O474" s="211">
        <f>IFERROR(-(O381-N(O377)),"n/a")</f>
        <v>-3967</v>
      </c>
      <c r="P474" s="34" t="n"/>
      <c r="Q474" s="34" t="n"/>
      <c r="R474" s="34" t="n"/>
      <c r="S474" s="34" t="n"/>
      <c r="T474" s="211">
        <f>IFERROR(-(T381-N(T377)),"n/a")</f>
        <v>-2765</v>
      </c>
      <c r="U474" s="34" t="n"/>
      <c r="V474" s="34" t="n"/>
      <c r="W474" s="34" t="n"/>
      <c r="X474" s="34" t="n"/>
      <c r="Y474" s="211">
        <f>IFERROR(-(Y381-N(Y377)),"n/a")</f>
        <v>-2611</v>
      </c>
      <c r="Z474" s="34" t="n"/>
      <c r="AA474" s="34" t="n"/>
      <c r="AB474" s="34" t="n"/>
      <c r="AC474" s="34" t="n"/>
      <c r="AD474" s="211">
        <f>IFERROR(-(AD381-N(AD377)),"n/a")</f>
        <v>-2815</v>
      </c>
      <c r="AE474" s="34" t="n"/>
      <c r="AF474" s="34" t="n"/>
      <c r="AG474" s="34" t="n"/>
      <c r="AH474" s="34" t="n"/>
      <c r="AI474" s="211">
        <f>IFERROR(-(AI381-N(AI377)),"n/a")</f>
        <v>-2629</v>
      </c>
      <c r="AJ474" s="34" t="n"/>
      <c r="AK474" s="34" t="n"/>
      <c r="AL474" s="34" t="n"/>
      <c r="AM474" s="34" t="n"/>
      <c r="AN474" s="211">
        <f>IFERROR(-(AN381-N(AN377)),"n/a")</f>
        <v>-3093</v>
      </c>
      <c r="AO474" s="34" t="n"/>
      <c r="AP474" s="34" t="n"/>
      <c r="AQ474" s="34" t="n"/>
      <c r="AR474" s="34" t="n"/>
      <c r="AS474" s="211">
        <f>IFERROR(-(AS381-N(AS377)),"n/a")</f>
        <v>-3587</v>
      </c>
      <c r="AT474" s="34" t="n"/>
      <c r="AU474" s="34" t="n"/>
      <c r="AV474" s="34" t="n"/>
      <c r="AW474" s="34" t="n"/>
      <c r="AX474" s="211">
        <f>IFERROR(-(AX381-N(AX377)),"n/a")</f>
        <v>-3815</v>
      </c>
      <c r="AY474" s="34" t="n"/>
      <c r="AZ474" s="34" t="n"/>
      <c r="BA474" s="34" t="n"/>
      <c r="BB474" s="34" t="n"/>
      <c r="BC474" s="211">
        <f>IFERROR(-(BC381-N(BC377)),"n/a")</f>
        <v>-5773</v>
      </c>
      <c r="BD474" s="34" t="n"/>
      <c r="BE474" s="34" t="n"/>
      <c r="BF474" s="34" t="n"/>
      <c r="BG474" s="34" t="n"/>
      <c r="BH474" s="211">
        <f>IFERROR(-(BH381-N(BH377)),"n/a")</f>
        <v>-6078</v>
      </c>
      <c r="BI474" s="34" t="n"/>
      <c r="BJ474" s="34" t="n"/>
      <c r="BK474" s="34" t="n"/>
      <c r="BL474" s="34" t="n"/>
      <c r="BM474" s="211">
        <f>IFERROR(-(BM381-N(BM377)),"n/a")</f>
        <v>-6388</v>
      </c>
      <c r="BN474" s="34" t="n"/>
      <c r="BO474" s="34" t="n"/>
      <c r="BP474" s="34" t="n"/>
      <c r="BQ474" s="34" t="n"/>
      <c r="BR474" s="211">
        <f>IFERROR(-(BR381-N(BR377)),"n/a")</f>
        <v>-6919</v>
      </c>
      <c r="BS474" s="34" t="n"/>
      <c r="BT474" s="34" t="n"/>
      <c r="BU474" s="35" t="n"/>
      <c r="BV474" s="35" t="n"/>
      <c r="BW474" s="254">
        <f>IFERROR(-(BW381-N(BW377)),"n/a")</f>
        <v>-7132.580731</v>
      </c>
      <c r="BX474" s="254">
        <f>IFERROR(-(BX381-N(BX377)),"n/a")</f>
        <v>-7574.26570115872</v>
      </c>
      <c r="BY474" s="254">
        <f>IFERROR(-(BY381-N(BY377)),"n/a")</f>
        <v>-8109.74055185437</v>
      </c>
      <c r="BZ474" s="254">
        <f>IFERROR(-(BZ381-N(BZ377)),"n/a")</f>
        <v>-8666.56388406299</v>
      </c>
      <c r="CA474" s="254">
        <f>IFERROR(-(CA381-N(CA377)),"n/a")</f>
        <v>-9235.37065168828</v>
      </c>
      <c r="CB474" s="254">
        <f>IFERROR(-(CB381-N(CB377)),"n/a")</f>
        <v>-9840.62320568518</v>
      </c>
      <c r="CC474" s="19" t="n"/>
    </row>
    <row r="475" ht="15" customHeight="1" s="251">
      <c r="B475" s="25" t="inlineStr">
        <is>
          <t xml:space="preserve">  = Net tangible assets</t>
        </is>
      </c>
      <c r="C475" s="211">
        <f>IFERROR(SUM(C472:C474),"n/a")</f>
        <v>0</v>
      </c>
      <c r="D475" s="211">
        <f>IFERROR(SUM(D472:D474),"n/a")</f>
        <v>0</v>
      </c>
      <c r="E475" s="211">
        <f>IFERROR(SUM(E472:E474),"n/a")</f>
        <v>1323</v>
      </c>
      <c r="F475" s="34" t="n"/>
      <c r="G475" s="34" t="n"/>
      <c r="H475" s="34" t="n"/>
      <c r="I475" s="34" t="n"/>
      <c r="J475" s="211">
        <f>IFERROR(SUM(J472:J474),"n/a")</f>
        <v>1244</v>
      </c>
      <c r="K475" s="34" t="n"/>
      <c r="L475" s="34" t="n"/>
      <c r="M475" s="34" t="n"/>
      <c r="N475" s="34" t="n"/>
      <c r="O475" s="211">
        <f>IFERROR(SUM(O472:O474),"n/a")</f>
        <v>413</v>
      </c>
      <c r="P475" s="34" t="n"/>
      <c r="Q475" s="34" t="n"/>
      <c r="R475" s="34" t="n"/>
      <c r="S475" s="34" t="n"/>
      <c r="T475" s="211">
        <f>IFERROR(SUM(T472:T474),"n/a")</f>
        <v>1014</v>
      </c>
      <c r="U475" s="34" t="n"/>
      <c r="V475" s="34" t="n"/>
      <c r="W475" s="34" t="n"/>
      <c r="X475" s="34" t="n"/>
      <c r="Y475" s="211">
        <f>IFERROR(SUM(Y472:Y474),"n/a")</f>
        <v>1603</v>
      </c>
      <c r="Z475" s="34" t="n"/>
      <c r="AA475" s="34" t="n"/>
      <c r="AB475" s="34" t="n"/>
      <c r="AC475" s="34" t="n"/>
      <c r="AD475" s="211">
        <f>IFERROR(SUM(AD472:AD474),"n/a")</f>
        <v>2233</v>
      </c>
      <c r="AE475" s="34" t="n"/>
      <c r="AF475" s="34" t="n"/>
      <c r="AG475" s="34" t="n"/>
      <c r="AH475" s="34" t="n"/>
      <c r="AI475" s="211">
        <f>IFERROR(SUM(AI472:AI474),"n/a")</f>
        <v>1770</v>
      </c>
      <c r="AJ475" s="34" t="n"/>
      <c r="AK475" s="34" t="n"/>
      <c r="AL475" s="34" t="n"/>
      <c r="AM475" s="34" t="n"/>
      <c r="AN475" s="211">
        <f>IFERROR(SUM(AN472:AN474),"n/a")</f>
        <v>3256</v>
      </c>
      <c r="AO475" s="34" t="n"/>
      <c r="AP475" s="34" t="n"/>
      <c r="AQ475" s="34" t="n"/>
      <c r="AR475" s="34" t="n"/>
      <c r="AS475" s="211">
        <f>IFERROR(SUM(AS472:AS474),"n/a")</f>
        <v>3863</v>
      </c>
      <c r="AT475" s="34" t="n"/>
      <c r="AU475" s="34" t="n"/>
      <c r="AV475" s="34" t="n"/>
      <c r="AW475" s="34" t="n"/>
      <c r="AX475" s="211">
        <f>IFERROR(SUM(AX472:AX474),"n/a")</f>
        <v>6420</v>
      </c>
      <c r="AY475" s="34" t="n"/>
      <c r="AZ475" s="34" t="n"/>
      <c r="BA475" s="34" t="n"/>
      <c r="BB475" s="34" t="n"/>
      <c r="BC475" s="211">
        <f>IFERROR(SUM(BC472:BC474),"n/a")</f>
        <v>3160</v>
      </c>
      <c r="BD475" s="34" t="n"/>
      <c r="BE475" s="34" t="n"/>
      <c r="BF475" s="34" t="n"/>
      <c r="BG475" s="34" t="n"/>
      <c r="BH475" s="211">
        <f>IFERROR(SUM(BH472:BH474),"n/a")</f>
        <v>2263</v>
      </c>
      <c r="BI475" s="34" t="n"/>
      <c r="BJ475" s="34" t="n"/>
      <c r="BK475" s="34" t="n"/>
      <c r="BL475" s="34" t="n"/>
      <c r="BM475" s="211">
        <f>IFERROR(SUM(BM472:BM474),"n/a")</f>
        <v>2360</v>
      </c>
      <c r="BN475" s="34" t="n"/>
      <c r="BO475" s="34" t="n"/>
      <c r="BP475" s="34" t="n"/>
      <c r="BQ475" s="34" t="n"/>
      <c r="BR475" s="211">
        <f>IFERROR(SUM(BR472:BR474),"n/a")</f>
        <v>1535</v>
      </c>
      <c r="BS475" s="34" t="n"/>
      <c r="BT475" s="34" t="n"/>
      <c r="BU475" s="35" t="n"/>
      <c r="BV475" s="35" t="n"/>
      <c r="BW475" s="254">
        <f>IFERROR(SUM(BW472:BW474),"n/a")</f>
        <v>945.933699136987</v>
      </c>
      <c r="BX475" s="254">
        <f>IFERROR(SUM(BX472:BX474),"n/a")</f>
        <v>811.222108937238</v>
      </c>
      <c r="BY475" s="254">
        <f>IFERROR(SUM(BY472:BY474),"n/a")</f>
        <v>634.794457522237</v>
      </c>
      <c r="BZ475" s="254">
        <f>IFERROR(SUM(BZ472:BZ474),"n/a")</f>
        <v>454.186312704454</v>
      </c>
      <c r="CA475" s="254">
        <f>IFERROR(SUM(CA472:CA474),"n/a")</f>
        <v>274.362891956365</v>
      </c>
      <c r="CB475" s="254">
        <f>IFERROR(SUM(CB472:CB474),"n/a")</f>
        <v>83.1824692999253</v>
      </c>
      <c r="CC475" s="19" t="n"/>
    </row>
    <row r="476" ht="15" customHeight="1" s="251">
      <c r="B476" s="55" t="inlineStr">
        <is>
          <t>RONTA = NOPAT / NTA (n/m where NTA &lt; NOPAT: unearned revenue and goodwill leave almost no net tangible assets)</t>
        </is>
      </c>
      <c r="C476" s="296" t="str">
        <f>IFERROR(IF(C475&gt;C471,C471/C475,"n/m"),"n/a")</f>
        <v>n/m</v>
      </c>
      <c r="D476" s="296" t="str">
        <f>IFERROR(IF(D475&gt;D471,D471/D475,"n/m"),"n/a")</f>
        <v>n/m</v>
      </c>
      <c r="E476" s="296">
        <f>IFERROR(IF(E475&gt;E471,E471/E475,"n/m"),"n/a")</f>
        <v>0.562976178883278</v>
      </c>
      <c r="F476" s="56" t="n"/>
      <c r="G476" s="56" t="n"/>
      <c r="H476" s="56" t="n"/>
      <c r="I476" s="56" t="n"/>
      <c r="J476" s="296">
        <f>IFERROR(IF(J475&gt;J471,J471/J475,"n/m"),"n/a")</f>
        <v>0.776058978104624</v>
      </c>
      <c r="K476" s="56" t="n"/>
      <c r="L476" s="56" t="n"/>
      <c r="M476" s="56" t="n"/>
      <c r="N476" s="56" t="n"/>
      <c r="O476" s="296">
        <f>IFERROR(IF(O475&gt;O471,O471/O475,"n/m"),"n/a")</f>
        <v>0.183080355419261</v>
      </c>
      <c r="P476" s="56" t="n"/>
      <c r="Q476" s="56" t="n"/>
      <c r="R476" s="56" t="n"/>
      <c r="S476" s="56" t="n"/>
      <c r="T476" s="296" t="str">
        <f>IFERROR(IF(T475&gt;T471,T471/T475,"n/m"),"n/a")</f>
        <v>n/m</v>
      </c>
      <c r="U476" s="56" t="n"/>
      <c r="V476" s="56" t="n"/>
      <c r="W476" s="56" t="n"/>
      <c r="X476" s="56" t="n"/>
      <c r="Y476" s="296" t="str">
        <f>IFERROR(IF(Y475&gt;Y471,Y471/Y475,"n/m"),"n/a")</f>
        <v>n/m</v>
      </c>
      <c r="Z476" s="56" t="n"/>
      <c r="AA476" s="56" t="n"/>
      <c r="AB476" s="56" t="n"/>
      <c r="AC476" s="56" t="n"/>
      <c r="AD476" s="296">
        <f>IFERROR(IF(AD475&gt;AD471,AD471/AD475,"n/m"),"n/a")</f>
        <v>0.878442140551854</v>
      </c>
      <c r="AE476" s="56" t="n"/>
      <c r="AF476" s="56" t="n"/>
      <c r="AG476" s="56" t="n"/>
      <c r="AH476" s="56" t="n"/>
      <c r="AI476" s="296" t="str">
        <f>IFERROR(IF(AI475&gt;AI471,AI471/AI475,"n/m"),"n/a")</f>
        <v>n/m</v>
      </c>
      <c r="AJ476" s="56" t="n"/>
      <c r="AK476" s="56" t="n"/>
      <c r="AL476" s="56" t="n"/>
      <c r="AM476" s="56" t="n"/>
      <c r="AN476" s="296">
        <f>IFERROR(IF(AN475&gt;AN471,AN471/AN475,"n/m"),"n/a")</f>
        <v>0.79591608812388</v>
      </c>
      <c r="AO476" s="56" t="n"/>
      <c r="AP476" s="56" t="n"/>
      <c r="AQ476" s="56" t="n"/>
      <c r="AR476" s="56" t="n"/>
      <c r="AS476" s="296">
        <f>IFERROR(IF(AS475&gt;AS471,AS471/AS475,"n/m"),"n/a")</f>
        <v>0.784084492307115</v>
      </c>
      <c r="AT476" s="56" t="n"/>
      <c r="AU476" s="56" t="n"/>
      <c r="AV476" s="56" t="n"/>
      <c r="AW476" s="56" t="n"/>
      <c r="AX476" s="296">
        <f>IFERROR(IF(AX475&gt;AX471,AX471/AX475,"n/m"),"n/a")</f>
        <v>0.526436024139859</v>
      </c>
      <c r="AY476" s="56" t="n"/>
      <c r="AZ476" s="56" t="n"/>
      <c r="BA476" s="56" t="n"/>
      <c r="BB476" s="56" t="n"/>
      <c r="BC476" s="296" t="str">
        <f>IFERROR(IF(BC475&gt;BC471,BC471/BC475,"n/m"),"n/a")</f>
        <v>n/m</v>
      </c>
      <c r="BD476" s="56" t="n"/>
      <c r="BE476" s="56" t="n"/>
      <c r="BF476" s="56" t="n"/>
      <c r="BG476" s="56" t="n"/>
      <c r="BH476" s="296" t="str">
        <f>IFERROR(IF(BH475&gt;BH471,BH471/BH475,"n/m"),"n/a")</f>
        <v>n/m</v>
      </c>
      <c r="BI476" s="56" t="n"/>
      <c r="BJ476" s="56" t="n"/>
      <c r="BK476" s="56" t="n"/>
      <c r="BL476" s="56" t="n"/>
      <c r="BM476" s="296" t="str">
        <f>IFERROR(IF(BM475&gt;BM471,BM471/BM475,"n/m"),"n/a")</f>
        <v>n/m</v>
      </c>
      <c r="BN476" s="56" t="n"/>
      <c r="BO476" s="56" t="n"/>
      <c r="BP476" s="56" t="n"/>
      <c r="BQ476" s="56" t="n"/>
      <c r="BR476" s="296" t="str">
        <f>IFERROR(IF(BR475&gt;BR471,BR471/BR475,"n/m"),"n/a")</f>
        <v>n/m</v>
      </c>
      <c r="BS476" s="56" t="n"/>
      <c r="BT476" s="56" t="n"/>
      <c r="BU476" s="56" t="n"/>
      <c r="BV476" s="56" t="n"/>
      <c r="BW476" s="296" t="str">
        <f>IFERROR(IF(BW475&gt;BW471,BW471/BW475,"n/m"),"n/a")</f>
        <v>n/m</v>
      </c>
      <c r="BX476" s="296" t="str">
        <f>IFERROR(IF(BX475&gt;BX471,BX471/BX475,"n/m"),"n/a")</f>
        <v>n/m</v>
      </c>
      <c r="BY476" s="296" t="str">
        <f>IFERROR(IF(BY475&gt;BY471,BY471/BY475,"n/m"),"n/a")</f>
        <v>n/m</v>
      </c>
      <c r="BZ476" s="296" t="str">
        <f>IFERROR(IF(BZ475&gt;BZ471,BZ471/BZ475,"n/m"),"n/a")</f>
        <v>n/m</v>
      </c>
      <c r="CA476" s="296" t="str">
        <f>IFERROR(IF(CA475&gt;CA471,CA471/CA475,"n/m"),"n/a")</f>
        <v>n/m</v>
      </c>
      <c r="CB476" s="296" t="str">
        <f>IFERROR(IF(CB475&gt;CB471,CB471/CB475,"n/m"),"n/a")</f>
        <v>n/m</v>
      </c>
      <c r="CC476" s="153" t="n"/>
    </row>
    <row r="477" ht="15" customHeight="1" s="251">
      <c r="B477" s="25" t="inlineStr">
        <is>
          <t>Return on Equity (ROE)</t>
        </is>
      </c>
      <c r="CC477" s="153" t="n"/>
    </row>
    <row r="478" ht="15" customHeight="1" s="251">
      <c r="B478" s="25" t="inlineStr">
        <is>
          <t>Net income attributable</t>
        </is>
      </c>
      <c r="C478" s="211">
        <f>C210</f>
        <v>828</v>
      </c>
      <c r="D478" s="211">
        <f>D210</f>
        <v>911</v>
      </c>
      <c r="E478" s="211">
        <f>E210</f>
        <v>437</v>
      </c>
      <c r="F478" s="34" t="n"/>
      <c r="G478" s="34" t="n"/>
      <c r="H478" s="34" t="n"/>
      <c r="I478" s="34" t="n"/>
      <c r="J478" s="211">
        <f>J210</f>
        <v>1376</v>
      </c>
      <c r="K478" s="34" t="n"/>
      <c r="L478" s="34" t="n"/>
      <c r="M478" s="34" t="n"/>
      <c r="N478" s="34" t="n"/>
      <c r="O478" s="211">
        <f>O210</f>
        <v>-115</v>
      </c>
      <c r="P478" s="34" t="n"/>
      <c r="Q478" s="34" t="n"/>
      <c r="R478" s="34" t="n"/>
      <c r="S478" s="34" t="n"/>
      <c r="T478" s="211">
        <f>T210</f>
        <v>1156</v>
      </c>
      <c r="U478" s="34" t="n"/>
      <c r="V478" s="34" t="n"/>
      <c r="W478" s="34" t="n"/>
      <c r="X478" s="34" t="n"/>
      <c r="Y478" s="211">
        <f>Y210</f>
        <v>2106</v>
      </c>
      <c r="Z478" s="34" t="n"/>
      <c r="AA478" s="34" t="n"/>
      <c r="AB478" s="34" t="n"/>
      <c r="AC478" s="34" t="n"/>
      <c r="AD478" s="211">
        <f>AD210</f>
        <v>1496</v>
      </c>
      <c r="AE478" s="34" t="n"/>
      <c r="AF478" s="34" t="n"/>
      <c r="AG478" s="34" t="n"/>
      <c r="AH478" s="34" t="n"/>
      <c r="AI478" s="211">
        <f>AI210</f>
        <v>1958</v>
      </c>
      <c r="AJ478" s="34" t="n"/>
      <c r="AK478" s="34" t="n"/>
      <c r="AL478" s="34" t="n"/>
      <c r="AM478" s="34" t="n"/>
      <c r="AN478" s="211">
        <f>AN210</f>
        <v>2123</v>
      </c>
      <c r="AO478" s="34" t="n"/>
      <c r="AP478" s="34" t="n"/>
      <c r="AQ478" s="34" t="n"/>
      <c r="AR478" s="34" t="n"/>
      <c r="AS478" s="211">
        <f>AS210</f>
        <v>2339</v>
      </c>
      <c r="AT478" s="34" t="n"/>
      <c r="AU478" s="34" t="n"/>
      <c r="AV478" s="34" t="n"/>
      <c r="AW478" s="34" t="n"/>
      <c r="AX478" s="211">
        <f>AX210</f>
        <v>3024</v>
      </c>
      <c r="AY478" s="34" t="n"/>
      <c r="AZ478" s="34" t="n"/>
      <c r="BA478" s="34" t="n"/>
      <c r="BB478" s="34" t="n"/>
      <c r="BC478" s="211">
        <f>BC210</f>
        <v>3248</v>
      </c>
      <c r="BD478" s="34" t="n"/>
      <c r="BE478" s="34" t="n"/>
      <c r="BF478" s="34" t="n"/>
      <c r="BG478" s="34" t="n"/>
      <c r="BH478" s="211">
        <f>BH210</f>
        <v>2626</v>
      </c>
      <c r="BI478" s="34" t="n"/>
      <c r="BJ478" s="34" t="n"/>
      <c r="BK478" s="34" t="n"/>
      <c r="BL478" s="34" t="n"/>
      <c r="BM478" s="211">
        <f>BM210</f>
        <v>3852</v>
      </c>
      <c r="BN478" s="34" t="n"/>
      <c r="BO478" s="34" t="n"/>
      <c r="BP478" s="34" t="n"/>
      <c r="BQ478" s="34" t="n"/>
      <c r="BR478" s="211">
        <f>BR210</f>
        <v>4471</v>
      </c>
      <c r="BS478" s="34" t="n"/>
      <c r="BT478" s="34" t="n"/>
      <c r="BU478" s="35" t="n"/>
      <c r="BV478" s="35" t="n"/>
      <c r="BW478" s="254">
        <f>BW210</f>
        <v>4876.25267319277</v>
      </c>
      <c r="BX478" s="254">
        <f>BX210</f>
        <v>4909.86626196173</v>
      </c>
      <c r="BY478" s="254">
        <f>BY210</f>
        <v>5370.7685669663</v>
      </c>
      <c r="BZ478" s="254">
        <f>BZ210</f>
        <v>5783.87968570179</v>
      </c>
      <c r="CA478" s="254">
        <f>CA210</f>
        <v>6226.58884841112</v>
      </c>
      <c r="CB478" s="254">
        <f>CB210</f>
        <v>6683.14213088727</v>
      </c>
      <c r="CC478" s="19" t="n"/>
    </row>
    <row r="479" ht="15" customHeight="1" s="251">
      <c r="B479" s="25" t="inlineStr">
        <is>
          <t>Equity — controlling interests</t>
        </is>
      </c>
      <c r="C479" s="211">
        <f>C388</f>
        <v>0</v>
      </c>
      <c r="D479" s="211">
        <f>D388</f>
        <v>0</v>
      </c>
      <c r="E479" s="211">
        <f>E388</f>
        <v>767</v>
      </c>
      <c r="F479" s="34" t="n"/>
      <c r="G479" s="34" t="n"/>
      <c r="H479" s="34" t="n"/>
      <c r="I479" s="34" t="n"/>
      <c r="J479" s="211">
        <f>J388</f>
        <v>1301</v>
      </c>
      <c r="K479" s="34" t="n"/>
      <c r="L479" s="34" t="n"/>
      <c r="M479" s="34" t="n"/>
      <c r="N479" s="34" t="n"/>
      <c r="O479" s="211">
        <f>O388</f>
        <v>488</v>
      </c>
      <c r="P479" s="34" t="n"/>
      <c r="Q479" s="34" t="n"/>
      <c r="R479" s="34" t="n"/>
      <c r="S479" s="34" t="n"/>
      <c r="T479" s="211">
        <f>T388</f>
        <v>194</v>
      </c>
      <c r="U479" s="34" t="n"/>
      <c r="V479" s="34" t="n"/>
      <c r="W479" s="34" t="n"/>
      <c r="X479" s="34" t="n"/>
      <c r="Y479" s="211">
        <f>Y388</f>
        <v>650</v>
      </c>
      <c r="Z479" s="34" t="n"/>
      <c r="AA479" s="34" t="n"/>
      <c r="AB479" s="34" t="n"/>
      <c r="AC479" s="34" t="n"/>
      <c r="AD479" s="211">
        <f>AD388</f>
        <v>711</v>
      </c>
      <c r="AE479" s="34" t="n"/>
      <c r="AF479" s="34" t="n"/>
      <c r="AG479" s="34" t="n"/>
      <c r="AH479" s="34" t="n"/>
      <c r="AI479" s="211">
        <f>AI388</f>
        <v>628</v>
      </c>
      <c r="AJ479" s="34" t="n"/>
      <c r="AK479" s="34" t="n"/>
      <c r="AL479" s="34" t="n"/>
      <c r="AM479" s="34" t="n"/>
      <c r="AN479" s="211">
        <f>AN388</f>
        <v>479</v>
      </c>
      <c r="AO479" s="34" t="n"/>
      <c r="AP479" s="34" t="n"/>
      <c r="AQ479" s="34" t="n"/>
      <c r="AR479" s="34" t="n"/>
      <c r="AS479" s="211">
        <f>AS388</f>
        <v>509</v>
      </c>
      <c r="AT479" s="34" t="n"/>
      <c r="AU479" s="34" t="n"/>
      <c r="AV479" s="34" t="n"/>
      <c r="AW479" s="34" t="n"/>
      <c r="AX479" s="211">
        <f>AX388</f>
        <v>2032</v>
      </c>
      <c r="AY479" s="34" t="n"/>
      <c r="AZ479" s="34" t="n"/>
      <c r="BA479" s="34" t="n"/>
      <c r="BB479" s="34" t="n"/>
      <c r="BC479" s="211">
        <f>BC388</f>
        <v>36388</v>
      </c>
      <c r="BD479" s="34" t="n"/>
      <c r="BE479" s="34" t="n"/>
      <c r="BF479" s="34" t="n"/>
      <c r="BG479" s="34" t="n"/>
      <c r="BH479" s="211">
        <f>BH388</f>
        <v>34200</v>
      </c>
      <c r="BI479" s="34" t="n"/>
      <c r="BJ479" s="34" t="n"/>
      <c r="BK479" s="34" t="n"/>
      <c r="BL479" s="34" t="n"/>
      <c r="BM479" s="211">
        <f>BM388</f>
        <v>33159</v>
      </c>
      <c r="BN479" s="34" t="n"/>
      <c r="BO479" s="34" t="n"/>
      <c r="BP479" s="34" t="n"/>
      <c r="BQ479" s="34" t="n"/>
      <c r="BR479" s="211">
        <f>BR388</f>
        <v>31127</v>
      </c>
      <c r="BS479" s="34" t="n"/>
      <c r="BT479" s="34" t="n"/>
      <c r="BU479" s="35" t="n"/>
      <c r="BV479" s="35" t="n"/>
      <c r="BW479" s="254">
        <f>BW388</f>
        <v>17756.0363253667</v>
      </c>
      <c r="BX479" s="254">
        <f>BX388</f>
        <v>17355.5349214208</v>
      </c>
      <c r="BY479" s="254">
        <f>BY388</f>
        <v>16075.6365689019</v>
      </c>
      <c r="BZ479" s="254">
        <f>BZ388</f>
        <v>14827.4675500941</v>
      </c>
      <c r="CA479" s="254">
        <f>CA388</f>
        <v>13556.2001066059</v>
      </c>
      <c r="CB479" s="254">
        <f>CB388</f>
        <v>12265.2541639648</v>
      </c>
      <c r="CC479" s="19" t="n"/>
    </row>
    <row r="480" ht="15" customHeight="1" s="251">
      <c r="B480" s="25" t="inlineStr">
        <is>
          <t>ROE = Net income / Equity</t>
        </is>
      </c>
      <c r="C480" s="215" t="str">
        <f>IFERROR(C478/C479,"n/a")</f>
        <v>n/a</v>
      </c>
      <c r="D480" s="215" t="str">
        <f>IFERROR(D478/D479,"n/a")</f>
        <v>n/a</v>
      </c>
      <c r="E480" s="215">
        <f>IFERROR(E478/E479,"n/a")</f>
        <v>0.569752281616688</v>
      </c>
      <c r="F480" s="34" t="n"/>
      <c r="G480" s="34" t="n"/>
      <c r="H480" s="34" t="n"/>
      <c r="I480" s="34" t="n"/>
      <c r="J480" s="215">
        <f>IFERROR(J478/J479,"n/a")</f>
        <v>1.0576479631053</v>
      </c>
      <c r="K480" s="34" t="n"/>
      <c r="L480" s="34" t="n"/>
      <c r="M480" s="34" t="n"/>
      <c r="N480" s="34" t="n"/>
      <c r="O480" s="215">
        <f>IFERROR(O478/O479,"n/a")</f>
        <v>-0.235655737704918</v>
      </c>
      <c r="P480" s="34" t="n"/>
      <c r="Q480" s="34" t="n"/>
      <c r="R480" s="34" t="n"/>
      <c r="S480" s="34" t="n"/>
      <c r="T480" s="215">
        <f>IFERROR(T478/T479,"n/a")</f>
        <v>5.95876288659794</v>
      </c>
      <c r="U480" s="34" t="n"/>
      <c r="V480" s="34" t="n"/>
      <c r="W480" s="34" t="n"/>
      <c r="X480" s="34" t="n"/>
      <c r="Y480" s="215">
        <f>IFERROR(Y478/Y479,"n/a")</f>
        <v>3.24</v>
      </c>
      <c r="Z480" s="34" t="n"/>
      <c r="AA480" s="34" t="n"/>
      <c r="AB480" s="34" t="n"/>
      <c r="AC480" s="34" t="n"/>
      <c r="AD480" s="215">
        <f>IFERROR(AD478/AD479,"n/a")</f>
        <v>2.10407876230661</v>
      </c>
      <c r="AE480" s="34" t="n"/>
      <c r="AF480" s="34" t="n"/>
      <c r="AG480" s="34" t="n"/>
      <c r="AH480" s="34" t="n"/>
      <c r="AI480" s="215">
        <f>IFERROR(AI478/AI479,"n/a")</f>
        <v>3.11783439490446</v>
      </c>
      <c r="AJ480" s="34" t="n"/>
      <c r="AK480" s="34" t="n"/>
      <c r="AL480" s="34" t="n"/>
      <c r="AM480" s="34" t="n"/>
      <c r="AN480" s="215">
        <f>IFERROR(AN478/AN479,"n/a")</f>
        <v>4.4321503131524</v>
      </c>
      <c r="AO480" s="34" t="n"/>
      <c r="AP480" s="34" t="n"/>
      <c r="AQ480" s="34" t="n"/>
      <c r="AR480" s="34" t="n"/>
      <c r="AS480" s="215">
        <f>IFERROR(AS478/AS479,"n/a")</f>
        <v>4.59528487229863</v>
      </c>
      <c r="AT480" s="34" t="n"/>
      <c r="AU480" s="34" t="n"/>
      <c r="AV480" s="34" t="n"/>
      <c r="AW480" s="34" t="n"/>
      <c r="AX480" s="215">
        <f>IFERROR(AX478/AX479,"n/a")</f>
        <v>1.48818897637795</v>
      </c>
      <c r="AY480" s="34" t="n"/>
      <c r="AZ480" s="34" t="n"/>
      <c r="BA480" s="34" t="n"/>
      <c r="BB480" s="34" t="n"/>
      <c r="BC480" s="215">
        <f>IFERROR(BC478/BC479,"n/a")</f>
        <v>0.0892601956689018</v>
      </c>
      <c r="BD480" s="34" t="n"/>
      <c r="BE480" s="34" t="n"/>
      <c r="BF480" s="34" t="n"/>
      <c r="BG480" s="34" t="n"/>
      <c r="BH480" s="215">
        <f>IFERROR(BH478/BH479,"n/a")</f>
        <v>0.0767836257309942</v>
      </c>
      <c r="BI480" s="34" t="n"/>
      <c r="BJ480" s="34" t="n"/>
      <c r="BK480" s="34" t="n"/>
      <c r="BL480" s="34" t="n"/>
      <c r="BM480" s="215">
        <f>IFERROR(BM478/BM479,"n/a")</f>
        <v>0.116167556319551</v>
      </c>
      <c r="BN480" s="34" t="n"/>
      <c r="BO480" s="34" t="n"/>
      <c r="BP480" s="34" t="n"/>
      <c r="BQ480" s="34" t="n"/>
      <c r="BR480" s="215">
        <f>IFERROR(BR478/BR479,"n/a")</f>
        <v>0.143637356635718</v>
      </c>
      <c r="BS480" s="34" t="n"/>
      <c r="BT480" s="34" t="n"/>
      <c r="BU480" s="35" t="n"/>
      <c r="BV480" s="35" t="n"/>
      <c r="BW480" s="256">
        <f>IFERROR(BW478/BW479,"n/a")</f>
        <v>0.274625067432783</v>
      </c>
      <c r="BX480" s="256">
        <f>IFERROR(BX478/BX479,"n/a")</f>
        <v>0.282899160653457</v>
      </c>
      <c r="BY480" s="256">
        <f>IFERROR(BY478/BY479,"n/a")</f>
        <v>0.334093679211185</v>
      </c>
      <c r="BZ480" s="256">
        <f>IFERROR(BZ478/BZ479,"n/a")</f>
        <v>0.390078728289989</v>
      </c>
      <c r="CA480" s="256">
        <f>IFERROR(CA478/CA479,"n/a")</f>
        <v>0.459316681625031</v>
      </c>
      <c r="CB480" s="256">
        <f>IFERROR(CB478/CB479,"n/a")</f>
        <v>0.544884112595258</v>
      </c>
      <c r="CC480" s="19" t="n"/>
      <c r="CE480" s="37">
        <f>IFERROR(AVERAGE(BX480,BY480,BZ480,CA480,CB480),"n/m")</f>
        <v>0.402254472474984</v>
      </c>
      <c r="CF480" s="37">
        <f>IFERROR(AVERAGE(AX480,BC480,BH480,BM480,BR480),"n/m")</f>
        <v>0.382807542146624</v>
      </c>
      <c r="CG480" s="37">
        <f>IFERROR(AVERAGE(Y480,AD480,AI480,AN480,AS480,AX480,BC480,BH480,BM480,BR480),"n/m")</f>
        <v>1.94033860533952</v>
      </c>
      <c r="CH480" s="37">
        <f>IFERROR(AVERAGE(C480,D480,E480,J480,O480,T480,Y480,AD480,AI480,AN480,AS480,AX480,BC480,BH480,BM480,BR480),"n/m")</f>
        <v>1.91099238907216</v>
      </c>
    </row>
    <row r="481" ht="15" customHeight="1" s="251">
      <c r="B481" s="25" t="inlineStr">
        <is>
          <t>Leverage</t>
        </is>
      </c>
      <c r="CC481" s="153" t="n"/>
    </row>
    <row r="482" ht="15" customHeight="1" s="251">
      <c r="B482" s="25" t="inlineStr">
        <is>
          <t>Net debt = Total debt − cash</t>
        </is>
      </c>
      <c r="C482" s="211" t="str">
        <f>C464</f>
        <v>n/a</v>
      </c>
      <c r="D482" s="211" t="str">
        <f>D464</f>
        <v>n/a</v>
      </c>
      <c r="E482" s="211">
        <f>E464</f>
        <v>496</v>
      </c>
      <c r="F482" s="34" t="n"/>
      <c r="G482" s="34" t="n"/>
      <c r="H482" s="34" t="n"/>
      <c r="I482" s="34" t="n"/>
      <c r="J482" s="211">
        <f>J464</f>
        <v>-743</v>
      </c>
      <c r="K482" s="34" t="n"/>
      <c r="L482" s="34" t="n"/>
      <c r="M482" s="34" t="n"/>
      <c r="N482" s="34" t="n"/>
      <c r="O482" s="211">
        <f>O464</f>
        <v>-1698</v>
      </c>
      <c r="P482" s="34" t="n"/>
      <c r="Q482" s="34" t="n"/>
      <c r="R482" s="34" t="n"/>
      <c r="S482" s="34" t="n"/>
      <c r="T482" s="211">
        <f>T464</f>
        <v>2130</v>
      </c>
      <c r="U482" s="34" t="n"/>
      <c r="V482" s="34" t="n"/>
      <c r="W482" s="34" t="n"/>
      <c r="X482" s="34" t="n"/>
      <c r="Y482" s="211">
        <f>Y464</f>
        <v>1172</v>
      </c>
      <c r="Z482" s="34" t="n"/>
      <c r="AA482" s="34" t="n"/>
      <c r="AB482" s="34" t="n"/>
      <c r="AC482" s="34" t="n"/>
      <c r="AD482" s="211">
        <f>AD464</f>
        <v>790</v>
      </c>
      <c r="AE482" s="34" t="n"/>
      <c r="AF482" s="34" t="n"/>
      <c r="AG482" s="34" t="n"/>
      <c r="AH482" s="34" t="n"/>
      <c r="AI482" s="211">
        <f>AI464</f>
        <v>1704</v>
      </c>
      <c r="AJ482" s="34" t="n"/>
      <c r="AK482" s="34" t="n"/>
      <c r="AL482" s="34" t="n"/>
      <c r="AM482" s="34" t="n"/>
      <c r="AN482" s="211">
        <f>AN464</f>
        <v>1062</v>
      </c>
      <c r="AO482" s="34" t="n"/>
      <c r="AP482" s="34" t="n"/>
      <c r="AQ482" s="34" t="n"/>
      <c r="AR482" s="34" t="n"/>
      <c r="AS482" s="211">
        <f>AS464</f>
        <v>-12</v>
      </c>
      <c r="AT482" s="34" t="n"/>
      <c r="AU482" s="34" t="n"/>
      <c r="AV482" s="34" t="n"/>
      <c r="AW482" s="34" t="n"/>
      <c r="AX482" s="211">
        <f>AX464</f>
        <v>-2391</v>
      </c>
      <c r="AY482" s="34" t="n"/>
      <c r="AZ482" s="34" t="n"/>
      <c r="BA482" s="34" t="n"/>
      <c r="BB482" s="34" t="n"/>
      <c r="BC482" s="211">
        <f>BC464</f>
        <v>9669</v>
      </c>
      <c r="BD482" s="34" t="n"/>
      <c r="BE482" s="34" t="n"/>
      <c r="BF482" s="34" t="n"/>
      <c r="BG482" s="34" t="n"/>
      <c r="BH482" s="211">
        <f>BH464</f>
        <v>10168</v>
      </c>
      <c r="BI482" s="34" t="n"/>
      <c r="BJ482" s="34" t="n"/>
      <c r="BK482" s="34" t="n"/>
      <c r="BL482" s="34" t="n"/>
      <c r="BM482" s="211">
        <f>BM464</f>
        <v>9732</v>
      </c>
      <c r="BN482" s="34" t="n"/>
      <c r="BO482" s="34" t="n"/>
      <c r="BP482" s="34" t="n"/>
      <c r="BQ482" s="34" t="n"/>
      <c r="BR482" s="211">
        <f>BR464</f>
        <v>11343</v>
      </c>
      <c r="BS482" s="34" t="n"/>
      <c r="BT482" s="34" t="n"/>
      <c r="BU482" s="35" t="n"/>
      <c r="BV482" s="35" t="n"/>
      <c r="BW482" s="254">
        <f>BW464</f>
        <v>12314.8973737703</v>
      </c>
      <c r="BX482" s="254">
        <f>BX464</f>
        <v>12463.8538541831</v>
      </c>
      <c r="BY482" s="254">
        <f>BY464</f>
        <v>13456.824555287</v>
      </c>
      <c r="BZ482" s="254">
        <f>BZ464</f>
        <v>14428.2187626103</v>
      </c>
      <c r="CA482" s="254">
        <f>CA464</f>
        <v>15437.8294520171</v>
      </c>
      <c r="CB482" s="254">
        <f>CB464</f>
        <v>16469.0949720018</v>
      </c>
      <c r="CC482" s="19" t="n"/>
    </row>
    <row r="483" ht="15" customHeight="1" s="251">
      <c r="B483" s="25" t="inlineStr">
        <is>
          <t>Adjusted EBITDA (model)</t>
        </is>
      </c>
      <c r="C483" s="211">
        <f>C256</f>
        <v>1122</v>
      </c>
      <c r="D483" s="211">
        <f>D256</f>
        <v>1197</v>
      </c>
      <c r="E483" s="211">
        <f>E256</f>
        <v>1459</v>
      </c>
      <c r="F483" s="34" t="n"/>
      <c r="G483" s="34" t="n"/>
      <c r="H483" s="34" t="n"/>
      <c r="I483" s="34" t="n"/>
      <c r="J483" s="211">
        <f>J256</f>
        <v>1688</v>
      </c>
      <c r="K483" s="34" t="n"/>
      <c r="L483" s="34" t="n"/>
      <c r="M483" s="34" t="n"/>
      <c r="N483" s="34" t="n"/>
      <c r="O483" s="211">
        <f>O256</f>
        <v>1901</v>
      </c>
      <c r="P483" s="34" t="n"/>
      <c r="Q483" s="34" t="n"/>
      <c r="R483" s="34" t="n"/>
      <c r="S483" s="34" t="n"/>
      <c r="T483" s="211">
        <f>T256</f>
        <v>2143</v>
      </c>
      <c r="U483" s="34" t="n"/>
      <c r="V483" s="34" t="n"/>
      <c r="W483" s="34" t="n"/>
      <c r="X483" s="34" t="n"/>
      <c r="Y483" s="211">
        <f>Y256</f>
        <v>2516</v>
      </c>
      <c r="Z483" s="34" t="n"/>
      <c r="AA483" s="34" t="n"/>
      <c r="AB483" s="34" t="n"/>
      <c r="AC483" s="34" t="n"/>
      <c r="AD483" s="211">
        <f>AD256</f>
        <v>2939</v>
      </c>
      <c r="AE483" s="34" t="n"/>
      <c r="AF483" s="34" t="n"/>
      <c r="AG483" s="34" t="n"/>
      <c r="AH483" s="34" t="n"/>
      <c r="AI483" s="211">
        <f>AI256</f>
        <v>3136</v>
      </c>
      <c r="AJ483" s="34" t="n"/>
      <c r="AK483" s="34" t="n"/>
      <c r="AL483" s="34" t="n"/>
      <c r="AM483" s="34" t="n"/>
      <c r="AN483" s="211">
        <f>AN256</f>
        <v>3442</v>
      </c>
      <c r="AO483" s="34" t="n"/>
      <c r="AP483" s="34" t="n"/>
      <c r="AQ483" s="34" t="n"/>
      <c r="AR483" s="34" t="n"/>
      <c r="AS483" s="211">
        <f>AS256</f>
        <v>4050</v>
      </c>
      <c r="AT483" s="34" t="n"/>
      <c r="AU483" s="34" t="n"/>
      <c r="AV483" s="34" t="n"/>
      <c r="AW483" s="34" t="n"/>
      <c r="AX483" s="211">
        <f>AX256</f>
        <v>4663</v>
      </c>
      <c r="AY483" s="34" t="n"/>
      <c r="AZ483" s="34" t="n"/>
      <c r="BA483" s="34" t="n"/>
      <c r="BB483" s="34" t="n"/>
      <c r="BC483" s="211">
        <f>BC256</f>
        <v>5240</v>
      </c>
      <c r="BD483" s="34" t="n"/>
      <c r="BE483" s="34" t="n"/>
      <c r="BF483" s="34" t="n"/>
      <c r="BG483" s="34" t="n"/>
      <c r="BH483" s="211">
        <f>BH256</f>
        <v>5833</v>
      </c>
      <c r="BI483" s="34" t="n"/>
      <c r="BJ483" s="34" t="n"/>
      <c r="BK483" s="34" t="n"/>
      <c r="BL483" s="34" t="n"/>
      <c r="BM483" s="211">
        <f>BM256</f>
        <v>7054</v>
      </c>
      <c r="BN483" s="34" t="n"/>
      <c r="BO483" s="34" t="n"/>
      <c r="BP483" s="34" t="n"/>
      <c r="BQ483" s="34" t="n"/>
      <c r="BR483" s="211">
        <f>BR256</f>
        <v>7070</v>
      </c>
      <c r="BS483" s="34" t="n"/>
      <c r="BT483" s="34" t="n"/>
      <c r="BU483" s="35" t="n"/>
      <c r="BV483" s="35" t="n"/>
      <c r="BW483" s="254">
        <f>BW256</f>
        <v>7638.28237019501</v>
      </c>
      <c r="BX483" s="254">
        <f>BX256</f>
        <v>8309.23590278871</v>
      </c>
      <c r="BY483" s="254">
        <f>BY256</f>
        <v>8971.21637019134</v>
      </c>
      <c r="BZ483" s="254">
        <f>BZ256</f>
        <v>9618.8125084069</v>
      </c>
      <c r="CA483" s="254">
        <f>CA256</f>
        <v>10291.8863013447</v>
      </c>
      <c r="CB483" s="254">
        <f>CB256</f>
        <v>10979.3966480012</v>
      </c>
      <c r="CC483" s="19" t="n"/>
    </row>
    <row r="484" ht="15" customHeight="1" s="251">
      <c r="B484" s="55" t="inlineStr">
        <is>
          <t>Net debt / adjusted EBITDA (x)</t>
        </is>
      </c>
      <c r="C484" s="297" t="str">
        <f>IFERROR(C482/C483,"n/a")</f>
        <v>n/a</v>
      </c>
      <c r="D484" s="297" t="str">
        <f>IFERROR(D482/D483,"n/a")</f>
        <v>n/a</v>
      </c>
      <c r="E484" s="297">
        <f>IFERROR(E482/E483,"n/a")</f>
        <v>0.339958875942426</v>
      </c>
      <c r="F484" s="56" t="n"/>
      <c r="G484" s="56" t="n"/>
      <c r="H484" s="56" t="n"/>
      <c r="I484" s="56" t="n"/>
      <c r="J484" s="297">
        <f>IFERROR(J482/J483,"n/a")</f>
        <v>-0.440165876777251</v>
      </c>
      <c r="K484" s="56" t="n"/>
      <c r="L484" s="56" t="n"/>
      <c r="M484" s="56" t="n"/>
      <c r="N484" s="56" t="n"/>
      <c r="O484" s="297">
        <f>IFERROR(O482/O483,"n/a")</f>
        <v>-0.89321409784324</v>
      </c>
      <c r="P484" s="56" t="n"/>
      <c r="Q484" s="56" t="n"/>
      <c r="R484" s="56" t="n"/>
      <c r="S484" s="56" t="n"/>
      <c r="T484" s="297">
        <f>IFERROR(T482/T483,"n/a")</f>
        <v>0.993933737750817</v>
      </c>
      <c r="U484" s="56" t="n"/>
      <c r="V484" s="56" t="n"/>
      <c r="W484" s="56" t="n"/>
      <c r="X484" s="56" t="n"/>
      <c r="Y484" s="297">
        <f>IFERROR(Y482/Y483,"n/a")</f>
        <v>0.465818759936407</v>
      </c>
      <c r="Z484" s="56" t="n"/>
      <c r="AA484" s="56" t="n"/>
      <c r="AB484" s="56" t="n"/>
      <c r="AC484" s="56" t="n"/>
      <c r="AD484" s="297">
        <f>IFERROR(AD482/AD483,"n/a")</f>
        <v>0.268798911194284</v>
      </c>
      <c r="AE484" s="56" t="n"/>
      <c r="AF484" s="56" t="n"/>
      <c r="AG484" s="56" t="n"/>
      <c r="AH484" s="56" t="n"/>
      <c r="AI484" s="297">
        <f>IFERROR(AI482/AI483,"n/a")</f>
        <v>0.543367346938776</v>
      </c>
      <c r="AJ484" s="56" t="n"/>
      <c r="AK484" s="56" t="n"/>
      <c r="AL484" s="56" t="n"/>
      <c r="AM484" s="56" t="n"/>
      <c r="AN484" s="297">
        <f>IFERROR(AN482/AN483,"n/a")</f>
        <v>0.308541545613016</v>
      </c>
      <c r="AO484" s="56" t="n"/>
      <c r="AP484" s="56" t="n"/>
      <c r="AQ484" s="56" t="n"/>
      <c r="AR484" s="56" t="n"/>
      <c r="AS484" s="297">
        <f>IFERROR(AS482/AS483,"n/a")</f>
        <v>-0.00296296296296296</v>
      </c>
      <c r="AT484" s="56" t="n"/>
      <c r="AU484" s="56" t="n"/>
      <c r="AV484" s="56" t="n"/>
      <c r="AW484" s="56" t="n"/>
      <c r="AX484" s="297">
        <f>IFERROR(AX482/AX483,"n/a")</f>
        <v>-0.512760025734506</v>
      </c>
      <c r="AY484" s="56" t="n"/>
      <c r="AZ484" s="56" t="n"/>
      <c r="BA484" s="56" t="n"/>
      <c r="BB484" s="56" t="n"/>
      <c r="BC484" s="297">
        <f>IFERROR(BC482/BC483,"n/a")</f>
        <v>1.84522900763359</v>
      </c>
      <c r="BD484" s="56" t="n"/>
      <c r="BE484" s="56" t="n"/>
      <c r="BF484" s="56" t="n"/>
      <c r="BG484" s="56" t="n"/>
      <c r="BH484" s="297">
        <f>IFERROR(BH482/BH483,"n/a")</f>
        <v>1.74318532487571</v>
      </c>
      <c r="BI484" s="56" t="n"/>
      <c r="BJ484" s="56" t="n"/>
      <c r="BK484" s="56" t="n"/>
      <c r="BL484" s="56" t="n"/>
      <c r="BM484" s="297">
        <f>IFERROR(BM482/BM483,"n/a")</f>
        <v>1.37964275588319</v>
      </c>
      <c r="BN484" s="56" t="n"/>
      <c r="BO484" s="56" t="n"/>
      <c r="BP484" s="56" t="n"/>
      <c r="BQ484" s="56" t="n"/>
      <c r="BR484" s="297">
        <f>IFERROR(BR482/BR483,"n/a")</f>
        <v>1.6043847241867</v>
      </c>
      <c r="BS484" s="56" t="n"/>
      <c r="BT484" s="56" t="n"/>
      <c r="BU484" s="56" t="n"/>
      <c r="BV484" s="56" t="n"/>
      <c r="BW484" s="297">
        <f>IFERROR(BW482/BW483,"n/a")</f>
        <v>1.61226003136827</v>
      </c>
      <c r="BX484" s="297">
        <f>IFERROR(BX482/BX483,"n/a")</f>
        <v>1.5</v>
      </c>
      <c r="BY484" s="297">
        <f>IFERROR(BY482/BY483,"n/a")</f>
        <v>1.5</v>
      </c>
      <c r="BZ484" s="297">
        <f>IFERROR(BZ482/BZ483,"n/a")</f>
        <v>1.5</v>
      </c>
      <c r="CA484" s="297">
        <f>IFERROR(CA482/CA483,"n/a")</f>
        <v>1.5</v>
      </c>
      <c r="CB484" s="297">
        <f>IFERROR(CB482/CB483,"n/a")</f>
        <v>1.5</v>
      </c>
      <c r="CC484" s="153" t="n"/>
      <c r="CE484" s="37">
        <f>IFERROR(AVERAGE(BX484,BY484,BZ484,CA484,CB484),"n/m")</f>
        <v>1.5</v>
      </c>
      <c r="CF484" s="37">
        <f>IFERROR(AVERAGE(AX484,BC484,BH484,BM484,BR484),"n/m")</f>
        <v>1.21193635736894</v>
      </c>
      <c r="CG484" s="37">
        <f>IFERROR(AVERAGE(Y484,AD484,AI484,AN484,AS484,AX484,BC484,BH484,BM484,BR484),"n/m")</f>
        <v>0.76432453875642</v>
      </c>
      <c r="CH484" s="37">
        <f>IFERROR(AVERAGE(C484,D484,E484,J484,O484,T484,Y484,AD484,AI484,AN484,AS484,AX484,BC484,BH484,BM484,BR484),"n/m")</f>
        <v>0.545982716188354</v>
      </c>
    </row>
    <row r="485" ht="15" customHeight="1" s="251">
      <c r="B485" s="25" t="inlineStr">
        <is>
          <t>Total debt / adjusted EBITDA (x)</t>
        </is>
      </c>
      <c r="C485" s="286" t="str">
        <f>IFERROR(C433/C256,"n/a")</f>
        <v>n/a</v>
      </c>
      <c r="D485" s="286" t="str">
        <f>IFERROR(D433/D256,"n/a")</f>
        <v>n/a</v>
      </c>
      <c r="E485" s="286">
        <f>IFERROR(E433/E256,"n/a")</f>
        <v>0.860863605209047</v>
      </c>
      <c r="F485" s="34" t="n"/>
      <c r="G485" s="34" t="n"/>
      <c r="H485" s="34" t="n"/>
      <c r="I485" s="34" t="n"/>
      <c r="J485" s="286">
        <f>IFERROR(J433/J256,"n/a")</f>
        <v>0.473341232227488</v>
      </c>
      <c r="K485" s="34" t="n"/>
      <c r="L485" s="34" t="n"/>
      <c r="M485" s="34" t="n"/>
      <c r="N485" s="34" t="n"/>
      <c r="O485" s="286">
        <f>IFERROR(O433/O256,"n/a")</f>
        <v>0.420305102577591</v>
      </c>
      <c r="P485" s="34" t="n"/>
      <c r="Q485" s="34" t="n"/>
      <c r="R485" s="34" t="n"/>
      <c r="S485" s="34" t="n"/>
      <c r="T485" s="286">
        <f>IFERROR(T433/T256,"n/a")</f>
        <v>1.68502099860009</v>
      </c>
      <c r="U485" s="34" t="n"/>
      <c r="V485" s="34" t="n"/>
      <c r="W485" s="34" t="n"/>
      <c r="X485" s="34" t="n"/>
      <c r="Y485" s="286">
        <f>IFERROR(Y433/Y256,"n/a")</f>
        <v>1.41653418124006</v>
      </c>
      <c r="Z485" s="34" t="n"/>
      <c r="AA485" s="34" t="n"/>
      <c r="AB485" s="34" t="n"/>
      <c r="AC485" s="34" t="n"/>
      <c r="AD485" s="286">
        <f>IFERROR(AD433/AD256,"n/a")</f>
        <v>1.21435862538278</v>
      </c>
      <c r="AE485" s="34" t="n"/>
      <c r="AF485" s="34" t="n"/>
      <c r="AG485" s="34" t="n"/>
      <c r="AH485" s="34" t="n"/>
      <c r="AI485" s="286">
        <f>IFERROR(AI433/AI256,"n/a")</f>
        <v>1.16772959183673</v>
      </c>
      <c r="AJ485" s="34" t="n"/>
      <c r="AK485" s="34" t="n"/>
      <c r="AL485" s="34" t="n"/>
      <c r="AM485" s="34" t="n"/>
      <c r="AN485" s="286">
        <f>IFERROR(AN433/AN256,"n/a")</f>
        <v>1.14700755374782</v>
      </c>
      <c r="AO485" s="34" t="n"/>
      <c r="AP485" s="34" t="n"/>
      <c r="AQ485" s="34" t="n"/>
      <c r="AR485" s="34" t="n"/>
      <c r="AS485" s="286">
        <f>IFERROR(AS433/AS256,"n/a")</f>
        <v>1.01481481481481</v>
      </c>
      <c r="AT485" s="34" t="n"/>
      <c r="AU485" s="34" t="n"/>
      <c r="AV485" s="34" t="n"/>
      <c r="AW485" s="34" t="n"/>
      <c r="AX485" s="286">
        <f>IFERROR(AX433/AX256,"n/a")</f>
        <v>0.882264636500107</v>
      </c>
      <c r="AY485" s="34" t="n"/>
      <c r="AZ485" s="34" t="n"/>
      <c r="BA485" s="34" t="n"/>
      <c r="BB485" s="34" t="n"/>
      <c r="BC485" s="286">
        <f>IFERROR(BC433/BC256,"n/a")</f>
        <v>2.09083969465649</v>
      </c>
      <c r="BD485" s="34" t="n"/>
      <c r="BE485" s="34" t="n"/>
      <c r="BF485" s="34" t="n"/>
      <c r="BG485" s="34" t="n"/>
      <c r="BH485" s="286">
        <f>IFERROR(BH433/BH256,"n/a")</f>
        <v>1.96451225784331</v>
      </c>
      <c r="BI485" s="34" t="n"/>
      <c r="BJ485" s="34" t="n"/>
      <c r="BK485" s="34" t="n"/>
      <c r="BL485" s="34" t="n"/>
      <c r="BM485" s="286">
        <f>IFERROR(BM433/BM256,"n/a")</f>
        <v>1.61582081088744</v>
      </c>
      <c r="BN485" s="34" t="n"/>
      <c r="BO485" s="34" t="n"/>
      <c r="BP485" s="34" t="n"/>
      <c r="BQ485" s="34" t="n"/>
      <c r="BR485" s="286">
        <f>IFERROR(BR433/BR256,"n/a")</f>
        <v>1.85120226308345</v>
      </c>
      <c r="BS485" s="34" t="n"/>
      <c r="BT485" s="34" t="n"/>
      <c r="BU485" s="35" t="n"/>
      <c r="BV485" s="35" t="n"/>
      <c r="BW485" s="287">
        <f>IFERROR(BW433/BW256,"n/a")</f>
        <v>1.80863926000913</v>
      </c>
      <c r="BX485" s="287">
        <f>IFERROR(BX433/BX256,"n/a")</f>
        <v>1.68052201400331</v>
      </c>
      <c r="BY485" s="287">
        <f>IFERROR(BY433/BY256,"n/a")</f>
        <v>1.66720140704487</v>
      </c>
      <c r="BZ485" s="287">
        <f>IFERROR(BZ433/BZ256,"n/a")</f>
        <v>1.65594440568303</v>
      </c>
      <c r="CA485" s="287">
        <f>IFERROR(CA433/CA256,"n/a")</f>
        <v>1.64574587748837</v>
      </c>
      <c r="CB485" s="287">
        <f>IFERROR(CB433/CB256,"n/a")</f>
        <v>1.63661952911348</v>
      </c>
      <c r="CC485" s="19" t="n"/>
    </row>
    <row r="486" ht="15" customHeight="1" s="251">
      <c r="CK486" s="11" t="n"/>
      <c r="CL486" s="12" t="n"/>
      <c r="CM486" s="12" t="n"/>
      <c r="CN486" s="12" t="n"/>
      <c r="CO486" s="13" t="n"/>
    </row>
    <row r="487" ht="15" customHeight="1" s="251">
      <c r="B487" s="10" t="inlineStr">
        <is>
          <t>VALUATION</t>
        </is>
      </c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  <c r="AD487" s="10" t="n"/>
      <c r="AE487" s="10" t="n"/>
      <c r="AF487" s="10" t="n"/>
      <c r="AG487" s="10" t="n"/>
      <c r="AH487" s="10" t="n"/>
      <c r="AI487" s="10" t="n"/>
      <c r="AJ487" s="10" t="n"/>
      <c r="AK487" s="10" t="n"/>
      <c r="AL487" s="10" t="n"/>
      <c r="AM487" s="10" t="n"/>
      <c r="AN487" s="10" t="n"/>
      <c r="AO487" s="10" t="n"/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0" t="n"/>
      <c r="BC487" s="10" t="n"/>
      <c r="BD487" s="10" t="n"/>
      <c r="BE487" s="10" t="n"/>
      <c r="BF487" s="10" t="n"/>
      <c r="BG487" s="10" t="n"/>
      <c r="BH487" s="10" t="n"/>
      <c r="BI487" s="10" t="n"/>
      <c r="BJ487" s="10" t="n"/>
      <c r="BK487" s="10" t="n"/>
      <c r="BL487" s="10" t="n"/>
      <c r="BM487" s="10" t="n"/>
      <c r="BN487" s="10" t="n"/>
      <c r="BO487" s="10" t="n"/>
      <c r="BP487" s="10" t="n"/>
      <c r="BQ487" s="10" t="n"/>
      <c r="BR487" s="10" t="n"/>
      <c r="BS487" s="10" t="n"/>
      <c r="BT487" s="10" t="n"/>
      <c r="BU487" s="10" t="n"/>
      <c r="BV487" s="10" t="n"/>
      <c r="BW487" s="10" t="n"/>
      <c r="BX487" s="10" t="n"/>
      <c r="BY487" s="10" t="n"/>
      <c r="BZ487" s="10" t="n"/>
      <c r="CA487" s="10" t="n"/>
      <c r="CB487" s="10" t="n"/>
      <c r="CC487" s="10" t="inlineStr">
        <is>
          <t>VALUATION — share price input $415.00 (user-provided, 12-Oct-2026; cross-check: Q2-26 average repurchase price $414.85, 10-Q Part II Item 2); update to market</t>
        </is>
      </c>
    </row>
    <row r="488" ht="15" customHeight="1" s="251">
      <c r="B488" s="69" t="inlineStr">
        <is>
          <t>Share price ($) — current</t>
        </is>
      </c>
      <c r="C488" s="44" t="n"/>
      <c r="D488" s="44" t="n"/>
      <c r="E488" s="44" t="n"/>
      <c r="F488" s="44" t="n"/>
      <c r="G488" s="44" t="n"/>
      <c r="H488" s="44" t="n"/>
      <c r="I488" s="44" t="n"/>
      <c r="J488" s="44" t="n"/>
      <c r="K488" s="44" t="n"/>
      <c r="L488" s="44" t="n"/>
      <c r="M488" s="44" t="n"/>
      <c r="N488" s="44" t="n"/>
      <c r="O488" s="44" t="n"/>
      <c r="P488" s="44" t="n"/>
      <c r="Q488" s="44" t="n"/>
      <c r="R488" s="44" t="n"/>
      <c r="S488" s="44" t="n"/>
      <c r="T488" s="44" t="n"/>
      <c r="U488" s="44" t="n"/>
      <c r="V488" s="44" t="n"/>
      <c r="W488" s="44" t="n"/>
      <c r="X488" s="44" t="n"/>
      <c r="Y488" s="44" t="n"/>
      <c r="Z488" s="44" t="n"/>
      <c r="AA488" s="44" t="n"/>
      <c r="AB488" s="44" t="n"/>
      <c r="AC488" s="44" t="n"/>
      <c r="AD488" s="44" t="n"/>
      <c r="AE488" s="44" t="n"/>
      <c r="AF488" s="44" t="n"/>
      <c r="AG488" s="44" t="n"/>
      <c r="AH488" s="44" t="n"/>
      <c r="AI488" s="44" t="n"/>
      <c r="AJ488" s="44" t="n"/>
      <c r="AK488" s="44" t="n"/>
      <c r="AL488" s="44" t="n"/>
      <c r="AM488" s="44" t="n"/>
      <c r="AN488" s="44" t="n"/>
      <c r="AO488" s="44" t="n"/>
      <c r="AP488" s="44" t="n"/>
      <c r="AQ488" s="44" t="n"/>
      <c r="AR488" s="44" t="n"/>
      <c r="AS488" s="44" t="n"/>
      <c r="AT488" s="44" t="n"/>
      <c r="AU488" s="44" t="n"/>
      <c r="AV488" s="44" t="n"/>
      <c r="AW488" s="44" t="n"/>
      <c r="AX488" s="44" t="n"/>
      <c r="AY488" s="44" t="n"/>
      <c r="AZ488" s="44" t="n"/>
      <c r="BA488" s="44" t="n"/>
      <c r="BB488" s="44" t="n"/>
      <c r="BC488" s="44" t="n"/>
      <c r="BD488" s="44" t="n"/>
      <c r="BE488" s="44" t="n"/>
      <c r="BF488" s="44" t="n"/>
      <c r="BG488" s="44" t="n"/>
      <c r="BH488" s="44" t="n"/>
      <c r="BI488" s="44" t="n"/>
      <c r="BJ488" s="44" t="n"/>
      <c r="BK488" s="44" t="n"/>
      <c r="BL488" s="44" t="n"/>
      <c r="BM488" s="44" t="n"/>
      <c r="BN488" s="44" t="n"/>
      <c r="BO488" s="44" t="n"/>
      <c r="BP488" s="44" t="n"/>
      <c r="BQ488" s="44" t="n"/>
      <c r="BR488" s="44" t="n"/>
      <c r="BS488" s="44" t="n"/>
      <c r="BT488" s="44" t="n"/>
      <c r="BU488" s="153" t="n"/>
      <c r="BV488" s="153" t="n"/>
      <c r="BW488" s="289" t="n">
        <v>415</v>
      </c>
      <c r="BX488" s="288">
        <f>BW488</f>
        <v>415</v>
      </c>
      <c r="BY488" s="288">
        <f>BX488</f>
        <v>415</v>
      </c>
      <c r="BZ488" s="288">
        <f>BY488</f>
        <v>415</v>
      </c>
      <c r="CA488" s="288">
        <f>BZ488</f>
        <v>415</v>
      </c>
      <c r="CB488" s="288">
        <f>CA488</f>
        <v>415</v>
      </c>
      <c r="CC488" s="19" t="n"/>
    </row>
    <row r="489" ht="15" customHeight="1" s="251">
      <c r="B489" s="25" t="inlineStr">
        <is>
          <t>Diluted shares at period end (m)</t>
        </is>
      </c>
      <c r="C489" s="34" t="n"/>
      <c r="D489" s="34" t="n"/>
      <c r="E489" s="34" t="n"/>
      <c r="F489" s="34" t="n"/>
      <c r="G489" s="34" t="n"/>
      <c r="H489" s="34" t="n"/>
      <c r="I489" s="34" t="n"/>
      <c r="J489" s="34" t="n"/>
      <c r="K489" s="34" t="n"/>
      <c r="L489" s="34" t="n"/>
      <c r="M489" s="34" t="n"/>
      <c r="N489" s="34" t="n"/>
      <c r="O489" s="34" t="n"/>
      <c r="P489" s="34" t="n"/>
      <c r="Q489" s="34" t="n"/>
      <c r="R489" s="34" t="n"/>
      <c r="S489" s="34" t="n"/>
      <c r="T489" s="34" t="n"/>
      <c r="U489" s="34" t="n"/>
      <c r="V489" s="34" t="n"/>
      <c r="W489" s="34" t="n"/>
      <c r="X489" s="34" t="n"/>
      <c r="Y489" s="34" t="n"/>
      <c r="Z489" s="34" t="n"/>
      <c r="AA489" s="34" t="n"/>
      <c r="AB489" s="34" t="n"/>
      <c r="AC489" s="34" t="n"/>
      <c r="AD489" s="34" t="n"/>
      <c r="AE489" s="34" t="n"/>
      <c r="AF489" s="34" t="n"/>
      <c r="AG489" s="34" t="n"/>
      <c r="AH489" s="34" t="n"/>
      <c r="AI489" s="34" t="n"/>
      <c r="AJ489" s="34" t="n"/>
      <c r="AK489" s="34" t="n"/>
      <c r="AL489" s="34" t="n"/>
      <c r="AM489" s="34" t="n"/>
      <c r="AN489" s="34" t="n"/>
      <c r="AO489" s="34" t="n"/>
      <c r="AP489" s="34" t="n"/>
      <c r="AQ489" s="34" t="n"/>
      <c r="AR489" s="34" t="n"/>
      <c r="AS489" s="34" t="n"/>
      <c r="AT489" s="34" t="n"/>
      <c r="AU489" s="34" t="n"/>
      <c r="AV489" s="34" t="n"/>
      <c r="AW489" s="34" t="n"/>
      <c r="AX489" s="34" t="n"/>
      <c r="AY489" s="34" t="n"/>
      <c r="AZ489" s="34" t="n"/>
      <c r="BA489" s="34" t="n"/>
      <c r="BB489" s="34" t="n"/>
      <c r="BC489" s="34" t="n"/>
      <c r="BD489" s="34" t="n"/>
      <c r="BE489" s="34" t="n"/>
      <c r="BF489" s="34" t="n"/>
      <c r="BG489" s="34" t="n"/>
      <c r="BH489" s="34" t="n"/>
      <c r="BI489" s="34" t="n"/>
      <c r="BJ489" s="34" t="n"/>
      <c r="BK489" s="34" t="n"/>
      <c r="BL489" s="34" t="n"/>
      <c r="BM489" s="34" t="n"/>
      <c r="BN489" s="34" t="n"/>
      <c r="BO489" s="34" t="n"/>
      <c r="BP489" s="34" t="n"/>
      <c r="BQ489" s="34" t="n"/>
      <c r="BR489" s="34" t="n"/>
      <c r="BS489" s="34" t="n"/>
      <c r="BT489" s="34" t="n"/>
      <c r="BU489" s="35" t="n"/>
      <c r="BV489" s="35" t="n"/>
      <c r="BW489" s="279">
        <f>BW357+(BT217-BT216)</f>
        <v>281.544578313253</v>
      </c>
      <c r="BX489" s="279">
        <f>BX357+N(BX430)</f>
        <v>273.041595514173</v>
      </c>
      <c r="BY489" s="279">
        <f>BY357+N(BY430)</f>
        <v>262.302950409536</v>
      </c>
      <c r="BZ489" s="279">
        <f>BZ357+N(BZ430)</f>
        <v>251.697600688393</v>
      </c>
      <c r="CA489" s="279">
        <f>CA357+N(CA430)</f>
        <v>241.117895008019</v>
      </c>
      <c r="CB489" s="279">
        <f>CB357+N(CB430)</f>
        <v>230.601986954842</v>
      </c>
      <c r="CC489" s="19" t="n"/>
    </row>
    <row r="490" ht="15" customHeight="1" s="251">
      <c r="B490" s="25" t="inlineStr">
        <is>
          <t>Market capitalisation (USDm)</t>
        </is>
      </c>
      <c r="C490" s="34" t="n"/>
      <c r="D490" s="34" t="n"/>
      <c r="E490" s="34" t="n"/>
      <c r="F490" s="34" t="n"/>
      <c r="G490" s="34" t="n"/>
      <c r="H490" s="34" t="n"/>
      <c r="I490" s="34" t="n"/>
      <c r="J490" s="34" t="n"/>
      <c r="K490" s="34" t="n"/>
      <c r="L490" s="34" t="n"/>
      <c r="M490" s="34" t="n"/>
      <c r="N490" s="34" t="n"/>
      <c r="O490" s="34" t="n"/>
      <c r="P490" s="34" t="n"/>
      <c r="Q490" s="34" t="n"/>
      <c r="R490" s="34" t="n"/>
      <c r="S490" s="34" t="n"/>
      <c r="T490" s="34" t="n"/>
      <c r="U490" s="34" t="n"/>
      <c r="V490" s="34" t="n"/>
      <c r="W490" s="34" t="n"/>
      <c r="X490" s="34" t="n"/>
      <c r="Y490" s="34" t="n"/>
      <c r="Z490" s="34" t="n"/>
      <c r="AA490" s="34" t="n"/>
      <c r="AB490" s="34" t="n"/>
      <c r="AC490" s="34" t="n"/>
      <c r="AD490" s="34" t="n"/>
      <c r="AE490" s="34" t="n"/>
      <c r="AF490" s="34" t="n"/>
      <c r="AG490" s="34" t="n"/>
      <c r="AH490" s="34" t="n"/>
      <c r="AI490" s="34" t="n"/>
      <c r="AJ490" s="34" t="n"/>
      <c r="AK490" s="34" t="n"/>
      <c r="AL490" s="34" t="n"/>
      <c r="AM490" s="34" t="n"/>
      <c r="AN490" s="34" t="n"/>
      <c r="AO490" s="34" t="n"/>
      <c r="AP490" s="34" t="n"/>
      <c r="AQ490" s="34" t="n"/>
      <c r="AR490" s="34" t="n"/>
      <c r="AS490" s="34" t="n"/>
      <c r="AT490" s="34" t="n"/>
      <c r="AU490" s="34" t="n"/>
      <c r="AV490" s="34" t="n"/>
      <c r="AW490" s="34" t="n"/>
      <c r="AX490" s="34" t="n"/>
      <c r="AY490" s="34" t="n"/>
      <c r="AZ490" s="34" t="n"/>
      <c r="BA490" s="34" t="n"/>
      <c r="BB490" s="34" t="n"/>
      <c r="BC490" s="34" t="n"/>
      <c r="BD490" s="34" t="n"/>
      <c r="BE490" s="34" t="n"/>
      <c r="BF490" s="34" t="n"/>
      <c r="BG490" s="34" t="n"/>
      <c r="BH490" s="34" t="n"/>
      <c r="BI490" s="34" t="n"/>
      <c r="BJ490" s="34" t="n"/>
      <c r="BK490" s="34" t="n"/>
      <c r="BL490" s="34" t="n"/>
      <c r="BM490" s="34" t="n"/>
      <c r="BN490" s="34" t="n"/>
      <c r="BO490" s="34" t="n"/>
      <c r="BP490" s="34" t="n"/>
      <c r="BQ490" s="34" t="n"/>
      <c r="BR490" s="34" t="n"/>
      <c r="BS490" s="34" t="n"/>
      <c r="BT490" s="34" t="n"/>
      <c r="BU490" s="35" t="n"/>
      <c r="BV490" s="35" t="n"/>
      <c r="BW490" s="254">
        <f>IFERROR(BW488*BW489,"n/a")</f>
        <v>116841</v>
      </c>
      <c r="BX490" s="254">
        <f>IFERROR(BX488*BX489,"n/a")</f>
        <v>113312.262138382</v>
      </c>
      <c r="BY490" s="254">
        <f>IFERROR(BY488*BY489,"n/a")</f>
        <v>108855.724419957</v>
      </c>
      <c r="BZ490" s="254">
        <f>IFERROR(BZ488*BZ489,"n/a")</f>
        <v>104454.504285683</v>
      </c>
      <c r="CA490" s="254">
        <f>IFERROR(CA488*CA489,"n/a")</f>
        <v>100063.926428328</v>
      </c>
      <c r="CB490" s="254">
        <f>IFERROR(CB488*CB489,"n/a")</f>
        <v>95699.8245862593</v>
      </c>
      <c r="CC490" s="19" t="n"/>
    </row>
    <row r="491" ht="15" customHeight="1" s="251">
      <c r="B491" s="25" t="inlineStr">
        <is>
          <t>Net debt (USDm)</t>
        </is>
      </c>
      <c r="C491" s="34" t="n"/>
      <c r="D491" s="34" t="n"/>
      <c r="E491" s="34" t="n"/>
      <c r="F491" s="34" t="n"/>
      <c r="G491" s="34" t="n"/>
      <c r="H491" s="34" t="n"/>
      <c r="I491" s="34" t="n"/>
      <c r="J491" s="34" t="n"/>
      <c r="K491" s="34" t="n"/>
      <c r="L491" s="34" t="n"/>
      <c r="M491" s="34" t="n"/>
      <c r="N491" s="34" t="n"/>
      <c r="O491" s="34" t="n"/>
      <c r="P491" s="34" t="n"/>
      <c r="Q491" s="34" t="n"/>
      <c r="R491" s="34" t="n"/>
      <c r="S491" s="34" t="n"/>
      <c r="T491" s="34" t="n"/>
      <c r="U491" s="34" t="n"/>
      <c r="V491" s="34" t="n"/>
      <c r="W491" s="34" t="n"/>
      <c r="X491" s="34" t="n"/>
      <c r="Y491" s="34" t="n"/>
      <c r="Z491" s="34" t="n"/>
      <c r="AA491" s="34" t="n"/>
      <c r="AB491" s="34" t="n"/>
      <c r="AC491" s="34" t="n"/>
      <c r="AD491" s="34" t="n"/>
      <c r="AE491" s="34" t="n"/>
      <c r="AF491" s="34" t="n"/>
      <c r="AG491" s="34" t="n"/>
      <c r="AH491" s="34" t="n"/>
      <c r="AI491" s="34" t="n"/>
      <c r="AJ491" s="34" t="n"/>
      <c r="AK491" s="34" t="n"/>
      <c r="AL491" s="34" t="n"/>
      <c r="AM491" s="34" t="n"/>
      <c r="AN491" s="34" t="n"/>
      <c r="AO491" s="34" t="n"/>
      <c r="AP491" s="34" t="n"/>
      <c r="AQ491" s="34" t="n"/>
      <c r="AR491" s="34" t="n"/>
      <c r="AS491" s="34" t="n"/>
      <c r="AT491" s="34" t="n"/>
      <c r="AU491" s="34" t="n"/>
      <c r="AV491" s="34" t="n"/>
      <c r="AW491" s="34" t="n"/>
      <c r="AX491" s="34" t="n"/>
      <c r="AY491" s="34" t="n"/>
      <c r="AZ491" s="34" t="n"/>
      <c r="BA491" s="34" t="n"/>
      <c r="BB491" s="34" t="n"/>
      <c r="BC491" s="34" t="n"/>
      <c r="BD491" s="34" t="n"/>
      <c r="BE491" s="34" t="n"/>
      <c r="BF491" s="34" t="n"/>
      <c r="BG491" s="34" t="n"/>
      <c r="BH491" s="34" t="n"/>
      <c r="BI491" s="34" t="n"/>
      <c r="BJ491" s="34" t="n"/>
      <c r="BK491" s="34" t="n"/>
      <c r="BL491" s="34" t="n"/>
      <c r="BM491" s="34" t="n"/>
      <c r="BN491" s="34" t="n"/>
      <c r="BO491" s="34" t="n"/>
      <c r="BP491" s="34" t="n"/>
      <c r="BQ491" s="34" t="n"/>
      <c r="BR491" s="34" t="n"/>
      <c r="BS491" s="34" t="n"/>
      <c r="BT491" s="34" t="n"/>
      <c r="BU491" s="35" t="n"/>
      <c r="BV491" s="35" t="n"/>
      <c r="BW491" s="254">
        <f>BW482</f>
        <v>12314.8973737703</v>
      </c>
      <c r="BX491" s="254">
        <f>BX482</f>
        <v>12463.8538541831</v>
      </c>
      <c r="BY491" s="254">
        <f>BY482</f>
        <v>13456.824555287</v>
      </c>
      <c r="BZ491" s="254">
        <f>BZ482</f>
        <v>14428.2187626103</v>
      </c>
      <c r="CA491" s="254">
        <f>CA482</f>
        <v>15437.8294520171</v>
      </c>
      <c r="CB491" s="254">
        <f>CB482</f>
        <v>16469.0949720018</v>
      </c>
      <c r="CC491" s="19" t="n"/>
    </row>
    <row r="492" ht="15" customHeight="1" s="251">
      <c r="B492" s="25" t="inlineStr">
        <is>
          <t>Redeemable &amp; other noncontrolling interests (USDm)</t>
        </is>
      </c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4" t="n"/>
      <c r="S492" s="34" t="n"/>
      <c r="T492" s="34" t="n"/>
      <c r="U492" s="34" t="n"/>
      <c r="V492" s="34" t="n"/>
      <c r="W492" s="34" t="n"/>
      <c r="X492" s="34" t="n"/>
      <c r="Y492" s="34" t="n"/>
      <c r="Z492" s="34" t="n"/>
      <c r="AA492" s="34" t="n"/>
      <c r="AB492" s="34" t="n"/>
      <c r="AC492" s="34" t="n"/>
      <c r="AD492" s="34" t="n"/>
      <c r="AE492" s="34" t="n"/>
      <c r="AF492" s="34" t="n"/>
      <c r="AG492" s="34" t="n"/>
      <c r="AH492" s="34" t="n"/>
      <c r="AI492" s="34" t="n"/>
      <c r="AJ492" s="34" t="n"/>
      <c r="AK492" s="34" t="n"/>
      <c r="AL492" s="34" t="n"/>
      <c r="AM492" s="34" t="n"/>
      <c r="AN492" s="34" t="n"/>
      <c r="AO492" s="34" t="n"/>
      <c r="AP492" s="34" t="n"/>
      <c r="AQ492" s="34" t="n"/>
      <c r="AR492" s="34" t="n"/>
      <c r="AS492" s="34" t="n"/>
      <c r="AT492" s="34" t="n"/>
      <c r="AU492" s="34" t="n"/>
      <c r="AV492" s="34" t="n"/>
      <c r="AW492" s="34" t="n"/>
      <c r="AX492" s="34" t="n"/>
      <c r="AY492" s="34" t="n"/>
      <c r="AZ492" s="34" t="n"/>
      <c r="BA492" s="34" t="n"/>
      <c r="BB492" s="34" t="n"/>
      <c r="BC492" s="34" t="n"/>
      <c r="BD492" s="34" t="n"/>
      <c r="BE492" s="34" t="n"/>
      <c r="BF492" s="34" t="n"/>
      <c r="BG492" s="34" t="n"/>
      <c r="BH492" s="34" t="n"/>
      <c r="BI492" s="34" t="n"/>
      <c r="BJ492" s="34" t="n"/>
      <c r="BK492" s="34" t="n"/>
      <c r="BL492" s="34" t="n"/>
      <c r="BM492" s="34" t="n"/>
      <c r="BN492" s="34" t="n"/>
      <c r="BO492" s="34" t="n"/>
      <c r="BP492" s="34" t="n"/>
      <c r="BQ492" s="34" t="n"/>
      <c r="BR492" s="34" t="n"/>
      <c r="BS492" s="34" t="n"/>
      <c r="BT492" s="34" t="n"/>
      <c r="BU492" s="35" t="n"/>
      <c r="BV492" s="35" t="n"/>
      <c r="BW492" s="254">
        <f>BW387+BW389</f>
        <v>5139</v>
      </c>
      <c r="BX492" s="254">
        <f>BX387+BX389</f>
        <v>5139</v>
      </c>
      <c r="BY492" s="254">
        <f>BY387+BY389</f>
        <v>5139</v>
      </c>
      <c r="BZ492" s="254">
        <f>BZ387+BZ389</f>
        <v>5139</v>
      </c>
      <c r="CA492" s="254">
        <f>CA387+CA389</f>
        <v>5139</v>
      </c>
      <c r="CB492" s="254">
        <f>CB387+CB389</f>
        <v>5139</v>
      </c>
      <c r="CC492" s="19" t="n"/>
    </row>
    <row r="493" ht="15" customHeight="1" s="251">
      <c r="B493" s="16" t="inlineStr">
        <is>
          <t>Enterprise value (USDm)</t>
        </is>
      </c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43" t="n"/>
      <c r="M493" s="43" t="n"/>
      <c r="N493" s="43" t="n"/>
      <c r="O493" s="43" t="n"/>
      <c r="P493" s="43" t="n"/>
      <c r="Q493" s="43" t="n"/>
      <c r="R493" s="43" t="n"/>
      <c r="S493" s="43" t="n"/>
      <c r="T493" s="43" t="n"/>
      <c r="U493" s="43" t="n"/>
      <c r="V493" s="43" t="n"/>
      <c r="W493" s="43" t="n"/>
      <c r="X493" s="43" t="n"/>
      <c r="Y493" s="43" t="n"/>
      <c r="Z493" s="43" t="n"/>
      <c r="AA493" s="43" t="n"/>
      <c r="AB493" s="43" t="n"/>
      <c r="AC493" s="43" t="n"/>
      <c r="AD493" s="43" t="n"/>
      <c r="AE493" s="43" t="n"/>
      <c r="AF493" s="43" t="n"/>
      <c r="AG493" s="43" t="n"/>
      <c r="AH493" s="43" t="n"/>
      <c r="AI493" s="43" t="n"/>
      <c r="AJ493" s="43" t="n"/>
      <c r="AK493" s="43" t="n"/>
      <c r="AL493" s="43" t="n"/>
      <c r="AM493" s="43" t="n"/>
      <c r="AN493" s="43" t="n"/>
      <c r="AO493" s="43" t="n"/>
      <c r="AP493" s="43" t="n"/>
      <c r="AQ493" s="43" t="n"/>
      <c r="AR493" s="43" t="n"/>
      <c r="AS493" s="43" t="n"/>
      <c r="AT493" s="43" t="n"/>
      <c r="AU493" s="43" t="n"/>
      <c r="AV493" s="43" t="n"/>
      <c r="AW493" s="43" t="n"/>
      <c r="AX493" s="43" t="n"/>
      <c r="AY493" s="43" t="n"/>
      <c r="AZ493" s="43" t="n"/>
      <c r="BA493" s="43" t="n"/>
      <c r="BB493" s="43" t="n"/>
      <c r="BC493" s="43" t="n"/>
      <c r="BD493" s="43" t="n"/>
      <c r="BE493" s="43" t="n"/>
      <c r="BF493" s="43" t="n"/>
      <c r="BG493" s="43" t="n"/>
      <c r="BH493" s="43" t="n"/>
      <c r="BI493" s="43" t="n"/>
      <c r="BJ493" s="43" t="n"/>
      <c r="BK493" s="43" t="n"/>
      <c r="BL493" s="43" t="n"/>
      <c r="BM493" s="43" t="n"/>
      <c r="BN493" s="43" t="n"/>
      <c r="BO493" s="43" t="n"/>
      <c r="BP493" s="43" t="n"/>
      <c r="BQ493" s="43" t="n"/>
      <c r="BR493" s="43" t="n"/>
      <c r="BS493" s="43" t="n"/>
      <c r="BT493" s="43" t="n"/>
      <c r="BU493" s="32" t="n"/>
      <c r="BV493" s="32" t="n"/>
      <c r="BW493" s="261">
        <f>IFERROR(BW490+BW491+BW492,"n/a")</f>
        <v>134294.89737377</v>
      </c>
      <c r="BX493" s="261">
        <f>IFERROR(BX490+BX491+BX492,"n/a")</f>
        <v>130915.115992565</v>
      </c>
      <c r="BY493" s="261">
        <f>IFERROR(BY490+BY491+BY492,"n/a")</f>
        <v>127451.548975244</v>
      </c>
      <c r="BZ493" s="261">
        <f>IFERROR(BZ490+BZ491+BZ492,"n/a")</f>
        <v>124021.723048293</v>
      </c>
      <c r="CA493" s="261">
        <f>IFERROR(CA490+CA491+CA492,"n/a")</f>
        <v>120640.755880345</v>
      </c>
      <c r="CB493" s="261">
        <f>IFERROR(CB490+CB491+CB492,"n/a")</f>
        <v>117307.919558261</v>
      </c>
      <c r="CC493" s="153" t="n"/>
    </row>
    <row r="494" ht="15" customHeight="1" s="251">
      <c r="B494" s="25" t="inlineStr">
        <is>
          <t>Multiples</t>
        </is>
      </c>
      <c r="CC494" s="153" t="n"/>
    </row>
    <row r="495" ht="15" customHeight="1" s="251">
      <c r="B495" s="25" t="inlineStr">
        <is>
          <t xml:space="preserve">  EV / Revenue</t>
        </is>
      </c>
      <c r="C495" s="34" t="n"/>
      <c r="D495" s="34" t="n"/>
      <c r="E495" s="34" t="n"/>
      <c r="F495" s="34" t="n"/>
      <c r="G495" s="34" t="n"/>
      <c r="H495" s="34" t="n"/>
      <c r="I495" s="34" t="n"/>
      <c r="J495" s="34" t="n"/>
      <c r="K495" s="34" t="n"/>
      <c r="L495" s="34" t="n"/>
      <c r="M495" s="34" t="n"/>
      <c r="N495" s="34" t="n"/>
      <c r="O495" s="34" t="n"/>
      <c r="P495" s="34" t="n"/>
      <c r="Q495" s="34" t="n"/>
      <c r="R495" s="34" t="n"/>
      <c r="S495" s="34" t="n"/>
      <c r="T495" s="34" t="n"/>
      <c r="U495" s="34" t="n"/>
      <c r="V495" s="34" t="n"/>
      <c r="W495" s="34" t="n"/>
      <c r="X495" s="34" t="n"/>
      <c r="Y495" s="34" t="n"/>
      <c r="Z495" s="34" t="n"/>
      <c r="AA495" s="34" t="n"/>
      <c r="AB495" s="34" t="n"/>
      <c r="AC495" s="34" t="n"/>
      <c r="AD495" s="34" t="n"/>
      <c r="AE495" s="34" t="n"/>
      <c r="AF495" s="34" t="n"/>
      <c r="AG495" s="34" t="n"/>
      <c r="AH495" s="34" t="n"/>
      <c r="AI495" s="34" t="n"/>
      <c r="AJ495" s="34" t="n"/>
      <c r="AK495" s="34" t="n"/>
      <c r="AL495" s="34" t="n"/>
      <c r="AM495" s="34" t="n"/>
      <c r="AN495" s="34" t="n"/>
      <c r="AO495" s="34" t="n"/>
      <c r="AP495" s="34" t="n"/>
      <c r="AQ495" s="34" t="n"/>
      <c r="AR495" s="34" t="n"/>
      <c r="AS495" s="34" t="n"/>
      <c r="AT495" s="34" t="n"/>
      <c r="AU495" s="34" t="n"/>
      <c r="AV495" s="34" t="n"/>
      <c r="AW495" s="34" t="n"/>
      <c r="AX495" s="34" t="n"/>
      <c r="AY495" s="34" t="n"/>
      <c r="AZ495" s="34" t="n"/>
      <c r="BA495" s="34" t="n"/>
      <c r="BB495" s="34" t="n"/>
      <c r="BC495" s="34" t="n"/>
      <c r="BD495" s="34" t="n"/>
      <c r="BE495" s="34" t="n"/>
      <c r="BF495" s="34" t="n"/>
      <c r="BG495" s="34" t="n"/>
      <c r="BH495" s="34" t="n"/>
      <c r="BI495" s="34" t="n"/>
      <c r="BJ495" s="34" t="n"/>
      <c r="BK495" s="34" t="n"/>
      <c r="BL495" s="34" t="n"/>
      <c r="BM495" s="34" t="n"/>
      <c r="BN495" s="34" t="n"/>
      <c r="BO495" s="34" t="n"/>
      <c r="BP495" s="34" t="n"/>
      <c r="BQ495" s="34" t="n"/>
      <c r="BR495" s="34" t="n"/>
      <c r="BS495" s="34" t="n"/>
      <c r="BT495" s="34" t="n"/>
      <c r="BU495" s="35" t="n"/>
      <c r="BV495" s="35" t="n"/>
      <c r="BW495" s="295">
        <f>IFERROR(BW493/BW187,"n/a")</f>
        <v>9.24473161922087</v>
      </c>
      <c r="BX495" s="295">
        <f>IFERROR(BX493/BX187,"n/a")</f>
        <v>8.48654173070742</v>
      </c>
      <c r="BY495" s="295">
        <f>IFERROR(BY493/BY187,"n/a")</f>
        <v>7.71648737055291</v>
      </c>
      <c r="BZ495" s="295">
        <f>IFERROR(BZ493/BZ187,"n/a")</f>
        <v>7.02639094701554</v>
      </c>
      <c r="CA495" s="295">
        <f>IFERROR(CA493/CA187,"n/a")</f>
        <v>6.41388563288697</v>
      </c>
      <c r="CB495" s="295">
        <f>IFERROR(CB493/CB187,"n/a")</f>
        <v>5.85310374142058</v>
      </c>
      <c r="CC495" s="19" t="n"/>
    </row>
    <row r="496" ht="15" customHeight="1" s="251">
      <c r="B496" s="25" t="inlineStr">
        <is>
          <t xml:space="preserve">  EV / Adjusted EBITDA</t>
        </is>
      </c>
      <c r="C496" s="34" t="n"/>
      <c r="D496" s="34" t="n"/>
      <c r="E496" s="34" t="n"/>
      <c r="F496" s="34" t="n"/>
      <c r="G496" s="34" t="n"/>
      <c r="H496" s="34" t="n"/>
      <c r="I496" s="34" t="n"/>
      <c r="J496" s="34" t="n"/>
      <c r="K496" s="34" t="n"/>
      <c r="L496" s="34" t="n"/>
      <c r="M496" s="34" t="n"/>
      <c r="N496" s="34" t="n"/>
      <c r="O496" s="34" t="n"/>
      <c r="P496" s="34" t="n"/>
      <c r="Q496" s="34" t="n"/>
      <c r="R496" s="34" t="n"/>
      <c r="S496" s="34" t="n"/>
      <c r="T496" s="34" t="n"/>
      <c r="U496" s="34" t="n"/>
      <c r="V496" s="34" t="n"/>
      <c r="W496" s="34" t="n"/>
      <c r="X496" s="34" t="n"/>
      <c r="Y496" s="34" t="n"/>
      <c r="Z496" s="34" t="n"/>
      <c r="AA496" s="34" t="n"/>
      <c r="AB496" s="34" t="n"/>
      <c r="AC496" s="34" t="n"/>
      <c r="AD496" s="34" t="n"/>
      <c r="AE496" s="34" t="n"/>
      <c r="AF496" s="34" t="n"/>
      <c r="AG496" s="34" t="n"/>
      <c r="AH496" s="34" t="n"/>
      <c r="AI496" s="34" t="n"/>
      <c r="AJ496" s="34" t="n"/>
      <c r="AK496" s="34" t="n"/>
      <c r="AL496" s="34" t="n"/>
      <c r="AM496" s="34" t="n"/>
      <c r="AN496" s="34" t="n"/>
      <c r="AO496" s="34" t="n"/>
      <c r="AP496" s="34" t="n"/>
      <c r="AQ496" s="34" t="n"/>
      <c r="AR496" s="34" t="n"/>
      <c r="AS496" s="34" t="n"/>
      <c r="AT496" s="34" t="n"/>
      <c r="AU496" s="34" t="n"/>
      <c r="AV496" s="34" t="n"/>
      <c r="AW496" s="34" t="n"/>
      <c r="AX496" s="34" t="n"/>
      <c r="AY496" s="34" t="n"/>
      <c r="AZ496" s="34" t="n"/>
      <c r="BA496" s="34" t="n"/>
      <c r="BB496" s="34" t="n"/>
      <c r="BC496" s="34" t="n"/>
      <c r="BD496" s="34" t="n"/>
      <c r="BE496" s="34" t="n"/>
      <c r="BF496" s="34" t="n"/>
      <c r="BG496" s="34" t="n"/>
      <c r="BH496" s="34" t="n"/>
      <c r="BI496" s="34" t="n"/>
      <c r="BJ496" s="34" t="n"/>
      <c r="BK496" s="34" t="n"/>
      <c r="BL496" s="34" t="n"/>
      <c r="BM496" s="34" t="n"/>
      <c r="BN496" s="34" t="n"/>
      <c r="BO496" s="34" t="n"/>
      <c r="BP496" s="34" t="n"/>
      <c r="BQ496" s="34" t="n"/>
      <c r="BR496" s="34" t="n"/>
      <c r="BS496" s="34" t="n"/>
      <c r="BT496" s="34" t="n"/>
      <c r="BU496" s="35" t="n"/>
      <c r="BV496" s="35" t="n"/>
      <c r="BW496" s="295">
        <f>IFERROR(BW493/BW256,"n/a")</f>
        <v>17.5818189044433</v>
      </c>
      <c r="BX496" s="295">
        <f>IFERROR(BX493/BX256,"n/a")</f>
        <v>15.7553736016362</v>
      </c>
      <c r="BY496" s="295">
        <f>IFERROR(BY493/BY256,"n/a")</f>
        <v>14.2067188791397</v>
      </c>
      <c r="BZ496" s="295">
        <f>IFERROR(BZ493/BZ256,"n/a")</f>
        <v>12.8936625950342</v>
      </c>
      <c r="CA496" s="295">
        <f>IFERROR(CA493/CA256,"n/a")</f>
        <v>11.7219285510939</v>
      </c>
      <c r="CB496" s="295">
        <f>IFERROR(CB493/CB256,"n/a")</f>
        <v>10.6843684875541</v>
      </c>
      <c r="CC496" s="19" t="n"/>
    </row>
    <row r="497" ht="15" customHeight="1" s="251">
      <c r="B497" s="25" t="inlineStr">
        <is>
          <t xml:space="preserve">  EV / Adjusted OP</t>
        </is>
      </c>
      <c r="C497" s="34" t="n"/>
      <c r="D497" s="34" t="n"/>
      <c r="E497" s="34" t="n"/>
      <c r="F497" s="34" t="n"/>
      <c r="G497" s="34" t="n"/>
      <c r="H497" s="34" t="n"/>
      <c r="I497" s="34" t="n"/>
      <c r="J497" s="34" t="n"/>
      <c r="K497" s="34" t="n"/>
      <c r="L497" s="34" t="n"/>
      <c r="M497" s="34" t="n"/>
      <c r="N497" s="34" t="n"/>
      <c r="O497" s="34" t="n"/>
      <c r="P497" s="34" t="n"/>
      <c r="Q497" s="34" t="n"/>
      <c r="R497" s="34" t="n"/>
      <c r="S497" s="34" t="n"/>
      <c r="T497" s="34" t="n"/>
      <c r="U497" s="34" t="n"/>
      <c r="V497" s="34" t="n"/>
      <c r="W497" s="34" t="n"/>
      <c r="X497" s="34" t="n"/>
      <c r="Y497" s="34" t="n"/>
      <c r="Z497" s="34" t="n"/>
      <c r="AA497" s="34" t="n"/>
      <c r="AB497" s="34" t="n"/>
      <c r="AC497" s="34" t="n"/>
      <c r="AD497" s="34" t="n"/>
      <c r="AE497" s="34" t="n"/>
      <c r="AF497" s="34" t="n"/>
      <c r="AG497" s="34" t="n"/>
      <c r="AH497" s="34" t="n"/>
      <c r="AI497" s="34" t="n"/>
      <c r="AJ497" s="34" t="n"/>
      <c r="AK497" s="34" t="n"/>
      <c r="AL497" s="34" t="n"/>
      <c r="AM497" s="34" t="n"/>
      <c r="AN497" s="34" t="n"/>
      <c r="AO497" s="34" t="n"/>
      <c r="AP497" s="34" t="n"/>
      <c r="AQ497" s="34" t="n"/>
      <c r="AR497" s="34" t="n"/>
      <c r="AS497" s="34" t="n"/>
      <c r="AT497" s="34" t="n"/>
      <c r="AU497" s="34" t="n"/>
      <c r="AV497" s="34" t="n"/>
      <c r="AW497" s="34" t="n"/>
      <c r="AX497" s="34" t="n"/>
      <c r="AY497" s="34" t="n"/>
      <c r="AZ497" s="34" t="n"/>
      <c r="BA497" s="34" t="n"/>
      <c r="BB497" s="34" t="n"/>
      <c r="BC497" s="34" t="n"/>
      <c r="BD497" s="34" t="n"/>
      <c r="BE497" s="34" t="n"/>
      <c r="BF497" s="34" t="n"/>
      <c r="BG497" s="34" t="n"/>
      <c r="BH497" s="34" t="n"/>
      <c r="BI497" s="34" t="n"/>
      <c r="BJ497" s="34" t="n"/>
      <c r="BK497" s="34" t="n"/>
      <c r="BL497" s="34" t="n"/>
      <c r="BM497" s="34" t="n"/>
      <c r="BN497" s="34" t="n"/>
      <c r="BO497" s="34" t="n"/>
      <c r="BP497" s="34" t="n"/>
      <c r="BQ497" s="34" t="n"/>
      <c r="BR497" s="34" t="n"/>
      <c r="BS497" s="34" t="n"/>
      <c r="BT497" s="34" t="n"/>
      <c r="BU497" s="35" t="n"/>
      <c r="BV497" s="35" t="n"/>
      <c r="BW497" s="295">
        <f>IFERROR(BW493/BW237,"n/a")</f>
        <v>17.8482001028744</v>
      </c>
      <c r="BX497" s="295">
        <f>IFERROR(BX493/BX237,"n/a")</f>
        <v>15.9929018209356</v>
      </c>
      <c r="BY497" s="295">
        <f>IFERROR(BY493/BY237,"n/a")</f>
        <v>14.4190932347144</v>
      </c>
      <c r="BZ497" s="295">
        <f>IFERROR(BZ493/BZ237,"n/a")</f>
        <v>13.0857651315152</v>
      </c>
      <c r="CA497" s="295">
        <f>IFERROR(CA493/CA237,"n/a")</f>
        <v>11.8958541372137</v>
      </c>
      <c r="CB497" s="295">
        <f>IFERROR(CB493/CB237,"n/a")</f>
        <v>10.8427084002837</v>
      </c>
      <c r="CC497" s="19" t="n"/>
    </row>
    <row r="498" ht="15" customHeight="1" s="251">
      <c r="B498" s="25" t="inlineStr">
        <is>
          <t xml:space="preserve">  EV / IC</t>
        </is>
      </c>
      <c r="C498" s="34" t="n"/>
      <c r="D498" s="34" t="n"/>
      <c r="E498" s="34" t="n"/>
      <c r="F498" s="34" t="n"/>
      <c r="G498" s="34" t="n"/>
      <c r="H498" s="34" t="n"/>
      <c r="I498" s="34" t="n"/>
      <c r="J498" s="34" t="n"/>
      <c r="K498" s="34" t="n"/>
      <c r="L498" s="34" t="n"/>
      <c r="M498" s="34" t="n"/>
      <c r="N498" s="34" t="n"/>
      <c r="O498" s="34" t="n"/>
      <c r="P498" s="34" t="n"/>
      <c r="Q498" s="34" t="n"/>
      <c r="R498" s="34" t="n"/>
      <c r="S498" s="34" t="n"/>
      <c r="T498" s="34" t="n"/>
      <c r="U498" s="34" t="n"/>
      <c r="V498" s="34" t="n"/>
      <c r="W498" s="34" t="n"/>
      <c r="X498" s="34" t="n"/>
      <c r="Y498" s="34" t="n"/>
      <c r="Z498" s="34" t="n"/>
      <c r="AA498" s="34" t="n"/>
      <c r="AB498" s="34" t="n"/>
      <c r="AC498" s="34" t="n"/>
      <c r="AD498" s="34" t="n"/>
      <c r="AE498" s="34" t="n"/>
      <c r="AF498" s="34" t="n"/>
      <c r="AG498" s="34" t="n"/>
      <c r="AH498" s="34" t="n"/>
      <c r="AI498" s="34" t="n"/>
      <c r="AJ498" s="34" t="n"/>
      <c r="AK498" s="34" t="n"/>
      <c r="AL498" s="34" t="n"/>
      <c r="AM498" s="34" t="n"/>
      <c r="AN498" s="34" t="n"/>
      <c r="AO498" s="34" t="n"/>
      <c r="AP498" s="34" t="n"/>
      <c r="AQ498" s="34" t="n"/>
      <c r="AR498" s="34" t="n"/>
      <c r="AS498" s="34" t="n"/>
      <c r="AT498" s="34" t="n"/>
      <c r="AU498" s="34" t="n"/>
      <c r="AV498" s="34" t="n"/>
      <c r="AW498" s="34" t="n"/>
      <c r="AX498" s="34" t="n"/>
      <c r="AY498" s="34" t="n"/>
      <c r="AZ498" s="34" t="n"/>
      <c r="BA498" s="34" t="n"/>
      <c r="BB498" s="34" t="n"/>
      <c r="BC498" s="34" t="n"/>
      <c r="BD498" s="34" t="n"/>
      <c r="BE498" s="34" t="n"/>
      <c r="BF498" s="34" t="n"/>
      <c r="BG498" s="34" t="n"/>
      <c r="BH498" s="34" t="n"/>
      <c r="BI498" s="34" t="n"/>
      <c r="BJ498" s="34" t="n"/>
      <c r="BK498" s="34" t="n"/>
      <c r="BL498" s="34" t="n"/>
      <c r="BM498" s="34" t="n"/>
      <c r="BN498" s="34" t="n"/>
      <c r="BO498" s="34" t="n"/>
      <c r="BP498" s="34" t="n"/>
      <c r="BQ498" s="34" t="n"/>
      <c r="BR498" s="34" t="n"/>
      <c r="BS498" s="34" t="n"/>
      <c r="BT498" s="34" t="n"/>
      <c r="BU498" s="35" t="n"/>
      <c r="BV498" s="35" t="n"/>
      <c r="BW498" s="295">
        <f>IFERROR(BW493/BW462,"n/a")</f>
        <v>3.81411957549531</v>
      </c>
      <c r="BX498" s="295">
        <f>IFERROR(BX493/BX462,"n/a")</f>
        <v>3.74488414877763</v>
      </c>
      <c r="BY498" s="295">
        <f>IFERROR(BY493/BY462,"n/a")</f>
        <v>3.67597859573119</v>
      </c>
      <c r="BZ498" s="295">
        <f>IFERROR(BZ493/BZ462,"n/a")</f>
        <v>3.60583963234121</v>
      </c>
      <c r="CA498" s="295">
        <f>IFERROR(CA493/CA462,"n/a")</f>
        <v>3.53442860010848</v>
      </c>
      <c r="CB498" s="295">
        <f>IFERROR(CB493/CB462,"n/a")</f>
        <v>3.46313318731462</v>
      </c>
      <c r="CC498" s="19" t="n"/>
    </row>
    <row r="499" ht="15" customHeight="1" s="251">
      <c r="B499" s="25" t="inlineStr">
        <is>
          <t xml:space="preserve">  P / E (GAAP diluted, continuing)</t>
        </is>
      </c>
      <c r="C499" s="34" t="n"/>
      <c r="D499" s="34" t="n"/>
      <c r="E499" s="34" t="n"/>
      <c r="F499" s="34" t="n"/>
      <c r="G499" s="34" t="n"/>
      <c r="H499" s="34" t="n"/>
      <c r="I499" s="34" t="n"/>
      <c r="J499" s="34" t="n"/>
      <c r="K499" s="34" t="n"/>
      <c r="L499" s="34" t="n"/>
      <c r="M499" s="34" t="n"/>
      <c r="N499" s="34" t="n"/>
      <c r="O499" s="34" t="n"/>
      <c r="P499" s="34" t="n"/>
      <c r="Q499" s="34" t="n"/>
      <c r="R499" s="34" t="n"/>
      <c r="S499" s="34" t="n"/>
      <c r="T499" s="34" t="n"/>
      <c r="U499" s="34" t="n"/>
      <c r="V499" s="34" t="n"/>
      <c r="W499" s="34" t="n"/>
      <c r="X499" s="34" t="n"/>
      <c r="Y499" s="34" t="n"/>
      <c r="Z499" s="34" t="n"/>
      <c r="AA499" s="34" t="n"/>
      <c r="AB499" s="34" t="n"/>
      <c r="AC499" s="34" t="n"/>
      <c r="AD499" s="34" t="n"/>
      <c r="AE499" s="34" t="n"/>
      <c r="AF499" s="34" t="n"/>
      <c r="AG499" s="34" t="n"/>
      <c r="AH499" s="34" t="n"/>
      <c r="AI499" s="34" t="n"/>
      <c r="AJ499" s="34" t="n"/>
      <c r="AK499" s="34" t="n"/>
      <c r="AL499" s="34" t="n"/>
      <c r="AM499" s="34" t="n"/>
      <c r="AN499" s="34" t="n"/>
      <c r="AO499" s="34" t="n"/>
      <c r="AP499" s="34" t="n"/>
      <c r="AQ499" s="34" t="n"/>
      <c r="AR499" s="34" t="n"/>
      <c r="AS499" s="34" t="n"/>
      <c r="AT499" s="34" t="n"/>
      <c r="AU499" s="34" t="n"/>
      <c r="AV499" s="34" t="n"/>
      <c r="AW499" s="34" t="n"/>
      <c r="AX499" s="34" t="n"/>
      <c r="AY499" s="34" t="n"/>
      <c r="AZ499" s="34" t="n"/>
      <c r="BA499" s="34" t="n"/>
      <c r="BB499" s="34" t="n"/>
      <c r="BC499" s="34" t="n"/>
      <c r="BD499" s="34" t="n"/>
      <c r="BE499" s="34" t="n"/>
      <c r="BF499" s="34" t="n"/>
      <c r="BG499" s="34" t="n"/>
      <c r="BH499" s="34" t="n"/>
      <c r="BI499" s="34" t="n"/>
      <c r="BJ499" s="34" t="n"/>
      <c r="BK499" s="34" t="n"/>
      <c r="BL499" s="34" t="n"/>
      <c r="BM499" s="34" t="n"/>
      <c r="BN499" s="34" t="n"/>
      <c r="BO499" s="34" t="n"/>
      <c r="BP499" s="34" t="n"/>
      <c r="BQ499" s="34" t="n"/>
      <c r="BR499" s="34" t="n"/>
      <c r="BS499" s="34" t="n"/>
      <c r="BT499" s="34" t="n"/>
      <c r="BU499" s="35" t="n"/>
      <c r="BV499" s="35" t="n"/>
      <c r="BW499" s="295">
        <f>IFERROR(BW488/BW218,"n/a")</f>
        <v>25.2513001610174</v>
      </c>
      <c r="BX499" s="295">
        <f>IFERROR(BX488/BX218,"n/a")</f>
        <v>23.4462865029639</v>
      </c>
      <c r="BY499" s="295">
        <f>IFERROR(BY488/BY218,"n/a")</f>
        <v>20.6830720583285</v>
      </c>
      <c r="BZ499" s="295">
        <f>IFERROR(BZ488/BZ218,"n/a")</f>
        <v>18.4400644806772</v>
      </c>
      <c r="CA499" s="295">
        <f>IFERROR(CA488/CA218,"n/a")</f>
        <v>16.4229914398635</v>
      </c>
      <c r="CB499" s="295">
        <f>IFERROR(CB488/CB218,"n/a")</f>
        <v>14.6460861658046</v>
      </c>
      <c r="CC499" s="19" t="n"/>
    </row>
    <row r="500" ht="15" customHeight="1" s="251">
      <c r="B500" s="25" t="inlineStr">
        <is>
          <t xml:space="preserve">  P / E (adjusted EPS)</t>
        </is>
      </c>
      <c r="C500" s="34" t="n"/>
      <c r="D500" s="34" t="n"/>
      <c r="E500" s="34" t="n"/>
      <c r="F500" s="34" t="n"/>
      <c r="G500" s="34" t="n"/>
      <c r="H500" s="34" t="n"/>
      <c r="I500" s="34" t="n"/>
      <c r="J500" s="34" t="n"/>
      <c r="K500" s="34" t="n"/>
      <c r="L500" s="34" t="n"/>
      <c r="M500" s="34" t="n"/>
      <c r="N500" s="34" t="n"/>
      <c r="O500" s="34" t="n"/>
      <c r="P500" s="34" t="n"/>
      <c r="Q500" s="34" t="n"/>
      <c r="R500" s="34" t="n"/>
      <c r="S500" s="34" t="n"/>
      <c r="T500" s="34" t="n"/>
      <c r="U500" s="34" t="n"/>
      <c r="V500" s="34" t="n"/>
      <c r="W500" s="34" t="n"/>
      <c r="X500" s="34" t="n"/>
      <c r="Y500" s="34" t="n"/>
      <c r="Z500" s="34" t="n"/>
      <c r="AA500" s="34" t="n"/>
      <c r="AB500" s="34" t="n"/>
      <c r="AC500" s="34" t="n"/>
      <c r="AD500" s="34" t="n"/>
      <c r="AE500" s="34" t="n"/>
      <c r="AF500" s="34" t="n"/>
      <c r="AG500" s="34" t="n"/>
      <c r="AH500" s="34" t="n"/>
      <c r="AI500" s="34" t="n"/>
      <c r="AJ500" s="34" t="n"/>
      <c r="AK500" s="34" t="n"/>
      <c r="AL500" s="34" t="n"/>
      <c r="AM500" s="34" t="n"/>
      <c r="AN500" s="34" t="n"/>
      <c r="AO500" s="34" t="n"/>
      <c r="AP500" s="34" t="n"/>
      <c r="AQ500" s="34" t="n"/>
      <c r="AR500" s="34" t="n"/>
      <c r="AS500" s="34" t="n"/>
      <c r="AT500" s="34" t="n"/>
      <c r="AU500" s="34" t="n"/>
      <c r="AV500" s="34" t="n"/>
      <c r="AW500" s="34" t="n"/>
      <c r="AX500" s="34" t="n"/>
      <c r="AY500" s="34" t="n"/>
      <c r="AZ500" s="34" t="n"/>
      <c r="BA500" s="34" t="n"/>
      <c r="BB500" s="34" t="n"/>
      <c r="BC500" s="34" t="n"/>
      <c r="BD500" s="34" t="n"/>
      <c r="BE500" s="34" t="n"/>
      <c r="BF500" s="34" t="n"/>
      <c r="BG500" s="34" t="n"/>
      <c r="BH500" s="34" t="n"/>
      <c r="BI500" s="34" t="n"/>
      <c r="BJ500" s="34" t="n"/>
      <c r="BK500" s="34" t="n"/>
      <c r="BL500" s="34" t="n"/>
      <c r="BM500" s="34" t="n"/>
      <c r="BN500" s="34" t="n"/>
      <c r="BO500" s="34" t="n"/>
      <c r="BP500" s="34" t="n"/>
      <c r="BQ500" s="34" t="n"/>
      <c r="BR500" s="34" t="n"/>
      <c r="BS500" s="34" t="n"/>
      <c r="BT500" s="34" t="n"/>
      <c r="BU500" s="35" t="n"/>
      <c r="BV500" s="35" t="n"/>
      <c r="BW500" s="295">
        <f>IFERROR(BW488/BW274,"n/a")</f>
        <v>23.5460992907802</v>
      </c>
      <c r="BX500" s="295">
        <f>IFERROR(BX488/BX274,"n/a")</f>
        <v>20.7511207791299</v>
      </c>
      <c r="BY500" s="295">
        <f>IFERROR(BY488/BY274,"n/a")</f>
        <v>18.503032542728</v>
      </c>
      <c r="BZ500" s="295">
        <f>IFERROR(BZ488/BZ274,"n/a")</f>
        <v>16.6503995687097</v>
      </c>
      <c r="CA500" s="295">
        <f>IFERROR(CA488/CA274,"n/a")</f>
        <v>14.9563883420834</v>
      </c>
      <c r="CB500" s="295">
        <f>IFERROR(CB488/CB274,"n/a")</f>
        <v>13.4390736811517</v>
      </c>
      <c r="CC500" s="19" t="n"/>
    </row>
    <row r="501" ht="15" customHeight="1" s="251">
      <c r="B501" s="25" t="inlineStr">
        <is>
          <t xml:space="preserve">  FCF yield</t>
        </is>
      </c>
      <c r="C501" s="34" t="n"/>
      <c r="D501" s="34" t="n"/>
      <c r="E501" s="34" t="n"/>
      <c r="F501" s="34" t="n"/>
      <c r="G501" s="34" t="n"/>
      <c r="H501" s="34" t="n"/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  <c r="S501" s="34" t="n"/>
      <c r="T501" s="34" t="n"/>
      <c r="U501" s="34" t="n"/>
      <c r="V501" s="34" t="n"/>
      <c r="W501" s="34" t="n"/>
      <c r="X501" s="34" t="n"/>
      <c r="Y501" s="34" t="n"/>
      <c r="Z501" s="34" t="n"/>
      <c r="AA501" s="34" t="n"/>
      <c r="AB501" s="34" t="n"/>
      <c r="AC501" s="34" t="n"/>
      <c r="AD501" s="34" t="n"/>
      <c r="AE501" s="34" t="n"/>
      <c r="AF501" s="34" t="n"/>
      <c r="AG501" s="34" t="n"/>
      <c r="AH501" s="34" t="n"/>
      <c r="AI501" s="34" t="n"/>
      <c r="AJ501" s="34" t="n"/>
      <c r="AK501" s="34" t="n"/>
      <c r="AL501" s="34" t="n"/>
      <c r="AM501" s="34" t="n"/>
      <c r="AN501" s="34" t="n"/>
      <c r="AO501" s="34" t="n"/>
      <c r="AP501" s="34" t="n"/>
      <c r="AQ501" s="34" t="n"/>
      <c r="AR501" s="34" t="n"/>
      <c r="AS501" s="34" t="n"/>
      <c r="AT501" s="34" t="n"/>
      <c r="AU501" s="34" t="n"/>
      <c r="AV501" s="34" t="n"/>
      <c r="AW501" s="34" t="n"/>
      <c r="AX501" s="34" t="n"/>
      <c r="AY501" s="34" t="n"/>
      <c r="AZ501" s="34" t="n"/>
      <c r="BA501" s="34" t="n"/>
      <c r="BB501" s="34" t="n"/>
      <c r="BC501" s="34" t="n"/>
      <c r="BD501" s="34" t="n"/>
      <c r="BE501" s="34" t="n"/>
      <c r="BF501" s="34" t="n"/>
      <c r="BG501" s="34" t="n"/>
      <c r="BH501" s="34" t="n"/>
      <c r="BI501" s="34" t="n"/>
      <c r="BJ501" s="34" t="n"/>
      <c r="BK501" s="34" t="n"/>
      <c r="BL501" s="34" t="n"/>
      <c r="BM501" s="34" t="n"/>
      <c r="BN501" s="34" t="n"/>
      <c r="BO501" s="34" t="n"/>
      <c r="BP501" s="34" t="n"/>
      <c r="BQ501" s="34" t="n"/>
      <c r="BR501" s="34" t="n"/>
      <c r="BS501" s="34" t="n"/>
      <c r="BT501" s="34" t="n"/>
      <c r="BU501" s="35" t="n"/>
      <c r="BV501" s="35" t="n"/>
      <c r="BW501" s="256">
        <f>IFERROR(BW339/BW490,"n/a")</f>
        <v>0.0443595538058532</v>
      </c>
      <c r="BX501" s="256">
        <f>IFERROR(BX339/BX490,"n/a")</f>
        <v>0.051596583739922</v>
      </c>
      <c r="BY501" s="256">
        <f>IFERROR(BY339/BY490,"n/a")</f>
        <v>0.0583882717299891</v>
      </c>
      <c r="BZ501" s="256">
        <f>IFERROR(BZ339/BZ490,"n/a")</f>
        <v>0.0648365013916138</v>
      </c>
      <c r="CA501" s="256">
        <f>IFERROR(CA339/CA490,"n/a")</f>
        <v>0.0720934862976273</v>
      </c>
      <c r="CB501" s="256">
        <f>IFERROR(CB339/CB490,"n/a")</f>
        <v>0.0802856913921004</v>
      </c>
      <c r="CC501" s="19" t="n"/>
    </row>
    <row r="502" ht="15" customHeight="1" s="251">
      <c r="B502" s="25" t="inlineStr">
        <is>
          <t xml:space="preserve">  Dividend yield</t>
        </is>
      </c>
      <c r="C502" s="34" t="n"/>
      <c r="D502" s="34" t="n"/>
      <c r="E502" s="34" t="n"/>
      <c r="F502" s="34" t="n"/>
      <c r="G502" s="34" t="n"/>
      <c r="H502" s="34" t="n"/>
      <c r="I502" s="34" t="n"/>
      <c r="J502" s="34" t="n"/>
      <c r="K502" s="34" t="n"/>
      <c r="L502" s="34" t="n"/>
      <c r="M502" s="34" t="n"/>
      <c r="N502" s="34" t="n"/>
      <c r="O502" s="34" t="n"/>
      <c r="P502" s="34" t="n"/>
      <c r="Q502" s="34" t="n"/>
      <c r="R502" s="34" t="n"/>
      <c r="S502" s="34" t="n"/>
      <c r="T502" s="34" t="n"/>
      <c r="U502" s="34" t="n"/>
      <c r="V502" s="34" t="n"/>
      <c r="W502" s="34" t="n"/>
      <c r="X502" s="34" t="n"/>
      <c r="Y502" s="34" t="n"/>
      <c r="Z502" s="34" t="n"/>
      <c r="AA502" s="34" t="n"/>
      <c r="AB502" s="34" t="n"/>
      <c r="AC502" s="34" t="n"/>
      <c r="AD502" s="34" t="n"/>
      <c r="AE502" s="34" t="n"/>
      <c r="AF502" s="34" t="n"/>
      <c r="AG502" s="34" t="n"/>
      <c r="AH502" s="34" t="n"/>
      <c r="AI502" s="34" t="n"/>
      <c r="AJ502" s="34" t="n"/>
      <c r="AK502" s="34" t="n"/>
      <c r="AL502" s="34" t="n"/>
      <c r="AM502" s="34" t="n"/>
      <c r="AN502" s="34" t="n"/>
      <c r="AO502" s="34" t="n"/>
      <c r="AP502" s="34" t="n"/>
      <c r="AQ502" s="34" t="n"/>
      <c r="AR502" s="34" t="n"/>
      <c r="AS502" s="34" t="n"/>
      <c r="AT502" s="34" t="n"/>
      <c r="AU502" s="34" t="n"/>
      <c r="AV502" s="34" t="n"/>
      <c r="AW502" s="34" t="n"/>
      <c r="AX502" s="34" t="n"/>
      <c r="AY502" s="34" t="n"/>
      <c r="AZ502" s="34" t="n"/>
      <c r="BA502" s="34" t="n"/>
      <c r="BB502" s="34" t="n"/>
      <c r="BC502" s="34" t="n"/>
      <c r="BD502" s="34" t="n"/>
      <c r="BE502" s="34" t="n"/>
      <c r="BF502" s="34" t="n"/>
      <c r="BG502" s="34" t="n"/>
      <c r="BH502" s="34" t="n"/>
      <c r="BI502" s="34" t="n"/>
      <c r="BJ502" s="34" t="n"/>
      <c r="BK502" s="34" t="n"/>
      <c r="BL502" s="34" t="n"/>
      <c r="BM502" s="34" t="n"/>
      <c r="BN502" s="34" t="n"/>
      <c r="BO502" s="34" t="n"/>
      <c r="BP502" s="34" t="n"/>
      <c r="BQ502" s="34" t="n"/>
      <c r="BR502" s="34" t="n"/>
      <c r="BS502" s="34" t="n"/>
      <c r="BT502" s="34" t="n"/>
      <c r="BU502" s="35" t="n"/>
      <c r="BV502" s="35" t="n"/>
      <c r="BW502" s="256">
        <f>IFERROR(BW223/BW488,"n/a")</f>
        <v>0.00934939759036145</v>
      </c>
      <c r="BX502" s="256">
        <f>IFERROR(BX223/BX488,"n/a")</f>
        <v>0.00981686746987952</v>
      </c>
      <c r="BY502" s="256">
        <f>IFERROR(BY223/BY488,"n/a")</f>
        <v>0.0103077108433735</v>
      </c>
      <c r="BZ502" s="256">
        <f>IFERROR(BZ223/BZ488,"n/a")</f>
        <v>0.0108230963855422</v>
      </c>
      <c r="CA502" s="256">
        <f>IFERROR(CA223/CA488,"n/a")</f>
        <v>0.0113642512048193</v>
      </c>
      <c r="CB502" s="256">
        <f>IFERROR(CB223/CB488,"n/a")</f>
        <v>0.0119324637650602</v>
      </c>
      <c r="CC502" s="19" t="n"/>
    </row>
    <row r="503" ht="15" customHeight="1" s="251"/>
  </sheetData>
  <dataValidations count="1">
    <dataValidation sqref="CC2" showDropDown="0" showInputMessage="0" showErrorMessage="0" allowBlank="0" type="list">
      <formula1>"Bull,Base,Bear"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50"/>
  <sheetViews>
    <sheetView showGridLines="0" zoomScale="60" zoomScaleNormal="60" workbookViewId="0">
      <selection activeCell="H26" sqref="H26"/>
    </sheetView>
  </sheetViews>
  <sheetFormatPr baseColWidth="8" defaultColWidth="8.5703125" defaultRowHeight="15"/>
  <cols>
    <col width="2.140625" customWidth="1" style="251" min="1" max="1"/>
    <col width="63.85546875" customWidth="1" style="251" min="2" max="2"/>
    <col width="11.85546875" customWidth="1" style="251" min="3" max="8"/>
    <col width="13.28515625" customWidth="1" style="251" min="9" max="9"/>
    <col width="12.5703125" customWidth="1" style="251" min="10" max="12"/>
    <col width="3.85546875" customWidth="1" style="251" min="13" max="13"/>
    <col width="63.85546875" customWidth="1" style="251" min="14" max="14"/>
    <col width="11.85546875" customWidth="1" style="251" min="15" max="20"/>
    <col width="13.28515625" customWidth="1" style="251" min="21" max="21"/>
    <col width="12.5703125" customWidth="1" style="251" min="22" max="24"/>
    <col width="3.85546875" customWidth="1" style="251" min="25" max="25"/>
    <col width="63.85546875" customWidth="1" style="251" min="26" max="26"/>
    <col width="11.85546875" customWidth="1" style="251" min="27" max="32"/>
    <col width="13.28515625" customWidth="1" style="251" min="33" max="33"/>
    <col width="12.5703125" customWidth="1" style="251" min="34" max="36"/>
  </cols>
  <sheetData>
    <row r="2" ht="19.5" customHeight="1" s="251">
      <c r="B2" s="73" t="inlineStr">
        <is>
          <t>S&amp;P Global Inc. (SPGI) — Bull / Base / Bear Case P&amp;L Summary</t>
        </is>
      </c>
      <c r="J2" s="152" t="inlineStr">
        <is>
          <t>Share price ($):</t>
        </is>
      </c>
      <c r="K2" s="74">
        <f>Model!$BX$488</f>
        <v>415</v>
      </c>
    </row>
    <row r="3" ht="15" customHeight="1" s="251">
      <c r="B3" s="4" t="inlineStr">
        <is>
          <t>Adjusted figures (company definitions: adjusted operating profit, adjusted diluted EPS; adjusted EBITDA = model definition) · USD millions · continuing operations excluding Mobility · Live panel linked to Model — toggle scenario via Model!CC2. Bull and Bear panels are value snapshots generated from the Model with the switch set to each case. FY2026E = 1H actual (pro forma) + 2H calibrated to the FY26 guidance (revenue +5.9–7.9%, adjusted EPS $17.50–17.75).</t>
        </is>
      </c>
      <c r="J3" s="152" t="inlineStr">
        <is>
          <t>As of:</t>
        </is>
      </c>
      <c r="K3" s="298" t="str">
        <f>TODAY()</f>
        <v>2026-10-12 00:00:00</v>
      </c>
    </row>
    <row r="5" ht="15" customHeight="1" s="251">
      <c r="B5" s="10" t="inlineStr">
        <is>
          <t>Scenario:</t>
        </is>
      </c>
      <c r="C5" s="75" t="str">
        <f>Model!$CC$2</f>
        <v>Base</v>
      </c>
      <c r="N5" s="76" t="inlineStr">
        <is>
          <t>Scenario:</t>
        </is>
      </c>
      <c r="O5" s="77" t="inlineStr">
        <is>
          <t>Bull</t>
        </is>
      </c>
      <c r="P5" s="4" t="inlineStr">
        <is>
          <t>Snapshot (values) — Model run with switch = Bull</t>
        </is>
      </c>
      <c r="Z5" s="76" t="inlineStr">
        <is>
          <t>Scenario:</t>
        </is>
      </c>
      <c r="AA5" s="77" t="inlineStr">
        <is>
          <t>Bear</t>
        </is>
      </c>
      <c r="AB5" s="4" t="inlineStr">
        <is>
          <t>Snapshot (values) — Model run with switch = Bear</t>
        </is>
      </c>
    </row>
    <row r="7" ht="32.1" customHeight="1" s="251">
      <c r="B7" s="78" t="inlineStr">
        <is>
          <t>(USDm, except EPS and shares)</t>
        </is>
      </c>
      <c r="C7" s="150" t="inlineStr">
        <is>
          <t>2026E</t>
        </is>
      </c>
      <c r="D7" s="150" t="inlineStr">
        <is>
          <t>2027E</t>
        </is>
      </c>
      <c r="E7" s="150" t="inlineStr">
        <is>
          <t>2028E</t>
        </is>
      </c>
      <c r="F7" s="150" t="inlineStr">
        <is>
          <t>2029E</t>
        </is>
      </c>
      <c r="G7" s="150" t="inlineStr">
        <is>
          <t>2030E</t>
        </is>
      </c>
      <c r="H7" s="150" t="inlineStr">
        <is>
          <t>2031E</t>
        </is>
      </c>
      <c r="I7" s="150" t="inlineStr">
        <is>
          <t>26-'31 CAGR</t>
        </is>
      </c>
      <c r="J7" s="151" t="inlineStr">
        <is>
          <t>LT Hist Avg</t>
        </is>
      </c>
      <c r="K7" s="151" t="inlineStr">
        <is>
          <t>LT Hist Min</t>
        </is>
      </c>
      <c r="L7" s="151" t="inlineStr">
        <is>
          <t>LT Hist Max</t>
        </is>
      </c>
      <c r="N7" s="78" t="inlineStr">
        <is>
          <t>(USDm, except EPS and shares)</t>
        </is>
      </c>
      <c r="O7" s="150" t="inlineStr">
        <is>
          <t>2026E</t>
        </is>
      </c>
      <c r="P7" s="150" t="inlineStr">
        <is>
          <t>2027E</t>
        </is>
      </c>
      <c r="Q7" s="150" t="inlineStr">
        <is>
          <t>2028E</t>
        </is>
      </c>
      <c r="R7" s="150" t="inlineStr">
        <is>
          <t>2029E</t>
        </is>
      </c>
      <c r="S7" s="150" t="inlineStr">
        <is>
          <t>2030E</t>
        </is>
      </c>
      <c r="T7" s="150" t="inlineStr">
        <is>
          <t>2031E</t>
        </is>
      </c>
      <c r="U7" s="150" t="inlineStr">
        <is>
          <t>26-'31 CAGR</t>
        </is>
      </c>
      <c r="V7" s="151" t="inlineStr">
        <is>
          <t>LT Hist Avg</t>
        </is>
      </c>
      <c r="W7" s="151" t="inlineStr">
        <is>
          <t>LT Hist Min</t>
        </is>
      </c>
      <c r="X7" s="151" t="inlineStr">
        <is>
          <t>LT Hist Max</t>
        </is>
      </c>
      <c r="Z7" s="78" t="inlineStr">
        <is>
          <t>(USDm, except EPS and shares)</t>
        </is>
      </c>
      <c r="AA7" s="150" t="inlineStr">
        <is>
          <t>2026E</t>
        </is>
      </c>
      <c r="AB7" s="150" t="inlineStr">
        <is>
          <t>2027E</t>
        </is>
      </c>
      <c r="AC7" s="150" t="inlineStr">
        <is>
          <t>2028E</t>
        </is>
      </c>
      <c r="AD7" s="150" t="inlineStr">
        <is>
          <t>2029E</t>
        </is>
      </c>
      <c r="AE7" s="150" t="inlineStr">
        <is>
          <t>2030E</t>
        </is>
      </c>
      <c r="AF7" s="150" t="inlineStr">
        <is>
          <t>2031E</t>
        </is>
      </c>
      <c r="AG7" s="150" t="inlineStr">
        <is>
          <t>26-'31 CAGR</t>
        </is>
      </c>
      <c r="AH7" s="151" t="inlineStr">
        <is>
          <t>LT Hist Avg</t>
        </is>
      </c>
      <c r="AI7" s="151" t="inlineStr">
        <is>
          <t>LT Hist Min</t>
        </is>
      </c>
      <c r="AJ7" s="151" t="inlineStr">
        <is>
          <t>LT Hist Max</t>
        </is>
      </c>
    </row>
    <row r="9" ht="15" customHeight="1" s="251">
      <c r="B9" s="79" t="inlineStr">
        <is>
          <t>Revenue</t>
        </is>
      </c>
      <c r="C9" s="80">
        <f>Model!BW187</f>
        <v>14526.641</v>
      </c>
      <c r="D9" s="81">
        <f>Model!BX187</f>
        <v>15426.2030573497</v>
      </c>
      <c r="E9" s="81">
        <f>Model!BY187</f>
        <v>16516.7832013327</v>
      </c>
      <c r="F9" s="81">
        <f>Model!BZ187</f>
        <v>17650.8429410651</v>
      </c>
      <c r="G9" s="81">
        <f>Model!CA187</f>
        <v>18809.3088629089</v>
      </c>
      <c r="H9" s="81">
        <f>Model!CB187</f>
        <v>20042.0024555706</v>
      </c>
      <c r="I9" s="299">
        <f>IFERROR((H9/C9)^(1/5)-1,"n/m")</f>
        <v>0.0664860557166576</v>
      </c>
      <c r="N9" s="79" t="inlineStr">
        <is>
          <t>Revenue</t>
        </is>
      </c>
      <c r="O9" s="80" t="n">
        <v>14662.531</v>
      </c>
      <c r="P9" s="81" t="n">
        <v>16002.3954734926</v>
      </c>
      <c r="Q9" s="81" t="n">
        <v>17634.6338142254</v>
      </c>
      <c r="R9" s="81" t="n">
        <v>19390.1601982407</v>
      </c>
      <c r="S9" s="81" t="n">
        <v>21253.1084075425</v>
      </c>
      <c r="T9" s="81" t="n">
        <v>23285.5074869132</v>
      </c>
      <c r="U9" s="299" t="n">
        <v>0.0969210048251614</v>
      </c>
      <c r="Z9" s="79" t="inlineStr">
        <is>
          <t>Revenue</t>
        </is>
      </c>
      <c r="AA9" s="80" t="n">
        <v>14390.751</v>
      </c>
      <c r="AB9" s="81" t="n">
        <v>14462.9429050426</v>
      </c>
      <c r="AC9" s="81" t="n">
        <v>14641.2916708851</v>
      </c>
      <c r="AD9" s="81" t="n">
        <v>14801.8121937134</v>
      </c>
      <c r="AE9" s="81" t="n">
        <v>14933.1607253657</v>
      </c>
      <c r="AF9" s="81" t="n">
        <v>15076.3074072462</v>
      </c>
      <c r="AG9" s="299" t="n">
        <v>0.00935120325541172</v>
      </c>
    </row>
    <row r="10" ht="15" customHeight="1" s="251">
      <c r="B10" s="83" t="inlineStr">
        <is>
          <t xml:space="preserve">   Revenue y/y %</t>
        </is>
      </c>
      <c r="C10" s="300" t="n"/>
      <c r="D10" s="301">
        <f>IFERROR(D9/C9-1,"")</f>
        <v>0.0619249871563388</v>
      </c>
      <c r="E10" s="301">
        <f>IFERROR(E9/D9-1,"")</f>
        <v>0.0706966023932503</v>
      </c>
      <c r="F10" s="301">
        <f>IFERROR(F9/E9-1,"")</f>
        <v>0.0686610537844257</v>
      </c>
      <c r="G10" s="301">
        <f>IFERROR(G9/F9-1,"")</f>
        <v>0.0656323284792579</v>
      </c>
      <c r="H10" s="301">
        <f>IFERROR(H9/G9-1,"")</f>
        <v>0.0655363576432377</v>
      </c>
      <c r="N10" s="83" t="inlineStr">
        <is>
          <t xml:space="preserve">   Revenue y/y %</t>
        </is>
      </c>
      <c r="O10" s="300" t="n"/>
      <c r="P10" s="301" t="n">
        <v>0.091380163049108</v>
      </c>
      <c r="Q10" s="301" t="n">
        <v>0.101999625208395</v>
      </c>
      <c r="R10" s="301" t="n">
        <v>0.0995499199194723</v>
      </c>
      <c r="S10" s="301" t="n">
        <v>0.0960769890632871</v>
      </c>
      <c r="T10" s="301" t="n">
        <v>0.0956283212976701</v>
      </c>
      <c r="Z10" s="83" t="inlineStr">
        <is>
          <t xml:space="preserve">   Revenue y/y %</t>
        </is>
      </c>
      <c r="AA10" s="300" t="n"/>
      <c r="AB10" s="301" t="n">
        <v>0.00501654882657365</v>
      </c>
      <c r="AC10" s="301" t="n">
        <v>0.0123314298489261</v>
      </c>
      <c r="AD10" s="301" t="n">
        <v>0.0109635492848956</v>
      </c>
      <c r="AE10" s="301" t="n">
        <v>0.0088738142285083</v>
      </c>
      <c r="AF10" s="301" t="n">
        <v>0.009585826102934011</v>
      </c>
    </row>
    <row r="11" ht="15" customHeight="1" s="251">
      <c r="B11" s="79" t="inlineStr">
        <is>
          <t xml:space="preserve">   Ratings revenue y/y %</t>
        </is>
      </c>
      <c r="C11" s="86">
        <f>Model!BW293</f>
        <v>0.109934763967116</v>
      </c>
      <c r="D11" s="87">
        <f>Model!BX293</f>
        <v>0.0481532730843881</v>
      </c>
      <c r="E11" s="87">
        <f>Model!BY293</f>
        <v>0.0646329107343091</v>
      </c>
      <c r="F11" s="87">
        <f>Model!BZ293</f>
        <v>0.0599999999999998</v>
      </c>
      <c r="G11" s="87">
        <f>Model!CA293</f>
        <v>0.0546562664329919</v>
      </c>
      <c r="H11" s="87">
        <f>Model!CB293</f>
        <v>0.054679858809036</v>
      </c>
      <c r="N11" s="79" t="inlineStr">
        <is>
          <t xml:space="preserve">   Ratings revenue y/y %</t>
        </is>
      </c>
      <c r="O11" s="86" t="n">
        <v>0.119881306489475</v>
      </c>
      <c r="P11" s="87" t="n">
        <v>0.0790819465934833</v>
      </c>
      <c r="Q11" s="87" t="n">
        <v>0.0954130815467038</v>
      </c>
      <c r="R11" s="87" t="n">
        <v>0.0908714964275701</v>
      </c>
      <c r="S11" s="87" t="n">
        <v>0.08548123500773901</v>
      </c>
      <c r="T11" s="87" t="n">
        <v>0.0855040529175</v>
      </c>
      <c r="Z11" s="79" t="inlineStr">
        <is>
          <t xml:space="preserve">   Ratings revenue y/y %</t>
        </is>
      </c>
      <c r="AA11" s="86" t="n">
        <v>0.09998822144475721</v>
      </c>
      <c r="AB11" s="87" t="n">
        <v>-0.009179462931790731</v>
      </c>
      <c r="AC11" s="87" t="n">
        <v>0.00856444530076406</v>
      </c>
      <c r="AD11" s="87" t="n">
        <v>0.00454563286395926</v>
      </c>
      <c r="AE11" s="87" t="n">
        <v>0.000201119020704965</v>
      </c>
      <c r="AF11" s="87" t="n">
        <v>0.00110089760925569</v>
      </c>
    </row>
    <row r="12" ht="15" customHeight="1" s="251">
      <c r="B12" s="79" t="inlineStr">
        <is>
          <t>Adjusted EBITDA (model)</t>
        </is>
      </c>
      <c r="C12" s="80">
        <f>Model!BW256</f>
        <v>7638.28237019501</v>
      </c>
      <c r="D12" s="81">
        <f>Model!BX256</f>
        <v>8309.23590278871</v>
      </c>
      <c r="E12" s="81">
        <f>Model!BY256</f>
        <v>8971.21637019134</v>
      </c>
      <c r="F12" s="81">
        <f>Model!BZ256</f>
        <v>9618.8125084069</v>
      </c>
      <c r="G12" s="81">
        <f>Model!CA256</f>
        <v>10291.8863013447</v>
      </c>
      <c r="H12" s="81">
        <f>Model!CB256</f>
        <v>10979.3966480012</v>
      </c>
      <c r="I12" s="299">
        <f>IFERROR((H12/C12)^(1/5)-1,"n/m")</f>
        <v>0.0752675834542678</v>
      </c>
      <c r="N12" s="79" t="inlineStr">
        <is>
          <t>Adjusted EBITDA (model)</t>
        </is>
      </c>
      <c r="O12" s="80" t="n">
        <v>7685.44782140602</v>
      </c>
      <c r="P12" s="81" t="n">
        <v>8775.475546200871</v>
      </c>
      <c r="Q12" s="81" t="n">
        <v>9750.47313327429</v>
      </c>
      <c r="R12" s="81" t="n">
        <v>10758.2938295333</v>
      </c>
      <c r="S12" s="81" t="n">
        <v>11844.6865134829</v>
      </c>
      <c r="T12" s="81" t="n">
        <v>13000.8357237689</v>
      </c>
      <c r="U12" s="299" t="n">
        <v>0.110862786890185</v>
      </c>
      <c r="Z12" s="79" t="inlineStr">
        <is>
          <t>Adjusted EBITDA (model)</t>
        </is>
      </c>
      <c r="AA12" s="80" t="n">
        <v>7591.06851609444</v>
      </c>
      <c r="AB12" s="81" t="n">
        <v>7422.47845004157</v>
      </c>
      <c r="AC12" s="81" t="n">
        <v>7564.12274716437</v>
      </c>
      <c r="AD12" s="81" t="n">
        <v>7658.9854133518</v>
      </c>
      <c r="AE12" s="81" t="n">
        <v>7745.24531456233</v>
      </c>
      <c r="AF12" s="81" t="n">
        <v>7816.05128971235</v>
      </c>
      <c r="AG12" s="299" t="n">
        <v>0.00585851756218503</v>
      </c>
    </row>
    <row r="13" ht="15" customHeight="1" s="251">
      <c r="B13" s="83" t="inlineStr">
        <is>
          <t xml:space="preserve">   Adjusted EBITDA margin %</t>
        </is>
      </c>
      <c r="C13" s="88">
        <f>IFERROR(C12/C9,"")</f>
        <v>0.525812014642271</v>
      </c>
      <c r="D13" s="89">
        <f>IFERROR(D12/D9,"")</f>
        <v>0.538644271172731</v>
      </c>
      <c r="E13" s="89">
        <f>IFERROR(E12/E9,"")</f>
        <v>0.543157602835609</v>
      </c>
      <c r="F13" s="89">
        <f>IFERROR(F12/F9,"")</f>
        <v>0.544949186875856</v>
      </c>
      <c r="G13" s="89">
        <f>IFERROR(G12/G9,"")</f>
        <v>0.547169828320479</v>
      </c>
      <c r="H13" s="89">
        <f>IFERROR(H12/H9,"")</f>
        <v>0.54781934451612</v>
      </c>
      <c r="J13" s="90">
        <f>IFERROR(AVERAGE(Model!C257,Model!D257,Model!E257,Model!J257,Model!O257,Model!T257,Model!Y257,Model!AD257,Model!AI257,Model!AN257,Model!AS257,Model!AX257,Model!BC257,Model!BH257,Model!BM257,Model!BR257),"")</f>
        <v>0.441711445571933</v>
      </c>
      <c r="K13" s="90">
        <f>IFERROR(MIN(Model!C257,Model!D257,Model!E257,Model!J257,Model!O257,Model!T257,Model!Y257,Model!AD257,Model!AI257,Model!AN257,Model!AS257,Model!AX257,Model!BC257,Model!BH257,Model!BM257,Model!BR257),"")</f>
        <v>0.302731411229135</v>
      </c>
      <c r="L13" s="90">
        <f>IFERROR(MAX(Model!C257,Model!D257,Model!E257,Model!J257,Model!O257,Model!T257,Model!Y257,Model!AD257,Model!AI257,Model!AN257,Model!AS257,Model!AX257,Model!BC257,Model!BH257,Model!BM257,Model!BR257),"")</f>
        <v>0.562010365192238</v>
      </c>
      <c r="N13" s="83" t="inlineStr">
        <is>
          <t xml:space="preserve">   Adjusted EBITDA margin %</t>
        </is>
      </c>
      <c r="O13" s="88" t="n">
        <v>0.524155605973213</v>
      </c>
      <c r="P13" s="89" t="n">
        <v>0.548385119011534</v>
      </c>
      <c r="Q13" s="89" t="n">
        <v>0.552916110194976</v>
      </c>
      <c r="R13" s="89" t="n">
        <v>0.5548326429252201</v>
      </c>
      <c r="S13" s="89" t="n">
        <v>0.557315489402923</v>
      </c>
      <c r="T13" s="89" t="n">
        <v>0.558323056994812</v>
      </c>
      <c r="V13" s="90" t="n">
        <v>0.441711445571933</v>
      </c>
      <c r="W13" s="90" t="n">
        <v>0.302731411229135</v>
      </c>
      <c r="X13" s="90" t="n">
        <v>0.562010365192238</v>
      </c>
      <c r="Z13" s="83" t="inlineStr">
        <is>
          <t xml:space="preserve">   Adjusted EBITDA margin %</t>
        </is>
      </c>
      <c r="AA13" s="88" t="n">
        <v>0.527496342344777</v>
      </c>
      <c r="AB13" s="89" t="n">
        <v>0.513206648105739</v>
      </c>
      <c r="AC13" s="89" t="n">
        <v>0.516629469393467</v>
      </c>
      <c r="AD13" s="89" t="n">
        <v>0.517435656736998</v>
      </c>
      <c r="AE13" s="89" t="n">
        <v>0.51866081514854</v>
      </c>
      <c r="AF13" s="89" t="n">
        <v>0.518432735455877</v>
      </c>
      <c r="AH13" s="90" t="n">
        <v>0.441711445571933</v>
      </c>
      <c r="AI13" s="90" t="n">
        <v>0.302731411229135</v>
      </c>
      <c r="AJ13" s="90" t="n">
        <v>0.562010365192238</v>
      </c>
    </row>
    <row r="15" ht="15" customHeight="1" s="251">
      <c r="B15" s="79" t="inlineStr">
        <is>
          <t>Operating profit (GAAP)</t>
        </is>
      </c>
      <c r="C15" s="80">
        <f>Model!BW196</f>
        <v>7057.28237019501</v>
      </c>
      <c r="D15" s="81">
        <f>Model!BX196</f>
        <v>7338.99294499657</v>
      </c>
      <c r="E15" s="81">
        <f>Model!BY196</f>
        <v>7998.58210458068</v>
      </c>
      <c r="F15" s="81">
        <f>Model!BZ196</f>
        <v>8651.43909821171</v>
      </c>
      <c r="G15" s="81">
        <f>Model!CA196</f>
        <v>9329.57849710813</v>
      </c>
      <c r="H15" s="81">
        <f>Model!CB196</f>
        <v>10020.5606283566</v>
      </c>
      <c r="I15" s="299">
        <f>IFERROR((H15/C15)^(1/5)-1,"n/m")</f>
        <v>0.0726323851130015</v>
      </c>
      <c r="N15" s="79" t="inlineStr">
        <is>
          <t>Operating profit (GAAP)</t>
        </is>
      </c>
      <c r="O15" s="80" t="n">
        <v>7104.44782140602</v>
      </c>
      <c r="P15" s="81" t="n">
        <v>7784.78971574626</v>
      </c>
      <c r="Q15" s="81" t="n">
        <v>8741.396062760479</v>
      </c>
      <c r="R15" s="81" t="n">
        <v>9737.83921461404</v>
      </c>
      <c r="S15" s="81" t="n">
        <v>10811.9949795559</v>
      </c>
      <c r="T15" s="81" t="n">
        <v>11953.5516638736</v>
      </c>
      <c r="U15" s="299" t="n">
        <v>0.109668675905336</v>
      </c>
      <c r="Z15" s="79" t="inlineStr">
        <is>
          <t>Operating profit (GAAP)</t>
        </is>
      </c>
      <c r="AA15" s="80" t="n">
        <v>7010.06851609444</v>
      </c>
      <c r="AB15" s="81" t="n">
        <v>6475.77490680122</v>
      </c>
      <c r="AC15" s="81" t="n">
        <v>6633.99241379729</v>
      </c>
      <c r="AD15" s="81" t="n">
        <v>6753.57091580209</v>
      </c>
      <c r="AE15" s="81" t="n">
        <v>6864.7800287594</v>
      </c>
      <c r="AF15" s="81" t="n">
        <v>6959.44083045438</v>
      </c>
      <c r="AG15" s="299" t="n">
        <v>-0.00144861861412482</v>
      </c>
    </row>
    <row r="16" ht="15" customHeight="1" s="251">
      <c r="B16" s="83" t="inlineStr">
        <is>
          <t xml:space="preserve">   Operating profit y/y %</t>
        </is>
      </c>
      <c r="C16" s="300" t="n"/>
      <c r="D16" s="301">
        <f>IFERROR(D15/C15-1,"")</f>
        <v>0.0399177133667359</v>
      </c>
      <c r="E16" s="301">
        <f>IFERROR(E15/D15-1,"")</f>
        <v>0.0898746142049078</v>
      </c>
      <c r="F16" s="301">
        <f>IFERROR(F15/E15-1,"")</f>
        <v>0.0816215905638009</v>
      </c>
      <c r="G16" s="301">
        <f>IFERROR(G15/F15-1,"")</f>
        <v>0.078384577548098</v>
      </c>
      <c r="H16" s="301">
        <f>IFERROR(H15/G15-1,"")</f>
        <v>0.0740635958486928</v>
      </c>
      <c r="N16" s="83" t="inlineStr">
        <is>
          <t xml:space="preserve">   Operating profit y/y %</t>
        </is>
      </c>
      <c r="O16" s="300" t="n"/>
      <c r="P16" s="301" t="n">
        <v>0.095762811050613</v>
      </c>
      <c r="Q16" s="301" t="n">
        <v>0.122881462691189</v>
      </c>
      <c r="R16" s="301" t="n">
        <v>0.113991305816532</v>
      </c>
      <c r="S16" s="301" t="n">
        <v>0.110307404062477</v>
      </c>
      <c r="T16" s="301" t="n">
        <v>0.105582428263818</v>
      </c>
      <c r="Z16" s="83" t="inlineStr">
        <is>
          <t xml:space="preserve">   Operating profit y/y %</t>
        </is>
      </c>
      <c r="AA16" s="300" t="n"/>
      <c r="AB16" s="301" t="n">
        <v>-0.0762180295480039</v>
      </c>
      <c r="AC16" s="301" t="n">
        <v>0.0244322122484359</v>
      </c>
      <c r="AD16" s="301" t="n">
        <v>0.0180251188946354</v>
      </c>
      <c r="AE16" s="301" t="n">
        <v>0.0164667128462512</v>
      </c>
      <c r="AF16" s="301" t="n">
        <v>0.0137893423093536</v>
      </c>
    </row>
    <row r="17" ht="15" customHeight="1" s="251">
      <c r="B17" s="83" t="inlineStr">
        <is>
          <t xml:space="preserve">   Operating margin (GAAP) %</t>
        </is>
      </c>
      <c r="C17" s="88">
        <f>IFERROR(C15/C9,"")</f>
        <v>0.485816533236762</v>
      </c>
      <c r="D17" s="89">
        <f>IFERROR(D15/D9,"")</f>
        <v>0.475748498688402</v>
      </c>
      <c r="E17" s="89">
        <f>IFERROR(E15/E9,"")</f>
        <v>0.484269969950037</v>
      </c>
      <c r="F17" s="89">
        <f>IFERROR(F15/F9,"")</f>
        <v>0.490143112546988</v>
      </c>
      <c r="G17" s="89">
        <f>IFERROR(G15/G9,"")</f>
        <v>0.496008575599799</v>
      </c>
      <c r="H17" s="89">
        <f>IFERROR(H15/H9,"")</f>
        <v>0.499978016197249</v>
      </c>
      <c r="J17" s="90">
        <f>IFERROR(AVERAGE(Model!C305,Model!D305,Model!E305,Model!J305,Model!O305,Model!T305,Model!Y305,Model!AD305,Model!AI305,Model!AN305,Model!AS305,Model!AX305,Model!BC305,Model!BH305,Model!BM305,Model!BR305),"")</f>
        <v>0.378377680685286</v>
      </c>
      <c r="K17" s="90">
        <f>IFERROR(MIN(Model!C305,Model!D305,Model!E305,Model!J305,Model!O305,Model!T305,Model!Y305,Model!AD305,Model!AI305,Model!AN305,Model!AS305,Model!AX305,Model!BC305,Model!BH305,Model!BM305,Model!BR305),"")</f>
        <v>0.0223718075628588</v>
      </c>
      <c r="L17" s="90">
        <f>IFERROR(MAX(Model!C305,Model!D305,Model!E305,Model!J305,Model!O305,Model!T305,Model!Y305,Model!AD305,Model!AI305,Model!AN305,Model!AS305,Model!AX305,Model!BC305,Model!BH305,Model!BM305,Model!BR305),"")</f>
        <v>0.595124536301007</v>
      </c>
      <c r="N17" s="83" t="inlineStr">
        <is>
          <t xml:space="preserve">   Operating margin (GAAP) %</t>
        </is>
      </c>
      <c r="O17" s="88" t="n">
        <v>0.484530796313816</v>
      </c>
      <c r="P17" s="89" t="n">
        <v>0.486476523383108</v>
      </c>
      <c r="Q17" s="89" t="n">
        <v>0.495694787589468</v>
      </c>
      <c r="R17" s="89" t="n">
        <v>0.5022051966077909</v>
      </c>
      <c r="S17" s="89" t="n">
        <v>0.508725348416275</v>
      </c>
      <c r="T17" s="89" t="n">
        <v>0.5133472684927191</v>
      </c>
      <c r="V17" s="90" t="n">
        <v>0.378377680685286</v>
      </c>
      <c r="W17" s="90" t="n">
        <v>0.0223718075628588</v>
      </c>
      <c r="X17" s="90" t="n">
        <v>0.595124536301007</v>
      </c>
      <c r="Z17" s="83" t="inlineStr">
        <is>
          <t xml:space="preserve">   Operating margin (GAAP) %</t>
        </is>
      </c>
      <c r="AA17" s="88" t="n">
        <v>0.487123188782465</v>
      </c>
      <c r="AB17" s="89" t="n">
        <v>0.447749462147391</v>
      </c>
      <c r="AC17" s="89" t="n">
        <v>0.453101581671875</v>
      </c>
      <c r="AD17" s="89" t="n">
        <v>0.456266491387484</v>
      </c>
      <c r="AE17" s="89" t="n">
        <v>0.459700404690535</v>
      </c>
      <c r="AF17" s="89" t="n">
        <v>0.461614415417759</v>
      </c>
      <c r="AH17" s="90" t="n">
        <v>0.378377680685286</v>
      </c>
      <c r="AI17" s="90" t="n">
        <v>0.0223718075628588</v>
      </c>
      <c r="AJ17" s="90" t="n">
        <v>0.595124536301007</v>
      </c>
    </row>
    <row r="19" ht="15" customHeight="1" s="251">
      <c r="B19" s="79" t="inlineStr">
        <is>
          <t>Adjusted Net Income</t>
        </is>
      </c>
      <c r="C19" s="80">
        <f>Model!BW270</f>
        <v>5151.10267319277</v>
      </c>
      <c r="D19" s="81">
        <f>Model!BX270</f>
        <v>5547.56209529506</v>
      </c>
      <c r="E19" s="81">
        <f>Model!BY270</f>
        <v>6003.5560669663</v>
      </c>
      <c r="F19" s="81">
        <f>Model!BZ270</f>
        <v>6405.55885236846</v>
      </c>
      <c r="G19" s="81">
        <f>Model!CA270</f>
        <v>6837.15968174446</v>
      </c>
      <c r="H19" s="81">
        <f>Model!CB270</f>
        <v>7283.37963088727</v>
      </c>
      <c r="I19" s="299">
        <f>IFERROR((H19/C19)^(1/5)-1,"n/m")</f>
        <v>0.0717328637034187</v>
      </c>
      <c r="N19" s="79" t="inlineStr">
        <is>
          <t>Adjusted Net Income</t>
        </is>
      </c>
      <c r="O19" s="80" t="n">
        <v>5184.96212349398</v>
      </c>
      <c r="P19" s="81" t="n">
        <v>5873.22265746833</v>
      </c>
      <c r="Q19" s="81" t="n">
        <v>6457.38021969166</v>
      </c>
      <c r="R19" s="81" t="n">
        <v>7094.34568213824</v>
      </c>
      <c r="S19" s="81" t="n">
        <v>7782.3107180892</v>
      </c>
      <c r="T19" s="81" t="n">
        <v>8519.399874999521</v>
      </c>
      <c r="U19" s="299" t="n">
        <v>0.10441598280366</v>
      </c>
      <c r="Z19" s="79" t="inlineStr">
        <is>
          <t>Adjusted Net Income</t>
        </is>
      </c>
      <c r="AA19" s="80" t="n">
        <v>5117.20557228916</v>
      </c>
      <c r="AB19" s="81" t="n">
        <v>4929.65861472945</v>
      </c>
      <c r="AC19" s="81" t="n">
        <v>5108.01937424477</v>
      </c>
      <c r="AD19" s="81" t="n">
        <v>5163.02761328954</v>
      </c>
      <c r="AE19" s="81" t="n">
        <v>5222.42770982043</v>
      </c>
      <c r="AF19" s="81" t="n">
        <v>5277.35785226089</v>
      </c>
      <c r="AG19" s="299" t="n">
        <v>0.00618244537120605</v>
      </c>
    </row>
    <row r="21" ht="15" customHeight="1" s="251">
      <c r="B21" s="79" t="inlineStr">
        <is>
          <t>FDSO (m)</t>
        </is>
      </c>
      <c r="C21" s="91">
        <f>Model!BW217</f>
        <v>292.261144578313</v>
      </c>
      <c r="D21" s="92">
        <f>Model!BX217</f>
        <v>277.393086913713</v>
      </c>
      <c r="E21" s="92">
        <f>Model!BY217</f>
        <v>267.672272961855</v>
      </c>
      <c r="F21" s="92">
        <f>Model!BZ217</f>
        <v>257.000275548964</v>
      </c>
      <c r="G21" s="92">
        <f>Model!CA217</f>
        <v>246.407747848206</v>
      </c>
      <c r="H21" s="92">
        <f>Model!CB217</f>
        <v>235.859940981431</v>
      </c>
      <c r="I21" s="299">
        <f>IFERROR((H21/C21)^(1/5)-1,"n/m")</f>
        <v>-0.0419754882695699</v>
      </c>
      <c r="N21" s="79" t="inlineStr">
        <is>
          <t>FDSO (m)</t>
        </is>
      </c>
      <c r="O21" s="91" t="n">
        <v>292.110542168675</v>
      </c>
      <c r="P21" s="92" t="n">
        <v>273.836869044933</v>
      </c>
      <c r="Q21" s="92" t="n">
        <v>260.300065239502</v>
      </c>
      <c r="R21" s="92" t="n">
        <v>247.633171358182</v>
      </c>
      <c r="S21" s="92" t="n">
        <v>234.50842327667</v>
      </c>
      <c r="T21" s="92" t="n">
        <v>220.905214667822</v>
      </c>
      <c r="U21" s="299" t="n">
        <v>-0.0543471246239493</v>
      </c>
      <c r="Z21" s="79" t="inlineStr">
        <is>
          <t>FDSO (m)</t>
        </is>
      </c>
      <c r="AA21" s="91" t="n">
        <v>292.411746987952</v>
      </c>
      <c r="AB21" s="92" t="n">
        <v>281.713384091822</v>
      </c>
      <c r="AC21" s="92" t="n">
        <v>277.243076889604</v>
      </c>
      <c r="AD21" s="92" t="n">
        <v>269.927680761311</v>
      </c>
      <c r="AE21" s="92" t="n">
        <v>263.258200636537</v>
      </c>
      <c r="AF21" s="92" t="n">
        <v>257.147829407786</v>
      </c>
      <c r="AG21" s="299" t="n">
        <v>-0.0253748603277215</v>
      </c>
    </row>
    <row r="23" ht="15" customHeight="1" s="251">
      <c r="B23" s="79" t="inlineStr">
        <is>
          <t>Adjusted EPS — Diluted ($)</t>
        </is>
      </c>
      <c r="C23" s="93">
        <f>Model!BW274</f>
        <v>17.625</v>
      </c>
      <c r="D23" s="94">
        <f>Model!BX274</f>
        <v>19.998919789305</v>
      </c>
      <c r="E23" s="94">
        <f>Model!BY274</f>
        <v>22.4287558832134</v>
      </c>
      <c r="F23" s="94">
        <f>Model!BZ274</f>
        <v>24.9243267879223</v>
      </c>
      <c r="G23" s="94">
        <f>Model!CA274</f>
        <v>27.7473405014697</v>
      </c>
      <c r="H23" s="94">
        <f>Model!CB274</f>
        <v>30.8801045255103</v>
      </c>
      <c r="I23" s="299">
        <f>IFERROR((H23/C23)^(1/5)-1,"n/m")</f>
        <v>0.118690441195083</v>
      </c>
      <c r="N23" s="79" t="inlineStr">
        <is>
          <t>Adjusted EPS — Diluted ($)</t>
        </is>
      </c>
      <c r="O23" s="93" t="n">
        <v>17.75</v>
      </c>
      <c r="P23" s="94" t="n">
        <v>21.4478885840044</v>
      </c>
      <c r="Q23" s="94" t="n">
        <v>24.8074475653713</v>
      </c>
      <c r="R23" s="94" t="n">
        <v>28.6486081134777</v>
      </c>
      <c r="S23" s="94" t="n">
        <v>33.1856340567678</v>
      </c>
      <c r="T23" s="94" t="n">
        <v>38.5658613256833</v>
      </c>
      <c r="U23" s="299" t="n">
        <v>0.167887299411505</v>
      </c>
      <c r="Z23" s="79" t="inlineStr">
        <is>
          <t>Adjusted EPS — Diluted ($)</t>
        </is>
      </c>
      <c r="AA23" s="93" t="n">
        <v>17.5</v>
      </c>
      <c r="AB23" s="94" t="n">
        <v>17.498844190955</v>
      </c>
      <c r="AC23" s="94" t="n">
        <v>18.4243351774614</v>
      </c>
      <c r="AD23" s="94" t="n">
        <v>19.1274477620362</v>
      </c>
      <c r="AE23" s="94" t="n">
        <v>19.8376639253517</v>
      </c>
      <c r="AF23" s="94" t="n">
        <v>20.5226614761427</v>
      </c>
      <c r="AG23" s="299" t="n">
        <v>0.0323789161744164</v>
      </c>
    </row>
    <row r="24" ht="15" customHeight="1" s="251">
      <c r="B24" s="83" t="inlineStr">
        <is>
          <t xml:space="preserve">   EPS y/y %</t>
        </is>
      </c>
      <c r="C24" s="300" t="n"/>
      <c r="D24" s="301">
        <f>IFERROR(D23/C23-1,"")</f>
        <v>0.134690484499575</v>
      </c>
      <c r="E24" s="301">
        <f>IFERROR(E23/D23-1,"")</f>
        <v>0.121498366887187</v>
      </c>
      <c r="F24" s="301">
        <f>IFERROR(F23/E23-1,"")</f>
        <v>0.111266577500032</v>
      </c>
      <c r="G24" s="301">
        <f>IFERROR(G23/F23-1,"")</f>
        <v>0.113263388719305</v>
      </c>
      <c r="H24" s="301">
        <f>IFERROR(H23/G23-1,"")</f>
        <v>0.112903217657011</v>
      </c>
      <c r="N24" s="83" t="inlineStr">
        <is>
          <t xml:space="preserve">   EPS y/y %</t>
        </is>
      </c>
      <c r="O24" s="300" t="n"/>
      <c r="P24" s="301" t="n">
        <v>0.208331751211517</v>
      </c>
      <c r="Q24" s="301" t="n">
        <v>0.156638214909059</v>
      </c>
      <c r="R24" s="301" t="n">
        <v>0.154839007035465</v>
      </c>
      <c r="S24" s="301" t="n">
        <v>0.158368110775884</v>
      </c>
      <c r="T24" s="301" t="n">
        <v>0.162125191271377</v>
      </c>
      <c r="Z24" s="83" t="inlineStr">
        <is>
          <t xml:space="preserve">   EPS y/y %</t>
        </is>
      </c>
      <c r="AA24" s="300" t="n"/>
      <c r="AB24" s="301" t="n">
        <v>-6.60462311454779e-05</v>
      </c>
      <c r="AC24" s="301" t="n">
        <v>0.0528886923277379</v>
      </c>
      <c r="AD24" s="301" t="n">
        <v>0.0381621685560132</v>
      </c>
      <c r="AE24" s="301" t="n">
        <v>0.0371307333916866</v>
      </c>
      <c r="AF24" s="301" t="n">
        <v>0.0345301520062351</v>
      </c>
    </row>
    <row r="26" ht="15" customHeight="1" s="251">
      <c r="B26" s="83" t="inlineStr">
        <is>
          <t>P / E (x) — assumed (adjusted EPS)</t>
        </is>
      </c>
      <c r="C26" s="302" t="n"/>
      <c r="D26" s="302" t="n"/>
      <c r="E26" s="302" t="n"/>
      <c r="F26" s="302" t="n">
        <v>26</v>
      </c>
      <c r="G26" s="302" t="n">
        <v>26</v>
      </c>
      <c r="H26" s="302" t="n">
        <v>26</v>
      </c>
      <c r="N26" s="83" t="inlineStr">
        <is>
          <t>P / E (x) — assumed (adjusted EPS)</t>
        </is>
      </c>
      <c r="O26" s="302" t="n"/>
      <c r="P26" s="302" t="n"/>
      <c r="Q26" s="302" t="n"/>
      <c r="R26" s="302" t="n">
        <v>30</v>
      </c>
      <c r="S26" s="302" t="n">
        <v>30</v>
      </c>
      <c r="T26" s="302" t="n">
        <v>30</v>
      </c>
      <c r="Z26" s="83" t="inlineStr">
        <is>
          <t>P / E (x) — assumed (adjusted EPS)</t>
        </is>
      </c>
      <c r="AA26" s="302" t="n"/>
      <c r="AB26" s="302" t="n"/>
      <c r="AC26" s="302" t="n"/>
      <c r="AD26" s="302" t="n">
        <v>20</v>
      </c>
      <c r="AE26" s="302" t="n">
        <v>20</v>
      </c>
      <c r="AF26" s="302" t="n">
        <v>20</v>
      </c>
    </row>
    <row r="27" ht="15" customHeight="1" s="251">
      <c r="B27" s="10" t="inlineStr">
        <is>
          <t>Price Target ($)</t>
        </is>
      </c>
      <c r="C27" s="96" t="n"/>
      <c r="D27" s="96" t="n"/>
      <c r="E27" s="96" t="n"/>
      <c r="F27" s="96">
        <f>F26*F23</f>
        <v>648.032496485979</v>
      </c>
      <c r="G27" s="96">
        <f>G26*G23</f>
        <v>721.430853038212</v>
      </c>
      <c r="H27" s="96">
        <f>H26*H23</f>
        <v>802.882717663268</v>
      </c>
      <c r="N27" s="10" t="inlineStr">
        <is>
          <t>Price Target ($)</t>
        </is>
      </c>
      <c r="O27" s="96" t="n"/>
      <c r="P27" s="96" t="n"/>
      <c r="Q27" s="96" t="n"/>
      <c r="R27" s="96">
        <f>R26*R23</f>
        <v>859.458243404331</v>
      </c>
      <c r="S27" s="96">
        <f>S26*S23</f>
        <v>995.569021703034</v>
      </c>
      <c r="T27" s="96">
        <f>T26*T23</f>
        <v>1156.9758397705</v>
      </c>
      <c r="Z27" s="10" t="inlineStr">
        <is>
          <t>Price Target ($)</t>
        </is>
      </c>
      <c r="AA27" s="96" t="n"/>
      <c r="AB27" s="96" t="n"/>
      <c r="AC27" s="96" t="n"/>
      <c r="AD27" s="96">
        <f>AD26*AD23</f>
        <v>382.548955240724</v>
      </c>
      <c r="AE27" s="96">
        <f>AE26*AE23</f>
        <v>396.753278507034</v>
      </c>
      <c r="AF27" s="96">
        <f>AF26*AF23</f>
        <v>410.453229522854</v>
      </c>
    </row>
    <row r="28" ht="15" customHeight="1" s="251">
      <c r="B28" t="inlineStr">
        <is>
          <t xml:space="preserve">   Upside / (Downside) vs current</t>
        </is>
      </c>
      <c r="E28" s="303" t="n"/>
      <c r="F28" s="303">
        <f>IFERROR(F27/$K$2-1,"")</f>
        <v>0.561524087918021</v>
      </c>
      <c r="G28" s="303">
        <f>IFERROR(G27/$K$2-1,"")</f>
        <v>0.738387597682437</v>
      </c>
      <c r="H28" s="303">
        <f>IFERROR(H27/$K$2-1,"")</f>
        <v>0.934657150995827</v>
      </c>
      <c r="N28" t="inlineStr">
        <is>
          <t xml:space="preserve">   Upside / (Downside) vs current</t>
        </is>
      </c>
      <c r="O28" s="303" t="n"/>
      <c r="P28" s="303" t="n"/>
      <c r="Q28" s="303" t="n"/>
      <c r="R28" s="303">
        <f>IFERROR(R27/$K$2-1,"")</f>
        <v>1.07098371904658</v>
      </c>
      <c r="S28" s="303">
        <f>IFERROR(S27/$K$2-1,"")</f>
        <v>1.3989614980796</v>
      </c>
      <c r="T28" s="303">
        <f>IFERROR(T27/$K$2-1,"")</f>
        <v>1.78789358980843</v>
      </c>
      <c r="Z28" t="inlineStr">
        <is>
          <t xml:space="preserve">   Upside / (Downside) vs current</t>
        </is>
      </c>
      <c r="AA28" s="303" t="n"/>
      <c r="AB28" s="303" t="n"/>
      <c r="AC28" s="303" t="n"/>
      <c r="AD28" s="303">
        <f>IFERROR(AD27/$K$2-1,"")</f>
        <v>-0.0781952885765687</v>
      </c>
      <c r="AE28" s="303">
        <f>IFERROR(AE27/$K$2-1,"")</f>
        <v>-0.0439680035975084</v>
      </c>
      <c r="AF28" s="303">
        <f>IFERROR(AF27/$K$2-1,"")</f>
        <v>-0.0109560734389059</v>
      </c>
    </row>
    <row r="29" ht="15" customHeight="1" s="251">
      <c r="B29" s="75" t="inlineStr">
        <is>
          <t>IRR (to 31-Dec of Y-1)</t>
        </is>
      </c>
      <c r="C29" s="304" t="n"/>
      <c r="D29" s="304" t="n"/>
      <c r="E29" s="304" t="n"/>
      <c r="F29" s="304">
        <f>IFERROR((F27/$K$2)^(1/((DATE(2029-1,12,31)-$K$3)/365.25))-1,"")</f>
        <v>0.222273809429259</v>
      </c>
      <c r="G29" s="304">
        <f>IFERROR((G27/$K$2)^(1/((DATE(2030-1,12,31)-$K$3)/365.25))-1,"")</f>
        <v>0.187370768513592</v>
      </c>
      <c r="H29" s="304">
        <f>IFERROR((H27/$K$2)^(1/((DATE(2031-1,12,31)-$K$3)/365.25))-1,"")</f>
        <v>0.169314374662664</v>
      </c>
      <c r="N29" s="75" t="inlineStr">
        <is>
          <t>IRR (to 31-Dec of Y-1)</t>
        </is>
      </c>
      <c r="O29" s="304" t="n"/>
      <c r="P29" s="304" t="n"/>
      <c r="Q29" s="304" t="n"/>
      <c r="R29" s="304">
        <f>IFERROR((R27/$K$2)^(1/((DATE(2029-1,12,31)-$K$3)/365.25))-1,"")</f>
        <v>0.388022372377294</v>
      </c>
      <c r="S29" s="304">
        <f>IFERROR((S27/$K$2)^(1/((DATE(2030-1,12,31)-$K$3)/365.25))-1,"")</f>
        <v>0.31229111672923</v>
      </c>
      <c r="T29" s="304">
        <f>IFERROR((T27/$K$2)^(1/((DATE(2031-1,12,31)-$K$3)/365.25))-1,"")</f>
        <v>0.275087514627832</v>
      </c>
      <c r="Z29" s="75" t="inlineStr">
        <is>
          <t>IRR (to 31-Dec of Y-1)</t>
        </is>
      </c>
      <c r="AA29" s="304" t="n"/>
      <c r="AB29" s="304" t="n"/>
      <c r="AC29" s="304" t="n"/>
      <c r="AD29" s="304">
        <f>IFERROR((AD27/$K$2)^(1/((DATE(2029-1,12,31)-$K$3)/365.25))-1,"")</f>
        <v>-0.036005768671915</v>
      </c>
      <c r="AE29" s="304">
        <f>IFERROR((AE27/$K$2)^(1/((DATE(2030-1,12,31)-$K$3)/365.25))-1,"")</f>
        <v>-0.0138681291712224</v>
      </c>
      <c r="AF29" s="304">
        <f>IFERROR((AF27/$K$2)^(1/((DATE(2031-1,12,31)-$K$3)/365.25))-1,"")</f>
        <v>-0.00260774819000531</v>
      </c>
    </row>
    <row r="31" ht="15" customHeight="1" s="251">
      <c r="B31" s="79" t="inlineStr">
        <is>
          <t>Free Cash Flow</t>
        </is>
      </c>
      <c r="C31" s="80">
        <f>Model!BW339</f>
        <v>5183.0146262297</v>
      </c>
      <c r="D31" s="81">
        <f>Model!BX339</f>
        <v>5846.52562218301</v>
      </c>
      <c r="E31" s="81">
        <f>Model!BY339</f>
        <v>6355.89761679729</v>
      </c>
      <c r="F31" s="81">
        <f>Model!BZ339</f>
        <v>6772.46461247902</v>
      </c>
      <c r="G31" s="81">
        <f>Model!CA339</f>
        <v>7213.95730884746</v>
      </c>
      <c r="H31" s="81">
        <f>Model!CB339</f>
        <v>7683.32658301056</v>
      </c>
      <c r="I31" s="299">
        <f>IFERROR((H31/C31)^(1/5)-1,"n/m")</f>
        <v>0.0819155724363754</v>
      </c>
      <c r="N31" s="79" t="inlineStr">
        <is>
          <t>Free Cash Flow</t>
        </is>
      </c>
      <c r="O31" s="80" t="n">
        <v>5251.20584735282</v>
      </c>
      <c r="P31" s="81" t="n">
        <v>6280.44553009866</v>
      </c>
      <c r="Q31" s="81" t="n">
        <v>6949.46297761995</v>
      </c>
      <c r="R31" s="81" t="n">
        <v>7627.50956251118</v>
      </c>
      <c r="S31" s="81" t="n">
        <v>8353.191749687219</v>
      </c>
      <c r="T31" s="81" t="n">
        <v>9144.91101883653</v>
      </c>
      <c r="U31" s="299" t="n">
        <v>0.117336762783784</v>
      </c>
      <c r="Z31" s="79" t="inlineStr">
        <is>
          <t>Free Cash Flow</t>
        </is>
      </c>
      <c r="AA31" s="80" t="n">
        <v>5114.78575450416</v>
      </c>
      <c r="AB31" s="81" t="n">
        <v>5020.25011195011</v>
      </c>
      <c r="AC31" s="81" t="n">
        <v>5222.45084055</v>
      </c>
      <c r="AD31" s="81" t="n">
        <v>5268.06800703431</v>
      </c>
      <c r="AE31" s="81" t="n">
        <v>5315.03607101185</v>
      </c>
      <c r="AF31" s="81" t="n">
        <v>5368.18082347043</v>
      </c>
      <c r="AG31" s="299" t="n">
        <v>0.009717626811424299</v>
      </c>
    </row>
    <row r="32" ht="15" customHeight="1" s="251">
      <c r="B32" s="83" t="inlineStr">
        <is>
          <t xml:space="preserve">   FCF %</t>
        </is>
      </c>
      <c r="C32" s="88">
        <f>IFERROR(C31/C9,"")</f>
        <v>0.356793743731238</v>
      </c>
      <c r="D32" s="89">
        <f>IFERROR(D31/D9,"")</f>
        <v>0.378999654059232</v>
      </c>
      <c r="E32" s="89">
        <f>IFERROR(E31/E9,"")</f>
        <v>0.384814496825534</v>
      </c>
      <c r="F32" s="89">
        <f>IFERROR(F31/F9,"")</f>
        <v>0.3836907186298</v>
      </c>
      <c r="G32" s="89">
        <f>IFERROR(G31/G9,"")</f>
        <v>0.383531227086873</v>
      </c>
      <c r="H32" s="89">
        <f>IFERROR(H31/H9,"")</f>
        <v>0.383361223512623</v>
      </c>
      <c r="J32" s="90">
        <f>IFERROR(AVERAGE(Model!C343,Model!D343,Model!E343,Model!J343,Model!O343,Model!T343,Model!Y343,Model!AD343,Model!AI343,Model!AN343,Model!AS343,Model!AX343,Model!BC343,Model!BH343,Model!BM343,Model!BR343),"")</f>
        <v>0.264077351786255</v>
      </c>
      <c r="K32" s="90">
        <f>IFERROR(MIN(Model!C343,Model!D343,Model!E343,Model!J343,Model!O343,Model!T343,Model!Y343,Model!AD343,Model!AI343,Model!AN343,Model!AS343,Model!AX343,Model!BC343,Model!BH343,Model!BM343,Model!BR343),"")</f>
        <v>-0.00903444381705251</v>
      </c>
      <c r="L32" s="90">
        <f>IFERROR(MAX(Model!C343,Model!D343,Model!E343,Model!J343,Model!O343,Model!T343,Model!Y343,Model!AD343,Model!AI343,Model!AN343,Model!AS343,Model!AX343,Model!BC343,Model!BH343,Model!BM343,Model!BR343),"")</f>
        <v>0.44302606826122</v>
      </c>
      <c r="N32" s="83" t="inlineStr">
        <is>
          <t xml:space="preserve">   FCF %</t>
        </is>
      </c>
      <c r="O32" s="88" t="n">
        <v>0.358137749025242</v>
      </c>
      <c r="P32" s="89" t="n">
        <v>0.39246908630036</v>
      </c>
      <c r="Q32" s="89" t="n">
        <v>0.394080367691787</v>
      </c>
      <c r="R32" s="89" t="n">
        <v>0.393370115797353</v>
      </c>
      <c r="S32" s="89" t="n">
        <v>0.393033884244564</v>
      </c>
      <c r="T32" s="89" t="n">
        <v>0.392729727878</v>
      </c>
      <c r="V32" s="90" t="n">
        <v>0.264077351786255</v>
      </c>
      <c r="W32" s="90" t="n">
        <v>-0.00903444381705251</v>
      </c>
      <c r="X32" s="90" t="n">
        <v>0.44302606826122</v>
      </c>
      <c r="Z32" s="83" t="inlineStr">
        <is>
          <t xml:space="preserve">   FCF %</t>
        </is>
      </c>
      <c r="AA32" s="88" t="n">
        <v>0.355421739595395</v>
      </c>
      <c r="AB32" s="89" t="n">
        <v>0.347111244572485</v>
      </c>
      <c r="AC32" s="89" t="n">
        <v>0.356693313537021</v>
      </c>
      <c r="AD32" s="89" t="n">
        <v>0.355906961802404</v>
      </c>
      <c r="AE32" s="89" t="n">
        <v>0.355921707986686</v>
      </c>
      <c r="AF32" s="89" t="n">
        <v>0.35606734981341</v>
      </c>
      <c r="AH32" s="90" t="n">
        <v>0.264077351786255</v>
      </c>
      <c r="AI32" s="90" t="n">
        <v>-0.00903444381705251</v>
      </c>
      <c r="AJ32" s="90" t="n">
        <v>0.44302606826122</v>
      </c>
    </row>
    <row r="33" ht="15" customHeight="1" s="251">
      <c r="B33" s="83" t="inlineStr">
        <is>
          <t xml:space="preserve">   FCF / share ($)</t>
        </is>
      </c>
      <c r="C33" s="99">
        <f>IFERROR(C31/C21,"")</f>
        <v>17.7341898585526</v>
      </c>
      <c r="D33" s="100">
        <f>IFERROR(D31/D21,"")</f>
        <v>21.076681063799</v>
      </c>
      <c r="E33" s="100">
        <f>IFERROR(E31/E21,"")</f>
        <v>23.7450728327885</v>
      </c>
      <c r="F33" s="100">
        <f>IFERROR(F31/F21,"")</f>
        <v>26.3519741292601</v>
      </c>
      <c r="G33" s="100">
        <f>IFERROR(G31/G21,"")</f>
        <v>29.276503567134</v>
      </c>
      <c r="H33" s="100">
        <f>IFERROR(H31/H21,"")</f>
        <v>32.5758013465096</v>
      </c>
      <c r="N33" s="83" t="inlineStr">
        <is>
          <t xml:space="preserve">   FCF / share ($)</t>
        </is>
      </c>
      <c r="O33" s="99" t="n">
        <v>17.9767762175478</v>
      </c>
      <c r="P33" s="100" t="n">
        <v>22.9349888201801</v>
      </c>
      <c r="Q33" s="100" t="n">
        <v>26.6978918012401</v>
      </c>
      <c r="R33" s="100" t="n">
        <v>30.8016471326395</v>
      </c>
      <c r="S33" s="100" t="n">
        <v>35.6200073028175</v>
      </c>
      <c r="T33" s="100" t="n">
        <v>41.397442937632</v>
      </c>
      <c r="Z33" s="83" t="inlineStr">
        <is>
          <t xml:space="preserve">   FCF / share ($)</t>
        </is>
      </c>
      <c r="AA33" s="99" t="n">
        <v>17.4917246218392</v>
      </c>
      <c r="AB33" s="100" t="n">
        <v>17.820417471943</v>
      </c>
      <c r="AC33" s="100" t="n">
        <v>18.8370829639491</v>
      </c>
      <c r="AD33" s="100" t="n">
        <v>19.5165904888899</v>
      </c>
      <c r="AE33" s="100" t="n">
        <v>20.1894416134446</v>
      </c>
      <c r="AF33" s="100" t="n">
        <v>20.8758550901768</v>
      </c>
    </row>
    <row r="34" ht="15" customHeight="1" s="251">
      <c r="B34" s="83" t="inlineStr">
        <is>
          <t xml:space="preserve">   FCF Yield (on PT)</t>
        </is>
      </c>
      <c r="E34" s="101" t="n"/>
      <c r="F34" s="101">
        <f>IFERROR(F33/F$27,"")</f>
        <v>0.040664587458432</v>
      </c>
      <c r="G34" s="101">
        <f>IFERROR(G33/G$27,"")</f>
        <v>0.0405811637301618</v>
      </c>
      <c r="H34" s="101">
        <f>IFERROR(H33/H$27,"")</f>
        <v>0.0405735490749123</v>
      </c>
      <c r="N34" s="83" t="inlineStr">
        <is>
          <t xml:space="preserve">   FCF Yield (on PT)</t>
        </is>
      </c>
      <c r="Q34" s="101" t="n"/>
      <c r="R34" s="101">
        <f>IFERROR(R33/R$27,"")</f>
        <v>0.0358384451705688</v>
      </c>
      <c r="S34" s="101">
        <f>IFERROR(S33/S$27,"")</f>
        <v>0.0357785412425604</v>
      </c>
      <c r="T34" s="101">
        <f>IFERROR(T33/T$27,"")</f>
        <v>0.0357807324186162</v>
      </c>
      <c r="Z34" s="83" t="inlineStr">
        <is>
          <t xml:space="preserve">   FCF Yield (on PT)</t>
        </is>
      </c>
      <c r="AC34" s="101" t="n"/>
      <c r="AD34" s="101">
        <f>IFERROR(AD33/AD$27,"")</f>
        <v>0.0510172364125497</v>
      </c>
      <c r="AE34" s="101">
        <f>IFERROR(AE33/AE$27,"")</f>
        <v>0.0508866409104838</v>
      </c>
      <c r="AF34" s="101">
        <f>IFERROR(AF33/AF$27,"")</f>
        <v>0.050860496613572</v>
      </c>
    </row>
    <row r="35" ht="15" customHeight="1" s="251">
      <c r="B35" s="79" t="inlineStr">
        <is>
          <t>Adjusted EBITDA (leverage basis)</t>
        </is>
      </c>
      <c r="C35" s="80">
        <f>Model!BW256</f>
        <v>7638.28237019501</v>
      </c>
      <c r="D35" s="81">
        <f>Model!BX256</f>
        <v>8309.23590278871</v>
      </c>
      <c r="E35" s="81">
        <f>Model!BY256</f>
        <v>8971.21637019134</v>
      </c>
      <c r="F35" s="81">
        <f>Model!BZ256</f>
        <v>9618.8125084069</v>
      </c>
      <c r="G35" s="81">
        <f>Model!CA256</f>
        <v>10291.8863013447</v>
      </c>
      <c r="H35" s="81">
        <f>Model!CB256</f>
        <v>10979.3966480012</v>
      </c>
      <c r="I35" s="299">
        <f>IFERROR((H35/C35)^(1/5)-1,"n/m")</f>
        <v>0.0752675834542678</v>
      </c>
      <c r="N35" s="79" t="inlineStr">
        <is>
          <t>Adjusted EBITDA (leverage basis)</t>
        </is>
      </c>
      <c r="O35" s="80" t="n">
        <v>7685.44782140602</v>
      </c>
      <c r="P35" s="81" t="n">
        <v>8775.475546200871</v>
      </c>
      <c r="Q35" s="81" t="n">
        <v>9750.47313327429</v>
      </c>
      <c r="R35" s="81" t="n">
        <v>10758.2938295333</v>
      </c>
      <c r="S35" s="81" t="n">
        <v>11844.6865134829</v>
      </c>
      <c r="T35" s="81" t="n">
        <v>13000.8357237689</v>
      </c>
      <c r="U35" s="299" t="n">
        <v>0.110862786890185</v>
      </c>
      <c r="Z35" s="79" t="inlineStr">
        <is>
          <t>Adjusted EBITDA (leverage basis)</t>
        </is>
      </c>
      <c r="AA35" s="80" t="n">
        <v>7591.06851609444</v>
      </c>
      <c r="AB35" s="81" t="n">
        <v>7422.47845004157</v>
      </c>
      <c r="AC35" s="81" t="n">
        <v>7564.12274716437</v>
      </c>
      <c r="AD35" s="81" t="n">
        <v>7658.9854133518</v>
      </c>
      <c r="AE35" s="81" t="n">
        <v>7745.24531456233</v>
      </c>
      <c r="AF35" s="81" t="n">
        <v>7816.05128971235</v>
      </c>
      <c r="AG35" s="299" t="n">
        <v>0.00585851756218503</v>
      </c>
    </row>
    <row r="36" ht="15" customHeight="1" s="251">
      <c r="B36" s="83" t="inlineStr">
        <is>
          <t xml:space="preserve">   Adjusted EBITDA % of revenue</t>
        </is>
      </c>
      <c r="C36" s="88">
        <f>IFERROR(C35/C9,"")</f>
        <v>0.525812014642271</v>
      </c>
      <c r="D36" s="89">
        <f>IFERROR(D35/D9,"")</f>
        <v>0.538644271172731</v>
      </c>
      <c r="E36" s="89">
        <f>IFERROR(E35/E9,"")</f>
        <v>0.543157602835609</v>
      </c>
      <c r="F36" s="89">
        <f>IFERROR(F35/F9,"")</f>
        <v>0.544949186875856</v>
      </c>
      <c r="G36" s="89">
        <f>IFERROR(G35/G9,"")</f>
        <v>0.547169828320479</v>
      </c>
      <c r="H36" s="89">
        <f>IFERROR(H35/H9,"")</f>
        <v>0.54781934451612</v>
      </c>
      <c r="J36" s="90">
        <f>IFERROR(AVERAGE(Model!C304,Model!D304,Model!E304,Model!J304,Model!O304,Model!T304,Model!Y304,Model!AD304,Model!AI304,Model!AN304,Model!AS304,Model!AX304,Model!BC304,Model!BH304,Model!BM304,Model!BR304),"")</f>
        <v>0.441711445571933</v>
      </c>
      <c r="K36" s="90">
        <f>IFERROR(MIN(Model!C304,Model!D304,Model!E304,Model!J304,Model!O304,Model!T304,Model!Y304,Model!AD304,Model!AI304,Model!AN304,Model!AS304,Model!AX304,Model!BC304,Model!BH304,Model!BM304,Model!BR304),"")</f>
        <v>0.302731411229135</v>
      </c>
      <c r="L36" s="90">
        <f>IFERROR(MAX(Model!C304,Model!D304,Model!E304,Model!J304,Model!O304,Model!T304,Model!Y304,Model!AD304,Model!AI304,Model!AN304,Model!AS304,Model!AX304,Model!BC304,Model!BH304,Model!BM304,Model!BR304),"")</f>
        <v>0.562010365192238</v>
      </c>
      <c r="N36" s="83" t="inlineStr">
        <is>
          <t xml:space="preserve">   Adjusted EBITDA % of revenue</t>
        </is>
      </c>
      <c r="O36" s="88" t="n">
        <v>0.524155605973213</v>
      </c>
      <c r="P36" s="89" t="n">
        <v>0.548385119011534</v>
      </c>
      <c r="Q36" s="89" t="n">
        <v>0.552916110194976</v>
      </c>
      <c r="R36" s="89" t="n">
        <v>0.5548326429252201</v>
      </c>
      <c r="S36" s="89" t="n">
        <v>0.557315489402923</v>
      </c>
      <c r="T36" s="89" t="n">
        <v>0.558323056994812</v>
      </c>
      <c r="V36" s="90" t="n">
        <v>0.441711445571933</v>
      </c>
      <c r="W36" s="90" t="n">
        <v>0.302731411229135</v>
      </c>
      <c r="X36" s="90" t="n">
        <v>0.562010365192238</v>
      </c>
      <c r="Z36" s="83" t="inlineStr">
        <is>
          <t xml:space="preserve">   Adjusted EBITDA % of revenue</t>
        </is>
      </c>
      <c r="AA36" s="88" t="n">
        <v>0.527496342344777</v>
      </c>
      <c r="AB36" s="89" t="n">
        <v>0.513206648105739</v>
      </c>
      <c r="AC36" s="89" t="n">
        <v>0.516629469393467</v>
      </c>
      <c r="AD36" s="89" t="n">
        <v>0.517435656736998</v>
      </c>
      <c r="AE36" s="89" t="n">
        <v>0.51866081514854</v>
      </c>
      <c r="AF36" s="89" t="n">
        <v>0.518432735455877</v>
      </c>
      <c r="AH36" s="90" t="n">
        <v>0.441711445571933</v>
      </c>
      <c r="AI36" s="90" t="n">
        <v>0.302731411229135</v>
      </c>
      <c r="AJ36" s="90" t="n">
        <v>0.562010365192238</v>
      </c>
    </row>
    <row r="38" ht="15" customHeight="1" s="251">
      <c r="B38" s="79" t="inlineStr">
        <is>
          <t>Net Debt</t>
        </is>
      </c>
      <c r="C38" s="80">
        <f>Model!BW482</f>
        <v>12314.8973737703</v>
      </c>
      <c r="D38" s="81">
        <f>Model!BX482</f>
        <v>12463.8538541831</v>
      </c>
      <c r="E38" s="81">
        <f>Model!BY482</f>
        <v>13456.824555287</v>
      </c>
      <c r="F38" s="81">
        <f>Model!BZ482</f>
        <v>14428.2187626103</v>
      </c>
      <c r="G38" s="81">
        <f>Model!CA482</f>
        <v>15437.8294520171</v>
      </c>
      <c r="H38" s="81">
        <f>Model!CB482</f>
        <v>16469.0949720018</v>
      </c>
      <c r="N38" s="79" t="inlineStr">
        <is>
          <t>Net Debt</t>
        </is>
      </c>
      <c r="O38" s="80" t="n">
        <v>12496.7061526472</v>
      </c>
      <c r="P38" s="81" t="n">
        <v>15357.0822058515</v>
      </c>
      <c r="Q38" s="81" t="n">
        <v>17063.32798323</v>
      </c>
      <c r="R38" s="81" t="n">
        <v>18827.0142016833</v>
      </c>
      <c r="S38" s="81" t="n">
        <v>20728.2013985951</v>
      </c>
      <c r="T38" s="81" t="n">
        <v>22751.4625165956</v>
      </c>
      <c r="Z38" s="79" t="inlineStr">
        <is>
          <t>Net Debt</t>
        </is>
      </c>
      <c r="AA38" s="80" t="n">
        <v>12133.1262454958</v>
      </c>
      <c r="AB38" s="81" t="n">
        <v>9278.098062551961</v>
      </c>
      <c r="AC38" s="81" t="n">
        <v>9455.15343395546</v>
      </c>
      <c r="AD38" s="81" t="n">
        <v>9573.731766689751</v>
      </c>
      <c r="AE38" s="81" t="n">
        <v>9681.55664320291</v>
      </c>
      <c r="AF38" s="81" t="n">
        <v>9770.06411214043</v>
      </c>
    </row>
    <row r="39" ht="15" customHeight="1" s="251">
      <c r="B39" s="83" t="inlineStr">
        <is>
          <t xml:space="preserve">   Net Debt / Adjusted EBITDA (x)</t>
        </is>
      </c>
      <c r="C39" s="102">
        <f>IFERROR(C38/C35,"")</f>
        <v>1.61226003136827</v>
      </c>
      <c r="D39" s="103">
        <f>IFERROR(D38/D35,"")</f>
        <v>1.5</v>
      </c>
      <c r="E39" s="103">
        <f>IFERROR(E38/E35,"")</f>
        <v>1.5</v>
      </c>
      <c r="F39" s="103">
        <f>IFERROR(F38/F35,"")</f>
        <v>1.5</v>
      </c>
      <c r="G39" s="103">
        <f>IFERROR(G38/G35,"")</f>
        <v>1.5</v>
      </c>
      <c r="H39" s="103">
        <f>IFERROR(H38/H35,"")</f>
        <v>1.5</v>
      </c>
      <c r="N39" s="83" t="inlineStr">
        <is>
          <t xml:space="preserve">   Net Debt / Adjusted EBITDA (x)</t>
        </is>
      </c>
      <c r="O39" s="102" t="n">
        <v>1.62602185884868</v>
      </c>
      <c r="P39" s="103" t="n">
        <v>1.75</v>
      </c>
      <c r="Q39" s="103" t="n">
        <v>1.75</v>
      </c>
      <c r="R39" s="103" t="n">
        <v>1.75</v>
      </c>
      <c r="S39" s="103" t="n">
        <v>1.75</v>
      </c>
      <c r="T39" s="103" t="n">
        <v>1.75</v>
      </c>
      <c r="Z39" s="83" t="inlineStr">
        <is>
          <t xml:space="preserve">   Net Debt / Adjusted EBITDA (x)</t>
        </is>
      </c>
      <c r="AA39" s="102" t="n">
        <v>1.59834234400222</v>
      </c>
      <c r="AB39" s="103" t="n">
        <v>1.25</v>
      </c>
      <c r="AC39" s="103" t="n">
        <v>1.25</v>
      </c>
      <c r="AD39" s="103" t="n">
        <v>1.25</v>
      </c>
      <c r="AE39" s="103" t="n">
        <v>1.25</v>
      </c>
      <c r="AF39" s="103" t="n">
        <v>1.25</v>
      </c>
    </row>
    <row r="40" ht="15" customHeight="1" s="251">
      <c r="B40" s="252" t="inlineStr">
        <is>
          <t xml:space="preserve">   Share repurchases ($m; FY2026E = 2H)</t>
        </is>
      </c>
      <c r="C40" s="102" t="n"/>
      <c r="D40" s="248">
        <f>Model!BX353</f>
        <v>4348.87689054758</v>
      </c>
      <c r="E40" s="248">
        <f>Model!BY353</f>
        <v>5682.16159477026</v>
      </c>
      <c r="F40" s="248">
        <f>Model!BZ353</f>
        <v>6067.05029778714</v>
      </c>
      <c r="G40" s="248">
        <f>Model!CA353</f>
        <v>6537.93562135185</v>
      </c>
      <c r="H40" s="248">
        <f>Model!CB353</f>
        <v>7022.06851843828</v>
      </c>
      <c r="N40" s="252" t="inlineStr">
        <is>
          <t xml:space="preserve">   Share repurchases ($m; FY2026E = 2H)</t>
        </is>
      </c>
      <c r="O40" s="102" t="n"/>
      <c r="P40" s="248" t="n">
        <v>6996.67058812227</v>
      </c>
      <c r="Q40" s="248" t="n">
        <v>6516.84997051118</v>
      </c>
      <c r="R40" s="248" t="n">
        <v>7251.37271861854</v>
      </c>
      <c r="S40" s="248" t="n">
        <v>8118.26544086507</v>
      </c>
      <c r="T40" s="248" t="n">
        <v>9041.503992754489</v>
      </c>
      <c r="Z40" s="83" t="n"/>
      <c r="AA40" s="102" t="n"/>
      <c r="AB40" s="103" t="n">
        <v>1016.16250009057</v>
      </c>
      <c r="AC40" s="103" t="n">
        <v>4198.41454605578</v>
      </c>
      <c r="AD40" s="103" t="n">
        <v>4159.96584893883</v>
      </c>
      <c r="AE40" s="103" t="n">
        <v>4167.65860526245</v>
      </c>
      <c r="AF40" s="103" t="n">
        <v>4170.32721510228</v>
      </c>
    </row>
    <row r="41" ht="15" customHeight="1" s="251">
      <c r="B41" s="252" t="inlineStr">
        <is>
          <t xml:space="preserve">   Implied avg buyback price ($)</t>
        </is>
      </c>
      <c r="C41" s="102" t="n"/>
      <c r="D41" s="249">
        <f>Model!BX352</f>
        <v>448.2</v>
      </c>
      <c r="E41" s="249">
        <f>Model!BY352</f>
        <v>484.056</v>
      </c>
      <c r="F41" s="249">
        <f>Model!BZ352</f>
        <v>522.78048</v>
      </c>
      <c r="G41" s="249">
        <f>Model!CA352</f>
        <v>564.6029184</v>
      </c>
      <c r="H41" s="249">
        <f>Model!CB352</f>
        <v>609.771151872</v>
      </c>
      <c r="N41" s="252" t="inlineStr">
        <is>
          <t xml:space="preserve">   Implied avg buyback price ($)</t>
        </is>
      </c>
      <c r="O41" s="102" t="n"/>
      <c r="P41" s="249" t="n">
        <v>448.2</v>
      </c>
      <c r="Q41" s="249" t="n">
        <v>484.056</v>
      </c>
      <c r="R41" s="249" t="n">
        <v>522.78048</v>
      </c>
      <c r="S41" s="249" t="n">
        <v>564.6029184</v>
      </c>
      <c r="T41" s="249" t="n">
        <v>609.771151872</v>
      </c>
      <c r="Z41" s="83" t="n"/>
      <c r="AA41" s="102" t="n"/>
      <c r="AB41" s="103" t="n">
        <v>448.2</v>
      </c>
      <c r="AC41" s="103" t="n">
        <v>484.056</v>
      </c>
      <c r="AD41" s="103" t="n">
        <v>522.78048</v>
      </c>
      <c r="AE41" s="103" t="n">
        <v>564.6029184</v>
      </c>
      <c r="AF41" s="103" t="n">
        <v>609.771151872</v>
      </c>
    </row>
    <row r="42" ht="15" customHeight="1" s="251">
      <c r="B42" s="252" t="inlineStr">
        <is>
          <t xml:space="preserve">   Shares repurchased (m)</t>
        </is>
      </c>
      <c r="C42" s="102" t="n"/>
      <c r="D42" s="250">
        <f>Model!BX354</f>
        <v>9.70298279907982</v>
      </c>
      <c r="E42" s="250">
        <f>Model!BY354</f>
        <v>11.7386451046372</v>
      </c>
      <c r="F42" s="250">
        <f>Model!BZ354</f>
        <v>11.6053497211433</v>
      </c>
      <c r="G42" s="250">
        <f>Model!CA354</f>
        <v>11.5797056803733</v>
      </c>
      <c r="H42" s="250">
        <f>Model!CB354</f>
        <v>11.5159080531778</v>
      </c>
      <c r="N42" s="252" t="inlineStr">
        <is>
          <t xml:space="preserve">   Shares repurchased (m)</t>
        </is>
      </c>
      <c r="O42" s="102" t="n"/>
      <c r="P42" s="250" t="n">
        <v>15.6105992595321</v>
      </c>
      <c r="Q42" s="250" t="n">
        <v>13.4630083513295</v>
      </c>
      <c r="R42" s="250" t="n">
        <v>13.8707794113096</v>
      </c>
      <c r="S42" s="250" t="n">
        <v>14.3787167517147</v>
      </c>
      <c r="T42" s="250" t="n">
        <v>14.8277004659814</v>
      </c>
      <c r="Z42" s="83" t="n"/>
      <c r="AA42" s="102" t="n"/>
      <c r="AB42" s="103" t="n">
        <v>2.26720771997004</v>
      </c>
      <c r="AC42" s="103" t="n">
        <v>8.673406684465791</v>
      </c>
      <c r="AD42" s="103" t="n">
        <v>7.95738557212165</v>
      </c>
      <c r="AE42" s="103" t="n">
        <v>7.38157467742634</v>
      </c>
      <c r="AF42" s="103" t="n">
        <v>6.83916778007513</v>
      </c>
    </row>
    <row r="44" ht="15" customHeight="1" s="251">
      <c r="B44" s="79" t="inlineStr">
        <is>
          <t>ROIC</t>
        </is>
      </c>
      <c r="C44" s="86">
        <f>Model!BW465</f>
        <v>0.162350827206064</v>
      </c>
      <c r="D44" s="87">
        <f>Model!BX465</f>
        <v>0.18036487339788</v>
      </c>
      <c r="E44" s="87">
        <f>Model!BY465</f>
        <v>0.196459520602606</v>
      </c>
      <c r="F44" s="87">
        <f>Model!BZ465</f>
        <v>0.21242800127187</v>
      </c>
      <c r="G44" s="87">
        <f>Model!CA465</f>
        <v>0.229128333163628</v>
      </c>
      <c r="H44" s="87">
        <f>Model!CB465</f>
        <v>0.246389040347788</v>
      </c>
      <c r="J44" s="90">
        <f>IFERROR(AVERAGE(Model!C465,Model!D465,Model!E465,Model!J465,Model!O465,Model!T465,Model!Y465,Model!AD465,Model!AI465,Model!AN465,Model!AS465,Model!AX465,Model!BC465,Model!BH465,Model!BM465,Model!BR465),"")</f>
        <v>0.43131079657961</v>
      </c>
      <c r="K44" s="90">
        <f>IFERROR(MIN(Model!C465,Model!D465,Model!E465,Model!J465,Model!O465,Model!T465,Model!Y465,Model!AD465,Model!AI465,Model!AN465,Model!AS465,Model!AX465,Model!BC465,Model!BH465,Model!BM465,Model!BR465),"")</f>
        <v>-0.216653830338553</v>
      </c>
      <c r="L44" s="90">
        <f>IFERROR(MAX(Model!C465,Model!D465,Model!E465,Model!J465,Model!O465,Model!T465,Model!Y465,Model!AD465,Model!AI465,Model!AN465,Model!AS465,Model!AX465,Model!BC465,Model!BH465,Model!BM465,Model!BR465),"")</f>
        <v>1.07463251986579</v>
      </c>
      <c r="N44" s="79" t="inlineStr">
        <is>
          <t>ROIC</t>
        </is>
      </c>
      <c r="O44" s="86" t="n">
        <v>0.163548262207162</v>
      </c>
      <c r="P44" s="87" t="n">
        <v>0.188479058389044</v>
      </c>
      <c r="Q44" s="87" t="n">
        <v>0.209204215061699</v>
      </c>
      <c r="R44" s="87" t="n">
        <v>0.230665838208211</v>
      </c>
      <c r="S44" s="87" t="n">
        <v>0.253863090059898</v>
      </c>
      <c r="T44" s="87" t="n">
        <v>0.278736614635261</v>
      </c>
      <c r="V44" s="90" t="n">
        <v>0.43131079657961</v>
      </c>
      <c r="W44" s="90" t="n">
        <v>-0.216653830338553</v>
      </c>
      <c r="X44" s="90" t="n">
        <v>1.07463251986579</v>
      </c>
      <c r="Z44" s="79" t="inlineStr">
        <is>
          <t>ROIC</t>
        </is>
      </c>
      <c r="AA44" s="86" t="n">
        <v>0.161154663374809</v>
      </c>
      <c r="AB44" s="87" t="n">
        <v>0.162289848276954</v>
      </c>
      <c r="AC44" s="87" t="n">
        <v>0.168086421815794</v>
      </c>
      <c r="AD44" s="87" t="n">
        <v>0.172835264216505</v>
      </c>
      <c r="AE44" s="87" t="n">
        <v>0.177354068359921</v>
      </c>
      <c r="AF44" s="87" t="n">
        <v>0.181510908323056</v>
      </c>
      <c r="AH44" s="90" t="n">
        <v>0.43131079657961</v>
      </c>
      <c r="AI44" s="90" t="n">
        <v>-0.216653830338553</v>
      </c>
      <c r="AJ44" s="90" t="n">
        <v>1.07463251986579</v>
      </c>
    </row>
    <row r="45" ht="15" customHeight="1" s="251">
      <c r="B45" s="79" t="inlineStr">
        <is>
          <t>ROE</t>
        </is>
      </c>
      <c r="C45" s="86">
        <f>Model!BW480</f>
        <v>0.274625067432783</v>
      </c>
      <c r="D45" s="87">
        <f>Model!BX480</f>
        <v>0.282899160653457</v>
      </c>
      <c r="E45" s="87">
        <f>Model!BY480</f>
        <v>0.334093679211185</v>
      </c>
      <c r="F45" s="87">
        <f>Model!BZ480</f>
        <v>0.390078728289989</v>
      </c>
      <c r="G45" s="87">
        <f>Model!CA480</f>
        <v>0.459316681625031</v>
      </c>
      <c r="H45" s="87">
        <f>Model!CB480</f>
        <v>0.544884112595258</v>
      </c>
      <c r="J45" s="90">
        <f>IFERROR(AVERAGE(Model!C480,Model!D480,Model!E480,Model!J480,Model!O480,Model!T480,Model!Y480,Model!AD480,Model!AI480,Model!AN480,Model!AS480,Model!AX480,Model!BC480,Model!BH480,Model!BM480,Model!BR480),"")</f>
        <v>1.91099238907216</v>
      </c>
      <c r="K45" s="90">
        <f>IFERROR(MIN(Model!C480,Model!D480,Model!E480,Model!J480,Model!O480,Model!T480,Model!Y480,Model!AD480,Model!AI480,Model!AN480,Model!AS480,Model!AX480,Model!BC480,Model!BH480,Model!BM480,Model!BR480),"")</f>
        <v>-0.235655737704918</v>
      </c>
      <c r="L45" s="90">
        <f>IFERROR(MAX(Model!C480,Model!D480,Model!E480,Model!J480,Model!O480,Model!T480,Model!Y480,Model!AD480,Model!AI480,Model!AN480,Model!AS480,Model!AX480,Model!BC480,Model!BH480,Model!BM480,Model!BR480),"")</f>
        <v>5.95876288659794</v>
      </c>
      <c r="N45" s="79" t="inlineStr">
        <is>
          <t>ROE</t>
        </is>
      </c>
      <c r="O45" s="86" t="n">
        <v>0.279939640821897</v>
      </c>
      <c r="P45" s="87" t="n">
        <v>0.352580629096967</v>
      </c>
      <c r="Q45" s="87" t="n">
        <v>0.440525293644898</v>
      </c>
      <c r="R45" s="87" t="n">
        <v>0.562286693455981</v>
      </c>
      <c r="S45" s="87" t="n">
        <v>0.743700319636849</v>
      </c>
      <c r="T45" s="87" t="n">
        <v>1.03940653937166</v>
      </c>
      <c r="V45" s="90" t="n">
        <v>1.91099238907216</v>
      </c>
      <c r="W45" s="90" t="n">
        <v>-0.235655737704918</v>
      </c>
      <c r="X45" s="90" t="n">
        <v>5.95876288659794</v>
      </c>
      <c r="Z45" s="79" t="inlineStr">
        <is>
          <t>ROE</t>
        </is>
      </c>
      <c r="AA45" s="86" t="n">
        <v>0.269436793906977</v>
      </c>
      <c r="AB45" s="87" t="n">
        <v>0.212191074742544</v>
      </c>
      <c r="AC45" s="87" t="n">
        <v>0.229914774128709</v>
      </c>
      <c r="AD45" s="87" t="n">
        <v>0.241631824690772</v>
      </c>
      <c r="AE45" s="87" t="n">
        <v>0.25378256854494</v>
      </c>
      <c r="AF45" s="87" t="n">
        <v>0.265816889532051</v>
      </c>
      <c r="AH45" s="90" t="n">
        <v>1.91099238907216</v>
      </c>
      <c r="AI45" s="90" t="n">
        <v>-0.235655737704918</v>
      </c>
      <c r="AJ45" s="90" t="n">
        <v>5.95876288659794</v>
      </c>
    </row>
    <row r="47" ht="15" customHeight="1" s="251">
      <c r="B47" s="83" t="inlineStr">
        <is>
          <t>Implied Market Cap (USDm)</t>
        </is>
      </c>
      <c r="E47" s="104" t="n"/>
      <c r="F47" s="104">
        <f>F27*F21</f>
        <v>166544.53016158</v>
      </c>
      <c r="G47" s="104">
        <f>G27*G21</f>
        <v>177766.151725356</v>
      </c>
      <c r="H47" s="104">
        <f>H27*H21</f>
        <v>189367.870403069</v>
      </c>
      <c r="N47" s="83" t="inlineStr">
        <is>
          <t>Implied Market Cap (USDm)</t>
        </is>
      </c>
      <c r="Q47" s="104" t="n"/>
      <c r="R47" s="104">
        <f>R27*R21</f>
        <v>212830.370464147</v>
      </c>
      <c r="S47" s="104">
        <f>S27*S21</f>
        <v>233469.321542675</v>
      </c>
      <c r="T47" s="104">
        <f>T27*T21</f>
        <v>255581.996249986</v>
      </c>
      <c r="Z47" s="83" t="inlineStr">
        <is>
          <t>Implied Market Cap (USDm)</t>
        </is>
      </c>
      <c r="AC47" s="104" t="n"/>
      <c r="AD47" s="104">
        <f>AD27*AD21</f>
        <v>103260.552265791</v>
      </c>
      <c r="AE47" s="104">
        <f>AE27*AE21</f>
        <v>104448.554196409</v>
      </c>
      <c r="AF47" s="104">
        <f>AF27*AF21</f>
        <v>105547.157045218</v>
      </c>
    </row>
    <row r="48" ht="15" customHeight="1" s="251">
      <c r="B48" s="83" t="inlineStr">
        <is>
          <t>(+) Net Debt &amp; NCI</t>
        </is>
      </c>
      <c r="E48" s="104" t="n"/>
      <c r="F48" s="104">
        <f>F38+Model!BZ492</f>
        <v>19567.2187626103</v>
      </c>
      <c r="G48" s="104">
        <f>G38+Model!CA492</f>
        <v>20576.8294520171</v>
      </c>
      <c r="H48" s="104">
        <f>H38+Model!CB492</f>
        <v>21608.0949720018</v>
      </c>
      <c r="N48" s="83" t="inlineStr">
        <is>
          <t>(+) Net Debt &amp; NCI</t>
        </is>
      </c>
      <c r="Q48" s="104" t="n"/>
      <c r="R48" s="104">
        <f>R38+Model!BZ492</f>
        <v>23966.0142016833</v>
      </c>
      <c r="S48" s="104">
        <f>S38+Model!CA492</f>
        <v>25867.2013985951</v>
      </c>
      <c r="T48" s="104">
        <f>T38+Model!CB492</f>
        <v>27890.4625165956</v>
      </c>
      <c r="Z48" s="83" t="inlineStr">
        <is>
          <t>(+) Net Debt &amp; NCI</t>
        </is>
      </c>
      <c r="AC48" s="104" t="n"/>
      <c r="AD48" s="104">
        <f>AD38+Model!BZ492</f>
        <v>14712.7317666898</v>
      </c>
      <c r="AE48" s="104">
        <f>AE38+Model!CA492</f>
        <v>14820.5566432029</v>
      </c>
      <c r="AF48" s="104">
        <f>AF38+Model!CB492</f>
        <v>14909.0641121404</v>
      </c>
    </row>
    <row r="49" ht="15" customHeight="1" s="251">
      <c r="B49" s="83" t="inlineStr">
        <is>
          <t>Implied Enterprise Value (USDm)</t>
        </is>
      </c>
      <c r="E49" s="104" t="n"/>
      <c r="F49" s="104">
        <f>F47+F48</f>
        <v>186111.74892419</v>
      </c>
      <c r="G49" s="104">
        <f>G47+G48</f>
        <v>198342.981177373</v>
      </c>
      <c r="H49" s="104">
        <f>H47+H48</f>
        <v>210975.965375071</v>
      </c>
      <c r="N49" s="83" t="inlineStr">
        <is>
          <t>Implied Enterprise Value (USDm)</t>
        </is>
      </c>
      <c r="Q49" s="104" t="n"/>
      <c r="R49" s="104">
        <f>R47+R48</f>
        <v>236796.38466583</v>
      </c>
      <c r="S49" s="104">
        <f>S47+S48</f>
        <v>259336.52294127</v>
      </c>
      <c r="T49" s="104">
        <f>T47+T48</f>
        <v>283472.458766581</v>
      </c>
      <c r="Z49" s="83" t="inlineStr">
        <is>
          <t>Implied Enterprise Value (USDm)</t>
        </is>
      </c>
      <c r="AC49" s="104" t="n"/>
      <c r="AD49" s="104">
        <f>AD47+AD48</f>
        <v>117973.284032481</v>
      </c>
      <c r="AE49" s="104">
        <f>AE47+AE48</f>
        <v>119269.110839612</v>
      </c>
      <c r="AF49" s="104">
        <f>AF47+AF48</f>
        <v>120456.221157358</v>
      </c>
    </row>
    <row r="50" ht="15" customHeight="1" s="251">
      <c r="B50" s="83" t="inlineStr">
        <is>
          <t>Implied EV / Adjusted EBITDA (x)</t>
        </is>
      </c>
      <c r="E50" s="105" t="n"/>
      <c r="F50" s="105">
        <f>IFERROR(F49/F35,"")</f>
        <v>19.3487240510746</v>
      </c>
      <c r="G50" s="105">
        <f>IFERROR(G49/G35,"")</f>
        <v>19.27178122357</v>
      </c>
      <c r="H50" s="105">
        <f>IFERROR(H49/H35,"")</f>
        <v>19.2156246958688</v>
      </c>
      <c r="N50" s="83" t="inlineStr">
        <is>
          <t>Implied EV / Adjusted EBITDA (x)</t>
        </is>
      </c>
      <c r="Q50" s="105" t="n"/>
      <c r="R50" s="105">
        <f>IFERROR(R49/R35,"")</f>
        <v>22.0105890783337</v>
      </c>
      <c r="S50" s="105">
        <f>IFERROR(S49/S35,"")</f>
        <v>21.8947561546746</v>
      </c>
      <c r="T50" s="105">
        <f>IFERROR(T49/T35,"")</f>
        <v>21.804172038596</v>
      </c>
      <c r="Z50" s="83" t="inlineStr">
        <is>
          <t>Implied EV / Adjusted EBITDA (x)</t>
        </is>
      </c>
      <c r="AC50" s="105" t="n"/>
      <c r="AD50" s="105">
        <f>IFERROR(AD49/AD35,"")</f>
        <v>15.40325221495</v>
      </c>
      <c r="AE50" s="105">
        <f>IFERROR(AE49/AE35,"")</f>
        <v>15.3990101017673</v>
      </c>
      <c r="AF50" s="105">
        <f>IFERROR(AF49/AF35,"")</f>
        <v>15.4113908279882</v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0"/>
  <sheetViews>
    <sheetView showGridLines="0" zoomScale="50" zoomScaleNormal="50" workbookViewId="0">
      <selection activeCell="D61" sqref="D61"/>
    </sheetView>
  </sheetViews>
  <sheetFormatPr baseColWidth="8" defaultColWidth="8.5703125" defaultRowHeight="15"/>
  <cols>
    <col width="3.42578125" customWidth="1" style="251" min="1" max="1"/>
    <col width="55.28515625" customWidth="1" style="251" min="2" max="2"/>
    <col width="12.5703125" customWidth="1" style="251" min="3" max="14"/>
    <col width="2.28515625" customWidth="1" style="251" min="15" max="15"/>
    <col width="14.85546875" customWidth="1" style="251" min="16" max="17"/>
  </cols>
  <sheetData>
    <row r="1">
      <c r="A1" s="192" t="n"/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192" t="n"/>
    </row>
    <row r="2" ht="24" customHeight="1" s="251">
      <c r="A2" s="192" t="n"/>
      <c r="B2" s="193" t="inlineStr">
        <is>
          <t>DCF VALUATION — S&amp;P GLOBAL INC. (SPGI)</t>
        </is>
      </c>
      <c r="C2" s="194" t="n"/>
      <c r="D2" s="194" t="n"/>
      <c r="E2" s="194" t="n"/>
      <c r="F2" s="194" t="n"/>
      <c r="G2" s="194" t="n"/>
      <c r="H2" s="194" t="n"/>
      <c r="I2" s="194" t="n"/>
      <c r="J2" s="194" t="n"/>
      <c r="K2" s="194" t="n"/>
      <c r="L2" s="194" t="n"/>
      <c r="M2" s="194" t="n"/>
      <c r="N2" s="194" t="n"/>
      <c r="O2" s="192" t="n"/>
      <c r="P2" s="192" t="n"/>
      <c r="Q2" s="192" t="n"/>
    </row>
    <row r="3" ht="15" customHeight="1" s="251">
      <c r="A3" s="192" t="n"/>
      <c r="B3" s="192" t="n"/>
      <c r="C3" s="192" t="n"/>
      <c r="D3" s="192" t="n"/>
      <c r="E3" s="192" t="n"/>
      <c r="F3" s="192" t="n"/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</row>
    <row r="4" ht="15.75" customHeight="1" s="251">
      <c r="A4" s="192" t="n"/>
      <c r="B4" s="195" t="inlineStr">
        <is>
          <t>1. WACC BUILD</t>
        </is>
      </c>
      <c r="C4" s="196" t="n"/>
      <c r="D4" s="196" t="n"/>
      <c r="E4" s="196" t="n"/>
      <c r="F4" s="196" t="n"/>
      <c r="G4" s="196" t="n"/>
      <c r="H4" s="196" t="n"/>
      <c r="I4" s="196" t="n"/>
      <c r="J4" s="196" t="n"/>
      <c r="K4" s="196" t="n"/>
      <c r="L4" s="196" t="n"/>
      <c r="M4" s="196" t="n"/>
      <c r="N4" s="196" t="n"/>
      <c r="O4" s="192" t="n"/>
      <c r="P4" s="192" t="n"/>
      <c r="Q4" s="192" t="n"/>
    </row>
    <row r="5" ht="15.75" customHeight="1" s="251">
      <c r="A5" s="192" t="n"/>
      <c r="B5" s="197" t="inlineStr">
        <is>
          <t>Risk-free rate (US 10Y govt)</t>
        </is>
      </c>
      <c r="C5" s="169" t="n">
        <v>0.0425</v>
      </c>
      <c r="D5" s="198" t="inlineStr">
        <is>
          <t>Assumption (~US 10Y Treasury yield, Oct-2026; government rate sources not reachable from the build environment); update to market</t>
        </is>
      </c>
      <c r="E5" s="192" t="n"/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</row>
    <row r="6" ht="15.75" customHeight="1" s="251">
      <c r="A6" s="192" t="n"/>
      <c r="B6" s="197" t="inlineStr">
        <is>
          <t>Equity risk premium</t>
        </is>
      </c>
      <c r="C6" s="169" t="n">
        <v>0.05</v>
      </c>
      <c r="D6" s="198" t="inlineStr">
        <is>
          <t>Assumption: US implied ERP ~4.5–5.5%</t>
        </is>
      </c>
      <c r="E6" s="192" t="n"/>
      <c r="F6" s="192" t="n"/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</row>
    <row r="7" ht="15.75" customHeight="1" s="251">
      <c r="A7" s="192" t="n"/>
      <c r="B7" s="197" t="inlineStr">
        <is>
          <t>Levered beta</t>
        </is>
      </c>
      <c r="C7" s="170" t="n">
        <v>1</v>
      </c>
      <c r="D7" s="198" t="inlineStr">
        <is>
          <t>Assumption: information-services / benchmark peers (MCO, MSCI, ICE, CME, VRSK, FDS) ~0.9–1.1; Ratings issuance and Indices asset-linked fees are market-sensitive, subscriptions defensive</t>
        </is>
      </c>
      <c r="E7" s="192" t="n"/>
      <c r="F7" s="192" t="n"/>
      <c r="G7" s="192" t="n"/>
      <c r="H7" s="192" t="n"/>
      <c r="I7" s="192" t="n"/>
      <c r="J7" s="192" t="n"/>
      <c r="K7" s="192" t="n"/>
      <c r="L7" s="192" t="n"/>
      <c r="M7" s="192" t="n"/>
      <c r="N7" s="192" t="n"/>
      <c r="O7" s="192" t="n"/>
      <c r="P7" s="192" t="n"/>
      <c r="Q7" s="192" t="n"/>
    </row>
    <row r="8" ht="15.75" customHeight="1" s="251">
      <c r="A8" s="192" t="n"/>
      <c r="B8" s="197" t="inlineStr">
        <is>
          <t>Cost of equity</t>
        </is>
      </c>
      <c r="C8" s="171">
        <f>C5+C7*C6</f>
        <v>0.0925</v>
      </c>
      <c r="D8" s="198" t="n"/>
      <c r="E8" s="192" t="n"/>
      <c r="F8" s="192" t="n"/>
      <c r="G8" s="192" t="n"/>
      <c r="H8" s="192" t="n"/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</row>
    <row r="9" ht="15.75" customHeight="1" s="251">
      <c r="A9" s="192" t="n"/>
      <c r="B9" s="197" t="inlineStr">
        <is>
          <t>Pre-tax cost of debt</t>
        </is>
      </c>
      <c r="C9" s="169" t="n">
        <v>0.05</v>
      </c>
      <c r="D9" s="198" t="inlineStr">
        <is>
          <t>Recent issues: $600m 4.25% 2031 and $400m 4.80% 2035 notes (Dec-2025); A-rated issuer; pre-tax cost of new debt ~5% (assumption)</t>
        </is>
      </c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</row>
    <row r="10" ht="15.75" customHeight="1" s="251">
      <c r="A10" s="192" t="n"/>
      <c r="B10" s="197" t="inlineStr">
        <is>
          <t>Tax rate</t>
        </is>
      </c>
      <c r="C10" s="169" t="n">
        <v>0.225</v>
      </c>
      <c r="D10" s="198" t="inlineStr">
        <is>
          <t>Model 2027E+ effective tax rate (FY26 guidance 22–23%)</t>
        </is>
      </c>
      <c r="E10" s="192" t="n"/>
      <c r="F10" s="192" t="n"/>
      <c r="G10" s="192" t="n"/>
      <c r="H10" s="192" t="n"/>
      <c r="I10" s="192" t="n"/>
      <c r="J10" s="192" t="n"/>
      <c r="K10" s="192" t="n"/>
      <c r="L10" s="192" t="n"/>
      <c r="M10" s="192" t="n"/>
      <c r="N10" s="192" t="n"/>
      <c r="O10" s="192" t="n"/>
      <c r="P10" s="192" t="n"/>
      <c r="Q10" s="192" t="n"/>
    </row>
    <row r="11" ht="15.75" customHeight="1" s="251">
      <c r="A11" s="192" t="n"/>
      <c r="B11" s="197" t="inlineStr">
        <is>
          <t>After-tax cost of debt</t>
        </is>
      </c>
      <c r="C11" s="171">
        <f>C9*(1-C10)</f>
        <v>0.03875</v>
      </c>
      <c r="D11" s="198" t="n"/>
      <c r="E11" s="192" t="n"/>
      <c r="F11" s="192" t="n"/>
      <c r="G11" s="192" t="n"/>
      <c r="H11" s="192" t="n"/>
      <c r="I11" s="192" t="n"/>
      <c r="J11" s="192" t="n"/>
      <c r="K11" s="192" t="n"/>
      <c r="L11" s="192" t="n"/>
      <c r="M11" s="192" t="n"/>
      <c r="N11" s="192" t="n"/>
      <c r="O11" s="192" t="n"/>
      <c r="P11" s="192" t="n"/>
      <c r="Q11" s="192" t="n"/>
    </row>
    <row r="12" ht="15.75" customHeight="1" s="251">
      <c r="A12" s="192" t="n"/>
      <c r="B12" s="197" t="inlineStr">
        <is>
          <t>Target D/V</t>
        </is>
      </c>
      <c r="C12" s="169" t="n">
        <v>0.1</v>
      </c>
      <c r="D12" s="198" t="inlineStr">
        <is>
          <t>Net debt ~$12bn at YE2026E (after &gt;$7bn of 2026 buybacks) vs ~$118bn market cap ($415 × ~283m diluted shares); ~1.6x adjusted EBITDA; plus ~$5bn redeemable NCI</t>
        </is>
      </c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</row>
    <row r="13" ht="15.75" customHeight="1" s="251">
      <c r="A13" s="192" t="n"/>
      <c r="B13" s="199" t="inlineStr">
        <is>
          <t>WACC</t>
        </is>
      </c>
      <c r="C13" s="216">
        <f>C8*(1-C12)+C11*C12</f>
        <v>0.087125</v>
      </c>
      <c r="D13" s="198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</row>
    <row r="14" ht="15" customHeight="1" s="251">
      <c r="A14" s="192" t="n"/>
      <c r="B14" s="192" t="n"/>
      <c r="C14" s="192" t="n"/>
      <c r="D14" s="198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</row>
    <row r="15" ht="15.75" customHeight="1" s="251">
      <c r="A15" s="192" t="n"/>
      <c r="B15" s="197" t="inlineStr">
        <is>
          <t>Valuation date (live)</t>
        </is>
      </c>
      <c r="C15" s="172" t="str">
        <f>TODAY()</f>
        <v>2026-10-12 00:00:00</v>
      </c>
      <c r="D15" s="198" t="inlineStr">
        <is>
          <t>Periods = (31-Dec of the year − today) / 365.25; cash flows assumed at year end; FY2026E (Q4 under way at the valuation date) is the base year — its cash flow is in YE2026E net debt</t>
        </is>
      </c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</row>
    <row r="16" ht="15.75" customHeight="1" s="251">
      <c r="A16" s="192" t="n"/>
      <c r="B16" s="195" t="inlineStr">
        <is>
          <t>2. UNLEVERED FREE CASH FLOW BUILD (USDm)</t>
        </is>
      </c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2" t="n"/>
      <c r="P16" s="201" t="n"/>
      <c r="Q16" s="201" t="n"/>
    </row>
    <row r="17" ht="15.75" customHeight="1" s="251">
      <c r="A17" s="192" t="n"/>
      <c r="B17" s="194" t="n"/>
      <c r="C17" s="194" t="n"/>
      <c r="D17" s="203" t="inlineStr">
        <is>
          <t>2027E</t>
        </is>
      </c>
      <c r="E17" s="203" t="inlineStr">
        <is>
          <t>2028E</t>
        </is>
      </c>
      <c r="F17" s="203" t="inlineStr">
        <is>
          <t>2029E</t>
        </is>
      </c>
      <c r="G17" s="203" t="inlineStr">
        <is>
          <t>2030E</t>
        </is>
      </c>
      <c r="H17" s="203" t="inlineStr">
        <is>
          <t>2031E</t>
        </is>
      </c>
      <c r="I17" s="203" t="inlineStr">
        <is>
          <t>2032E</t>
        </is>
      </c>
      <c r="J17" s="203" t="inlineStr">
        <is>
          <t>2033E</t>
        </is>
      </c>
      <c r="K17" s="203" t="inlineStr">
        <is>
          <t>2034E</t>
        </is>
      </c>
      <c r="L17" s="203" t="inlineStr">
        <is>
          <t>2035E</t>
        </is>
      </c>
      <c r="M17" s="203" t="inlineStr">
        <is>
          <t>2036E</t>
        </is>
      </c>
      <c r="N17" s="203" t="inlineStr">
        <is>
          <t>Terminal</t>
        </is>
      </c>
      <c r="O17" s="192" t="n"/>
      <c r="P17" s="204" t="inlineStr">
        <is>
          <t>CAGR 27–31E</t>
        </is>
      </c>
      <c r="Q17" s="204" t="inlineStr">
        <is>
          <t>CAGR 27–36E</t>
        </is>
      </c>
    </row>
    <row r="18" ht="15.75" customHeight="1" s="251">
      <c r="A18" s="192" t="n"/>
      <c r="B18" s="197" t="inlineStr">
        <is>
          <t>Adj. EBITA (before deal amortization) less severance, acquisition, disposition &amp; legal cash costs</t>
        </is>
      </c>
      <c r="C18" s="192" t="n"/>
      <c r="D18" s="173">
        <f>Model!BX260-Model!BX262</f>
        <v>8135.82627832991</v>
      </c>
      <c r="E18" s="173">
        <f>Model!BY260-Model!BY262</f>
        <v>8789.08210458068</v>
      </c>
      <c r="F18" s="173">
        <f>Model!BZ260-Model!BZ262</f>
        <v>9427.60576487838</v>
      </c>
      <c r="G18" s="173">
        <f>Model!CA260-Model!CA262</f>
        <v>10091.4118304415</v>
      </c>
      <c r="H18" s="173">
        <f>Model!CB260-Model!CB262</f>
        <v>10769.0606283566</v>
      </c>
      <c r="I18" s="174">
        <f>H18*(1+I$26)</f>
        <v>11522.8948723416</v>
      </c>
      <c r="J18" s="174">
        <f>I18*(1+J$26)</f>
        <v>12271.8830390438</v>
      </c>
      <c r="K18" s="174">
        <f>J18*(1+K$26)</f>
        <v>13008.1960213864</v>
      </c>
      <c r="L18" s="174">
        <f>K18*(1+L$26)</f>
        <v>13723.6468025626</v>
      </c>
      <c r="M18" s="174">
        <f>L18*(1+M$26)</f>
        <v>14409.8291426908</v>
      </c>
      <c r="N18" s="192" t="n"/>
      <c r="O18" s="192" t="n"/>
      <c r="P18" s="176">
        <f>(H18/D18)^(1/(COLUMNS(D18:H18)-1))-1</f>
        <v>0.0726154266901939</v>
      </c>
      <c r="Q18" s="176">
        <f>(M18/D18)^(1/(COLUMNS(D18:M18)-1))-1</f>
        <v>0.0655752617379923</v>
      </c>
    </row>
    <row r="19" ht="15.75" customHeight="1" s="251">
      <c r="A19" s="192" t="n"/>
      <c r="B19" s="197" t="inlineStr">
        <is>
          <t>× (1 − tax rate)</t>
        </is>
      </c>
      <c r="C19" s="192" t="n"/>
      <c r="D19" s="177">
        <f>1-$C$10</f>
        <v>0.775</v>
      </c>
      <c r="E19" s="177">
        <f>1-$C$10</f>
        <v>0.775</v>
      </c>
      <c r="F19" s="177">
        <f>1-$C$10</f>
        <v>0.775</v>
      </c>
      <c r="G19" s="177">
        <f>1-$C$10</f>
        <v>0.775</v>
      </c>
      <c r="H19" s="177">
        <f>1-$C$10</f>
        <v>0.775</v>
      </c>
      <c r="I19" s="177">
        <f>1-$C$10</f>
        <v>0.775</v>
      </c>
      <c r="J19" s="177">
        <f>1-$C$10</f>
        <v>0.775</v>
      </c>
      <c r="K19" s="177">
        <f>1-$C$10</f>
        <v>0.775</v>
      </c>
      <c r="L19" s="177">
        <f>1-$C$10</f>
        <v>0.775</v>
      </c>
      <c r="M19" s="177">
        <f>1-$C$10</f>
        <v>0.775</v>
      </c>
      <c r="N19" s="192" t="n"/>
      <c r="O19" s="192" t="n"/>
      <c r="P19" s="176" t="n"/>
      <c r="Q19" s="176" t="n"/>
    </row>
    <row r="20" ht="15.75" customHeight="1" s="251">
      <c r="A20" s="192" t="n"/>
      <c r="B20" s="199" t="inlineStr">
        <is>
          <t>NOPAT</t>
        </is>
      </c>
      <c r="C20" s="192" t="n"/>
      <c r="D20" s="174">
        <f>D18*D19</f>
        <v>6305.26536570568</v>
      </c>
      <c r="E20" s="174">
        <f>E18*E19</f>
        <v>6811.53863105003</v>
      </c>
      <c r="F20" s="174">
        <f>F18*F19</f>
        <v>7306.39446778074</v>
      </c>
      <c r="G20" s="174">
        <f>G18*G19</f>
        <v>7820.84416859214</v>
      </c>
      <c r="H20" s="174">
        <f>H18*H19</f>
        <v>8346.02198697637</v>
      </c>
      <c r="I20" s="174">
        <f>I18*I19</f>
        <v>8930.24352606471</v>
      </c>
      <c r="J20" s="174">
        <f>J18*J19</f>
        <v>9510.70935525892</v>
      </c>
      <c r="K20" s="174">
        <f>K18*K19</f>
        <v>10081.3519165745</v>
      </c>
      <c r="L20" s="174">
        <f>L18*L19</f>
        <v>10635.826271986</v>
      </c>
      <c r="M20" s="174">
        <f>M18*M19</f>
        <v>11167.6175855854</v>
      </c>
      <c r="N20" s="192" t="n"/>
      <c r="O20" s="192" t="n"/>
      <c r="P20" s="176" t="n"/>
      <c r="Q20" s="176" t="n"/>
    </row>
    <row r="21" ht="15.75" customHeight="1" s="251">
      <c r="A21" s="192" t="n"/>
      <c r="B21" s="197" t="inlineStr">
        <is>
          <t>plus depreciation (deal-related amortization is not deducted above, so it is not added back)</t>
        </is>
      </c>
      <c r="C21" s="192" t="n"/>
      <c r="D21" s="173">
        <f>Model!BX168</f>
        <v>123.409624458798</v>
      </c>
      <c r="E21" s="173">
        <f>Model!BY168</f>
        <v>132.134265610662</v>
      </c>
      <c r="F21" s="173">
        <f>Model!BZ168</f>
        <v>141.206743528521</v>
      </c>
      <c r="G21" s="173">
        <f>Model!CA168</f>
        <v>150.474470903271</v>
      </c>
      <c r="H21" s="173">
        <f>Model!CB168</f>
        <v>160.336019644565</v>
      </c>
      <c r="I21" s="174">
        <f>H21*(1+I$26)</f>
        <v>171.559541019685</v>
      </c>
      <c r="J21" s="174">
        <f>I21*(1+J$26)</f>
        <v>182.710911185964</v>
      </c>
      <c r="K21" s="174">
        <f>J21*(1+K$26)</f>
        <v>193.673565857122</v>
      </c>
      <c r="L21" s="174">
        <f>K21*(1+L$26)</f>
        <v>204.325611979264</v>
      </c>
      <c r="M21" s="174">
        <f>L21*(1+M$26)</f>
        <v>214.541892578227</v>
      </c>
      <c r="N21" s="192" t="n"/>
      <c r="O21" s="192" t="n"/>
      <c r="P21" s="176" t="n"/>
      <c r="Q21" s="176" t="n"/>
    </row>
    <row r="22" ht="15.75" customHeight="1" s="251">
      <c r="A22" s="192" t="n"/>
      <c r="B22" s="197" t="inlineStr">
        <is>
          <t>− Capex and acquisitions (bolt-ons; M&amp;A lever 2027E–31E)</t>
        </is>
      </c>
      <c r="C22" s="192" t="n"/>
      <c r="D22" s="173">
        <f>Model!BX320+Model!BX321</f>
        <v>-715.966842802896</v>
      </c>
      <c r="E22" s="173">
        <f>Model!BY320+Model!BY321</f>
        <v>-731.234964818658</v>
      </c>
      <c r="F22" s="173">
        <f>Model!BZ320+Model!BZ321</f>
        <v>-747.111801174912</v>
      </c>
      <c r="G22" s="173">
        <f>Model!CA320+Model!CA321</f>
        <v>-763.330324080725</v>
      </c>
      <c r="H22" s="173">
        <f>Model!CB320+Model!CB321</f>
        <v>-780.588034377989</v>
      </c>
      <c r="I22" s="174">
        <f>Model!CB320*(1+I$26)</f>
        <v>-300.229196784448</v>
      </c>
      <c r="J22" s="174">
        <f>I22*(1+J$26)</f>
        <v>-319.744094575437</v>
      </c>
      <c r="K22" s="174">
        <f>J22*(1+K$26)</f>
        <v>-338.928740249964</v>
      </c>
      <c r="L22" s="174">
        <f>K22*(1+L$26)</f>
        <v>-357.569820963712</v>
      </c>
      <c r="M22" s="174">
        <f>L22*(1+M$26)</f>
        <v>-375.448312011897</v>
      </c>
      <c r="N22" s="192" t="n"/>
      <c r="O22" s="192" t="n"/>
      <c r="P22" s="176" t="n"/>
      <c r="Q22" s="176" t="n"/>
    </row>
    <row r="23" ht="15.75" customHeight="1" s="251">
      <c r="A23" s="192" t="n"/>
      <c r="B23" s="197" t="inlineStr">
        <is>
          <t>− Δ Working capital (CF statement)</t>
        </is>
      </c>
      <c r="C23" s="192" t="n"/>
      <c r="D23" s="173">
        <f>Model!BX318</f>
        <v>227.268808543855</v>
      </c>
      <c r="E23" s="173">
        <f>Model!BY318</f>
        <v>275.528350622991</v>
      </c>
      <c r="F23" s="173">
        <f>Model!BZ318</f>
        <v>286.513202464174</v>
      </c>
      <c r="G23" s="173">
        <f>Model!CA318</f>
        <v>292.679273925545</v>
      </c>
      <c r="H23" s="173">
        <f>Model!CB318</f>
        <v>311.432437389864</v>
      </c>
      <c r="I23" s="174">
        <f>H23*(1+I$26)</f>
        <v>333.232708007155</v>
      </c>
      <c r="J23" s="174">
        <f>I23*(1+J$26)</f>
        <v>354.89283402762</v>
      </c>
      <c r="K23" s="174">
        <f>J23*(1+K$26)</f>
        <v>376.186404069277</v>
      </c>
      <c r="L23" s="174">
        <f>K23*(1+L$26)</f>
        <v>396.876656293087</v>
      </c>
      <c r="M23" s="174">
        <f>L23*(1+M$26)</f>
        <v>416.720489107741</v>
      </c>
      <c r="N23" s="192" t="n"/>
      <c r="O23" s="192" t="n"/>
      <c r="P23" s="176" t="n"/>
      <c r="Q23" s="176" t="n"/>
    </row>
    <row r="24" ht="15.75" customHeight="1" s="251">
      <c r="A24" s="192" t="n"/>
      <c r="B24" s="217" t="inlineStr">
        <is>
          <t>Unlevered FCF</t>
        </is>
      </c>
      <c r="C24" s="218" t="n"/>
      <c r="D24" s="219">
        <f>D20+D21+D22+D23</f>
        <v>5939.97695590544</v>
      </c>
      <c r="E24" s="219">
        <f>E20+E21+E22+E23</f>
        <v>6487.96628246502</v>
      </c>
      <c r="F24" s="219">
        <f>F20+F21+F22+F23</f>
        <v>6987.00261259852</v>
      </c>
      <c r="G24" s="219">
        <f>G20+G21+G22+G23</f>
        <v>7500.66758934023</v>
      </c>
      <c r="H24" s="219">
        <f>H20+H21+H22+H23</f>
        <v>8037.20240963281</v>
      </c>
      <c r="I24" s="219">
        <f>I20+I21+I22+I23</f>
        <v>9134.8065783071</v>
      </c>
      <c r="J24" s="219">
        <f>J20+J21+J22+J23</f>
        <v>9728.56900589707</v>
      </c>
      <c r="K24" s="219">
        <f>K20+K21+K22+K23</f>
        <v>10312.2831462509</v>
      </c>
      <c r="L24" s="219">
        <f>L20+L21+L22+L23</f>
        <v>10879.4587192947</v>
      </c>
      <c r="M24" s="219">
        <f>M20+M21+M22+M23</f>
        <v>11423.4316552594</v>
      </c>
      <c r="N24" s="219">
        <f>M24*(1+$C$27)</f>
        <v>11880.3689214698</v>
      </c>
      <c r="O24" s="192" t="n"/>
      <c r="P24" s="181">
        <f>(H24/D24)^(1/(COLUMNS(D24:H24)-1))-1</f>
        <v>0.0785245529683156</v>
      </c>
      <c r="Q24" s="181">
        <f>(M24/D24)^(1/(COLUMNS(D24:M24)-1))-1</f>
        <v>0.0753674077324076</v>
      </c>
    </row>
    <row r="25" ht="15.75" customHeight="1" s="251">
      <c r="A25" s="192" t="n"/>
      <c r="B25" s="199" t="inlineStr">
        <is>
          <t>Terminal Value (Gordon Growth)</t>
        </is>
      </c>
      <c r="C25" s="192" t="n"/>
      <c r="D25" s="192" t="n"/>
      <c r="E25" s="192" t="n"/>
      <c r="F25" s="192" t="n"/>
      <c r="G25" s="192" t="n"/>
      <c r="H25" s="192" t="n"/>
      <c r="I25" s="192" t="n"/>
      <c r="J25" s="192" t="n"/>
      <c r="K25" s="192" t="n"/>
      <c r="L25" s="192" t="n"/>
      <c r="M25" s="192" t="n"/>
      <c r="N25" s="179">
        <f>N24/($C$13-$C$27)</f>
        <v>252103.319288484</v>
      </c>
      <c r="O25" s="192" t="n"/>
      <c r="P25" s="192" t="n"/>
      <c r="Q25" s="192" t="n"/>
    </row>
    <row r="26" ht="15.75" customHeight="1" s="251">
      <c r="A26" s="192" t="n"/>
      <c r="B26" s="197" t="inlineStr">
        <is>
          <t>Fade-period growth (2032E–36E; 7.0% → 5.0% linear)</t>
        </is>
      </c>
      <c r="C26" s="192" t="n"/>
      <c r="D26" s="192" t="n"/>
      <c r="E26" s="192" t="n"/>
      <c r="F26" s="192" t="n"/>
      <c r="G26" s="192" t="n"/>
      <c r="H26" s="192" t="n"/>
      <c r="I26" s="182" t="n">
        <v>0.07000000000000001</v>
      </c>
      <c r="J26" s="183">
        <f>I26+($M$26-$I$26)/4</f>
        <v>0.065</v>
      </c>
      <c r="K26" s="183">
        <f>J26+($M$26-$I$26)/4</f>
        <v>0.06</v>
      </c>
      <c r="L26" s="183">
        <f>K26+($M$26-$I$26)/4</f>
        <v>0.055</v>
      </c>
      <c r="M26" s="182" t="n">
        <v>0.05</v>
      </c>
      <c r="N26" s="192" t="n"/>
      <c r="O26" s="192" t="n"/>
      <c r="P26" s="192" t="n"/>
      <c r="Q26" s="192" t="n"/>
    </row>
    <row r="27" ht="15.75" customHeight="1" s="251">
      <c r="A27" s="192" t="n"/>
      <c r="B27" s="197" t="inlineStr">
        <is>
          <t>Terminal growth rate</t>
        </is>
      </c>
      <c r="C27" s="184" t="n">
        <v>0.04</v>
      </c>
      <c r="D27" s="192" t="n"/>
      <c r="E27" s="192" t="n"/>
      <c r="F27" s="192" t="n"/>
      <c r="G27" s="192" t="n"/>
      <c r="H27" s="192" t="n"/>
      <c r="I27" s="192" t="n"/>
      <c r="J27" s="192" t="n"/>
      <c r="K27" s="192" t="n"/>
      <c r="L27" s="192" t="n"/>
      <c r="M27" s="192" t="n"/>
      <c r="N27" s="192" t="n"/>
      <c r="O27" s="192" t="n"/>
      <c r="P27" s="192" t="n"/>
      <c r="Q27" s="192" t="n"/>
    </row>
    <row r="28" ht="15" customHeight="1" s="251">
      <c r="A28" s="192" t="n"/>
      <c r="B28" s="192" t="n"/>
      <c r="C28" s="192" t="n"/>
      <c r="D28" s="192" t="n"/>
      <c r="E28" s="192" t="n"/>
      <c r="F28" s="192" t="n"/>
      <c r="G28" s="192" t="n"/>
      <c r="H28" s="192" t="n"/>
      <c r="I28" s="192" t="n"/>
      <c r="J28" s="192" t="n"/>
      <c r="K28" s="192" t="n"/>
      <c r="L28" s="192" t="n"/>
      <c r="M28" s="192" t="n"/>
      <c r="N28" s="192" t="n"/>
      <c r="O28" s="192" t="n"/>
      <c r="P28" s="192" t="n"/>
      <c r="Q28" s="192" t="n"/>
    </row>
    <row r="29" ht="15.75" customHeight="1" s="251">
      <c r="A29" s="192" t="n"/>
      <c r="B29" s="197" t="inlineStr">
        <is>
          <t>Discount period (years)</t>
        </is>
      </c>
      <c r="C29" s="192" t="n"/>
      <c r="D29" s="177">
        <f>(DATE(2027,12,31)-$C$15)/365.25</f>
        <v>1.21834360027379</v>
      </c>
      <c r="E29" s="177">
        <f>(DATE(2028,12,31)-$C$15)/365.25</f>
        <v>2.22039698836413</v>
      </c>
      <c r="F29" s="177">
        <f>(DATE(2029,12,31)-$C$15)/365.25</f>
        <v>3.21971252566735</v>
      </c>
      <c r="G29" s="177">
        <f>(DATE(2030,12,31)-$C$15)/365.25</f>
        <v>4.21902806297057</v>
      </c>
      <c r="H29" s="177">
        <f>(DATE(2031,12,31)-$C$15)/365.25</f>
        <v>5.21834360027379</v>
      </c>
      <c r="I29" s="177">
        <f>(DATE(2032,12,31)-$C$15)/365.25</f>
        <v>6.22039698836414</v>
      </c>
      <c r="J29" s="177">
        <f>(DATE(2033,12,31)-$C$15)/365.25</f>
        <v>7.21971252566735</v>
      </c>
      <c r="K29" s="177">
        <f>(DATE(2034,12,31)-$C$15)/365.25</f>
        <v>8.21902806297057</v>
      </c>
      <c r="L29" s="177">
        <f>(DATE(2035,12,31)-$C$15)/365.25</f>
        <v>9.21834360027379</v>
      </c>
      <c r="M29" s="177">
        <f>(DATE(2036,12,31)-$C$15)/365.25</f>
        <v>10.2203969883641</v>
      </c>
      <c r="N29" s="177">
        <f>M29</f>
        <v>10.2203969883641</v>
      </c>
      <c r="O29" s="192" t="n"/>
      <c r="P29" s="192" t="n"/>
      <c r="Q29" s="192" t="n"/>
    </row>
    <row r="30" ht="15.75" customHeight="1" s="251">
      <c r="A30" s="192" t="n"/>
      <c r="B30" s="197" t="inlineStr">
        <is>
          <t>Discount factor</t>
        </is>
      </c>
      <c r="C30" s="192" t="n"/>
      <c r="D30" s="185">
        <f>1/(1+$C$13)^D29</f>
        <v>0.903231601616038</v>
      </c>
      <c r="E30" s="185">
        <f>1/(1+$C$13)^E29</f>
        <v>0.83070178758563</v>
      </c>
      <c r="F30" s="185">
        <f>1/(1+$C$13)^F29</f>
        <v>0.764170897135297</v>
      </c>
      <c r="G30" s="185">
        <f>1/(1+$C$13)^G29</f>
        <v>0.702968464442324</v>
      </c>
      <c r="H30" s="185">
        <f>1/(1+$C$13)^H29</f>
        <v>0.646667733425744</v>
      </c>
      <c r="I30" s="185">
        <f>1/(1+$C$13)^I29</f>
        <v>0.594740087890626</v>
      </c>
      <c r="J30" s="185">
        <f>1/(1+$C$13)^J29</f>
        <v>0.547107365504322</v>
      </c>
      <c r="K30" s="185">
        <f>1/(1+$C$13)^K29</f>
        <v>0.503289546952696</v>
      </c>
      <c r="L30" s="185">
        <f>1/(1+$C$13)^L29</f>
        <v>0.462981096659809</v>
      </c>
      <c r="M30" s="185">
        <f>1/(1+$C$13)^M29</f>
        <v>0.425803552406209</v>
      </c>
      <c r="N30" s="185">
        <f>1/(1+$C$13)^N29</f>
        <v>0.425803552406209</v>
      </c>
      <c r="O30" s="192" t="n"/>
      <c r="P30" s="192" t="n"/>
      <c r="Q30" s="192" t="n"/>
    </row>
    <row r="31" ht="15.75" customHeight="1" s="251">
      <c r="A31" s="192" t="n"/>
      <c r="B31" s="220" t="inlineStr">
        <is>
          <t>PV of UFCF</t>
        </is>
      </c>
      <c r="C31" s="221" t="n"/>
      <c r="D31" s="222">
        <f>D24*D30</f>
        <v>5365.17489944482</v>
      </c>
      <c r="E31" s="222">
        <f>E24*E30</f>
        <v>5389.56518863899</v>
      </c>
      <c r="F31" s="222">
        <f>F24*F30</f>
        <v>5339.26405475608</v>
      </c>
      <c r="G31" s="222">
        <f>G24*G30</f>
        <v>5272.73277757081</v>
      </c>
      <c r="H31" s="222">
        <f>H24*H30</f>
        <v>5197.39946532117</v>
      </c>
      <c r="I31" s="222">
        <f>I24*I30</f>
        <v>5432.83566724623</v>
      </c>
      <c r="J31" s="222">
        <f>J24*J30</f>
        <v>5322.57175894334</v>
      </c>
      <c r="K31" s="222">
        <f>K24*K30</f>
        <v>5190.06431272453</v>
      </c>
      <c r="L31" s="222">
        <f>L24*L30</f>
        <v>5036.98372892418</v>
      </c>
      <c r="M31" s="222">
        <f>M24*M30</f>
        <v>4864.137779479</v>
      </c>
      <c r="N31" s="222">
        <f>N25*N30</f>
        <v>107346.488926433</v>
      </c>
      <c r="O31" s="192" t="n"/>
      <c r="P31" s="192" t="n"/>
      <c r="Q31" s="192" t="n"/>
    </row>
    <row r="32" ht="15" customHeight="1" s="251">
      <c r="A32" s="192" t="n"/>
      <c r="B32" s="192" t="n"/>
      <c r="C32" s="192" t="n"/>
      <c r="D32" s="198" t="inlineStr">
        <is>
          <t>S&amp;P Global's adjusted operating profit excludes deal-related amortization (IHS Markit and other acquired intangibles) but is after stock-based compensation, which the company does not adjust out. NOPAT therefore taxes adjusted EBITA (before acquired-intangible amortization) less the cash severance, acquisition, disposition and legal costs the company adds back (row 18), and adds back depreciation only (row 21). Row 22 includes bolt-on acquisitions in 2027E–31E; the fade period and terminal value assume no new acquisitions. Redeemable NCI (CME Group 27% of S&amp;P DJI) and other NCI are deducted in the EV bridge. Mobility (spun off 1-Jul-2026) is excluded throughout.</t>
        </is>
      </c>
      <c r="E32" s="192" t="n"/>
      <c r="F32" s="192" t="n"/>
      <c r="G32" s="192" t="n"/>
      <c r="H32" s="192" t="n"/>
      <c r="I32" s="192" t="n"/>
      <c r="J32" s="192" t="n"/>
      <c r="K32" s="192" t="n"/>
      <c r="L32" s="192" t="n"/>
      <c r="M32" s="192" t="n"/>
      <c r="N32" s="192" t="n"/>
      <c r="O32" s="192" t="n"/>
      <c r="P32" s="192" t="n"/>
      <c r="Q32" s="192" t="n"/>
    </row>
    <row r="33" ht="15.75" customHeight="1" s="251">
      <c r="A33" s="192" t="n"/>
      <c r="B33" s="195" t="inlineStr">
        <is>
          <t>IMPLIED ROIC — invested capital roll-forward (USDm)</t>
        </is>
      </c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2" t="n"/>
      <c r="P33" s="192" t="n"/>
      <c r="Q33" s="192" t="n"/>
    </row>
    <row r="34" ht="15.75" customHeight="1" s="251">
      <c r="A34" s="192" t="n"/>
      <c r="B34" s="197" t="inlineStr">
        <is>
          <t>Opening invested capital</t>
        </is>
      </c>
      <c r="C34" s="192" t="n"/>
      <c r="D34" s="173">
        <f>Model!BW462</f>
        <v>35209.933699137</v>
      </c>
      <c r="E34" s="174">
        <f>D38</f>
        <v>35575.2221089372</v>
      </c>
      <c r="F34" s="174">
        <f>E38</f>
        <v>35898.7944575222</v>
      </c>
      <c r="G34" s="174">
        <f>F38</f>
        <v>36218.1863127045</v>
      </c>
      <c r="H34" s="174">
        <f>G38</f>
        <v>36538.3628919564</v>
      </c>
      <c r="I34" s="174">
        <f>H38</f>
        <v>36847.1824692999</v>
      </c>
      <c r="J34" s="174">
        <f>I38</f>
        <v>36642.6194170575</v>
      </c>
      <c r="K34" s="174">
        <f>J38</f>
        <v>36424.7597664194</v>
      </c>
      <c r="L34" s="174">
        <f>K38</f>
        <v>36193.828536743</v>
      </c>
      <c r="M34" s="174">
        <f>L38</f>
        <v>35950.1960894343</v>
      </c>
      <c r="N34" s="174" t="n"/>
      <c r="O34" s="192" t="n"/>
      <c r="P34" s="192" t="n"/>
      <c r="Q34" s="192" t="n"/>
    </row>
    <row r="35" ht="15.75" customHeight="1" s="251">
      <c r="A35" s="192" t="n"/>
      <c r="B35" s="197" t="inlineStr">
        <is>
          <t>plus Capex and acquisitions</t>
        </is>
      </c>
      <c r="C35" s="192" t="n"/>
      <c r="D35" s="174">
        <f>-D22</f>
        <v>715.966842802896</v>
      </c>
      <c r="E35" s="174">
        <f>-E22</f>
        <v>731.234964818658</v>
      </c>
      <c r="F35" s="174">
        <f>-F22</f>
        <v>747.111801174912</v>
      </c>
      <c r="G35" s="174">
        <f>-G22</f>
        <v>763.330324080725</v>
      </c>
      <c r="H35" s="174">
        <f>-H22</f>
        <v>780.588034377989</v>
      </c>
      <c r="I35" s="174">
        <f>-I22</f>
        <v>300.229196784448</v>
      </c>
      <c r="J35" s="174">
        <f>-J22</f>
        <v>319.744094575437</v>
      </c>
      <c r="K35" s="174">
        <f>-K22</f>
        <v>338.928740249964</v>
      </c>
      <c r="L35" s="174">
        <f>-L22</f>
        <v>357.569820963712</v>
      </c>
      <c r="M35" s="174">
        <f>-M22</f>
        <v>375.448312011897</v>
      </c>
      <c r="N35" s="174" t="n"/>
      <c r="O35" s="192" t="n"/>
      <c r="P35" s="192" t="n"/>
      <c r="Q35" s="192" t="n"/>
    </row>
    <row r="36" ht="15.75" customHeight="1" s="251">
      <c r="A36" s="192" t="n"/>
      <c r="B36" s="197" t="inlineStr">
        <is>
          <t>less DD&amp;A</t>
        </is>
      </c>
      <c r="C36" s="192" t="n"/>
      <c r="D36" s="174">
        <f>-D21</f>
        <v>-123.409624458798</v>
      </c>
      <c r="E36" s="174">
        <f>-E21</f>
        <v>-132.134265610662</v>
      </c>
      <c r="F36" s="174">
        <f>-F21</f>
        <v>-141.206743528521</v>
      </c>
      <c r="G36" s="174">
        <f>-G21</f>
        <v>-150.474470903271</v>
      </c>
      <c r="H36" s="174">
        <f>-H21</f>
        <v>-160.336019644565</v>
      </c>
      <c r="I36" s="174">
        <f>-I21</f>
        <v>-171.559541019685</v>
      </c>
      <c r="J36" s="174">
        <f>-J21</f>
        <v>-182.710911185964</v>
      </c>
      <c r="K36" s="174">
        <f>-K21</f>
        <v>-193.673565857122</v>
      </c>
      <c r="L36" s="174">
        <f>-L21</f>
        <v>-204.325611979264</v>
      </c>
      <c r="M36" s="174">
        <f>-M21</f>
        <v>-214.541892578227</v>
      </c>
      <c r="N36" s="174" t="n"/>
      <c r="O36" s="192" t="n"/>
      <c r="P36" s="192" t="n"/>
      <c r="Q36" s="192" t="n"/>
    </row>
    <row r="37" ht="15.75" customHeight="1" s="251">
      <c r="A37" s="192" t="n"/>
      <c r="B37" s="197" t="inlineStr">
        <is>
          <t>plus Δ Working capital investment</t>
        </is>
      </c>
      <c r="C37" s="192" t="n"/>
      <c r="D37" s="174">
        <f>-D23</f>
        <v>-227.268808543855</v>
      </c>
      <c r="E37" s="174">
        <f>-E23</f>
        <v>-275.528350622991</v>
      </c>
      <c r="F37" s="174">
        <f>-F23</f>
        <v>-286.513202464174</v>
      </c>
      <c r="G37" s="174">
        <f>-G23</f>
        <v>-292.679273925545</v>
      </c>
      <c r="H37" s="174">
        <f>-H23</f>
        <v>-311.432437389864</v>
      </c>
      <c r="I37" s="174">
        <f>-I23</f>
        <v>-333.232708007155</v>
      </c>
      <c r="J37" s="174">
        <f>-J23</f>
        <v>-354.89283402762</v>
      </c>
      <c r="K37" s="174">
        <f>-K23</f>
        <v>-376.186404069277</v>
      </c>
      <c r="L37" s="174">
        <f>-L23</f>
        <v>-396.876656293087</v>
      </c>
      <c r="M37" s="174">
        <f>-M23</f>
        <v>-416.720489107741</v>
      </c>
      <c r="N37" s="174" t="n"/>
      <c r="O37" s="192" t="n"/>
      <c r="P37" s="192" t="n"/>
      <c r="Q37" s="192" t="n"/>
    </row>
    <row r="38" ht="15.75" customHeight="1" s="251">
      <c r="A38" s="192" t="n"/>
      <c r="B38" s="223" t="inlineStr">
        <is>
          <t>Closing invested capital</t>
        </is>
      </c>
      <c r="C38" s="223" t="n"/>
      <c r="D38" s="224">
        <f>SUM(D34:D37)</f>
        <v>35575.2221089372</v>
      </c>
      <c r="E38" s="224">
        <f>SUM(E34:E37)</f>
        <v>35898.7944575222</v>
      </c>
      <c r="F38" s="224">
        <f>SUM(F34:F37)</f>
        <v>36218.1863127045</v>
      </c>
      <c r="G38" s="224">
        <f>SUM(G34:G37)</f>
        <v>36538.3628919564</v>
      </c>
      <c r="H38" s="224">
        <f>SUM(H34:H37)</f>
        <v>36847.1824692999</v>
      </c>
      <c r="I38" s="224">
        <f>SUM(I34:I37)</f>
        <v>36642.6194170575</v>
      </c>
      <c r="J38" s="224">
        <f>SUM(J34:J37)</f>
        <v>36424.7597664194</v>
      </c>
      <c r="K38" s="224">
        <f>SUM(K34:K37)</f>
        <v>36193.828536743</v>
      </c>
      <c r="L38" s="224">
        <f>SUM(L34:L37)</f>
        <v>35950.1960894343</v>
      </c>
      <c r="M38" s="224">
        <f>SUM(M34:M37)</f>
        <v>35694.3820197602</v>
      </c>
      <c r="N38" s="178" t="n"/>
      <c r="O38" s="192" t="n"/>
      <c r="P38" s="192" t="n"/>
      <c r="Q38" s="192" t="n"/>
    </row>
    <row r="39" ht="15.75" customHeight="1" s="251">
      <c r="A39" s="192" t="n"/>
      <c r="B39" s="197" t="inlineStr">
        <is>
          <t>NOPAT (row 20)</t>
        </is>
      </c>
      <c r="C39" s="192" t="n"/>
      <c r="D39" s="174">
        <f>D20</f>
        <v>6305.26536570568</v>
      </c>
      <c r="E39" s="174">
        <f>E20</f>
        <v>6811.53863105003</v>
      </c>
      <c r="F39" s="174">
        <f>F20</f>
        <v>7306.39446778074</v>
      </c>
      <c r="G39" s="174">
        <f>G20</f>
        <v>7820.84416859214</v>
      </c>
      <c r="H39" s="174">
        <f>H20</f>
        <v>8346.02198697637</v>
      </c>
      <c r="I39" s="174">
        <f>I20</f>
        <v>8930.24352606471</v>
      </c>
      <c r="J39" s="174">
        <f>J20</f>
        <v>9510.70935525892</v>
      </c>
      <c r="K39" s="174">
        <f>K20</f>
        <v>10081.3519165745</v>
      </c>
      <c r="L39" s="174">
        <f>L20</f>
        <v>10635.826271986</v>
      </c>
      <c r="M39" s="174">
        <f>M20</f>
        <v>11167.6175855854</v>
      </c>
      <c r="N39" s="174" t="n"/>
      <c r="O39" s="192" t="n"/>
      <c r="P39" s="192" t="n"/>
      <c r="Q39" s="192" t="n"/>
    </row>
    <row r="40" ht="15.75" customHeight="1" s="251">
      <c r="A40" s="192" t="n"/>
      <c r="B40" s="200" t="inlineStr">
        <is>
          <t>Implied ROIC (NOPAT / avg. invested capital)</t>
        </is>
      </c>
      <c r="C40" s="200" t="n"/>
      <c r="D40" s="180">
        <f>IFERROR(D39/AVERAGE(D34,D38),"")</f>
        <v>0.178152192892015</v>
      </c>
      <c r="E40" s="180">
        <f>IFERROR(E39/AVERAGE(E34,E38),"")</f>
        <v>0.190601814708885</v>
      </c>
      <c r="F40" s="180">
        <f>IFERROR(F39/AVERAGE(F34,F38),"")</f>
        <v>0.202626188444017</v>
      </c>
      <c r="G40" s="180">
        <f>IFERROR(G39/AVERAGE(G34,G38),"")</f>
        <v>0.214986671415448</v>
      </c>
      <c r="H40" s="180">
        <f>IFERROR(H39/AVERAGE(H34,H38),"")</f>
        <v>0.227456836244556</v>
      </c>
      <c r="I40" s="180">
        <f>IFERROR(I39/AVERAGE(I34,I38),"")</f>
        <v>0.243033544705269</v>
      </c>
      <c r="J40" s="180">
        <f>IFERROR(J39/AVERAGE(J34,J38),"")</f>
        <v>0.260327097031273</v>
      </c>
      <c r="K40" s="180">
        <f>IFERROR(K39/AVERAGE(K34,K38),"")</f>
        <v>0.277652104017435</v>
      </c>
      <c r="L40" s="180">
        <f>IFERROR(L39/AVERAGE(L34,L38),"")</f>
        <v>0.29484981818236</v>
      </c>
      <c r="M40" s="180">
        <f>IFERROR(M39/AVERAGE(M34,M38),"")</f>
        <v>0.311750529637138</v>
      </c>
      <c r="N40" s="180" t="n"/>
      <c r="O40" s="192" t="n"/>
      <c r="P40" s="192" t="n"/>
      <c r="Q40" s="192" t="n"/>
    </row>
    <row r="41" ht="15.75" customHeight="1" s="251">
      <c r="A41" s="192" t="n"/>
      <c r="B41" s="197" t="inlineStr">
        <is>
          <t>Reinvestment rate (net investment / NOPAT)</t>
        </is>
      </c>
      <c r="C41" s="192" t="n"/>
      <c r="D41" s="175">
        <f>IFERROR(SUM(D35:D37)/D39,"")</f>
        <v>0.0579338677460026</v>
      </c>
      <c r="E41" s="175">
        <f>IFERROR(SUM(E35:E37)/E39,"")</f>
        <v>0.0475035621335272</v>
      </c>
      <c r="F41" s="175">
        <f>IFERROR(SUM(F35:F37)/F39,"")</f>
        <v>0.0437140174391965</v>
      </c>
      <c r="G41" s="175">
        <f>IFERROR(SUM(G35:G37)/G39,"")</f>
        <v>0.0409388772298662</v>
      </c>
      <c r="H41" s="175">
        <f>IFERROR(SUM(H35:H37)/H39,"")</f>
        <v>0.0370020086006795</v>
      </c>
      <c r="I41" s="175">
        <f>IFERROR(SUM(I35:I37)/I39,"")</f>
        <v>-0.0229067719872737</v>
      </c>
      <c r="J41" s="175">
        <f>IFERROR(SUM(J35:J37)/J39,"")</f>
        <v>-0.0229067719872737</v>
      </c>
      <c r="K41" s="175">
        <f>IFERROR(SUM(K35:K37)/K39,"")</f>
        <v>-0.0229067719872737</v>
      </c>
      <c r="L41" s="175">
        <f>IFERROR(SUM(L35:L37)/L39,"")</f>
        <v>-0.0229067719872737</v>
      </c>
      <c r="M41" s="175">
        <f>IFERROR(SUM(M35:M37)/M39,"")</f>
        <v>-0.0229067719872737</v>
      </c>
      <c r="N41" s="175" t="n"/>
      <c r="O41" s="192" t="n"/>
      <c r="P41" s="192" t="n"/>
      <c r="Q41" s="192" t="n"/>
    </row>
    <row r="42" ht="15.75" customHeight="1" s="251">
      <c r="A42" s="192" t="n"/>
      <c r="B42" s="197" t="inlineStr">
        <is>
          <t>Implied terminal RONIC (g / reinvestment rate)</t>
        </is>
      </c>
      <c r="C42" s="192" t="n"/>
      <c r="D42" s="175" t="n"/>
      <c r="E42" s="175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5">
        <f>IFERROR($C$27/M41,"")</f>
        <v>-1.74620850210684</v>
      </c>
      <c r="O42" s="192" t="n"/>
      <c r="P42" s="192" t="n"/>
      <c r="Q42" s="192" t="n"/>
    </row>
    <row r="43" ht="15" customHeight="1" s="251">
      <c r="A43" s="192" t="n"/>
      <c r="B43" s="192" t="n"/>
      <c r="C43" s="192" t="n"/>
      <c r="D43" s="198" t="inlineStr">
        <is>
          <t>Opening IC = Model FY2026E book IC (equity incl. redeemable NCI + net debt at 31-Dec-2026E, after the Mobility spin-off), rolled forward with capex + M&amp;A − depreciation + ΔWC.</t>
        </is>
      </c>
      <c r="E43" s="192" t="n"/>
      <c r="F43" s="192" t="n"/>
      <c r="G43" s="192" t="n"/>
      <c r="H43" s="192" t="n"/>
      <c r="I43" s="192" t="n"/>
      <c r="J43" s="192" t="n"/>
      <c r="K43" s="192" t="n"/>
      <c r="L43" s="192" t="n"/>
      <c r="M43" s="192" t="n"/>
      <c r="N43" s="192" t="n"/>
      <c r="O43" s="192" t="n"/>
      <c r="P43" s="192" t="n"/>
      <c r="Q43" s="192" t="n"/>
    </row>
    <row r="44" ht="15.75" customHeight="1" s="251">
      <c r="A44" s="192" t="n"/>
      <c r="B44" s="195" t="inlineStr">
        <is>
          <t>3. VALUATION SUMMARY</t>
        </is>
      </c>
      <c r="C44" s="196" t="n"/>
      <c r="D44" s="196" t="n"/>
      <c r="E44" s="196" t="n"/>
      <c r="F44" s="196" t="n"/>
      <c r="G44" s="196" t="n"/>
      <c r="H44" s="196" t="n"/>
      <c r="I44" s="196" t="n"/>
      <c r="J44" s="196" t="n"/>
      <c r="K44" s="196" t="n"/>
      <c r="L44" s="196" t="n"/>
      <c r="M44" s="196" t="n"/>
      <c r="N44" s="196" t="n"/>
      <c r="O44" s="192" t="n"/>
      <c r="P44" s="192" t="n"/>
      <c r="Q44" s="192" t="n"/>
    </row>
    <row r="45" ht="15.75" customHeight="1" s="251">
      <c r="A45" s="192" t="n"/>
      <c r="B45" s="197" t="inlineStr">
        <is>
          <t>Sum of PV (explicit + fade)</t>
        </is>
      </c>
      <c r="C45" s="174">
        <f>SUM(D31:M31)</f>
        <v>52410.7296330492</v>
      </c>
      <c r="D45" s="192" t="n"/>
      <c r="E45" s="192" t="n"/>
      <c r="F45" s="192" t="n"/>
      <c r="G45" s="192" t="n"/>
      <c r="H45" s="192" t="n"/>
      <c r="I45" s="192" t="n"/>
      <c r="J45" s="192" t="n"/>
      <c r="K45" s="192" t="n"/>
      <c r="L45" s="192" t="n"/>
      <c r="M45" s="192" t="n"/>
      <c r="N45" s="192" t="n"/>
      <c r="O45" s="192" t="n"/>
      <c r="P45" s="192" t="n"/>
      <c r="Q45" s="192" t="n"/>
    </row>
    <row r="46" ht="15.75" customHeight="1" s="251">
      <c r="A46" s="192" t="n"/>
      <c r="B46" s="197" t="inlineStr">
        <is>
          <t>PV of Terminal Value</t>
        </is>
      </c>
      <c r="C46" s="174">
        <f>N31</f>
        <v>107346.488926433</v>
      </c>
      <c r="D46" s="192" t="n"/>
      <c r="E46" s="192" t="n"/>
      <c r="F46" s="192" t="n"/>
      <c r="G46" s="192" t="n"/>
      <c r="H46" s="192" t="n"/>
      <c r="I46" s="192" t="n"/>
      <c r="J46" s="192" t="n"/>
      <c r="K46" s="192" t="n"/>
      <c r="L46" s="192" t="n"/>
      <c r="M46" s="192" t="n"/>
      <c r="N46" s="192" t="n"/>
      <c r="O46" s="192" t="n"/>
      <c r="P46" s="192" t="n"/>
      <c r="Q46" s="192" t="n"/>
    </row>
    <row r="47" ht="15.75" customHeight="1" s="251">
      <c r="A47" s="192" t="n"/>
      <c r="B47" s="199" t="inlineStr">
        <is>
          <t>Enterprise Value</t>
        </is>
      </c>
      <c r="C47" s="219">
        <f>C45+C46</f>
        <v>159757.218559482</v>
      </c>
      <c r="D47" s="192" t="n"/>
      <c r="E47" s="192" t="n"/>
      <c r="F47" s="192" t="n"/>
      <c r="G47" s="192" t="n"/>
      <c r="H47" s="192" t="n"/>
      <c r="I47" s="192" t="n"/>
      <c r="J47" s="192" t="n"/>
      <c r="K47" s="192" t="n"/>
      <c r="L47" s="192" t="n"/>
      <c r="M47" s="192" t="n"/>
      <c r="N47" s="192" t="n"/>
      <c r="O47" s="192" t="n"/>
      <c r="P47" s="192" t="n"/>
      <c r="Q47" s="192" t="n"/>
    </row>
    <row r="48" ht="15.75" customHeight="1" s="251">
      <c r="A48" s="192" t="n"/>
      <c r="B48" s="197" t="inlineStr">
        <is>
          <t>Less: Net debt + redeemable &amp; other NCI (Model FY2026E year end)</t>
        </is>
      </c>
      <c r="C48" s="173">
        <f>Model!BW482+Model!BW492</f>
        <v>17453.8973737703</v>
      </c>
      <c r="D48" s="198" t="inlineStr">
        <is>
          <t>Net debt at 31-Dec-2026E (after the &gt;$7bn 2026 buybacks) plus redeemable NCI (CME 27% of S&amp;P DJI, carrying value) and other NCI; FY2026E cash flow is not double counted.</t>
        </is>
      </c>
      <c r="E48" s="192" t="n"/>
      <c r="F48" s="192" t="n"/>
      <c r="G48" s="192" t="n"/>
      <c r="H48" s="192" t="n"/>
      <c r="I48" s="192" t="n"/>
      <c r="J48" s="192" t="n"/>
      <c r="K48" s="192" t="n"/>
      <c r="L48" s="192" t="n"/>
      <c r="M48" s="192" t="n"/>
      <c r="N48" s="192" t="n"/>
      <c r="O48" s="192" t="n"/>
      <c r="P48" s="192" t="n"/>
      <c r="Q48" s="192" t="n"/>
    </row>
    <row r="49" ht="15.75" customHeight="1" s="251">
      <c r="A49" s="192" t="n"/>
      <c r="B49" s="199" t="inlineStr">
        <is>
          <t>Equity Value</t>
        </is>
      </c>
      <c r="C49" s="178">
        <f>C47-C48</f>
        <v>142303.321185712</v>
      </c>
      <c r="D49" s="192" t="n"/>
      <c r="E49" s="192" t="n"/>
      <c r="F49" s="192" t="n"/>
      <c r="G49" s="192" t="n"/>
      <c r="H49" s="192" t="n"/>
      <c r="I49" s="192" t="n"/>
      <c r="J49" s="192" t="n"/>
      <c r="K49" s="192" t="n"/>
      <c r="L49" s="192" t="n"/>
      <c r="M49" s="192" t="n"/>
      <c r="N49" s="192" t="n"/>
      <c r="O49" s="192" t="n"/>
      <c r="P49" s="192" t="n"/>
      <c r="Q49" s="192" t="n"/>
    </row>
    <row r="50" ht="15.75" customHeight="1" s="251">
      <c r="A50" s="192" t="n"/>
      <c r="B50" s="197" t="inlineStr">
        <is>
          <t>Diluted shares (m, Model FY2026E period end)</t>
        </is>
      </c>
      <c r="C50" s="186">
        <f>Model!BW489</f>
        <v>281.544578313253</v>
      </c>
      <c r="D50" s="192" t="n"/>
      <c r="E50" s="192" t="n"/>
      <c r="F50" s="192" t="n"/>
      <c r="G50" s="192" t="n"/>
      <c r="H50" s="192" t="n"/>
      <c r="I50" s="192" t="n"/>
      <c r="J50" s="192" t="n"/>
      <c r="K50" s="192" t="n"/>
      <c r="L50" s="192" t="n"/>
      <c r="M50" s="192" t="n"/>
      <c r="N50" s="192" t="n"/>
      <c r="O50" s="192" t="n"/>
      <c r="P50" s="192" t="n"/>
      <c r="Q50" s="192" t="n"/>
    </row>
    <row r="51" ht="15.75" customHeight="1" s="251">
      <c r="A51" s="192" t="n"/>
      <c r="B51" s="199" t="inlineStr">
        <is>
          <t>Implied share price ($)</t>
        </is>
      </c>
      <c r="C51" s="187">
        <f>C49/C50</f>
        <v>505.437973759814</v>
      </c>
      <c r="D51" s="192" t="n"/>
      <c r="E51" s="192" t="n"/>
      <c r="F51" s="192" t="n"/>
      <c r="G51" s="192" t="n"/>
      <c r="H51" s="192" t="n"/>
      <c r="I51" s="192" t="n"/>
      <c r="J51" s="192" t="n"/>
      <c r="K51" s="192" t="n"/>
      <c r="L51" s="192" t="n"/>
      <c r="M51" s="192" t="n"/>
      <c r="N51" s="192" t="n"/>
      <c r="O51" s="192" t="n"/>
      <c r="P51" s="192" t="n"/>
      <c r="Q51" s="192" t="n"/>
    </row>
    <row r="52" ht="15.75" customHeight="1" s="251">
      <c r="A52" s="192" t="n"/>
      <c r="B52" s="197" t="inlineStr">
        <is>
          <t>Current share price ($)</t>
        </is>
      </c>
      <c r="C52" s="188">
        <f>Model!BW488</f>
        <v>415</v>
      </c>
      <c r="D52" s="192" t="n"/>
      <c r="E52" s="192" t="n"/>
      <c r="F52" s="192" t="n"/>
      <c r="G52" s="192" t="n"/>
      <c r="H52" s="192" t="n"/>
      <c r="I52" s="192" t="n"/>
      <c r="J52" s="192" t="n"/>
      <c r="K52" s="192" t="n"/>
      <c r="L52" s="192" t="n"/>
      <c r="M52" s="192" t="n"/>
      <c r="N52" s="192" t="n"/>
      <c r="O52" s="192" t="n"/>
      <c r="P52" s="192" t="n"/>
      <c r="Q52" s="192" t="n"/>
    </row>
    <row r="53" ht="15.75" customHeight="1" s="251">
      <c r="A53" s="192" t="n"/>
      <c r="B53" s="199" t="inlineStr">
        <is>
          <t>Implied upside / (downside)</t>
        </is>
      </c>
      <c r="C53" s="189">
        <f>C51/C52-1</f>
        <v>0.217922828336902</v>
      </c>
      <c r="D53" s="192" t="n"/>
      <c r="E53" s="192" t="n"/>
      <c r="F53" s="192" t="n"/>
      <c r="G53" s="192" t="n"/>
      <c r="H53" s="192" t="n"/>
      <c r="I53" s="192" t="n"/>
      <c r="J53" s="192" t="n"/>
      <c r="K53" s="192" t="n"/>
      <c r="L53" s="192" t="n"/>
      <c r="M53" s="192" t="n"/>
      <c r="N53" s="192" t="n"/>
      <c r="O53" s="192" t="n"/>
      <c r="P53" s="192" t="n"/>
      <c r="Q53" s="192" t="n"/>
    </row>
    <row r="54" ht="15.75" customHeight="1" s="251">
      <c r="A54" s="192" t="n"/>
      <c r="B54" s="197" t="inlineStr">
        <is>
          <t>Required discount to DCF value for target IRR</t>
        </is>
      </c>
      <c r="C54" s="175">
        <f>1-((1+C13)/(1+H54))^H55</f>
        <v>0.155217462099069</v>
      </c>
      <c r="D54" s="205" t="inlineStr">
        <is>
          <t>vs. current</t>
        </is>
      </c>
      <c r="E54" s="237" t="inlineStr">
        <is>
          <t>Target IRR</t>
        </is>
      </c>
      <c r="F54" s="192" t="n"/>
      <c r="G54" s="192" t="n"/>
      <c r="H54" s="182" t="n">
        <v>0.15</v>
      </c>
      <c r="I54" s="192" t="n"/>
      <c r="J54" s="192" t="n"/>
      <c r="K54" s="192" t="n"/>
      <c r="L54" s="192" t="n"/>
      <c r="M54" s="192" t="n"/>
      <c r="N54" s="192" t="n"/>
      <c r="O54" s="192" t="n"/>
      <c r="P54" s="192" t="n"/>
      <c r="Q54" s="192" t="n"/>
    </row>
    <row r="55" ht="15.75" customHeight="1" s="251">
      <c r="A55" s="192" t="n"/>
      <c r="B55" s="199" t="inlineStr">
        <is>
          <t>Max entry price for target IRR ($)</t>
        </is>
      </c>
      <c r="C55" s="190">
        <f>C51*(1-C54)</f>
        <v>426.98517422432</v>
      </c>
      <c r="D55" s="175">
        <f>C55/C52-1</f>
        <v>0.0288799378899274</v>
      </c>
      <c r="E55" s="237" t="inlineStr">
        <is>
          <t>Years for discount to close</t>
        </is>
      </c>
      <c r="F55" s="192" t="n"/>
      <c r="G55" s="192" t="n"/>
      <c r="H55" s="191" t="n">
        <v>3</v>
      </c>
      <c r="I55" s="192" t="n"/>
      <c r="J55" s="192" t="n"/>
      <c r="K55" s="192" t="n"/>
      <c r="L55" s="192" t="n"/>
      <c r="M55" s="192" t="n"/>
      <c r="N55" s="192" t="n"/>
      <c r="O55" s="192" t="n"/>
      <c r="P55" s="192" t="n"/>
      <c r="Q55" s="192" t="n"/>
    </row>
    <row r="56" ht="15" customHeight="1" s="251">
      <c r="A56" s="192" t="n"/>
      <c r="B56" s="192" t="n"/>
      <c r="C56" s="192" t="n"/>
      <c r="D56" s="192" t="n"/>
      <c r="E56" s="192" t="n"/>
      <c r="F56" s="192" t="n"/>
      <c r="G56" s="192" t="n"/>
      <c r="H56" s="192" t="n"/>
      <c r="I56" s="192" t="n"/>
      <c r="J56" s="192" t="n"/>
      <c r="K56" s="192" t="n"/>
      <c r="L56" s="192" t="n"/>
      <c r="M56" s="192" t="n"/>
      <c r="N56" s="192" t="n"/>
      <c r="O56" s="192" t="n"/>
      <c r="P56" s="192" t="n"/>
      <c r="Q56" s="192" t="n"/>
    </row>
    <row r="57" ht="15" customHeight="1" s="251">
      <c r="A57" s="192" t="n"/>
      <c r="B57" s="192" t="n"/>
      <c r="C57" s="192" t="n"/>
      <c r="D57" s="192" t="n"/>
      <c r="E57" s="192" t="n"/>
      <c r="F57" s="192" t="n"/>
      <c r="G57" s="192" t="n"/>
      <c r="H57" s="192" t="n"/>
      <c r="I57" s="192" t="n"/>
      <c r="J57" s="192" t="n"/>
      <c r="K57" s="192" t="n"/>
      <c r="L57" s="192" t="n"/>
      <c r="M57" s="192" t="n"/>
      <c r="N57" s="192" t="n"/>
      <c r="O57" s="192" t="n"/>
      <c r="P57" s="192" t="n"/>
      <c r="Q57" s="192" t="n"/>
    </row>
    <row r="58" ht="15.75" customHeight="1" s="251">
      <c r="A58" s="192" t="n"/>
      <c r="B58" s="195" t="inlineStr">
        <is>
          <t>4. SENSITIVITY: IMPLIED PRICE ($) — WACC × Terminal Growth</t>
        </is>
      </c>
      <c r="C58" s="196" t="n"/>
      <c r="D58" s="196" t="n"/>
      <c r="E58" s="196" t="n"/>
      <c r="F58" s="196" t="n"/>
      <c r="G58" s="196" t="n"/>
      <c r="H58" s="196" t="n"/>
      <c r="I58" s="196" t="n"/>
      <c r="J58" s="196" t="n"/>
      <c r="K58" s="196" t="n"/>
      <c r="L58" s="196" t="n"/>
      <c r="M58" s="196" t="n"/>
      <c r="N58" s="196" t="n"/>
      <c r="O58" s="192" t="n"/>
      <c r="P58" s="192" t="n"/>
      <c r="Q58" s="192" t="n"/>
    </row>
    <row r="59" ht="15" customHeight="1" s="251">
      <c r="A59" s="192" t="n"/>
      <c r="B59" s="192" t="n"/>
      <c r="C59" s="192" t="n"/>
      <c r="D59" s="192" t="n"/>
      <c r="E59" s="192" t="n"/>
      <c r="F59" s="192" t="n"/>
      <c r="G59" s="192" t="n"/>
      <c r="H59" s="192" t="n"/>
      <c r="I59" s="192" t="n"/>
      <c r="J59" s="192" t="n"/>
      <c r="K59" s="192" t="n"/>
      <c r="L59" s="192" t="n"/>
      <c r="M59" s="192" t="n"/>
      <c r="N59" s="192" t="n"/>
      <c r="O59" s="192" t="n"/>
      <c r="P59" s="192" t="n"/>
      <c r="Q59" s="192" t="n"/>
    </row>
    <row r="60" ht="15.75" customHeight="1" s="251">
      <c r="A60" s="192" t="n"/>
      <c r="B60" s="199" t="n"/>
      <c r="C60" s="192" t="n"/>
      <c r="D60" s="206" t="inlineStr">
        <is>
          <t>WACC →</t>
        </is>
      </c>
      <c r="E60" s="206" t="n"/>
      <c r="F60" s="206" t="n"/>
      <c r="G60" s="206" t="n"/>
      <c r="H60" s="206" t="n"/>
      <c r="I60" s="192" t="n"/>
      <c r="J60" s="192" t="n"/>
      <c r="K60" s="192" t="n"/>
      <c r="L60" s="192" t="n"/>
      <c r="M60" s="192" t="n"/>
      <c r="N60" s="192" t="n"/>
      <c r="O60" s="192" t="n"/>
      <c r="P60" s="192" t="n"/>
      <c r="Q60" s="192" t="n"/>
    </row>
    <row r="61" ht="15.75" customHeight="1" s="251">
      <c r="A61" s="192" t="n"/>
      <c r="B61" s="231" t="inlineStr">
        <is>
          <t>Terminal growth ↓</t>
        </is>
      </c>
      <c r="C61" s="227" t="n"/>
      <c r="D61" s="228">
        <f>F61-0.01</f>
        <v>0.077125</v>
      </c>
      <c r="E61" s="228">
        <f>F61-0.005</f>
        <v>0.082125</v>
      </c>
      <c r="F61" s="228">
        <f>$C$13</f>
        <v>0.087125</v>
      </c>
      <c r="G61" s="228">
        <f>F61+0.005</f>
        <v>0.092125</v>
      </c>
      <c r="H61" s="234">
        <f>F61+0.01</f>
        <v>0.097125</v>
      </c>
      <c r="I61" s="192" t="n"/>
      <c r="J61" s="192" t="n"/>
      <c r="K61" s="192" t="n"/>
      <c r="L61" s="192" t="n"/>
      <c r="M61" s="192" t="n"/>
      <c r="N61" s="192" t="n"/>
      <c r="O61" s="192" t="n"/>
      <c r="P61" s="192" t="n"/>
      <c r="Q61" s="192" t="n"/>
    </row>
    <row r="62" ht="15.75" customHeight="1" s="251">
      <c r="A62" s="192" t="n"/>
      <c r="B62" s="232">
        <f>B64-0.01</f>
        <v>0.03</v>
      </c>
      <c r="C62" s="192" t="n"/>
      <c r="D62" s="225">
        <f t="array" ref="D62">IFERROR((SUMPRODUCT($D$24:$M$24/(1+D$61)^$D$29:$M$29)+($M$24*(1+$B62)/(D$61-$B62))/(1+D$61)^$M$29-$C$48)/$C$50,"")</f>
        <v>549.219906366527</v>
      </c>
      <c r="E62" s="225">
        <f t="array" ref="E62">IFERROR((SUMPRODUCT($D$24:$M$24/(1+E$61)^$D$29:$M$29)+($M$24*(1+$B62)/(E$61-$B62))/(1+E$61)^$M$29-$C$48)/$C$50,"")</f>
        <v>486.947887047022</v>
      </c>
      <c r="F62" s="225">
        <f t="array" ref="F62">IFERROR((SUMPRODUCT($D$24:$M$24/(1+F$61)^$D$29:$M$29)+($M$24*(1+$B62)/(F$61-$B62))/(1+F$61)^$M$29-$C$48)/$C$50,"")</f>
        <v>435.669277704197</v>
      </c>
      <c r="G62" s="225">
        <f t="array" ref="G62">IFERROR((SUMPRODUCT($D$24:$M$24/(1+G$61)^$D$29:$M$29)+($M$24*(1+$B62)/(G$61-$B62))/(1+G$61)^$M$29-$C$48)/$C$50,"")</f>
        <v>392.72656951887</v>
      </c>
      <c r="H62" s="235">
        <f t="array" ref="H62">IFERROR((SUMPRODUCT($D$24:$M$24/(1+H$61)^$D$29:$M$29)+($M$24*(1+$B62)/(H$61-$B62))/(1+H$61)^$M$29-$C$48)/$C$50,"")</f>
        <v>356.254191520624</v>
      </c>
      <c r="I62" s="192" t="n"/>
      <c r="J62" s="192" t="n"/>
      <c r="K62" s="192" t="n"/>
      <c r="L62" s="192" t="n"/>
      <c r="M62" s="192" t="n"/>
      <c r="N62" s="192" t="n"/>
      <c r="O62" s="192" t="n"/>
      <c r="P62" s="192" t="n"/>
      <c r="Q62" s="192" t="n"/>
    </row>
    <row r="63" ht="15.75" customHeight="1" s="251">
      <c r="A63" s="192" t="n"/>
      <c r="B63" s="232">
        <f>B64-0.005</f>
        <v>0.035</v>
      </c>
      <c r="C63" s="192" t="n"/>
      <c r="D63" s="225">
        <f t="array" ref="D63">IFERROR((SUMPRODUCT($D$24:$M$24/(1+D$61)^$D$29:$M$29)+($M$24*(1+$B63)/(D$61-$B63))/(1+D$61)^$M$29-$C$48)/$C$50,"")</f>
        <v>600.733499112894</v>
      </c>
      <c r="E63" s="225">
        <f t="array" ref="E63">IFERROR((SUMPRODUCT($D$24:$M$24/(1+E$61)^$D$29:$M$29)+($M$24*(1+$B63)/(E$61-$B63))/(1+E$61)^$M$29-$C$48)/$C$50,"")</f>
        <v>526.838478454715</v>
      </c>
      <c r="F63" s="225">
        <f t="array" ref="F63">IFERROR((SUMPRODUCT($D$24:$M$24/(1+F$61)^$D$29:$M$29)+($M$24*(1+$B63)/(F$61-$B63))/(1+F$61)^$M$29-$C$48)/$C$50,"")</f>
        <v>467.207405297684</v>
      </c>
      <c r="G63" s="225">
        <f t="array" ref="G63">IFERROR((SUMPRODUCT($D$24:$M$24/(1+G$61)^$D$29:$M$29)+($M$24*(1+$B63)/(G$61-$B63))/(1+G$61)^$M$29-$C$48)/$C$50,"")</f>
        <v>418.091902028724</v>
      </c>
      <c r="H63" s="235">
        <f t="array" ref="H63">IFERROR((SUMPRODUCT($D$24:$M$24/(1+H$61)^$D$29:$M$29)+($M$24*(1+$B63)/(H$61-$B63))/(1+H$61)^$M$29-$C$48)/$C$50,"")</f>
        <v>376.950428808449</v>
      </c>
      <c r="I63" s="192" t="n"/>
      <c r="J63" s="192" t="n"/>
      <c r="K63" s="192" t="n"/>
      <c r="L63" s="192" t="n"/>
      <c r="M63" s="192" t="n"/>
      <c r="N63" s="192" t="n"/>
      <c r="O63" s="192" t="n"/>
      <c r="P63" s="192" t="n"/>
      <c r="Q63" s="192" t="n"/>
    </row>
    <row r="64" ht="15.75" customHeight="1" s="251">
      <c r="A64" s="192" t="n"/>
      <c r="B64" s="232">
        <f>$C$27</f>
        <v>0.04</v>
      </c>
      <c r="C64" s="192" t="n"/>
      <c r="D64" s="225">
        <f t="array" ref="D64">IFERROR((SUMPRODUCT($D$24:$M$24/(1+D$61)^$D$29:$M$29)+($M$24*(1+$B64)/(D$61-$B64))/(1+D$61)^$M$29-$C$48)/$C$50,"")</f>
        <v>666.122807077136</v>
      </c>
      <c r="E64" s="225">
        <f t="array" ref="E64">IFERROR((SUMPRODUCT($D$24:$M$24/(1+E$61)^$D$29:$M$29)+($M$24*(1+$B64)/(E$61-$B64))/(1+E$61)^$M$29-$C$48)/$C$50,"")</f>
        <v>576.198646457707</v>
      </c>
      <c r="F64" s="226">
        <f t="array" ref="F64">IFERROR((SUMPRODUCT($D$24:$M$24/(1+F$61)^$D$29:$M$29)+($M$24*(1+$B64)/(F$61-$B64))/(1+F$61)^$M$29-$C$48)/$C$50,"")</f>
        <v>505.437973759814</v>
      </c>
      <c r="G64" s="225">
        <f t="array" ref="G64">IFERROR((SUMPRODUCT($D$24:$M$24/(1+G$61)^$D$29:$M$29)+($M$24*(1+$B64)/(G$61-$B64))/(1+G$61)^$M$29-$C$48)/$C$50,"")</f>
        <v>448.323485379797</v>
      </c>
      <c r="H64" s="235">
        <f t="array" ref="H64">IFERROR((SUMPRODUCT($D$24:$M$24/(1+H$61)^$D$29:$M$29)+($M$24*(1+$B64)/(H$61-$B64))/(1+H$61)^$M$29-$C$48)/$C$50,"")</f>
        <v>401.269639800926</v>
      </c>
      <c r="I64" s="192" t="n"/>
      <c r="J64" s="192" t="n"/>
      <c r="K64" s="192" t="n"/>
      <c r="L64" s="192" t="n"/>
      <c r="M64" s="192" t="n"/>
      <c r="N64" s="192" t="n"/>
      <c r="O64" s="192" t="n"/>
      <c r="P64" s="192" t="n"/>
      <c r="Q64" s="192" t="n"/>
    </row>
    <row r="65" ht="15.75" customHeight="1" s="251">
      <c r="A65" s="192" t="n"/>
      <c r="B65" s="232">
        <f>B64+0.005</f>
        <v>0.045</v>
      </c>
      <c r="C65" s="192" t="n"/>
      <c r="D65" s="225">
        <f t="array" ref="D65">IFERROR((SUMPRODUCT($D$24:$M$24/(1+D$61)^$D$29:$M$29)+($M$24*(1+$B65)/(D$61-$B65))/(1+D$61)^$M$29-$C$48)/$C$50,"")</f>
        <v>751.866763434918</v>
      </c>
      <c r="E65" s="225">
        <f t="array" ref="E65">IFERROR((SUMPRODUCT($D$24:$M$24/(1+E$61)^$D$29:$M$29)+($M$24*(1+$B65)/(E$61-$B65))/(1+E$61)^$M$29-$C$48)/$C$50,"")</f>
        <v>638.854482609653</v>
      </c>
      <c r="F65" s="225">
        <f t="array" ref="F65">IFERROR((SUMPRODUCT($D$24:$M$24/(1+F$61)^$D$29:$M$29)+($M$24*(1+$B65)/(F$61-$B65))/(1+F$61)^$M$29-$C$48)/$C$50,"")</f>
        <v>552.744048088326</v>
      </c>
      <c r="G65" s="225">
        <f t="array" ref="G65">IFERROR((SUMPRODUCT($D$24:$M$24/(1+G$61)^$D$29:$M$29)+($M$24*(1+$B65)/(G$61-$B65))/(1+G$61)^$M$29-$C$48)/$C$50,"")</f>
        <v>484.970258831894</v>
      </c>
      <c r="H65" s="235">
        <f t="array" ref="H65">IFERROR((SUMPRODUCT($D$24:$M$24/(1+H$61)^$D$29:$M$29)+($M$24*(1+$B65)/(H$61-$B65))/(1+H$61)^$M$29-$C$48)/$C$50,"")</f>
        <v>430.254406859106</v>
      </c>
      <c r="I65" s="192" t="n"/>
      <c r="J65" s="192" t="n"/>
      <c r="K65" s="192" t="n"/>
      <c r="L65" s="192" t="n"/>
      <c r="M65" s="192" t="n"/>
      <c r="N65" s="192" t="n"/>
      <c r="O65" s="192" t="n"/>
      <c r="P65" s="192" t="n"/>
      <c r="Q65" s="192" t="n"/>
    </row>
    <row r="66" ht="15.75" customHeight="1" s="251">
      <c r="A66" s="192" t="n"/>
      <c r="B66" s="233">
        <f>B64+0.01</f>
        <v>0.05</v>
      </c>
      <c r="C66" s="229" t="n"/>
      <c r="D66" s="230">
        <f t="array" ref="D66">IFERROR((SUMPRODUCT($D$24:$M$24/(1+D$61)^$D$29:$M$29)+($M$24*(1+$B66)/(D$61-$B66))/(1+D$61)^$M$29-$C$48)/$C$50,"")</f>
        <v>869.221394947641</v>
      </c>
      <c r="E66" s="230">
        <f t="array" ref="E66">IFERROR((SUMPRODUCT($D$24:$M$24/(1+E$61)^$D$29:$M$29)+($M$24*(1+$B66)/(E$61-$B66))/(1+E$61)^$M$29-$C$48)/$C$50,"")</f>
        <v>721.014080987886</v>
      </c>
      <c r="F66" s="230">
        <f t="array" ref="F66">IFERROR((SUMPRODUCT($D$24:$M$24/(1+F$61)^$D$29:$M$29)+($M$24*(1+$B66)/(F$61-$B66))/(1+F$61)^$M$29-$C$48)/$C$50,"")</f>
        <v>612.792499340342</v>
      </c>
      <c r="G66" s="230">
        <f t="array" ref="G66">IFERROR((SUMPRODUCT($D$24:$M$24/(1+G$61)^$D$29:$M$29)+($M$24*(1+$B66)/(G$61-$B66))/(1+G$61)^$M$29-$C$48)/$C$50,"")</f>
        <v>530.316563073806</v>
      </c>
      <c r="H66" s="236">
        <f t="array" ref="H66">IFERROR((SUMPRODUCT($D$24:$M$24/(1+H$61)^$D$29:$M$29)+($M$24*(1+$B66)/(H$61-$B66))/(1+H$61)^$M$29-$C$48)/$C$50,"")</f>
        <v>465.389787616634</v>
      </c>
      <c r="I66" s="192" t="n"/>
      <c r="J66" s="192" t="n"/>
      <c r="K66" s="192" t="n"/>
      <c r="L66" s="192" t="n"/>
      <c r="M66" s="192" t="n"/>
      <c r="N66" s="192" t="n"/>
      <c r="O66" s="192" t="n"/>
      <c r="P66" s="192" t="n"/>
      <c r="Q66" s="192" t="n"/>
    </row>
    <row r="67" ht="15" customHeight="1" s="251">
      <c r="A67" s="192" t="n"/>
      <c r="B67" s="192" t="n"/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</row>
    <row r="68" ht="15" customHeight="1" s="251">
      <c r="A68" s="192" t="n"/>
      <c r="B68" s="192" t="n"/>
      <c r="C68" s="192" t="n"/>
      <c r="D68" s="192" t="n"/>
      <c r="E68" s="192" t="n"/>
      <c r="F68" s="192" t="n"/>
      <c r="G68" s="192" t="n"/>
      <c r="H68" s="192" t="n"/>
      <c r="I68" s="192" t="n"/>
      <c r="J68" s="192" t="n"/>
      <c r="K68" s="192" t="n"/>
      <c r="L68" s="192" t="n"/>
      <c r="M68" s="192" t="n"/>
      <c r="N68" s="192" t="n"/>
      <c r="O68" s="192" t="n"/>
      <c r="P68" s="192" t="n"/>
      <c r="Q68" s="192" t="n"/>
    </row>
    <row r="69" ht="15.75" customHeight="1" s="251">
      <c r="A69" s="192" t="n"/>
      <c r="B69" s="195" t="inlineStr">
        <is>
          <t>5. REVERSE DCF</t>
        </is>
      </c>
      <c r="C69" s="196" t="n"/>
      <c r="D69" s="196" t="n"/>
      <c r="E69" s="196" t="n"/>
      <c r="F69" s="196" t="n"/>
      <c r="G69" s="196" t="n"/>
      <c r="H69" s="196" t="n"/>
      <c r="I69" s="196" t="n"/>
      <c r="J69" s="196" t="n"/>
      <c r="K69" s="196" t="n"/>
      <c r="L69" s="196" t="n"/>
      <c r="M69" s="196" t="n"/>
      <c r="N69" s="196" t="n"/>
      <c r="O69" s="192" t="n"/>
      <c r="P69" s="192" t="n"/>
      <c r="Q69" s="192" t="n"/>
    </row>
    <row r="70" ht="15" customHeight="1" s="251">
      <c r="A70" s="192" t="n"/>
      <c r="B70" s="198" t="inlineStr">
        <is>
          <t>To solve for the market-implied path: Data ▸ What-If Analysis ▸ Goal Seek — set C51 to the current price (C52) by changing C27 (terminal growth) or the fade-period growth inputs (I26:M26).</t>
        </is>
      </c>
      <c r="C70" s="192" t="n"/>
      <c r="D70" s="192" t="n"/>
      <c r="E70" s="192" t="n"/>
      <c r="F70" s="192" t="n"/>
      <c r="G70" s="192" t="n"/>
      <c r="H70" s="192" t="n"/>
      <c r="I70" s="192" t="n"/>
      <c r="J70" s="192" t="n"/>
      <c r="K70" s="192" t="n"/>
      <c r="L70" s="192" t="n"/>
      <c r="M70" s="192" t="n"/>
      <c r="N70" s="192" t="n"/>
      <c r="O70" s="192" t="n"/>
      <c r="P70" s="192" t="n"/>
      <c r="Q70" s="192" t="n"/>
    </row>
    <row r="71" ht="15" customHeight="1" s="251">
      <c r="A71" s="192" t="n"/>
      <c r="B71" s="192" t="n"/>
      <c r="C71" s="192" t="n"/>
      <c r="D71" s="192" t="n"/>
      <c r="E71" s="192" t="n"/>
      <c r="F71" s="192" t="n"/>
      <c r="G71" s="192" t="n"/>
      <c r="H71" s="192" t="n"/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</row>
    <row r="72" ht="15.75" customHeight="1" s="251">
      <c r="A72" s="192" t="n"/>
      <c r="B72" s="195" t="inlineStr">
        <is>
          <t>6. MAUBOUSSIN EV / NOPAT — TWO-STAGE FRAMEWORK</t>
        </is>
      </c>
      <c r="C72" s="196" t="n"/>
      <c r="D72" s="196" t="n"/>
      <c r="E72" s="196" t="n"/>
      <c r="F72" s="196" t="n"/>
      <c r="G72" s="196" t="n"/>
      <c r="H72" s="196" t="n"/>
      <c r="I72" s="196" t="n"/>
      <c r="J72" s="196" t="n"/>
      <c r="K72" s="196" t="n"/>
      <c r="L72" s="196" t="n"/>
      <c r="M72" s="196" t="n"/>
      <c r="N72" s="196" t="n"/>
      <c r="O72" s="192" t="n"/>
      <c r="P72" s="192" t="n"/>
      <c r="Q72" s="192" t="n"/>
    </row>
    <row r="73" ht="15" customHeight="1" s="251">
      <c r="A73" s="192" t="n"/>
      <c r="B73" s="198" t="inlineStr">
        <is>
          <t>EV/NOPAT  =  1/r  +  [g × (1 − r/ROIIC) / (r × (r − g))] × [1 − ((1+g)/(1+r))^N]</t>
        </is>
      </c>
      <c r="C73" s="192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P73" s="192" t="n"/>
      <c r="Q73" s="192" t="n"/>
    </row>
    <row r="74" ht="15" customHeight="1" s="251">
      <c r="A74" s="192" t="n"/>
      <c r="B74" s="198" t="inlineStr">
        <is>
          <t>Formula source: Mauboussin &amp; Rappaport, "Expectations Investing" (2021); Counterpoint Global, "What Does a Price-Earnings Multiple Mean?" (2020).</t>
        </is>
      </c>
      <c r="C74" s="192" t="n"/>
      <c r="D74" s="192" t="n"/>
      <c r="E74" s="192" t="n"/>
      <c r="F74" s="192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</row>
    <row r="75" ht="15" customHeight="1" s="251">
      <c r="A75" s="192" t="n"/>
      <c r="B75" s="192" t="n"/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</row>
    <row r="76" ht="15.75" customHeight="1" s="251">
      <c r="A76" s="192" t="n"/>
      <c r="B76" s="195" t="inlineStr">
        <is>
          <t>Input</t>
        </is>
      </c>
      <c r="C76" s="207" t="inlineStr">
        <is>
          <t>Value</t>
        </is>
      </c>
      <c r="D76" s="195" t="inlineStr">
        <is>
          <t>Rationale (S&amp;P Global characteristics)</t>
        </is>
      </c>
      <c r="E76" s="196" t="n"/>
      <c r="F76" s="196" t="n"/>
      <c r="G76" s="196" t="n"/>
      <c r="H76" s="196" t="n"/>
      <c r="I76" s="196" t="n"/>
      <c r="J76" s="196" t="n"/>
      <c r="K76" s="196" t="n"/>
      <c r="L76" s="196" t="n"/>
      <c r="M76" s="196" t="n"/>
      <c r="N76" s="196" t="n"/>
      <c r="O76" s="192" t="n"/>
      <c r="P76" s="192" t="n"/>
      <c r="Q76" s="192" t="n"/>
    </row>
    <row r="77" ht="15.75" customHeight="1" s="251">
      <c r="A77" s="192" t="n"/>
      <c r="B77" s="197" t="inlineStr">
        <is>
          <t>r  (Cost of capital / WACC)</t>
        </is>
      </c>
      <c r="C77" s="238">
        <f>$C$13</f>
        <v>0.087125</v>
      </c>
      <c r="D77" s="198" t="inlineStr">
        <is>
          <t>Linked from Section 1 WACC build</t>
        </is>
      </c>
      <c r="E77" s="192" t="n"/>
      <c r="F77" s="192" t="n"/>
      <c r="G77" s="192" t="n"/>
      <c r="H77" s="192" t="n"/>
      <c r="I77" s="192" t="n"/>
      <c r="J77" s="192" t="n"/>
      <c r="K77" s="192" t="n"/>
      <c r="L77" s="192" t="n"/>
      <c r="M77" s="192" t="n"/>
      <c r="N77" s="192" t="n"/>
      <c r="O77" s="192" t="n"/>
      <c r="P77" s="192" t="n"/>
      <c r="Q77" s="192" t="n"/>
    </row>
    <row r="78" ht="15.75" customHeight="1" s="251">
      <c r="A78" s="192" t="n"/>
      <c r="B78" s="197" t="inlineStr">
        <is>
          <t>g  (NOPAT growth, Stage 1)</t>
        </is>
      </c>
      <c r="C78" s="239" t="n">
        <v>0.09</v>
      </c>
      <c r="D78" s="198" t="inlineStr">
        <is>
          <t>Model adjusted EBITA CAGR 2026–31E: mid / high-single-digit revenue growth with modest margin expansion and the M&amp;A lever → ~8–9% NOPAT growth</t>
        </is>
      </c>
      <c r="E78" s="192" t="n"/>
      <c r="F78" s="192" t="n"/>
      <c r="G78" s="192" t="n"/>
      <c r="H78" s="192" t="n"/>
      <c r="I78" s="192" t="n"/>
      <c r="J78" s="192" t="n"/>
      <c r="K78" s="192" t="n"/>
      <c r="L78" s="192" t="n"/>
      <c r="M78" s="192" t="n"/>
      <c r="N78" s="192" t="n"/>
      <c r="O78" s="192" t="n"/>
      <c r="P78" s="192" t="n"/>
      <c r="Q78" s="192" t="n"/>
    </row>
    <row r="79" ht="15.75" customHeight="1" s="251">
      <c r="A79" s="192" t="n"/>
      <c r="B79" s="197" t="inlineStr">
        <is>
          <t>ROIIC  (Return on incremental invested capital)</t>
        </is>
      </c>
      <c r="C79" s="239" t="n">
        <v>0.3</v>
      </c>
      <c r="D79" s="198" t="inlineStr">
        <is>
          <t>Benchmarks (S&amp;P 500 index licensing, Platts price assessments) and ratings are franchise assets with very high incremental returns; reported ROIC is depressed by the $31bn IHS Markit goodwill, so incremental (not average) returns matter</t>
        </is>
      </c>
      <c r="E79" s="192" t="n"/>
      <c r="F79" s="192" t="n"/>
      <c r="G79" s="192" t="n"/>
      <c r="H79" s="192" t="n"/>
      <c r="I79" s="192" t="n"/>
      <c r="J79" s="192" t="n"/>
      <c r="K79" s="192" t="n"/>
      <c r="L79" s="192" t="n"/>
      <c r="M79" s="192" t="n"/>
      <c r="N79" s="192" t="n"/>
      <c r="O79" s="192" t="n"/>
      <c r="P79" s="192" t="n"/>
      <c r="Q79" s="192" t="n"/>
    </row>
    <row r="80" ht="15.75" customHeight="1" s="251">
      <c r="A80" s="192" t="n"/>
      <c r="B80" s="197" t="inlineStr">
        <is>
          <t>N  (Years of value creation / CAP)</t>
        </is>
      </c>
      <c r="C80" s="208" t="n">
        <v>20</v>
      </c>
      <c r="D80" s="198" t="inlineStr">
        <is>
          <t>Regulatory-licensed ratings duopoly, embedded benchmarks and data networks give a long competitive-advantage period; risks are issuance cyclicality, passive-fee compression and AI-driven disruption of data / workflow products</t>
        </is>
      </c>
      <c r="E80" s="192" t="n"/>
      <c r="F80" s="192" t="n"/>
      <c r="G80" s="192" t="n"/>
      <c r="H80" s="192" t="n"/>
      <c r="I80" s="192" t="n"/>
      <c r="J80" s="192" t="n"/>
      <c r="K80" s="192" t="n"/>
      <c r="L80" s="192" t="n"/>
      <c r="M80" s="192" t="n"/>
      <c r="N80" s="192" t="n"/>
      <c r="O80" s="192" t="n"/>
      <c r="P80" s="192" t="n"/>
      <c r="Q80" s="192" t="n"/>
    </row>
    <row r="81" ht="15" customHeight="1" s="251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192" t="n"/>
      <c r="J81" s="192" t="n"/>
      <c r="K81" s="192" t="n"/>
      <c r="L81" s="192" t="n"/>
      <c r="M81" s="192" t="n"/>
      <c r="N81" s="192" t="n"/>
      <c r="O81" s="192" t="n"/>
      <c r="P81" s="192" t="n"/>
      <c r="Q81" s="192" t="n"/>
    </row>
    <row r="82" ht="15.75" customHeight="1" s="251">
      <c r="A82" s="192" t="n"/>
      <c r="B82" s="195" t="inlineStr">
        <is>
          <t>Calculation</t>
        </is>
      </c>
      <c r="C82" s="207" t="inlineStr">
        <is>
          <t>Value</t>
        </is>
      </c>
      <c r="D82" s="192" t="n"/>
      <c r="E82" s="192" t="n"/>
      <c r="F82" s="192" t="n"/>
      <c r="G82" s="19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P82" s="192" t="n"/>
      <c r="Q82" s="192" t="n"/>
    </row>
    <row r="83" ht="15.75" customHeight="1" s="251">
      <c r="A83" s="192" t="n"/>
      <c r="B83" s="197" t="inlineStr">
        <is>
          <t>Steady-state component:  1 / r</t>
        </is>
      </c>
      <c r="C83" s="240">
        <f>1/C77</f>
        <v>11.4777618364419</v>
      </c>
      <c r="D83" s="192" t="n"/>
      <c r="E83" s="192" t="n"/>
      <c r="F83" s="192" t="n"/>
      <c r="G83" s="192" t="n"/>
      <c r="H83" s="192" t="n"/>
      <c r="I83" s="192" t="n"/>
      <c r="J83" s="192" t="n"/>
      <c r="K83" s="192" t="n"/>
      <c r="L83" s="192" t="n"/>
      <c r="M83" s="192" t="n"/>
      <c r="N83" s="192" t="n"/>
      <c r="O83" s="192" t="n"/>
      <c r="P83" s="192" t="n"/>
      <c r="Q83" s="192" t="n"/>
    </row>
    <row r="84" ht="15.75" customHeight="1" s="251">
      <c r="A84" s="192" t="n"/>
      <c r="B84" s="197" t="inlineStr">
        <is>
          <t>Value-creation factor: 1 − r / ROIIC</t>
        </is>
      </c>
      <c r="C84" s="241">
        <f>1-C77/C79</f>
        <v>0.709583333333333</v>
      </c>
      <c r="D84" s="192" t="n"/>
      <c r="E84" s="192" t="n"/>
      <c r="F84" s="192" t="n"/>
      <c r="G84" s="192" t="n"/>
      <c r="H84" s="192" t="n"/>
      <c r="I84" s="192" t="n"/>
      <c r="J84" s="192" t="n"/>
      <c r="K84" s="192" t="n"/>
      <c r="L84" s="192" t="n"/>
      <c r="M84" s="192" t="n"/>
      <c r="N84" s="192" t="n"/>
      <c r="O84" s="192" t="n"/>
      <c r="P84" s="192" t="n"/>
      <c r="Q84" s="192" t="n"/>
    </row>
    <row r="85" ht="15.75" customHeight="1" s="251">
      <c r="A85" s="192" t="n"/>
      <c r="B85" s="197" t="inlineStr">
        <is>
          <t>Growth multiplier: g × (1 − r/ROIIC) / (r × (r − g))</t>
        </is>
      </c>
      <c r="C85" s="241">
        <f>C78*C84/(C77*(C77-C78))</f>
        <v>-254.956022706008</v>
      </c>
      <c r="D85" s="192" t="n"/>
      <c r="E85" s="192" t="n"/>
      <c r="F85" s="192" t="n"/>
      <c r="G85" s="192" t="n"/>
      <c r="H85" s="192" t="n"/>
      <c r="I85" s="192" t="n"/>
      <c r="J85" s="192" t="n"/>
      <c r="K85" s="192" t="n"/>
      <c r="L85" s="192" t="n"/>
      <c r="M85" s="192" t="n"/>
      <c r="N85" s="192" t="n"/>
      <c r="O85" s="192" t="n"/>
      <c r="P85" s="192" t="n"/>
      <c r="Q85" s="192" t="n"/>
    </row>
    <row r="86" ht="15.75" customHeight="1" s="251">
      <c r="A86" s="192" t="n"/>
      <c r="B86" s="197" t="inlineStr">
        <is>
          <t>Time decay: 1 − ((1+g)/(1+r))^N</t>
        </is>
      </c>
      <c r="C86" s="242">
        <f>1-((1+C78)/(1+C77))^C80</f>
        <v>-0.0542419588660097</v>
      </c>
      <c r="D86" s="192" t="n"/>
      <c r="E86" s="192" t="n"/>
      <c r="F86" s="192" t="n"/>
      <c r="G86" s="192" t="n"/>
      <c r="H86" s="192" t="n"/>
      <c r="I86" s="192" t="n"/>
      <c r="J86" s="192" t="n"/>
      <c r="K86" s="192" t="n"/>
      <c r="L86" s="192" t="n"/>
      <c r="M86" s="192" t="n"/>
      <c r="N86" s="192" t="n"/>
      <c r="O86" s="192" t="n"/>
      <c r="P86" s="192" t="n"/>
      <c r="Q86" s="192" t="n"/>
    </row>
    <row r="87" ht="15.75" customHeight="1" s="251">
      <c r="A87" s="192" t="n"/>
      <c r="B87" s="197" t="inlineStr">
        <is>
          <t>PVGO component (growth value)</t>
        </is>
      </c>
      <c r="C87" s="240">
        <f>C85*C86</f>
        <v>13.8293140962607</v>
      </c>
      <c r="D87" s="192" t="n"/>
      <c r="E87" s="192" t="n"/>
      <c r="F87" s="192" t="n"/>
      <c r="G87" s="192" t="n"/>
      <c r="H87" s="192" t="n"/>
      <c r="I87" s="192" t="n"/>
      <c r="J87" s="192" t="n"/>
      <c r="K87" s="192" t="n"/>
      <c r="L87" s="192" t="n"/>
      <c r="M87" s="192" t="n"/>
      <c r="N87" s="192" t="n"/>
      <c r="O87" s="192" t="n"/>
      <c r="P87" s="192" t="n"/>
      <c r="Q87" s="192" t="n"/>
    </row>
    <row r="88" ht="15.75" customHeight="1" s="251">
      <c r="A88" s="192" t="n"/>
      <c r="B88" s="202" t="inlineStr">
        <is>
          <t>Mauboussin EV / NOPAT (steady-state + PVGO)</t>
        </is>
      </c>
      <c r="C88" s="305">
        <f>C83+C87</f>
        <v>25.3070759327026</v>
      </c>
      <c r="D88" s="192" t="n"/>
      <c r="E88" s="192" t="n"/>
      <c r="F88" s="192" t="n"/>
      <c r="G88" s="192" t="n"/>
      <c r="H88" s="192" t="n"/>
      <c r="I88" s="192" t="n"/>
      <c r="J88" s="192" t="n"/>
      <c r="K88" s="192" t="n"/>
      <c r="L88" s="192" t="n"/>
      <c r="M88" s="192" t="n"/>
      <c r="N88" s="192" t="n"/>
      <c r="O88" s="192" t="n"/>
      <c r="P88" s="192" t="n"/>
      <c r="Q88" s="192" t="n"/>
    </row>
    <row r="89" ht="15" customHeight="1" s="251">
      <c r="A89" s="192" t="n"/>
      <c r="B89" s="192" t="n"/>
      <c r="C89" s="192" t="n"/>
      <c r="D89" s="192" t="n"/>
      <c r="E89" s="192" t="n"/>
      <c r="F89" s="192" t="n"/>
      <c r="G89" s="192" t="n"/>
      <c r="H89" s="192" t="n"/>
      <c r="I89" s="192" t="n"/>
      <c r="J89" s="192" t="n"/>
      <c r="K89" s="192" t="n"/>
      <c r="L89" s="192" t="n"/>
      <c r="M89" s="192" t="n"/>
      <c r="N89" s="192" t="n"/>
      <c r="O89" s="192" t="n"/>
      <c r="P89" s="192" t="n"/>
      <c r="Q89" s="192" t="n"/>
    </row>
    <row r="90" ht="15.75" customHeight="1" s="251">
      <c r="A90" s="192" t="n"/>
      <c r="B90" s="195" t="inlineStr">
        <is>
          <t>VALUATION  —  Applied to FY2029E NOPAT</t>
        </is>
      </c>
      <c r="C90" s="207" t="inlineStr">
        <is>
          <t>USDm</t>
        </is>
      </c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</row>
    <row r="91" ht="15.75" customHeight="1" s="251">
      <c r="A91" s="192" t="n"/>
      <c r="B91" s="197" t="inlineStr">
        <is>
          <t>FY2029E Adj. EBITA less severance / acquisition / disposition / legal costs</t>
        </is>
      </c>
      <c r="C91" s="209">
        <f>Model!BZ260-Model!BZ262</f>
        <v>9427.60576487838</v>
      </c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</row>
    <row r="92" ht="15.75" customHeight="1" s="251">
      <c r="A92" s="192" t="n"/>
      <c r="B92" s="197" t="inlineStr">
        <is>
          <t>Tax rate (from WACC build)</t>
        </is>
      </c>
      <c r="C92" s="210">
        <f>$C$10</f>
        <v>0.225</v>
      </c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</row>
    <row r="93" ht="15.75" customHeight="1" s="251">
      <c r="A93" s="192" t="n"/>
      <c r="B93" s="197" t="inlineStr">
        <is>
          <t>FY2029E NOPAT</t>
        </is>
      </c>
      <c r="C93" s="211">
        <f>C91*(1-C92)</f>
        <v>7306.39446778074</v>
      </c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</row>
    <row r="94" ht="15.75" customHeight="1" s="251">
      <c r="A94" s="192" t="n"/>
      <c r="B94" s="197" t="inlineStr">
        <is>
          <t>× Mauboussin EV/NOPAT multiple</t>
        </is>
      </c>
      <c r="C94" s="306">
        <f>C88</f>
        <v>25.3070759327026</v>
      </c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</row>
    <row r="95" ht="15.75" customHeight="1" s="251">
      <c r="A95" s="192" t="n"/>
      <c r="B95" s="197" t="inlineStr">
        <is>
          <t>Implied Enterprise Value (FY2029E basis)</t>
        </is>
      </c>
      <c r="C95" s="211">
        <f>C93*C94</f>
        <v>184903.479590406</v>
      </c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</row>
    <row r="96" ht="15.75" customHeight="1" s="251">
      <c r="A96" s="192" t="n"/>
      <c r="B96" s="197" t="inlineStr">
        <is>
          <t>Less: FY2028E year-end net debt + NCI (Model)</t>
        </is>
      </c>
      <c r="C96" s="209">
        <f>Model!BY482+Model!BY492</f>
        <v>18595.824555287</v>
      </c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</row>
    <row r="97" ht="15.75" customHeight="1" s="251">
      <c r="A97" s="192" t="n"/>
      <c r="B97" s="197" t="inlineStr">
        <is>
          <t>Implied Equity Value</t>
        </is>
      </c>
      <c r="C97" s="211">
        <f>C95-C96</f>
        <v>166307.655035119</v>
      </c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</row>
    <row r="98" ht="15.75" customHeight="1" s="251">
      <c r="A98" s="192" t="n"/>
      <c r="B98" s="197" t="inlineStr">
        <is>
          <t>Diluted shares FY2029E (m, Model)</t>
        </is>
      </c>
      <c r="C98" s="212">
        <f>Model!BZ489</f>
        <v>251.697600688393</v>
      </c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</row>
    <row r="99" ht="15.75" customHeight="1" s="251">
      <c r="A99" s="192" t="n"/>
      <c r="B99" s="202" t="inlineStr">
        <is>
          <t>Implied share price FY2029 ($)</t>
        </is>
      </c>
      <c r="C99" s="213">
        <f>C97/C98</f>
        <v>660.743902922663</v>
      </c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</row>
    <row r="100" ht="15" customHeight="1" s="251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</row>
    <row r="101" ht="15.75" customHeight="1" s="251">
      <c r="A101" s="192" t="n"/>
      <c r="B101" s="197" t="inlineStr">
        <is>
          <t>Current share price ($)</t>
        </is>
      </c>
      <c r="C101" s="214">
        <f>C52</f>
        <v>415</v>
      </c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</row>
    <row r="102" ht="15.75" customHeight="1" s="251">
      <c r="A102" s="192" t="n"/>
      <c r="B102" s="199" t="inlineStr">
        <is>
          <t>Implied upside / (downside)</t>
        </is>
      </c>
      <c r="C102" s="245">
        <f>C99/C101-1</f>
        <v>0.592153982946175</v>
      </c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</row>
    <row r="103" ht="15" customHeight="1" s="251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</row>
    <row r="104" ht="15.75" customHeight="1" s="251">
      <c r="A104" s="192" t="n"/>
      <c r="B104" s="195" t="inlineStr">
        <is>
          <t>MARKET-IMPLIED EV/NOPAT TODAY</t>
        </is>
      </c>
      <c r="C104" s="207" t="inlineStr">
        <is>
          <t>USDm</t>
        </is>
      </c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</row>
    <row r="105" ht="15.75" customHeight="1" s="251">
      <c r="A105" s="192" t="n"/>
      <c r="B105" s="197" t="inlineStr">
        <is>
          <t>Current market cap (spot × diluted shares)</t>
        </is>
      </c>
      <c r="C105" s="211">
        <f>C52*C50</f>
        <v>116841</v>
      </c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</row>
    <row r="106" ht="15.75" customHeight="1" s="251">
      <c r="A106" s="192" t="n"/>
      <c r="B106" s="197" t="inlineStr">
        <is>
          <t>Plus: FY2026E year-end net debt + NCI</t>
        </is>
      </c>
      <c r="C106" s="211">
        <f>C48</f>
        <v>17453.8973737703</v>
      </c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</row>
    <row r="107" ht="15.75" customHeight="1" s="251">
      <c r="A107" s="192" t="n"/>
      <c r="B107" s="197" t="inlineStr">
        <is>
          <t>Implied Enterprise Value (today)</t>
        </is>
      </c>
      <c r="C107" s="211">
        <f>C105+C106</f>
        <v>134294.89737377</v>
      </c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</row>
    <row r="108" ht="15.75" customHeight="1" s="251">
      <c r="A108" s="192" t="n"/>
      <c r="B108" s="202" t="inlineStr">
        <is>
          <t>SPGI market-implied EV/NOPAT (on FY2029E NOPAT)</t>
        </is>
      </c>
      <c r="C108" s="307">
        <f>C107/C93</f>
        <v>18.3804608368704</v>
      </c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</row>
    <row r="109" ht="15" customHeight="1" s="251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</row>
    <row r="110" ht="15.75" customHeight="1" s="251">
      <c r="A110" s="192" t="n"/>
      <c r="B110" s="199" t="inlineStr">
        <is>
          <t>Multiple gap (Mauboussin − Market)</t>
        </is>
      </c>
      <c r="C110" s="247">
        <f>C88-C108</f>
        <v>6.92661509583224</v>
      </c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</row>
    <row r="111" ht="15.75" customHeight="1" s="251">
      <c r="A111" s="192" t="n"/>
      <c r="B111" s="197" t="inlineStr">
        <is>
          <t>Implied re-rating headroom</t>
        </is>
      </c>
      <c r="C111" s="215">
        <f>C88/C108-1</f>
        <v>0.376846650217701</v>
      </c>
      <c r="D111" s="192" t="n"/>
      <c r="E111" s="192" t="n"/>
      <c r="F111" s="192" t="n"/>
      <c r="G111" s="192" t="n"/>
      <c r="H111" s="192" t="n"/>
      <c r="I111" s="192" t="n"/>
      <c r="J111" s="192" t="n"/>
      <c r="K111" s="192" t="n"/>
      <c r="L111" s="192" t="n"/>
      <c r="M111" s="192" t="n"/>
      <c r="N111" s="192" t="n"/>
      <c r="O111" s="192" t="n"/>
      <c r="P111" s="192" t="n"/>
      <c r="Q111" s="192" t="n"/>
    </row>
    <row r="112" ht="15" customHeight="1" s="251">
      <c r="A112" s="192" t="n"/>
      <c r="B112" s="192" t="n"/>
      <c r="C112" s="192" t="n"/>
      <c r="D112" s="192" t="n"/>
      <c r="E112" s="192" t="n"/>
      <c r="F112" s="192" t="n"/>
      <c r="G112" s="192" t="n"/>
      <c r="H112" s="192" t="n"/>
      <c r="I112" s="192" t="n"/>
      <c r="J112" s="192" t="n"/>
      <c r="K112" s="192" t="n"/>
      <c r="L112" s="192" t="n"/>
      <c r="M112" s="192" t="n"/>
      <c r="N112" s="192" t="n"/>
      <c r="O112" s="192" t="n"/>
      <c r="P112" s="192" t="n"/>
      <c r="Q112" s="192" t="n"/>
    </row>
    <row r="113" ht="15" customHeight="1" s="251">
      <c r="A113" s="192" t="n"/>
      <c r="B113" s="192" t="n"/>
      <c r="C113" s="192" t="n"/>
      <c r="D113" s="192" t="n"/>
      <c r="E113" s="192" t="n"/>
      <c r="F113" s="192" t="n"/>
      <c r="G113" s="192" t="n"/>
      <c r="H113" s="192" t="n"/>
      <c r="I113" s="192" t="n"/>
      <c r="J113" s="192" t="n"/>
      <c r="K113" s="192" t="n"/>
      <c r="L113" s="192" t="n"/>
      <c r="M113" s="192" t="n"/>
      <c r="N113" s="192" t="n"/>
      <c r="O113" s="192" t="n"/>
      <c r="P113" s="192" t="n"/>
      <c r="Q113" s="192" t="n"/>
    </row>
    <row r="114" ht="15" customHeight="1" s="251">
      <c r="A114" s="192" t="n"/>
      <c r="B114" s="192" t="n"/>
      <c r="C114" s="192" t="n"/>
      <c r="D114" s="192" t="n"/>
      <c r="E114" s="192" t="n"/>
      <c r="F114" s="192" t="n"/>
      <c r="G114" s="192" t="n"/>
      <c r="H114" s="192" t="n"/>
      <c r="I114" s="192" t="n"/>
      <c r="J114" s="192" t="n"/>
      <c r="K114" s="192" t="n"/>
      <c r="L114" s="192" t="n"/>
      <c r="M114" s="192" t="n"/>
      <c r="N114" s="192" t="n"/>
      <c r="O114" s="192" t="n"/>
      <c r="P114" s="192" t="n"/>
      <c r="Q114" s="192" t="n"/>
    </row>
    <row r="115" ht="15" customHeight="1" s="251">
      <c r="A115" s="192" t="n"/>
      <c r="B115" s="192" t="n"/>
      <c r="C115" s="192" t="n"/>
      <c r="D115" s="192" t="n"/>
      <c r="E115" s="192" t="n"/>
      <c r="F115" s="192" t="n"/>
      <c r="G115" s="192" t="n"/>
      <c r="H115" s="192" t="n"/>
      <c r="I115" s="192" t="n"/>
      <c r="J115" s="192" t="n"/>
      <c r="K115" s="192" t="n"/>
      <c r="L115" s="192" t="n"/>
      <c r="M115" s="192" t="n"/>
      <c r="N115" s="192" t="n"/>
      <c r="O115" s="192" t="n"/>
      <c r="P115" s="192" t="n"/>
      <c r="Q115" s="192" t="n"/>
    </row>
    <row r="116">
      <c r="A116" s="192" t="n"/>
      <c r="B116" s="192" t="n"/>
      <c r="C116" s="192" t="n"/>
      <c r="D116" s="192" t="n"/>
      <c r="E116" s="192" t="n"/>
      <c r="F116" s="192" t="n"/>
      <c r="G116" s="192" t="n"/>
      <c r="H116" s="192" t="n"/>
      <c r="I116" s="192" t="n"/>
      <c r="J116" s="192" t="n"/>
      <c r="K116" s="192" t="n"/>
      <c r="L116" s="192" t="n"/>
      <c r="M116" s="192" t="n"/>
      <c r="N116" s="192" t="n"/>
      <c r="O116" s="192" t="n"/>
      <c r="P116" s="192" t="n"/>
      <c r="Q116" s="192" t="n"/>
    </row>
    <row r="117" ht="15" customHeight="1" s="251">
      <c r="A117" s="192" t="n"/>
      <c r="B117" s="192" t="n"/>
      <c r="C117" s="192" t="n"/>
      <c r="D117" s="192" t="n"/>
      <c r="E117" s="192" t="n"/>
      <c r="F117" s="192" t="n"/>
      <c r="G117" s="192" t="n"/>
      <c r="H117" s="192" t="n"/>
      <c r="I117" s="192" t="n"/>
      <c r="J117" s="192" t="n"/>
      <c r="K117" s="192" t="n"/>
      <c r="L117" s="192" t="n"/>
      <c r="M117" s="192" t="n"/>
      <c r="N117" s="192" t="n"/>
      <c r="O117" s="192" t="n"/>
      <c r="P117" s="192" t="n"/>
      <c r="Q117" s="192" t="n"/>
    </row>
    <row r="118" ht="15" customHeight="1" s="251">
      <c r="A118" s="192" t="n"/>
      <c r="B118" s="192" t="n"/>
      <c r="C118" s="192" t="n"/>
      <c r="D118" s="192" t="n"/>
      <c r="E118" s="192" t="n"/>
      <c r="F118" s="192" t="n"/>
      <c r="G118" s="192" t="n"/>
      <c r="H118" s="192" t="n"/>
      <c r="I118" s="192" t="n"/>
      <c r="J118" s="192" t="n"/>
      <c r="K118" s="192" t="n"/>
      <c r="L118" s="192" t="n"/>
      <c r="M118" s="192" t="n"/>
      <c r="N118" s="192" t="n"/>
      <c r="O118" s="192" t="n"/>
      <c r="P118" s="192" t="n"/>
      <c r="Q118" s="192" t="n"/>
    </row>
    <row r="119">
      <c r="A119" s="192" t="n"/>
      <c r="B119" s="192" t="n"/>
      <c r="C119" s="192" t="n"/>
      <c r="D119" s="192" t="n"/>
      <c r="E119" s="192" t="n"/>
      <c r="F119" s="192" t="n"/>
      <c r="G119" s="192" t="n"/>
      <c r="H119" s="192" t="n"/>
      <c r="I119" s="192" t="n"/>
      <c r="J119" s="192" t="n"/>
      <c r="K119" s="192" t="n"/>
      <c r="L119" s="192" t="n"/>
      <c r="M119" s="192" t="n"/>
      <c r="N119" s="192" t="n"/>
      <c r="O119" s="192" t="n"/>
      <c r="P119" s="192" t="n"/>
      <c r="Q119" s="192" t="n"/>
    </row>
    <row r="120">
      <c r="A120" s="192" t="n"/>
      <c r="B120" s="192" t="n"/>
      <c r="C120" s="192" t="n"/>
      <c r="D120" s="192" t="n"/>
      <c r="E120" s="192" t="n"/>
      <c r="F120" s="192" t="n"/>
      <c r="G120" s="192" t="n"/>
      <c r="H120" s="192" t="n"/>
      <c r="I120" s="192" t="n"/>
      <c r="J120" s="192" t="n"/>
      <c r="K120" s="192" t="n"/>
      <c r="L120" s="192" t="n"/>
      <c r="M120" s="192" t="n"/>
      <c r="N120" s="192" t="n"/>
      <c r="O120" s="192" t="n"/>
      <c r="P120" s="192" t="n"/>
      <c r="Q120" s="192" t="n"/>
    </row>
    <row r="121">
      <c r="A121" s="192" t="n"/>
      <c r="B121" s="192" t="n"/>
      <c r="C121" s="192" t="n"/>
      <c r="D121" s="192" t="n"/>
      <c r="E121" s="192" t="n"/>
      <c r="F121" s="192" t="n"/>
      <c r="G121" s="192" t="n"/>
      <c r="H121" s="192" t="n"/>
      <c r="I121" s="192" t="n"/>
      <c r="J121" s="192" t="n"/>
      <c r="K121" s="192" t="n"/>
      <c r="L121" s="192" t="n"/>
      <c r="M121" s="192" t="n"/>
      <c r="N121" s="192" t="n"/>
      <c r="O121" s="192" t="n"/>
      <c r="P121" s="192" t="n"/>
      <c r="Q121" s="192" t="n"/>
    </row>
    <row r="122">
      <c r="A122" s="192" t="n"/>
      <c r="B122" s="192" t="n"/>
      <c r="C122" s="192" t="n"/>
      <c r="D122" s="192" t="n"/>
      <c r="E122" s="192" t="n"/>
      <c r="F122" s="192" t="n"/>
      <c r="G122" s="192" t="n"/>
      <c r="H122" s="192" t="n"/>
      <c r="I122" s="192" t="n"/>
      <c r="J122" s="192" t="n"/>
      <c r="K122" s="192" t="n"/>
      <c r="L122" s="192" t="n"/>
      <c r="M122" s="192" t="n"/>
      <c r="N122" s="192" t="n"/>
      <c r="O122" s="192" t="n"/>
      <c r="P122" s="192" t="n"/>
      <c r="Q122" s="192" t="n"/>
    </row>
    <row r="123">
      <c r="A123" s="192" t="n"/>
      <c r="B123" s="192" t="n"/>
      <c r="C123" s="192" t="n"/>
      <c r="D123" s="192" t="n"/>
      <c r="E123" s="192" t="n"/>
      <c r="F123" s="192" t="n"/>
      <c r="G123" s="192" t="n"/>
      <c r="H123" s="192" t="n"/>
      <c r="I123" s="192" t="n"/>
      <c r="J123" s="192" t="n"/>
      <c r="K123" s="192" t="n"/>
      <c r="L123" s="192" t="n"/>
      <c r="M123" s="192" t="n"/>
      <c r="N123" s="192" t="n"/>
      <c r="O123" s="192" t="n"/>
      <c r="P123" s="192" t="n"/>
      <c r="Q123" s="192" t="n"/>
    </row>
    <row r="124">
      <c r="A124" s="192" t="n"/>
      <c r="B124" s="192" t="n"/>
      <c r="C124" s="192" t="n"/>
      <c r="D124" s="192" t="n"/>
      <c r="E124" s="192" t="n"/>
      <c r="F124" s="192" t="n"/>
      <c r="G124" s="192" t="n"/>
      <c r="H124" s="192" t="n"/>
      <c r="I124" s="192" t="n"/>
      <c r="J124" s="192" t="n"/>
      <c r="K124" s="192" t="n"/>
      <c r="L124" s="192" t="n"/>
      <c r="M124" s="192" t="n"/>
      <c r="N124" s="192" t="n"/>
      <c r="O124" s="192" t="n"/>
      <c r="P124" s="192" t="n"/>
      <c r="Q124" s="192" t="n"/>
    </row>
    <row r="125">
      <c r="A125" s="192" t="n"/>
      <c r="B125" s="192" t="n"/>
      <c r="C125" s="192" t="n"/>
      <c r="D125" s="192" t="n"/>
      <c r="E125" s="192" t="n"/>
      <c r="F125" s="192" t="n"/>
      <c r="G125" s="192" t="n"/>
      <c r="H125" s="192" t="n"/>
      <c r="I125" s="192" t="n"/>
      <c r="J125" s="192" t="n"/>
      <c r="K125" s="192" t="n"/>
      <c r="L125" s="192" t="n"/>
      <c r="M125" s="192" t="n"/>
      <c r="N125" s="192" t="n"/>
      <c r="O125" s="192" t="n"/>
      <c r="P125" s="192" t="n"/>
      <c r="Q125" s="192" t="n"/>
    </row>
    <row r="126">
      <c r="A126" s="192" t="n"/>
      <c r="B126" s="192" t="n"/>
      <c r="C126" s="192" t="n"/>
      <c r="D126" s="192" t="n"/>
      <c r="E126" s="192" t="n"/>
      <c r="F126" s="192" t="n"/>
      <c r="G126" s="192" t="n"/>
      <c r="H126" s="192" t="n"/>
      <c r="I126" s="192" t="n"/>
      <c r="J126" s="192" t="n"/>
      <c r="K126" s="192" t="n"/>
      <c r="L126" s="192" t="n"/>
      <c r="M126" s="192" t="n"/>
      <c r="N126" s="192" t="n"/>
      <c r="O126" s="192" t="n"/>
      <c r="P126" s="192" t="n"/>
      <c r="Q126" s="192" t="n"/>
    </row>
    <row r="127">
      <c r="A127" s="192" t="n"/>
      <c r="B127" s="192" t="n"/>
      <c r="C127" s="192" t="n"/>
      <c r="D127" s="192" t="n"/>
      <c r="E127" s="192" t="n"/>
      <c r="F127" s="192" t="n"/>
      <c r="G127" s="192" t="n"/>
      <c r="H127" s="192" t="n"/>
      <c r="I127" s="192" t="n"/>
      <c r="J127" s="192" t="n"/>
      <c r="K127" s="192" t="n"/>
      <c r="L127" s="192" t="n"/>
      <c r="M127" s="192" t="n"/>
      <c r="N127" s="192" t="n"/>
      <c r="O127" s="192" t="n"/>
      <c r="P127" s="192" t="n"/>
      <c r="Q127" s="192" t="n"/>
    </row>
    <row r="128">
      <c r="A128" s="192" t="n"/>
      <c r="B128" s="192" t="n"/>
      <c r="C128" s="192" t="n"/>
      <c r="D128" s="192" t="n"/>
      <c r="E128" s="192" t="n"/>
      <c r="F128" s="192" t="n"/>
      <c r="G128" s="192" t="n"/>
      <c r="H128" s="192" t="n"/>
      <c r="I128" s="192" t="n"/>
      <c r="J128" s="192" t="n"/>
      <c r="K128" s="192" t="n"/>
      <c r="L128" s="192" t="n"/>
      <c r="M128" s="192" t="n"/>
      <c r="N128" s="192" t="n"/>
      <c r="O128" s="192" t="n"/>
      <c r="P128" s="192" t="n"/>
      <c r="Q128" s="192" t="n"/>
    </row>
    <row r="129">
      <c r="A129" s="192" t="n"/>
      <c r="B129" s="192" t="n"/>
      <c r="C129" s="192" t="n"/>
      <c r="D129" s="192" t="n"/>
      <c r="E129" s="192" t="n"/>
      <c r="F129" s="192" t="n"/>
      <c r="G129" s="192" t="n"/>
      <c r="H129" s="192" t="n"/>
      <c r="I129" s="192" t="n"/>
      <c r="J129" s="192" t="n"/>
      <c r="K129" s="192" t="n"/>
      <c r="L129" s="192" t="n"/>
      <c r="M129" s="192" t="n"/>
      <c r="N129" s="192" t="n"/>
      <c r="O129" s="192" t="n"/>
      <c r="P129" s="192" t="n"/>
      <c r="Q129" s="192" t="n"/>
    </row>
    <row r="130">
      <c r="A130" s="192" t="n"/>
      <c r="B130" s="192" t="n"/>
      <c r="C130" s="192" t="n"/>
      <c r="D130" s="192" t="n"/>
      <c r="E130" s="192" t="n"/>
      <c r="F130" s="192" t="n"/>
      <c r="G130" s="192" t="n"/>
      <c r="H130" s="192" t="n"/>
      <c r="I130" s="192" t="n"/>
      <c r="J130" s="192" t="n"/>
      <c r="K130" s="192" t="n"/>
      <c r="L130" s="192" t="n"/>
      <c r="M130" s="192" t="n"/>
      <c r="N130" s="192" t="n"/>
      <c r="O130" s="192" t="n"/>
      <c r="P130" s="192" t="n"/>
      <c r="Q130" s="192" t="n"/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21"/>
  <sheetViews>
    <sheetView zoomScale="70" zoomScaleNormal="70" workbookViewId="0">
      <selection activeCell="A1" sqref="A1"/>
    </sheetView>
  </sheetViews>
  <sheetFormatPr baseColWidth="8" defaultColWidth="8.5703125" defaultRowHeight="15"/>
  <cols>
    <col width="30" customWidth="1" style="251" min="2" max="2"/>
  </cols>
  <sheetData>
    <row r="2" ht="17.25" customHeight="1" s="251">
      <c r="B2" s="107" t="inlineStr">
        <is>
          <t>S&amp;P Global Inc. — Operating Performance (FY2012–FY2025) and Model Forecast (FY2026E–FY2031E)</t>
        </is>
      </c>
    </row>
    <row r="3" ht="15" customHeight="1" s="251">
      <c r="B3" s="4" t="inlineStr">
        <is>
          <t>USDm · fiscal years ended 31 December · Linked to Model. Bars = contribution of Ratings and of the other divisions (Indices, Energy, Market Intelligence) to total revenue growth (pp); FY2022 includes the IHS Markit merger; FY2025+ excludes Mobility. Adjusted EBITDA = model definition (adjusted OP + depreciation); ROIC on adjusted EBITA.</t>
        </is>
      </c>
    </row>
    <row r="7" ht="15" customHeight="1" s="251">
      <c r="C7" s="10" t="n">
        <v>2012</v>
      </c>
      <c r="D7" s="10" t="n">
        <v>2013</v>
      </c>
      <c r="E7" s="10" t="n">
        <v>2014</v>
      </c>
      <c r="F7" s="10" t="n">
        <v>2015</v>
      </c>
      <c r="G7" s="10" t="n">
        <v>2016</v>
      </c>
      <c r="H7" s="10" t="n">
        <v>2017</v>
      </c>
      <c r="I7" s="10" t="n">
        <v>2018</v>
      </c>
      <c r="J7" s="10" t="n">
        <v>2019</v>
      </c>
      <c r="K7" s="10" t="n">
        <v>2020</v>
      </c>
      <c r="L7" s="10" t="n">
        <v>2021</v>
      </c>
      <c r="M7" s="10" t="n">
        <v>2022</v>
      </c>
      <c r="N7" s="10" t="n">
        <v>2023</v>
      </c>
      <c r="O7" s="10" t="n">
        <v>2024</v>
      </c>
      <c r="P7" s="10" t="n">
        <v>2025</v>
      </c>
      <c r="Q7" s="10" t="inlineStr">
        <is>
          <t>2026E</t>
        </is>
      </c>
      <c r="R7" s="10" t="inlineStr">
        <is>
          <t>2027E</t>
        </is>
      </c>
      <c r="S7" s="10" t="inlineStr">
        <is>
          <t>2028E</t>
        </is>
      </c>
      <c r="T7" s="10" t="inlineStr">
        <is>
          <t>2029E</t>
        </is>
      </c>
      <c r="U7" s="10" t="inlineStr">
        <is>
          <t>2030E</t>
        </is>
      </c>
      <c r="V7" s="10" t="inlineStr">
        <is>
          <t>2031E</t>
        </is>
      </c>
    </row>
    <row r="8" ht="15" customHeight="1" s="251">
      <c r="B8" t="inlineStr">
        <is>
          <t>Ratings contribution to growth (pp)</t>
        </is>
      </c>
      <c r="C8" s="108">
        <f>IFERROR(Model!E118+0,0)</f>
        <v>0.0675265553869499</v>
      </c>
      <c r="D8" s="108">
        <f>IFERROR(Model!J118+0,0)</f>
        <v>0.0539325842696629</v>
      </c>
      <c r="E8" s="108">
        <f>IFERROR(Model!O118+0,0)</f>
        <v>0.0371282051282051</v>
      </c>
      <c r="F8" s="108">
        <f>IFERROR(Model!T118+0,0)</f>
        <v>-0.00534547614333795</v>
      </c>
      <c r="G8" s="108">
        <f>IFERROR(Model!Y118+0,0)</f>
        <v>0.0201392810088462</v>
      </c>
      <c r="H8" s="108">
        <f>IFERROR(Model!AD118+0,0)</f>
        <v>0.0800211976682565</v>
      </c>
      <c r="I8" s="108">
        <f>IFERROR(Model!AI118+0,0)</f>
        <v>-0.0173181593270658</v>
      </c>
      <c r="J8" s="108">
        <f>IFERROR(Model!AN118+0,0)</f>
        <v>0.0356343879833813</v>
      </c>
      <c r="K8" s="108">
        <f>IFERROR(Model!AS118+0,0)</f>
        <v>0.0746380056724884</v>
      </c>
      <c r="L8" s="108">
        <f>IFERROR(Model!AX118+0,0)</f>
        <v>0.0659768879333513</v>
      </c>
      <c r="M8" s="108">
        <f>IFERROR(Model!BC118+0,0)</f>
        <v>-0.126190189225021</v>
      </c>
      <c r="N8" s="108">
        <f>IFERROR(Model!BH118+0,0)</f>
        <v>0.0252213576603166</v>
      </c>
      <c r="O8" s="108">
        <f>IFERROR(Model!BM118+0,0)</f>
        <v>0.0830599343842522</v>
      </c>
      <c r="P8" s="108">
        <f>IFERROR(Model!BR118+0,0)</f>
        <v>0.0249155405405405</v>
      </c>
      <c r="Q8" s="108">
        <f>IFERROR(Model!BW118+0,0)</f>
        <v>0.0382170744705759</v>
      </c>
      <c r="R8" s="108">
        <f>IFERROR(Model!BX118+0,0)</f>
        <v>0.0173807275364179</v>
      </c>
      <c r="S8" s="108">
        <f>IFERROR(Model!BY118+0,0)</f>
        <v>0.0230264405154675</v>
      </c>
      <c r="T8" s="108">
        <f>IFERROR(Model!BZ118+0,0)</f>
        <v>0.0212548383906685</v>
      </c>
      <c r="U8" s="108">
        <f>IFERROR(Model!CA118+0,0)</f>
        <v>0.0192049155391541</v>
      </c>
      <c r="V8" s="108">
        <f>IFERROR(Model!CB118+0,0)</f>
        <v>0.0190153084408634</v>
      </c>
    </row>
    <row r="9" ht="15" customHeight="1" s="251">
      <c r="B9" t="inlineStr">
        <is>
          <t>Indices, Energy &amp; MI contribution (pp)</t>
        </is>
      </c>
      <c r="C9" s="108">
        <f>IFERROR(Model!E119+0,0)+IFERROR(Model!E120+0,0)+IFERROR(Model!E121+0,0)</f>
        <v>0.0594334850784016</v>
      </c>
      <c r="D9" s="108">
        <f>IFERROR(Model!J119+0,0)+IFERROR(Model!J120+0,0)+IFERROR(Model!J121+0,0)</f>
        <v>0.0431460674157303</v>
      </c>
      <c r="E9" s="108">
        <f>IFERROR(Model!O119+0,0)+IFERROR(Model!O120+0,0)+IFERROR(Model!O121+0,0)</f>
        <v>0.00102564102564103</v>
      </c>
      <c r="F9" s="108">
        <f>IFERROR(Model!T119+0,0)+IFERROR(Model!T120+0,0)+IFERROR(Model!T121+0,0)</f>
        <v>0.0576123539893091</v>
      </c>
      <c r="G9" s="108">
        <f>IFERROR(Model!Y119+0,0)+IFERROR(Model!Y120+0,0)+IFERROR(Model!Y121+0,0)</f>
        <v>0.00696405044231131</v>
      </c>
      <c r="H9" s="108">
        <f>IFERROR(Model!AD119+0,0)+IFERROR(Model!AD120+0,0)+IFERROR(Model!AD121+0,0)</f>
        <v>0.0309132662073839</v>
      </c>
      <c r="I9" s="108">
        <f>IFERROR(Model!AI119+0,0)+IFERROR(Model!AI120+0,0)+IFERROR(Model!AI121+0,0)</f>
        <v>0.049480455220188</v>
      </c>
      <c r="J9" s="108">
        <f>IFERROR(Model!AN119+0,0)+IFERROR(Model!AN120+0,0)+IFERROR(Model!AN121+0,0)</f>
        <v>0.0377117289868968</v>
      </c>
      <c r="K9" s="108">
        <f>IFERROR(Model!AS119+0,0)+IFERROR(Model!AS120+0,0)+IFERROR(Model!AS121+0,0)</f>
        <v>0.0376175548589342</v>
      </c>
      <c r="L9" s="108">
        <f>IFERROR(Model!AX119+0,0)+IFERROR(Model!AX120+0,0)+IFERROR(Model!AX121+0,0)</f>
        <v>0.0501209352324644</v>
      </c>
      <c r="M9" s="108">
        <f>IFERROR(Model!BC119+0,0)+IFERROR(Model!BC120+0,0)+IFERROR(Model!BC121+0,0)</f>
        <v>0.299987947450886</v>
      </c>
      <c r="N9" s="108">
        <f>IFERROR(Model!BH119+0,0)+IFERROR(Model!BH120+0,0)+IFERROR(Model!BH121+0,0)</f>
        <v>0.0795993202754673</v>
      </c>
      <c r="O9" s="108">
        <f>IFERROR(Model!BM119+0,0)+IFERROR(Model!BM120+0,0)+IFERROR(Model!BM121+0,0)</f>
        <v>0.0552132511802833</v>
      </c>
      <c r="P9" s="108">
        <f>IFERROR(Model!BR119+0,0)+IFERROR(Model!BR120+0,0)+IFERROR(Model!BR121+0,0)</f>
        <v>0.0457488738738739</v>
      </c>
      <c r="Q9" s="108">
        <f>IFERROR(Model!BW119+0,0)+IFERROR(Model!BW120+0,0)+IFERROR(Model!BW121+0,0)</f>
        <v>0.0320764217092481</v>
      </c>
      <c r="R9" s="108">
        <f>IFERROR(Model!BX119+0,0)+IFERROR(Model!BX120+0,0)+IFERROR(Model!BX121+0,0)</f>
        <v>0.043291708474426</v>
      </c>
      <c r="S9" s="108">
        <f>IFERROR(Model!BY119+0,0)+IFERROR(Model!BY120+0,0)+IFERROR(Model!BY121+0,0)</f>
        <v>0.0442662832638942</v>
      </c>
      <c r="T9" s="108">
        <f>IFERROR(Model!BZ119+0,0)+IFERROR(Model!BZ120+0,0)+IFERROR(Model!BZ121+0,0)</f>
        <v>0.0439591457095075</v>
      </c>
      <c r="U9" s="108">
        <f>IFERROR(Model!CA119+0,0)+IFERROR(Model!CA120+0,0)+IFERROR(Model!CA121+0,0)</f>
        <v>0.0429302006237684</v>
      </c>
      <c r="V9" s="108">
        <f>IFERROR(Model!CB119+0,0)+IFERROR(Model!CB120+0,0)+IFERROR(Model!CB121+0,0)</f>
        <v>0.0429631250776118</v>
      </c>
    </row>
    <row r="11" ht="15" customHeight="1" s="251">
      <c r="C11" s="10">
        <f>C7</f>
        <v>2012</v>
      </c>
      <c r="D11" s="10">
        <f>D7</f>
        <v>2013</v>
      </c>
      <c r="E11" s="10">
        <f>E7</f>
        <v>2014</v>
      </c>
      <c r="F11" s="10">
        <f>F7</f>
        <v>2015</v>
      </c>
      <c r="G11" s="10">
        <f>G7</f>
        <v>2016</v>
      </c>
      <c r="H11" s="10">
        <f>H7</f>
        <v>2017</v>
      </c>
      <c r="I11" s="10">
        <f>I7</f>
        <v>2018</v>
      </c>
      <c r="J11" s="10">
        <f>J7</f>
        <v>2019</v>
      </c>
      <c r="K11" s="10">
        <f>K7</f>
        <v>2020</v>
      </c>
      <c r="L11" s="10">
        <f>L7</f>
        <v>2021</v>
      </c>
      <c r="M11" s="10">
        <f>M7</f>
        <v>2022</v>
      </c>
      <c r="N11" s="10">
        <f>N7</f>
        <v>2023</v>
      </c>
      <c r="O11" s="10">
        <f>O7</f>
        <v>2024</v>
      </c>
      <c r="P11" s="10">
        <f>P7</f>
        <v>2025</v>
      </c>
      <c r="Q11" s="10" t="str">
        <f>Q7</f>
        <v>2026E</v>
      </c>
      <c r="R11" s="10" t="str">
        <f>R7</f>
        <v>2027E</v>
      </c>
      <c r="S11" s="10" t="str">
        <f>S7</f>
        <v>2028E</v>
      </c>
      <c r="T11" s="10" t="str">
        <f>T7</f>
        <v>2029E</v>
      </c>
      <c r="U11" s="10" t="str">
        <f>U7</f>
        <v>2030E</v>
      </c>
      <c r="V11" s="10" t="str">
        <f>V7</f>
        <v>2031E</v>
      </c>
    </row>
    <row r="12" ht="15" customHeight="1" s="251">
      <c r="B12" t="inlineStr">
        <is>
          <t>Adjusted EBITDA</t>
        </is>
      </c>
      <c r="C12" s="106">
        <f>Model!E256</f>
        <v>1459</v>
      </c>
      <c r="D12" s="106">
        <f>Model!J256</f>
        <v>1688</v>
      </c>
      <c r="E12" s="106">
        <f>Model!O256</f>
        <v>1901</v>
      </c>
      <c r="F12" s="106">
        <f>Model!T256</f>
        <v>2143</v>
      </c>
      <c r="G12" s="106">
        <f>Model!Y256</f>
        <v>2516</v>
      </c>
      <c r="H12" s="106">
        <f>Model!AD256</f>
        <v>2939</v>
      </c>
      <c r="I12" s="106">
        <f>Model!AI256</f>
        <v>3136</v>
      </c>
      <c r="J12" s="106">
        <f>Model!AN256</f>
        <v>3442</v>
      </c>
      <c r="K12" s="106">
        <f>Model!AS256</f>
        <v>4050</v>
      </c>
      <c r="L12" s="106">
        <f>Model!AX256</f>
        <v>4663</v>
      </c>
      <c r="M12" s="106">
        <f>Model!BC256</f>
        <v>5240</v>
      </c>
      <c r="N12" s="106">
        <f>Model!BH256</f>
        <v>5833</v>
      </c>
      <c r="O12" s="106">
        <f>Model!BM256</f>
        <v>7054</v>
      </c>
      <c r="P12" s="106">
        <f>Model!BR256</f>
        <v>7070</v>
      </c>
      <c r="Q12" s="106">
        <f>Model!BW256</f>
        <v>7638.28237019501</v>
      </c>
      <c r="R12" s="106">
        <f>Model!BX256</f>
        <v>8309.23590278871</v>
      </c>
      <c r="S12" s="106">
        <f>Model!BY256</f>
        <v>8971.21637019134</v>
      </c>
      <c r="T12" s="106">
        <f>Model!BZ256</f>
        <v>9618.8125084069</v>
      </c>
      <c r="U12" s="106">
        <f>Model!CA256</f>
        <v>10291.8863013447</v>
      </c>
      <c r="V12" s="106">
        <f>Model!CB256</f>
        <v>10979.3966480012</v>
      </c>
    </row>
    <row r="13" ht="15" customHeight="1" s="251">
      <c r="B13" t="inlineStr">
        <is>
          <t>Operating profit (GAAP)</t>
        </is>
      </c>
      <c r="C13" s="106">
        <f>Model!E196</f>
        <v>1211</v>
      </c>
      <c r="D13" s="106">
        <f>Model!J196</f>
        <v>1405</v>
      </c>
      <c r="E13" s="106">
        <f>Model!O196</f>
        <v>113</v>
      </c>
      <c r="F13" s="106">
        <f>Model!T196</f>
        <v>1917</v>
      </c>
      <c r="G13" s="106">
        <f>Model!Y196</f>
        <v>3369</v>
      </c>
      <c r="H13" s="106">
        <f>Model!AD196</f>
        <v>2610</v>
      </c>
      <c r="I13" s="106">
        <f>Model!AI196</f>
        <v>2790</v>
      </c>
      <c r="J13" s="106">
        <f>Model!AN196</f>
        <v>3226</v>
      </c>
      <c r="K13" s="106">
        <f>Model!AS196</f>
        <v>3617</v>
      </c>
      <c r="L13" s="106">
        <f>Model!AX196</f>
        <v>4221</v>
      </c>
      <c r="M13" s="106">
        <f>Model!BC196</f>
        <v>4944</v>
      </c>
      <c r="N13" s="106">
        <f>Model!BH196</f>
        <v>4020</v>
      </c>
      <c r="O13" s="106">
        <f>Model!BM196</f>
        <v>5580</v>
      </c>
      <c r="P13" s="106">
        <f>Model!BR196</f>
        <v>6140</v>
      </c>
      <c r="Q13" s="106">
        <f>Model!BW196</f>
        <v>7057.28237019501</v>
      </c>
      <c r="R13" s="106">
        <f>Model!BX196</f>
        <v>7338.99294499657</v>
      </c>
      <c r="S13" s="106">
        <f>Model!BY196</f>
        <v>7998.58210458068</v>
      </c>
      <c r="T13" s="106">
        <f>Model!BZ196</f>
        <v>8651.43909821171</v>
      </c>
      <c r="U13" s="106">
        <f>Model!CA196</f>
        <v>9329.57849710813</v>
      </c>
      <c r="V13" s="106">
        <f>Model!CB196</f>
        <v>10020.5606283566</v>
      </c>
    </row>
    <row r="14" ht="15" customHeight="1" s="251">
      <c r="B14" t="inlineStr">
        <is>
          <t>Adj. EBITDA Margin %</t>
        </is>
      </c>
      <c r="C14" s="108">
        <f>Model!E304</f>
        <v>0.327865168539326</v>
      </c>
      <c r="D14" s="108">
        <f>Model!J304</f>
        <v>0.34625641025641</v>
      </c>
      <c r="E14" s="108">
        <f>Model!O304</f>
        <v>0.376361116610572</v>
      </c>
      <c r="F14" s="108">
        <f>Model!T304</f>
        <v>0.40335027291549</v>
      </c>
      <c r="G14" s="108">
        <f>Model!Y304</f>
        <v>0.444444444444444</v>
      </c>
      <c r="H14" s="108">
        <f>Model!AD304</f>
        <v>0.484743526307109</v>
      </c>
      <c r="I14" s="108">
        <f>Model!AI304</f>
        <v>0.501118568232662</v>
      </c>
      <c r="J14" s="108">
        <f>Model!AN304</f>
        <v>0.51380803104941</v>
      </c>
      <c r="K14" s="108">
        <f>Model!AS304</f>
        <v>0.544208546089761</v>
      </c>
      <c r="L14" s="108">
        <f>Model!AX304</f>
        <v>0.562010365192238</v>
      </c>
      <c r="M14" s="108">
        <f>Model!BC304</f>
        <v>0.468652177801628</v>
      </c>
      <c r="N14" s="108">
        <f>Model!BH304</f>
        <v>0.466752020484916</v>
      </c>
      <c r="O14" s="108">
        <f>Model!BM304</f>
        <v>0.496480855855856</v>
      </c>
      <c r="P14" s="108">
        <f>Model!BR304</f>
        <v>0.520273750827876</v>
      </c>
      <c r="Q14" s="108">
        <f>Model!BW304</f>
        <v>0.525812014642271</v>
      </c>
      <c r="R14" s="108">
        <f>Model!BX304</f>
        <v>0.538644271172731</v>
      </c>
      <c r="S14" s="108">
        <f>Model!BY304</f>
        <v>0.543157602835609</v>
      </c>
      <c r="T14" s="108">
        <f>Model!BZ304</f>
        <v>0.544949186875856</v>
      </c>
      <c r="U14" s="108">
        <f>Model!CA304</f>
        <v>0.547169828320479</v>
      </c>
      <c r="V14" s="108">
        <f>Model!CB304</f>
        <v>0.54781934451612</v>
      </c>
    </row>
    <row r="15" ht="15" customHeight="1" s="251">
      <c r="B15" t="inlineStr">
        <is>
          <t>Operating Margin %</t>
        </is>
      </c>
      <c r="C15" s="108">
        <f>Model!E305</f>
        <v>0.272134831460674</v>
      </c>
      <c r="D15" s="108">
        <f>Model!J305</f>
        <v>0.288205128205128</v>
      </c>
      <c r="E15" s="108">
        <f>Model!O305</f>
        <v>0.0223718075628588</v>
      </c>
      <c r="F15" s="108">
        <f>Model!T305</f>
        <v>0.360813099943535</v>
      </c>
      <c r="G15" s="108">
        <f>Model!Y305</f>
        <v>0.595124536301007</v>
      </c>
      <c r="H15" s="108">
        <f>Model!AD305</f>
        <v>0.430479960415636</v>
      </c>
      <c r="I15" s="108">
        <f>Model!AI305</f>
        <v>0.445829338446788</v>
      </c>
      <c r="J15" s="108">
        <f>Model!AN305</f>
        <v>0.481564412598895</v>
      </c>
      <c r="K15" s="108">
        <f>Model!AS305</f>
        <v>0.486025262026337</v>
      </c>
      <c r="L15" s="108">
        <f>Model!AX305</f>
        <v>0.50873809810775</v>
      </c>
      <c r="M15" s="108">
        <f>Model!BC305</f>
        <v>0.442178696002147</v>
      </c>
      <c r="N15" s="108">
        <f>Model!BH305</f>
        <v>0.321677202528607</v>
      </c>
      <c r="O15" s="108">
        <f>Model!BM305</f>
        <v>0.392736486486487</v>
      </c>
      <c r="P15" s="108">
        <f>Model!BR305</f>
        <v>0.451836043859004</v>
      </c>
      <c r="Q15" s="108">
        <f>Model!BW305</f>
        <v>0.485816533236762</v>
      </c>
      <c r="R15" s="108">
        <f>Model!BX305</f>
        <v>0.475748498688402</v>
      </c>
      <c r="S15" s="108">
        <f>Model!BY305</f>
        <v>0.484269969950037</v>
      </c>
      <c r="T15" s="108">
        <f>Model!BZ305</f>
        <v>0.490143112546988</v>
      </c>
      <c r="U15" s="108">
        <f>Model!CA305</f>
        <v>0.496008575599799</v>
      </c>
      <c r="V15" s="108">
        <f>Model!CB305</f>
        <v>0.499978016197249</v>
      </c>
    </row>
    <row r="17" ht="15" customHeight="1" s="251">
      <c r="C17" s="10">
        <f>C7</f>
        <v>2012</v>
      </c>
      <c r="D17" s="10">
        <f>D7</f>
        <v>2013</v>
      </c>
      <c r="E17" s="10">
        <f>E7</f>
        <v>2014</v>
      </c>
      <c r="F17" s="10">
        <f>F7</f>
        <v>2015</v>
      </c>
      <c r="G17" s="10">
        <f>G7</f>
        <v>2016</v>
      </c>
      <c r="H17" s="10">
        <f>H7</f>
        <v>2017</v>
      </c>
      <c r="I17" s="10">
        <f>I7</f>
        <v>2018</v>
      </c>
      <c r="J17" s="10">
        <f>J7</f>
        <v>2019</v>
      </c>
      <c r="K17" s="10">
        <f>K7</f>
        <v>2020</v>
      </c>
      <c r="L17" s="10">
        <f>L7</f>
        <v>2021</v>
      </c>
      <c r="M17" s="10">
        <f>M7</f>
        <v>2022</v>
      </c>
      <c r="N17" s="10">
        <f>N7</f>
        <v>2023</v>
      </c>
      <c r="O17" s="10">
        <f>O7</f>
        <v>2024</v>
      </c>
      <c r="P17" s="10">
        <f>P7</f>
        <v>2025</v>
      </c>
      <c r="Q17" s="10" t="str">
        <f>Q7</f>
        <v>2026E</v>
      </c>
      <c r="R17" s="10" t="str">
        <f>R7</f>
        <v>2027E</v>
      </c>
      <c r="S17" s="10" t="str">
        <f>S7</f>
        <v>2028E</v>
      </c>
      <c r="T17" s="10" t="str">
        <f>T7</f>
        <v>2029E</v>
      </c>
      <c r="U17" s="10" t="str">
        <f>U7</f>
        <v>2030E</v>
      </c>
      <c r="V17" s="10" t="str">
        <f>V7</f>
        <v>2031E</v>
      </c>
    </row>
    <row r="18" ht="15" customHeight="1" s="251">
      <c r="B18" t="inlineStr">
        <is>
          <t>ROIC</t>
        </is>
      </c>
      <c r="C18" s="108">
        <f>IFERROR(Model!E465+0,NA())</f>
        <v>0.347072453244444</v>
      </c>
      <c r="D18" s="108">
        <f>IFERROR(Model!J465+0,NA())</f>
        <v>0.684207915494083</v>
      </c>
      <c r="E18" s="108">
        <f>IFERROR(Model!O465+0,NA())</f>
        <v>-0.216653830338553</v>
      </c>
      <c r="F18" s="108">
        <f>IFERROR(Model!T465+0,NA())</f>
        <v>0.404395388195111</v>
      </c>
      <c r="G18" s="108">
        <f>IFERROR(Model!Y465+0,NA())</f>
        <v>0.549313082412664</v>
      </c>
      <c r="H18" s="108">
        <f>IFERROR(Model!AD465+0,NA())</f>
        <v>0.674539649192672</v>
      </c>
      <c r="I18" s="108">
        <f>IFERROR(Model!AI465+0,NA())</f>
        <v>0.572500690613346</v>
      </c>
      <c r="J18" s="108">
        <f>IFERROR(Model!AN465+0,NA())</f>
        <v>0.670331811415249</v>
      </c>
      <c r="K18" s="108">
        <f>IFERROR(Model!AS465+0,NA())</f>
        <v>0.906861794545624</v>
      </c>
      <c r="L18" s="108">
        <f>IFERROR(Model!AX465+0,NA())</f>
        <v>1.07463251986579</v>
      </c>
      <c r="M18" s="108">
        <f>IFERROR(Model!BC465+0,NA())</f>
        <v>0.0672229172686484</v>
      </c>
      <c r="N18" s="108">
        <f>IFERROR(Model!BH465+0,NA())</f>
        <v>0.0860060577990276</v>
      </c>
      <c r="O18" s="108">
        <f>IFERROR(Model!BM465+0,NA())</f>
        <v>0.11030173402607</v>
      </c>
      <c r="P18" s="108">
        <f>IFERROR(Model!BR465+0,NA())</f>
        <v>0.107618968380373</v>
      </c>
      <c r="Q18" s="108">
        <f>IFERROR(Model!BW465+0,NA())</f>
        <v>0.162350827206064</v>
      </c>
      <c r="R18" s="108">
        <f>IFERROR(Model!BX465+0,NA())</f>
        <v>0.18036487339788</v>
      </c>
      <c r="S18" s="108">
        <f>IFERROR(Model!BY465+0,NA())</f>
        <v>0.196459520602606</v>
      </c>
      <c r="T18" s="108">
        <f>IFERROR(Model!BZ465+0,NA())</f>
        <v>0.21242800127187</v>
      </c>
      <c r="U18" s="108">
        <f>IFERROR(Model!CA465+0,NA())</f>
        <v>0.229128333163628</v>
      </c>
      <c r="V18" s="108">
        <f>IFERROR(Model!CB465+0,NA())</f>
        <v>0.246389040347788</v>
      </c>
    </row>
    <row r="19" ht="15" customHeight="1" s="251">
      <c r="B19" t="inlineStr">
        <is>
          <t>ROE (RONTA n/m: negative net tangible assets)</t>
        </is>
      </c>
      <c r="C19" s="108">
        <f>IFERROR(Model!E480+0,NA())</f>
        <v>0.569752281616688</v>
      </c>
      <c r="D19" s="108">
        <f>IFERROR(Model!J480+0,NA())</f>
        <v>1.0576479631053</v>
      </c>
      <c r="E19" s="108">
        <f>IFERROR(Model!O480+0,NA())</f>
        <v>-0.235655737704918</v>
      </c>
      <c r="F19" s="108">
        <f>IFERROR(Model!T480+0,NA())</f>
        <v>5.95876288659794</v>
      </c>
      <c r="G19" s="108">
        <f>IFERROR(Model!Y480+0,NA())</f>
        <v>3.24</v>
      </c>
      <c r="H19" s="108">
        <f>IFERROR(Model!AD480+0,NA())</f>
        <v>2.10407876230661</v>
      </c>
      <c r="I19" s="108">
        <f>IFERROR(Model!AI480+0,NA())</f>
        <v>3.11783439490446</v>
      </c>
      <c r="J19" s="108">
        <f>IFERROR(Model!AN480+0,NA())</f>
        <v>4.4321503131524</v>
      </c>
      <c r="K19" s="108">
        <f>IFERROR(Model!AS480+0,NA())</f>
        <v>4.59528487229863</v>
      </c>
      <c r="L19" s="108">
        <f>IFERROR(Model!AX480+0,NA())</f>
        <v>1.48818897637795</v>
      </c>
      <c r="M19" s="108">
        <f>IFERROR(Model!BC480+0,NA())</f>
        <v>0.0892601956689018</v>
      </c>
      <c r="N19" s="108">
        <f>IFERROR(Model!BH480+0,NA())</f>
        <v>0.0767836257309942</v>
      </c>
      <c r="O19" s="108">
        <f>IFERROR(Model!BM480+0,NA())</f>
        <v>0.116167556319551</v>
      </c>
      <c r="P19" s="108">
        <f>IFERROR(Model!BR480+0,NA())</f>
        <v>0.143637356635718</v>
      </c>
      <c r="Q19" s="108">
        <f>IFERROR(Model!BW480+0,NA())</f>
        <v>0.274625067432783</v>
      </c>
      <c r="R19" s="108">
        <f>IFERROR(Model!BX480+0,NA())</f>
        <v>0.282899160653457</v>
      </c>
      <c r="S19" s="108">
        <f>IFERROR(Model!BY480+0,NA())</f>
        <v>0.334093679211185</v>
      </c>
      <c r="T19" s="108">
        <f>IFERROR(Model!BZ480+0,NA())</f>
        <v>0.390078728289989</v>
      </c>
      <c r="U19" s="108">
        <f>IFERROR(Model!CA480+0,NA())</f>
        <v>0.459316681625031</v>
      </c>
      <c r="V19" s="108">
        <f>IFERROR(Model!CB480+0,NA())</f>
        <v>0.544884112595258</v>
      </c>
    </row>
    <row r="20" ht="15" customHeight="1" s="251">
      <c r="B20" t="inlineStr">
        <is>
          <t>Adj. EBITDA margin %</t>
        </is>
      </c>
      <c r="C20" s="108">
        <f>IFERROR(Model!E304+0,NA())</f>
        <v>0.327865168539326</v>
      </c>
      <c r="D20" s="108">
        <f>IFERROR(Model!J304+0,NA())</f>
        <v>0.34625641025641</v>
      </c>
      <c r="E20" s="108">
        <f>IFERROR(Model!O304+0,NA())</f>
        <v>0.376361116610572</v>
      </c>
      <c r="F20" s="108">
        <f>IFERROR(Model!T304+0,NA())</f>
        <v>0.40335027291549</v>
      </c>
      <c r="G20" s="108">
        <f>IFERROR(Model!Y304+0,NA())</f>
        <v>0.444444444444444</v>
      </c>
      <c r="H20" s="108">
        <f>IFERROR(Model!AD304+0,NA())</f>
        <v>0.484743526307109</v>
      </c>
      <c r="I20" s="108">
        <f>IFERROR(Model!AI304+0,NA())</f>
        <v>0.501118568232662</v>
      </c>
      <c r="J20" s="108">
        <f>IFERROR(Model!AN304+0,NA())</f>
        <v>0.51380803104941</v>
      </c>
      <c r="K20" s="108">
        <f>IFERROR(Model!AS304+0,NA())</f>
        <v>0.544208546089761</v>
      </c>
      <c r="L20" s="108">
        <f>IFERROR(Model!AX304+0,NA())</f>
        <v>0.562010365192238</v>
      </c>
      <c r="M20" s="108">
        <f>IFERROR(Model!BC304+0,NA())</f>
        <v>0.468652177801628</v>
      </c>
      <c r="N20" s="108">
        <f>IFERROR(Model!BH304+0,NA())</f>
        <v>0.466752020484916</v>
      </c>
      <c r="O20" s="108">
        <f>IFERROR(Model!BM304+0,NA())</f>
        <v>0.496480855855856</v>
      </c>
      <c r="P20" s="108">
        <f>IFERROR(Model!BR304+0,NA())</f>
        <v>0.520273750827876</v>
      </c>
      <c r="Q20" s="108">
        <f>IFERROR(Model!BW304+0,NA())</f>
        <v>0.525812014642271</v>
      </c>
      <c r="R20" s="108">
        <f>IFERROR(Model!BX304+0,NA())</f>
        <v>0.538644271172731</v>
      </c>
      <c r="S20" s="108">
        <f>IFERROR(Model!BY304+0,NA())</f>
        <v>0.543157602835609</v>
      </c>
      <c r="T20" s="108">
        <f>IFERROR(Model!BZ304+0,NA())</f>
        <v>0.544949186875856</v>
      </c>
      <c r="U20" s="108">
        <f>IFERROR(Model!CA304+0,NA())</f>
        <v>0.547169828320479</v>
      </c>
      <c r="V20" s="108">
        <f>IFERROR(Model!CB304+0,NA())</f>
        <v>0.54781934451612</v>
      </c>
    </row>
    <row r="21" ht="15" customHeight="1" s="251">
      <c r="B21" t="inlineStr">
        <is>
          <t>FCF margin %</t>
        </is>
      </c>
      <c r="C21" s="108">
        <f>IFERROR(Model!E343+0,NA())</f>
        <v>0.140674157303371</v>
      </c>
      <c r="D21" s="108">
        <f>IFERROR(Model!J343+0,NA())</f>
        <v>0.128</v>
      </c>
      <c r="E21" s="108">
        <f>IFERROR(Model!O343+0,NA())</f>
        <v>0.204513957632152</v>
      </c>
      <c r="F21" s="108">
        <f>IFERROR(Model!T343+0,NA())</f>
        <v>-0.00903444381705251</v>
      </c>
      <c r="G21" s="108">
        <f>IFERROR(Model!Y343+0,NA())</f>
        <v>0.217806041335453</v>
      </c>
      <c r="H21" s="108">
        <f>IFERROR(Model!AD343+0,NA())</f>
        <v>0.293913904007917</v>
      </c>
      <c r="I21" s="108">
        <f>IFERROR(Model!AI343+0,NA())</f>
        <v>0.287152444870566</v>
      </c>
      <c r="J21" s="108">
        <f>IFERROR(Model!AN343+0,NA())</f>
        <v>0.375876996566652</v>
      </c>
      <c r="K21" s="108">
        <f>IFERROR(Model!AS343+0,NA())</f>
        <v>0.44302606826122</v>
      </c>
      <c r="L21" s="108">
        <f>IFERROR(Model!AX343+0,NA())</f>
        <v>0.402073038447632</v>
      </c>
      <c r="M21" s="108">
        <f>IFERROR(Model!BC343+0,NA())</f>
        <v>0.200697612020392</v>
      </c>
      <c r="N21" s="108">
        <f>IFERROR(Model!BH343+0,NA())</f>
        <v>0.263023125550132</v>
      </c>
      <c r="O21" s="108">
        <f>IFERROR(Model!BM343+0,NA())</f>
        <v>0.371480855855856</v>
      </c>
      <c r="P21" s="108">
        <f>IFERROR(Model!BR343+0,NA())</f>
        <v>0.377879166973287</v>
      </c>
      <c r="Q21" s="108">
        <f>IFERROR(Model!BW343+0,NA())</f>
        <v>0.356793743731238</v>
      </c>
      <c r="R21" s="108">
        <f>IFERROR(Model!BX343+0,NA())</f>
        <v>0.378999654059232</v>
      </c>
      <c r="S21" s="108">
        <f>IFERROR(Model!BY343+0,NA())</f>
        <v>0.384814496825534</v>
      </c>
      <c r="T21" s="108">
        <f>IFERROR(Model!BZ343+0,NA())</f>
        <v>0.3836907186298</v>
      </c>
      <c r="U21" s="108">
        <f>IFERROR(Model!CA343+0,NA())</f>
        <v>0.383531227086873</v>
      </c>
      <c r="V21" s="108">
        <f>IFERROR(Model!CB343+0,NA())</f>
        <v>0.383361223512623</v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2026-10-04T02:35:31Z</dcterms:created>
  <dcterms:modified xmlns:dcterms="http://purl.org/dc/terms/" xmlns:xsi="http://www.w3.org/2001/XMLSchema-instance" xsi:type="dcterms:W3CDTF">2026-10-12T22:28:20Z</dcterms:modified>
  <cp:lastModifiedBy>Payton Liske</cp:lastModifiedBy>
  <cp:revision>3</cp:revision>
</cp:coreProperties>
</file>