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8" fontId="46" fillId="0" borderId="0" pivotButton="0" quotePrefix="0" xfId="0"/>
    <xf numFmtId="167" fontId="46" fillId="0" borderId="0" pivotButton="0" quotePrefix="0" xfId="0"/>
    <xf numFmtId="164" fontId="46" fillId="0" borderId="0" pivotButton="0" quotePrefix="0" xfId="0"/>
    <xf numFmtId="164" fontId="48" fillId="0" borderId="2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76" fontId="17" fillId="0" borderId="0" pivotButton="0" quotePrefix="0" xfId="0"/>
    <xf numFmtId="166" fontId="51" fillId="2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8" fontId="41" fillId="2" borderId="0" pivotButton="0" quotePrefix="0" xfId="0"/>
    <xf numFmtId="166" fontId="41" fillId="2" borderId="0" pivotButton="0" quotePrefix="0" xfId="0"/>
    <xf numFmtId="164" fontId="51" fillId="6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64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7" fillId="0" borderId="0" pivotButton="0" quotePrefix="0" xfId="0"/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Sales Growth: Aerospace vs. Industrial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EBIT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WWD model</author>
  </authors>
  <commentList>
    <comment ref="AV2" authorId="0" shapeId="0">
      <text>
        <t>Scenario toggle. Choose Bull / Base / Bear. Drives: FY26 sales-growth and adjusted-EPS guidance end-points (high / mid / low), Q4/26E buybacks, 2027E–2031E primary-market sales growth, segment margins, M&amp;A spend and the leverage target for 2027E+ buybacks (scenario table BD:BH).</t>
      </text>
    </comment>
    <comment ref="B11" authorId="0" shapeId="0">
      <text>
        <t>Source: Woodward Forms 10-Q / 10-K, revenue note "Disaggregation of revenue" (sales by primary market, from FY2019; Q4 = fiscal year (10-K) − nine months (Q3 10-Q)). Commercial / defense "aftermarket" renamed "services" in FY2025.</t>
      </text>
    </comment>
    <comment ref="B29" authorId="0" shapeId="0">
      <text>
        <t>Source: Woodward earnings releases (Form 8-K Item 2.02, Ex. 99.1) — segment net sales and earnings schedule (as originally reported; FY2018 restated in the FY2019 release for the pension-cost reclassification — memo row).</t>
      </text>
    </comment>
    <comment ref="J29" authorId="0" shapeId="0">
      <text>
        <t>FY2018 as originally reported ($301.8m). Restated to $308.6m in the FY2019 release (pension-cost reclassification, ASU 2017-07) — see memo row.</t>
      </text>
    </comment>
    <comment ref="B36" authorId="0" shapeId="0">
      <text>
        <t>Source: Forms 10-Q / 10-K revenue note. Power generation / transportation / oil &amp; gas introduced in the FY2023 10-K: FY2021–22 annual from the FY2023 10-K, FY2023 quarters from the FY2024 10-Q comparatives (latest filing presenting the period); FY2023+ as reported. FY2021–22 quarters on the legacy basis only (memo rows).</t>
      </text>
    </comment>
    <comment ref="Q36" authorId="0" shapeId="0">
      <text>
        <t>Recast basis from the FY2023 10-K (prior-year comparatives).</t>
      </text>
    </comment>
    <comment ref="V36" authorId="0" shapeId="0">
      <text>
        <t>Recast basis from the FY2023 10-K.</t>
      </text>
    </comment>
    <comment ref="J50" authorId="0" shapeId="0">
      <text>
        <t>FY2018 as originally reported ($47.9m); restated to $49.9m in the FY2019 release (ASU 2017-07). Includes L'Orange purchase-accounting charges (adjusted out).</t>
      </text>
    </comment>
    <comment ref="B62" authorId="0" shapeId="0">
      <text>
        <t>Source: Woodward earnings releases (Form 8-K Item 2.02, Ex. 99.1) — segment schedule ("Nonsegment expenses"); FY2018+ adjusting items from the "Reconciliation of Net Earnings to Adjusted Net Earnings" tables.</t>
      </text>
    </comment>
    <comment ref="B129" authorId="0" shapeId="0">
      <text>
        <t>Source: Woodward earnings releases (Form 8-K Item 2.02, Ex. 99.1) — Reconciliation of Net Earnings to EBITDA (depreciation expense; amortization of intangible assets).</t>
      </text>
    </comment>
    <comment ref="J140" authorId="0" shapeId="0">
      <text>
        <t>Company items (2018): Restructuring charges</t>
      </text>
    </comment>
    <comment ref="L140" authorId="0" shapeId="0">
      <text>
        <t>Company items (2020): Restructuring charges related to COVID-19</t>
      </text>
    </comment>
    <comment ref="P140" authorId="0" shapeId="0">
      <text>
        <t>Company items (Q4-21): Restructuring charges</t>
      </text>
    </comment>
    <comment ref="Q140" authorId="0" shapeId="0">
      <text>
        <t>Company items (2021): Restructuring charges</t>
      </text>
    </comment>
    <comment ref="U140" authorId="0" shapeId="0">
      <text>
        <t>Company items (Q4-22): Restructuring activities</t>
      </text>
    </comment>
    <comment ref="V140" authorId="0" shapeId="0">
      <text>
        <t>Company items (2022): Restructuring activities</t>
      </text>
    </comment>
    <comment ref="X140" authorId="0" shapeId="0">
      <text>
        <t>Company items (Q2-23): Restructuring charge; Certain non-restructuring separation costs</t>
      </text>
    </comment>
    <comment ref="AA140" authorId="0" shapeId="0">
      <text>
        <t>Company items (2023): Restructuring charge; Certain non-restructuring separation costs 4</t>
      </text>
    </comment>
    <comment ref="AC140" authorId="0" shapeId="0">
      <text>
        <t>Company items (Q2-24): Certain non-restructuring separation costs</t>
      </text>
    </comment>
    <comment ref="AF140" authorId="0" shapeId="0">
      <text>
        <t>Company items (2024): Certain non-restructuring separation costs</t>
      </text>
    </comment>
    <comment ref="AM140" authorId="0" shapeId="0">
      <text>
        <t>Company items (Q2-26): Restructuring charges</t>
      </text>
    </comment>
    <comment ref="AN140" authorId="0" shapeId="0">
      <text>
        <t>Company items (Q3-26): Restructuring charges</t>
      </text>
    </comment>
    <comment ref="J141" authorId="0" shapeId="0">
      <text>
        <t>Company items (2018): Duarte move related costs; L'Orange transaction and integration costs; Warranty and indemnity insurance costs associated with the acquisition of L'Orange; German real estate transfer costs associated with the acquisition of L'Orange</t>
      </text>
    </comment>
    <comment ref="K141" authorId="0" shapeId="0">
      <text>
        <t>Company items (2019): Duarte move related costs</t>
      </text>
    </comment>
    <comment ref="L141" authorId="0" shapeId="0">
      <text>
        <t>Company items (2020): Merger and divestiture transaction costs 4</t>
      </text>
    </comment>
    <comment ref="R141" authorId="0" shapeId="0">
      <text>
        <t>Company items (Q1-22): Business development activities</t>
      </text>
    </comment>
    <comment ref="V141" authorId="0" shapeId="0">
      <text>
        <t>Company items (2022): Business development activities</t>
      </text>
    </comment>
    <comment ref="AB141" authorId="0" shapeId="0">
      <text>
        <t>Company items (Q1-24): Business development activities</t>
      </text>
    </comment>
    <comment ref="AC141" authorId="0" shapeId="0">
      <text>
        <t>Company items (Q2-24): Business development activities</t>
      </text>
    </comment>
    <comment ref="AE141" authorId="0" shapeId="0">
      <text>
        <t>Company items (Q4-24): Non-recurring charge related to a previous acquisition</t>
      </text>
    </comment>
    <comment ref="AF141" authorId="0" shapeId="0">
      <text>
        <t>Company items (2024): Business development activities; Non-recurring charge related to a previous acquisition</t>
      </text>
    </comment>
    <comment ref="AG141" authorId="0" shapeId="0">
      <text>
        <t>Company items (Q1-25): Business development activities b</t>
      </text>
    </comment>
    <comment ref="AH141" authorId="0" shapeId="0">
      <text>
        <t>Company items (Q2-25): Business development activities b</t>
      </text>
    </comment>
    <comment ref="AK141" authorId="0" shapeId="0">
      <text>
        <t>Company items (2025): Business development activities b</t>
      </text>
    </comment>
    <comment ref="J143" authorId="0" shapeId="0">
      <text>
        <t>Company items (2018): Purchase accounting impacts*</t>
      </text>
    </comment>
    <comment ref="K143" authorId="0" shapeId="0">
      <text>
        <t>Company items (2019): Purchase accounting impacts*</t>
      </text>
    </comment>
    <comment ref="L144" authorId="0" shapeId="0">
      <text>
        <t>Company items (2020): Gain on sale of properties 2; Loss on sale of renewable power systems and related businesses; Net gain on cross-currency interest rate swaps</t>
      </text>
    </comment>
    <comment ref="X144" authorId="0" shapeId="0">
      <text>
        <t>Company items (Q2-23): Product rationalization</t>
      </text>
    </comment>
    <comment ref="AA144" authorId="0" shapeId="0">
      <text>
        <t>Company items (2023): Product rationalization 3</t>
      </text>
    </comment>
    <comment ref="AB144" authorId="0" shapeId="0">
      <text>
        <t>Company items (Q1-24): Non-recurring gain related to a previous acquisition</t>
      </text>
    </comment>
    <comment ref="AF144" authorId="0" shapeId="0">
      <text>
        <t>Company items (2024): Non-recurring gain related to a previous acquisition</t>
      </text>
    </comment>
    <comment ref="AG144" authorId="0" shapeId="0">
      <text>
        <t>Company items (Q1-25): Product rationalization a</t>
      </text>
    </comment>
    <comment ref="AH144" authorId="0" shapeId="0">
      <text>
        <t>Company items (Q2-25): Product rationalization a</t>
      </text>
    </comment>
    <comment ref="AK144" authorId="0" shapeId="0">
      <text>
        <t>Company items (2025): Product rationalization a</t>
      </text>
    </comment>
    <comment ref="K145" authorId="0" shapeId="0">
      <text>
        <t>Company items (2019): Impairment of Senvion related assets</t>
      </text>
    </comment>
    <comment ref="L145" authorId="0" shapeId="0">
      <text>
        <t>Company items (2020): Impairment from assets sold</t>
      </text>
    </comment>
    <comment ref="J146" authorId="0" shapeId="0">
      <text>
        <t>Company items (2018): Cost associated with the Forward Option</t>
      </text>
    </comment>
    <comment ref="L146" authorId="0" shapeId="0">
      <text>
        <t>Company items (2020): Acceleration of stock compensation</t>
      </text>
    </comment>
    <comment ref="R146" authorId="0" shapeId="0">
      <text>
        <t>Company items (Q1-22): Non-recurring matter unrelated to the ongoing operations of the business</t>
      </text>
    </comment>
    <comment ref="S146" authorId="0" shapeId="0">
      <text>
        <t>Company items (Q2-22): Non-recurring matter unrelated to the ongoing operations of the business</t>
      </text>
    </comment>
    <comment ref="V146" authorId="0" shapeId="0">
      <text>
        <t>Company items (2022): Non-recurring matter unrelated to the ongoing operations of the business</t>
      </text>
    </comment>
    <comment ref="X146" authorId="0" shapeId="0">
      <text>
        <t>Company items (Q2-23): Specific charge for excess and obsolete inventory; Non-recurring charge related to customer collections</t>
      </text>
    </comment>
    <comment ref="AA146" authorId="0" shapeId="0">
      <text>
        <t>Company items (2023): Specific charge for excess and obsolete inventory 2; Non-recurring charge related to customer collections 4</t>
      </text>
    </comment>
    <comment ref="AJ146" authorId="0" shapeId="0">
      <text>
        <t>Company items (Q4-25): Specific charge for excess and obsolete inventory a</t>
      </text>
    </comment>
    <comment ref="AK146" authorId="0" shapeId="0">
      <text>
        <t>Company items (2025): Specific charge for excess and obsolete inventory c</t>
      </text>
    </comment>
    <comment ref="B150" authorId="0" shapeId="0">
      <text>
        <t>Source: Woodward earnings releases (Form 8-K Item 2.02, Ex. 99.1) — condensed consolidated statements of earnings, as originally reported (FY2016 and FY2018 cost-line reclassifications in the following year's release are not recast).</t>
      </text>
    </comment>
    <comment ref="H151" authorId="0" shapeId="0">
      <text>
        <t>FY2016 as originally reported; the FY2017 release shows $1,484.0m (cost of goods sold) / $174.0m (SG&amp;A) after a reclassification.</t>
      </text>
    </comment>
    <comment ref="AA151" authorId="0" shapeId="0">
      <text>
        <t>FY2023 total from the Q4 FY23 release; Σ quarters as first reported differs by $1.4m (COGS ↔ R&amp;D reclassification within the year).</t>
      </text>
    </comment>
    <comment ref="L158" authorId="0" shapeId="0">
      <text>
        <t>Company items (2020): Impairment of assets sold 37.9; Gain on cross-currency interest rate swaps, net -30.5</t>
      </text>
    </comment>
    <comment ref="B174" authorId="0" shapeId="0">
      <text>
        <t>Source: Woodward earnings releases (Form 8-K Item 2.02, Ex. 99.1) — statements of earnings (weighted average shares). No stock splits since the 3-for-1 split of Feb-2008.</t>
      </text>
    </comment>
    <comment ref="B194" authorId="0" shapeId="0">
      <text>
        <t>Source: Woodward earnings releases (Form 8-K Item 2.02, Ex. 99.1) — Reconciliation of Net Earnings to EBIT and Adjusted EBIT (published from Q2 FY2018).</t>
      </text>
    </comment>
    <comment ref="C196" authorId="0" shapeId="0">
      <text>
        <t>Woodward's releases in FY2011–17 reconcile net earnings to EBIT and EBITDA but publish no adjusted EBIT or EPS (FY2016 special charges of $16m were discussed in the text only).</t>
      </text>
    </comment>
    <comment ref="J196" authorId="0" shapeId="0">
      <text>
        <t>Q2 FY2018 release onward; FY2018 annual from the Q4 FY2018 release.</t>
      </text>
    </comment>
    <comment ref="B206" authorId="0" shapeId="0">
      <text>
        <t>Source: Woodward earnings releases (Form 8-K Item 2.02, Ex. 99.1) — Reconciliation of Net Earnings to EBIT and EBITDA (published throughout).</t>
      </text>
    </comment>
    <comment ref="B232" authorId="0" shapeId="0">
      <text>
        <t>Source: Woodward earnings releases (Form 8-K Item 2.02, Ex. 99.1) — Reconciliation of Net Earnings / EPS to Adjusted Net Earnings / Adjusted EPS (published from Q2 FY2018).</t>
      </text>
    </comment>
    <comment ref="B259" authorId="0" shapeId="0">
      <text>
        <t>Source: release condensed cash-flow statements (year to date; discrete quarters derived, Q4 = FY − 9M); D&amp;A from the EBITDA reconciliation; share-based compensation and deferred income taxes from the 10-K / 10-Q (XBRL, as first filed).</t>
      </text>
    </comment>
    <comment ref="B309" authorId="0" shapeId="0">
      <text>
        <t>Source: Woodward earnings releases (Form 8-K Item 2.02, Ex. 99.1) — condensed consolidated balance sheets (period ends); shares outstanding = shares issued − treasury shares (XBRL).</t>
      </text>
    </comment>
    <comment ref="B350" authorId="0" shapeId="0">
      <text>
        <t>Source: FY2018 10-K Note 4 (L'Orange, preliminary); Q3 FY26 10-Q Note 10 (Safran electro-mechanical actuation, Jul-2025; Valve Research, Apr-2026).</t>
      </text>
    </comment>
    <comment ref="B365" authorId="0" shapeId="0">
      <text>
        <t>Source: release balance sheets; FY2025 10-K Note 15 and Q3 FY26 10-Q Note 15 (debt); 8-Ks of 28-May-2026 (revolver, term loan) and 21-Aug-2026 (Series U/V/W notes).</t>
      </text>
    </comment>
  </commentList>
</comments>
</file>

<file path=xl/comments/comment2.xml><?xml version="1.0" encoding="utf-8"?>
<comments xmlns="http://schemas.openxmlformats.org/spreadsheetml/2006/main">
  <authors>
    <author>WWD model</author>
  </authors>
  <commentList>
    <comment ref="N26" authorId="0" shapeId="0">
      <text>
        <t>P/E on adjusted EPS (company definition). WWD at $382.17 trades at ~41x FY2026E adjusted EPS ($9.40) and ~36x FY2027E. Exit multiples are assumptions: Base 32x, Bull 36x, Bear 25x applied to FY2030E–31E (FY2029E–31E for Bear), converging toward aerospace-components peers as growth normalises.</t>
      </text>
    </comment>
    <comment ref="P40" authorId="0" shapeId="0">
      <text>
        <t>Snapshot (values) of Model rows 299, 298 and 300 (Share Buyback Schedule) with Model!AV2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H434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width="13" customWidth="1" style="251" min="10" max="10"/>
    <col width="13" customWidth="1" style="251" min="11" max="11"/>
    <col width="13" customWidth="1" style="251" min="12" max="12"/>
    <col hidden="1" outlineLevel="1" width="9.5703125" customWidth="1" style="251" min="13" max="13"/>
    <col hidden="1" outlineLevel="1" width="9.5703125" customWidth="1" style="251" min="14" max="14"/>
    <col hidden="1" outlineLevel="1" width="9.5703125" customWidth="1" style="251" min="15" max="15"/>
    <col hidden="1" outlineLevel="1" width="9.5703125" customWidth="1" style="251" min="16" max="16"/>
    <col width="13" customWidth="1" style="251" min="17" max="17"/>
    <col hidden="1" outlineLevel="1" width="9.5703125" customWidth="1" style="251" min="18" max="18"/>
    <col hidden="1" outlineLevel="1" width="9.5703125" customWidth="1" style="251" min="19" max="19"/>
    <col hidden="1" outlineLevel="1" width="9.5703125" customWidth="1" style="251" min="20" max="20"/>
    <col hidden="1" outlineLevel="1" width="9.5703125" customWidth="1" style="251" min="21" max="21"/>
    <col width="13" customWidth="1" style="251" min="22" max="22"/>
    <col hidden="1" outlineLevel="1" width="9.5703125" customWidth="1" style="251" min="23" max="23"/>
    <col hidden="1" outlineLevel="1" width="9.5703125" customWidth="1" style="251" min="24" max="24"/>
    <col hidden="1" outlineLevel="1" width="9.5703125" customWidth="1" style="251" min="25" max="25"/>
    <col hidden="1" outlineLevel="1" width="9.5703125" customWidth="1" style="251" min="26" max="26"/>
    <col width="13" customWidth="1" style="251" min="27" max="27"/>
    <col hidden="1" outlineLevel="1" width="9.5703125" customWidth="1" style="251" min="28" max="28"/>
    <col hidden="1" outlineLevel="1" width="9.5703125" customWidth="1" style="251" min="29" max="29"/>
    <col hidden="1" outlineLevel="1" width="9.5703125" customWidth="1" style="251" min="30" max="30"/>
    <col hidden="1" outlineLevel="1" width="9.5703125" customWidth="1" style="251" min="31" max="31"/>
    <col width="13" customWidth="1" style="251" min="32" max="32"/>
    <col hidden="1" outlineLevel="1" width="9.5703125" customWidth="1" style="251" min="33" max="33"/>
    <col hidden="1" outlineLevel="1" width="9.5703125" customWidth="1" style="251" min="34" max="34"/>
    <col hidden="1" outlineLevel="1" width="9.5703125" customWidth="1" style="251" min="35" max="35"/>
    <col hidden="1" outlineLevel="1" width="9.5703125" customWidth="1" style="251" min="36" max="36"/>
    <col width="13" customWidth="1" style="251" min="37" max="37"/>
    <col hidden="1" outlineLevel="1" width="9.5703125" customWidth="1" style="251" min="38" max="38"/>
    <col hidden="1" outlineLevel="1" width="9.5703125" customWidth="1" style="251" min="39" max="39"/>
    <col hidden="1" outlineLevel="1" width="9.5703125" customWidth="1" style="251" min="40" max="40"/>
    <col hidden="1" outlineLevel="1" width="11.42578125" customWidth="1" style="251" min="41" max="41"/>
    <col width="14.140625" customWidth="1" style="251" min="42" max="42"/>
    <col width="13" customWidth="1" style="251" min="43" max="43"/>
    <col width="13" customWidth="1" style="251" min="44" max="44"/>
    <col width="13" customWidth="1" style="251" min="45" max="45"/>
    <col width="13" customWidth="1" style="251" min="46" max="46"/>
    <col width="13" customWidth="1" style="251" min="47" max="47"/>
    <col width="86.85546875" customWidth="1" style="251" min="48" max="48"/>
    <col width="2" customWidth="1" style="251" min="49" max="49"/>
    <col width="14.140625" customWidth="1" style="251" min="50" max="50"/>
    <col width="12.42578125" customWidth="1" style="251" min="51" max="51"/>
    <col width="13.42578125" customWidth="1" style="251" min="52" max="52"/>
    <col width="13" customWidth="1" style="251" min="53" max="53"/>
    <col width="2" customWidth="1" style="251" min="54" max="54"/>
    <col width="6" customWidth="1" style="251" min="55" max="55"/>
    <col width="46" customWidth="1" style="251" min="56" max="56"/>
    <col width="11.5703125" customWidth="1" style="251" min="57" max="57"/>
    <col width="13" customWidth="1" style="251" min="58" max="58"/>
    <col width="13" customWidth="1" style="251" min="59" max="59"/>
    <col width="60" customWidth="1" style="251" min="60" max="60"/>
  </cols>
  <sheetData>
    <row r="1" ht="15" customHeight="1" s="251">
      <c r="AV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Woodward, Inc. (NASDAQ: WWD) — 3-Statement Financial Model</t>
        </is>
      </c>
      <c r="AV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millions) · Fiscal years ended 30 September (2026 = Oct-2025 – Sep-2026) · Source: Woodward Forms 10-K / 10-Q, Form 8-K earnings releases (Ex. 99.1) and deal / financing 8-Ks, SEC EDGAR (CIK 108312); XBRL company facts; investor-relations releases at woodward.com are the same documents as filed on EDGAR</t>
        </is>
      </c>
    </row>
    <row r="4" ht="15" customHeight="1" s="251">
      <c r="B4" s="5" t="inlineStr">
        <is>
          <t>Basis notes: as originally reported (FY2016 and FY2018 reclassifications not recast; FY2018 restated segment earnings in memo rows). Segments: Aerospace, Industrial (Energy to FY2015). Acquisitions: L'Orange Jun-18, Safran EMA Jul-25, Valve Research Apr-26; divestitures: renewable power systems May-20, product lines FY25, pilot controls (ONTIC, pending FY27). Q4/26E calibrated to FY26 sales-growth and adjusted-EPS guidance (29-Jul-2026).</t>
        </is>
      </c>
    </row>
    <row r="5" ht="15" customHeight="1" s="251">
      <c r="AO5" s="153" t="n"/>
      <c r="AP5" s="153" t="n"/>
      <c r="AQ5" s="153" t="n"/>
      <c r="AR5" s="153" t="n"/>
      <c r="AS5" s="153" t="n"/>
      <c r="AT5" s="153" t="n"/>
      <c r="AU5" s="153" t="n"/>
      <c r="AX5" s="6" t="inlineStr">
        <is>
          <t>Forecast</t>
        </is>
      </c>
      <c r="AY5" s="6" t="inlineStr">
        <is>
          <t>Historical</t>
        </is>
      </c>
      <c r="AZ5" s="6" t="inlineStr">
        <is>
          <t>Historical</t>
        </is>
      </c>
      <c r="BA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2011</v>
      </c>
      <c r="D6" s="8" t="n">
        <v>2012</v>
      </c>
      <c r="E6" s="8" t="n">
        <v>2013</v>
      </c>
      <c r="F6" s="8" t="n">
        <v>2014</v>
      </c>
      <c r="G6" s="8" t="n">
        <v>2015</v>
      </c>
      <c r="H6" s="8" t="n">
        <v>2016</v>
      </c>
      <c r="I6" s="8" t="n">
        <v>2017</v>
      </c>
      <c r="J6" s="8" t="n">
        <v>2018</v>
      </c>
      <c r="K6" s="8" t="n">
        <v>2019</v>
      </c>
      <c r="L6" s="8" t="n">
        <v>2020</v>
      </c>
      <c r="M6" s="8" t="inlineStr">
        <is>
          <t>Q1/21</t>
        </is>
      </c>
      <c r="N6" s="8" t="inlineStr">
        <is>
          <t>Q2/21</t>
        </is>
      </c>
      <c r="O6" s="8" t="inlineStr">
        <is>
          <t>Q3/21</t>
        </is>
      </c>
      <c r="P6" s="8" t="inlineStr">
        <is>
          <t>Q4/21</t>
        </is>
      </c>
      <c r="Q6" s="8" t="n">
        <v>2021</v>
      </c>
      <c r="R6" s="8" t="inlineStr">
        <is>
          <t>Q1/22</t>
        </is>
      </c>
      <c r="S6" s="8" t="inlineStr">
        <is>
          <t>Q2/22</t>
        </is>
      </c>
      <c r="T6" s="8" t="inlineStr">
        <is>
          <t>Q3/22</t>
        </is>
      </c>
      <c r="U6" s="8" t="inlineStr">
        <is>
          <t>Q4/22</t>
        </is>
      </c>
      <c r="V6" s="8" t="n">
        <v>2022</v>
      </c>
      <c r="W6" s="8" t="inlineStr">
        <is>
          <t>Q1/23</t>
        </is>
      </c>
      <c r="X6" s="8" t="inlineStr">
        <is>
          <t>Q2/23</t>
        </is>
      </c>
      <c r="Y6" s="8" t="inlineStr">
        <is>
          <t>Q3/23</t>
        </is>
      </c>
      <c r="Z6" s="8" t="inlineStr">
        <is>
          <t>Q4/23</t>
        </is>
      </c>
      <c r="AA6" s="8" t="n">
        <v>2023</v>
      </c>
      <c r="AB6" s="8" t="inlineStr">
        <is>
          <t>Q1/24</t>
        </is>
      </c>
      <c r="AC6" s="8" t="inlineStr">
        <is>
          <t>Q2/24</t>
        </is>
      </c>
      <c r="AD6" s="8" t="inlineStr">
        <is>
          <t>Q3/24</t>
        </is>
      </c>
      <c r="AE6" s="8" t="inlineStr">
        <is>
          <t>Q4/24</t>
        </is>
      </c>
      <c r="AF6" s="8" t="n">
        <v>2024</v>
      </c>
      <c r="AG6" s="8" t="inlineStr">
        <is>
          <t>Q1/25</t>
        </is>
      </c>
      <c r="AH6" s="8" t="inlineStr">
        <is>
          <t>Q2/25</t>
        </is>
      </c>
      <c r="AI6" s="8" t="inlineStr">
        <is>
          <t>Q3/25</t>
        </is>
      </c>
      <c r="AJ6" s="8" t="inlineStr">
        <is>
          <t>Q4/25</t>
        </is>
      </c>
      <c r="AK6" s="8" t="n">
        <v>2025</v>
      </c>
      <c r="AL6" s="8" t="inlineStr">
        <is>
          <t>Q1/26</t>
        </is>
      </c>
      <c r="AM6" s="8" t="inlineStr">
        <is>
          <t>Q2/26</t>
        </is>
      </c>
      <c r="AN6" s="8" t="inlineStr">
        <is>
          <t>Q3/26</t>
        </is>
      </c>
      <c r="AO6" s="8" t="inlineStr">
        <is>
          <t>Q4/26E</t>
        </is>
      </c>
      <c r="AP6" s="8" t="inlineStr">
        <is>
          <t>2026E</t>
        </is>
      </c>
      <c r="AQ6" s="8" t="inlineStr">
        <is>
          <t>2027E</t>
        </is>
      </c>
      <c r="AR6" s="8" t="inlineStr">
        <is>
          <t>2028E</t>
        </is>
      </c>
      <c r="AS6" s="8" t="inlineStr">
        <is>
          <t>2029E</t>
        </is>
      </c>
      <c r="AT6" s="8" t="inlineStr">
        <is>
          <t>2030E</t>
        </is>
      </c>
      <c r="AU6" s="8" t="inlineStr">
        <is>
          <t>2031E</t>
        </is>
      </c>
      <c r="AV6" s="8" t="inlineStr">
        <is>
          <t>Modelling Notes</t>
        </is>
      </c>
      <c r="AX6" s="6" t="inlineStr">
        <is>
          <t>5Y CAGR</t>
        </is>
      </c>
      <c r="AY6" s="6" t="inlineStr">
        <is>
          <t>5Y CAGR</t>
        </is>
      </c>
      <c r="AZ6" s="6" t="inlineStr">
        <is>
          <t>10Y CAGR</t>
        </is>
      </c>
      <c r="BA6" s="6" t="inlineStr">
        <is>
          <t>14Y CAGR</t>
        </is>
      </c>
    </row>
    <row r="7" ht="15" customHeight="1" s="251">
      <c r="AX7" s="9" t="inlineStr">
        <is>
          <t>26-'31</t>
        </is>
      </c>
      <c r="AY7" s="9" t="inlineStr">
        <is>
          <t>20-'25</t>
        </is>
      </c>
      <c r="AZ7" s="9" t="inlineStr">
        <is>
          <t>15-'25</t>
        </is>
      </c>
      <c r="BA7" s="9" t="inlineStr">
        <is>
          <t>11-'25</t>
        </is>
      </c>
    </row>
    <row r="8" ht="15" customHeight="1" s="251">
      <c r="B8" s="10" t="inlineStr">
        <is>
          <t>SEGMENT P&amp;L — AEROSPACE · INDUSTRIAL (sales by primary market × segment earnings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inlineStr">
        <is>
          <t>SEGMENT BUILD — modelling logic (sales by primary market → segment sales → segment earnings at the segment margin → + adjusted nonsegment expenses = adjusted EBIT → GAAP P&amp;L)</t>
        </is>
      </c>
    </row>
    <row r="9" ht="15" customHeight="1" s="251">
      <c r="BD9" s="11" t="inlineStr">
        <is>
          <t>SCENARIO INPUT TABLE — driver assumptions per Bull / Base / Bear</t>
        </is>
      </c>
      <c r="BE9" s="12" t="inlineStr">
        <is>
          <t>Bull</t>
        </is>
      </c>
      <c r="BF9" s="12" t="inlineStr">
        <is>
          <t>Base</t>
        </is>
      </c>
      <c r="BG9" s="12" t="inlineStr">
        <is>
          <t>Bear</t>
        </is>
      </c>
      <c r="BH9" s="13" t="inlineStr">
        <is>
          <t>Bull / Bear = Base + Δ (Δ inputs on each block header). Outlook block = high / mid / low end of the FY26 guidance ranges.</t>
        </is>
      </c>
    </row>
    <row r="10" ht="15" customHeight="1" s="251">
      <c r="B10" s="14" t="inlineStr">
        <is>
          <t>Aerospace (fuel, combustion, actuation, motion &amp; flight-control systems for commercial and defense aircraft, guided weapons; OEM and aftermarket)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5" t="inlineStr">
        <is>
          <t>AEROSPACE — modelling logic</t>
        </is>
      </c>
    </row>
    <row r="11" ht="15" customHeight="1" s="251">
      <c r="B11" s="25" t="inlineStr">
        <is>
          <t xml:space="preserve">  Commercial OEM sales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253" t="n">
        <v>659.336</v>
      </c>
      <c r="L11" s="253" t="n">
        <v>434.306</v>
      </c>
      <c r="M11" s="253" t="n">
        <v>76.081</v>
      </c>
      <c r="N11" s="253" t="n">
        <v>101.907</v>
      </c>
      <c r="O11" s="253" t="n">
        <v>96.29000000000001</v>
      </c>
      <c r="P11" s="253" t="n">
        <v>112.265</v>
      </c>
      <c r="Q11" s="253" t="n">
        <v>386.543</v>
      </c>
      <c r="R11" s="253" t="n">
        <v>104.826</v>
      </c>
      <c r="S11" s="253" t="n">
        <v>122.889</v>
      </c>
      <c r="T11" s="253" t="n">
        <v>131.968</v>
      </c>
      <c r="U11" s="253" t="n">
        <v>139.755</v>
      </c>
      <c r="V11" s="253" t="n">
        <v>499.438</v>
      </c>
      <c r="W11" s="253" t="n">
        <v>138.875</v>
      </c>
      <c r="X11" s="253" t="n">
        <v>159.271</v>
      </c>
      <c r="Y11" s="253" t="n">
        <v>186.173</v>
      </c>
      <c r="Z11" s="253" t="n">
        <v>166.956</v>
      </c>
      <c r="AA11" s="253" t="n">
        <v>651.275</v>
      </c>
      <c r="AB11" s="253" t="n">
        <v>171.354</v>
      </c>
      <c r="AC11" s="253" t="n">
        <v>183.517</v>
      </c>
      <c r="AD11" s="253" t="n">
        <v>189.697</v>
      </c>
      <c r="AE11" s="253" t="n">
        <v>193.826</v>
      </c>
      <c r="AF11" s="253" t="n">
        <v>738.394</v>
      </c>
      <c r="AG11" s="253" t="n">
        <v>154.076</v>
      </c>
      <c r="AH11" s="253" t="n">
        <v>167.461</v>
      </c>
      <c r="AI11" s="253" t="n">
        <v>175.226</v>
      </c>
      <c r="AJ11" s="253" t="n">
        <v>194.199</v>
      </c>
      <c r="AK11" s="253" t="n">
        <v>690.962</v>
      </c>
      <c r="AL11" s="253" t="n">
        <v>187.939</v>
      </c>
      <c r="AM11" s="253" t="n">
        <v>218.015</v>
      </c>
      <c r="AN11" s="253" t="n">
        <v>234.398</v>
      </c>
      <c r="AO11" s="254">
        <f>AJ11*(1+AO12)</f>
        <v>230.997819935685</v>
      </c>
      <c r="AP11" s="254">
        <f>SUM(AL11:AO11)</f>
        <v>871.349819935685</v>
      </c>
      <c r="AQ11" s="254">
        <f>AP11*(1+AQ12)</f>
        <v>993.338794726681</v>
      </c>
      <c r="AR11" s="254">
        <f>AQ11*(1+AR12)</f>
        <v>1102.60606214662</v>
      </c>
      <c r="AS11" s="254">
        <f>AR11*(1+AS12)</f>
        <v>1201.84060773981</v>
      </c>
      <c r="AT11" s="254">
        <f>AS11*(1+AT12)</f>
        <v>1285.9694502816</v>
      </c>
      <c r="AU11" s="254">
        <f>AT11*(1+AU12)</f>
        <v>1363.1276172985</v>
      </c>
      <c r="AV11" s="19" t="inlineStr">
        <is>
          <t>Sales by primary market (10-Q / 10-K revenue-disaggregation note, from FY2019; Q4 = fiscal year − nine months). Q4/26E: prior-year quarter × (1 + growth). 2027E+: prior year × (1 + scenario lever).</t>
        </is>
      </c>
      <c r="AX11" s="20">
        <f>IFERROR((AU11/AP11)^(1/5)-1,"n/m")</f>
        <v>0.0936259182840589</v>
      </c>
      <c r="AY11" s="20">
        <f>IFERROR((AK11/L11)^(1/5)-1,"n/m")</f>
        <v>0.0973158867449486</v>
      </c>
      <c r="AZ11" s="20" t="str">
        <f>IFERROR((AK11/G11)^(1/10)-1,"n/m")</f>
        <v>n/m</v>
      </c>
      <c r="BA11" s="20" t="str">
        <f>IFERROR((AK11/C11)^(1/14)-1,"n/m")</f>
        <v>n/m</v>
      </c>
      <c r="BD11" s="15" t="inlineStr">
        <is>
          <t>FY26 guidance — Q3 FY26 release (29-Jul-2026)</t>
        </is>
      </c>
      <c r="BE11" s="21" t="inlineStr">
        <is>
          <t>High</t>
        </is>
      </c>
      <c r="BF11" s="21" t="inlineStr">
        <is>
          <t>Mid</t>
        </is>
      </c>
      <c r="BG11" s="21" t="inlineStr">
        <is>
          <t>Low</t>
        </is>
      </c>
      <c r="BH11" s="13" t="inlineStr">
        <is>
          <t>Sales growth +20–23% (unchanged), adjusted EPS $9.30–9.50 (raised from $9.15–9.45), FCF $300–350m, capex ~$290m, ~61.5m shares, adjusted tax rate ~22.5%; Aerospace sales +21–23% at ~23.5% segment margin; Industrial sales +19–21% at ~19%.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55">
        <f>IF(AND(ISNUMBER(J11),ISNUMBER(I11)),IFERROR(J11/I11-1,""),"")</f>
      </c>
      <c r="K12" s="255">
        <f>IF(AND(ISNUMBER(K11),ISNUMBER(J11)),IFERROR(K11/J11-1,""),"")</f>
      </c>
      <c r="L12" s="255">
        <f>IF(AND(ISNUMBER(L11),ISNUMBER(K11)),IFERROR(L11/K11-1,""),"")</f>
        <v>-0.341297911838577</v>
      </c>
      <c r="M12" s="23" t="n"/>
      <c r="N12" s="23" t="n"/>
      <c r="O12" s="23" t="n"/>
      <c r="P12" s="23" t="n"/>
      <c r="Q12" s="255">
        <f>IF(AND(ISNUMBER(Q11),ISNUMBER(L11)),IFERROR(Q11/L11-1,""),"")</f>
        <v>-0.109975455093874</v>
      </c>
      <c r="R12" s="255">
        <f>IF(AND(ISNUMBER(R11),ISNUMBER(M11)),IFERROR(R11/M11-1,""),"")</f>
        <v>0.377821006558799</v>
      </c>
      <c r="S12" s="255">
        <f>IF(AND(ISNUMBER(S11),ISNUMBER(N11)),IFERROR(S11/N11-1,""),"")</f>
        <v>0.205893608878684</v>
      </c>
      <c r="T12" s="255">
        <f>IF(AND(ISNUMBER(T11),ISNUMBER(O11)),IFERROR(T11/O11-1,""),"")</f>
        <v>0.370526534427251</v>
      </c>
      <c r="U12" s="255">
        <f>IF(AND(ISNUMBER(U11),ISNUMBER(P11)),IFERROR(U11/P11-1,""),"")</f>
        <v>0.24486705562731</v>
      </c>
      <c r="V12" s="255">
        <f>IF(AND(ISNUMBER(V11),ISNUMBER(Q11)),IFERROR(V11/Q11-1,""),"")</f>
        <v>0.292063237466466</v>
      </c>
      <c r="W12" s="255">
        <f>IF(AND(ISNUMBER(W11),ISNUMBER(R11)),IFERROR(W11/R11-1,""),"")</f>
        <v>0.324814454429245</v>
      </c>
      <c r="X12" s="255">
        <f>IF(AND(ISNUMBER(X11),ISNUMBER(S11)),IFERROR(X11/S11-1,""),"")</f>
        <v>0.296055790184638</v>
      </c>
      <c r="Y12" s="255">
        <f>IF(AND(ISNUMBER(Y11),ISNUMBER(T11)),IFERROR(Y11/T11-1,""),"")</f>
        <v>0.41074351357905</v>
      </c>
      <c r="Z12" s="255">
        <f>IF(AND(ISNUMBER(Z11),ISNUMBER(U11)),IFERROR(Z11/U11-1,""),"")</f>
        <v>0.194633465707846</v>
      </c>
      <c r="AA12" s="255">
        <f>IF(AND(ISNUMBER(AA11),ISNUMBER(V11)),IFERROR(AA11/V11-1,""),"")</f>
        <v>0.304015713662156</v>
      </c>
      <c r="AB12" s="255">
        <f>IF(AND(ISNUMBER(AB11),ISNUMBER(W11)),IFERROR(AB11/W11-1,""),"")</f>
        <v>0.233872187218722</v>
      </c>
      <c r="AC12" s="255">
        <f>IF(AND(ISNUMBER(AC11),ISNUMBER(X11)),IFERROR(AC11/X11-1,""),"")</f>
        <v>0.152231102962875</v>
      </c>
      <c r="AD12" s="255">
        <f>IF(AND(ISNUMBER(AD11),ISNUMBER(Y11)),IFERROR(AD11/Y11-1,""),"")</f>
        <v>0.0189286308970689</v>
      </c>
      <c r="AE12" s="255">
        <f>IF(AND(ISNUMBER(AE11),ISNUMBER(Z11)),IFERROR(AE11/Z11-1,""),"")</f>
        <v>0.160940607106064</v>
      </c>
      <c r="AF12" s="255">
        <f>IF(AND(ISNUMBER(AF11),ISNUMBER(AA11)),IFERROR(AF11/AA11-1,""),"")</f>
        <v>0.13376684196384</v>
      </c>
      <c r="AG12" s="255">
        <f>IF(AND(ISNUMBER(AG11),ISNUMBER(AB11)),IFERROR(AG11/AB11-1,""),"")</f>
        <v>-0.100832195338306</v>
      </c>
      <c r="AH12" s="255">
        <f>IF(AND(ISNUMBER(AH11),ISNUMBER(AC11)),IFERROR(AH11/AC11-1,""),"")</f>
        <v>-0.0874905322122745</v>
      </c>
      <c r="AI12" s="255">
        <f>IF(AND(ISNUMBER(AI11),ISNUMBER(AD11)),IFERROR(AI11/AD11-1,""),"")</f>
        <v>-0.076284812095078</v>
      </c>
      <c r="AJ12" s="255">
        <f>IF(AND(ISNUMBER(AJ11),ISNUMBER(AE11)),IFERROR(AJ11/AE11-1,""),"")</f>
        <v>0.00192440642638259</v>
      </c>
      <c r="AK12" s="255">
        <f>IF(AND(ISNUMBER(AK11),ISNUMBER(AF11)),IFERROR(AK11/AF11-1,""),"")</f>
        <v>-0.0642367083156147</v>
      </c>
      <c r="AL12" s="255">
        <f>IF(AND(ISNUMBER(AL11),ISNUMBER(AG11)),IFERROR(AL11/AG11-1,""),"")</f>
        <v>0.219781146966432</v>
      </c>
      <c r="AM12" s="255">
        <f>IF(AND(ISNUMBER(AM11),ISNUMBER(AH11)),IFERROR(AM11/AH11-1,""),"")</f>
        <v>0.301885215065</v>
      </c>
      <c r="AN12" s="255">
        <f>IF(AND(ISNUMBER(AN11),ISNUMBER(AI11)),IFERROR(AN11/AI11-1,""),"")</f>
        <v>0.337689612272151</v>
      </c>
      <c r="AO12" s="256">
        <f>AO13+$AO$109</f>
        <v>0.189490264809217</v>
      </c>
      <c r="AP12" s="256">
        <f>IF(AND(ISNUMBER(AP11),ISNUMBER(AK11)),IFERROR(AP11/AK11-1,""),"")</f>
        <v>0.261067641832236</v>
      </c>
      <c r="AQ12" s="256">
        <f>CHOOSE(MATCH($AV$2,{"Bull","Base","Bear"},0),$BE$34,$BF$34,$BG$34)</f>
        <v>0.14</v>
      </c>
      <c r="AR12" s="256">
        <f>CHOOSE(MATCH($AV$2,{"Bull","Base","Bear"},0),$BE$35,$BF$35,$BG$35)</f>
        <v>0.11</v>
      </c>
      <c r="AS12" s="256">
        <f>CHOOSE(MATCH($AV$2,{"Bull","Base","Bear"},0),$BE$36,$BF$36,$BG$36)</f>
        <v>0.09</v>
      </c>
      <c r="AT12" s="256">
        <f>CHOOSE(MATCH($AV$2,{"Bull","Base","Bear"},0),$BE$37,$BF$37,$BG$37)</f>
        <v>0.07</v>
      </c>
      <c r="AU12" s="256">
        <f>CHOOSE(MATCH($AV$2,{"Bull","Base","Bear"},0),$BE$38,$BF$38,$BG$38)</f>
        <v>0.06</v>
      </c>
      <c r="AV12" s="153" t="inlineStr">
        <is>
          <t>Q4/26E: 9M FY26 y/y growth of the market + sales-guidance calibration Δ (Group block). 2027E–2031E: scenario lever (Bull/Base/Bear table →).</t>
        </is>
      </c>
      <c r="BD12" s="25" t="inlineStr">
        <is>
          <t xml:space="preserve">  FY26 net sales growth</t>
        </is>
      </c>
      <c r="BE12" s="257" t="n">
        <v>0.23</v>
      </c>
      <c r="BF12" s="257" t="n">
        <v>0.215</v>
      </c>
      <c r="BG12" s="257" t="n">
        <v>0.2</v>
      </c>
      <c r="BH12" s="13" t="inlineStr">
        <is>
          <t>Guided +20–23%. Drives the Q4/26E sales calibration.</t>
        </is>
      </c>
    </row>
    <row r="13" ht="15" customHeight="1" s="251">
      <c r="B13" s="25" t="inlineStr">
        <is>
          <t xml:space="preserve">    Q4/26E growth before sales calibration (9M FY26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256">
        <f>IFERROR(SUM(AL11:AN11)/SUM(AG11:AI11)-1,0)</f>
        <v>0.289049305201877</v>
      </c>
      <c r="AP13" s="24" t="n"/>
      <c r="AQ13" s="46" t="n"/>
      <c r="AR13" s="46" t="n"/>
      <c r="AS13" s="46" t="n"/>
      <c r="AT13" s="46" t="n"/>
      <c r="AU13" s="46" t="n"/>
      <c r="AV13" s="19" t="n"/>
      <c r="BD13" s="25" t="inlineStr">
        <is>
          <t xml:space="preserve">  FY26 adjusted EPS ($)</t>
        </is>
      </c>
      <c r="BE13" s="258" t="n">
        <v>9.5</v>
      </c>
      <c r="BF13" s="258" t="n">
        <v>9.4</v>
      </c>
      <c r="BG13" s="258" t="n">
        <v>9.300000000000001</v>
      </c>
      <c r="BH13" s="13" t="inlineStr">
        <is>
          <t>Guided $9.30–9.50. Drives the Q4/26E segment-margin calibration.</t>
        </is>
      </c>
    </row>
    <row r="14" ht="15" customHeight="1" s="251">
      <c r="B14" s="25" t="inlineStr">
        <is>
          <t xml:space="preserve">  Commercial services (aftermarket) sales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253" t="n">
        <v>497.795</v>
      </c>
      <c r="L14" s="253" t="n">
        <v>399.843</v>
      </c>
      <c r="M14" s="253" t="n">
        <v>65.515</v>
      </c>
      <c r="N14" s="253" t="n">
        <v>77.57899999999999</v>
      </c>
      <c r="O14" s="253" t="n">
        <v>75.508</v>
      </c>
      <c r="P14" s="253" t="n">
        <v>87.94499999999999</v>
      </c>
      <c r="Q14" s="253" t="n">
        <v>306.547</v>
      </c>
      <c r="R14" s="253" t="n">
        <v>86.086</v>
      </c>
      <c r="S14" s="253" t="n">
        <v>108.554</v>
      </c>
      <c r="T14" s="253" t="n">
        <v>108.695</v>
      </c>
      <c r="U14" s="253" t="n">
        <v>117.546</v>
      </c>
      <c r="V14" s="253" t="n">
        <v>420.881</v>
      </c>
      <c r="W14" s="253" t="n">
        <v>126.643</v>
      </c>
      <c r="X14" s="253" t="n">
        <v>139.445</v>
      </c>
      <c r="Y14" s="253" t="n">
        <v>139.518</v>
      </c>
      <c r="Z14" s="253" t="n">
        <v>142.019</v>
      </c>
      <c r="AA14" s="253" t="n">
        <v>547.625</v>
      </c>
      <c r="AB14" s="253" t="n">
        <v>137.544</v>
      </c>
      <c r="AC14" s="253" t="n">
        <v>163.886</v>
      </c>
      <c r="AD14" s="253" t="n">
        <v>165.718</v>
      </c>
      <c r="AE14" s="253" t="n">
        <v>173.675</v>
      </c>
      <c r="AF14" s="253" t="n">
        <v>640.823</v>
      </c>
      <c r="AG14" s="253" t="n">
        <v>163.85</v>
      </c>
      <c r="AH14" s="253" t="n">
        <v>201.861</v>
      </c>
      <c r="AI14" s="253" t="n">
        <v>215.451</v>
      </c>
      <c r="AJ14" s="253" t="n">
        <v>242.385</v>
      </c>
      <c r="AK14" s="253" t="n">
        <v>823.547</v>
      </c>
      <c r="AL14" s="253" t="n">
        <v>244.906</v>
      </c>
      <c r="AM14" s="253" t="n">
        <v>275.374</v>
      </c>
      <c r="AN14" s="253" t="n">
        <v>267.849</v>
      </c>
      <c r="AO14" s="254">
        <f>AJ14*(1+AO15)</f>
        <v>304.573024873691</v>
      </c>
      <c r="AP14" s="254">
        <f>SUM(AL14:AO14)</f>
        <v>1092.70202487369</v>
      </c>
      <c r="AQ14" s="254">
        <f>AP14*(1+AQ15)</f>
        <v>1191.04520711232</v>
      </c>
      <c r="AR14" s="254">
        <f>AQ14*(1+AR15)</f>
        <v>1286.32882368131</v>
      </c>
      <c r="AS14" s="254">
        <f>AR14*(1+AS15)</f>
        <v>1376.371841339</v>
      </c>
      <c r="AT14" s="254">
        <f>AS14*(1+AT15)</f>
        <v>1458.95415181934</v>
      </c>
      <c r="AU14" s="254">
        <f>AT14*(1+AU15)</f>
        <v>1546.4914009285</v>
      </c>
      <c r="AV14" s="19" t="n"/>
      <c r="AX14" s="20">
        <f>IFERROR((AU14/AP14)^(1/5)-1,"n/m")</f>
        <v>0.0719367300378895</v>
      </c>
      <c r="AY14" s="20">
        <f>IFERROR((AK14/L14)^(1/5)-1,"n/m")</f>
        <v>0.155472937983413</v>
      </c>
      <c r="AZ14" s="20" t="str">
        <f>IFERROR((AK14/G14)^(1/10)-1,"n/m")</f>
        <v>n/m</v>
      </c>
      <c r="BA14" s="20" t="str">
        <f>IFERROR((AK14/C14)^(1/14)-1,"n/m")</f>
        <v>n/m</v>
      </c>
      <c r="BD14" s="25" t="inlineStr">
        <is>
          <t xml:space="preserve">  FY26 Aerospace sales growth — memo</t>
        </is>
      </c>
      <c r="BE14" s="257" t="n">
        <v>0.23</v>
      </c>
      <c r="BF14" s="257" t="n">
        <v>0.22</v>
      </c>
      <c r="BG14" s="257" t="n">
        <v>0.21</v>
      </c>
      <c r="BH14" s="13" t="inlineStr">
        <is>
          <t>Guided +21–23% (information row; compare the model).</t>
        </is>
      </c>
    </row>
    <row r="15" ht="15" customHeight="1" s="251">
      <c r="B15" s="22" t="inlineStr">
        <is>
          <t xml:space="preserve">    y/y %</t>
        </is>
      </c>
      <c r="C15" s="23" t="n"/>
      <c r="D15" s="255">
        <f>IF(AND(ISNUMBER(D14),ISNUMBER(C14)),IFERROR(D14/C14-1,""),"")</f>
      </c>
      <c r="E15" s="255">
        <f>IF(AND(ISNUMBER(E14),ISNUMBER(D14)),IFERROR(E14/D14-1,""),"")</f>
      </c>
      <c r="F15" s="255">
        <f>IF(AND(ISNUMBER(F14),ISNUMBER(E14)),IFERROR(F14/E14-1,""),"")</f>
      </c>
      <c r="G15" s="255">
        <f>IF(AND(ISNUMBER(G14),ISNUMBER(F14)),IFERROR(G14/F14-1,""),"")</f>
      </c>
      <c r="H15" s="255">
        <f>IF(AND(ISNUMBER(H14),ISNUMBER(G14)),IFERROR(H14/G14-1,""),"")</f>
      </c>
      <c r="I15" s="255">
        <f>IF(AND(ISNUMBER(I14),ISNUMBER(H14)),IFERROR(I14/H14-1,""),"")</f>
      </c>
      <c r="J15" s="255">
        <f>IF(AND(ISNUMBER(J14),ISNUMBER(I14)),IFERROR(J14/I14-1,""),"")</f>
      </c>
      <c r="K15" s="255">
        <f>IF(AND(ISNUMBER(K14),ISNUMBER(J14)),IFERROR(K14/J14-1,""),"")</f>
      </c>
      <c r="L15" s="255">
        <f>IF(AND(ISNUMBER(L14),ISNUMBER(K14)),IFERROR(L14/K14-1,""),"")</f>
        <v>-0.196771763476933</v>
      </c>
      <c r="M15" s="23" t="n"/>
      <c r="N15" s="23" t="n"/>
      <c r="O15" s="23" t="n"/>
      <c r="P15" s="23" t="n"/>
      <c r="Q15" s="255">
        <f>IF(AND(ISNUMBER(Q14),ISNUMBER(L14)),IFERROR(Q14/L14-1,""),"")</f>
        <v>-0.233331582646189</v>
      </c>
      <c r="R15" s="255">
        <f>IF(AND(ISNUMBER(R14),ISNUMBER(M14)),IFERROR(R14/M14-1,""),"")</f>
        <v>0.313989162787148</v>
      </c>
      <c r="S15" s="255">
        <f>IF(AND(ISNUMBER(S14),ISNUMBER(N14)),IFERROR(S14/N14-1,""),"")</f>
        <v>0.399270421119117</v>
      </c>
      <c r="T15" s="255">
        <f>IF(AND(ISNUMBER(T14),ISNUMBER(O14)),IFERROR(T14/O14-1,""),"")</f>
        <v>0.439516342639191</v>
      </c>
      <c r="U15" s="255">
        <f>IF(AND(ISNUMBER(U14),ISNUMBER(P14)),IFERROR(U14/P14-1,""),"")</f>
        <v>0.336585365853659</v>
      </c>
      <c r="V15" s="255">
        <f>IF(AND(ISNUMBER(V14),ISNUMBER(Q14)),IFERROR(V14/Q14-1,""),"")</f>
        <v>0.372973801733502</v>
      </c>
      <c r="W15" s="255">
        <f>IF(AND(ISNUMBER(W14),ISNUMBER(R14)),IFERROR(W14/R14-1,""),"")</f>
        <v>0.47112190135446</v>
      </c>
      <c r="X15" s="255">
        <f>IF(AND(ISNUMBER(X14),ISNUMBER(S14)),IFERROR(X14/S14-1,""),"")</f>
        <v>0.284568049081563</v>
      </c>
      <c r="Y15" s="255">
        <f>IF(AND(ISNUMBER(Y14),ISNUMBER(T14)),IFERROR(Y14/T14-1,""),"")</f>
        <v>0.283573301439809</v>
      </c>
      <c r="Z15" s="255">
        <f>IF(AND(ISNUMBER(Z14),ISNUMBER(U14)),IFERROR(Z14/U14-1,""),"")</f>
        <v>0.20819934323584</v>
      </c>
      <c r="AA15" s="255">
        <f>IF(AND(ISNUMBER(AA14),ISNUMBER(V14)),IFERROR(AA14/V14-1,""),"")</f>
        <v>0.301139752091446</v>
      </c>
      <c r="AB15" s="255">
        <f>IF(AND(ISNUMBER(AB14),ISNUMBER(W14)),IFERROR(AB14/W14-1,""),"")</f>
        <v>0.0860766090506384</v>
      </c>
      <c r="AC15" s="255">
        <f>IF(AND(ISNUMBER(AC14),ISNUMBER(X14)),IFERROR(AC14/X14-1,""),"")</f>
        <v>0.175273405285238</v>
      </c>
      <c r="AD15" s="255">
        <f>IF(AND(ISNUMBER(AD14),ISNUMBER(Y14)),IFERROR(AD14/Y14-1,""),"")</f>
        <v>0.187789389182758</v>
      </c>
      <c r="AE15" s="255">
        <f>IF(AND(ISNUMBER(AE14),ISNUMBER(Z14)),IFERROR(AE14/Z14-1,""),"")</f>
        <v>0.222899752849971</v>
      </c>
      <c r="AF15" s="255">
        <f>IF(AND(ISNUMBER(AF14),ISNUMBER(AA14)),IFERROR(AF14/AA14-1,""),"")</f>
        <v>0.170185802328235</v>
      </c>
      <c r="AG15" s="255">
        <f>IF(AND(ISNUMBER(AG14),ISNUMBER(AB14)),IFERROR(AG14/AB14-1,""),"")</f>
        <v>0.191255161984528</v>
      </c>
      <c r="AH15" s="255">
        <f>IF(AND(ISNUMBER(AH14),ISNUMBER(AC14)),IFERROR(AH14/AC14-1,""),"")</f>
        <v>0.231715948891303</v>
      </c>
      <c r="AI15" s="255">
        <f>IF(AND(ISNUMBER(AI14),ISNUMBER(AD14)),IFERROR(AI14/AD14-1,""),"")</f>
        <v>0.300106204516106</v>
      </c>
      <c r="AJ15" s="255">
        <f>IF(AND(ISNUMBER(AJ14),ISNUMBER(AE14)),IFERROR(AJ14/AE14-1,""),"")</f>
        <v>0.395624010364186</v>
      </c>
      <c r="AK15" s="255">
        <f>IF(AND(ISNUMBER(AK14),ISNUMBER(AF14)),IFERROR(AK14/AF14-1,""),"")</f>
        <v>0.2851395783235</v>
      </c>
      <c r="AL15" s="255">
        <f>IF(AND(ISNUMBER(AL14),ISNUMBER(AG14)),IFERROR(AL14/AG14-1,""),"")</f>
        <v>0.494696368629844</v>
      </c>
      <c r="AM15" s="255">
        <f>IF(AND(ISNUMBER(AM14),ISNUMBER(AH14)),IFERROR(AM14/AH14-1,""),"")</f>
        <v>0.364176339164078</v>
      </c>
      <c r="AN15" s="255">
        <f>IF(AND(ISNUMBER(AN14),ISNUMBER(AI14)),IFERROR(AN14/AI14-1,""),"")</f>
        <v>0.243201470403943</v>
      </c>
      <c r="AO15" s="256">
        <f>AO16+$AO$109</f>
        <v>0.256567134408859</v>
      </c>
      <c r="AP15" s="256">
        <f>IF(AND(ISNUMBER(AP14),ISNUMBER(AK14)),IFERROR(AP14/AK14-1,""),"")</f>
        <v>0.326824121602885</v>
      </c>
      <c r="AQ15" s="256">
        <f>CHOOSE(MATCH($AV$2,{"Bull","Base","Bear"},0),$BE$40,$BF$40,$BG$40)</f>
        <v>0.09</v>
      </c>
      <c r="AR15" s="256">
        <f>CHOOSE(MATCH($AV$2,{"Bull","Base","Bear"},0),$BE$41,$BF$41,$BG$41)</f>
        <v>0.08</v>
      </c>
      <c r="AS15" s="256">
        <f>CHOOSE(MATCH($AV$2,{"Bull","Base","Bear"},0),$BE$42,$BF$42,$BG$42)</f>
        <v>0.07</v>
      </c>
      <c r="AT15" s="256">
        <f>CHOOSE(MATCH($AV$2,{"Bull","Base","Bear"},0),$BE$43,$BF$43,$BG$43)</f>
        <v>0.06</v>
      </c>
      <c r="AU15" s="256">
        <f>CHOOSE(MATCH($AV$2,{"Bull","Base","Bear"},0),$BE$44,$BF$44,$BG$44)</f>
        <v>0.06</v>
      </c>
      <c r="AV15" s="153" t="n"/>
      <c r="BD15" s="25" t="inlineStr">
        <is>
          <t xml:space="preserve">  FY26 Industrial sales growth — memo</t>
        </is>
      </c>
      <c r="BE15" s="257" t="n">
        <v>0.21</v>
      </c>
      <c r="BF15" s="257" t="n">
        <v>0.2</v>
      </c>
      <c r="BG15" s="257" t="n">
        <v>0.19</v>
      </c>
      <c r="BH15" s="13" t="inlineStr">
        <is>
          <t>Guided +19–21% (information row).</t>
        </is>
      </c>
    </row>
    <row r="16" ht="15" customHeight="1" s="251">
      <c r="B16" s="25" t="inlineStr">
        <is>
          <t xml:space="preserve">    Q4/26E growth before sales calibration (9M FY26 y/y)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256">
        <f>IFERROR(SUM(AL14:AN14)/SUM(AG14:AI14)-1,0)</f>
        <v>0.356126174801518</v>
      </c>
      <c r="AP16" s="24" t="n"/>
      <c r="AQ16" s="46" t="n"/>
      <c r="AR16" s="46" t="n"/>
      <c r="AS16" s="46" t="n"/>
      <c r="AT16" s="46" t="n"/>
      <c r="AU16" s="46" t="n"/>
      <c r="AV16" s="19" t="n"/>
      <c r="BD16" s="25" t="inlineStr">
        <is>
          <t xml:space="preserve">  FY26 free cash flow ($m) — memo</t>
        </is>
      </c>
      <c r="BE16" s="259" t="n">
        <v>350</v>
      </c>
      <c r="BF16" s="259" t="n">
        <v>325</v>
      </c>
      <c r="BG16" s="259" t="n">
        <v>300</v>
      </c>
      <c r="BH16" s="13" t="inlineStr">
        <is>
          <t>Guided $300–350m (information row).</t>
        </is>
      </c>
    </row>
    <row r="17" ht="15" customHeight="1" s="251">
      <c r="B17" s="25" t="inlineStr">
        <is>
          <t xml:space="preserve">  Defense OEM sales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253" t="n">
        <v>529.9400000000001</v>
      </c>
      <c r="L17" s="253" t="n">
        <v>526.264</v>
      </c>
      <c r="M17" s="253" t="n">
        <v>131.263</v>
      </c>
      <c r="N17" s="253" t="n">
        <v>135.63</v>
      </c>
      <c r="O17" s="253" t="n">
        <v>117.204</v>
      </c>
      <c r="P17" s="253" t="n">
        <v>125.718</v>
      </c>
      <c r="Q17" s="253" t="n">
        <v>509.815</v>
      </c>
      <c r="R17" s="253" t="n">
        <v>105.375</v>
      </c>
      <c r="S17" s="253" t="n">
        <v>97.812</v>
      </c>
      <c r="T17" s="253" t="n">
        <v>115.205</v>
      </c>
      <c r="U17" s="253" t="n">
        <v>103.624</v>
      </c>
      <c r="V17" s="253" t="n">
        <v>422.016</v>
      </c>
      <c r="W17" s="253" t="n">
        <v>89.762</v>
      </c>
      <c r="X17" s="253" t="n">
        <v>87.807</v>
      </c>
      <c r="Y17" s="253" t="n">
        <v>101.008</v>
      </c>
      <c r="Z17" s="253" t="n">
        <v>90.07599999999999</v>
      </c>
      <c r="AA17" s="253" t="n">
        <v>368.653</v>
      </c>
      <c r="AB17" s="253" t="n">
        <v>93.425</v>
      </c>
      <c r="AC17" s="253" t="n">
        <v>91.017</v>
      </c>
      <c r="AD17" s="253" t="n">
        <v>96.557</v>
      </c>
      <c r="AE17" s="253" t="n">
        <v>125.811</v>
      </c>
      <c r="AF17" s="253" t="n">
        <v>406.81</v>
      </c>
      <c r="AG17" s="253" t="n">
        <v>112.782</v>
      </c>
      <c r="AH17" s="253" t="n">
        <v>137.928</v>
      </c>
      <c r="AI17" s="253" t="n">
        <v>150.358</v>
      </c>
      <c r="AJ17" s="253" t="n">
        <v>160.22</v>
      </c>
      <c r="AK17" s="253" t="n">
        <v>561.288</v>
      </c>
      <c r="AL17" s="253" t="n">
        <v>138.233</v>
      </c>
      <c r="AM17" s="253" t="n">
        <v>150.932</v>
      </c>
      <c r="AN17" s="253" t="n">
        <v>140.725</v>
      </c>
      <c r="AO17" s="254">
        <f>AJ17*(1+AO18)</f>
        <v>155.782560508694</v>
      </c>
      <c r="AP17" s="254">
        <f>SUM(AL17:AO17)</f>
        <v>585.672560508694</v>
      </c>
      <c r="AQ17" s="254">
        <f>AP17*(1+AQ18)</f>
        <v>626.669639744302</v>
      </c>
      <c r="AR17" s="254">
        <f>AQ17*(1+AR18)</f>
        <v>664.269818128961</v>
      </c>
      <c r="AS17" s="254">
        <f>AR17*(1+AS18)</f>
        <v>697.483309035409</v>
      </c>
      <c r="AT17" s="254">
        <f>AS17*(1+AT18)</f>
        <v>732.357474487179</v>
      </c>
      <c r="AU17" s="254">
        <f>AT17*(1+AU18)</f>
        <v>768.975348211538</v>
      </c>
      <c r="AV17" s="19" t="n"/>
      <c r="AX17" s="20">
        <f>IFERROR((AU17/AP17)^(1/5)-1,"n/m")</f>
        <v>0.0559698247423659</v>
      </c>
      <c r="AY17" s="20">
        <f>IFERROR((AK17/L17)^(1/5)-1,"n/m")</f>
        <v>0.0129696162251129</v>
      </c>
      <c r="AZ17" s="20" t="str">
        <f>IFERROR((AK17/G17)^(1/10)-1,"n/m")</f>
        <v>n/m</v>
      </c>
      <c r="BA17" s="20" t="str">
        <f>IFERROR((AK17/C17)^(1/14)-1,"n/m")</f>
        <v>n/m</v>
      </c>
      <c r="BD17" s="25" t="inlineStr">
        <is>
          <t xml:space="preserve">  Q4/26E share repurchases ($m)</t>
        </is>
      </c>
      <c r="BE17" s="259" t="n">
        <v>300</v>
      </c>
      <c r="BF17" s="259" t="n">
        <v>200</v>
      </c>
      <c r="BG17" s="259" t="n">
        <v>100</v>
      </c>
      <c r="BH17" s="13" t="inlineStr">
        <is>
          <t>9M FY26 $553.4m ($198m in Q3); $1,286m left on the $1.8bn 2026 Authorization at 30-Jun-2026.</t>
        </is>
      </c>
    </row>
    <row r="18" ht="15" customHeight="1" s="251">
      <c r="B18" s="22" t="inlineStr">
        <is>
          <t xml:space="preserve">    y/y %</t>
        </is>
      </c>
      <c r="C18" s="23" t="n"/>
      <c r="D18" s="255">
        <f>IF(AND(ISNUMBER(D17),ISNUMBER(C17)),IFERROR(D17/C17-1,""),"")</f>
      </c>
      <c r="E18" s="255">
        <f>IF(AND(ISNUMBER(E17),ISNUMBER(D17)),IFERROR(E17/D17-1,""),"")</f>
      </c>
      <c r="F18" s="255">
        <f>IF(AND(ISNUMBER(F17),ISNUMBER(E17)),IFERROR(F17/E17-1,""),"")</f>
      </c>
      <c r="G18" s="255">
        <f>IF(AND(ISNUMBER(G17),ISNUMBER(F17)),IFERROR(G17/F17-1,""),"")</f>
      </c>
      <c r="H18" s="255">
        <f>IF(AND(ISNUMBER(H17),ISNUMBER(G17)),IFERROR(H17/G17-1,""),"")</f>
      </c>
      <c r="I18" s="255">
        <f>IF(AND(ISNUMBER(I17),ISNUMBER(H17)),IFERROR(I17/H17-1,""),"")</f>
      </c>
      <c r="J18" s="255">
        <f>IF(AND(ISNUMBER(J17),ISNUMBER(I17)),IFERROR(J17/I17-1,""),"")</f>
      </c>
      <c r="K18" s="255">
        <f>IF(AND(ISNUMBER(K17),ISNUMBER(J17)),IFERROR(K17/J17-1,""),"")</f>
      </c>
      <c r="L18" s="255">
        <f>IF(AND(ISNUMBER(L17),ISNUMBER(K17)),IFERROR(L17/K17-1,""),"")</f>
        <v>-0.0069366343359627</v>
      </c>
      <c r="M18" s="23" t="n"/>
      <c r="N18" s="23" t="n"/>
      <c r="O18" s="23" t="n"/>
      <c r="P18" s="23" t="n"/>
      <c r="Q18" s="255">
        <f>IF(AND(ISNUMBER(Q17),ISNUMBER(L17)),IFERROR(Q17/L17-1,""),"")</f>
        <v>-0.0312561756076798</v>
      </c>
      <c r="R18" s="255">
        <f>IF(AND(ISNUMBER(R17),ISNUMBER(M17)),IFERROR(R17/M17-1,""),"")</f>
        <v>-0.197222370355698</v>
      </c>
      <c r="S18" s="255">
        <f>IF(AND(ISNUMBER(S17),ISNUMBER(N17)),IFERROR(S17/N17-1,""),"")</f>
        <v>-0.278832116788321</v>
      </c>
      <c r="T18" s="255">
        <f>IF(AND(ISNUMBER(T17),ISNUMBER(O17)),IFERROR(T17/O17-1,""),"")</f>
        <v>-0.0170557318862837</v>
      </c>
      <c r="U18" s="255">
        <f>IF(AND(ISNUMBER(U17),ISNUMBER(P17)),IFERROR(U17/P17-1,""),"")</f>
        <v>-0.175742534879651</v>
      </c>
      <c r="V18" s="255">
        <f>IF(AND(ISNUMBER(V17),ISNUMBER(Q17)),IFERROR(V17/Q17-1,""),"")</f>
        <v>-0.172217372968626</v>
      </c>
      <c r="W18" s="255">
        <f>IF(AND(ISNUMBER(W17),ISNUMBER(R17)),IFERROR(W17/R17-1,""),"")</f>
        <v>-0.148166073546857</v>
      </c>
      <c r="X18" s="255">
        <f>IF(AND(ISNUMBER(X17),ISNUMBER(S17)),IFERROR(X17/S17-1,""),"")</f>
        <v>-0.102288062814379</v>
      </c>
      <c r="Y18" s="255">
        <f>IF(AND(ISNUMBER(Y17),ISNUMBER(T17)),IFERROR(Y17/T17-1,""),"")</f>
        <v>-0.123232498589471</v>
      </c>
      <c r="Z18" s="255">
        <f>IF(AND(ISNUMBER(Z17),ISNUMBER(U17)),IFERROR(Z17/U17-1,""),"")</f>
        <v>-0.130741913070331</v>
      </c>
      <c r="AA18" s="255">
        <f>IF(AND(ISNUMBER(AA17),ISNUMBER(V17)),IFERROR(AA17/V17-1,""),"")</f>
        <v>-0.126447812405217</v>
      </c>
      <c r="AB18" s="255">
        <f>IF(AND(ISNUMBER(AB17),ISNUMBER(W17)),IFERROR(AB17/W17-1,""),"")</f>
        <v>0.0408079142621598</v>
      </c>
      <c r="AC18" s="255">
        <f>IF(AND(ISNUMBER(AC17),ISNUMBER(X17)),IFERROR(AC17/X17-1,""),"")</f>
        <v>0.0365574498616283</v>
      </c>
      <c r="AD18" s="255">
        <f>IF(AND(ISNUMBER(AD17),ISNUMBER(Y17)),IFERROR(AD17/Y17-1,""),"")</f>
        <v>-0.0440658165689846</v>
      </c>
      <c r="AE18" s="255">
        <f>IF(AND(ISNUMBER(AE17),ISNUMBER(Z17)),IFERROR(AE17/Z17-1,""),"")</f>
        <v>0.396720547093566</v>
      </c>
      <c r="AF18" s="255">
        <f>IF(AND(ISNUMBER(AF17),ISNUMBER(AA17)),IFERROR(AF17/AA17-1,""),"")</f>
        <v>0.103503836941514</v>
      </c>
      <c r="AG18" s="255">
        <f>IF(AND(ISNUMBER(AG17),ISNUMBER(AB17)),IFERROR(AG17/AB17-1,""),"")</f>
        <v>0.207192935509767</v>
      </c>
      <c r="AH18" s="255">
        <f>IF(AND(ISNUMBER(AH17),ISNUMBER(AC17)),IFERROR(AH17/AC17-1,""),"")</f>
        <v>0.515409209268598</v>
      </c>
      <c r="AI18" s="255">
        <f>IF(AND(ISNUMBER(AI17),ISNUMBER(AD17)),IFERROR(AI17/AD17-1,""),"")</f>
        <v>0.557194196174281</v>
      </c>
      <c r="AJ18" s="255">
        <f>IF(AND(ISNUMBER(AJ17),ISNUMBER(AE17)),IFERROR(AJ17/AE17-1,""),"")</f>
        <v>0.273497547909165</v>
      </c>
      <c r="AK18" s="255">
        <f>IF(AND(ISNUMBER(AK17),ISNUMBER(AF17)),IFERROR(AK17/AF17-1,""),"")</f>
        <v>0.379730095130405</v>
      </c>
      <c r="AL18" s="255">
        <f>IF(AND(ISNUMBER(AL17),ISNUMBER(AG17)),IFERROR(AL17/AG17-1,""),"")</f>
        <v>0.225665443067156</v>
      </c>
      <c r="AM18" s="255">
        <f>IF(AND(ISNUMBER(AM17),ISNUMBER(AH17)),IFERROR(AM17/AH17-1,""),"")</f>
        <v>0.094281074183632</v>
      </c>
      <c r="AN18" s="255">
        <f>IF(AND(ISNUMBER(AN17),ISNUMBER(AI17)),IFERROR(AN17/AI17-1,""),"")</f>
        <v>-0.0640670932042193</v>
      </c>
      <c r="AO18" s="256">
        <f>AO19+$AO$109</f>
        <v>-0.0276959149376245</v>
      </c>
      <c r="AP18" s="256">
        <f>IF(AND(ISNUMBER(AP17),ISNUMBER(AK17)),IFERROR(AP17/AK17-1,""),"")</f>
        <v>0.0434439369961477</v>
      </c>
      <c r="AQ18" s="256">
        <f>CHOOSE(MATCH($AV$2,{"Bull","Base","Bear"},0),$BE$46,$BF$46,$BG$46)</f>
        <v>0.07</v>
      </c>
      <c r="AR18" s="256">
        <f>CHOOSE(MATCH($AV$2,{"Bull","Base","Bear"},0),$BE$47,$BF$47,$BG$47)</f>
        <v>0.06</v>
      </c>
      <c r="AS18" s="256">
        <f>CHOOSE(MATCH($AV$2,{"Bull","Base","Bear"},0),$BE$48,$BF$48,$BG$48)</f>
        <v>0.05</v>
      </c>
      <c r="AT18" s="256">
        <f>CHOOSE(MATCH($AV$2,{"Bull","Base","Bear"},0),$BE$49,$BF$49,$BG$49)</f>
        <v>0.05</v>
      </c>
      <c r="AU18" s="256">
        <f>CHOOSE(MATCH($AV$2,{"Bull","Base","Bear"},0),$BE$50,$BF$50,$BG$50)</f>
        <v>0.05</v>
      </c>
      <c r="AV18" s="153" t="n"/>
    </row>
    <row r="19" ht="15" customHeight="1" s="251">
      <c r="B19" s="25" t="inlineStr">
        <is>
          <t xml:space="preserve">    Q4/26E growth before sales calibration (9M FY26 y/y)</t>
        </is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256">
        <f>IFERROR(SUM(AL17:AN17)/SUM(AG17:AI17)-1,0)</f>
        <v>0.071863125455035</v>
      </c>
      <c r="AP19" s="24" t="n"/>
      <c r="AQ19" s="46" t="n"/>
      <c r="AR19" s="46" t="n"/>
      <c r="AS19" s="46" t="n"/>
      <c r="AT19" s="46" t="n"/>
      <c r="AU19" s="46" t="n"/>
      <c r="AV19" s="19" t="n"/>
      <c r="BD19" s="15" t="inlineStr">
        <is>
          <t>Q4/26E and FY26 point estimates (all cases)</t>
        </is>
      </c>
      <c r="BE19" s="21" t="n"/>
      <c r="BF19" s="21" t="n"/>
      <c r="BG19" s="21" t="n"/>
    </row>
    <row r="20" ht="15" customHeight="1" s="251">
      <c r="B20" s="25" t="inlineStr">
        <is>
          <t xml:space="preserve">  Defense services (aftermarket) sales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253" t="n">
        <v>193.449</v>
      </c>
      <c r="L20" s="253" t="n">
        <v>230.55</v>
      </c>
      <c r="M20" s="253" t="n">
        <v>48.808</v>
      </c>
      <c r="N20" s="253" t="n">
        <v>49.59</v>
      </c>
      <c r="O20" s="253" t="n">
        <v>51.91</v>
      </c>
      <c r="P20" s="253" t="n">
        <v>50.904</v>
      </c>
      <c r="Q20" s="253" t="n">
        <v>201.212</v>
      </c>
      <c r="R20" s="253" t="n">
        <v>40.148</v>
      </c>
      <c r="S20" s="253" t="n">
        <v>43.502</v>
      </c>
      <c r="T20" s="253" t="n">
        <v>45.844</v>
      </c>
      <c r="U20" s="253" t="n">
        <v>47.493</v>
      </c>
      <c r="V20" s="253" t="n">
        <v>176.987</v>
      </c>
      <c r="W20" s="253" t="n">
        <v>40.405</v>
      </c>
      <c r="X20" s="253" t="n">
        <v>50.494</v>
      </c>
      <c r="Y20" s="253" t="n">
        <v>53.832</v>
      </c>
      <c r="Z20" s="253" t="n">
        <v>55.819</v>
      </c>
      <c r="AA20" s="253" t="n">
        <v>200.55</v>
      </c>
      <c r="AB20" s="253" t="n">
        <v>58.433</v>
      </c>
      <c r="AC20" s="253" t="n">
        <v>59.092</v>
      </c>
      <c r="AD20" s="253" t="n">
        <v>65.58799999999999</v>
      </c>
      <c r="AE20" s="253" t="n">
        <v>59.478</v>
      </c>
      <c r="AF20" s="253" t="n">
        <v>242.591</v>
      </c>
      <c r="AG20" s="253" t="n">
        <v>63.174</v>
      </c>
      <c r="AH20" s="253" t="n">
        <v>54.479</v>
      </c>
      <c r="AI20" s="253" t="n">
        <v>54.955</v>
      </c>
      <c r="AJ20" s="253" t="n">
        <v>64.401</v>
      </c>
      <c r="AK20" s="253" t="n">
        <v>237.009</v>
      </c>
      <c r="AL20" s="253" t="n">
        <v>63.819</v>
      </c>
      <c r="AM20" s="253" t="n">
        <v>59</v>
      </c>
      <c r="AN20" s="253" t="n">
        <v>65.70099999999999</v>
      </c>
      <c r="AO20" s="254">
        <f>AJ20*(1+AO21)</f>
        <v>63.9261534955121</v>
      </c>
      <c r="AP20" s="254">
        <f>SUM(AL20:AO20)</f>
        <v>252.446153495512</v>
      </c>
      <c r="AQ20" s="254">
        <f>AP20*(1+AQ21)</f>
        <v>265.068461170288</v>
      </c>
      <c r="AR20" s="254">
        <f>AQ20*(1+AR21)</f>
        <v>278.321884228802</v>
      </c>
      <c r="AS20" s="254">
        <f>AR20*(1+AS21)</f>
        <v>289.454759597954</v>
      </c>
      <c r="AT20" s="254">
        <f>AS20*(1+AT21)</f>
        <v>301.032949981872</v>
      </c>
      <c r="AU20" s="254">
        <f>AT20*(1+AU21)</f>
        <v>313.074267981147</v>
      </c>
      <c r="AV20" s="19" t="n"/>
      <c r="AX20" s="20">
        <f>IFERROR((AU20/AP20)^(1/5)-1,"n/m")</f>
        <v>0.0439885203427783</v>
      </c>
      <c r="AY20" s="20">
        <f>IFERROR((AK20/L20)^(1/5)-1,"n/m")</f>
        <v>0.00554136818519946</v>
      </c>
      <c r="AZ20" s="20" t="str">
        <f>IFERROR((AK20/G20)^(1/10)-1,"n/m")</f>
        <v>n/m</v>
      </c>
      <c r="BA20" s="20" t="str">
        <f>IFERROR((AK20/C20)^(1/14)-1,"n/m")</f>
        <v>n/m</v>
      </c>
      <c r="BD20" s="25" t="inlineStr">
        <is>
          <t xml:space="preserve">  Q4/26E interest expense ($m)</t>
        </is>
      </c>
      <c r="BF20" s="260" t="n">
        <v>15.5</v>
      </c>
      <c r="BH20" s="13" t="inlineStr">
        <is>
          <t>Not guided; Q3 $14.8m; full quarter of the $250m term loan and the revolver (~$1.35bn debt at ~4.6%).</t>
        </is>
      </c>
    </row>
    <row r="21" ht="15" customHeight="1" s="251">
      <c r="B21" s="22" t="inlineStr">
        <is>
          <t xml:space="preserve">    y/y %</t>
        </is>
      </c>
      <c r="C21" s="23" t="n"/>
      <c r="D21" s="255">
        <f>IF(AND(ISNUMBER(D20),ISNUMBER(C20)),IFERROR(D20/C20-1,""),"")</f>
      </c>
      <c r="E21" s="255">
        <f>IF(AND(ISNUMBER(E20),ISNUMBER(D20)),IFERROR(E20/D20-1,""),"")</f>
      </c>
      <c r="F21" s="255">
        <f>IF(AND(ISNUMBER(F20),ISNUMBER(E20)),IFERROR(F20/E20-1,""),"")</f>
      </c>
      <c r="G21" s="255">
        <f>IF(AND(ISNUMBER(G20),ISNUMBER(F20)),IFERROR(G20/F20-1,""),"")</f>
      </c>
      <c r="H21" s="255">
        <f>IF(AND(ISNUMBER(H20),ISNUMBER(G20)),IFERROR(H20/G20-1,""),"")</f>
      </c>
      <c r="I21" s="255">
        <f>IF(AND(ISNUMBER(I20),ISNUMBER(H20)),IFERROR(I20/H20-1,""),"")</f>
      </c>
      <c r="J21" s="255">
        <f>IF(AND(ISNUMBER(J20),ISNUMBER(I20)),IFERROR(J20/I20-1,""),"")</f>
      </c>
      <c r="K21" s="255">
        <f>IF(AND(ISNUMBER(K20),ISNUMBER(J20)),IFERROR(K20/J20-1,""),"")</f>
      </c>
      <c r="L21" s="255">
        <f>IF(AND(ISNUMBER(L20),ISNUMBER(K20)),IFERROR(L20/K20-1,""),"")</f>
        <v>0.191786982615573</v>
      </c>
      <c r="M21" s="23" t="n"/>
      <c r="N21" s="23" t="n"/>
      <c r="O21" s="23" t="n"/>
      <c r="P21" s="23" t="n"/>
      <c r="Q21" s="255">
        <f>IF(AND(ISNUMBER(Q20),ISNUMBER(L20)),IFERROR(Q20/L20-1,""),"")</f>
        <v>-0.127252222945131</v>
      </c>
      <c r="R21" s="255">
        <f>IF(AND(ISNUMBER(R20),ISNUMBER(M20)),IFERROR(R20/M20-1,""),"")</f>
        <v>-0.177429929519751</v>
      </c>
      <c r="S21" s="255">
        <f>IF(AND(ISNUMBER(S20),ISNUMBER(N20)),IFERROR(S20/N20-1,""),"")</f>
        <v>-0.122766686832023</v>
      </c>
      <c r="T21" s="255">
        <f>IF(AND(ISNUMBER(T20),ISNUMBER(O20)),IFERROR(T20/O20-1,""),"")</f>
        <v>-0.116856097091119</v>
      </c>
      <c r="U21" s="255">
        <f>IF(AND(ISNUMBER(U20),ISNUMBER(P20)),IFERROR(U20/P20-1,""),"")</f>
        <v>-0.067008486562942</v>
      </c>
      <c r="V21" s="255">
        <f>IF(AND(ISNUMBER(V20),ISNUMBER(Q20)),IFERROR(V20/Q20-1,""),"")</f>
        <v>-0.120395403852653</v>
      </c>
      <c r="W21" s="255">
        <f>IF(AND(ISNUMBER(W20),ISNUMBER(R20)),IFERROR(W20/R20-1,""),"")</f>
        <v>0.0064013151340041</v>
      </c>
      <c r="X21" s="255">
        <f>IF(AND(ISNUMBER(X20),ISNUMBER(S20)),IFERROR(X20/S20-1,""),"")</f>
        <v>0.160728242379661</v>
      </c>
      <c r="Y21" s="255">
        <f>IF(AND(ISNUMBER(Y20),ISNUMBER(T20)),IFERROR(Y20/T20-1,""),"")</f>
        <v>0.174243085245616</v>
      </c>
      <c r="Z21" s="255">
        <f>IF(AND(ISNUMBER(Z20),ISNUMBER(U20)),IFERROR(Z20/U20-1,""),"")</f>
        <v>0.175310045690944</v>
      </c>
      <c r="AA21" s="255">
        <f>IF(AND(ISNUMBER(AA20),ISNUMBER(V20)),IFERROR(AA20/V20-1,""),"")</f>
        <v>0.133134071993988</v>
      </c>
      <c r="AB21" s="255">
        <f>IF(AND(ISNUMBER(AB20),ISNUMBER(W20)),IFERROR(AB20/W20-1,""),"")</f>
        <v>0.446182403167925</v>
      </c>
      <c r="AC21" s="255">
        <f>IF(AND(ISNUMBER(AC20),ISNUMBER(X20)),IFERROR(AC20/X20-1,""),"")</f>
        <v>0.170277656751297</v>
      </c>
      <c r="AD21" s="255">
        <f>IF(AND(ISNUMBER(AD20),ISNUMBER(Y20)),IFERROR(AD20/Y20-1,""),"")</f>
        <v>0.21838311784812</v>
      </c>
      <c r="AE21" s="255">
        <f>IF(AND(ISNUMBER(AE20),ISNUMBER(Z20)),IFERROR(AE20/Z20-1,""),"")</f>
        <v>0.0655511564162741</v>
      </c>
      <c r="AF21" s="255">
        <f>IF(AND(ISNUMBER(AF20),ISNUMBER(AA20)),IFERROR(AF20/AA20-1,""),"")</f>
        <v>0.209628521565694</v>
      </c>
      <c r="AG21" s="255">
        <f>IF(AND(ISNUMBER(AG20),ISNUMBER(AB20)),IFERROR(AG20/AB20-1,""),"")</f>
        <v>0.0811356596443791</v>
      </c>
      <c r="AH21" s="255">
        <f>IF(AND(ISNUMBER(AH20),ISNUMBER(AC20)),IFERROR(AH20/AC20-1,""),"")</f>
        <v>-0.0780647126514588</v>
      </c>
      <c r="AI21" s="255">
        <f>IF(AND(ISNUMBER(AI20),ISNUMBER(AD20)),IFERROR(AI20/AD20-1,""),"")</f>
        <v>-0.162118070378728</v>
      </c>
      <c r="AJ21" s="255">
        <f>IF(AND(ISNUMBER(AJ20),ISNUMBER(AE20)),IFERROR(AJ20/AE20-1,""),"")</f>
        <v>0.082770099868859</v>
      </c>
      <c r="AK21" s="255">
        <f>IF(AND(ISNUMBER(AK20),ISNUMBER(AF20)),IFERROR(AK20/AF20-1,""),"")</f>
        <v>-0.0230099220498701</v>
      </c>
      <c r="AL21" s="255">
        <f>IF(AND(ISNUMBER(AL20),ISNUMBER(AG20)),IFERROR(AL20/AG20-1,""),"")</f>
        <v>0.0102098964763986</v>
      </c>
      <c r="AM21" s="255">
        <f>IF(AND(ISNUMBER(AM20),ISNUMBER(AH20)),IFERROR(AM20/AH20-1,""),"")</f>
        <v>0.0829861047376053</v>
      </c>
      <c r="AN21" s="255">
        <f>IF(AND(ISNUMBER(AN20),ISNUMBER(AI20)),IFERROR(AN20/AI20-1,""),"")</f>
        <v>0.195541806932945</v>
      </c>
      <c r="AO21" s="256">
        <f>AO22+$AO$109</f>
        <v>-0.00737327843492892</v>
      </c>
      <c r="AP21" s="256">
        <f>IF(AND(ISNUMBER(AP20),ISNUMBER(AK20)),IFERROR(AP20/AK20-1,""),"")</f>
        <v>0.0651331953449539</v>
      </c>
      <c r="AQ21" s="256">
        <f>CHOOSE(MATCH($AV$2,{"Bull","Base","Bear"},0),$BE$52,$BF$52,$BG$52)</f>
        <v>0.05</v>
      </c>
      <c r="AR21" s="256">
        <f>CHOOSE(MATCH($AV$2,{"Bull","Base","Bear"},0),$BE$53,$BF$53,$BG$53)</f>
        <v>0.05</v>
      </c>
      <c r="AS21" s="256">
        <f>CHOOSE(MATCH($AV$2,{"Bull","Base","Bear"},0),$BE$54,$BF$54,$BG$54)</f>
        <v>0.04</v>
      </c>
      <c r="AT21" s="256">
        <f>CHOOSE(MATCH($AV$2,{"Bull","Base","Bear"},0),$BE$55,$BF$55,$BG$55)</f>
        <v>0.04</v>
      </c>
      <c r="AU21" s="256">
        <f>CHOOSE(MATCH($AV$2,{"Bull","Base","Bear"},0),$BE$56,$BF$56,$BG$56)</f>
        <v>0.04</v>
      </c>
      <c r="AV21" s="153" t="n"/>
      <c r="BD21" s="25" t="inlineStr">
        <is>
          <t xml:space="preserve">  Q4/26E interest income ($m)</t>
        </is>
      </c>
      <c r="BF21" s="260" t="n">
        <v>0.6</v>
      </c>
      <c r="BH21" s="13" t="inlineStr">
        <is>
          <t>Q3 $0.6m.</t>
        </is>
      </c>
    </row>
    <row r="22" ht="15" customHeight="1" s="251">
      <c r="B22" s="25" t="inlineStr">
        <is>
          <t xml:space="preserve">    Q4/26E growth before sales calibration (9M FY26 y/y)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256">
        <f>IFERROR(SUM(AL20:AN20)/SUM(AG20:AI20)-1,0)</f>
        <v>0.0921857619577307</v>
      </c>
      <c r="AP22" s="24" t="n"/>
      <c r="AQ22" s="46" t="n"/>
      <c r="AR22" s="46" t="n"/>
      <c r="AS22" s="46" t="n"/>
      <c r="AT22" s="46" t="n"/>
      <c r="AU22" s="46" t="n"/>
      <c r="AV22" s="19" t="n"/>
      <c r="BD22" s="25" t="inlineStr">
        <is>
          <t xml:space="preserve">  Q4/26E other income, net ($m)</t>
        </is>
      </c>
      <c r="BF22" s="260" t="n">
        <v>20</v>
      </c>
      <c r="BH22" s="13" t="inlineStr">
        <is>
          <t>9M FY26 $60.3m (~$20m a quarter; no divestiture gains).</t>
        </is>
      </c>
    </row>
    <row r="23" ht="15" customHeight="1" s="251">
      <c r="B23" s="16" t="inlineStr">
        <is>
          <t xml:space="preserve">  Aerospace — segment net sales</t>
        </is>
      </c>
      <c r="C23" s="261">
        <f>IF(ISNUMBER(C11),C11+C14+C17+C20,C27)</f>
        <v>843.032</v>
      </c>
      <c r="D23" s="261">
        <f>IF(ISNUMBER(D11),D11+D14+D17+D20,D27)</f>
        <v>896.083</v>
      </c>
      <c r="E23" s="261">
        <f>IF(ISNUMBER(E11),E11+E14+E17+E20,E27)</f>
        <v>1061.477</v>
      </c>
      <c r="F23" s="261">
        <f>IF(ISNUMBER(F11),F11+F14+F17+F20,F27)</f>
        <v>1084.025</v>
      </c>
      <c r="G23" s="261">
        <f>IF(ISNUMBER(G11),G11+G14+G17+G20,G27)</f>
        <v>1160.883</v>
      </c>
      <c r="H23" s="261">
        <f>IF(ISNUMBER(H11),H11+H14+H17+H20,H27)</f>
        <v>1233.176</v>
      </c>
      <c r="I23" s="261">
        <f>IF(ISNUMBER(I11),I11+I14+I17+I20,I27)</f>
        <v>1342.339</v>
      </c>
      <c r="J23" s="261">
        <f>IF(ISNUMBER(J11),J11+J14+J17+J20,J27)</f>
        <v>1557.988</v>
      </c>
      <c r="K23" s="261">
        <f>IF(ISNUMBER(K11),K11+K14+K17+K20,K27)</f>
        <v>1880.52</v>
      </c>
      <c r="L23" s="261">
        <f>IF(ISNUMBER(L11),L11+L14+L17+L20,L27)</f>
        <v>1590.963</v>
      </c>
      <c r="M23" s="261">
        <f>IF(ISNUMBER(M11),M11+M14+M17+M20,M27)</f>
        <v>321.667</v>
      </c>
      <c r="N23" s="261">
        <f>IF(ISNUMBER(N11),N11+N14+N17+N20,N27)</f>
        <v>364.706</v>
      </c>
      <c r="O23" s="261">
        <f>IF(ISNUMBER(O11),O11+O14+O17+O20,O27)</f>
        <v>340.912</v>
      </c>
      <c r="P23" s="261">
        <f>IF(ISNUMBER(P11),P11+P14+P17+P20,P27)</f>
        <v>376.832</v>
      </c>
      <c r="Q23" s="261">
        <f>IF(ISNUMBER(Q11),Q11+Q14+Q17+Q20,Q27)</f>
        <v>1404.117</v>
      </c>
      <c r="R23" s="261">
        <f>IF(ISNUMBER(R11),R11+R14+R17+R20,R27)</f>
        <v>336.435</v>
      </c>
      <c r="S23" s="261">
        <f>IF(ISNUMBER(S11),S11+S14+S17+S20,S27)</f>
        <v>372.757</v>
      </c>
      <c r="T23" s="261">
        <f>IF(ISNUMBER(T11),T11+T14+T17+T20,T27)</f>
        <v>401.712</v>
      </c>
      <c r="U23" s="261">
        <f>IF(ISNUMBER(U11),U11+U14+U17+U20,U27)</f>
        <v>408.418</v>
      </c>
      <c r="V23" s="261">
        <f>IF(ISNUMBER(V11),V11+V14+V17+V20,V27)</f>
        <v>1519.322</v>
      </c>
      <c r="W23" s="261">
        <f>IF(ISNUMBER(W11),W11+W14+W17+W20,W27)</f>
        <v>395.685</v>
      </c>
      <c r="X23" s="261">
        <f>IF(ISNUMBER(X11),X11+X14+X17+X20,X27)</f>
        <v>437.017</v>
      </c>
      <c r="Y23" s="261">
        <f>IF(ISNUMBER(Y11),Y11+Y14+Y17+Y20,Y27)</f>
        <v>480.531</v>
      </c>
      <c r="Z23" s="261">
        <f>IF(ISNUMBER(Z11),Z11+Z14+Z17+Z20,Z27)</f>
        <v>454.87</v>
      </c>
      <c r="AA23" s="261">
        <f>IF(ISNUMBER(AA11),AA11+AA14+AA17+AA20,AA27)</f>
        <v>1768.103</v>
      </c>
      <c r="AB23" s="261">
        <f>IF(ISNUMBER(AB11),AB11+AB14+AB17+AB20,AB27)</f>
        <v>460.756</v>
      </c>
      <c r="AC23" s="261">
        <f>IF(ISNUMBER(AC11),AC11+AC14+AC17+AC20,AC27)</f>
        <v>497.512</v>
      </c>
      <c r="AD23" s="261">
        <f>IF(ISNUMBER(AD11),AD11+AD14+AD17+AD20,AD27)</f>
        <v>517.56</v>
      </c>
      <c r="AE23" s="261">
        <f>IF(ISNUMBER(AE11),AE11+AE14+AE17+AE20,AE27)</f>
        <v>552.79</v>
      </c>
      <c r="AF23" s="261">
        <f>IF(ISNUMBER(AF11),AF11+AF14+AF17+AF20,AF27)</f>
        <v>2028.618</v>
      </c>
      <c r="AG23" s="261">
        <f>IF(ISNUMBER(AG11),AG11+AG14+AG17+AG20,AG27)</f>
        <v>493.882</v>
      </c>
      <c r="AH23" s="261">
        <f>IF(ISNUMBER(AH11),AH11+AH14+AH17+AH20,AH27)</f>
        <v>561.729</v>
      </c>
      <c r="AI23" s="261">
        <f>IF(ISNUMBER(AI11),AI11+AI14+AI17+AI20,AI27)</f>
        <v>595.99</v>
      </c>
      <c r="AJ23" s="261">
        <f>IF(ISNUMBER(AJ11),AJ11+AJ14+AJ17+AJ20,AJ27)</f>
        <v>661.205</v>
      </c>
      <c r="AK23" s="261">
        <f>IF(ISNUMBER(AK11),AK11+AK14+AK17+AK20,AK27)</f>
        <v>2312.806</v>
      </c>
      <c r="AL23" s="261">
        <f>IF(ISNUMBER(AL11),AL11+AL14+AL17+AL20,AL27)</f>
        <v>634.897</v>
      </c>
      <c r="AM23" s="261">
        <f>IF(ISNUMBER(AM11),AM11+AM14+AM17+AM20,AM27)</f>
        <v>703.321</v>
      </c>
      <c r="AN23" s="261">
        <f>IF(ISNUMBER(AN11),AN11+AN14+AN17+AN20,AN27)</f>
        <v>708.673</v>
      </c>
      <c r="AO23" s="262">
        <f>AO11+AO14+AO17+AO20</f>
        <v>755.279558813582</v>
      </c>
      <c r="AP23" s="262">
        <f>AP11+AP14+AP17+AP20</f>
        <v>2802.17055881358</v>
      </c>
      <c r="AQ23" s="262">
        <f>AQ11+AQ14+AQ17+AQ20</f>
        <v>3076.1221027536</v>
      </c>
      <c r="AR23" s="262">
        <f>AR11+AR14+AR17+AR20</f>
        <v>3331.52658818569</v>
      </c>
      <c r="AS23" s="262">
        <f>AS11+AS14+AS17+AS20</f>
        <v>3565.15051771218</v>
      </c>
      <c r="AT23" s="262">
        <f>AT11+AT14+AT17+AT20</f>
        <v>3778.31402656999</v>
      </c>
      <c r="AU23" s="262">
        <f>AU11+AU14+AU17+AU20</f>
        <v>3991.66863441968</v>
      </c>
      <c r="AV23" s="153" t="inlineStr">
        <is>
          <t>History: Σ primary markets where published, otherwise segment net sales as reported.</t>
        </is>
      </c>
      <c r="AX23" s="20">
        <f>IFERROR((AU23/AP23)^(1/5)-1,"n/m")</f>
        <v>0.073326823952957</v>
      </c>
      <c r="AY23" s="20">
        <f>IFERROR((AK23/L23)^(1/5)-1,"n/m")</f>
        <v>0.0776948937833144</v>
      </c>
      <c r="AZ23" s="20">
        <f>IFERROR((AK23/G23)^(1/10)-1,"n/m")</f>
        <v>0.0713591310354955</v>
      </c>
      <c r="BA23" s="20">
        <f>IFERROR((AK23/C23)^(1/14)-1,"n/m")</f>
        <v>0.0747483724065881</v>
      </c>
      <c r="BD23" s="25" t="inlineStr">
        <is>
          <t xml:space="preserve">  Q4/26E amortization of intangibles ($m)</t>
        </is>
      </c>
      <c r="BF23" s="260" t="n">
        <v>8.448</v>
      </c>
      <c r="BH23" s="13" t="inlineStr">
        <is>
          <t>Q3 FY26 10-Q schedule: $8.4m remaining in FY26.</t>
        </is>
      </c>
    </row>
    <row r="24" ht="15" customHeight="1" s="251">
      <c r="B24" s="22" t="inlineStr">
        <is>
          <t xml:space="preserve">  Segment sales y/y %</t>
        </is>
      </c>
      <c r="C24" s="23" t="n"/>
      <c r="D24" s="255">
        <f>IF(AND(ISNUMBER(D23),ISNUMBER(C23)),IFERROR(D23/C23-1,""),"")</f>
        <v>0.0629288093453153</v>
      </c>
      <c r="E24" s="255">
        <f>IF(AND(ISNUMBER(E23),ISNUMBER(D23)),IFERROR(E23/D23-1,""),"")</f>
        <v>0.184574420003504</v>
      </c>
      <c r="F24" s="255">
        <f>IF(AND(ISNUMBER(F23),ISNUMBER(E23)),IFERROR(F23/E23-1,""),"")</f>
        <v>0.02124209945199</v>
      </c>
      <c r="G24" s="255">
        <f>IF(AND(ISNUMBER(G23),ISNUMBER(F23)),IFERROR(G23/F23-1,""),"")</f>
        <v>0.0709005788611885</v>
      </c>
      <c r="H24" s="255">
        <f>IF(AND(ISNUMBER(H23),ISNUMBER(G23)),IFERROR(H23/G23-1,""),"")</f>
        <v>0.0622741482130411</v>
      </c>
      <c r="I24" s="255">
        <f>IF(AND(ISNUMBER(I23),ISNUMBER(H23)),IFERROR(I23/H23-1,""),"")</f>
        <v>0.08852183305546</v>
      </c>
      <c r="J24" s="255">
        <f>IF(AND(ISNUMBER(J23),ISNUMBER(I23)),IFERROR(J23/I23-1,""),"")</f>
        <v>0.160651668468248</v>
      </c>
      <c r="K24" s="255">
        <f>IF(AND(ISNUMBER(K23),ISNUMBER(J23)),IFERROR(K23/J23-1,""),"")</f>
        <v>0.207018282554166</v>
      </c>
      <c r="L24" s="255">
        <f>IF(AND(ISNUMBER(L23),ISNUMBER(K23)),IFERROR(L23/K23-1,""),"")</f>
        <v>-0.153977091442792</v>
      </c>
      <c r="M24" s="23" t="n"/>
      <c r="N24" s="23" t="n"/>
      <c r="O24" s="23" t="n"/>
      <c r="P24" s="23" t="n"/>
      <c r="Q24" s="255">
        <f>IF(AND(ISNUMBER(Q23),ISNUMBER(L23)),IFERROR(Q23/L23-1,""),"")</f>
        <v>-0.117442077534173</v>
      </c>
      <c r="R24" s="255">
        <f>IF(AND(ISNUMBER(R23),ISNUMBER(M23)),IFERROR(R23/M23-1,""),"")</f>
        <v>0.0459108332530225</v>
      </c>
      <c r="S24" s="255">
        <f>IF(AND(ISNUMBER(S23),ISNUMBER(N23)),IFERROR(S23/N23-1,""),"")</f>
        <v>0.0220753154595756</v>
      </c>
      <c r="T24" s="255">
        <f>IF(AND(ISNUMBER(T23),ISNUMBER(O23)),IFERROR(T23/O23-1,""),"")</f>
        <v>0.178345144788098</v>
      </c>
      <c r="U24" s="255">
        <f>IF(AND(ISNUMBER(U23),ISNUMBER(P23)),IFERROR(U23/P23-1,""),"")</f>
        <v>0.0838198454483694</v>
      </c>
      <c r="V24" s="255">
        <f>IF(AND(ISNUMBER(V23),ISNUMBER(Q23)),IFERROR(V23/Q23-1,""),"")</f>
        <v>0.0820480059710125</v>
      </c>
      <c r="W24" s="255">
        <f>IF(AND(ISNUMBER(W23),ISNUMBER(R23)),IFERROR(W23/R23-1,""),"")</f>
        <v>0.176111284497749</v>
      </c>
      <c r="X24" s="255">
        <f>IF(AND(ISNUMBER(X23),ISNUMBER(S23)),IFERROR(X23/S23-1,""),"")</f>
        <v>0.172391128805093</v>
      </c>
      <c r="Y24" s="255">
        <f>IF(AND(ISNUMBER(Y23),ISNUMBER(T23)),IFERROR(Y23/T23-1,""),"")</f>
        <v>0.196207730911698</v>
      </c>
      <c r="Z24" s="255">
        <f>IF(AND(ISNUMBER(Z23),ISNUMBER(U23)),IFERROR(Z23/U23-1,""),"")</f>
        <v>0.113736417102087</v>
      </c>
      <c r="AA24" s="255">
        <f>IF(AND(ISNUMBER(AA23),ISNUMBER(V23)),IFERROR(AA23/V23-1,""),"")</f>
        <v>0.163744749302649</v>
      </c>
      <c r="AB24" s="255">
        <f>IF(AND(ISNUMBER(AB23),ISNUMBER(W23)),IFERROR(AB23/W23-1,""),"")</f>
        <v>0.164451520780419</v>
      </c>
      <c r="AC24" s="255">
        <f>IF(AND(ISNUMBER(AC23),ISNUMBER(X23)),IFERROR(AC23/X23-1,""),"")</f>
        <v>0.13842710924289</v>
      </c>
      <c r="AD24" s="255">
        <f>IF(AND(ISNUMBER(AD23),ISNUMBER(Y23)),IFERROR(AD23/Y23-1,""),"")</f>
        <v>0.0770585040299168</v>
      </c>
      <c r="AE24" s="255">
        <f>IF(AND(ISNUMBER(AE23),ISNUMBER(Z23)),IFERROR(AE23/Z23-1,""),"")</f>
        <v>0.215270297007936</v>
      </c>
      <c r="AF24" s="255">
        <f>IF(AND(ISNUMBER(AF23),ISNUMBER(AA23)),IFERROR(AF23/AA23-1,""),"")</f>
        <v>0.147341529311358</v>
      </c>
      <c r="AG24" s="255">
        <f>IF(AND(ISNUMBER(AG23),ISNUMBER(AB23)),IFERROR(AG23/AB23-1,""),"")</f>
        <v>0.0718948857963866</v>
      </c>
      <c r="AH24" s="255">
        <f>IF(AND(ISNUMBER(AH23),ISNUMBER(AC23)),IFERROR(AH23/AC23-1,""),"")</f>
        <v>0.12907628358713</v>
      </c>
      <c r="AI24" s="255">
        <f>IF(AND(ISNUMBER(AI23),ISNUMBER(AD23)),IFERROR(AI23/AD23-1,""),"")</f>
        <v>0.151537985933998</v>
      </c>
      <c r="AJ24" s="255">
        <f>IF(AND(ISNUMBER(AJ23),ISNUMBER(AE23)),IFERROR(AJ23/AE23-1,""),"")</f>
        <v>0.196123301796342</v>
      </c>
      <c r="AK24" s="255">
        <f>IF(AND(ISNUMBER(AK23),ISNUMBER(AF23)),IFERROR(AK23/AF23-1,""),"")</f>
        <v>0.140089459918033</v>
      </c>
      <c r="AL24" s="255">
        <f>IF(AND(ISNUMBER(AL23),ISNUMBER(AG23)),IFERROR(AL23/AG23-1,""),"")</f>
        <v>0.285523667596713</v>
      </c>
      <c r="AM24" s="255">
        <f>IF(AND(ISNUMBER(AM23),ISNUMBER(AH23)),IFERROR(AM23/AH23-1,""),"")</f>
        <v>0.252064607666686</v>
      </c>
      <c r="AN24" s="255">
        <f>IF(AND(ISNUMBER(AN23),ISNUMBER(AI23)),IFERROR(AN23/AI23-1,""),"")</f>
        <v>0.1890686085337</v>
      </c>
      <c r="AO24" s="256">
        <f>IF(AND(ISNUMBER(AO23),ISNUMBER(AJ23)),IFERROR(AO23/AJ23-1,""),"")</f>
        <v>0.142277446198354</v>
      </c>
      <c r="AP24" s="256">
        <f>IF(AND(ISNUMBER(AP23),ISNUMBER(AK23)),IFERROR(AP23/AK23-1,""),"")</f>
        <v>0.211589108128214</v>
      </c>
      <c r="AQ24" s="256">
        <f>IF(AND(ISNUMBER(AQ23),ISNUMBER(AP23)),IFERROR(AQ23/AP23-1,""),"")</f>
        <v>0.0977640504709325</v>
      </c>
      <c r="AR24" s="256">
        <f>IF(AND(ISNUMBER(AR23),ISNUMBER(AQ23)),IFERROR(AR23/AQ23-1,""),"")</f>
        <v>0.0830280713510911</v>
      </c>
      <c r="AS24" s="256">
        <f>IF(AND(ISNUMBER(AS23),ISNUMBER(AR23)),IFERROR(AS23/AR23-1,""),"")</f>
        <v>0.0701251883610861</v>
      </c>
      <c r="AT24" s="256">
        <f>IF(AND(ISNUMBER(AT23),ISNUMBER(AS23)),IFERROR(AT23/AS23-1,""),"")</f>
        <v>0.0597908861908603</v>
      </c>
      <c r="AU24" s="256">
        <f>IF(AND(ISNUMBER(AU23),ISNUMBER(AT23)),IFERROR(AU23/AT23-1,""),"")</f>
        <v>0.0564682041644318</v>
      </c>
      <c r="AV24" s="153" t="n"/>
      <c r="BD24" s="25" t="inlineStr">
        <is>
          <t xml:space="preserve">  Q4/26E depreciation ($m)</t>
        </is>
      </c>
      <c r="BF24" s="260" t="n">
        <v>23</v>
      </c>
      <c r="BH24" s="13" t="inlineStr">
        <is>
          <t>Q3 $22.5m; rising with capex.</t>
        </is>
      </c>
    </row>
    <row r="25" ht="15" customHeight="1" s="251">
      <c r="B25" s="25" t="inlineStr">
        <is>
          <t xml:space="preserve">  % of total net sales</t>
        </is>
      </c>
      <c r="C25" s="215">
        <f>IF(AND(ISNUMBER(C23),ISNUMBER(C99)),IFERROR(C23/C99,""),"")</f>
        <v>0.492510962772726</v>
      </c>
      <c r="D25" s="215">
        <f>IF(AND(ISNUMBER(D23),ISNUMBER(D99)),IFERROR(D23/D99,""),"")</f>
        <v>0.480311980905079</v>
      </c>
      <c r="E25" s="215">
        <f>IF(AND(ISNUMBER(E23),ISNUMBER(E99)),IFERROR(E23/E99,""),"")</f>
        <v>0.54829037136824</v>
      </c>
      <c r="F25" s="215">
        <f>IF(AND(ISNUMBER(F23),ISNUMBER(F99)),IFERROR(F23/F99,""),"")</f>
        <v>0.541676660470508</v>
      </c>
      <c r="G25" s="215">
        <f>IF(AND(ISNUMBER(G23),ISNUMBER(G99)),IFERROR(G23/G99,""),"")</f>
        <v>0.569534068291123</v>
      </c>
      <c r="H25" s="215">
        <f>IF(AND(ISNUMBER(H23),ISNUMBER(H99)),IFERROR(H23/H99,""),"")</f>
        <v>0.609554352328482</v>
      </c>
      <c r="I25" s="215">
        <f>IF(AND(ISNUMBER(I23),ISNUMBER(I99)),IFERROR(I23/I99,""),"")</f>
        <v>0.639609565037154</v>
      </c>
      <c r="J25" s="215">
        <f>IF(AND(ISNUMBER(J23),ISNUMBER(J99)),IFERROR(J23/J99,""),"")</f>
        <v>0.669850847402244</v>
      </c>
      <c r="K25" s="215">
        <f>IF(AND(ISNUMBER(K23),ISNUMBER(K99)),IFERROR(K23/K99,""),"")</f>
        <v>0.64841112517529</v>
      </c>
      <c r="L25" s="215">
        <f>IF(AND(ISNUMBER(L23),ISNUMBER(L99)),IFERROR(L23/L99,""),"")</f>
        <v>0.637490608715513</v>
      </c>
      <c r="M25" s="215">
        <f>IF(AND(ISNUMBER(M23),ISNUMBER(M99)),IFERROR(M23/M99,""),"")</f>
        <v>0.598317767787225</v>
      </c>
      <c r="N25" s="215">
        <f>IF(AND(ISNUMBER(N23),ISNUMBER(N99)),IFERROR(N23/N99,""),"")</f>
        <v>0.627374548657282</v>
      </c>
      <c r="O25" s="215">
        <f>IF(AND(ISNUMBER(O23),ISNUMBER(O99)),IFERROR(O23/O99,""),"")</f>
        <v>0.612407598688642</v>
      </c>
      <c r="P25" s="215">
        <f>IF(AND(ISNUMBER(P23),ISNUMBER(P99)),IFERROR(P23/P99,""),"")</f>
        <v>0.660857182441071</v>
      </c>
      <c r="Q25" s="215">
        <f>IF(AND(ISNUMBER(Q23),ISNUMBER(Q99)),IFERROR(Q23/Q99,""),"")</f>
        <v>0.625210167100656</v>
      </c>
      <c r="R25" s="215">
        <f>IF(AND(ISNUMBER(R23),ISNUMBER(R99)),IFERROR(R23/R99,""),"")</f>
        <v>0.621203280734731</v>
      </c>
      <c r="S25" s="215">
        <f>IF(AND(ISNUMBER(S23),ISNUMBER(S99)),IFERROR(S23/S99,""),"")</f>
        <v>0.635194661568164</v>
      </c>
      <c r="T25" s="215">
        <f>IF(AND(ISNUMBER(T23),ISNUMBER(T99)),IFERROR(T23/T99,""),"")</f>
        <v>0.653900496799776</v>
      </c>
      <c r="U25" s="215">
        <f>IF(AND(ISNUMBER(U23),ISNUMBER(U99)),IFERROR(U23/U99,""),"")</f>
        <v>0.638120221926057</v>
      </c>
      <c r="V25" s="215">
        <f>IF(AND(ISNUMBER(V23),ISNUMBER(V99)),IFERROR(V23/V99,""),"")</f>
        <v>0.637623122474075</v>
      </c>
      <c r="W25" s="215">
        <f>IF(AND(ISNUMBER(W23),ISNUMBER(W99)),IFERROR(W23/W99,""),"")</f>
        <v>0.639626328968234</v>
      </c>
      <c r="X25" s="215">
        <f>IF(AND(ISNUMBER(X23),ISNUMBER(X99)),IFERROR(X23/X99,""),"")</f>
        <v>0.608477417594199</v>
      </c>
      <c r="Y25" s="215">
        <f>IF(AND(ISNUMBER(Y23),ISNUMBER(Y99)),IFERROR(Y23/Y99,""),"")</f>
        <v>0.600166362127387</v>
      </c>
      <c r="Z25" s="215">
        <f>IF(AND(ISNUMBER(Z23),ISNUMBER(Z99)),IFERROR(Z23/Z99,""),"")</f>
        <v>0.585365539784061</v>
      </c>
      <c r="AA25" s="215">
        <f>IF(AND(ISNUMBER(AA23),ISNUMBER(AA99)),IFERROR(AA23/AA99,""),"")</f>
        <v>0.606643664957321</v>
      </c>
      <c r="AB25" s="215">
        <f>IF(AND(ISNUMBER(AB23),ISNUMBER(AB99)),IFERROR(AB23/AB99,""),"")</f>
        <v>0.585659629097658</v>
      </c>
      <c r="AC25" s="215">
        <f>IF(AND(ISNUMBER(AC23),ISNUMBER(AC99)),IFERROR(AC23/AC99,""),"")</f>
        <v>0.595578103844768</v>
      </c>
      <c r="AD25" s="215">
        <f>IF(AND(ISNUMBER(AD23),ISNUMBER(AD99)),IFERROR(AD23/AD99,""),"")</f>
        <v>0.610554826775889</v>
      </c>
      <c r="AE25" s="215">
        <f>IF(AND(ISNUMBER(AE23),ISNUMBER(AE99)),IFERROR(AE23/AE99,""),"")</f>
        <v>0.646925410304182</v>
      </c>
      <c r="AF25" s="215">
        <f>IF(AND(ISNUMBER(AF23),ISNUMBER(AF99)),IFERROR(AF23/AF99,""),"")</f>
        <v>0.610248510265025</v>
      </c>
      <c r="AG25" s="215">
        <f>IF(AND(ISNUMBER(AG23),ISNUMBER(AG99)),IFERROR(AG23/AG99,""),"")</f>
        <v>0.639143291597917</v>
      </c>
      <c r="AH25" s="215">
        <f>IF(AND(ISNUMBER(AH23),ISNUMBER(AH99)),IFERROR(AH23/AH99,""),"")</f>
        <v>0.635706840766883</v>
      </c>
      <c r="AI25" s="215">
        <f>IF(AND(ISNUMBER(AI23),ISNUMBER(AI99)),IFERROR(AI23/AI99,""),"")</f>
        <v>0.651037854772428</v>
      </c>
      <c r="AJ25" s="215">
        <f>IF(AND(ISNUMBER(AJ23),ISNUMBER(AJ99)),IFERROR(AJ23/AJ99,""),"")</f>
        <v>0.664351368079223</v>
      </c>
      <c r="AK25" s="215">
        <f>IF(AND(ISNUMBER(AK23),ISNUMBER(AK99)),IFERROR(AK23/AK99,""),"")</f>
        <v>0.648378049847157</v>
      </c>
      <c r="AL25" s="215">
        <f>IF(AND(ISNUMBER(AL23),ISNUMBER(AL99)),IFERROR(AL23/AL99,""),"")</f>
        <v>0.637156356439936</v>
      </c>
      <c r="AM25" s="215">
        <f>IF(AND(ISNUMBER(AM23),ISNUMBER(AM99)),IFERROR(AM23/AM99,""),"")</f>
        <v>0.644912559326883</v>
      </c>
      <c r="AN25" s="215">
        <f>IF(AND(ISNUMBER(AN23),ISNUMBER(AN99)),IFERROR(AN23/AN99,""),"")</f>
        <v>0.63861386584723</v>
      </c>
      <c r="AO25" s="256">
        <f>IF(AND(ISNUMBER(AO23),ISNUMBER(AO99)),IFERROR(AO23/AO99,""),"")</f>
        <v>0.664124628231017</v>
      </c>
      <c r="AP25" s="256">
        <f>IF(AND(ISNUMBER(AP23),ISNUMBER(AP99)),IFERROR(AP23/AP99,""),"")</f>
        <v>0.646557846209241</v>
      </c>
      <c r="AQ25" s="256">
        <f>IF(AND(ISNUMBER(AQ23),ISNUMBER(AQ99)),IFERROR(AQ23/AQ99,""),"")</f>
        <v>0.653516902658084</v>
      </c>
      <c r="AR25" s="256">
        <f>IF(AND(ISNUMBER(AR23),ISNUMBER(AR99)),IFERROR(AR23/AR99,""),"")</f>
        <v>0.65303381862006</v>
      </c>
      <c r="AS25" s="256">
        <f>IF(AND(ISNUMBER(AS23),ISNUMBER(AS99)),IFERROR(AS23/AS99,""),"")</f>
        <v>0.652168062542014</v>
      </c>
      <c r="AT25" s="256">
        <f>IF(AND(ISNUMBER(AT23),ISNUMBER(AT99)),IFERROR(AT23/AT99,""),"")</f>
        <v>0.651850929735025</v>
      </c>
      <c r="AU25" s="256">
        <f>IF(AND(ISNUMBER(AU23),ISNUMBER(AU99)),IFERROR(AU23/AU99,""),"")</f>
        <v>0.651859187287415</v>
      </c>
      <c r="AV25" s="153" t="n"/>
      <c r="BD25" s="25" t="inlineStr">
        <is>
          <t xml:space="preserve">  Q4/26E tax rate (GAAP &amp; adjusted)</t>
        </is>
      </c>
      <c r="BF25" s="257" t="n">
        <v>0.24</v>
      </c>
      <c r="BH25" s="13" t="inlineStr">
        <is>
          <t>FY26 adjusted rate guided ~22.5%; 9M FY26 adjusted 21.9% → Q4 ~24% (Q3 24.2%).</t>
        </is>
      </c>
    </row>
    <row r="26" ht="15" customHeight="1" s="251">
      <c r="B26" s="25" t="inlineStr">
        <is>
          <t xml:space="preserve">  Aftermarket (commercial + defense services) % of Aerospace sales</t>
        </is>
      </c>
      <c r="C26" s="215">
        <f>IF(ISNUMBER(C14),IFERROR((C14+C20)/C23,""),"")</f>
      </c>
      <c r="D26" s="215">
        <f>IF(ISNUMBER(D14),IFERROR((D14+D20)/D23,""),"")</f>
      </c>
      <c r="E26" s="215">
        <f>IF(ISNUMBER(E14),IFERROR((E14+E20)/E23,""),"")</f>
      </c>
      <c r="F26" s="215">
        <f>IF(ISNUMBER(F14),IFERROR((F14+F20)/F23,""),"")</f>
      </c>
      <c r="G26" s="215">
        <f>IF(ISNUMBER(G14),IFERROR((G14+G20)/G23,""),"")</f>
      </c>
      <c r="H26" s="215">
        <f>IF(ISNUMBER(H14),IFERROR((H14+H20)/H23,""),"")</f>
      </c>
      <c r="I26" s="215">
        <f>IF(ISNUMBER(I14),IFERROR((I14+I20)/I23,""),"")</f>
      </c>
      <c r="J26" s="215">
        <f>IF(ISNUMBER(J14),IFERROR((J14+J20)/J23,""),"")</f>
      </c>
      <c r="K26" s="215">
        <f>IF(ISNUMBER(K14),IFERROR((K14+K20)/K23,""),"")</f>
        <v>0.367581307297981</v>
      </c>
      <c r="L26" s="215">
        <f>IF(ISNUMBER(L14),IFERROR((L14+L20)/L23,""),"")</f>
        <v>0.396233601912804</v>
      </c>
      <c r="M26" s="215">
        <f>IF(ISNUMBER(M14),IFERROR((M14+M20)/M23,""),"")</f>
        <v>0.355407921857076</v>
      </c>
      <c r="N26" s="215">
        <f>IF(ISNUMBER(N14),IFERROR((N14+N20)/N23,""),"")</f>
        <v>0.348689081068038</v>
      </c>
      <c r="O26" s="215">
        <f>IF(ISNUMBER(O14),IFERROR((O14+O20)/O23,""),"")</f>
        <v>0.373756277279767</v>
      </c>
      <c r="P26" s="215">
        <f>IF(ISNUMBER(P14),IFERROR((P14+P20)/P23,""),"")</f>
        <v>0.368463930876359</v>
      </c>
      <c r="Q26" s="215">
        <f>IF(ISNUMBER(Q14),IFERROR((Q14+Q20)/Q23,""),"")</f>
        <v>0.36162157427052</v>
      </c>
      <c r="R26" s="215">
        <f>IF(ISNUMBER(R14),IFERROR((R14+R20)/R23,""),"")</f>
        <v>0.375210664764368</v>
      </c>
      <c r="S26" s="215">
        <f>IF(ISNUMBER(S14),IFERROR((S14+S20)/S23,""),"")</f>
        <v>0.407922587637523</v>
      </c>
      <c r="T26" s="215">
        <f>IF(ISNUMBER(T14),IFERROR((T14+T20)/T23,""),"")</f>
        <v>0.384700979806429</v>
      </c>
      <c r="U26" s="215">
        <f>IF(ISNUMBER(U14),IFERROR((U14+U20)/U23,""),"")</f>
        <v>0.404093355336934</v>
      </c>
      <c r="V26" s="215">
        <f>IF(ISNUMBER(V14),IFERROR((V14+V20)/V23,""),"")</f>
        <v>0.393509736579869</v>
      </c>
      <c r="W26" s="215">
        <f>IF(ISNUMBER(W14),IFERROR((W14+W20)/W23,""),"")</f>
        <v>0.422174204228111</v>
      </c>
      <c r="X26" s="215">
        <f>IF(ISNUMBER(X14),IFERROR((X14+X20)/X23,""),"")</f>
        <v>0.434626112942975</v>
      </c>
      <c r="Y26" s="215">
        <f>IF(ISNUMBER(Y14),IFERROR((Y14+Y20)/Y23,""),"")</f>
        <v>0.402367381084675</v>
      </c>
      <c r="Z26" s="215">
        <f>IF(ISNUMBER(Z14),IFERROR((Z14+Z20)/Z23,""),"")</f>
        <v>0.434933057796733</v>
      </c>
      <c r="AA26" s="215">
        <f>IF(ISNUMBER(AA14),IFERROR((AA14+AA20)/AA23,""),"")</f>
        <v>0.423151253066139</v>
      </c>
      <c r="AB26" s="215">
        <f>IF(ISNUMBER(AB14),IFERROR((AB14+AB20)/AB23,""),"")</f>
        <v>0.425337922891943</v>
      </c>
      <c r="AC26" s="215">
        <f>IF(ISNUMBER(AC14),IFERROR((AC14+AC20)/AC23,""),"")</f>
        <v>0.448186174403834</v>
      </c>
      <c r="AD26" s="215">
        <f>IF(ISNUMBER(AD14),IFERROR((AD14+AD20)/AD23,""),"")</f>
        <v>0.446916299559471</v>
      </c>
      <c r="AE26" s="215">
        <f>IF(ISNUMBER(AE14),IFERROR((AE14+AE20)/AE23,""),"")</f>
        <v>0.421774995929738</v>
      </c>
      <c r="AF26" s="215">
        <f>IF(ISNUMBER(AF14),IFERROR((AF14+AF20)/AF23,""),"")</f>
        <v>0.435475777105399</v>
      </c>
      <c r="AG26" s="215">
        <f>IF(ISNUMBER(AG14),IFERROR((AG14+AG20)/AG23,""),"")</f>
        <v>0.459672553362949</v>
      </c>
      <c r="AH26" s="215">
        <f>IF(ISNUMBER(AH14),IFERROR((AH14+AH20)/AH23,""),"")</f>
        <v>0.456341047017334</v>
      </c>
      <c r="AI26" s="215">
        <f>IF(ISNUMBER(AI14),IFERROR((AI14+AI20)/AI23,""),"")</f>
        <v>0.453708954848236</v>
      </c>
      <c r="AJ26" s="215">
        <f>IF(ISNUMBER(AJ14),IFERROR((AJ14+AJ20)/AJ23,""),"")</f>
        <v>0.463980157439826</v>
      </c>
      <c r="AK26" s="215">
        <f>IF(ISNUMBER(AK14),IFERROR((AK14+AK20)/AK23,""),"")</f>
        <v>0.458558132415776</v>
      </c>
      <c r="AL26" s="215">
        <f>IF(ISNUMBER(AL14),IFERROR((AL14+AL20)/AL23,""),"")</f>
        <v>0.486259976027608</v>
      </c>
      <c r="AM26" s="215">
        <f>IF(ISNUMBER(AM14),IFERROR((AM14+AM20)/AM23,""),"")</f>
        <v>0.475421606919173</v>
      </c>
      <c r="AN26" s="215">
        <f>IF(ISNUMBER(AN14),IFERROR((AN14+AN20)/AN23,""),"")</f>
        <v>0.470668418297296</v>
      </c>
      <c r="AO26" s="256">
        <f>IF(ISNUMBER(AO14),IFERROR((AO14+AO20)/AO23,""),"")</f>
        <v>0.487897724847808</v>
      </c>
      <c r="AP26" s="256">
        <f>IF(ISNUMBER(AP14),IFERROR((AP14+AP20)/AP23,""),"")</f>
        <v>0.480037938496766</v>
      </c>
      <c r="AQ26" s="256">
        <f>IF(ISNUMBER(AQ14),IFERROR((AQ14+AQ20)/AQ23,""),"")</f>
        <v>0.473360165703165</v>
      </c>
      <c r="AR26" s="256">
        <f>IF(ISNUMBER(AR14),IFERROR((AR14+AR20)/AR23,""),"")</f>
        <v>0.469649773607901</v>
      </c>
      <c r="AS26" s="256">
        <f>IF(ISNUMBER(AS14),IFERROR((AS14+AS20)/AS23,""),"")</f>
        <v>0.467252810971344</v>
      </c>
      <c r="AT26" s="256">
        <f>IF(ISNUMBER(AT14),IFERROR((AT14+AT20)/AT23,""),"")</f>
        <v>0.465812817416597</v>
      </c>
      <c r="AU26" s="256">
        <f>IF(ISNUMBER(AU14),IFERROR((AU14+AU20)/AU23,""),"")</f>
        <v>0.465861733329976</v>
      </c>
      <c r="AV26" s="153" t="n"/>
      <c r="AX26" s="37">
        <f>IFERROR(AVERAGE(AQ26,AR26,AS26,AT26,AU26),"n/m")</f>
        <v>0.468387460205796</v>
      </c>
      <c r="AY26" s="37">
        <f>IFERROR(AVERAGE(Q26,V26,AA26,AF26,AK26),"n/m")</f>
        <v>0.414463294687541</v>
      </c>
      <c r="AZ26" s="37">
        <f>IFERROR(AVERAGE(H26,I26,J26,K26,L26,Q26,V26,AA26,AF26,AK26),"n/m")</f>
        <v>0.405161626092641</v>
      </c>
      <c r="BA26" s="37">
        <f>IFERROR(AVERAGE(C26,D26,E26,F26,G26,H26,I26,J26,K26,L26,Q26,V26,AA26,AF26,AK26),"n/m")</f>
        <v>0.405161626092641</v>
      </c>
      <c r="BD26" s="25" t="inlineStr">
        <is>
          <t xml:space="preserve">  FY26 capital expenditures ($m)</t>
        </is>
      </c>
      <c r="BF26" s="260" t="n">
        <v>290</v>
      </c>
      <c r="BH26" s="13" t="inlineStr">
        <is>
          <t>Guided ~$290m (9M $156.3m); Spartanburg, SC campus.</t>
        </is>
      </c>
    </row>
    <row r="27" ht="15" customHeight="1" s="251">
      <c r="B27" s="156" t="inlineStr">
        <is>
          <t xml:space="preserve">  Memo: Aerospace segment net sales as reported (segment schedule)</t>
        </is>
      </c>
      <c r="C27" s="253" t="n">
        <v>843.032</v>
      </c>
      <c r="D27" s="253" t="n">
        <v>896.083</v>
      </c>
      <c r="E27" s="253" t="n">
        <v>1061.477</v>
      </c>
      <c r="F27" s="253" t="n">
        <v>1084.025</v>
      </c>
      <c r="G27" s="253" t="n">
        <v>1160.883</v>
      </c>
      <c r="H27" s="253" t="n">
        <v>1233.176</v>
      </c>
      <c r="I27" s="253" t="n">
        <v>1342.339</v>
      </c>
      <c r="J27" s="253" t="n">
        <v>1557.988</v>
      </c>
      <c r="K27" s="253" t="n">
        <v>1880.52</v>
      </c>
      <c r="L27" s="253" t="n">
        <v>1590.963</v>
      </c>
      <c r="M27" s="253" t="n">
        <v>321.667</v>
      </c>
      <c r="N27" s="253" t="n">
        <v>364.706</v>
      </c>
      <c r="O27" s="253" t="n">
        <v>340.912</v>
      </c>
      <c r="P27" s="253" t="n">
        <v>376.832</v>
      </c>
      <c r="Q27" s="253" t="n">
        <v>1404.117</v>
      </c>
      <c r="R27" s="253" t="n">
        <v>336.435</v>
      </c>
      <c r="S27" s="253" t="n">
        <v>372.757</v>
      </c>
      <c r="T27" s="253" t="n">
        <v>401.712</v>
      </c>
      <c r="U27" s="253" t="n">
        <v>408.418</v>
      </c>
      <c r="V27" s="253" t="n">
        <v>1519.322</v>
      </c>
      <c r="W27" s="253" t="n">
        <v>395.685</v>
      </c>
      <c r="X27" s="253" t="n">
        <v>437.017</v>
      </c>
      <c r="Y27" s="253" t="n">
        <v>480.531</v>
      </c>
      <c r="Z27" s="253" t="n">
        <v>454.87</v>
      </c>
      <c r="AA27" s="253" t="n">
        <v>1768.103</v>
      </c>
      <c r="AB27" s="253" t="n">
        <v>460.756</v>
      </c>
      <c r="AC27" s="253" t="n">
        <v>497.512</v>
      </c>
      <c r="AD27" s="253" t="n">
        <v>517.5599999999999</v>
      </c>
      <c r="AE27" s="253" t="n">
        <v>552.79</v>
      </c>
      <c r="AF27" s="253" t="n">
        <v>2028.618</v>
      </c>
      <c r="AG27" s="253" t="n">
        <v>493.882</v>
      </c>
      <c r="AH27" s="253" t="n">
        <v>561.729</v>
      </c>
      <c r="AI27" s="253" t="n">
        <v>595.99</v>
      </c>
      <c r="AJ27" s="253" t="n">
        <v>661.205</v>
      </c>
      <c r="AK27" s="253" t="n">
        <v>2312.806</v>
      </c>
      <c r="AL27" s="253" t="n">
        <v>634.897</v>
      </c>
      <c r="AM27" s="253" t="n">
        <v>703.321</v>
      </c>
      <c r="AN27" s="253" t="n">
        <v>708.673</v>
      </c>
      <c r="AO27" s="153" t="n"/>
      <c r="AP27" s="153" t="n"/>
      <c r="AQ27" s="153" t="n"/>
      <c r="AR27" s="153" t="n"/>
      <c r="AS27" s="153" t="n"/>
      <c r="AT27" s="153" t="n"/>
      <c r="AU27" s="153" t="n"/>
      <c r="AV27" s="153" t="n"/>
      <c r="BD27" s="25" t="inlineStr">
        <is>
          <t xml:space="preserve">  Q4/26E restructuring charges ($m)</t>
        </is>
      </c>
      <c r="BF27" s="260" t="n">
        <v>6</v>
      </c>
      <c r="BH27" s="13" t="inlineStr">
        <is>
          <t>China OH wind-down complete; servo-valve transition (~$15m total) and the start of the Santa Clarita plan (8-K 21-Sep-2026).</t>
        </is>
      </c>
    </row>
    <row r="28" ht="15" customHeight="1" s="251">
      <c r="B28" s="57" t="inlineStr">
        <is>
          <t xml:space="preserve">  Check: primary markets vs segment net sales (should be 0)</t>
        </is>
      </c>
      <c r="C28" s="263">
        <f>IF(AND(ISNUMBER(C11),ISNUMBER(C27)),IF(ABS(C23-C27)&lt;=0.15,0,ROUND(C23-C27,1)),"")</f>
      </c>
      <c r="D28" s="263">
        <f>IF(AND(ISNUMBER(D11),ISNUMBER(D27)),IF(ABS(D23-D27)&lt;=0.15,0,ROUND(D23-D27,1)),"")</f>
      </c>
      <c r="E28" s="263">
        <f>IF(AND(ISNUMBER(E11),ISNUMBER(E27)),IF(ABS(E23-E27)&lt;=0.15,0,ROUND(E23-E27,1)),"")</f>
      </c>
      <c r="F28" s="263">
        <f>IF(AND(ISNUMBER(F11),ISNUMBER(F27)),IF(ABS(F23-F27)&lt;=0.15,0,ROUND(F23-F27,1)),"")</f>
      </c>
      <c r="G28" s="263">
        <f>IF(AND(ISNUMBER(G11),ISNUMBER(G27)),IF(ABS(G23-G27)&lt;=0.15,0,ROUND(G23-G27,1)),"")</f>
      </c>
      <c r="H28" s="263">
        <f>IF(AND(ISNUMBER(H11),ISNUMBER(H27)),IF(ABS(H23-H27)&lt;=0.15,0,ROUND(H23-H27,1)),"")</f>
      </c>
      <c r="I28" s="263">
        <f>IF(AND(ISNUMBER(I11),ISNUMBER(I27)),IF(ABS(I23-I27)&lt;=0.15,0,ROUND(I23-I27,1)),"")</f>
      </c>
      <c r="J28" s="263">
        <f>IF(AND(ISNUMBER(J11),ISNUMBER(J27)),IF(ABS(J23-J27)&lt;=0.15,0,ROUND(J23-J27,1)),"")</f>
      </c>
      <c r="K28" s="263">
        <f>IF(AND(ISNUMBER(K11),ISNUMBER(K27)),IF(ABS(K23-K27)&lt;=0.15,0,ROUND(K23-K27,1)),"")</f>
        <v>0</v>
      </c>
      <c r="L28" s="263">
        <f>IF(AND(ISNUMBER(L11),ISNUMBER(L27)),IF(ABS(L23-L27)&lt;=0.15,0,ROUND(L23-L27,1)),"")</f>
        <v>0</v>
      </c>
      <c r="M28" s="263">
        <f>IF(AND(ISNUMBER(M11),ISNUMBER(M27)),IF(ABS(M23-M27)&lt;=0.15,0,ROUND(M23-M27,1)),"")</f>
        <v>0</v>
      </c>
      <c r="N28" s="263">
        <f>IF(AND(ISNUMBER(N11),ISNUMBER(N27)),IF(ABS(N23-N27)&lt;=0.15,0,ROUND(N23-N27,1)),"")</f>
        <v>0</v>
      </c>
      <c r="O28" s="263">
        <f>IF(AND(ISNUMBER(O11),ISNUMBER(O27)),IF(ABS(O23-O27)&lt;=0.15,0,ROUND(O23-O27,1)),"")</f>
        <v>0</v>
      </c>
      <c r="P28" s="263">
        <f>IF(AND(ISNUMBER(P11),ISNUMBER(P27)),IF(ABS(P23-P27)&lt;=0.15,0,ROUND(P23-P27,1)),"")</f>
        <v>0</v>
      </c>
      <c r="Q28" s="263">
        <f>IF(AND(ISNUMBER(Q11),ISNUMBER(Q27)),IF(ABS(Q23-Q27)&lt;=0.15,0,ROUND(Q23-Q27,1)),"")</f>
        <v>0</v>
      </c>
      <c r="R28" s="263">
        <f>IF(AND(ISNUMBER(R11),ISNUMBER(R27)),IF(ABS(R23-R27)&lt;=0.15,0,ROUND(R23-R27,1)),"")</f>
        <v>0</v>
      </c>
      <c r="S28" s="263">
        <f>IF(AND(ISNUMBER(S11),ISNUMBER(S27)),IF(ABS(S23-S27)&lt;=0.15,0,ROUND(S23-S27,1)),"")</f>
        <v>0</v>
      </c>
      <c r="T28" s="263">
        <f>IF(AND(ISNUMBER(T11),ISNUMBER(T27)),IF(ABS(T23-T27)&lt;=0.15,0,ROUND(T23-T27,1)),"")</f>
        <v>0</v>
      </c>
      <c r="U28" s="263">
        <f>IF(AND(ISNUMBER(U11),ISNUMBER(U27)),IF(ABS(U23-U27)&lt;=0.15,0,ROUND(U23-U27,1)),"")</f>
        <v>0</v>
      </c>
      <c r="V28" s="263">
        <f>IF(AND(ISNUMBER(V11),ISNUMBER(V27)),IF(ABS(V23-V27)&lt;=0.15,0,ROUND(V23-V27,1)),"")</f>
        <v>0</v>
      </c>
      <c r="W28" s="263">
        <f>IF(AND(ISNUMBER(W11),ISNUMBER(W27)),IF(ABS(W23-W27)&lt;=0.15,0,ROUND(W23-W27,1)),"")</f>
        <v>0</v>
      </c>
      <c r="X28" s="263">
        <f>IF(AND(ISNUMBER(X11),ISNUMBER(X27)),IF(ABS(X23-X27)&lt;=0.15,0,ROUND(X23-X27,1)),"")</f>
        <v>0</v>
      </c>
      <c r="Y28" s="263">
        <f>IF(AND(ISNUMBER(Y11),ISNUMBER(Y27)),IF(ABS(Y23-Y27)&lt;=0.15,0,ROUND(Y23-Y27,1)),"")</f>
        <v>0</v>
      </c>
      <c r="Z28" s="263">
        <f>IF(AND(ISNUMBER(Z11),ISNUMBER(Z27)),IF(ABS(Z23-Z27)&lt;=0.15,0,ROUND(Z23-Z27,1)),"")</f>
        <v>0</v>
      </c>
      <c r="AA28" s="263">
        <f>IF(AND(ISNUMBER(AA11),ISNUMBER(AA27)),IF(ABS(AA23-AA27)&lt;=0.15,0,ROUND(AA23-AA27,1)),"")</f>
        <v>0</v>
      </c>
      <c r="AB28" s="263">
        <f>IF(AND(ISNUMBER(AB11),ISNUMBER(AB27)),IF(ABS(AB23-AB27)&lt;=0.15,0,ROUND(AB23-AB27,1)),"")</f>
        <v>0</v>
      </c>
      <c r="AC28" s="263">
        <f>IF(AND(ISNUMBER(AC11),ISNUMBER(AC27)),IF(ABS(AC23-AC27)&lt;=0.15,0,ROUND(AC23-AC27,1)),"")</f>
        <v>0</v>
      </c>
      <c r="AD28" s="263">
        <f>IF(AND(ISNUMBER(AD11),ISNUMBER(AD27)),IF(ABS(AD23-AD27)&lt;=0.15,0,ROUND(AD23-AD27,1)),"")</f>
        <v>0</v>
      </c>
      <c r="AE28" s="263">
        <f>IF(AND(ISNUMBER(AE11),ISNUMBER(AE27)),IF(ABS(AE23-AE27)&lt;=0.15,0,ROUND(AE23-AE27,1)),"")</f>
        <v>0</v>
      </c>
      <c r="AF28" s="263">
        <f>IF(AND(ISNUMBER(AF11),ISNUMBER(AF27)),IF(ABS(AF23-AF27)&lt;=0.15,0,ROUND(AF23-AF27,1)),"")</f>
        <v>0</v>
      </c>
      <c r="AG28" s="263">
        <f>IF(AND(ISNUMBER(AG11),ISNUMBER(AG27)),IF(ABS(AG23-AG27)&lt;=0.15,0,ROUND(AG23-AG27,1)),"")</f>
        <v>0</v>
      </c>
      <c r="AH28" s="263">
        <f>IF(AND(ISNUMBER(AH11),ISNUMBER(AH27)),IF(ABS(AH23-AH27)&lt;=0.15,0,ROUND(AH23-AH27,1)),"")</f>
        <v>0</v>
      </c>
      <c r="AI28" s="263">
        <f>IF(AND(ISNUMBER(AI11),ISNUMBER(AI27)),IF(ABS(AI23-AI27)&lt;=0.15,0,ROUND(AI23-AI27,1)),"")</f>
        <v>0</v>
      </c>
      <c r="AJ28" s="263">
        <f>IF(AND(ISNUMBER(AJ11),ISNUMBER(AJ27)),IF(ABS(AJ23-AJ27)&lt;=0.15,0,ROUND(AJ23-AJ27,1)),"")</f>
        <v>0</v>
      </c>
      <c r="AK28" s="263">
        <f>IF(AND(ISNUMBER(AK11),ISNUMBER(AK27)),IF(ABS(AK23-AK27)&lt;=0.15,0,ROUND(AK23-AK27,1)),"")</f>
        <v>0</v>
      </c>
      <c r="AL28" s="263">
        <f>IF(AND(ISNUMBER(AL11),ISNUMBER(AL27)),IF(ABS(AL23-AL27)&lt;=0.15,0,ROUND(AL23-AL27,1)),"")</f>
        <v>0</v>
      </c>
      <c r="AM28" s="263">
        <f>IF(AND(ISNUMBER(AM11),ISNUMBER(AM27)),IF(ABS(AM23-AM27)&lt;=0.15,0,ROUND(AM23-AM27,1)),"")</f>
        <v>0</v>
      </c>
      <c r="AN28" s="263">
        <f>IF(AND(ISNUMBER(AN11),ISNUMBER(AN27)),IF(ABS(AN23-AN27)&lt;=0.15,0,ROUND(AN23-AN27,1)),"")</f>
        <v>0</v>
      </c>
      <c r="AO28" s="153" t="n"/>
      <c r="AP28" s="153" t="n"/>
      <c r="AQ28" s="153" t="n"/>
      <c r="AR28" s="153" t="n"/>
      <c r="AS28" s="153" t="n"/>
      <c r="AT28" s="153" t="n"/>
      <c r="AU28" s="153" t="n"/>
      <c r="AV28" s="153" t="n"/>
      <c r="BD28" s="25" t="inlineStr">
        <is>
          <t xml:space="preserve">  FY26 Aerospace segment margin guidance</t>
        </is>
      </c>
      <c r="BF28" s="257" t="n">
        <v>0.235</v>
      </c>
      <c r="BH28" s="13" t="inlineStr">
        <is>
          <t>Guided ~23.5% (information row).</t>
        </is>
      </c>
    </row>
    <row r="29" ht="15" customHeight="1" s="251">
      <c r="B29" s="25" t="inlineStr">
        <is>
          <t xml:space="preserve">  Aerospace segment earnings</t>
        </is>
      </c>
      <c r="C29" s="253" t="n">
        <v>129.502</v>
      </c>
      <c r="D29" s="253" t="n">
        <v>130.192</v>
      </c>
      <c r="E29" s="253" t="n">
        <v>166.122</v>
      </c>
      <c r="F29" s="253" t="n">
        <v>159.2</v>
      </c>
      <c r="G29" s="253" t="n">
        <v>187.747</v>
      </c>
      <c r="H29" s="253" t="n">
        <v>232.166</v>
      </c>
      <c r="I29" s="253" t="n">
        <v>257.813</v>
      </c>
      <c r="J29" s="253" t="n">
        <v>301.803</v>
      </c>
      <c r="K29" s="253" t="n">
        <v>389.126</v>
      </c>
      <c r="L29" s="253" t="n">
        <v>310.137</v>
      </c>
      <c r="M29" s="253" t="n">
        <v>46.466</v>
      </c>
      <c r="N29" s="253" t="n">
        <v>69.008</v>
      </c>
      <c r="O29" s="253" t="n">
        <v>53.167</v>
      </c>
      <c r="P29" s="253" t="n">
        <v>65.715</v>
      </c>
      <c r="Q29" s="253" t="n">
        <v>234.356</v>
      </c>
      <c r="R29" s="253" t="n">
        <v>51.083</v>
      </c>
      <c r="S29" s="253" t="n">
        <v>59.809</v>
      </c>
      <c r="T29" s="253" t="n">
        <v>56.566</v>
      </c>
      <c r="U29" s="253" t="n">
        <v>63.475</v>
      </c>
      <c r="V29" s="253" t="n">
        <v>230.933</v>
      </c>
      <c r="W29" s="253" t="n">
        <v>55.434</v>
      </c>
      <c r="X29" s="253" t="n">
        <v>73.31399999999999</v>
      </c>
      <c r="Y29" s="253" t="n">
        <v>83.075</v>
      </c>
      <c r="Z29" s="253" t="n">
        <v>78.28100000000001</v>
      </c>
      <c r="AA29" s="253" t="n">
        <v>290.104</v>
      </c>
      <c r="AB29" s="253" t="n">
        <v>79.002</v>
      </c>
      <c r="AC29" s="253" t="n">
        <v>98.45099999999999</v>
      </c>
      <c r="AD29" s="253" t="n">
        <v>101.842</v>
      </c>
      <c r="AE29" s="253" t="n">
        <v>106.065</v>
      </c>
      <c r="AF29" s="253" t="n">
        <v>385.36</v>
      </c>
      <c r="AG29" s="253" t="n">
        <v>94.72499999999999</v>
      </c>
      <c r="AH29" s="253" t="n">
        <v>124.616</v>
      </c>
      <c r="AI29" s="253" t="n">
        <v>125.74</v>
      </c>
      <c r="AJ29" s="253" t="n">
        <v>161.532</v>
      </c>
      <c r="AK29" s="253" t="n">
        <v>506.613</v>
      </c>
      <c r="AL29" s="253" t="n">
        <v>148.395</v>
      </c>
      <c r="AM29" s="253" t="n">
        <v>158.075</v>
      </c>
      <c r="AN29" s="253" t="n">
        <v>170.02</v>
      </c>
      <c r="AO29" s="254">
        <f>AO23*AO30</f>
        <v>185.660855423162</v>
      </c>
      <c r="AP29" s="254">
        <f>SUM(AL29:AO29)</f>
        <v>662.150855423162</v>
      </c>
      <c r="AQ29" s="254">
        <f>AQ23*AQ30</f>
        <v>738.269304660863</v>
      </c>
      <c r="AR29" s="254">
        <f>AR23*AR30</f>
        <v>816.224014105494</v>
      </c>
      <c r="AS29" s="254">
        <f>AS23*AS30</f>
        <v>891.287629428044</v>
      </c>
      <c r="AT29" s="254">
        <f>AT23*AT30</f>
        <v>955.913448722208</v>
      </c>
      <c r="AU29" s="254">
        <f>AU23*AU30</f>
        <v>1017.87550177702</v>
      </c>
      <c r="AV29" s="19" t="inlineStr">
        <is>
          <t>Segment earnings as reported (company measure: after amortization of intangibles; excludes nonsegment expenses). Forecast = segment sales × segment margin.</t>
        </is>
      </c>
      <c r="AX29" s="20">
        <f>IFERROR((AU29/AP29)^(1/5)-1,"n/m")</f>
        <v>0.0898018567284356</v>
      </c>
      <c r="AY29" s="20">
        <f>IFERROR((AK29/L29)^(1/5)-1,"n/m")</f>
        <v>0.103124549367703</v>
      </c>
      <c r="AZ29" s="20">
        <f>IFERROR((AK29/G29)^(1/10)-1,"n/m")</f>
        <v>0.104359146343496</v>
      </c>
      <c r="BA29" s="20">
        <f>IFERROR((AK29/C29)^(1/14)-1,"n/m")</f>
        <v>0.102336722134205</v>
      </c>
      <c r="BD29" s="25" t="inlineStr">
        <is>
          <t xml:space="preserve">  FY26 Industrial segment margin guidance</t>
        </is>
      </c>
      <c r="BF29" s="257" t="n">
        <v>0.19</v>
      </c>
      <c r="BH29" s="13" t="inlineStr">
        <is>
          <t>Guided ~19% (information row).</t>
        </is>
      </c>
    </row>
    <row r="30" ht="15" customHeight="1" s="251">
      <c r="B30" s="25" t="inlineStr">
        <is>
          <t xml:space="preserve">  Segment margin %</t>
        </is>
      </c>
      <c r="C30" s="215">
        <f>IF(AND(ISNUMBER(C29),ISNUMBER(C23)),IFERROR(C29/C23,""),"")</f>
        <v>0.153614572163334</v>
      </c>
      <c r="D30" s="215">
        <f>IF(AND(ISNUMBER(D29),ISNUMBER(D23)),IFERROR(D29/D23,""),"")</f>
        <v>0.145290112634656</v>
      </c>
      <c r="E30" s="215">
        <f>IF(AND(ISNUMBER(E29),ISNUMBER(E23)),IFERROR(E29/E23,""),"")</f>
        <v>0.156500800299959</v>
      </c>
      <c r="F30" s="215">
        <f>IF(AND(ISNUMBER(F29),ISNUMBER(F23)),IFERROR(F29/F23,""),"")</f>
        <v>0.146860081640184</v>
      </c>
      <c r="G30" s="215">
        <f>IF(AND(ISNUMBER(G29),ISNUMBER(G23)),IFERROR(G29/G23,""),"")</f>
        <v>0.161727753787419</v>
      </c>
      <c r="H30" s="215">
        <f>IF(AND(ISNUMBER(H29),ISNUMBER(H23)),IFERROR(H29/H23,""),"")</f>
        <v>0.188266719430154</v>
      </c>
      <c r="I30" s="215">
        <f>IF(AND(ISNUMBER(I29),ISNUMBER(I23)),IFERROR(I29/I23,""),"")</f>
        <v>0.192062511779811</v>
      </c>
      <c r="J30" s="215">
        <f>IF(AND(ISNUMBER(J29),ISNUMBER(J23)),IFERROR(J29/J23,""),"")</f>
        <v>0.193713302028</v>
      </c>
      <c r="K30" s="215">
        <f>IF(AND(ISNUMBER(K29),ISNUMBER(K23)),IFERROR(K29/K23,""),"")</f>
        <v>0.206924680407547</v>
      </c>
      <c r="L30" s="215">
        <f>IF(AND(ISNUMBER(L29),ISNUMBER(L23)),IFERROR(L29/L23,""),"")</f>
        <v>0.194936651575178</v>
      </c>
      <c r="M30" s="215">
        <f>IF(AND(ISNUMBER(M29),ISNUMBER(M23)),IFERROR(M29/M23,""),"")</f>
        <v>0.144453736317372</v>
      </c>
      <c r="N30" s="215">
        <f>IF(AND(ISNUMBER(N29),ISNUMBER(N23)),IFERROR(N29/N23,""),"")</f>
        <v>0.189215422833735</v>
      </c>
      <c r="O30" s="215">
        <f>IF(AND(ISNUMBER(O29),ISNUMBER(O23)),IFERROR(O29/O23,""),"")</f>
        <v>0.155955202515605</v>
      </c>
      <c r="P30" s="215">
        <f>IF(AND(ISNUMBER(P29),ISNUMBER(P23)),IFERROR(P29/P23,""),"")</f>
        <v>0.174388056216033</v>
      </c>
      <c r="Q30" s="215">
        <f>IF(AND(ISNUMBER(Q29),ISNUMBER(Q23)),IFERROR(Q29/Q23,""),"")</f>
        <v>0.166906319060306</v>
      </c>
      <c r="R30" s="215">
        <f>IF(AND(ISNUMBER(R29),ISNUMBER(R23)),IFERROR(R29/R23,""),"")</f>
        <v>0.151836164489426</v>
      </c>
      <c r="S30" s="215">
        <f>IF(AND(ISNUMBER(S29),ISNUMBER(S23)),IFERROR(S29/S23,""),"")</f>
        <v>0.160450373836038</v>
      </c>
      <c r="T30" s="215">
        <f>IF(AND(ISNUMBER(T29),ISNUMBER(T23)),IFERROR(T29/T23,""),"")</f>
        <v>0.140812323256462</v>
      </c>
      <c r="U30" s="215">
        <f>IF(AND(ISNUMBER(U29),ISNUMBER(U23)),IFERROR(U29/U23,""),"")</f>
        <v>0.155416754403577</v>
      </c>
      <c r="V30" s="215">
        <f>IF(AND(ISNUMBER(V29),ISNUMBER(V23)),IFERROR(V29/V23,""),"")</f>
        <v>0.151997404105252</v>
      </c>
      <c r="W30" s="215">
        <f>IF(AND(ISNUMBER(W29),ISNUMBER(W23)),IFERROR(W29/W23,""),"")</f>
        <v>0.140096288714508</v>
      </c>
      <c r="X30" s="215">
        <f>IF(AND(ISNUMBER(X29),ISNUMBER(X23)),IFERROR(X29/X23,""),"")</f>
        <v>0.167760064253793</v>
      </c>
      <c r="Y30" s="215">
        <f>IF(AND(ISNUMBER(Y29),ISNUMBER(Y23)),IFERROR(Y29/Y23,""),"")</f>
        <v>0.172881666323297</v>
      </c>
      <c r="Z30" s="215">
        <f>IF(AND(ISNUMBER(Z29),ISNUMBER(Z23)),IFERROR(Z29/Z23,""),"")</f>
        <v>0.172095323938708</v>
      </c>
      <c r="AA30" s="215">
        <f>IF(AND(ISNUMBER(AA29),ISNUMBER(AA23)),IFERROR(AA29/AA23,""),"")</f>
        <v>0.16407641410031</v>
      </c>
      <c r="AB30" s="215">
        <f>IF(AND(ISNUMBER(AB29),ISNUMBER(AB23)),IFERROR(AB29/AB23,""),"")</f>
        <v>0.171461684709477</v>
      </c>
      <c r="AC30" s="215">
        <f>IF(AND(ISNUMBER(AC29),ISNUMBER(AC23)),IFERROR(AC29/AC23,""),"")</f>
        <v>0.197886684140282</v>
      </c>
      <c r="AD30" s="215">
        <f>IF(AND(ISNUMBER(AD29),ISNUMBER(AD23)),IFERROR(AD29/AD23,""),"")</f>
        <v>0.196773320967617</v>
      </c>
      <c r="AE30" s="215">
        <f>IF(AND(ISNUMBER(AE29),ISNUMBER(AE23)),IFERROR(AE29/AE23,""),"")</f>
        <v>0.191872139510483</v>
      </c>
      <c r="AF30" s="215">
        <f>IF(AND(ISNUMBER(AF29),ISNUMBER(AF23)),IFERROR(AF29/AF23,""),"")</f>
        <v>0.189961836087425</v>
      </c>
      <c r="AG30" s="215">
        <f>IF(AND(ISNUMBER(AG29),ISNUMBER(AG23)),IFERROR(AG29/AG23,""),"")</f>
        <v>0.191796825962477</v>
      </c>
      <c r="AH30" s="215">
        <f>IF(AND(ISNUMBER(AH29),ISNUMBER(AH23)),IFERROR(AH29/AH23,""),"")</f>
        <v>0.221843629223344</v>
      </c>
      <c r="AI30" s="215">
        <f>IF(AND(ISNUMBER(AI29),ISNUMBER(AI23)),IFERROR(AI29/AI23,""),"")</f>
        <v>0.210976694239836</v>
      </c>
      <c r="AJ30" s="215">
        <f>IF(AND(ISNUMBER(AJ29),ISNUMBER(AJ23)),IFERROR(AJ29/AJ23,""),"")</f>
        <v>0.244299423023117</v>
      </c>
      <c r="AK30" s="215">
        <f>IF(AND(ISNUMBER(AK29),ISNUMBER(AK23)),IFERROR(AK29/AK23,""),"")</f>
        <v>0.219046906657973</v>
      </c>
      <c r="AL30" s="215">
        <f>IF(AND(ISNUMBER(AL29),ISNUMBER(AL23)),IFERROR(AL29/AL23,""),"")</f>
        <v>0.233730825629984</v>
      </c>
      <c r="AM30" s="215">
        <f>IF(AND(ISNUMBER(AM29),ISNUMBER(AM23)),IFERROR(AM29/AM23,""),"")</f>
        <v>0.224755126037755</v>
      </c>
      <c r="AN30" s="215">
        <f>IF(AND(ISNUMBER(AN29),ISNUMBER(AN23)),IFERROR(AN29/AN23,""),"")</f>
        <v>0.239913189863308</v>
      </c>
      <c r="AO30" s="256">
        <f>AO31+$AO$116</f>
        <v>0.245817397355231</v>
      </c>
      <c r="AP30" s="256">
        <f>IF(AND(ISNUMBER(AP29),ISNUMBER(AP23)),IFERROR(AP29/AP23,""),"")</f>
        <v>0.236299269272</v>
      </c>
      <c r="AQ30" s="256">
        <f>CHOOSE(MATCH($AV$2,{"Bull","Base","Bear"},0),$BE$76,$BF$76,$BG$76)</f>
        <v>0.24</v>
      </c>
      <c r="AR30" s="256">
        <f>CHOOSE(MATCH($AV$2,{"Bull","Base","Bear"},0),$BE$77,$BF$77,$BG$77)</f>
        <v>0.245</v>
      </c>
      <c r="AS30" s="256">
        <f>CHOOSE(MATCH($AV$2,{"Bull","Base","Bear"},0),$BE$78,$BF$78,$BG$78)</f>
        <v>0.25</v>
      </c>
      <c r="AT30" s="256">
        <f>CHOOSE(MATCH($AV$2,{"Bull","Base","Bear"},0),$BE$79,$BF$79,$BG$79)</f>
        <v>0.253</v>
      </c>
      <c r="AU30" s="256">
        <f>CHOOSE(MATCH($AV$2,{"Bull","Base","Bear"},0),$BE$80,$BF$80,$BG$80)</f>
        <v>0.255</v>
      </c>
      <c r="AV30" s="153" t="inlineStr">
        <is>
          <t>Q4/26E: margin before calibration + adjusted-EPS-guidance calibration Δ (Group block). 2027E+: scenario lever.</t>
        </is>
      </c>
      <c r="AX30" s="37">
        <f>IFERROR(AVERAGE(AQ30,AR30,AS30,AT30,AU30),"n/m")</f>
        <v>0.2486</v>
      </c>
      <c r="AY30" s="37">
        <f>IFERROR(AVERAGE(Q30,V30,AA30,AF30,AK30),"n/m")</f>
        <v>0.178397776002253</v>
      </c>
      <c r="AZ30" s="37">
        <f>IFERROR(AVERAGE(H30,I30,J30,K30,L30,Q30,V30,AA30,AF30,AK30),"n/m")</f>
        <v>0.186789274523196</v>
      </c>
      <c r="BA30" s="37">
        <f>IFERROR(AVERAGE(C30,D30,E30,F30,G30,H30,I30,J30,K30,L30,Q30,V30,AA30,AF30,AK30),"n/m")</f>
        <v>0.175459071050501</v>
      </c>
    </row>
    <row r="31" ht="15" customHeight="1" s="251">
      <c r="B31" s="25" t="inlineStr">
        <is>
          <t xml:space="preserve">  Q4/26E margin before EPS calibration (prior-year quarter + 9M FY26 y/y drift)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256">
        <f>AJ30+IFERROR(SUM(AL29:AN29)/SUM(AL23:AN23)-SUM(AG29:AI29)/SUM(AG23:AI23),0)</f>
        <v>0.268149343471069</v>
      </c>
      <c r="AP31" s="24" t="n"/>
      <c r="AQ31" s="46" t="n"/>
      <c r="AR31" s="46" t="n"/>
      <c r="AS31" s="46" t="n"/>
      <c r="AT31" s="46" t="n"/>
      <c r="AU31" s="46" t="n"/>
      <c r="AV31" s="19" t="n"/>
      <c r="BD31" s="25" t="inlineStr">
        <is>
          <t xml:space="preserve">  Maximum net debt / adjusted EBITDA before buybacks (x) — buyback floor 2027E+</t>
        </is>
      </c>
      <c r="BE31" s="264" t="n">
        <v>1.75</v>
      </c>
      <c r="BF31" s="264" t="n">
        <v>1.25</v>
      </c>
      <c r="BG31" s="264" t="n">
        <v>0.75</v>
      </c>
      <c r="BH31" s="13" t="inlineStr">
        <is>
          <t>Net debt $867m at 30-Jun-26 ≈ 1.0x adjusted EBITDA (FY2021–25 0.5–1.1x); company "EBITDA leverage" (total debt / TTM EBITDA) 1.6x. Target = leverage up to which surplus cash is returned via buybacks ($1.8bn three-year authorization to Nov-2028); below it free cash flow repays the revolver. Bull = more buybacks (higher target).</t>
        </is>
      </c>
    </row>
    <row r="32" ht="15" customHeight="1" s="251">
      <c r="B32" s="25" t="inlineStr">
        <is>
          <t xml:space="preserve">  Incremental segment margin (Δ earnings / Δ sales)</t>
        </is>
      </c>
      <c r="C32" s="36" t="n"/>
      <c r="D32" s="215">
        <f>IFERROR((D29-C29)/(D23-C23),"")</f>
        <v>0.0130063523779005</v>
      </c>
      <c r="E32" s="215">
        <f>IFERROR((E29-D29)/(E23-D23),"")</f>
        <v>0.217238835749785</v>
      </c>
      <c r="F32" s="215">
        <f>IFERROR((F29-E29)/(F23-E23),"")</f>
        <v>-0.306989533439774</v>
      </c>
      <c r="G32" s="215">
        <f>IFERROR((G29-F29)/(G23-F23),"")</f>
        <v>0.371425225740977</v>
      </c>
      <c r="H32" s="215">
        <f>IFERROR((H29-G29)/(H23-G23),"")</f>
        <v>0.614430166129501</v>
      </c>
      <c r="I32" s="215">
        <f>IFERROR((I29-H29)/(I23-H23),"")</f>
        <v>0.234942242334857</v>
      </c>
      <c r="J32" s="215">
        <f>IFERROR((J29-I29)/(J23-I23),"")</f>
        <v>0.203988889352605</v>
      </c>
      <c r="K32" s="215">
        <f>IFERROR((K29-J29)/(K23-J23),"")</f>
        <v>0.270742127912889</v>
      </c>
      <c r="L32" s="215">
        <f>IFERROR((L29-K29)/(L23-K23),"")</f>
        <v>0.272792576245782</v>
      </c>
      <c r="M32" s="36" t="n"/>
      <c r="N32" s="36" t="n"/>
      <c r="O32" s="36" t="n"/>
      <c r="P32" s="36" t="n"/>
      <c r="Q32" s="215">
        <f>IFERROR((Q29-L29)/(Q23-L23),"")</f>
        <v>0.405579996360639</v>
      </c>
      <c r="R32" s="215">
        <f>IFERROR((R29-M29)/(R23-M23),"")</f>
        <v>0.31263542795233</v>
      </c>
      <c r="S32" s="215">
        <f>IFERROR((S29-N29)/(S23-N23),"")</f>
        <v>-1.14259098248665</v>
      </c>
      <c r="T32" s="215">
        <f>IFERROR((T29-O29)/(T23-O23),"")</f>
        <v>0.055904605263158</v>
      </c>
      <c r="U32" s="215">
        <f>IFERROR((U29-P29)/(U23-P23),"")</f>
        <v>-0.0709174950927628</v>
      </c>
      <c r="V32" s="215">
        <f>IFERROR((V29-Q29)/(V23-Q23),"")</f>
        <v>-0.0297122520723927</v>
      </c>
      <c r="W32" s="215">
        <f>IFERROR((W29-R29)/(W23-R23),"")</f>
        <v>0.0734345991561181</v>
      </c>
      <c r="X32" s="215">
        <f>IFERROR((X29-S29)/(X23-S23),"")</f>
        <v>0.210161842514783</v>
      </c>
      <c r="Y32" s="215">
        <f>IFERROR((Y29-T29)/(Y23-T23),"")</f>
        <v>0.336327535238965</v>
      </c>
      <c r="Z32" s="215">
        <f>IFERROR((Z29-U29)/(Z23-U23),"")</f>
        <v>0.31873762163093</v>
      </c>
      <c r="AA32" s="215">
        <f>IFERROR((AA29-V29)/(AA23-V23),"")</f>
        <v>0.237843726008015</v>
      </c>
      <c r="AB32" s="215">
        <f>IFERROR((AB29-W29)/(AB23-W23),"")</f>
        <v>0.36218899356088</v>
      </c>
      <c r="AC32" s="215">
        <f>IFERROR((AC29-X29)/(AC23-X23),"")</f>
        <v>0.415521943962311</v>
      </c>
      <c r="AD32" s="215">
        <f>IFERROR((AD29-Y29)/(AD23-Y23),"")</f>
        <v>0.5068189797186</v>
      </c>
      <c r="AE32" s="215">
        <f>IFERROR((AE29-Z29)/(AE23-Z23),"")</f>
        <v>0.28374183006536</v>
      </c>
      <c r="AF32" s="215">
        <f>IFERROR((AF29-AA29)/(AF23-AA23),"")</f>
        <v>0.3656449724584</v>
      </c>
      <c r="AG32" s="215">
        <f>IFERROR((AG29-AB29)/(AG23-AB23),"")</f>
        <v>0.474642274950191</v>
      </c>
      <c r="AH32" s="215">
        <f>IFERROR((AH29-AC29)/(AH23-AC23),"")</f>
        <v>0.40744662628276</v>
      </c>
      <c r="AI32" s="215">
        <f>IFERROR((AI29-AD29)/(AI23-AD23),"")</f>
        <v>0.304704832334565</v>
      </c>
      <c r="AJ32" s="215">
        <f>IFERROR((AJ29-AE29)/(AJ23-AE23),"")</f>
        <v>0.511617396116774</v>
      </c>
      <c r="AK32" s="215">
        <f>IFERROR((AK29-AF29)/(AK23-AF23),"")</f>
        <v>0.426664743057413</v>
      </c>
      <c r="AL32" s="215">
        <f>IFERROR((AL29-AG29)/(AL23-AG23),"")</f>
        <v>0.380597808743751</v>
      </c>
      <c r="AM32" s="215">
        <f>IFERROR((AM29-AH29)/(AM23-AH23),"")</f>
        <v>0.236305723487203</v>
      </c>
      <c r="AN32" s="215">
        <f>IFERROR((AN29-AI29)/(AN23-AI23),"")</f>
        <v>0.392960783791699</v>
      </c>
      <c r="AO32" s="256">
        <f>IFERROR((AO29-AJ29)/(AO23-AJ23),"")</f>
        <v>0.256486511629308</v>
      </c>
      <c r="AP32" s="256">
        <f>IFERROR((AP29-AK29)/(AP23-AK23),"")</f>
        <v>0.317836370905667</v>
      </c>
      <c r="AQ32" s="256">
        <f>IFERROR((AQ29-AP29)/(AQ23-AP23),"")</f>
        <v>0.27785369683614</v>
      </c>
      <c r="AR32" s="256">
        <f>IFERROR((AR29-AQ29)/(AR23-AQ23),"")</f>
        <v>0.305220596704662</v>
      </c>
      <c r="AS32" s="256">
        <f>IFERROR((AS29-AR29)/(AS23-AR23),"")</f>
        <v>0.321301056251773</v>
      </c>
      <c r="AT32" s="256">
        <f>IFERROR((AT29-AS29)/(AT23-AS23),"")</f>
        <v>0.303174870973205</v>
      </c>
      <c r="AU32" s="256">
        <f>IFERROR((AU29-AT29)/(AU23-AT23),"")</f>
        <v>0.290418161947848</v>
      </c>
      <c r="AV32" s="153" t="n"/>
    </row>
    <row r="33" ht="15" customHeight="1" s="251">
      <c r="B33" s="156" t="inlineStr">
        <is>
          <t xml:space="preserve">  Memo: Aerospace segment earnings as restated in the following year's release (where different)</t>
        </is>
      </c>
      <c r="C33" s="34" t="n"/>
      <c r="D33" s="34" t="n"/>
      <c r="E33" s="34" t="n"/>
      <c r="F33" s="34" t="n"/>
      <c r="G33" s="34" t="n"/>
      <c r="H33" s="34" t="n"/>
      <c r="I33" s="34" t="n"/>
      <c r="J33" s="253" t="n">
        <v>308.553</v>
      </c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153" t="n"/>
      <c r="AP33" s="153" t="n"/>
      <c r="AQ33" s="153" t="n"/>
      <c r="AR33" s="153" t="n"/>
      <c r="AS33" s="153" t="n"/>
      <c r="AT33" s="153" t="n"/>
      <c r="AU33" s="153" t="n"/>
      <c r="AV33" s="153" t="inlineStr">
        <is>
          <t>FY2018 restated in the FY2019 release (pension-cost reclassification, ASU 2017-07); the model keeps the originally reported figure.</t>
        </is>
      </c>
      <c r="BD33" s="15" t="inlineStr">
        <is>
          <t>AERO_COEM (Commercial OEM y/y)</t>
        </is>
      </c>
      <c r="BE33" s="41" t="n">
        <v>0.04</v>
      </c>
      <c r="BF33" s="21" t="inlineStr">
        <is>
          <t>Δ →</t>
        </is>
      </c>
      <c r="BG33" s="41" t="n">
        <v>-0.06</v>
      </c>
      <c r="BH33" s="13" t="inlineStr">
        <is>
          <t>9M FY26 +29% (airframer rate increases after the FY25 Boeing work stoppage / inventory normalisation); 737 / A320 / 787 / A350 ramps, A350 spoiler actuation from Spartanburg (2027).</t>
        </is>
      </c>
    </row>
    <row r="34" ht="15" customHeight="1" s="251">
      <c r="BD34" s="25" t="inlineStr">
        <is>
          <t xml:space="preserve">  2027E</t>
        </is>
      </c>
      <c r="BE34" s="33">
        <f>BF34+$BE$33</f>
        <v>0.18</v>
      </c>
      <c r="BF34" s="42" t="n">
        <v>0.14</v>
      </c>
      <c r="BG34" s="33">
        <f>BF34+$BG$33</f>
        <v>0.08</v>
      </c>
    </row>
    <row r="35" ht="15" customHeight="1" s="251">
      <c r="B35" s="14" t="inlineStr">
        <is>
          <t>Industrial ("Energy" to FY2015; fuel, combustion, ignition &amp; control systems for gas turbines, reciprocating engines and compressors; L'Orange fuel injection from Jun-2018)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5" t="inlineStr">
        <is>
          <t>INDUSTRIAL — modelling logic</t>
        </is>
      </c>
      <c r="BD35" s="25" t="inlineStr">
        <is>
          <t xml:space="preserve">  2028E</t>
        </is>
      </c>
      <c r="BE35" s="33">
        <f>BF35+$BE$33</f>
        <v>0.15</v>
      </c>
      <c r="BF35" s="42" t="n">
        <v>0.11</v>
      </c>
      <c r="BG35" s="33">
        <f>BF35+$BG$33</f>
        <v>0.05</v>
      </c>
    </row>
    <row r="36" ht="15" customHeight="1" s="251">
      <c r="B36" s="25" t="inlineStr">
        <is>
          <t xml:space="preserve">  Power generation sales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253" t="n">
        <v>292.47</v>
      </c>
      <c r="R36" s="34" t="n"/>
      <c r="S36" s="34" t="n"/>
      <c r="T36" s="34" t="n"/>
      <c r="U36" s="34" t="n"/>
      <c r="V36" s="253" t="n">
        <v>317.026</v>
      </c>
      <c r="W36" s="253" t="n">
        <v>81.577</v>
      </c>
      <c r="X36" s="253" t="n">
        <v>94.01300000000001</v>
      </c>
      <c r="Y36" s="253" t="n">
        <v>101.387</v>
      </c>
      <c r="Z36" s="253" t="n">
        <v>105.559</v>
      </c>
      <c r="AA36" s="253" t="n">
        <v>382.536</v>
      </c>
      <c r="AB36" s="253" t="n">
        <v>98.10599999999999</v>
      </c>
      <c r="AC36" s="253" t="n">
        <v>106.811</v>
      </c>
      <c r="AD36" s="253" t="n">
        <v>109.583</v>
      </c>
      <c r="AE36" s="253" t="n">
        <v>109.372</v>
      </c>
      <c r="AF36" s="253" t="n">
        <v>423.872</v>
      </c>
      <c r="AG36" s="253" t="n">
        <v>105.219</v>
      </c>
      <c r="AH36" s="253" t="n">
        <v>111.047</v>
      </c>
      <c r="AI36" s="253" t="n">
        <v>109.341</v>
      </c>
      <c r="AJ36" s="253" t="n">
        <v>163.333</v>
      </c>
      <c r="AK36" s="253" t="n">
        <v>488.94</v>
      </c>
      <c r="AL36" s="253" t="n">
        <v>122.84</v>
      </c>
      <c r="AM36" s="253" t="n">
        <v>135.87</v>
      </c>
      <c r="AN36" s="253" t="n">
        <v>144.675</v>
      </c>
      <c r="AO36" s="254">
        <f>AJ36*(1+AO37)</f>
        <v>186.087205336705</v>
      </c>
      <c r="AP36" s="254">
        <f>SUM(AL36:AO36)</f>
        <v>589.472205336705</v>
      </c>
      <c r="AQ36" s="254">
        <f>AP36*(1+AQ37)</f>
        <v>660.20886997711</v>
      </c>
      <c r="AR36" s="254">
        <f>AQ36*(1+AR37)</f>
        <v>726.229756974821</v>
      </c>
      <c r="AS36" s="254">
        <f>AR36*(1+AS37)</f>
        <v>784.328137532806</v>
      </c>
      <c r="AT36" s="254">
        <f>AS36*(1+AT37)</f>
        <v>831.387825784775</v>
      </c>
      <c r="AU36" s="254">
        <f>AT36*(1+AU37)</f>
        <v>872.957217074014</v>
      </c>
      <c r="AV36" s="19" t="inlineStr">
        <is>
          <t>Sales by primary market (10-Q / 10-K revenue-disaggregation note, from FY2019; Q4 = fiscal year − nine months). Q4/26E: prior-year quarter × (1 + growth). 2027E+: prior year × (1 + scenario lever).</t>
        </is>
      </c>
      <c r="AX36" s="20">
        <f>IFERROR((AU36/AP36)^(1/5)-1,"n/m")</f>
        <v>0.0816977479614276</v>
      </c>
      <c r="AY36" s="20" t="str">
        <f>IFERROR((AK36/L36)^(1/5)-1,"n/m")</f>
        <v>n/m</v>
      </c>
      <c r="AZ36" s="20" t="str">
        <f>IFERROR((AK36/G36)^(1/10)-1,"n/m")</f>
        <v>n/m</v>
      </c>
      <c r="BA36" s="20" t="str">
        <f>IFERROR((AK36/C36)^(1/14)-1,"n/m")</f>
        <v>n/m</v>
      </c>
      <c r="BD36" s="25" t="inlineStr">
        <is>
          <t xml:space="preserve">  2029E</t>
        </is>
      </c>
      <c r="BE36" s="33">
        <f>BF36+$BE$33</f>
        <v>0.13</v>
      </c>
      <c r="BF36" s="42" t="n">
        <v>0.09</v>
      </c>
      <c r="BG36" s="33">
        <f>BF36+$BG$33</f>
        <v>0.03</v>
      </c>
    </row>
    <row r="37" ht="15" customHeight="1" s="251">
      <c r="B37" s="22" t="inlineStr">
        <is>
          <t xml:space="preserve">    y/y %</t>
        </is>
      </c>
      <c r="C37" s="23" t="n"/>
      <c r="D37" s="255">
        <f>IF(AND(ISNUMBER(D36),ISNUMBER(C36)),IFERROR(D36/C36-1,""),"")</f>
      </c>
      <c r="E37" s="255">
        <f>IF(AND(ISNUMBER(E36),ISNUMBER(D36)),IFERROR(E36/D36-1,""),"")</f>
      </c>
      <c r="F37" s="255">
        <f>IF(AND(ISNUMBER(F36),ISNUMBER(E36)),IFERROR(F36/E36-1,""),"")</f>
      </c>
      <c r="G37" s="255">
        <f>IF(AND(ISNUMBER(G36),ISNUMBER(F36)),IFERROR(G36/F36-1,""),"")</f>
      </c>
      <c r="H37" s="255">
        <f>IF(AND(ISNUMBER(H36),ISNUMBER(G36)),IFERROR(H36/G36-1,""),"")</f>
      </c>
      <c r="I37" s="255">
        <f>IF(AND(ISNUMBER(I36),ISNUMBER(H36)),IFERROR(I36/H36-1,""),"")</f>
      </c>
      <c r="J37" s="255">
        <f>IF(AND(ISNUMBER(J36),ISNUMBER(I36)),IFERROR(J36/I36-1,""),"")</f>
      </c>
      <c r="K37" s="255">
        <f>IF(AND(ISNUMBER(K36),ISNUMBER(J36)),IFERROR(K36/J36-1,""),"")</f>
      </c>
      <c r="L37" s="255">
        <f>IF(AND(ISNUMBER(L36),ISNUMBER(K36)),IFERROR(L36/K36-1,""),"")</f>
      </c>
      <c r="M37" s="23" t="n"/>
      <c r="N37" s="23" t="n"/>
      <c r="O37" s="23" t="n"/>
      <c r="P37" s="23" t="n"/>
      <c r="Q37" s="255">
        <f>IF(AND(ISNUMBER(Q36),ISNUMBER(L36)),IFERROR(Q36/L36-1,""),"")</f>
      </c>
      <c r="R37" s="255">
        <f>IF(AND(ISNUMBER(R36),ISNUMBER(M36)),IFERROR(R36/M36-1,""),"")</f>
      </c>
      <c r="S37" s="255">
        <f>IF(AND(ISNUMBER(S36),ISNUMBER(N36)),IFERROR(S36/N36-1,""),"")</f>
      </c>
      <c r="T37" s="255">
        <f>IF(AND(ISNUMBER(T36),ISNUMBER(O36)),IFERROR(T36/O36-1,""),"")</f>
      </c>
      <c r="U37" s="255">
        <f>IF(AND(ISNUMBER(U36),ISNUMBER(P36)),IFERROR(U36/P36-1,""),"")</f>
      </c>
      <c r="V37" s="255">
        <f>IF(AND(ISNUMBER(V36),ISNUMBER(Q36)),IFERROR(V36/Q36-1,""),"")</f>
        <v>0.0839607481109173</v>
      </c>
      <c r="W37" s="255">
        <f>IF(AND(ISNUMBER(W36),ISNUMBER(R36)),IFERROR(W36/R36-1,""),"")</f>
      </c>
      <c r="X37" s="255">
        <f>IF(AND(ISNUMBER(X36),ISNUMBER(S36)),IFERROR(X36/S36-1,""),"")</f>
      </c>
      <c r="Y37" s="255">
        <f>IF(AND(ISNUMBER(Y36),ISNUMBER(T36)),IFERROR(Y36/T36-1,""),"")</f>
      </c>
      <c r="Z37" s="255">
        <f>IF(AND(ISNUMBER(Z36),ISNUMBER(U36)),IFERROR(Z36/U36-1,""),"")</f>
      </c>
      <c r="AA37" s="255">
        <f>IF(AND(ISNUMBER(AA36),ISNUMBER(V36)),IFERROR(AA36/V36-1,""),"")</f>
        <v>0.206639203093753</v>
      </c>
      <c r="AB37" s="255">
        <f>IF(AND(ISNUMBER(AB36),ISNUMBER(W36)),IFERROR(AB36/W36-1,""),"")</f>
        <v>0.202618385084031</v>
      </c>
      <c r="AC37" s="255">
        <f>IF(AND(ISNUMBER(AC36),ISNUMBER(X36)),IFERROR(AC36/X36-1,""),"")</f>
        <v>0.136130109665685</v>
      </c>
      <c r="AD37" s="255">
        <f>IF(AND(ISNUMBER(AD36),ISNUMBER(Y36)),IFERROR(AD36/Y36-1,""),"")</f>
        <v>0.0808387663112629</v>
      </c>
      <c r="AE37" s="255">
        <f>IF(AND(ISNUMBER(AE36),ISNUMBER(Z36)),IFERROR(AE36/Z36-1,""),"")</f>
        <v>0.0361219791775216</v>
      </c>
      <c r="AF37" s="255">
        <f>IF(AND(ISNUMBER(AF36),ISNUMBER(AA36)),IFERROR(AF36/AA36-1,""),"")</f>
        <v>0.108057803709978</v>
      </c>
      <c r="AG37" s="255">
        <f>IF(AND(ISNUMBER(AG36),ISNUMBER(AB36)),IFERROR(AG36/AB36-1,""),"")</f>
        <v>0.0725032108127943</v>
      </c>
      <c r="AH37" s="255">
        <f>IF(AND(ISNUMBER(AH36),ISNUMBER(AC36)),IFERROR(AH36/AC36-1,""),"")</f>
        <v>0.0396588366366759</v>
      </c>
      <c r="AI37" s="255">
        <f>IF(AND(ISNUMBER(AI36),ISNUMBER(AD36)),IFERROR(AI36/AD36-1,""),"")</f>
        <v>-0.00220837173649202</v>
      </c>
      <c r="AJ37" s="255">
        <f>IF(AND(ISNUMBER(AJ36),ISNUMBER(AE36)),IFERROR(AJ36/AE36-1,""),"")</f>
        <v>0.493371246754197</v>
      </c>
      <c r="AK37" s="255">
        <f>IF(AND(ISNUMBER(AK36),ISNUMBER(AF36)),IFERROR(AK36/AF36-1,""),"")</f>
        <v>0.153508606371735</v>
      </c>
      <c r="AL37" s="255">
        <f>IF(AND(ISNUMBER(AL36),ISNUMBER(AG36)),IFERROR(AL36/AG36-1,""),"")</f>
        <v>0.167469753561619</v>
      </c>
      <c r="AM37" s="255">
        <f>IF(AND(ISNUMBER(AM36),ISNUMBER(AH36)),IFERROR(AM36/AH36-1,""),"")</f>
        <v>0.223535980260611</v>
      </c>
      <c r="AN37" s="255">
        <f>IF(AND(ISNUMBER(AN36),ISNUMBER(AI36)),IFERROR(AN36/AI36-1,""),"")</f>
        <v>0.323154169067413</v>
      </c>
      <c r="AO37" s="256">
        <f>AO38+$AO$109</f>
        <v>0.139311745554817</v>
      </c>
      <c r="AP37" s="256">
        <f>IF(AND(ISNUMBER(AP36),ISNUMBER(AK36)),IFERROR(AP36/AK36-1,""),"")</f>
        <v>0.205612560511934</v>
      </c>
      <c r="AQ37" s="256">
        <f>CHOOSE(MATCH($AV$2,{"Bull","Base","Bear"},0),$BE$58,$BF$58,$BG$58)</f>
        <v>0.12</v>
      </c>
      <c r="AR37" s="256">
        <f>CHOOSE(MATCH($AV$2,{"Bull","Base","Bear"},0),$BE$59,$BF$59,$BG$59)</f>
        <v>0.1</v>
      </c>
      <c r="AS37" s="256">
        <f>CHOOSE(MATCH($AV$2,{"Bull","Base","Bear"},0),$BE$60,$BF$60,$BG$60)</f>
        <v>0.08</v>
      </c>
      <c r="AT37" s="256">
        <f>CHOOSE(MATCH($AV$2,{"Bull","Base","Bear"},0),$BE$61,$BF$61,$BG$61)</f>
        <v>0.06</v>
      </c>
      <c r="AU37" s="256">
        <f>CHOOSE(MATCH($AV$2,{"Bull","Base","Bear"},0),$BE$62,$BF$62,$BG$62)</f>
        <v>0.05</v>
      </c>
      <c r="AV37" s="153" t="inlineStr">
        <is>
          <t>Q4/26E: 9M FY26 y/y growth of the market + sales-guidance calibration Δ (Group block). 2027E–2031E: scenario lever (Bull/Base/Bear table →).</t>
        </is>
      </c>
      <c r="BD37" s="25" t="inlineStr">
        <is>
          <t xml:space="preserve">  2030E</t>
        </is>
      </c>
      <c r="BE37" s="33">
        <f>BF37+$BE$33</f>
        <v>0.11</v>
      </c>
      <c r="BF37" s="42" t="n">
        <v>0.07000000000000001</v>
      </c>
      <c r="BG37" s="33">
        <f>BF37+$BG$33</f>
        <v>0.01</v>
      </c>
    </row>
    <row r="38" ht="15" customHeight="1" s="251">
      <c r="B38" s="25" t="inlineStr">
        <is>
          <t xml:space="preserve">    Q4/26E growth before sales calibration (9M FY26 y/y)</t>
        </is>
      </c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256">
        <f>IFERROR(SUM(AL36:AN36)/SUM(AG36:AI36)-1,0)</f>
        <v>0.238870785947477</v>
      </c>
      <c r="AP38" s="24" t="n"/>
      <c r="AQ38" s="46" t="n"/>
      <c r="AR38" s="46" t="n"/>
      <c r="AS38" s="46" t="n"/>
      <c r="AT38" s="46" t="n"/>
      <c r="AU38" s="46" t="n"/>
      <c r="AV38" s="19" t="n"/>
      <c r="BD38" s="25" t="inlineStr">
        <is>
          <t xml:space="preserve">  2031E</t>
        </is>
      </c>
      <c r="BE38" s="33">
        <f>BF38+$BE$33</f>
        <v>0.1</v>
      </c>
      <c r="BF38" s="42" t="n">
        <v>0.06</v>
      </c>
      <c r="BG38" s="33">
        <f>BF38+$BG$33</f>
        <v>0</v>
      </c>
    </row>
    <row r="39" ht="15" customHeight="1" s="251">
      <c r="B39" s="25" t="inlineStr">
        <is>
          <t xml:space="preserve">  Transportation sales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253" t="n">
        <v>399.002</v>
      </c>
      <c r="R39" s="34" t="n"/>
      <c r="S39" s="34" t="n"/>
      <c r="T39" s="34" t="n"/>
      <c r="U39" s="34" t="n"/>
      <c r="V39" s="253" t="n">
        <v>354.682</v>
      </c>
      <c r="W39" s="253" t="n">
        <v>88.91500000000001</v>
      </c>
      <c r="X39" s="253" t="n">
        <v>118.777</v>
      </c>
      <c r="Y39" s="253" t="n">
        <v>158.039</v>
      </c>
      <c r="Z39" s="253" t="n">
        <v>161.767</v>
      </c>
      <c r="AA39" s="253" t="n">
        <v>527.498</v>
      </c>
      <c r="AB39" s="253" t="n">
        <v>174.469</v>
      </c>
      <c r="AC39" s="253" t="n">
        <v>173.786</v>
      </c>
      <c r="AD39" s="253" t="n">
        <v>163.31</v>
      </c>
      <c r="AE39" s="253" t="n">
        <v>130.609</v>
      </c>
      <c r="AF39" s="253" t="n">
        <v>642.174</v>
      </c>
      <c r="AG39" s="253" t="n">
        <v>116.606</v>
      </c>
      <c r="AH39" s="253" t="n">
        <v>141.734</v>
      </c>
      <c r="AI39" s="253" t="n">
        <v>143.652</v>
      </c>
      <c r="AJ39" s="253" t="n">
        <v>105.384</v>
      </c>
      <c r="AK39" s="253" t="n">
        <v>507.376</v>
      </c>
      <c r="AL39" s="253" t="n">
        <v>166.308</v>
      </c>
      <c r="AM39" s="253" t="n">
        <v>176.914</v>
      </c>
      <c r="AN39" s="253" t="n">
        <v>180.155</v>
      </c>
      <c r="AO39" s="254">
        <f>AJ39*(1+AO40)</f>
        <v>126.713690517517</v>
      </c>
      <c r="AP39" s="254">
        <f>SUM(AL39:AO39)</f>
        <v>650.090690517517</v>
      </c>
      <c r="AQ39" s="254">
        <f>AP39*(1+AQ40)</f>
        <v>650.090690517517</v>
      </c>
      <c r="AR39" s="254">
        <f>AQ39*(1+AR40)</f>
        <v>676.094318138218</v>
      </c>
      <c r="AS39" s="254">
        <f>AR39*(1+AS40)</f>
        <v>703.138090863747</v>
      </c>
      <c r="AT39" s="254">
        <f>AS39*(1+AT40)</f>
        <v>724.232233589659</v>
      </c>
      <c r="AU39" s="254">
        <f>AT39*(1+AU40)</f>
        <v>745.959200597349</v>
      </c>
      <c r="AV39" s="19" t="n"/>
      <c r="AX39" s="20">
        <f>IFERROR((AU39/AP39)^(1/5)-1,"n/m")</f>
        <v>0.0278937505115704</v>
      </c>
      <c r="AY39" s="20" t="str">
        <f>IFERROR((AK39/L39)^(1/5)-1,"n/m")</f>
        <v>n/m</v>
      </c>
      <c r="AZ39" s="20" t="str">
        <f>IFERROR((AK39/G39)^(1/10)-1,"n/m")</f>
        <v>n/m</v>
      </c>
      <c r="BA39" s="20" t="str">
        <f>IFERROR((AK39/C39)^(1/14)-1,"n/m")</f>
        <v>n/m</v>
      </c>
      <c r="BD39" s="15" t="inlineStr">
        <is>
          <t>AERO_CSERV (Commercial services y/y)</t>
        </is>
      </c>
      <c r="BE39" s="41" t="n">
        <v>0.03</v>
      </c>
      <c r="BF39" s="21" t="inlineStr">
        <is>
          <t>Δ →</t>
        </is>
      </c>
      <c r="BG39" s="41" t="n">
        <v>-0.06</v>
      </c>
      <c r="BH39" s="13" t="inlineStr">
        <is>
          <t>9M FY26 +36% (FY25 +29%, partly advance purchases); high utilisation of legacy fleets, price; normalising toward high-single digits.</t>
        </is>
      </c>
    </row>
    <row r="40" ht="15" customHeight="1" s="251">
      <c r="B40" s="22" t="inlineStr">
        <is>
          <t xml:space="preserve">    y/y %</t>
        </is>
      </c>
      <c r="C40" s="23" t="n"/>
      <c r="D40" s="255">
        <f>IF(AND(ISNUMBER(D39),ISNUMBER(C39)),IFERROR(D39/C39-1,""),"")</f>
      </c>
      <c r="E40" s="255">
        <f>IF(AND(ISNUMBER(E39),ISNUMBER(D39)),IFERROR(E39/D39-1,""),"")</f>
      </c>
      <c r="F40" s="255">
        <f>IF(AND(ISNUMBER(F39),ISNUMBER(E39)),IFERROR(F39/E39-1,""),"")</f>
      </c>
      <c r="G40" s="255">
        <f>IF(AND(ISNUMBER(G39),ISNUMBER(F39)),IFERROR(G39/F39-1,""),"")</f>
      </c>
      <c r="H40" s="255">
        <f>IF(AND(ISNUMBER(H39),ISNUMBER(G39)),IFERROR(H39/G39-1,""),"")</f>
      </c>
      <c r="I40" s="255">
        <f>IF(AND(ISNUMBER(I39),ISNUMBER(H39)),IFERROR(I39/H39-1,""),"")</f>
      </c>
      <c r="J40" s="255">
        <f>IF(AND(ISNUMBER(J39),ISNUMBER(I39)),IFERROR(J39/I39-1,""),"")</f>
      </c>
      <c r="K40" s="255">
        <f>IF(AND(ISNUMBER(K39),ISNUMBER(J39)),IFERROR(K39/J39-1,""),"")</f>
      </c>
      <c r="L40" s="255">
        <f>IF(AND(ISNUMBER(L39),ISNUMBER(K39)),IFERROR(L39/K39-1,""),"")</f>
      </c>
      <c r="M40" s="23" t="n"/>
      <c r="N40" s="23" t="n"/>
      <c r="O40" s="23" t="n"/>
      <c r="P40" s="23" t="n"/>
      <c r="Q40" s="255">
        <f>IF(AND(ISNUMBER(Q39),ISNUMBER(L39)),IFERROR(Q39/L39-1,""),"")</f>
      </c>
      <c r="R40" s="255">
        <f>IF(AND(ISNUMBER(R39),ISNUMBER(M39)),IFERROR(R39/M39-1,""),"")</f>
      </c>
      <c r="S40" s="255">
        <f>IF(AND(ISNUMBER(S39),ISNUMBER(N39)),IFERROR(S39/N39-1,""),"")</f>
      </c>
      <c r="T40" s="255">
        <f>IF(AND(ISNUMBER(T39),ISNUMBER(O39)),IFERROR(T39/O39-1,""),"")</f>
      </c>
      <c r="U40" s="255">
        <f>IF(AND(ISNUMBER(U39),ISNUMBER(P39)),IFERROR(U39/P39-1,""),"")</f>
      </c>
      <c r="V40" s="255">
        <f>IF(AND(ISNUMBER(V39),ISNUMBER(Q39)),IFERROR(V39/Q39-1,""),"")</f>
        <v>-0.111077137457958</v>
      </c>
      <c r="W40" s="255">
        <f>IF(AND(ISNUMBER(W39),ISNUMBER(R39)),IFERROR(W39/R39-1,""),"")</f>
      </c>
      <c r="X40" s="255">
        <f>IF(AND(ISNUMBER(X39),ISNUMBER(S39)),IFERROR(X39/S39-1,""),"")</f>
      </c>
      <c r="Y40" s="255">
        <f>IF(AND(ISNUMBER(Y39),ISNUMBER(T39)),IFERROR(Y39/T39-1,""),"")</f>
      </c>
      <c r="Z40" s="255">
        <f>IF(AND(ISNUMBER(Z39),ISNUMBER(U39)),IFERROR(Z39/U39-1,""),"")</f>
      </c>
      <c r="AA40" s="255">
        <f>IF(AND(ISNUMBER(AA39),ISNUMBER(V39)),IFERROR(AA39/V39-1,""),"")</f>
        <v>0.487242092917036</v>
      </c>
      <c r="AB40" s="255">
        <f>IF(AND(ISNUMBER(AB39),ISNUMBER(W39)),IFERROR(AB39/W39-1,""),"")</f>
        <v>0.962199853792948</v>
      </c>
      <c r="AC40" s="255">
        <f>IF(AND(ISNUMBER(AC39),ISNUMBER(X39)),IFERROR(AC39/X39-1,""),"")</f>
        <v>0.463128383441239</v>
      </c>
      <c r="AD40" s="255">
        <f>IF(AND(ISNUMBER(AD39),ISNUMBER(Y39)),IFERROR(AD39/Y39-1,""),"")</f>
        <v>0.0333525269079151</v>
      </c>
      <c r="AE40" s="255">
        <f>IF(AND(ISNUMBER(AE39),ISNUMBER(Z39)),IFERROR(AE39/Z39-1,""),"")</f>
        <v>-0.192610359343995</v>
      </c>
      <c r="AF40" s="255">
        <f>IF(AND(ISNUMBER(AF39),ISNUMBER(AA39)),IFERROR(AF39/AA39-1,""),"")</f>
        <v>0.217396084914066</v>
      </c>
      <c r="AG40" s="255">
        <f>IF(AND(ISNUMBER(AG39),ISNUMBER(AB39)),IFERROR(AG39/AB39-1,""),"")</f>
        <v>-0.331652041336856</v>
      </c>
      <c r="AH40" s="255">
        <f>IF(AND(ISNUMBER(AH39),ISNUMBER(AC39)),IFERROR(AH39/AC39-1,""),"")</f>
        <v>-0.184433728838917</v>
      </c>
      <c r="AI40" s="255">
        <f>IF(AND(ISNUMBER(AI39),ISNUMBER(AD39)),IFERROR(AI39/AD39-1,""),"")</f>
        <v>-0.1203722980834</v>
      </c>
      <c r="AJ40" s="255">
        <f>IF(AND(ISNUMBER(AJ39),ISNUMBER(AE39)),IFERROR(AJ39/AE39-1,""),"")</f>
        <v>-0.193133704415469</v>
      </c>
      <c r="AK40" s="255">
        <f>IF(AND(ISNUMBER(AK39),ISNUMBER(AF39)),IFERROR(AK39/AF39-1,""),"")</f>
        <v>-0.209908840906047</v>
      </c>
      <c r="AL40" s="255">
        <f>IF(AND(ISNUMBER(AL39),ISNUMBER(AG39)),IFERROR(AL39/AG39-1,""),"")</f>
        <v>0.426238787026397</v>
      </c>
      <c r="AM40" s="255">
        <f>IF(AND(ISNUMBER(AM39),ISNUMBER(AH39)),IFERROR(AM39/AH39-1,""),"")</f>
        <v>0.248211438328136</v>
      </c>
      <c r="AN40" s="255">
        <f>IF(AND(ISNUMBER(AN39),ISNUMBER(AI39)),IFERROR(AN39/AI39-1,""),"")</f>
        <v>0.254107147829477</v>
      </c>
      <c r="AO40" s="256">
        <f>AO41+$AO$109</f>
        <v>0.202399705055011</v>
      </c>
      <c r="AP40" s="256">
        <f>IF(AND(ISNUMBER(AP39),ISNUMBER(AK39)),IFERROR(AP39/AK39-1,""),"")</f>
        <v>0.281279939369456</v>
      </c>
      <c r="AQ40" s="256">
        <f>CHOOSE(MATCH($AV$2,{"Bull","Base","Bear"},0),$BE$64,$BF$64,$BG$64)</f>
        <v>0</v>
      </c>
      <c r="AR40" s="256">
        <f>CHOOSE(MATCH($AV$2,{"Bull","Base","Bear"},0),$BE$65,$BF$65,$BG$65)</f>
        <v>0.04</v>
      </c>
      <c r="AS40" s="256">
        <f>CHOOSE(MATCH($AV$2,{"Bull","Base","Bear"},0),$BE$66,$BF$66,$BG$66)</f>
        <v>0.04</v>
      </c>
      <c r="AT40" s="256">
        <f>CHOOSE(MATCH($AV$2,{"Bull","Base","Bear"},0),$BE$67,$BF$67,$BG$67)</f>
        <v>0.03</v>
      </c>
      <c r="AU40" s="256">
        <f>CHOOSE(MATCH($AV$2,{"Bull","Base","Bear"},0),$BE$68,$BF$68,$BG$68)</f>
        <v>0.03</v>
      </c>
      <c r="AV40" s="153" t="n"/>
      <c r="BD40" s="25" t="inlineStr">
        <is>
          <t xml:space="preserve">  2027E</t>
        </is>
      </c>
      <c r="BE40" s="33">
        <f>BF40+$BE$39</f>
        <v>0.12</v>
      </c>
      <c r="BF40" s="42" t="n">
        <v>0.09</v>
      </c>
      <c r="BG40" s="33">
        <f>BF40+$BG$39</f>
        <v>0.03</v>
      </c>
    </row>
    <row r="41" ht="15" customHeight="1" s="251">
      <c r="B41" s="25" t="inlineStr">
        <is>
          <t xml:space="preserve">    Q4/26E growth before sales calibration (9M FY26 y/y)</t>
        </is>
      </c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256">
        <f>IFERROR(SUM(AL39:AN39)/SUM(AG39:AI39)-1,0)</f>
        <v>0.30195874544767</v>
      </c>
      <c r="AP41" s="24" t="n"/>
      <c r="AQ41" s="46" t="n"/>
      <c r="AR41" s="46" t="n"/>
      <c r="AS41" s="46" t="n"/>
      <c r="AT41" s="46" t="n"/>
      <c r="AU41" s="46" t="n"/>
      <c r="AV41" s="19" t="n"/>
      <c r="BD41" s="25" t="inlineStr">
        <is>
          <t xml:space="preserve">  2028E</t>
        </is>
      </c>
      <c r="BE41" s="33">
        <f>BF41+$BE$39</f>
        <v>0.11</v>
      </c>
      <c r="BF41" s="42" t="n">
        <v>0.08</v>
      </c>
      <c r="BG41" s="33">
        <f>BF41+$BG$39</f>
        <v>0.02</v>
      </c>
    </row>
    <row r="42" ht="15" customHeight="1" s="251">
      <c r="B42" s="25" t="inlineStr">
        <is>
          <t xml:space="preserve">  Oil and gas sales</t>
        </is>
      </c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253" t="n">
        <v>150.243</v>
      </c>
      <c r="R42" s="34" t="n"/>
      <c r="S42" s="34" t="n"/>
      <c r="T42" s="34" t="n"/>
      <c r="U42" s="34" t="n"/>
      <c r="V42" s="253" t="n">
        <v>191.76</v>
      </c>
      <c r="W42" s="253" t="n">
        <v>52.442</v>
      </c>
      <c r="X42" s="253" t="n">
        <v>68.407</v>
      </c>
      <c r="Y42" s="253" t="n">
        <v>60.706</v>
      </c>
      <c r="Z42" s="253" t="n">
        <v>54.874</v>
      </c>
      <c r="AA42" s="253" t="n">
        <v>236.429</v>
      </c>
      <c r="AB42" s="253" t="n">
        <v>53.399</v>
      </c>
      <c r="AC42" s="253" t="n">
        <v>57.234</v>
      </c>
      <c r="AD42" s="253" t="n">
        <v>57.235</v>
      </c>
      <c r="AE42" s="253" t="n">
        <v>61.717</v>
      </c>
      <c r="AF42" s="253" t="n">
        <v>229.585</v>
      </c>
      <c r="AG42" s="253" t="n">
        <v>57.018</v>
      </c>
      <c r="AH42" s="253" t="n">
        <v>69.119</v>
      </c>
      <c r="AI42" s="253" t="n">
        <v>66.46299999999999</v>
      </c>
      <c r="AJ42" s="253" t="n">
        <v>65.342</v>
      </c>
      <c r="AK42" s="253" t="n">
        <v>257.942</v>
      </c>
      <c r="AL42" s="253" t="n">
        <v>72.40900000000001</v>
      </c>
      <c r="AM42" s="253" t="n">
        <v>74.46299999999999</v>
      </c>
      <c r="AN42" s="253" t="n">
        <v>76.202</v>
      </c>
      <c r="AO42" s="254">
        <f>AJ42*(1+AO43)</f>
        <v>69.1753053321956</v>
      </c>
      <c r="AP42" s="254">
        <f>SUM(AL42:AO42)</f>
        <v>292.249305332196</v>
      </c>
      <c r="AQ42" s="254">
        <f>AP42*(1+AQ43)</f>
        <v>303.939277545483</v>
      </c>
      <c r="AR42" s="254">
        <f>AQ42*(1+AR43)</f>
        <v>316.096848647303</v>
      </c>
      <c r="AS42" s="254">
        <f>AR42*(1+AS43)</f>
        <v>325.579754106722</v>
      </c>
      <c r="AT42" s="254">
        <f>AS42*(1+AT43)</f>
        <v>335.347146729924</v>
      </c>
      <c r="AU42" s="254">
        <f>AT42*(1+AU43)</f>
        <v>345.407561131821</v>
      </c>
      <c r="AV42" s="19" t="n"/>
      <c r="AX42" s="20">
        <f>IFERROR((AU42/AP42)^(1/5)-1,"n/m")</f>
        <v>0.0339884094626439</v>
      </c>
      <c r="AY42" s="20" t="str">
        <f>IFERROR((AK42/L42)^(1/5)-1,"n/m")</f>
        <v>n/m</v>
      </c>
      <c r="AZ42" s="20" t="str">
        <f>IFERROR((AK42/G42)^(1/10)-1,"n/m")</f>
        <v>n/m</v>
      </c>
      <c r="BA42" s="20" t="str">
        <f>IFERROR((AK42/C42)^(1/14)-1,"n/m")</f>
        <v>n/m</v>
      </c>
      <c r="BD42" s="25" t="inlineStr">
        <is>
          <t xml:space="preserve">  2029E</t>
        </is>
      </c>
      <c r="BE42" s="33">
        <f>BF42+$BE$39</f>
        <v>0.1</v>
      </c>
      <c r="BF42" s="42" t="n">
        <v>0.07000000000000001</v>
      </c>
      <c r="BG42" s="33">
        <f>BF42+$BG$39</f>
        <v>0.01</v>
      </c>
    </row>
    <row r="43" ht="15" customHeight="1" s="251">
      <c r="B43" s="22" t="inlineStr">
        <is>
          <t xml:space="preserve">    y/y %</t>
        </is>
      </c>
      <c r="C43" s="23" t="n"/>
      <c r="D43" s="255">
        <f>IF(AND(ISNUMBER(D42),ISNUMBER(C42)),IFERROR(D42/C42-1,""),"")</f>
      </c>
      <c r="E43" s="255">
        <f>IF(AND(ISNUMBER(E42),ISNUMBER(D42)),IFERROR(E42/D42-1,""),"")</f>
      </c>
      <c r="F43" s="255">
        <f>IF(AND(ISNUMBER(F42),ISNUMBER(E42)),IFERROR(F42/E42-1,""),"")</f>
      </c>
      <c r="G43" s="255">
        <f>IF(AND(ISNUMBER(G42),ISNUMBER(F42)),IFERROR(G42/F42-1,""),"")</f>
      </c>
      <c r="H43" s="255">
        <f>IF(AND(ISNUMBER(H42),ISNUMBER(G42)),IFERROR(H42/G42-1,""),"")</f>
      </c>
      <c r="I43" s="255">
        <f>IF(AND(ISNUMBER(I42),ISNUMBER(H42)),IFERROR(I42/H42-1,""),"")</f>
      </c>
      <c r="J43" s="255">
        <f>IF(AND(ISNUMBER(J42),ISNUMBER(I42)),IFERROR(J42/I42-1,""),"")</f>
      </c>
      <c r="K43" s="255">
        <f>IF(AND(ISNUMBER(K42),ISNUMBER(J42)),IFERROR(K42/J42-1,""),"")</f>
      </c>
      <c r="L43" s="255">
        <f>IF(AND(ISNUMBER(L42),ISNUMBER(K42)),IFERROR(L42/K42-1,""),"")</f>
      </c>
      <c r="M43" s="23" t="n"/>
      <c r="N43" s="23" t="n"/>
      <c r="O43" s="23" t="n"/>
      <c r="P43" s="23" t="n"/>
      <c r="Q43" s="255">
        <f>IF(AND(ISNUMBER(Q42),ISNUMBER(L42)),IFERROR(Q42/L42-1,""),"")</f>
      </c>
      <c r="R43" s="255">
        <f>IF(AND(ISNUMBER(R42),ISNUMBER(M42)),IFERROR(R42/M42-1,""),"")</f>
      </c>
      <c r="S43" s="255">
        <f>IF(AND(ISNUMBER(S42),ISNUMBER(N42)),IFERROR(S42/N42-1,""),"")</f>
      </c>
      <c r="T43" s="255">
        <f>IF(AND(ISNUMBER(T42),ISNUMBER(O42)),IFERROR(T42/O42-1,""),"")</f>
      </c>
      <c r="U43" s="255">
        <f>IF(AND(ISNUMBER(U42),ISNUMBER(P42)),IFERROR(U42/P42-1,""),"")</f>
      </c>
      <c r="V43" s="255">
        <f>IF(AND(ISNUMBER(V42),ISNUMBER(Q42)),IFERROR(V42/Q42-1,""),"")</f>
        <v>0.276332341606597</v>
      </c>
      <c r="W43" s="255">
        <f>IF(AND(ISNUMBER(W42),ISNUMBER(R42)),IFERROR(W42/R42-1,""),"")</f>
      </c>
      <c r="X43" s="255">
        <f>IF(AND(ISNUMBER(X42),ISNUMBER(S42)),IFERROR(X42/S42-1,""),"")</f>
      </c>
      <c r="Y43" s="255">
        <f>IF(AND(ISNUMBER(Y42),ISNUMBER(T42)),IFERROR(Y42/T42-1,""),"")</f>
      </c>
      <c r="Z43" s="255">
        <f>IF(AND(ISNUMBER(Z42),ISNUMBER(U42)),IFERROR(Z42/U42-1,""),"")</f>
      </c>
      <c r="AA43" s="255">
        <f>IF(AND(ISNUMBER(AA42),ISNUMBER(V42)),IFERROR(AA42/V42-1,""),"")</f>
        <v>0.232942219440968</v>
      </c>
      <c r="AB43" s="255">
        <f>IF(AND(ISNUMBER(AB42),ISNUMBER(W42)),IFERROR(AB42/W42-1,""),"")</f>
        <v>0.0182487319324205</v>
      </c>
      <c r="AC43" s="255">
        <f>IF(AND(ISNUMBER(AC42),ISNUMBER(X42)),IFERROR(AC42/X42-1,""),"")</f>
        <v>-0.163331238031196</v>
      </c>
      <c r="AD43" s="255">
        <f>IF(AND(ISNUMBER(AD42),ISNUMBER(Y42)),IFERROR(AD42/Y42-1,""),"")</f>
        <v>-0.0571772147728397</v>
      </c>
      <c r="AE43" s="255">
        <f>IF(AND(ISNUMBER(AE42),ISNUMBER(Z42)),IFERROR(AE42/Z42-1,""),"")</f>
        <v>0.124703867040857</v>
      </c>
      <c r="AF43" s="255">
        <f>IF(AND(ISNUMBER(AF42),ISNUMBER(AA42)),IFERROR(AF42/AA42-1,""),"")</f>
        <v>-0.0289473795515778</v>
      </c>
      <c r="AG43" s="255">
        <f>IF(AND(ISNUMBER(AG42),ISNUMBER(AB42)),IFERROR(AG42/AB42-1,""),"")</f>
        <v>0.067772804734171</v>
      </c>
      <c r="AH43" s="255">
        <f>IF(AND(ISNUMBER(AH42),ISNUMBER(AC42)),IFERROR(AH42/AC42-1,""),"")</f>
        <v>0.207656288220289</v>
      </c>
      <c r="AI43" s="255">
        <f>IF(AND(ISNUMBER(AI42),ISNUMBER(AD42)),IFERROR(AI42/AD42-1,""),"")</f>
        <v>0.161230016598235</v>
      </c>
      <c r="AJ43" s="255">
        <f>IF(AND(ISNUMBER(AJ42),ISNUMBER(AE42)),IFERROR(AJ42/AE42-1,""),"")</f>
        <v>0.0587358426365507</v>
      </c>
      <c r="AK43" s="255">
        <f>IF(AND(ISNUMBER(AK42),ISNUMBER(AF42)),IFERROR(AK42/AF42-1,""),"")</f>
        <v>0.123514166866302</v>
      </c>
      <c r="AL43" s="255">
        <f>IF(AND(ISNUMBER(AL42),ISNUMBER(AG42)),IFERROR(AL42/AG42-1,""),"")</f>
        <v>0.269932302080045</v>
      </c>
      <c r="AM43" s="255">
        <f>IF(AND(ISNUMBER(AM42),ISNUMBER(AH42)),IFERROR(AM42/AH42-1,""),"")</f>
        <v>0.07731593339024</v>
      </c>
      <c r="AN43" s="255">
        <f>IF(AND(ISNUMBER(AN42),ISNUMBER(AI42)),IFERROR(AN42/AI42-1,""),"")</f>
        <v>0.146532657267954</v>
      </c>
      <c r="AO43" s="256">
        <f>AO44+$AO$109</f>
        <v>0.058665258672761</v>
      </c>
      <c r="AP43" s="256">
        <f>IF(AND(ISNUMBER(AP42),ISNUMBER(AK42)),IFERROR(AP42/AK42-1,""),"")</f>
        <v>0.133003951788369</v>
      </c>
      <c r="AQ43" s="256">
        <f>CHOOSE(MATCH($AV$2,{"Bull","Base","Bear"},0),$BE$70,$BF$70,$BG$70)</f>
        <v>0.04</v>
      </c>
      <c r="AR43" s="256">
        <f>CHOOSE(MATCH($AV$2,{"Bull","Base","Bear"},0),$BE$71,$BF$71,$BG$71)</f>
        <v>0.04</v>
      </c>
      <c r="AS43" s="256">
        <f>CHOOSE(MATCH($AV$2,{"Bull","Base","Bear"},0),$BE$72,$BF$72,$BG$72)</f>
        <v>0.03</v>
      </c>
      <c r="AT43" s="256">
        <f>CHOOSE(MATCH($AV$2,{"Bull","Base","Bear"},0),$BE$73,$BF$73,$BG$73)</f>
        <v>0.03</v>
      </c>
      <c r="AU43" s="256">
        <f>CHOOSE(MATCH($AV$2,{"Bull","Base","Bear"},0),$BE$74,$BF$74,$BG$74)</f>
        <v>0.03</v>
      </c>
      <c r="AV43" s="153" t="n"/>
      <c r="BD43" s="25" t="inlineStr">
        <is>
          <t xml:space="preserve">  2030E</t>
        </is>
      </c>
      <c r="BE43" s="33">
        <f>BF43+$BE$39</f>
        <v>0.09</v>
      </c>
      <c r="BF43" s="42" t="n">
        <v>0.06</v>
      </c>
      <c r="BG43" s="33">
        <f>BF43+$BG$39</f>
        <v>0</v>
      </c>
    </row>
    <row r="44" ht="15" customHeight="1" s="251">
      <c r="B44" s="25" t="inlineStr">
        <is>
          <t xml:space="preserve">    Q4/26E growth before sales calibration (9M FY26 y/y)</t>
        </is>
      </c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256">
        <f>IFERROR(SUM(AL42:AN42)/SUM(AG42:AI42)-1,0)</f>
        <v>0.158224299065421</v>
      </c>
      <c r="AP44" s="24" t="n"/>
      <c r="AQ44" s="46" t="n"/>
      <c r="AR44" s="46" t="n"/>
      <c r="AS44" s="46" t="n"/>
      <c r="AT44" s="46" t="n"/>
      <c r="AU44" s="46" t="n"/>
      <c r="AV44" s="19" t="n"/>
      <c r="BD44" s="25" t="inlineStr">
        <is>
          <t xml:space="preserve">  2031E</t>
        </is>
      </c>
      <c r="BE44" s="33">
        <f>BF44+$BE$39</f>
        <v>0.09</v>
      </c>
      <c r="BF44" s="42" t="n">
        <v>0.06</v>
      </c>
      <c r="BG44" s="33">
        <f>BF44+$BG$39</f>
        <v>0</v>
      </c>
    </row>
    <row r="45" ht="15" customHeight="1" s="251">
      <c r="B45" s="16" t="inlineStr">
        <is>
          <t xml:space="preserve">  Industrial — segment net sales</t>
        </is>
      </c>
      <c r="C45" s="261">
        <f>IF(ISNUMBER(C36),C36+C39+C42,C48)</f>
        <v>868.67</v>
      </c>
      <c r="D45" s="261">
        <f>IF(ISNUMBER(D36),D36+D39+D42,D48)</f>
        <v>969.544</v>
      </c>
      <c r="E45" s="261">
        <f>IF(ISNUMBER(E36),E36+E39+E42,E48)</f>
        <v>874.499</v>
      </c>
      <c r="F45" s="261">
        <f>IF(ISNUMBER(F36),F36+F39+F42,F48)</f>
        <v>917.215</v>
      </c>
      <c r="G45" s="261">
        <f>IF(ISNUMBER(G36),G36+G39+G42,G48)</f>
        <v>877.42</v>
      </c>
      <c r="H45" s="261">
        <f>IF(ISNUMBER(H36),H36+H39+H42,H48)</f>
        <v>789.902</v>
      </c>
      <c r="I45" s="261">
        <f>IF(ISNUMBER(I36),I36+I39+I42,I48)</f>
        <v>756.346</v>
      </c>
      <c r="J45" s="261">
        <f>IF(ISNUMBER(J36),J36+J39+J42,J48)</f>
        <v>767.885</v>
      </c>
      <c r="K45" s="261">
        <f>IF(ISNUMBER(K36),K36+K39+K42,K48)</f>
        <v>1019.677</v>
      </c>
      <c r="L45" s="261">
        <f>IF(ISNUMBER(L36),L36+L39+L42,L48)</f>
        <v>904.702</v>
      </c>
      <c r="M45" s="261">
        <f>IF(ISNUMBER(M36),M36+M39+M42,M48)</f>
        <v>215.952</v>
      </c>
      <c r="N45" s="261">
        <f>IF(ISNUMBER(N36),N36+N39+N42,N48)</f>
        <v>216.615</v>
      </c>
      <c r="O45" s="261">
        <f>IF(ISNUMBER(O36),O36+O39+O42,O48)</f>
        <v>215.763</v>
      </c>
      <c r="P45" s="261">
        <f>IF(ISNUMBER(P36),P36+P39+P42,P48)</f>
        <v>193.385</v>
      </c>
      <c r="Q45" s="261">
        <f>IF(ISNUMBER(Q36),Q36+Q39+Q42,Q48)</f>
        <v>841.715</v>
      </c>
      <c r="R45" s="261">
        <f>IF(ISNUMBER(R36),R36+R39+R42,R48)</f>
        <v>205.151</v>
      </c>
      <c r="S45" s="261">
        <f>IF(ISNUMBER(S36),S36+S39+S42,S48)</f>
        <v>214.082</v>
      </c>
      <c r="T45" s="261">
        <f>IF(ISNUMBER(T36),T36+T39+T42,T48)</f>
        <v>212.62</v>
      </c>
      <c r="U45" s="261">
        <f>IF(ISNUMBER(U36),U36+U39+U42,U48)</f>
        <v>231.615</v>
      </c>
      <c r="V45" s="261">
        <f>IF(ISNUMBER(V36),V36+V39+V42,V48)</f>
        <v>863.468</v>
      </c>
      <c r="W45" s="261">
        <f>IF(ISNUMBER(W36),W36+W39+W42,W48)</f>
        <v>222.934</v>
      </c>
      <c r="X45" s="261">
        <f>IF(ISNUMBER(X36),X36+X39+X42,X48)</f>
        <v>281.197</v>
      </c>
      <c r="Y45" s="261">
        <f>IF(ISNUMBER(Y36),Y36+Y39+Y42,Y48)</f>
        <v>320.132</v>
      </c>
      <c r="Z45" s="261">
        <f>IF(ISNUMBER(Z36),Z36+Z39+Z42,Z48)</f>
        <v>322.2</v>
      </c>
      <c r="AA45" s="261">
        <f>IF(ISNUMBER(AA36),AA36+AA39+AA42,AA48)</f>
        <v>1146.463</v>
      </c>
      <c r="AB45" s="261">
        <f>IF(ISNUMBER(AB36),AB36+AB39+AB42,AB48)</f>
        <v>325.974</v>
      </c>
      <c r="AC45" s="261">
        <f>IF(ISNUMBER(AC36),AC36+AC39+AC42,AC48)</f>
        <v>337.831</v>
      </c>
      <c r="AD45" s="261">
        <f>IF(ISNUMBER(AD36),AD36+AD39+AD42,AD48)</f>
        <v>330.128</v>
      </c>
      <c r="AE45" s="261">
        <f>IF(ISNUMBER(AE36),AE36+AE39+AE42,AE48)</f>
        <v>301.698</v>
      </c>
      <c r="AF45" s="261">
        <f>IF(ISNUMBER(AF36),AF36+AF39+AF42,AF48)</f>
        <v>1295.631</v>
      </c>
      <c r="AG45" s="261">
        <f>IF(ISNUMBER(AG36),AG36+AG39+AG42,AG48)</f>
        <v>278.843</v>
      </c>
      <c r="AH45" s="261">
        <f>IF(ISNUMBER(AH36),AH36+AH39+AH42,AH48)</f>
        <v>321.9</v>
      </c>
      <c r="AI45" s="261">
        <f>IF(ISNUMBER(AI36),AI36+AI39+AI42,AI48)</f>
        <v>319.456</v>
      </c>
      <c r="AJ45" s="261">
        <f>IF(ISNUMBER(AJ36),AJ36+AJ39+AJ42,AJ48)</f>
        <v>334.059</v>
      </c>
      <c r="AK45" s="261">
        <f>IF(ISNUMBER(AK36),AK36+AK39+AK42,AK48)</f>
        <v>1254.258</v>
      </c>
      <c r="AL45" s="261">
        <f>IF(ISNUMBER(AL36),AL36+AL39+AL42,AL48)</f>
        <v>361.557</v>
      </c>
      <c r="AM45" s="261">
        <f>IF(ISNUMBER(AM36),AM36+AM39+AM42,AM48)</f>
        <v>387.247</v>
      </c>
      <c r="AN45" s="261">
        <f>IF(ISNUMBER(AN36),AN36+AN39+AN42,AN48)</f>
        <v>401.032</v>
      </c>
      <c r="AO45" s="262">
        <f>AO36+AO39+AO42</f>
        <v>381.976201186418</v>
      </c>
      <c r="AP45" s="262">
        <f>AP36+AP39+AP42</f>
        <v>1531.81220118642</v>
      </c>
      <c r="AQ45" s="262">
        <f>AQ36+AQ39+AQ42</f>
        <v>1614.23883804011</v>
      </c>
      <c r="AR45" s="262">
        <f>AR36+AR39+AR42</f>
        <v>1718.42092376034</v>
      </c>
      <c r="AS45" s="262">
        <f>AS36+AS39+AS42</f>
        <v>1813.04598250328</v>
      </c>
      <c r="AT45" s="262">
        <f>AT36+AT39+AT42</f>
        <v>1890.96720610436</v>
      </c>
      <c r="AU45" s="262">
        <f>AU36+AU39+AU42</f>
        <v>1964.32397880318</v>
      </c>
      <c r="AV45" s="153" t="n"/>
      <c r="AX45" s="20">
        <f>IFERROR((AU45/AP45)^(1/5)-1,"n/m")</f>
        <v>0.0509971025628546</v>
      </c>
      <c r="AY45" s="20">
        <f>IFERROR((AK45/L45)^(1/5)-1,"n/m")</f>
        <v>0.0675206036635692</v>
      </c>
      <c r="AZ45" s="20">
        <f>IFERROR((AK45/G45)^(1/10)-1,"n/m")</f>
        <v>0.0363774027369179</v>
      </c>
      <c r="BA45" s="20">
        <f>IFERROR((AK45/C45)^(1/14)-1,"n/m")</f>
        <v>0.0265855499245005</v>
      </c>
      <c r="BD45" s="15" t="inlineStr">
        <is>
          <t>AERO_DOEM (Defense OEM y/y)</t>
        </is>
      </c>
      <c r="BE45" s="41" t="n">
        <v>0.03</v>
      </c>
      <c r="BF45" s="21" t="inlineStr">
        <is>
          <t>Δ →</t>
        </is>
      </c>
      <c r="BG45" s="41" t="n">
        <v>-0.04</v>
      </c>
      <c r="BH45" s="13" t="inlineStr">
        <is>
          <t>9M FY26 +7% (FY25 +38%: smart-defense / guided-weapons demand, price).</t>
        </is>
      </c>
    </row>
    <row r="46" ht="15" customHeight="1" s="251">
      <c r="B46" s="22" t="inlineStr">
        <is>
          <t xml:space="preserve">  Segment sales y/y %</t>
        </is>
      </c>
      <c r="C46" s="23" t="n"/>
      <c r="D46" s="255">
        <f>IF(AND(ISNUMBER(D45),ISNUMBER(C45)),IFERROR(D45/C45-1,""),"")</f>
        <v>0.116124650327512</v>
      </c>
      <c r="E46" s="255">
        <f>IF(AND(ISNUMBER(E45),ISNUMBER(D45)),IFERROR(E45/D45-1,""),"")</f>
        <v>-0.0980306205803965</v>
      </c>
      <c r="F46" s="255">
        <f>IF(AND(ISNUMBER(F45),ISNUMBER(E45)),IFERROR(F45/E45-1,""),"")</f>
        <v>0.0488462536835377</v>
      </c>
      <c r="G46" s="255">
        <f>IF(AND(ISNUMBER(G45),ISNUMBER(F45)),IFERROR(G45/F45-1,""),"")</f>
        <v>-0.0433867740933152</v>
      </c>
      <c r="H46" s="255">
        <f>IF(AND(ISNUMBER(H45),ISNUMBER(G45)),IFERROR(H45/G45-1,""),"")</f>
        <v>-0.099744706070069</v>
      </c>
      <c r="I46" s="255">
        <f>IF(AND(ISNUMBER(I45),ISNUMBER(H45)),IFERROR(I45/H45-1,""),"")</f>
        <v>-0.0424812191892159</v>
      </c>
      <c r="J46" s="255">
        <f>IF(AND(ISNUMBER(J45),ISNUMBER(I45)),IFERROR(J45/I45-1,""),"")</f>
        <v>0.0152562451576395</v>
      </c>
      <c r="K46" s="255">
        <f>IF(AND(ISNUMBER(K45),ISNUMBER(J45)),IFERROR(K45/J45-1,""),"")</f>
        <v>0.327903266765206</v>
      </c>
      <c r="L46" s="255">
        <f>IF(AND(ISNUMBER(L45),ISNUMBER(K45)),IFERROR(L45/K45-1,""),"")</f>
        <v>-0.112756294395186</v>
      </c>
      <c r="M46" s="23" t="n"/>
      <c r="N46" s="23" t="n"/>
      <c r="O46" s="23" t="n"/>
      <c r="P46" s="23" t="n"/>
      <c r="Q46" s="255">
        <f>IF(AND(ISNUMBER(Q45),ISNUMBER(L45)),IFERROR(Q45/L45-1,""),"")</f>
        <v>-0.0696218202236759</v>
      </c>
      <c r="R46" s="255">
        <f>IF(AND(ISNUMBER(R45),ISNUMBER(M45)),IFERROR(R45/M45-1,""),"")</f>
        <v>-0.0500157442394605</v>
      </c>
      <c r="S46" s="255">
        <f>IF(AND(ISNUMBER(S45),ISNUMBER(N45)),IFERROR(S45/N45-1,""),"")</f>
        <v>-0.0116935576945272</v>
      </c>
      <c r="T46" s="255">
        <f>IF(AND(ISNUMBER(T45),ISNUMBER(O45)),IFERROR(T45/O45-1,""),"")</f>
        <v>-0.0145669090622581</v>
      </c>
      <c r="U46" s="255">
        <f>IF(AND(ISNUMBER(U45),ISNUMBER(P45)),IFERROR(U45/P45-1,""),"")</f>
        <v>0.197688548749903</v>
      </c>
      <c r="V46" s="255">
        <f>IF(AND(ISNUMBER(V45),ISNUMBER(Q45)),IFERROR(V45/Q45-1,""),"")</f>
        <v>0.0258436644232314</v>
      </c>
      <c r="W46" s="255">
        <f>IF(AND(ISNUMBER(W45),ISNUMBER(R45)),IFERROR(W45/R45-1,""),"")</f>
        <v>0.0866824924080312</v>
      </c>
      <c r="X46" s="255">
        <f>IF(AND(ISNUMBER(X45),ISNUMBER(S45)),IFERROR(X45/S45-1,""),"")</f>
        <v>0.313501368634449</v>
      </c>
      <c r="Y46" s="255">
        <f>IF(AND(ISNUMBER(Y45),ISNUMBER(T45)),IFERROR(Y45/T45-1,""),"")</f>
        <v>0.50565327814881</v>
      </c>
      <c r="Z46" s="255">
        <f>IF(AND(ISNUMBER(Z45),ISNUMBER(U45)),IFERROR(Z45/U45-1,""),"")</f>
        <v>0.391101612589858</v>
      </c>
      <c r="AA46" s="255">
        <f>IF(AND(ISNUMBER(AA45),ISNUMBER(V45)),IFERROR(AA45/V45-1,""),"")</f>
        <v>0.327742313554179</v>
      </c>
      <c r="AB46" s="255">
        <f>IF(AND(ISNUMBER(AB45),ISNUMBER(W45)),IFERROR(AB45/W45-1,""),"")</f>
        <v>0.462199574762037</v>
      </c>
      <c r="AC46" s="255">
        <f>IF(AND(ISNUMBER(AC45),ISNUMBER(X45)),IFERROR(AC45/X45-1,""),"")</f>
        <v>0.201403286663798</v>
      </c>
      <c r="AD46" s="255">
        <f>IF(AND(ISNUMBER(AD45),ISNUMBER(Y45)),IFERROR(AD45/Y45-1,""),"")</f>
        <v>0.0312246198443142</v>
      </c>
      <c r="AE46" s="255">
        <f>IF(AND(ISNUMBER(AE45),ISNUMBER(Z45)),IFERROR(AE45/Z45-1,""),"")</f>
        <v>-0.0636312849162013</v>
      </c>
      <c r="AF46" s="255">
        <f>IF(AND(ISNUMBER(AF45),ISNUMBER(AA45)),IFERROR(AF45/AA45-1,""),"")</f>
        <v>0.130111482010322</v>
      </c>
      <c r="AG46" s="255">
        <f>IF(AND(ISNUMBER(AG45),ISNUMBER(AB45)),IFERROR(AG45/AB45-1,""),"")</f>
        <v>-0.14458515096296</v>
      </c>
      <c r="AH46" s="255">
        <f>IF(AND(ISNUMBER(AH45),ISNUMBER(AC45)),IFERROR(AH45/AC45-1,""),"")</f>
        <v>-0.0471567144519005</v>
      </c>
      <c r="AI46" s="255">
        <f>IF(AND(ISNUMBER(AI45),ISNUMBER(AD45)),IFERROR(AI45/AD45-1,""),"")</f>
        <v>-0.0323268550380459</v>
      </c>
      <c r="AJ46" s="255">
        <f>IF(AND(ISNUMBER(AJ45),ISNUMBER(AE45)),IFERROR(AJ45/AE45-1,""),"")</f>
        <v>0.107262892031104</v>
      </c>
      <c r="AK46" s="255">
        <f>IF(AND(ISNUMBER(AK45),ISNUMBER(AF45)),IFERROR(AK45/AF45-1,""),"")</f>
        <v>-0.0319327030612884</v>
      </c>
      <c r="AL46" s="255">
        <f>IF(AND(ISNUMBER(AL45),ISNUMBER(AG45)),IFERROR(AL45/AG45-1,""),"")</f>
        <v>0.296632872261452</v>
      </c>
      <c r="AM46" s="255">
        <f>IF(AND(ISNUMBER(AM45),ISNUMBER(AH45)),IFERROR(AM45/AH45-1,""),"")</f>
        <v>0.20300403852128</v>
      </c>
      <c r="AN46" s="255">
        <f>IF(AND(ISNUMBER(AN45),ISNUMBER(AI45)),IFERROR(AN45/AI45-1,""),"")</f>
        <v>0.255359110487829</v>
      </c>
      <c r="AO46" s="256">
        <f>IF(AND(ISNUMBER(AO45),ISNUMBER(AJ45)),IFERROR(AO45/AJ45-1,""),"")</f>
        <v>0.14343933612451</v>
      </c>
      <c r="AP46" s="256">
        <f>IF(AND(ISNUMBER(AP45),ISNUMBER(AK45)),IFERROR(AP45/AK45-1,""),"")</f>
        <v>0.221289560191299</v>
      </c>
      <c r="AQ46" s="256">
        <f>IF(AND(ISNUMBER(AQ45),ISNUMBER(AP45)),IFERROR(AQ45/AP45-1,""),"")</f>
        <v>0.053809883998738</v>
      </c>
      <c r="AR46" s="256">
        <f>IF(AND(ISNUMBER(AR45),ISNUMBER(AQ45)),IFERROR(AR45/AQ45-1,""),"")</f>
        <v>0.0645394493461213</v>
      </c>
      <c r="AS46" s="256">
        <f>IF(AND(ISNUMBER(AS45),ISNUMBER(AR45)),IFERROR(AS45/AR45-1,""),"")</f>
        <v>0.0550651225404482</v>
      </c>
      <c r="AT46" s="256">
        <f>IF(AND(ISNUMBER(AT45),ISNUMBER(AS45)),IFERROR(AT45/AS45-1,""),"")</f>
        <v>0.0429780735585628</v>
      </c>
      <c r="AU46" s="256">
        <f>IF(AND(ISNUMBER(AU45),ISNUMBER(AT45)),IFERROR(AU45/AT45-1,""),"")</f>
        <v>0.0387932548285441</v>
      </c>
      <c r="AV46" s="153" t="n"/>
      <c r="BD46" s="25" t="inlineStr">
        <is>
          <t xml:space="preserve">  2027E</t>
        </is>
      </c>
      <c r="BE46" s="33">
        <f>BF46+$BE$45</f>
        <v>0.1</v>
      </c>
      <c r="BF46" s="42" t="n">
        <v>0.07000000000000001</v>
      </c>
      <c r="BG46" s="33">
        <f>BF46+$BG$45</f>
        <v>0.03</v>
      </c>
    </row>
    <row r="47" ht="15" customHeight="1" s="251">
      <c r="B47" s="25" t="inlineStr">
        <is>
          <t xml:space="preserve">  % of total net sales</t>
        </is>
      </c>
      <c r="C47" s="215">
        <f>IF(AND(ISNUMBER(C45),ISNUMBER(C99)),IFERROR(C45/C99,""),"")</f>
        <v>0.507489037227274</v>
      </c>
      <c r="D47" s="215">
        <f>IF(AND(ISNUMBER(D45),ISNUMBER(D99)),IFERROR(D45/D99,""),"")</f>
        <v>0.519688019094921</v>
      </c>
      <c r="E47" s="215">
        <f>IF(AND(ISNUMBER(E45),ISNUMBER(E99)),IFERROR(E45/E99,""),"")</f>
        <v>0.45170962863176</v>
      </c>
      <c r="F47" s="215">
        <f>IF(AND(ISNUMBER(F45),ISNUMBER(F99)),IFERROR(F45/F99,""),"")</f>
        <v>0.458323339529492</v>
      </c>
      <c r="G47" s="215">
        <f>IF(AND(ISNUMBER(G45),ISNUMBER(G99)),IFERROR(G45/G99,""),"")</f>
        <v>0.430465931708877</v>
      </c>
      <c r="H47" s="215">
        <f>IF(AND(ISNUMBER(H45),ISNUMBER(H99)),IFERROR(H45/H99,""),"")</f>
        <v>0.390445647671518</v>
      </c>
      <c r="I47" s="215">
        <f>IF(AND(ISNUMBER(I45),ISNUMBER(I99)),IFERROR(I45/I99,""),"")</f>
        <v>0.360390434962846</v>
      </c>
      <c r="J47" s="215">
        <f>IF(AND(ISNUMBER(J45),ISNUMBER(J99)),IFERROR(J45/J99,""),"")</f>
        <v>0.330149152597756</v>
      </c>
      <c r="K47" s="215">
        <f>IF(AND(ISNUMBER(K45),ISNUMBER(K99)),IFERROR(K45/K99,""),"")</f>
        <v>0.35158887482471</v>
      </c>
      <c r="L47" s="215">
        <f>IF(AND(ISNUMBER(L45),ISNUMBER(L99)),IFERROR(L45/L99,""),"")</f>
        <v>0.362509391284487</v>
      </c>
      <c r="M47" s="215">
        <f>IF(AND(ISNUMBER(M45),ISNUMBER(M99)),IFERROR(M45/M99,""),"")</f>
        <v>0.401682232212775</v>
      </c>
      <c r="N47" s="215">
        <f>IF(AND(ISNUMBER(N45),ISNUMBER(N99)),IFERROR(N45/N99,""),"")</f>
        <v>0.372625451342718</v>
      </c>
      <c r="O47" s="215">
        <f>IF(AND(ISNUMBER(O45),ISNUMBER(O99)),IFERROR(O45/O99,""),"")</f>
        <v>0.387592401311358</v>
      </c>
      <c r="P47" s="215">
        <f>IF(AND(ISNUMBER(P45),ISNUMBER(P99)),IFERROR(P45/P99,""),"")</f>
        <v>0.339142817558929</v>
      </c>
      <c r="Q47" s="215">
        <f>IF(AND(ISNUMBER(Q45),ISNUMBER(Q99)),IFERROR(Q45/Q99,""),"")</f>
        <v>0.374789832899344</v>
      </c>
      <c r="R47" s="215">
        <f>IF(AND(ISNUMBER(R45),ISNUMBER(R99)),IFERROR(R45/R99,""),"")</f>
        <v>0.378796719265269</v>
      </c>
      <c r="S47" s="215">
        <f>IF(AND(ISNUMBER(S45),ISNUMBER(S99)),IFERROR(S45/S99,""),"")</f>
        <v>0.364805338431836</v>
      </c>
      <c r="T47" s="215">
        <f>IF(AND(ISNUMBER(T45),ISNUMBER(T99)),IFERROR(T45/T99,""),"")</f>
        <v>0.346099503200224</v>
      </c>
      <c r="U47" s="215">
        <f>IF(AND(ISNUMBER(U45),ISNUMBER(U99)),IFERROR(U45/U99,""),"")</f>
        <v>0.361879778073943</v>
      </c>
      <c r="V47" s="215">
        <f>IF(AND(ISNUMBER(V45),ISNUMBER(V99)),IFERROR(V45/V99,""),"")</f>
        <v>0.362376877525926</v>
      </c>
      <c r="W47" s="215">
        <f>IF(AND(ISNUMBER(W45),ISNUMBER(W99)),IFERROR(W45/W99,""),"")</f>
        <v>0.360373671031766</v>
      </c>
      <c r="X47" s="215">
        <f>IF(AND(ISNUMBER(X45),ISNUMBER(X99)),IFERROR(X45/X99,""),"")</f>
        <v>0.391522582405801</v>
      </c>
      <c r="Y47" s="215">
        <f>IF(AND(ISNUMBER(Y45),ISNUMBER(Y99)),IFERROR(Y45/Y99,""),"")</f>
        <v>0.399833637872613</v>
      </c>
      <c r="Z47" s="215">
        <f>IF(AND(ISNUMBER(Z45),ISNUMBER(Z99)),IFERROR(Z45/Z99,""),"")</f>
        <v>0.414634460215939</v>
      </c>
      <c r="AA47" s="215">
        <f>IF(AND(ISNUMBER(AA45),ISNUMBER(AA99)),IFERROR(AA45/AA99,""),"")</f>
        <v>0.393356335042679</v>
      </c>
      <c r="AB47" s="215">
        <f>IF(AND(ISNUMBER(AB45),ISNUMBER(AB99)),IFERROR(AB45/AB99,""),"")</f>
        <v>0.414340370902343</v>
      </c>
      <c r="AC47" s="215">
        <f>IF(AND(ISNUMBER(AC45),ISNUMBER(AC99)),IFERROR(AC45/AC99,""),"")</f>
        <v>0.404421896155232</v>
      </c>
      <c r="AD47" s="215">
        <f>IF(AND(ISNUMBER(AD45),ISNUMBER(AD99)),IFERROR(AD45/AD99,""),"")</f>
        <v>0.389445173224111</v>
      </c>
      <c r="AE47" s="215">
        <f>IF(AND(ISNUMBER(AE45),ISNUMBER(AE99)),IFERROR(AE45/AE99,""),"")</f>
        <v>0.353074589695818</v>
      </c>
      <c r="AF47" s="215">
        <f>IF(AND(ISNUMBER(AF45),ISNUMBER(AF99)),IFERROR(AF45/AF99,""),"")</f>
        <v>0.389751489734975</v>
      </c>
      <c r="AG47" s="215">
        <f>IF(AND(ISNUMBER(AG45),ISNUMBER(AG99)),IFERROR(AG45/AG99,""),"")</f>
        <v>0.360856708402084</v>
      </c>
      <c r="AH47" s="215">
        <f>IF(AND(ISNUMBER(AH45),ISNUMBER(AH99)),IFERROR(AH45/AH99,""),"")</f>
        <v>0.364293159233117</v>
      </c>
      <c r="AI47" s="215">
        <f>IF(AND(ISNUMBER(AI45),ISNUMBER(AI99)),IFERROR(AI45/AI99,""),"")</f>
        <v>0.348962145227572</v>
      </c>
      <c r="AJ47" s="215">
        <f>IF(AND(ISNUMBER(AJ45),ISNUMBER(AJ99)),IFERROR(AJ45/AJ99,""),"")</f>
        <v>0.335648631920777</v>
      </c>
      <c r="AK47" s="215">
        <f>IF(AND(ISNUMBER(AK45),ISNUMBER(AK99)),IFERROR(AK45/AK99,""),"")</f>
        <v>0.351621950152843</v>
      </c>
      <c r="AL47" s="215">
        <f>IF(AND(ISNUMBER(AL45),ISNUMBER(AL99)),IFERROR(AL45/AL99,""),"")</f>
        <v>0.362843643560064</v>
      </c>
      <c r="AM47" s="215">
        <f>IF(AND(ISNUMBER(AM45),ISNUMBER(AM99)),IFERROR(AM45/AM99,""),"")</f>
        <v>0.355087440673117</v>
      </c>
      <c r="AN47" s="215">
        <f>IF(AND(ISNUMBER(AN45),ISNUMBER(AN99)),IFERROR(AN45/AN99,""),"")</f>
        <v>0.36138613415277</v>
      </c>
      <c r="AO47" s="256">
        <f>IF(AND(ISNUMBER(AO45),ISNUMBER(AO99)),IFERROR(AO45/AO99,""),"")</f>
        <v>0.335875371768983</v>
      </c>
      <c r="AP47" s="256">
        <f>IF(AND(ISNUMBER(AP45),ISNUMBER(AP99)),IFERROR(AP45/AP99,""),"")</f>
        <v>0.353442153790759</v>
      </c>
      <c r="AQ47" s="256">
        <f>IF(AND(ISNUMBER(AQ45),ISNUMBER(AQ99)),IFERROR(AQ45/AQ99,""),"")</f>
        <v>0.34294229238886</v>
      </c>
      <c r="AR47" s="256">
        <f>IF(AND(ISNUMBER(AR45),ISNUMBER(AR99)),IFERROR(AR45/AR99,""),"")</f>
        <v>0.336838667840546</v>
      </c>
      <c r="AS47" s="256">
        <f>IF(AND(ISNUMBER(AS45),ISNUMBER(AS99)),IFERROR(AS45/AS99,""),"")</f>
        <v>0.331657998683186</v>
      </c>
      <c r="AT47" s="256">
        <f>IF(AND(ISNUMBER(AT45),ISNUMBER(AT99)),IFERROR(AT45/AT99,""),"")</f>
        <v>0.326237767091203</v>
      </c>
      <c r="AU47" s="256">
        <f>IF(AND(ISNUMBER(AU45),ISNUMBER(AU99)),IFERROR(AU45/AU99,""),"")</f>
        <v>0.320783799875207</v>
      </c>
      <c r="AV47" s="153" t="n"/>
      <c r="BD47" s="25" t="inlineStr">
        <is>
          <t xml:space="preserve">  2028E</t>
        </is>
      </c>
      <c r="BE47" s="33">
        <f>BF47+$BE$45</f>
        <v>0.09</v>
      </c>
      <c r="BF47" s="42" t="n">
        <v>0.06</v>
      </c>
      <c r="BG47" s="33">
        <f>BF47+$BG$45</f>
        <v>0.02</v>
      </c>
    </row>
    <row r="48" ht="15" customHeight="1" s="251">
      <c r="B48" s="156" t="inlineStr">
        <is>
          <t xml:space="preserve">  Memo: Industrial segment net sales as reported (segment schedule)</t>
        </is>
      </c>
      <c r="C48" s="253" t="n">
        <v>868.67</v>
      </c>
      <c r="D48" s="253" t="n">
        <v>969.544</v>
      </c>
      <c r="E48" s="253" t="n">
        <v>874.499</v>
      </c>
      <c r="F48" s="253" t="n">
        <v>917.215</v>
      </c>
      <c r="G48" s="253" t="n">
        <v>877.42</v>
      </c>
      <c r="H48" s="253" t="n">
        <v>789.902</v>
      </c>
      <c r="I48" s="253" t="n">
        <v>756.346</v>
      </c>
      <c r="J48" s="253" t="n">
        <v>767.885</v>
      </c>
      <c r="K48" s="253" t="n">
        <v>1019.677</v>
      </c>
      <c r="L48" s="253" t="n">
        <v>904.702</v>
      </c>
      <c r="M48" s="253" t="n">
        <v>215.952</v>
      </c>
      <c r="N48" s="253" t="n">
        <v>216.615</v>
      </c>
      <c r="O48" s="253" t="n">
        <v>215.763</v>
      </c>
      <c r="P48" s="253" t="n">
        <v>193.385</v>
      </c>
      <c r="Q48" s="253" t="n">
        <v>841.715</v>
      </c>
      <c r="R48" s="253" t="n">
        <v>205.151</v>
      </c>
      <c r="S48" s="253" t="n">
        <v>214.082</v>
      </c>
      <c r="T48" s="253" t="n">
        <v>212.62</v>
      </c>
      <c r="U48" s="253" t="n">
        <v>231.615</v>
      </c>
      <c r="V48" s="253" t="n">
        <v>863.468</v>
      </c>
      <c r="W48" s="253" t="n">
        <v>222.934</v>
      </c>
      <c r="X48" s="253" t="n">
        <v>281.197</v>
      </c>
      <c r="Y48" s="253" t="n">
        <v>320.132</v>
      </c>
      <c r="Z48" s="253" t="n">
        <v>322.2</v>
      </c>
      <c r="AA48" s="253" t="n">
        <v>1146.463</v>
      </c>
      <c r="AB48" s="253" t="n">
        <v>325.974</v>
      </c>
      <c r="AC48" s="253" t="n">
        <v>337.831</v>
      </c>
      <c r="AD48" s="253" t="n">
        <v>330.128</v>
      </c>
      <c r="AE48" s="253" t="n">
        <v>301.698</v>
      </c>
      <c r="AF48" s="253" t="n">
        <v>1295.631</v>
      </c>
      <c r="AG48" s="253" t="n">
        <v>278.843</v>
      </c>
      <c r="AH48" s="253" t="n">
        <v>321.9</v>
      </c>
      <c r="AI48" s="253" t="n">
        <v>319.456</v>
      </c>
      <c r="AJ48" s="253" t="n">
        <v>334.059</v>
      </c>
      <c r="AK48" s="253" t="n">
        <v>1254.258</v>
      </c>
      <c r="AL48" s="253" t="n">
        <v>361.557</v>
      </c>
      <c r="AM48" s="253" t="n">
        <v>387.247</v>
      </c>
      <c r="AN48" s="253" t="n">
        <v>401.032</v>
      </c>
      <c r="AO48" s="153" t="n"/>
      <c r="AP48" s="153" t="n"/>
      <c r="AQ48" s="153" t="n"/>
      <c r="AR48" s="153" t="n"/>
      <c r="AS48" s="153" t="n"/>
      <c r="AT48" s="153" t="n"/>
      <c r="AU48" s="153" t="n"/>
      <c r="AV48" s="153" t="n"/>
      <c r="BD48" s="25" t="inlineStr">
        <is>
          <t xml:space="preserve">  2029E</t>
        </is>
      </c>
      <c r="BE48" s="33">
        <f>BF48+$BE$45</f>
        <v>0.08</v>
      </c>
      <c r="BF48" s="42" t="n">
        <v>0.05</v>
      </c>
      <c r="BG48" s="33">
        <f>BF48+$BG$45</f>
        <v>0.01</v>
      </c>
    </row>
    <row r="49" ht="15" customHeight="1" s="251">
      <c r="B49" s="57" t="inlineStr">
        <is>
          <t xml:space="preserve">  Check: primary markets vs segment net sales (should be 0)</t>
        </is>
      </c>
      <c r="C49" s="263">
        <f>IF(AND(ISNUMBER(C36),ISNUMBER(C48)),IF(ABS(C45-C48)&lt;=0.15,0,ROUND(C45-C48,1)),"")</f>
      </c>
      <c r="D49" s="263">
        <f>IF(AND(ISNUMBER(D36),ISNUMBER(D48)),IF(ABS(D45-D48)&lt;=0.15,0,ROUND(D45-D48,1)),"")</f>
      </c>
      <c r="E49" s="263">
        <f>IF(AND(ISNUMBER(E36),ISNUMBER(E48)),IF(ABS(E45-E48)&lt;=0.15,0,ROUND(E45-E48,1)),"")</f>
      </c>
      <c r="F49" s="263">
        <f>IF(AND(ISNUMBER(F36),ISNUMBER(F48)),IF(ABS(F45-F48)&lt;=0.15,0,ROUND(F45-F48,1)),"")</f>
      </c>
      <c r="G49" s="263">
        <f>IF(AND(ISNUMBER(G36),ISNUMBER(G48)),IF(ABS(G45-G48)&lt;=0.15,0,ROUND(G45-G48,1)),"")</f>
      </c>
      <c r="H49" s="263">
        <f>IF(AND(ISNUMBER(H36),ISNUMBER(H48)),IF(ABS(H45-H48)&lt;=0.15,0,ROUND(H45-H48,1)),"")</f>
      </c>
      <c r="I49" s="263">
        <f>IF(AND(ISNUMBER(I36),ISNUMBER(I48)),IF(ABS(I45-I48)&lt;=0.15,0,ROUND(I45-I48,1)),"")</f>
      </c>
      <c r="J49" s="263">
        <f>IF(AND(ISNUMBER(J36),ISNUMBER(J48)),IF(ABS(J45-J48)&lt;=0.15,0,ROUND(J45-J48,1)),"")</f>
      </c>
      <c r="K49" s="263">
        <f>IF(AND(ISNUMBER(K36),ISNUMBER(K48)),IF(ABS(K45-K48)&lt;=0.15,0,ROUND(K45-K48,1)),"")</f>
      </c>
      <c r="L49" s="263">
        <f>IF(AND(ISNUMBER(L36),ISNUMBER(L48)),IF(ABS(L45-L48)&lt;=0.15,0,ROUND(L45-L48,1)),"")</f>
      </c>
      <c r="M49" s="263">
        <f>IF(AND(ISNUMBER(M36),ISNUMBER(M48)),IF(ABS(M45-M48)&lt;=0.15,0,ROUND(M45-M48,1)),"")</f>
      </c>
      <c r="N49" s="263">
        <f>IF(AND(ISNUMBER(N36),ISNUMBER(N48)),IF(ABS(N45-N48)&lt;=0.15,0,ROUND(N45-N48,1)),"")</f>
      </c>
      <c r="O49" s="263">
        <f>IF(AND(ISNUMBER(O36),ISNUMBER(O48)),IF(ABS(O45-O48)&lt;=0.15,0,ROUND(O45-O48,1)),"")</f>
      </c>
      <c r="P49" s="263">
        <f>IF(AND(ISNUMBER(P36),ISNUMBER(P48)),IF(ABS(P45-P48)&lt;=0.15,0,ROUND(P45-P48,1)),"")</f>
      </c>
      <c r="Q49" s="263">
        <f>IF(AND(ISNUMBER(Q36),ISNUMBER(Q48)),IF(ABS(Q45-Q48)&lt;=0.15,0,ROUND(Q45-Q48,1)),"")</f>
        <v>0</v>
      </c>
      <c r="R49" s="263">
        <f>IF(AND(ISNUMBER(R36),ISNUMBER(R48)),IF(ABS(R45-R48)&lt;=0.15,0,ROUND(R45-R48,1)),"")</f>
      </c>
      <c r="S49" s="263">
        <f>IF(AND(ISNUMBER(S36),ISNUMBER(S48)),IF(ABS(S45-S48)&lt;=0.15,0,ROUND(S45-S48,1)),"")</f>
      </c>
      <c r="T49" s="263">
        <f>IF(AND(ISNUMBER(T36),ISNUMBER(T48)),IF(ABS(T45-T48)&lt;=0.15,0,ROUND(T45-T48,1)),"")</f>
      </c>
      <c r="U49" s="263">
        <f>IF(AND(ISNUMBER(U36),ISNUMBER(U48)),IF(ABS(U45-U48)&lt;=0.15,0,ROUND(U45-U48,1)),"")</f>
      </c>
      <c r="V49" s="263">
        <f>IF(AND(ISNUMBER(V36),ISNUMBER(V48)),IF(ABS(V45-V48)&lt;=0.15,0,ROUND(V45-V48,1)),"")</f>
        <v>0</v>
      </c>
      <c r="W49" s="263">
        <f>IF(AND(ISNUMBER(W36),ISNUMBER(W48)),IF(ABS(W45-W48)&lt;=0.15,0,ROUND(W45-W48,1)),"")</f>
        <v>0</v>
      </c>
      <c r="X49" s="263">
        <f>IF(AND(ISNUMBER(X36),ISNUMBER(X48)),IF(ABS(X45-X48)&lt;=0.15,0,ROUND(X45-X48,1)),"")</f>
        <v>0</v>
      </c>
      <c r="Y49" s="263">
        <f>IF(AND(ISNUMBER(Y36),ISNUMBER(Y48)),IF(ABS(Y45-Y48)&lt;=0.15,0,ROUND(Y45-Y48,1)),"")</f>
        <v>0</v>
      </c>
      <c r="Z49" s="263">
        <f>IF(AND(ISNUMBER(Z36),ISNUMBER(Z48)),IF(ABS(Z45-Z48)&lt;=0.15,0,ROUND(Z45-Z48,1)),"")</f>
        <v>0</v>
      </c>
      <c r="AA49" s="263">
        <f>IF(AND(ISNUMBER(AA36),ISNUMBER(AA48)),IF(ABS(AA45-AA48)&lt;=0.15,0,ROUND(AA45-AA48,1)),"")</f>
        <v>0</v>
      </c>
      <c r="AB49" s="263">
        <f>IF(AND(ISNUMBER(AB36),ISNUMBER(AB48)),IF(ABS(AB45-AB48)&lt;=0.15,0,ROUND(AB45-AB48,1)),"")</f>
        <v>0</v>
      </c>
      <c r="AC49" s="263">
        <f>IF(AND(ISNUMBER(AC36),ISNUMBER(AC48)),IF(ABS(AC45-AC48)&lt;=0.15,0,ROUND(AC45-AC48,1)),"")</f>
        <v>0</v>
      </c>
      <c r="AD49" s="263">
        <f>IF(AND(ISNUMBER(AD36),ISNUMBER(AD48)),IF(ABS(AD45-AD48)&lt;=0.15,0,ROUND(AD45-AD48,1)),"")</f>
        <v>0</v>
      </c>
      <c r="AE49" s="263">
        <f>IF(AND(ISNUMBER(AE36),ISNUMBER(AE48)),IF(ABS(AE45-AE48)&lt;=0.15,0,ROUND(AE45-AE48,1)),"")</f>
        <v>0</v>
      </c>
      <c r="AF49" s="263">
        <f>IF(AND(ISNUMBER(AF36),ISNUMBER(AF48)),IF(ABS(AF45-AF48)&lt;=0.15,0,ROUND(AF45-AF48,1)),"")</f>
        <v>0</v>
      </c>
      <c r="AG49" s="263">
        <f>IF(AND(ISNUMBER(AG36),ISNUMBER(AG48)),IF(ABS(AG45-AG48)&lt;=0.15,0,ROUND(AG45-AG48,1)),"")</f>
        <v>0</v>
      </c>
      <c r="AH49" s="263">
        <f>IF(AND(ISNUMBER(AH36),ISNUMBER(AH48)),IF(ABS(AH45-AH48)&lt;=0.15,0,ROUND(AH45-AH48,1)),"")</f>
        <v>0</v>
      </c>
      <c r="AI49" s="263">
        <f>IF(AND(ISNUMBER(AI36),ISNUMBER(AI48)),IF(ABS(AI45-AI48)&lt;=0.15,0,ROUND(AI45-AI48,1)),"")</f>
        <v>0</v>
      </c>
      <c r="AJ49" s="263">
        <f>IF(AND(ISNUMBER(AJ36),ISNUMBER(AJ48)),IF(ABS(AJ45-AJ48)&lt;=0.15,0,ROUND(AJ45-AJ48,1)),"")</f>
        <v>0</v>
      </c>
      <c r="AK49" s="263">
        <f>IF(AND(ISNUMBER(AK36),ISNUMBER(AK48)),IF(ABS(AK45-AK48)&lt;=0.15,0,ROUND(AK45-AK48,1)),"")</f>
        <v>0</v>
      </c>
      <c r="AL49" s="263">
        <f>IF(AND(ISNUMBER(AL36),ISNUMBER(AL48)),IF(ABS(AL45-AL48)&lt;=0.15,0,ROUND(AL45-AL48,1)),"")</f>
        <v>0</v>
      </c>
      <c r="AM49" s="263">
        <f>IF(AND(ISNUMBER(AM36),ISNUMBER(AM48)),IF(ABS(AM45-AM48)&lt;=0.15,0,ROUND(AM45-AM48,1)),"")</f>
        <v>0</v>
      </c>
      <c r="AN49" s="263">
        <f>IF(AND(ISNUMBER(AN36),ISNUMBER(AN48)),IF(ABS(AN45-AN48)&lt;=0.15,0,ROUND(AN45-AN48,1)),"")</f>
        <v>0</v>
      </c>
      <c r="AO49" s="153" t="n"/>
      <c r="AP49" s="153" t="n"/>
      <c r="AQ49" s="153" t="n"/>
      <c r="AR49" s="153" t="n"/>
      <c r="AS49" s="153" t="n"/>
      <c r="AT49" s="153" t="n"/>
      <c r="AU49" s="153" t="n"/>
      <c r="AV49" s="153" t="n"/>
      <c r="BD49" s="25" t="inlineStr">
        <is>
          <t xml:space="preserve">  2030E</t>
        </is>
      </c>
      <c r="BE49" s="33">
        <f>BF49+$BE$45</f>
        <v>0.08</v>
      </c>
      <c r="BF49" s="42" t="n">
        <v>0.05</v>
      </c>
      <c r="BG49" s="33">
        <f>BF49+$BG$45</f>
        <v>0.01</v>
      </c>
    </row>
    <row r="50" ht="15" customHeight="1" s="251">
      <c r="B50" s="25" t="inlineStr">
        <is>
          <t xml:space="preserve">  Industrial segment earnings</t>
        </is>
      </c>
      <c r="C50" s="253" t="n">
        <v>113.872</v>
      </c>
      <c r="D50" s="253" t="n">
        <v>126.441</v>
      </c>
      <c r="E50" s="253" t="n">
        <v>98.94</v>
      </c>
      <c r="F50" s="253" t="n">
        <v>134.278</v>
      </c>
      <c r="G50" s="253" t="n">
        <v>126.641</v>
      </c>
      <c r="H50" s="253" t="n">
        <v>82.23699999999999</v>
      </c>
      <c r="I50" s="253" t="n">
        <v>78.991</v>
      </c>
      <c r="J50" s="253" t="n">
        <v>47.938</v>
      </c>
      <c r="K50" s="253" t="n">
        <v>93.521</v>
      </c>
      <c r="L50" s="253" t="n">
        <v>100.321</v>
      </c>
      <c r="M50" s="253" t="n">
        <v>32.888</v>
      </c>
      <c r="N50" s="253" t="n">
        <v>27.871</v>
      </c>
      <c r="O50" s="253" t="n">
        <v>27.166</v>
      </c>
      <c r="P50" s="253" t="n">
        <v>20.747</v>
      </c>
      <c r="Q50" s="253" t="n">
        <v>108.672</v>
      </c>
      <c r="R50" s="253" t="n">
        <v>23.693</v>
      </c>
      <c r="S50" s="253" t="n">
        <v>17.234</v>
      </c>
      <c r="T50" s="253" t="n">
        <v>21.102</v>
      </c>
      <c r="U50" s="253" t="n">
        <v>20.759</v>
      </c>
      <c r="V50" s="253" t="n">
        <v>82.788</v>
      </c>
      <c r="W50" s="253" t="n">
        <v>11.402</v>
      </c>
      <c r="X50" s="253" t="n">
        <v>37.571</v>
      </c>
      <c r="Y50" s="253" t="n">
        <v>58.197</v>
      </c>
      <c r="Z50" s="253" t="n">
        <v>54.451</v>
      </c>
      <c r="AA50" s="253" t="n">
        <v>161.622</v>
      </c>
      <c r="AB50" s="253" t="n">
        <v>66.881</v>
      </c>
      <c r="AC50" s="253" t="n">
        <v>65.244</v>
      </c>
      <c r="AD50" s="253" t="n">
        <v>59.717</v>
      </c>
      <c r="AE50" s="253" t="n">
        <v>38.015</v>
      </c>
      <c r="AF50" s="253" t="n">
        <v>229.857</v>
      </c>
      <c r="AG50" s="253" t="n">
        <v>40.197</v>
      </c>
      <c r="AH50" s="253" t="n">
        <v>45.967</v>
      </c>
      <c r="AI50" s="253" t="n">
        <v>47.622</v>
      </c>
      <c r="AJ50" s="253" t="n">
        <v>48.738</v>
      </c>
      <c r="AK50" s="253" t="n">
        <v>182.524</v>
      </c>
      <c r="AL50" s="253" t="n">
        <v>66.994</v>
      </c>
      <c r="AM50" s="253" t="n">
        <v>65.721</v>
      </c>
      <c r="AN50" s="253" t="n">
        <v>88.48399999999999</v>
      </c>
      <c r="AO50" s="254">
        <f>AO45*AO51</f>
        <v>65.1463127372538</v>
      </c>
      <c r="AP50" s="254">
        <f>SUM(AL50:AO50)</f>
        <v>286.345312737254</v>
      </c>
      <c r="AQ50" s="254">
        <f>AQ45*AQ51</f>
        <v>306.705379227621</v>
      </c>
      <c r="AR50" s="254">
        <f>AR45*AR51</f>
        <v>329.936817361986</v>
      </c>
      <c r="AS50" s="254">
        <f>AS45*AS51</f>
        <v>353.543966588139</v>
      </c>
      <c r="AT50" s="254">
        <f>AT45*AT51</f>
        <v>372.520539602558</v>
      </c>
      <c r="AU50" s="254">
        <f>AU45*AU51</f>
        <v>392.864795760637</v>
      </c>
      <c r="AV50" s="19" t="n"/>
      <c r="AX50" s="20">
        <f>IFERROR((AU50/AP50)^(1/5)-1,"n/m")</f>
        <v>0.0652967622708396</v>
      </c>
      <c r="AY50" s="20">
        <f>IFERROR((AK50/L50)^(1/5)-1,"n/m")</f>
        <v>0.127160147032882</v>
      </c>
      <c r="AZ50" s="20">
        <f>IFERROR((AK50/G50)^(1/10)-1,"n/m")</f>
        <v>0.0372287943641418</v>
      </c>
      <c r="BA50" s="20">
        <f>IFERROR((AK50/C50)^(1/14)-1,"n/m")</f>
        <v>0.0342747699663177</v>
      </c>
      <c r="BD50" s="25" t="inlineStr">
        <is>
          <t xml:space="preserve">  2031E</t>
        </is>
      </c>
      <c r="BE50" s="33">
        <f>BF50+$BE$45</f>
        <v>0.08</v>
      </c>
      <c r="BF50" s="42" t="n">
        <v>0.05</v>
      </c>
      <c r="BG50" s="33">
        <f>BF50+$BG$45</f>
        <v>0.01</v>
      </c>
    </row>
    <row r="51" ht="15" customHeight="1" s="251">
      <c r="B51" s="25" t="inlineStr">
        <is>
          <t xml:space="preserve">  Segment margin %</t>
        </is>
      </c>
      <c r="C51" s="215">
        <f>IF(AND(ISNUMBER(C50),ISNUMBER(C45)),IFERROR(C50/C45,""),"")</f>
        <v>0.131087754843612</v>
      </c>
      <c r="D51" s="215">
        <f>IF(AND(ISNUMBER(D50),ISNUMBER(D45)),IFERROR(D50/D45,""),"")</f>
        <v>0.130412853877699</v>
      </c>
      <c r="E51" s="215">
        <f>IF(AND(ISNUMBER(E50),ISNUMBER(E45)),IFERROR(E50/E45,""),"")</f>
        <v>0.113139065910882</v>
      </c>
      <c r="F51" s="215">
        <f>IF(AND(ISNUMBER(F50),ISNUMBER(F45)),IFERROR(F50/F45,""),"")</f>
        <v>0.146397518575252</v>
      </c>
      <c r="G51" s="215">
        <f>IF(AND(ISNUMBER(G50),ISNUMBER(G45)),IFERROR(G50/G45,""),"")</f>
        <v>0.144333386519569</v>
      </c>
      <c r="H51" s="215">
        <f>IF(AND(ISNUMBER(H50),ISNUMBER(H45)),IFERROR(H50/H45,""),"")</f>
        <v>0.104110383313373</v>
      </c>
      <c r="I51" s="215">
        <f>IF(AND(ISNUMBER(I50),ISNUMBER(I45)),IFERROR(I50/I45,""),"")</f>
        <v>0.10443765155101</v>
      </c>
      <c r="J51" s="215">
        <f>IF(AND(ISNUMBER(J50),ISNUMBER(J45)),IFERROR(J50/J45,""),"")</f>
        <v>0.0624286188687108</v>
      </c>
      <c r="K51" s="215">
        <f>IF(AND(ISNUMBER(K50),ISNUMBER(K45)),IFERROR(K50/K45,""),"")</f>
        <v>0.091716298396453</v>
      </c>
      <c r="L51" s="215">
        <f>IF(AND(ISNUMBER(L50),ISNUMBER(L45)),IFERROR(L50/L45,""),"")</f>
        <v>0.110888447245612</v>
      </c>
      <c r="M51" s="215">
        <f>IF(AND(ISNUMBER(M50),ISNUMBER(M45)),IFERROR(M50/M45,""),"")</f>
        <v>0.152293102170853</v>
      </c>
      <c r="N51" s="215">
        <f>IF(AND(ISNUMBER(N50),ISNUMBER(N45)),IFERROR(N50/N45,""),"")</f>
        <v>0.128666066523556</v>
      </c>
      <c r="O51" s="215">
        <f>IF(AND(ISNUMBER(O50),ISNUMBER(O45)),IFERROR(O50/O45,""),"")</f>
        <v>0.125906666110501</v>
      </c>
      <c r="P51" s="215">
        <f>IF(AND(ISNUMBER(P50),ISNUMBER(P45)),IFERROR(P50/P45,""),"")</f>
        <v>0.107283398402151</v>
      </c>
      <c r="Q51" s="215">
        <f>IF(AND(ISNUMBER(Q50),ISNUMBER(Q45)),IFERROR(Q50/Q45,""),"")</f>
        <v>0.129107833411547</v>
      </c>
      <c r="R51" s="215">
        <f>IF(AND(ISNUMBER(R50),ISNUMBER(R45)),IFERROR(R50/R45,""),"")</f>
        <v>0.115490541113619</v>
      </c>
      <c r="S51" s="215">
        <f>IF(AND(ISNUMBER(S50),ISNUMBER(S45)),IFERROR(S50/S45,""),"")</f>
        <v>0.0805018637718258</v>
      </c>
      <c r="T51" s="215">
        <f>IF(AND(ISNUMBER(T50),ISNUMBER(T45)),IFERROR(T50/T45,""),"")</f>
        <v>0.0992474837738689</v>
      </c>
      <c r="U51" s="215">
        <f>IF(AND(ISNUMBER(U50),ISNUMBER(U45)),IFERROR(U50/U45,""),"")</f>
        <v>0.0896271830408221</v>
      </c>
      <c r="V51" s="215">
        <f>IF(AND(ISNUMBER(V50),ISNUMBER(V45)),IFERROR(V50/V45,""),"")</f>
        <v>0.095878480731191</v>
      </c>
      <c r="W51" s="215">
        <f>IF(AND(ISNUMBER(W50),ISNUMBER(W45)),IFERROR(W50/W45,""),"")</f>
        <v>0.0511451819821113</v>
      </c>
      <c r="X51" s="215">
        <f>IF(AND(ISNUMBER(X50),ISNUMBER(X45)),IFERROR(X50/X45,""),"")</f>
        <v>0.133610956020157</v>
      </c>
      <c r="Y51" s="215">
        <f>IF(AND(ISNUMBER(Y50),ISNUMBER(Y45)),IFERROR(Y50/Y45,""),"")</f>
        <v>0.1817906363625</v>
      </c>
      <c r="Z51" s="215">
        <f>IF(AND(ISNUMBER(Z50),ISNUMBER(Z45)),IFERROR(Z50/Z45,""),"")</f>
        <v>0.168997517070143</v>
      </c>
      <c r="AA51" s="215">
        <f>IF(AND(ISNUMBER(AA50),ISNUMBER(AA45)),IFERROR(AA50/AA45,""),"")</f>
        <v>0.140974457963318</v>
      </c>
      <c r="AB51" s="215">
        <f>IF(AND(ISNUMBER(AB50),ISNUMBER(AB45)),IFERROR(AB50/AB45,""),"")</f>
        <v>0.205172805193052</v>
      </c>
      <c r="AC51" s="215">
        <f>IF(AND(ISNUMBER(AC50),ISNUMBER(AC45)),IFERROR(AC50/AC45,""),"")</f>
        <v>0.193126148873253</v>
      </c>
      <c r="AD51" s="215">
        <f>IF(AND(ISNUMBER(AD50),ISNUMBER(AD45)),IFERROR(AD50/AD45,""),"")</f>
        <v>0.180890442495032</v>
      </c>
      <c r="AE51" s="215">
        <f>IF(AND(ISNUMBER(AE50),ISNUMBER(AE45)),IFERROR(AE50/AE45,""),"")</f>
        <v>0.126003486930639</v>
      </c>
      <c r="AF51" s="215">
        <f>IF(AND(ISNUMBER(AF50),ISNUMBER(AF45)),IFERROR(AF50/AF45,""),"")</f>
        <v>0.177409308668903</v>
      </c>
      <c r="AG51" s="215">
        <f>IF(AND(ISNUMBER(AG50),ISNUMBER(AG45)),IFERROR(AG50/AG45,""),"")</f>
        <v>0.144156389079159</v>
      </c>
      <c r="AH51" s="215">
        <f>IF(AND(ISNUMBER(AH50),ISNUMBER(AH45)),IFERROR(AH50/AH45,""),"")</f>
        <v>0.142799005902454</v>
      </c>
      <c r="AI51" s="215">
        <f>IF(AND(ISNUMBER(AI50),ISNUMBER(AI45)),IFERROR(AI50/AI45,""),"")</f>
        <v>0.149072172693579</v>
      </c>
      <c r="AJ51" s="215">
        <f>IF(AND(ISNUMBER(AJ50),ISNUMBER(AJ45)),IFERROR(AJ50/AJ45,""),"")</f>
        <v>0.145896383572962</v>
      </c>
      <c r="AK51" s="215">
        <f>IF(AND(ISNUMBER(AK50),ISNUMBER(AK45)),IFERROR(AK50/AK45,""),"")</f>
        <v>0.145523488787793</v>
      </c>
      <c r="AL51" s="215">
        <f>IF(AND(ISNUMBER(AL50),ISNUMBER(AL45)),IFERROR(AL50/AL45,""),"")</f>
        <v>0.185293051994568</v>
      </c>
      <c r="AM51" s="215">
        <f>IF(AND(ISNUMBER(AM50),ISNUMBER(AM45)),IFERROR(AM50/AM45,""),"")</f>
        <v>0.169713387063037</v>
      </c>
      <c r="AN51" s="215">
        <f>IF(AND(ISNUMBER(AN50),ISNUMBER(AN45)),IFERROR(AN50/AN45,""),"")</f>
        <v>0.220640746873067</v>
      </c>
      <c r="AO51" s="256">
        <f>AO52+$AO$116</f>
        <v>0.170550711104277</v>
      </c>
      <c r="AP51" s="256">
        <f>IF(AND(ISNUMBER(AP50),ISNUMBER(AP45)),IFERROR(AP50/AP45,""),"")</f>
        <v>0.186932388001267</v>
      </c>
      <c r="AQ51" s="256">
        <f>CHOOSE(MATCH($AV$2,{"Bull","Base","Bear"},0),$BE$82,$BF$82,$BG$82)</f>
        <v>0.19</v>
      </c>
      <c r="AR51" s="256">
        <f>CHOOSE(MATCH($AV$2,{"Bull","Base","Bear"},0),$BE$83,$BF$83,$BG$83)</f>
        <v>0.192</v>
      </c>
      <c r="AS51" s="256">
        <f>CHOOSE(MATCH($AV$2,{"Bull","Base","Bear"},0),$BE$84,$BF$84,$BG$84)</f>
        <v>0.195</v>
      </c>
      <c r="AT51" s="256">
        <f>CHOOSE(MATCH($AV$2,{"Bull","Base","Bear"},0),$BE$85,$BF$85,$BG$85)</f>
        <v>0.197</v>
      </c>
      <c r="AU51" s="256">
        <f>CHOOSE(MATCH($AV$2,{"Bull","Base","Bear"},0),$BE$86,$BF$86,$BG$86)</f>
        <v>0.2</v>
      </c>
      <c r="AV51" s="153" t="n"/>
      <c r="AX51" s="37">
        <f>IFERROR(AVERAGE(AQ51,AR51,AS51,AT51,AU51),"n/m")</f>
        <v>0.1948</v>
      </c>
      <c r="AY51" s="37">
        <f>IFERROR(AVERAGE(Q51,V51,AA51,AF51,AK51),"n/m")</f>
        <v>0.137778713912551</v>
      </c>
      <c r="AZ51" s="37">
        <f>IFERROR(AVERAGE(H51,I51,J51,K51,L51,Q51,V51,AA51,AF51,AK51),"n/m")</f>
        <v>0.116247496893791</v>
      </c>
      <c r="BA51" s="37">
        <f>IFERROR(AVERAGE(C51,D51,E51,F51,G51,H51,I51,J51,K51,L51,Q51,V51,AA51,AF51,AK51),"n/m")</f>
        <v>0.121856369910995</v>
      </c>
      <c r="BD51" s="15" t="inlineStr">
        <is>
          <t>AERO_DSERV (Defense services y/y)</t>
        </is>
      </c>
      <c r="BE51" s="41" t="n">
        <v>0.02</v>
      </c>
      <c r="BF51" s="21" t="inlineStr">
        <is>
          <t>Δ →</t>
        </is>
      </c>
      <c r="BG51" s="41" t="n">
        <v>-0.04</v>
      </c>
      <c r="BH51" s="13" t="inlineStr">
        <is>
          <t>9M FY26 +9%; FY25 −2% (mix).</t>
        </is>
      </c>
    </row>
    <row r="52" ht="15" customHeight="1" s="251">
      <c r="B52" s="25" t="inlineStr">
        <is>
          <t xml:space="preserve">  Q4/26E margin before EPS calibration (prior-year quarter + 9M FY26 y/y drift)</t>
        </is>
      </c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256">
        <f>AJ51+IFERROR(SUM(AL50:AN50)/SUM(AL45:AN45)-SUM(AG50:AI50)/SUM(AG45:AI45),0)</f>
        <v>0.192882657220115</v>
      </c>
      <c r="AP52" s="24" t="n"/>
      <c r="AQ52" s="46" t="n"/>
      <c r="AR52" s="46" t="n"/>
      <c r="AS52" s="46" t="n"/>
      <c r="AT52" s="46" t="n"/>
      <c r="AU52" s="46" t="n"/>
      <c r="AV52" s="19" t="n"/>
      <c r="BD52" s="25" t="inlineStr">
        <is>
          <t xml:space="preserve">  2027E</t>
        </is>
      </c>
      <c r="BE52" s="33">
        <f>BF52+$BE$51</f>
        <v>0.07</v>
      </c>
      <c r="BF52" s="42" t="n">
        <v>0.05</v>
      </c>
      <c r="BG52" s="33">
        <f>BF52+$BG$51</f>
        <v>0.01</v>
      </c>
    </row>
    <row r="53" ht="15" customHeight="1" s="251">
      <c r="B53" s="25" t="inlineStr">
        <is>
          <t xml:space="preserve">  Incremental segment margin (Δ earnings / Δ sales)</t>
        </is>
      </c>
      <c r="C53" s="36" t="n"/>
      <c r="D53" s="215">
        <f>IFERROR((D50-C50)/(D45-C45),"")</f>
        <v>0.124600987370383</v>
      </c>
      <c r="E53" s="215">
        <f>IFERROR((E50-D50)/(E45-D45),"")</f>
        <v>0.289347151349361</v>
      </c>
      <c r="F53" s="215">
        <f>IFERROR((F50-E50)/(F45-E45),"")</f>
        <v>0.827277835003277</v>
      </c>
      <c r="G53" s="215">
        <f>IFERROR((G50-F50)/(G45-F45),"")</f>
        <v>0.191908531222515</v>
      </c>
      <c r="H53" s="215">
        <f>IFERROR((H50-G50)/(H45-G45),"")</f>
        <v>0.507369912475149</v>
      </c>
      <c r="I53" s="215">
        <f>IFERROR((I50-H50)/(I45-H45),"")</f>
        <v>0.0967338180951243</v>
      </c>
      <c r="J53" s="215">
        <f>IFERROR((J50-I50)/(J45-I45),"")</f>
        <v>-2.69113441372736</v>
      </c>
      <c r="K53" s="215">
        <f>IFERROR((K50-J50)/(K45-J45),"")</f>
        <v>0.181034345809239</v>
      </c>
      <c r="L53" s="215">
        <f>IFERROR((L50-K50)/(L45-K45),"")</f>
        <v>-0.0591432920200043</v>
      </c>
      <c r="M53" s="36" t="n"/>
      <c r="N53" s="36" t="n"/>
      <c r="O53" s="36" t="n"/>
      <c r="P53" s="36" t="n"/>
      <c r="Q53" s="215">
        <f>IFERROR((Q50-L50)/(Q45-L45),"")</f>
        <v>-0.132582913934621</v>
      </c>
      <c r="R53" s="215">
        <f>IFERROR((R50-M50)/(R45-M45),"")</f>
        <v>0.851310063882975</v>
      </c>
      <c r="S53" s="215">
        <f>IFERROR((S50-N50)/(S45-N45),"")</f>
        <v>4.19936833793918</v>
      </c>
      <c r="T53" s="215">
        <f>IFERROR((T50-O50)/(T45-O45),"")</f>
        <v>1.9293668469615</v>
      </c>
      <c r="U53" s="215">
        <f>IFERROR((U50-P50)/(U45-P45),"")</f>
        <v>0.000313889615485233</v>
      </c>
      <c r="V53" s="215">
        <f>IFERROR((V50-Q50)/(V45-Q45),"")</f>
        <v>-1.18990484071162</v>
      </c>
      <c r="W53" s="215">
        <f>IFERROR((W50-R50)/(W45-R45),"")</f>
        <v>-0.691165720069729</v>
      </c>
      <c r="X53" s="215">
        <f>IFERROR((X50-S50)/(X45-S45),"")</f>
        <v>0.303017209267675</v>
      </c>
      <c r="Y53" s="215">
        <f>IFERROR((Y50-T50)/(Y45-T45),"")</f>
        <v>0.345031252325322</v>
      </c>
      <c r="Z53" s="215">
        <f>IFERROR((Z50-U50)/(Z45-U45),"")</f>
        <v>0.371937958823205</v>
      </c>
      <c r="AA53" s="215">
        <f>IFERROR((AA50-V50)/(AA45-V45),"")</f>
        <v>0.278570292761356</v>
      </c>
      <c r="AB53" s="215">
        <f>IFERROR((AB50-W50)/(AB45-W45),"")</f>
        <v>0.53842197204969</v>
      </c>
      <c r="AC53" s="215">
        <f>IFERROR((AC50-X50)/(AC45-X45),"")</f>
        <v>0.488628738920084</v>
      </c>
      <c r="AD53" s="215">
        <f>IFERROR((AD50-Y50)/(AD45-Y45),"")</f>
        <v>0.152060824329731</v>
      </c>
      <c r="AE53" s="215">
        <f>IFERROR((AE50-Z50)/(AE45-Z45),"")</f>
        <v>0.801677885084379</v>
      </c>
      <c r="AF53" s="215">
        <f>IFERROR((AF50-AA50)/(AF45-AA45),"")</f>
        <v>0.457437251957525</v>
      </c>
      <c r="AG53" s="215">
        <f>IFERROR((AG50-AB50)/(AG45-AB45),"")</f>
        <v>0.566166641912966</v>
      </c>
      <c r="AH53" s="215">
        <f>IFERROR((AH50-AC50)/(AH45-AC45),"")</f>
        <v>1.21003075764233</v>
      </c>
      <c r="AI53" s="215">
        <f>IFERROR((AI50-AD50)/(AI45-AD45),"")</f>
        <v>1.13333958020989</v>
      </c>
      <c r="AJ53" s="215">
        <f>IFERROR((AJ50-AE50)/(AJ45-AE45),"")</f>
        <v>0.331355644139551</v>
      </c>
      <c r="AK53" s="215">
        <f>IFERROR((AK50-AF50)/(AK45-AF45),"")</f>
        <v>1.14405530176685</v>
      </c>
      <c r="AL53" s="215">
        <f>IFERROR((AL50-AG50)/(AL45-AG45),"")</f>
        <v>0.323971758106245</v>
      </c>
      <c r="AM53" s="215">
        <f>IFERROR((AM50-AH50)/(AM45-AH45),"")</f>
        <v>0.30229390790702</v>
      </c>
      <c r="AN53" s="215">
        <f>IFERROR((AN50-AI50)/(AN45-AI45),"")</f>
        <v>0.500907129547906</v>
      </c>
      <c r="AO53" s="256">
        <f>IFERROR((AO50-AJ50)/(AO45-AJ45),"")</f>
        <v>0.342430532898168</v>
      </c>
      <c r="AP53" s="256">
        <f>IFERROR((AP50-AK50)/(AP45-AK45),"")</f>
        <v>0.374057795895234</v>
      </c>
      <c r="AQ53" s="256">
        <f>IFERROR((AQ50-AP50)/(AQ45-AP45),"")</f>
        <v>0.247008336959159</v>
      </c>
      <c r="AR53" s="256">
        <f>IFERROR((AR50-AQ50)/(AR45-AQ45),"")</f>
        <v>0.222988798638088</v>
      </c>
      <c r="AS53" s="256">
        <f>IFERROR((AS50-AR50)/(AS45-AR45),"")</f>
        <v>0.249480946588221</v>
      </c>
      <c r="AT53" s="256">
        <f>IFERROR((AT50-AS50)/(AT45-AS45),"")</f>
        <v>0.243535357087952</v>
      </c>
      <c r="AU53" s="256">
        <f>IFERROR((AU50-AT50)/(AU45-AT45),"")</f>
        <v>0.277333031560749</v>
      </c>
      <c r="AV53" s="153" t="n"/>
      <c r="BD53" s="25" t="inlineStr">
        <is>
          <t xml:space="preserve">  2028E</t>
        </is>
      </c>
      <c r="BE53" s="33">
        <f>BF53+$BE$51</f>
        <v>0.07</v>
      </c>
      <c r="BF53" s="42" t="n">
        <v>0.05</v>
      </c>
      <c r="BG53" s="33">
        <f>BF53+$BG$51</f>
        <v>0.01</v>
      </c>
    </row>
    <row r="54" collapsed="1" ht="15" customHeight="1" s="251">
      <c r="B54" s="156" t="inlineStr">
        <is>
          <t xml:space="preserve">  Memo: Industrial segment earnings as restated in the following year's release (where different)</t>
        </is>
      </c>
      <c r="C54" s="34" t="n"/>
      <c r="D54" s="34" t="n"/>
      <c r="E54" s="34" t="n"/>
      <c r="F54" s="34" t="n"/>
      <c r="G54" s="34" t="n"/>
      <c r="H54" s="34" t="n"/>
      <c r="I54" s="34" t="n"/>
      <c r="J54" s="253" t="n">
        <v>49.894</v>
      </c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34" t="n"/>
      <c r="AO54" s="153" t="n"/>
      <c r="AP54" s="153" t="n"/>
      <c r="AQ54" s="153" t="n"/>
      <c r="AR54" s="153" t="n"/>
      <c r="AS54" s="153" t="n"/>
      <c r="AT54" s="153" t="n"/>
      <c r="AU54" s="153" t="n"/>
      <c r="AV54" s="153" t="n"/>
      <c r="BD54" s="25" t="inlineStr">
        <is>
          <t xml:space="preserve">  2029E</t>
        </is>
      </c>
      <c r="BE54" s="33">
        <f>BF54+$BE$51</f>
        <v>0.06</v>
      </c>
      <c r="BF54" s="42" t="n">
        <v>0.04</v>
      </c>
      <c r="BG54" s="33">
        <f>BF54+$BG$51</f>
        <v>0</v>
      </c>
    </row>
    <row r="55" ht="15" customHeight="1" s="251">
      <c r="B55" s="25" t="inlineStr">
        <is>
          <t xml:space="preserve">  Legacy primary markets (as originally reported FY2019–FY2022; replaced in the FY2023 10-K):</t>
        </is>
      </c>
      <c r="AV55" s="153" t="n"/>
      <c r="BD55" s="25" t="inlineStr">
        <is>
          <t xml:space="preserve">  2030E</t>
        </is>
      </c>
      <c r="BE55" s="33">
        <f>BF55+$BE$51</f>
        <v>0.06</v>
      </c>
      <c r="BF55" s="42" t="n">
        <v>0.04</v>
      </c>
      <c r="BG55" s="33">
        <f>BF55+$BG$51</f>
        <v>0</v>
      </c>
    </row>
    <row r="56" ht="15" customHeight="1" s="251">
      <c r="B56" s="156" t="inlineStr">
        <is>
          <t xml:space="preserve">    Reciprocating engines</t>
        </is>
      </c>
      <c r="C56" s="34" t="n"/>
      <c r="D56" s="34" t="n"/>
      <c r="E56" s="34" t="n"/>
      <c r="F56" s="34" t="n"/>
      <c r="G56" s="34" t="n"/>
      <c r="H56" s="34" t="n"/>
      <c r="I56" s="34" t="n"/>
      <c r="J56" s="34" t="n"/>
      <c r="K56" s="253" t="n">
        <v>751.136</v>
      </c>
      <c r="L56" s="253" t="n">
        <v>632.5549999999999</v>
      </c>
      <c r="M56" s="253" t="n">
        <v>164.922</v>
      </c>
      <c r="N56" s="253" t="n">
        <v>163.034</v>
      </c>
      <c r="O56" s="253" t="n">
        <v>166.143</v>
      </c>
      <c r="P56" s="253" t="n">
        <v>145.847</v>
      </c>
      <c r="Q56" s="253" t="n">
        <v>639.946</v>
      </c>
      <c r="R56" s="253" t="n">
        <v>158.334</v>
      </c>
      <c r="S56" s="253" t="n">
        <v>156.663</v>
      </c>
      <c r="T56" s="253" t="n">
        <v>154.09</v>
      </c>
      <c r="U56" s="253" t="n">
        <v>167.779</v>
      </c>
      <c r="V56" s="253" t="n">
        <v>636.866</v>
      </c>
      <c r="W56" s="253" t="n">
        <v>161.377</v>
      </c>
      <c r="X56" s="253" t="n">
        <v>209.238</v>
      </c>
      <c r="Y56" s="253" t="n">
        <v>242.04</v>
      </c>
      <c r="Z56" s="34" t="n"/>
      <c r="AA56" s="34" t="n"/>
      <c r="AB56" s="34" t="n"/>
      <c r="AC56" s="34" t="n"/>
      <c r="AD56" s="34" t="n"/>
      <c r="AE56" s="34" t="n"/>
      <c r="AF56" s="34" t="n"/>
      <c r="AG56" s="34" t="n"/>
      <c r="AH56" s="34" t="n"/>
      <c r="AI56" s="34" t="n"/>
      <c r="AJ56" s="34" t="n"/>
      <c r="AK56" s="34" t="n"/>
      <c r="AL56" s="34" t="n"/>
      <c r="AM56" s="34" t="n"/>
      <c r="AN56" s="34" t="n"/>
      <c r="AO56" s="153" t="n"/>
      <c r="AP56" s="153" t="n"/>
      <c r="AQ56" s="153" t="n"/>
      <c r="AR56" s="153" t="n"/>
      <c r="AS56" s="153" t="n"/>
      <c r="AT56" s="153" t="n"/>
      <c r="AU56" s="153" t="n"/>
      <c r="AV56" s="153" t="n"/>
      <c r="BD56" s="25" t="inlineStr">
        <is>
          <t xml:space="preserve">  2031E</t>
        </is>
      </c>
      <c r="BE56" s="33">
        <f>BF56+$BE$51</f>
        <v>0.06</v>
      </c>
      <c r="BF56" s="42" t="n">
        <v>0.04</v>
      </c>
      <c r="BG56" s="33">
        <f>BF56+$BG$51</f>
        <v>0</v>
      </c>
    </row>
    <row r="57" ht="15" customHeight="1" s="251">
      <c r="B57" s="156" t="inlineStr">
        <is>
          <t xml:space="preserve">    Industrial turbines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253" t="n">
        <v>210.064</v>
      </c>
      <c r="L57" s="253" t="n">
        <v>222.366</v>
      </c>
      <c r="M57" s="253" t="n">
        <v>51.03</v>
      </c>
      <c r="N57" s="253" t="n">
        <v>53.581</v>
      </c>
      <c r="O57" s="253" t="n">
        <v>49.62</v>
      </c>
      <c r="P57" s="253" t="n">
        <v>47.538</v>
      </c>
      <c r="Q57" s="253" t="n">
        <v>201.769</v>
      </c>
      <c r="R57" s="253" t="n">
        <v>46.817</v>
      </c>
      <c r="S57" s="253" t="n">
        <v>57.419</v>
      </c>
      <c r="T57" s="253" t="n">
        <v>58.53</v>
      </c>
      <c r="U57" s="253" t="n">
        <v>63.836</v>
      </c>
      <c r="V57" s="253" t="n">
        <v>226.602</v>
      </c>
      <c r="W57" s="253" t="n">
        <v>61.557</v>
      </c>
      <c r="X57" s="253" t="n">
        <v>71.959</v>
      </c>
      <c r="Y57" s="253" t="n">
        <v>78.092</v>
      </c>
      <c r="Z57" s="34" t="n"/>
      <c r="AA57" s="34" t="n"/>
      <c r="AB57" s="34" t="n"/>
      <c r="AC57" s="34" t="n"/>
      <c r="AD57" s="34" t="n"/>
      <c r="AE57" s="34" t="n"/>
      <c r="AF57" s="34" t="n"/>
      <c r="AG57" s="34" t="n"/>
      <c r="AH57" s="34" t="n"/>
      <c r="AI57" s="34" t="n"/>
      <c r="AJ57" s="34" t="n"/>
      <c r="AK57" s="34" t="n"/>
      <c r="AL57" s="34" t="n"/>
      <c r="AM57" s="34" t="n"/>
      <c r="AN57" s="34" t="n"/>
      <c r="AO57" s="153" t="n"/>
      <c r="AP57" s="153" t="n"/>
      <c r="AQ57" s="153" t="n"/>
      <c r="AR57" s="153" t="n"/>
      <c r="AS57" s="153" t="n"/>
      <c r="AT57" s="153" t="n"/>
      <c r="AU57" s="153" t="n"/>
      <c r="AV57" s="153" t="n"/>
      <c r="BD57" s="15" t="inlineStr">
        <is>
          <t>IND_PG (Power generation y/y)</t>
        </is>
      </c>
      <c r="BE57" s="41" t="n">
        <v>0.04</v>
      </c>
      <c r="BF57" s="21" t="inlineStr">
        <is>
          <t>Δ →</t>
        </is>
      </c>
      <c r="BG57" s="41" t="n">
        <v>-0.06</v>
      </c>
      <c r="BH57" s="13" t="inlineStr">
        <is>
          <t>9M FY26 +11%; FY25 +10%: gas turbines and reciprocating gensets (data-centre and grid demand).</t>
        </is>
      </c>
    </row>
    <row r="58" ht="15" customHeight="1" s="251">
      <c r="B58" s="156" t="inlineStr">
        <is>
          <t xml:space="preserve">    Renewables (sold May-2020)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253" t="n">
        <v>58.477</v>
      </c>
      <c r="L58" s="253" t="n">
        <v>49.781</v>
      </c>
      <c r="M58" s="253" t="n">
        <v>0</v>
      </c>
      <c r="N58" s="253" t="n">
        <v>0</v>
      </c>
      <c r="O58" s="253" t="n">
        <v>0</v>
      </c>
      <c r="P58" s="253" t="n">
        <v>0</v>
      </c>
      <c r="Q58" s="253" t="n">
        <v>0</v>
      </c>
      <c r="R58" s="34" t="n"/>
      <c r="S58" s="34" t="n"/>
      <c r="T58" s="34" t="n"/>
      <c r="U58" s="34" t="n"/>
      <c r="V58" s="253" t="n">
        <v>0</v>
      </c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  <c r="AG58" s="34" t="n"/>
      <c r="AH58" s="34" t="n"/>
      <c r="AI58" s="34" t="n"/>
      <c r="AJ58" s="34" t="n"/>
      <c r="AK58" s="34" t="n"/>
      <c r="AL58" s="34" t="n"/>
      <c r="AM58" s="34" t="n"/>
      <c r="AN58" s="34" t="n"/>
      <c r="AO58" s="153" t="n"/>
      <c r="AP58" s="153" t="n"/>
      <c r="AQ58" s="153" t="n"/>
      <c r="AR58" s="153" t="n"/>
      <c r="AS58" s="153" t="n"/>
      <c r="AT58" s="153" t="n"/>
      <c r="AU58" s="153" t="n"/>
      <c r="AV58" s="153" t="n"/>
      <c r="BD58" s="25" t="inlineStr">
        <is>
          <t xml:space="preserve">  2027E</t>
        </is>
      </c>
      <c r="BE58" s="33">
        <f>BF58+$BE$57</f>
        <v>0.16</v>
      </c>
      <c r="BF58" s="42" t="n">
        <v>0.12</v>
      </c>
      <c r="BG58" s="33">
        <f>BF58+$BG$57</f>
        <v>0.06</v>
      </c>
    </row>
    <row r="59" ht="15" customHeight="1" s="251">
      <c r="B59" s="57" t="inlineStr">
        <is>
          <t xml:space="preserve">    Check: legacy markets vs segment net sales (should be 0)</t>
        </is>
      </c>
      <c r="C59" s="263">
        <f>IF(ISNUMBER(C56),IF(ABS(C56+N(C57)+N(C58)-C48)&lt;=0.15,0,ROUND(C56+N(C57)+N(C58)-C48,1)),"")</f>
      </c>
      <c r="D59" s="263">
        <f>IF(ISNUMBER(D56),IF(ABS(D56+N(D57)+N(D58)-D48)&lt;=0.15,0,ROUND(D56+N(D57)+N(D58)-D48,1)),"")</f>
      </c>
      <c r="E59" s="263">
        <f>IF(ISNUMBER(E56),IF(ABS(E56+N(E57)+N(E58)-E48)&lt;=0.15,0,ROUND(E56+N(E57)+N(E58)-E48,1)),"")</f>
      </c>
      <c r="F59" s="263">
        <f>IF(ISNUMBER(F56),IF(ABS(F56+N(F57)+N(F58)-F48)&lt;=0.15,0,ROUND(F56+N(F57)+N(F58)-F48,1)),"")</f>
      </c>
      <c r="G59" s="263">
        <f>IF(ISNUMBER(G56),IF(ABS(G56+N(G57)+N(G58)-G48)&lt;=0.15,0,ROUND(G56+N(G57)+N(G58)-G48,1)),"")</f>
      </c>
      <c r="H59" s="263">
        <f>IF(ISNUMBER(H56),IF(ABS(H56+N(H57)+N(H58)-H48)&lt;=0.15,0,ROUND(H56+N(H57)+N(H58)-H48,1)),"")</f>
      </c>
      <c r="I59" s="263">
        <f>IF(ISNUMBER(I56),IF(ABS(I56+N(I57)+N(I58)-I48)&lt;=0.15,0,ROUND(I56+N(I57)+N(I58)-I48,1)),"")</f>
      </c>
      <c r="J59" s="263">
        <f>IF(ISNUMBER(J56),IF(ABS(J56+N(J57)+N(J58)-J48)&lt;=0.15,0,ROUND(J56+N(J57)+N(J58)-J48,1)),"")</f>
      </c>
      <c r="K59" s="263">
        <f>IF(ISNUMBER(K56),IF(ABS(K56+N(K57)+N(K58)-K48)&lt;=0.15,0,ROUND(K56+N(K57)+N(K58)-K48,1)),"")</f>
        <v>0</v>
      </c>
      <c r="L59" s="263">
        <f>IF(ISNUMBER(L56),IF(ABS(L56+N(L57)+N(L58)-L48)&lt;=0.15,0,ROUND(L56+N(L57)+N(L58)-L48,1)),"")</f>
        <v>0</v>
      </c>
      <c r="M59" s="263">
        <f>IF(ISNUMBER(M56),IF(ABS(M56+N(M57)+N(M58)-M48)&lt;=0.15,0,ROUND(M56+N(M57)+N(M58)-M48,1)),"")</f>
        <v>0</v>
      </c>
      <c r="N59" s="263">
        <f>IF(ISNUMBER(N56),IF(ABS(N56+N(N57)+N(N58)-N48)&lt;=0.15,0,ROUND(N56+N(N57)+N(N58)-N48,1)),"")</f>
        <v>0</v>
      </c>
      <c r="O59" s="263">
        <f>IF(ISNUMBER(O56),IF(ABS(O56+N(O57)+N(O58)-O48)&lt;=0.15,0,ROUND(O56+N(O57)+N(O58)-O48,1)),"")</f>
        <v>0</v>
      </c>
      <c r="P59" s="263">
        <f>IF(ISNUMBER(P56),IF(ABS(P56+N(P57)+N(P58)-P48)&lt;=0.15,0,ROUND(P56+N(P57)+N(P58)-P48,1)),"")</f>
        <v>0</v>
      </c>
      <c r="Q59" s="263">
        <f>IF(ISNUMBER(Q56),IF(ABS(Q56+N(Q57)+N(Q58)-Q48)&lt;=0.15,0,ROUND(Q56+N(Q57)+N(Q58)-Q48,1)),"")</f>
        <v>0</v>
      </c>
      <c r="R59" s="263">
        <f>IF(ISNUMBER(R56),IF(ABS(R56+N(R57)+N(R58)-R48)&lt;=0.15,0,ROUND(R56+N(R57)+N(R58)-R48,1)),"")</f>
        <v>0</v>
      </c>
      <c r="S59" s="263">
        <f>IF(ISNUMBER(S56),IF(ABS(S56+N(S57)+N(S58)-S48)&lt;=0.15,0,ROUND(S56+N(S57)+N(S58)-S48,1)),"")</f>
        <v>0</v>
      </c>
      <c r="T59" s="263">
        <f>IF(ISNUMBER(T56),IF(ABS(T56+N(T57)+N(T58)-T48)&lt;=0.15,0,ROUND(T56+N(T57)+N(T58)-T48,1)),"")</f>
        <v>0</v>
      </c>
      <c r="U59" s="263">
        <f>IF(ISNUMBER(U56),IF(ABS(U56+N(U57)+N(U58)-U48)&lt;=0.15,0,ROUND(U56+N(U57)+N(U58)-U48,1)),"")</f>
        <v>0</v>
      </c>
      <c r="V59" s="263">
        <f>IF(ISNUMBER(V56),IF(ABS(V56+N(V57)+N(V58)-V48)&lt;=0.15,0,ROUND(V56+N(V57)+N(V58)-V48,1)),"")</f>
        <v>0</v>
      </c>
      <c r="W59" s="263">
        <f>IF(ISNUMBER(W56),IF(ABS(W56+N(W57)+N(W58)-W48)&lt;=0.15,0,ROUND(W56+N(W57)+N(W58)-W48,1)),"")</f>
        <v>0</v>
      </c>
      <c r="X59" s="263">
        <f>IF(ISNUMBER(X56),IF(ABS(X56+N(X57)+N(X58)-X48)&lt;=0.15,0,ROUND(X56+N(X57)+N(X58)-X48,1)),"")</f>
        <v>0</v>
      </c>
      <c r="Y59" s="263">
        <f>IF(ISNUMBER(Y56),IF(ABS(Y56+N(Y57)+N(Y58)-Y48)&lt;=0.15,0,ROUND(Y56+N(Y57)+N(Y58)-Y48,1)),"")</f>
        <v>0</v>
      </c>
      <c r="Z59" s="263">
        <f>IF(ISNUMBER(Z56),IF(ABS(Z56+N(Z57)+N(Z58)-Z48)&lt;=0.15,0,ROUND(Z56+N(Z57)+N(Z58)-Z48,1)),"")</f>
      </c>
      <c r="AA59" s="263">
        <f>IF(ISNUMBER(AA56),IF(ABS(AA56+N(AA57)+N(AA58)-AA48)&lt;=0.15,0,ROUND(AA56+N(AA57)+N(AA58)-AA48,1)),"")</f>
      </c>
      <c r="AB59" s="263">
        <f>IF(ISNUMBER(AB56),IF(ABS(AB56+N(AB57)+N(AB58)-AB48)&lt;=0.15,0,ROUND(AB56+N(AB57)+N(AB58)-AB48,1)),"")</f>
      </c>
      <c r="AC59" s="263">
        <f>IF(ISNUMBER(AC56),IF(ABS(AC56+N(AC57)+N(AC58)-AC48)&lt;=0.15,0,ROUND(AC56+N(AC57)+N(AC58)-AC48,1)),"")</f>
      </c>
      <c r="AD59" s="263">
        <f>IF(ISNUMBER(AD56),IF(ABS(AD56+N(AD57)+N(AD58)-AD48)&lt;=0.15,0,ROUND(AD56+N(AD57)+N(AD58)-AD48,1)),"")</f>
      </c>
      <c r="AE59" s="263">
        <f>IF(ISNUMBER(AE56),IF(ABS(AE56+N(AE57)+N(AE58)-AE48)&lt;=0.15,0,ROUND(AE56+N(AE57)+N(AE58)-AE48,1)),"")</f>
      </c>
      <c r="AF59" s="263">
        <f>IF(ISNUMBER(AF56),IF(ABS(AF56+N(AF57)+N(AF58)-AF48)&lt;=0.15,0,ROUND(AF56+N(AF57)+N(AF58)-AF48,1)),"")</f>
      </c>
      <c r="AG59" s="263">
        <f>IF(ISNUMBER(AG56),IF(ABS(AG56+N(AG57)+N(AG58)-AG48)&lt;=0.15,0,ROUND(AG56+N(AG57)+N(AG58)-AG48,1)),"")</f>
      </c>
      <c r="AH59" s="263">
        <f>IF(ISNUMBER(AH56),IF(ABS(AH56+N(AH57)+N(AH58)-AH48)&lt;=0.15,0,ROUND(AH56+N(AH57)+N(AH58)-AH48,1)),"")</f>
      </c>
      <c r="AI59" s="263">
        <f>IF(ISNUMBER(AI56),IF(ABS(AI56+N(AI57)+N(AI58)-AI48)&lt;=0.15,0,ROUND(AI56+N(AI57)+N(AI58)-AI48,1)),"")</f>
      </c>
      <c r="AJ59" s="263">
        <f>IF(ISNUMBER(AJ56),IF(ABS(AJ56+N(AJ57)+N(AJ58)-AJ48)&lt;=0.15,0,ROUND(AJ56+N(AJ57)+N(AJ58)-AJ48,1)),"")</f>
      </c>
      <c r="AK59" s="263">
        <f>IF(ISNUMBER(AK56),IF(ABS(AK56+N(AK57)+N(AK58)-AK48)&lt;=0.15,0,ROUND(AK56+N(AK57)+N(AK58)-AK48,1)),"")</f>
      </c>
      <c r="AL59" s="263">
        <f>IF(ISNUMBER(AL56),IF(ABS(AL56+N(AL57)+N(AL58)-AL48)&lt;=0.15,0,ROUND(AL56+N(AL57)+N(AL58)-AL48,1)),"")</f>
      </c>
      <c r="AM59" s="263">
        <f>IF(ISNUMBER(AM56),IF(ABS(AM56+N(AM57)+N(AM58)-AM48)&lt;=0.15,0,ROUND(AM56+N(AM57)+N(AM58)-AM48,1)),"")</f>
      </c>
      <c r="AN59" s="263">
        <f>IF(ISNUMBER(AN56),IF(ABS(AN56+N(AN57)+N(AN58)-AN48)&lt;=0.15,0,ROUND(AN56+N(AN57)+N(AN58)-AN48,1)),"")</f>
      </c>
      <c r="AO59" s="153" t="n"/>
      <c r="AP59" s="153" t="n"/>
      <c r="AQ59" s="153" t="n"/>
      <c r="AR59" s="153" t="n"/>
      <c r="AS59" s="153" t="n"/>
      <c r="AT59" s="153" t="n"/>
      <c r="AU59" s="153" t="n"/>
      <c r="AV59" s="153" t="n"/>
      <c r="BD59" s="25" t="inlineStr">
        <is>
          <t xml:space="preserve">  2028E</t>
        </is>
      </c>
      <c r="BE59" s="33">
        <f>BF59+$BE$57</f>
        <v>0.14</v>
      </c>
      <c r="BF59" s="42" t="n">
        <v>0.1</v>
      </c>
      <c r="BG59" s="33">
        <f>BF59+$BG$57</f>
        <v>0.04</v>
      </c>
    </row>
    <row r="60" ht="15" customHeight="1" s="251">
      <c r="BD60" s="25" t="inlineStr">
        <is>
          <t xml:space="preserve">  2029E</t>
        </is>
      </c>
      <c r="BE60" s="33">
        <f>BF60+$BE$57</f>
        <v>0.12</v>
      </c>
      <c r="BF60" s="42" t="n">
        <v>0.08</v>
      </c>
      <c r="BG60" s="33">
        <f>BF60+$BG$57</f>
        <v>0.02</v>
      </c>
    </row>
    <row r="61" ht="15" customHeight="1" s="251">
      <c r="B61" s="14" t="inlineStr">
        <is>
          <t>Nonsegment expenses (corporate costs, restructuring and other items not allocated to the segments)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5" t="inlineStr">
        <is>
          <t>NONSEGMENT — corporate office costs (compensation, benefits, depreciation, administration); adjusting items are recorded here</t>
        </is>
      </c>
      <c r="BD61" s="25" t="inlineStr">
        <is>
          <t xml:space="preserve">  2030E</t>
        </is>
      </c>
      <c r="BE61" s="33">
        <f>BF61+$BE$57</f>
        <v>0.1</v>
      </c>
      <c r="BF61" s="42" t="n">
        <v>0.06</v>
      </c>
      <c r="BG61" s="33">
        <f>BF61+$BG$57</f>
        <v>0</v>
      </c>
    </row>
    <row r="62" ht="15" customHeight="1" s="251">
      <c r="B62" s="25" t="inlineStr">
        <is>
          <t xml:space="preserve">  Nonsegment expenses, as reported (incl. adjusting items)</t>
        </is>
      </c>
      <c r="C62" s="253" t="n">
        <v>-30.942</v>
      </c>
      <c r="D62" s="253" t="n">
        <v>-33.365</v>
      </c>
      <c r="E62" s="253" t="n">
        <v>-39.061</v>
      </c>
      <c r="F62" s="253" t="n">
        <v>-43.701</v>
      </c>
      <c r="G62" s="253" t="n">
        <v>-49.362</v>
      </c>
      <c r="H62" s="253" t="n">
        <v>-63.166</v>
      </c>
      <c r="I62" s="253" t="n">
        <v>-58.352</v>
      </c>
      <c r="J62" s="253" t="n">
        <v>-100.067</v>
      </c>
      <c r="K62" s="253" t="n">
        <v>-119.447</v>
      </c>
      <c r="L62" s="253" t="n">
        <v>-94.53</v>
      </c>
      <c r="M62" s="253" t="n">
        <v>-23.359</v>
      </c>
      <c r="N62" s="253" t="n">
        <v>-10.426</v>
      </c>
      <c r="O62" s="253" t="n">
        <v>-13.546</v>
      </c>
      <c r="P62" s="253" t="n">
        <v>-17.111</v>
      </c>
      <c r="Q62" s="253" t="n">
        <v>-64.44199999999999</v>
      </c>
      <c r="R62" s="253" t="n">
        <v>-29.365</v>
      </c>
      <c r="S62" s="253" t="n">
        <v>-15.25</v>
      </c>
      <c r="T62" s="253" t="n">
        <v>-19.201</v>
      </c>
      <c r="U62" s="253" t="n">
        <v>-17.276</v>
      </c>
      <c r="V62" s="253" t="n">
        <v>-81.092</v>
      </c>
      <c r="W62" s="253" t="n">
        <v>-24.311</v>
      </c>
      <c r="X62" s="253" t="n">
        <v>-58.307</v>
      </c>
      <c r="Y62" s="253" t="n">
        <v>-23.875</v>
      </c>
      <c r="Z62" s="253" t="n">
        <v>-24.317</v>
      </c>
      <c r="AA62" s="253" t="n">
        <v>-130.811</v>
      </c>
      <c r="AB62" s="253" t="n">
        <v>-26.2</v>
      </c>
      <c r="AC62" s="253" t="n">
        <v>-32.834</v>
      </c>
      <c r="AD62" s="253" t="n">
        <v>-29.675</v>
      </c>
      <c r="AE62" s="253" t="n">
        <v>-31.036</v>
      </c>
      <c r="AF62" s="253" t="n">
        <v>-119.745</v>
      </c>
      <c r="AG62" s="253" t="n">
        <v>-22.104</v>
      </c>
      <c r="AH62" s="253" t="n">
        <v>-26.752</v>
      </c>
      <c r="AI62" s="253" t="n">
        <v>-36.13</v>
      </c>
      <c r="AJ62" s="253" t="n">
        <v>-41.24</v>
      </c>
      <c r="AK62" s="253" t="n">
        <v>-126.226</v>
      </c>
      <c r="AL62" s="253" t="n">
        <v>-36.595</v>
      </c>
      <c r="AM62" s="253" t="n">
        <v>-45.049</v>
      </c>
      <c r="AN62" s="253" t="n">
        <v>-50.776</v>
      </c>
      <c r="AO62" s="254">
        <f>AO63-AO191</f>
        <v>-47.1154702593713</v>
      </c>
      <c r="AP62" s="254">
        <f>SUM(AL62:AO62)</f>
        <v>-179.535470259371</v>
      </c>
      <c r="AQ62" s="254">
        <f>AQ63-AQ191</f>
        <v>-33.1099662611131</v>
      </c>
      <c r="AR62" s="254">
        <f>AR63-AR191</f>
        <v>-195.556496251444</v>
      </c>
      <c r="AS62" s="254">
        <f>AS63-AS191</f>
        <v>-193.331460840874</v>
      </c>
      <c r="AT62" s="254">
        <f>AT63-AT191</f>
        <v>-204.869988976936</v>
      </c>
      <c r="AU62" s="254">
        <f>AU63-AU191</f>
        <v>-216.322977921134</v>
      </c>
      <c r="AV62" s="19" t="n"/>
      <c r="BD62" s="25" t="inlineStr">
        <is>
          <t xml:space="preserve">  2031E</t>
        </is>
      </c>
      <c r="BE62" s="33">
        <f>BF62+$BE$57</f>
        <v>0.09</v>
      </c>
      <c r="BF62" s="42" t="n">
        <v>0.05</v>
      </c>
      <c r="BG62" s="33">
        <f>BF62+$BG$57</f>
        <v>-0.01</v>
      </c>
    </row>
    <row r="63" ht="15" customHeight="1" s="251">
      <c r="B63" s="25" t="inlineStr">
        <is>
          <t xml:space="preserve">  Adjusted nonsegment expenses (model: as reported + adjusting items)</t>
        </is>
      </c>
      <c r="C63" s="263">
        <f>IF(ISNUMBER(C62),C62+C191,"")</f>
        <v>-30.942</v>
      </c>
      <c r="D63" s="263">
        <f>IF(ISNUMBER(D62),D62+D191,"")</f>
        <v>-33.365</v>
      </c>
      <c r="E63" s="263">
        <f>IF(ISNUMBER(E62),E62+E191,"")</f>
        <v>-39.061</v>
      </c>
      <c r="F63" s="263">
        <f>IF(ISNUMBER(F62),F62+F191,"")</f>
        <v>-43.701</v>
      </c>
      <c r="G63" s="263">
        <f>IF(ISNUMBER(G62),G62+G191,"")</f>
        <v>-49.362</v>
      </c>
      <c r="H63" s="263">
        <f>IF(ISNUMBER(H62),H62+H191,"")</f>
        <v>-63.166</v>
      </c>
      <c r="I63" s="263">
        <f>IF(ISNUMBER(I62),I62+I191,"")</f>
        <v>-58.352</v>
      </c>
      <c r="J63" s="263">
        <f>IF(ISNUMBER(J62),J62+J191,"")</f>
        <v>-24.075</v>
      </c>
      <c r="K63" s="263">
        <f>IF(ISNUMBER(K62),K62+K191,"")</f>
        <v>-58.657</v>
      </c>
      <c r="L63" s="263">
        <f>IF(ISNUMBER(L62),L62+L191,"")</f>
        <v>-67.3</v>
      </c>
      <c r="M63" s="263">
        <f>IF(ISNUMBER(M62),M62+M191,"")</f>
        <v>-23.359</v>
      </c>
      <c r="N63" s="263">
        <f>IF(ISNUMBER(N62),N62+N191,"")</f>
        <v>-10.426</v>
      </c>
      <c r="O63" s="263">
        <f>IF(ISNUMBER(O62),O62+O191,"")</f>
        <v>-13.546</v>
      </c>
      <c r="P63" s="263">
        <f>IF(ISNUMBER(P62),P62+P191,"")</f>
        <v>-12.103</v>
      </c>
      <c r="Q63" s="263">
        <f>IF(ISNUMBER(Q62),Q62+Q191,"")</f>
        <v>-59.434</v>
      </c>
      <c r="R63" s="263">
        <f>IF(ISNUMBER(R62),R62+R191,"")</f>
        <v>-21.383</v>
      </c>
      <c r="S63" s="263">
        <f>IF(ISNUMBER(S62),S62+S191,"")</f>
        <v>-16.978</v>
      </c>
      <c r="T63" s="263">
        <f>IF(ISNUMBER(T62),T62+T191,"")</f>
        <v>-19.201</v>
      </c>
      <c r="U63" s="263">
        <f>IF(ISNUMBER(U62),U62+U191,"")</f>
        <v>-20.696</v>
      </c>
      <c r="V63" s="263">
        <f>IF(ISNUMBER(V62),V62+V191,"")</f>
        <v>-78.258</v>
      </c>
      <c r="W63" s="263">
        <f>IF(ISNUMBER(W62),W62+W191,"")</f>
        <v>-24.311</v>
      </c>
      <c r="X63" s="263">
        <f>IF(ISNUMBER(X62),X62+X191,"")</f>
        <v>-23.431</v>
      </c>
      <c r="Y63" s="263">
        <f>IF(ISNUMBER(Y62),Y62+Y191,"")</f>
        <v>-23.875</v>
      </c>
      <c r="Z63" s="263">
        <f>IF(ISNUMBER(Z62),Z62+Z191,"")</f>
        <v>-24.317</v>
      </c>
      <c r="AA63" s="263">
        <f>IF(ISNUMBER(AA62),AA62+AA191,"")</f>
        <v>-95.935</v>
      </c>
      <c r="AB63" s="263">
        <f>IF(ISNUMBER(AB62),AB62+AB191,"")</f>
        <v>-26.765</v>
      </c>
      <c r="AC63" s="263">
        <f>IF(ISNUMBER(AC62),AC62+AC191,"")</f>
        <v>-28.504</v>
      </c>
      <c r="AD63" s="263">
        <f>IF(ISNUMBER(AD62),AD62+AD191,"")</f>
        <v>-29.675</v>
      </c>
      <c r="AE63" s="263">
        <f>IF(ISNUMBER(AE62),AE62+AE191,"")</f>
        <v>-26.658</v>
      </c>
      <c r="AF63" s="263">
        <f>IF(ISNUMBER(AF62),AF62+AF191,"")</f>
        <v>-111.602</v>
      </c>
      <c r="AG63" s="263">
        <f>IF(ISNUMBER(AG62),AG62+AG191,"")</f>
        <v>-27.947</v>
      </c>
      <c r="AH63" s="263">
        <f>IF(ISNUMBER(AH62),AH62+AH191,"")</f>
        <v>-34.122</v>
      </c>
      <c r="AI63" s="263">
        <f>IF(ISNUMBER(AI62),AI62+AI191,"")</f>
        <v>-36.13</v>
      </c>
      <c r="AJ63" s="263">
        <f>IF(ISNUMBER(AJ62),AJ62+AJ191,"")</f>
        <v>-34.704</v>
      </c>
      <c r="AK63" s="263">
        <f>IF(ISNUMBER(AK62),AK62+AK191,"")</f>
        <v>-132.904</v>
      </c>
      <c r="AL63" s="263">
        <f>IF(ISNUMBER(AL62),AL62+AL191,"")</f>
        <v>-36.595</v>
      </c>
      <c r="AM63" s="263">
        <f>IF(ISNUMBER(AM62),AM62+AM191,"")</f>
        <v>-38.234</v>
      </c>
      <c r="AN63" s="263">
        <f>IF(ISNUMBER(AN62),AN62+AN191,"")</f>
        <v>-41.512</v>
      </c>
      <c r="AO63" s="254">
        <f>AJ63*(1+AO64)</f>
        <v>-41.1154702593713</v>
      </c>
      <c r="AP63" s="254">
        <f>SUM(AL63:AO63)</f>
        <v>-157.456470259371</v>
      </c>
      <c r="AQ63" s="254">
        <f>AQ150*AQ65</f>
        <v>-164.745966261113</v>
      </c>
      <c r="AR63" s="254">
        <f>AR150*AR65</f>
        <v>-178.556496251444</v>
      </c>
      <c r="AS63" s="254">
        <f>AS150*AS65</f>
        <v>-191.331460840874</v>
      </c>
      <c r="AT63" s="254">
        <f>AT150*AT65</f>
        <v>-202.869988976936</v>
      </c>
      <c r="AU63" s="254">
        <f>AU150*AU65</f>
        <v>-214.322977921134</v>
      </c>
      <c r="AV63" s="19" t="inlineStr">
        <is>
          <t>Equals the company's adjusted nonsegment expenses where all adjusting items sit in nonsegment (FY2021+); FY2018–19 L'Orange purchase accounting sat in Industrial segment earnings. Q4/26E: prior-year quarter × (1 + 9M FY26 y/y). 2027E+: % of net sales.</t>
        </is>
      </c>
      <c r="BD63" s="15" t="inlineStr">
        <is>
          <t>IND_TRANS (Transportation y/y)</t>
        </is>
      </c>
      <c r="BE63" s="41" t="n">
        <v>0.04</v>
      </c>
      <c r="BF63" s="21" t="inlineStr">
        <is>
          <t>Δ →</t>
        </is>
      </c>
      <c r="BG63" s="41" t="n">
        <v>-0.08</v>
      </c>
      <c r="BH63" s="13" t="inlineStr">
        <is>
          <t>9M FY26 +42% (marine, rail, China OH last-time buys); China OH wound down by end of FY26 → flat FY27.</t>
        </is>
      </c>
    </row>
    <row r="64" ht="15" customHeight="1" s="251">
      <c r="B64" s="22" t="inlineStr">
        <is>
          <t xml:space="preserve">  Adjusted nonsegment expenses y/y %</t>
        </is>
      </c>
      <c r="C64" s="23" t="n"/>
      <c r="D64" s="255">
        <f>IF(AND(ISNUMBER(D63),ISNUMBER(C63)),IFERROR(D63/C63-1,""),"")</f>
        <v>0.0783078016934911</v>
      </c>
      <c r="E64" s="255">
        <f>IF(AND(ISNUMBER(E63),ISNUMBER(D63)),IFERROR(E63/D63-1,""),"")</f>
        <v>0.170717818072831</v>
      </c>
      <c r="F64" s="255">
        <f>IF(AND(ISNUMBER(F63),ISNUMBER(E63)),IFERROR(F63/E63-1,""),"")</f>
        <v>0.118788561480761</v>
      </c>
      <c r="G64" s="255">
        <f>IF(AND(ISNUMBER(G63),ISNUMBER(F63)),IFERROR(G63/F63-1,""),"")</f>
        <v>0.129539369808471</v>
      </c>
      <c r="H64" s="255">
        <f>IF(AND(ISNUMBER(H63),ISNUMBER(G63)),IFERROR(H63/G63-1,""),"")</f>
        <v>0.27964831246708</v>
      </c>
      <c r="I64" s="255">
        <f>IF(AND(ISNUMBER(I63),ISNUMBER(H63)),IFERROR(I63/H63-1,""),"")</f>
        <v>-0.0762118861412785</v>
      </c>
      <c r="J64" s="255">
        <f>IF(AND(ISNUMBER(J63),ISNUMBER(I63)),IFERROR(J63/I63-1,""),"")</f>
        <v>-0.58741774060872</v>
      </c>
      <c r="K64" s="255">
        <f>IF(AND(ISNUMBER(K63),ISNUMBER(J63)),IFERROR(K63/J63-1,""),"")</f>
        <v>1.43642782969886</v>
      </c>
      <c r="L64" s="255">
        <f>IF(AND(ISNUMBER(L63),ISNUMBER(K63)),IFERROR(L63/K63-1,""),"")</f>
        <v>0.147348142591677</v>
      </c>
      <c r="M64" s="23" t="n"/>
      <c r="N64" s="23" t="n"/>
      <c r="O64" s="23" t="n"/>
      <c r="P64" s="23" t="n"/>
      <c r="Q64" s="255">
        <f>IF(AND(ISNUMBER(Q63),ISNUMBER(L63)),IFERROR(Q63/L63-1,""),"")</f>
        <v>-0.116879643387816</v>
      </c>
      <c r="R64" s="255">
        <f>IF(AND(ISNUMBER(R63),ISNUMBER(M63)),IFERROR(R63/M63-1,""),"")</f>
        <v>-0.0845926623571216</v>
      </c>
      <c r="S64" s="255">
        <f>IF(AND(ISNUMBER(S63),ISNUMBER(N63)),IFERROR(S63/N63-1,""),"")</f>
        <v>0.628428927680798</v>
      </c>
      <c r="T64" s="255">
        <f>IF(AND(ISNUMBER(T63),ISNUMBER(O63)),IFERROR(T63/O63-1,""),"")</f>
        <v>0.417466410748561</v>
      </c>
      <c r="U64" s="255">
        <f>IF(AND(ISNUMBER(U63),ISNUMBER(P63)),IFERROR(U63/P63-1,""),"")</f>
        <v>0.709989258861439</v>
      </c>
      <c r="V64" s="255">
        <f>IF(AND(ISNUMBER(V63),ISNUMBER(Q63)),IFERROR(V63/Q63-1,""),"")</f>
        <v>0.316721068748528</v>
      </c>
      <c r="W64" s="255">
        <f>IF(AND(ISNUMBER(W63),ISNUMBER(R63)),IFERROR(W63/R63-1,""),"")</f>
        <v>0.136931207033625</v>
      </c>
      <c r="X64" s="255">
        <f>IF(AND(ISNUMBER(X63),ISNUMBER(S63)),IFERROR(X63/S63-1,""),"")</f>
        <v>0.380080103663564</v>
      </c>
      <c r="Y64" s="255">
        <f>IF(AND(ISNUMBER(Y63),ISNUMBER(T63)),IFERROR(Y63/T63-1,""),"")</f>
        <v>0.243424821623874</v>
      </c>
      <c r="Z64" s="255">
        <f>IF(AND(ISNUMBER(Z63),ISNUMBER(U63)),IFERROR(Z63/U63-1,""),"")</f>
        <v>0.174961345187476</v>
      </c>
      <c r="AA64" s="255">
        <f>IF(AND(ISNUMBER(AA63),ISNUMBER(V63)),IFERROR(AA63/V63-1,""),"")</f>
        <v>0.225881060083314</v>
      </c>
      <c r="AB64" s="255">
        <f>IF(AND(ISNUMBER(AB63),ISNUMBER(W63)),IFERROR(AB63/W63-1,""),"")</f>
        <v>0.100941960429435</v>
      </c>
      <c r="AC64" s="255">
        <f>IF(AND(ISNUMBER(AC63),ISNUMBER(X63)),IFERROR(AC63/X63-1,""),"")</f>
        <v>0.216508044897785</v>
      </c>
      <c r="AD64" s="255">
        <f>IF(AND(ISNUMBER(AD63),ISNUMBER(Y63)),IFERROR(AD63/Y63-1,""),"")</f>
        <v>0.242931937172775</v>
      </c>
      <c r="AE64" s="255">
        <f>IF(AND(ISNUMBER(AE63),ISNUMBER(Z63)),IFERROR(AE63/Z63-1,""),"")</f>
        <v>0.0962700991076202</v>
      </c>
      <c r="AF64" s="255">
        <f>IF(AND(ISNUMBER(AF63),ISNUMBER(AA63)),IFERROR(AF63/AA63-1,""),"")</f>
        <v>0.163308490123521</v>
      </c>
      <c r="AG64" s="255">
        <f>IF(AND(ISNUMBER(AG63),ISNUMBER(AB63)),IFERROR(AG63/AB63-1,""),"")</f>
        <v>0.044162152064263</v>
      </c>
      <c r="AH64" s="255">
        <f>IF(AND(ISNUMBER(AH63),ISNUMBER(AC63)),IFERROR(AH63/AC63-1,""),"")</f>
        <v>0.197095144541117</v>
      </c>
      <c r="AI64" s="255">
        <f>IF(AND(ISNUMBER(AI63),ISNUMBER(AD63)),IFERROR(AI63/AD63-1,""),"")</f>
        <v>0.217523167649537</v>
      </c>
      <c r="AJ64" s="255">
        <f>IF(AND(ISNUMBER(AJ63),ISNUMBER(AE63)),IFERROR(AJ63/AE63-1,""),"")</f>
        <v>0.301823092505064</v>
      </c>
      <c r="AK64" s="255">
        <f>IF(AND(ISNUMBER(AK63),ISNUMBER(AF63)),IFERROR(AK63/AF63-1,""),"")</f>
        <v>0.19087471550689</v>
      </c>
      <c r="AL64" s="255">
        <f>IF(AND(ISNUMBER(AL63),ISNUMBER(AG63)),IFERROR(AL63/AG63-1,""),"")</f>
        <v>0.309442874011522</v>
      </c>
      <c r="AM64" s="255">
        <f>IF(AND(ISNUMBER(AM63),ISNUMBER(AH63)),IFERROR(AM63/AH63-1,""),"")</f>
        <v>0.120508762675107</v>
      </c>
      <c r="AN64" s="255">
        <f>IF(AND(ISNUMBER(AN63),ISNUMBER(AI63)),IFERROR(AN63/AI63-1,""),"")</f>
        <v>0.14896208137282</v>
      </c>
      <c r="AO64" s="256">
        <f>IFERROR(SUM(AL63:AN63)/SUM(AG63:AI63)-1,0)</f>
        <v>0.18474729885233</v>
      </c>
      <c r="AP64" s="256">
        <f>IF(AND(ISNUMBER(AP63),ISNUMBER(AK63)),IFERROR(AP63/AK63-1,""),"")</f>
        <v>0.184738384543515</v>
      </c>
      <c r="AQ64" s="256">
        <f>IF(AND(ISNUMBER(AQ63),ISNUMBER(AP63)),IFERROR(AQ63/AP63-1,""),"")</f>
        <v>0.0462953093622263</v>
      </c>
      <c r="AR64" s="256">
        <f>IF(AND(ISNUMBER(AR63),ISNUMBER(AQ63)),IFERROR(AR63/AQ63-1,""),"")</f>
        <v>0.0838292451327303</v>
      </c>
      <c r="AS64" s="256">
        <f>IF(AND(ISNUMBER(AS63),ISNUMBER(AR63)),IFERROR(AS63/AR63-1,""),"")</f>
        <v>0.0715457844302676</v>
      </c>
      <c r="AT64" s="256">
        <f>IF(AND(ISNUMBER(AT63),ISNUMBER(AS63)),IFERROR(AT63/AS63-1,""),"")</f>
        <v>0.060306486373706</v>
      </c>
      <c r="AU64" s="256">
        <f>IF(AND(ISNUMBER(AU63),ISNUMBER(AT63)),IFERROR(AU63/AT63-1,""),"")</f>
        <v>0.0564548211490277</v>
      </c>
      <c r="AV64" s="153" t="n"/>
      <c r="BD64" s="25" t="inlineStr">
        <is>
          <t xml:space="preserve">  2027E</t>
        </is>
      </c>
      <c r="BE64" s="33">
        <f>BF64+$BE$63</f>
        <v>0.04</v>
      </c>
      <c r="BF64" s="42" t="n">
        <v>0</v>
      </c>
      <c r="BG64" s="33">
        <f>BF64+$BG$63</f>
        <v>-0.08</v>
      </c>
    </row>
    <row r="65" ht="15" customHeight="1" s="251">
      <c r="B65" s="25" t="inlineStr">
        <is>
          <t xml:space="preserve">  Adjusted nonsegment expenses % of net sales</t>
        </is>
      </c>
      <c r="C65" s="215">
        <f>IF(AND(ISNUMBER(C63),ISNUMBER(C150)),IFERROR(C63/C150,""),"")</f>
        <v>-0.018076744667004</v>
      </c>
      <c r="D65" s="215">
        <f>IF(AND(ISNUMBER(D63),ISNUMBER(D150)),IFERROR(D63/D150,""),"")</f>
        <v>-0.0178840679299774</v>
      </c>
      <c r="E65" s="215">
        <f>IF(AND(ISNUMBER(E63),ISNUMBER(E150)),IFERROR(E63/E150,""),"")</f>
        <v>-0.02017638648413</v>
      </c>
      <c r="F65" s="215">
        <f>IF(AND(ISNUMBER(F63),ISNUMBER(F150)),IFERROR(F63/F150,""),"")</f>
        <v>-0.0218369610841278</v>
      </c>
      <c r="G65" s="215">
        <f>IF(AND(ISNUMBER(G63),ISNUMBER(G150)),IFERROR(G63/G150,""),"")</f>
        <v>-0.0242172042135051</v>
      </c>
      <c r="H65" s="215">
        <f>IF(AND(ISNUMBER(H63),ISNUMBER(H150)),IFERROR(H63/H150,""),"")</f>
        <v>-0.0312227210221257</v>
      </c>
      <c r="I65" s="215">
        <f>IF(AND(ISNUMBER(I63),ISNUMBER(I150)),IFERROR(I63/I150,""),"")</f>
        <v>-0.0278040773150806</v>
      </c>
      <c r="J65" s="215">
        <f>IF(AND(ISNUMBER(J63),ISNUMBER(J150)),IFERROR(J63/J150,""),"")</f>
        <v>-0.0103509520941169</v>
      </c>
      <c r="K65" s="215">
        <f>IF(AND(ISNUMBER(K63),ISNUMBER(K150)),IFERROR(K63/K150,""),"")</f>
        <v>-0.0202251778068869</v>
      </c>
      <c r="L65" s="215">
        <f>IF(AND(ISNUMBER(L63),ISNUMBER(L150)),IFERROR(L63/L150,""),"")</f>
        <v>-0.0269667603624685</v>
      </c>
      <c r="M65" s="215">
        <f>IF(AND(ISNUMBER(M63),ISNUMBER(M150)),IFERROR(M63/M150,""),"")</f>
        <v>-0.0434489852479172</v>
      </c>
      <c r="N65" s="215">
        <f>IF(AND(ISNUMBER(N63),ISNUMBER(N150)),IFERROR(N63/N150,""),"")</f>
        <v>-0.0179350135295302</v>
      </c>
      <c r="O65" s="215">
        <f>IF(AND(ISNUMBER(O63),ISNUMBER(O150)),IFERROR(O63/O150,""),"")</f>
        <v>-0.024333767458571</v>
      </c>
      <c r="P65" s="215">
        <f>IF(AND(ISNUMBER(P63),ISNUMBER(P150)),IFERROR(P63/P150,""),"")</f>
        <v>-0.021225252842339</v>
      </c>
      <c r="Q65" s="215">
        <f>IF(AND(ISNUMBER(Q63),ISNUMBER(Q150)),IFERROR(Q63/Q150,""),"")</f>
        <v>-0.02646413444995</v>
      </c>
      <c r="R65" s="215">
        <f>IF(AND(ISNUMBER(R63),ISNUMBER(R150)),IFERROR(R63/R150,""),"")</f>
        <v>-0.039482187501154</v>
      </c>
      <c r="S65" s="215">
        <f>IF(AND(ISNUMBER(S63),ISNUMBER(S150)),IFERROR(S63/S150,""),"")</f>
        <v>-0.0289312741654866</v>
      </c>
      <c r="T65" s="215">
        <f>IF(AND(ISNUMBER(T63),ISNUMBER(T150)),IFERROR(T63/T150,""),"")</f>
        <v>-0.0312550868260159</v>
      </c>
      <c r="U65" s="215">
        <f>IF(AND(ISNUMBER(U63),ISNUMBER(U150)),IFERROR(U63/U150,""),"")</f>
        <v>-0.0323358326836273</v>
      </c>
      <c r="V65" s="215">
        <f>IF(AND(ISNUMBER(V63),ISNUMBER(V150)),IFERROR(V63/V150,""),"")</f>
        <v>-0.0328430117635209</v>
      </c>
      <c r="W65" s="215">
        <f>IF(AND(ISNUMBER(W63),ISNUMBER(W150)),IFERROR(W63/W150,""),"")</f>
        <v>-0.0392988252866465</v>
      </c>
      <c r="X65" s="215">
        <f>IF(AND(ISNUMBER(X63),ISNUMBER(X150)),IFERROR(X63/X150,""),"")</f>
        <v>-0.0326239811532496</v>
      </c>
      <c r="Y65" s="215">
        <f>IF(AND(ISNUMBER(Y63),ISNUMBER(Y150)),IFERROR(Y63/Y150,""),"")</f>
        <v>-0.0298190374726945</v>
      </c>
      <c r="Z65" s="215">
        <f>IF(AND(ISNUMBER(Z63),ISNUMBER(Z150)),IFERROR(Z63/Z150,""),"")</f>
        <v>-0.0312931910896058</v>
      </c>
      <c r="AA65" s="215">
        <f>IF(AND(ISNUMBER(AA63),ISNUMBER(AA150)),IFERROR(AA63/AA150,""),"")</f>
        <v>-0.0329157068325095</v>
      </c>
      <c r="AB65" s="215">
        <f>IF(AND(ISNUMBER(AB63),ISNUMBER(AB150)),IFERROR(AB63/AB150,""),"")</f>
        <v>-0.0340205661408615</v>
      </c>
      <c r="AC65" s="215">
        <f>IF(AND(ISNUMBER(AC63),ISNUMBER(AC150)),IFERROR(AC63/AC150,""),"")</f>
        <v>-0.0341225101545114</v>
      </c>
      <c r="AD65" s="215">
        <f>IF(AND(ISNUMBER(AD63),ISNUMBER(AD150)),IFERROR(AD63/AD150,""),"")</f>
        <v>-0.0350069837015506</v>
      </c>
      <c r="AE65" s="215">
        <f>IF(AND(ISNUMBER(AE63),ISNUMBER(AE150)),IFERROR(AE63/AE150,""),"")</f>
        <v>-0.0311976294576401</v>
      </c>
      <c r="AF65" s="215">
        <f>IF(AND(ISNUMBER(AF63),ISNUMBER(AF150)),IFERROR(AF63/AF150,""),"")</f>
        <v>-0.0335720940278541</v>
      </c>
      <c r="AG65" s="215">
        <f>IF(AND(ISNUMBER(AG63),ISNUMBER(AG150)),IFERROR(AG63/AG150,""),"")</f>
        <v>-0.0361668122553302</v>
      </c>
      <c r="AH65" s="215">
        <f>IF(AND(ISNUMBER(AH63),ISNUMBER(AH150)),IFERROR(AH63/AH150,""),"")</f>
        <v>-0.0386157538967146</v>
      </c>
      <c r="AI65" s="215">
        <f>IF(AND(ISNUMBER(AI63),ISNUMBER(AI150)),IFERROR(AI63/AI150,""),"")</f>
        <v>-0.0394671012817796</v>
      </c>
      <c r="AJ65" s="215">
        <f>IF(AND(ISNUMBER(AJ63),ISNUMBER(AJ150)),IFERROR(AJ63/AJ150,""),"")</f>
        <v>-0.0348691402482156</v>
      </c>
      <c r="AK65" s="215">
        <f>IF(AND(ISNUMBER(AK63),ISNUMBER(AK150)),IFERROR(AK63/AK150,""),"")</f>
        <v>-0.0372586530547251</v>
      </c>
      <c r="AL65" s="215">
        <f>IF(AND(ISNUMBER(AL63),ISNUMBER(AL150)),IFERROR(AL63/AL150,""),"")</f>
        <v>-0.0367252276572727</v>
      </c>
      <c r="AM65" s="215">
        <f>IF(AND(ISNUMBER(AM63),ISNUMBER(AM150)),IFERROR(AM63/AM150,""),"")</f>
        <v>-0.0350587950499189</v>
      </c>
      <c r="AN65" s="215">
        <f>IF(AND(ISNUMBER(AN63),ISNUMBER(AN150)),IFERROR(AN63/AN150,""),"")</f>
        <v>-0.0374081400011715</v>
      </c>
      <c r="AO65" s="256">
        <f>IF(AND(ISNUMBER(AO63),ISNUMBER(AO150)),IFERROR(AO63/AO150,""),"")</f>
        <v>-0.0361532310545266</v>
      </c>
      <c r="AP65" s="256">
        <f>IF(AND(ISNUMBER(AP63),ISNUMBER(AP150)),IFERROR(AP63/AP150,""),"")</f>
        <v>-0.0363306637286604</v>
      </c>
      <c r="AQ65" s="265" t="n">
        <v>-0.035</v>
      </c>
      <c r="AR65" s="265" t="n">
        <v>-0.035</v>
      </c>
      <c r="AS65" s="265" t="n">
        <v>-0.035</v>
      </c>
      <c r="AT65" s="265" t="n">
        <v>-0.035</v>
      </c>
      <c r="AU65" s="265" t="n">
        <v>-0.035</v>
      </c>
      <c r="AV65" s="153" t="n"/>
      <c r="AX65" s="37">
        <f>IFERROR(AVERAGE(AQ65,AR65,AS65,AT65,AU65),"n/m")</f>
        <v>-0.035</v>
      </c>
      <c r="AY65" s="37">
        <f>IFERROR(AVERAGE(Q65,V65,AA65,AF65,AK65),"n/m")</f>
        <v>-0.0326107200257119</v>
      </c>
      <c r="AZ65" s="37">
        <f>IFERROR(AVERAGE(H65,I65,J65,K65,L65,Q65,V65,AA65,AF65,AK65),"n/m")</f>
        <v>-0.0279623288729238</v>
      </c>
      <c r="BA65" s="37">
        <f>IFERROR(AVERAGE(C65,D65,E65,F65,G65,H65,I65,J65,K65,L65,Q65,V65,AA65,AF65,AK65),"n/m")</f>
        <v>-0.0254543102071988</v>
      </c>
      <c r="BD65" s="25" t="inlineStr">
        <is>
          <t xml:space="preserve">  2028E</t>
        </is>
      </c>
      <c r="BE65" s="33">
        <f>BF65+$BE$63</f>
        <v>0.08</v>
      </c>
      <c r="BF65" s="42" t="n">
        <v>0.04</v>
      </c>
      <c r="BG65" s="33">
        <f>BF65+$BG$63</f>
        <v>-0.04</v>
      </c>
    </row>
    <row r="66" ht="15" customHeight="1" s="251">
      <c r="BD66" s="25" t="inlineStr">
        <is>
          <t xml:space="preserve">  2029E</t>
        </is>
      </c>
      <c r="BE66" s="33">
        <f>BF66+$BE$63</f>
        <v>0.08</v>
      </c>
      <c r="BF66" s="42" t="n">
        <v>0.04</v>
      </c>
      <c r="BG66" s="33">
        <f>BF66+$BG$63</f>
        <v>-0.04</v>
      </c>
    </row>
    <row r="67" ht="15" customHeight="1" s="251">
      <c r="B67" s="14" t="inlineStr">
        <is>
          <t>Sales by end market (outputs)</t>
        </is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5" t="inlineStr">
        <is>
          <t>MIX — outputs</t>
        </is>
      </c>
      <c r="BD67" s="25" t="inlineStr">
        <is>
          <t xml:space="preserve">  2030E</t>
        </is>
      </c>
      <c r="BE67" s="33">
        <f>BF67+$BE$63</f>
        <v>0.07</v>
      </c>
      <c r="BF67" s="42" t="n">
        <v>0.03</v>
      </c>
      <c r="BG67" s="33">
        <f>BF67+$BG$63</f>
        <v>-0.05</v>
      </c>
    </row>
    <row r="68" ht="15" customHeight="1" s="251">
      <c r="B68" s="25" t="inlineStr">
        <is>
          <t xml:space="preserve">  Commercial aerospace (OEM + services)</t>
        </is>
      </c>
      <c r="C68" s="263">
        <f>IF(ISNUMBER(C11),C11+C14,"")</f>
      </c>
      <c r="D68" s="263">
        <f>IF(ISNUMBER(D11),D11+D14,"")</f>
      </c>
      <c r="E68" s="263">
        <f>IF(ISNUMBER(E11),E11+E14,"")</f>
      </c>
      <c r="F68" s="263">
        <f>IF(ISNUMBER(F11),F11+F14,"")</f>
      </c>
      <c r="G68" s="263">
        <f>IF(ISNUMBER(G11),G11+G14,"")</f>
      </c>
      <c r="H68" s="263">
        <f>IF(ISNUMBER(H11),H11+H14,"")</f>
      </c>
      <c r="I68" s="263">
        <f>IF(ISNUMBER(I11),I11+I14,"")</f>
      </c>
      <c r="J68" s="263">
        <f>IF(ISNUMBER(J11),J11+J14,"")</f>
      </c>
      <c r="K68" s="263">
        <f>IF(ISNUMBER(K11),K11+K14,"")</f>
        <v>1157.131</v>
      </c>
      <c r="L68" s="263">
        <f>IF(ISNUMBER(L11),L11+L14,"")</f>
        <v>834.149</v>
      </c>
      <c r="M68" s="263">
        <f>IF(ISNUMBER(M11),M11+M14,"")</f>
        <v>141.596</v>
      </c>
      <c r="N68" s="263">
        <f>IF(ISNUMBER(N11),N11+N14,"")</f>
        <v>179.486</v>
      </c>
      <c r="O68" s="263">
        <f>IF(ISNUMBER(O11),O11+O14,"")</f>
        <v>171.798</v>
      </c>
      <c r="P68" s="263">
        <f>IF(ISNUMBER(P11),P11+P14,"")</f>
        <v>200.21</v>
      </c>
      <c r="Q68" s="263">
        <f>IF(ISNUMBER(Q11),Q11+Q14,"")</f>
        <v>693.09</v>
      </c>
      <c r="R68" s="263">
        <f>IF(ISNUMBER(R11),R11+R14,"")</f>
        <v>190.912</v>
      </c>
      <c r="S68" s="263">
        <f>IF(ISNUMBER(S11),S11+S14,"")</f>
        <v>231.443</v>
      </c>
      <c r="T68" s="263">
        <f>IF(ISNUMBER(T11),T11+T14,"")</f>
        <v>240.663</v>
      </c>
      <c r="U68" s="263">
        <f>IF(ISNUMBER(U11),U11+U14,"")</f>
        <v>257.301</v>
      </c>
      <c r="V68" s="263">
        <f>IF(ISNUMBER(V11),V11+V14,"")</f>
        <v>920.319</v>
      </c>
      <c r="W68" s="263">
        <f>IF(ISNUMBER(W11),W11+W14,"")</f>
        <v>265.518</v>
      </c>
      <c r="X68" s="263">
        <f>IF(ISNUMBER(X11),X11+X14,"")</f>
        <v>298.716</v>
      </c>
      <c r="Y68" s="263">
        <f>IF(ISNUMBER(Y11),Y11+Y14,"")</f>
        <v>325.691</v>
      </c>
      <c r="Z68" s="263">
        <f>IF(ISNUMBER(Z11),Z11+Z14,"")</f>
        <v>308.975</v>
      </c>
      <c r="AA68" s="263">
        <f>IF(ISNUMBER(AA11),AA11+AA14,"")</f>
        <v>1198.9</v>
      </c>
      <c r="AB68" s="263">
        <f>IF(ISNUMBER(AB11),AB11+AB14,"")</f>
        <v>308.898</v>
      </c>
      <c r="AC68" s="263">
        <f>IF(ISNUMBER(AC11),AC11+AC14,"")</f>
        <v>347.403</v>
      </c>
      <c r="AD68" s="263">
        <f>IF(ISNUMBER(AD11),AD11+AD14,"")</f>
        <v>355.415</v>
      </c>
      <c r="AE68" s="263">
        <f>IF(ISNUMBER(AE11),AE11+AE14,"")</f>
        <v>367.501</v>
      </c>
      <c r="AF68" s="263">
        <f>IF(ISNUMBER(AF11),AF11+AF14,"")</f>
        <v>1379.217</v>
      </c>
      <c r="AG68" s="263">
        <f>IF(ISNUMBER(AG11),AG11+AG14,"")</f>
        <v>317.926</v>
      </c>
      <c r="AH68" s="263">
        <f>IF(ISNUMBER(AH11),AH11+AH14,"")</f>
        <v>369.322</v>
      </c>
      <c r="AI68" s="263">
        <f>IF(ISNUMBER(AI11),AI11+AI14,"")</f>
        <v>390.677</v>
      </c>
      <c r="AJ68" s="263">
        <f>IF(ISNUMBER(AJ11),AJ11+AJ14,"")</f>
        <v>436.584</v>
      </c>
      <c r="AK68" s="263">
        <f>IF(ISNUMBER(AK11),AK11+AK14,"")</f>
        <v>1514.509</v>
      </c>
      <c r="AL68" s="263">
        <f>IF(ISNUMBER(AL11),AL11+AL14,"")</f>
        <v>432.845</v>
      </c>
      <c r="AM68" s="263">
        <f>IF(ISNUMBER(AM11),AM11+AM14,"")</f>
        <v>493.389</v>
      </c>
      <c r="AN68" s="263">
        <f>IF(ISNUMBER(AN11),AN11+AN14,"")</f>
        <v>502.247</v>
      </c>
      <c r="AO68" s="254">
        <f>IF(ISNUMBER(AO11),AO11+AO14,"")</f>
        <v>535.570844809376</v>
      </c>
      <c r="AP68" s="254">
        <f>IF(ISNUMBER(AP11),AP11+AP14,"")</f>
        <v>1964.05184480938</v>
      </c>
      <c r="AQ68" s="254">
        <f>IF(ISNUMBER(AQ11),AQ11+AQ14,"")</f>
        <v>2184.384001839</v>
      </c>
      <c r="AR68" s="254">
        <f>IF(ISNUMBER(AR11),AR11+AR14,"")</f>
        <v>2388.93488582793</v>
      </c>
      <c r="AS68" s="254">
        <f>IF(ISNUMBER(AS11),AS11+AS14,"")</f>
        <v>2578.21244907881</v>
      </c>
      <c r="AT68" s="254">
        <f>IF(ISNUMBER(AT11),AT11+AT14,"")</f>
        <v>2744.92360210094</v>
      </c>
      <c r="AU68" s="254">
        <f>IF(ISNUMBER(AU11),AU11+AU14,"")</f>
        <v>2909.619018227</v>
      </c>
      <c r="AV68" s="19" t="n"/>
      <c r="AX68" s="20">
        <f>IFERROR((AU68/AP68)^(1/5)-1,"n/m")</f>
        <v>0.0817742408356648</v>
      </c>
      <c r="AY68" s="20">
        <f>IFERROR((AK68/L68)^(1/5)-1,"n/m")</f>
        <v>0.126693126833056</v>
      </c>
      <c r="AZ68" s="20" t="str">
        <f>IFERROR((AK68/G68)^(1/10)-1,"n/m")</f>
        <v>n/m</v>
      </c>
      <c r="BA68" s="20" t="str">
        <f>IFERROR((AK68/C68)^(1/14)-1,"n/m")</f>
        <v>n/m</v>
      </c>
      <c r="BD68" s="25" t="inlineStr">
        <is>
          <t xml:space="preserve">  2031E</t>
        </is>
      </c>
      <c r="BE68" s="33">
        <f>BF68+$BE$63</f>
        <v>0.07</v>
      </c>
      <c r="BF68" s="42" t="n">
        <v>0.03</v>
      </c>
      <c r="BG68" s="33">
        <f>BF68+$BG$63</f>
        <v>-0.05</v>
      </c>
    </row>
    <row r="69" ht="15" customHeight="1" s="251">
      <c r="B69" s="25" t="inlineStr">
        <is>
          <t xml:space="preserve">  Defense (OEM + services)</t>
        </is>
      </c>
      <c r="C69" s="263">
        <f>IF(ISNUMBER(C17),C17+C20,"")</f>
      </c>
      <c r="D69" s="263">
        <f>IF(ISNUMBER(D17),D17+D20,"")</f>
      </c>
      <c r="E69" s="263">
        <f>IF(ISNUMBER(E17),E17+E20,"")</f>
      </c>
      <c r="F69" s="263">
        <f>IF(ISNUMBER(F17),F17+F20,"")</f>
      </c>
      <c r="G69" s="263">
        <f>IF(ISNUMBER(G17),G17+G20,"")</f>
      </c>
      <c r="H69" s="263">
        <f>IF(ISNUMBER(H17),H17+H20,"")</f>
      </c>
      <c r="I69" s="263">
        <f>IF(ISNUMBER(I17),I17+I20,"")</f>
      </c>
      <c r="J69" s="263">
        <f>IF(ISNUMBER(J17),J17+J20,"")</f>
      </c>
      <c r="K69" s="263">
        <f>IF(ISNUMBER(K17),K17+K20,"")</f>
        <v>723.389</v>
      </c>
      <c r="L69" s="263">
        <f>IF(ISNUMBER(L17),L17+L20,"")</f>
        <v>756.814</v>
      </c>
      <c r="M69" s="263">
        <f>IF(ISNUMBER(M17),M17+M20,"")</f>
        <v>180.071</v>
      </c>
      <c r="N69" s="263">
        <f>IF(ISNUMBER(N17),N17+N20,"")</f>
        <v>185.22</v>
      </c>
      <c r="O69" s="263">
        <f>IF(ISNUMBER(O17),O17+O20,"")</f>
        <v>169.114</v>
      </c>
      <c r="P69" s="263">
        <f>IF(ISNUMBER(P17),P17+P20,"")</f>
        <v>176.622</v>
      </c>
      <c r="Q69" s="263">
        <f>IF(ISNUMBER(Q17),Q17+Q20,"")</f>
        <v>711.027</v>
      </c>
      <c r="R69" s="263">
        <f>IF(ISNUMBER(R17),R17+R20,"")</f>
        <v>145.523</v>
      </c>
      <c r="S69" s="263">
        <f>IF(ISNUMBER(S17),S17+S20,"")</f>
        <v>141.314</v>
      </c>
      <c r="T69" s="263">
        <f>IF(ISNUMBER(T17),T17+T20,"")</f>
        <v>161.049</v>
      </c>
      <c r="U69" s="263">
        <f>IF(ISNUMBER(U17),U17+U20,"")</f>
        <v>151.117</v>
      </c>
      <c r="V69" s="263">
        <f>IF(ISNUMBER(V17),V17+V20,"")</f>
        <v>599.003</v>
      </c>
      <c r="W69" s="263">
        <f>IF(ISNUMBER(W17),W17+W20,"")</f>
        <v>130.167</v>
      </c>
      <c r="X69" s="263">
        <f>IF(ISNUMBER(X17),X17+X20,"")</f>
        <v>138.301</v>
      </c>
      <c r="Y69" s="263">
        <f>IF(ISNUMBER(Y17),Y17+Y20,"")</f>
        <v>154.84</v>
      </c>
      <c r="Z69" s="263">
        <f>IF(ISNUMBER(Z17),Z17+Z20,"")</f>
        <v>145.895</v>
      </c>
      <c r="AA69" s="263">
        <f>IF(ISNUMBER(AA17),AA17+AA20,"")</f>
        <v>569.203</v>
      </c>
      <c r="AB69" s="263">
        <f>IF(ISNUMBER(AB17),AB17+AB20,"")</f>
        <v>151.858</v>
      </c>
      <c r="AC69" s="263">
        <f>IF(ISNUMBER(AC17),AC17+AC20,"")</f>
        <v>150.109</v>
      </c>
      <c r="AD69" s="263">
        <f>IF(ISNUMBER(AD17),AD17+AD20,"")</f>
        <v>162.145</v>
      </c>
      <c r="AE69" s="263">
        <f>IF(ISNUMBER(AE17),AE17+AE20,"")</f>
        <v>185.289</v>
      </c>
      <c r="AF69" s="263">
        <f>IF(ISNUMBER(AF17),AF17+AF20,"")</f>
        <v>649.401</v>
      </c>
      <c r="AG69" s="263">
        <f>IF(ISNUMBER(AG17),AG17+AG20,"")</f>
        <v>175.956</v>
      </c>
      <c r="AH69" s="263">
        <f>IF(ISNUMBER(AH17),AH17+AH20,"")</f>
        <v>192.407</v>
      </c>
      <c r="AI69" s="263">
        <f>IF(ISNUMBER(AI17),AI17+AI20,"")</f>
        <v>205.313</v>
      </c>
      <c r="AJ69" s="263">
        <f>IF(ISNUMBER(AJ17),AJ17+AJ20,"")</f>
        <v>224.621</v>
      </c>
      <c r="AK69" s="263">
        <f>IF(ISNUMBER(AK17),AK17+AK20,"")</f>
        <v>798.297</v>
      </c>
      <c r="AL69" s="263">
        <f>IF(ISNUMBER(AL17),AL17+AL20,"")</f>
        <v>202.052</v>
      </c>
      <c r="AM69" s="263">
        <f>IF(ISNUMBER(AM17),AM17+AM20,"")</f>
        <v>209.932</v>
      </c>
      <c r="AN69" s="263">
        <f>IF(ISNUMBER(AN17),AN17+AN20,"")</f>
        <v>206.426</v>
      </c>
      <c r="AO69" s="254">
        <f>IF(ISNUMBER(AO17),AO17+AO20,"")</f>
        <v>219.708714004206</v>
      </c>
      <c r="AP69" s="254">
        <f>IF(ISNUMBER(AP17),AP17+AP20,"")</f>
        <v>838.118714004206</v>
      </c>
      <c r="AQ69" s="254">
        <f>IF(ISNUMBER(AQ17),AQ17+AQ20,"")</f>
        <v>891.73810091459</v>
      </c>
      <c r="AR69" s="254">
        <f>IF(ISNUMBER(AR17),AR17+AR20,"")</f>
        <v>942.591702357763</v>
      </c>
      <c r="AS69" s="254">
        <f>IF(ISNUMBER(AS17),AS17+AS20,"")</f>
        <v>986.938068633363</v>
      </c>
      <c r="AT69" s="254">
        <f>IF(ISNUMBER(AT17),AT17+AT20,"")</f>
        <v>1033.39042446905</v>
      </c>
      <c r="AU69" s="254">
        <f>IF(ISNUMBER(AU17),AU17+AU20,"")</f>
        <v>1082.04961619269</v>
      </c>
      <c r="AV69" s="19" t="n"/>
      <c r="AX69" s="20">
        <f>IFERROR((AU69/AP69)^(1/5)-1,"n/m")</f>
        <v>0.0524181455314521</v>
      </c>
      <c r="AY69" s="20">
        <f>IFERROR((AK69/L69)^(1/5)-1,"n/m")</f>
        <v>0.0107297941887035</v>
      </c>
      <c r="AZ69" s="20" t="str">
        <f>IFERROR((AK69/G69)^(1/10)-1,"n/m")</f>
        <v>n/m</v>
      </c>
      <c r="BA69" s="20" t="str">
        <f>IFERROR((AK69/C69)^(1/14)-1,"n/m")</f>
        <v>n/m</v>
      </c>
      <c r="BD69" s="15" t="inlineStr">
        <is>
          <t>IND_OG (Oil and gas y/y)</t>
        </is>
      </c>
      <c r="BE69" s="41" t="n">
        <v>0.03</v>
      </c>
      <c r="BF69" s="21" t="inlineStr">
        <is>
          <t>Δ →</t>
        </is>
      </c>
      <c r="BG69" s="41" t="n">
        <v>-0.06</v>
      </c>
      <c r="BH69" s="13" t="inlineStr">
        <is>
          <t>9M FY26 +18%; FY25 +14%: gas compression / midstream.</t>
        </is>
      </c>
    </row>
    <row r="70" ht="15" customHeight="1" s="251">
      <c r="B70" s="25" t="inlineStr">
        <is>
          <t xml:space="preserve">  Commercial aerospace % of total sales</t>
        </is>
      </c>
      <c r="C70" s="215">
        <f>IF(ISNUMBER(C68),IFERROR(C68/C99,""),"")</f>
      </c>
      <c r="D70" s="215">
        <f>IF(ISNUMBER(D68),IFERROR(D68/D99,""),"")</f>
      </c>
      <c r="E70" s="215">
        <f>IF(ISNUMBER(E68),IFERROR(E68/E99,""),"")</f>
      </c>
      <c r="F70" s="215">
        <f>IF(ISNUMBER(F68),IFERROR(F68/F99,""),"")</f>
      </c>
      <c r="G70" s="215">
        <f>IF(ISNUMBER(G68),IFERROR(G68/G99,""),"")</f>
      </c>
      <c r="H70" s="215">
        <f>IF(ISNUMBER(H68),IFERROR(H68/H99,""),"")</f>
      </c>
      <c r="I70" s="215">
        <f>IF(ISNUMBER(I68),IFERROR(I68/I99,""),"")</f>
      </c>
      <c r="J70" s="215">
        <f>IF(ISNUMBER(J68),IFERROR(J68/J99,""),"")</f>
      </c>
      <c r="K70" s="215">
        <f>IF(ISNUMBER(K68),IFERROR(K68/K99,""),"")</f>
        <v>0.398983586287414</v>
      </c>
      <c r="L70" s="215">
        <f>IF(ISNUMBER(L68),IFERROR(L68/L99,""),"")</f>
        <v>0.334239170722032</v>
      </c>
      <c r="M70" s="215">
        <f>IF(ISNUMBER(M68),IFERROR(M68/M99,""),"")</f>
        <v>0.263376108359266</v>
      </c>
      <c r="N70" s="215">
        <f>IF(ISNUMBER(N68),IFERROR(N68/N99,""),"")</f>
        <v>0.308755403641018</v>
      </c>
      <c r="O70" s="215">
        <f>IF(ISNUMBER(O68),IFERROR(O68/O99,""),"")</f>
        <v>0.308614541698478</v>
      </c>
      <c r="P70" s="215">
        <f>IF(ISNUMBER(P68),IFERROR(P68/P99,""),"")</f>
        <v>0.351111945101602</v>
      </c>
      <c r="Q70" s="215">
        <f>IF(ISNUMBER(Q68),IFERROR(Q68/Q99,""),"")</f>
        <v>0.308611686003227</v>
      </c>
      <c r="R70" s="215">
        <f>IF(ISNUMBER(R68),IFERROR(R68/R99,""),"")</f>
        <v>0.352505419268593</v>
      </c>
      <c r="S70" s="215">
        <f>IF(ISNUMBER(S68),IFERROR(S68/S99,""),"")</f>
        <v>0.394389261790713</v>
      </c>
      <c r="T70" s="215">
        <f>IF(ISNUMBER(T68),IFERROR(T68/T99,""),"")</f>
        <v>0.391747459028669</v>
      </c>
      <c r="U70" s="215">
        <f>IF(ISNUMBER(U68),IFERROR(U68/U99,""),"")</f>
        <v>0.402012083751932</v>
      </c>
      <c r="V70" s="215">
        <f>IF(ISNUMBER(V68),IFERROR(V68/V99,""),"")</f>
        <v>0.386235883145388</v>
      </c>
      <c r="W70" s="215">
        <f>IF(ISNUMBER(W68),IFERROR(W68/W99,""),"")</f>
        <v>0.429210871311744</v>
      </c>
      <c r="X70" s="215">
        <f>IF(ISNUMBER(X68),IFERROR(X68/X99,""),"")</f>
        <v>0.415915033680769</v>
      </c>
      <c r="Y70" s="215">
        <f>IF(ISNUMBER(Y68),IFERROR(Y68/Y99,""),"")</f>
        <v>0.406776633864685</v>
      </c>
      <c r="Z70" s="215">
        <f>IF(ISNUMBER(Z68),IFERROR(Z68/Z99,""),"")</f>
        <v>0.397615401443885</v>
      </c>
      <c r="AA70" s="215">
        <f>IF(ISNUMBER(AA68),IFERROR(AA68/AA99,""),"")</f>
        <v>0.41134769293267</v>
      </c>
      <c r="AB70" s="215">
        <f>IF(ISNUMBER(AB68),IFERROR(AB68/AB99,""),"")</f>
        <v>0.392635338680361</v>
      </c>
      <c r="AC70" s="215">
        <f>IF(ISNUMBER(AC68),IFERROR(AC68/AC99,""),"")</f>
        <v>0.41588066219505</v>
      </c>
      <c r="AD70" s="215">
        <f>IF(ISNUMBER(AD68),IFERROR(AD68/AD99,""),"")</f>
        <v>0.419275724087164</v>
      </c>
      <c r="AE70" s="215">
        <f>IF(ISNUMBER(AE68),IFERROR(AE68/AE99,""),"")</f>
        <v>0.430083277939538</v>
      </c>
      <c r="AF70" s="215">
        <f>IF(ISNUMBER(AF68),IFERROR(AF68/AF99,""),"")</f>
        <v>0.414895815566163</v>
      </c>
      <c r="AG70" s="215">
        <f>IF(ISNUMBER(AG68),IFERROR(AG68/AG99,""),"")</f>
        <v>0.411434857161345</v>
      </c>
      <c r="AH70" s="215">
        <f>IF(ISNUMBER(AH68),IFERROR(AH68/AH99,""),"")</f>
        <v>0.417960478888764</v>
      </c>
      <c r="AI70" s="215">
        <f>IF(ISNUMBER(AI68),IFERROR(AI68/AI99,""),"")</f>
        <v>0.426761381883803</v>
      </c>
      <c r="AJ70" s="215">
        <f>IF(ISNUMBER(AJ68),IFERROR(AJ68/AJ99,""),"")</f>
        <v>0.438661500868111</v>
      </c>
      <c r="AK70" s="215">
        <f>IF(ISNUMBER(AK68),IFERROR(AK68/AK99,""),"")</f>
        <v>0.424581392428058</v>
      </c>
      <c r="AL70" s="215">
        <f>IF(ISNUMBER(AL68),IFERROR(AL68/AL99,""),"")</f>
        <v>0.434385330381533</v>
      </c>
      <c r="AM70" s="215">
        <f>IF(ISNUMBER(AM68),IFERROR(AM68/AM99,""),"")</f>
        <v>0.452414704997763</v>
      </c>
      <c r="AN70" s="215">
        <f>IF(ISNUMBER(AN68),IFERROR(AN68/AN99,""),"")</f>
        <v>0.452595059047224</v>
      </c>
      <c r="AO70" s="256">
        <f>IF(ISNUMBER(AO68),IFERROR(AO68/AO99,""),"")</f>
        <v>0.470932628918385</v>
      </c>
      <c r="AP70" s="256">
        <f>IF(ISNUMBER(AP68),IFERROR(AP68/AP99,""),"")</f>
        <v>0.45317481715349</v>
      </c>
      <c r="AQ70" s="256">
        <f>IF(ISNUMBER(AQ68),IFERROR(AQ68/AQ99,""),"")</f>
        <v>0.46406866158526</v>
      </c>
      <c r="AR70" s="256">
        <f>IF(ISNUMBER(AR68),IFERROR(AR68/AR99,""),"")</f>
        <v>0.468270394857174</v>
      </c>
      <c r="AS70" s="256">
        <f>IF(ISNUMBER(AS68),IFERROR(AS68/AS99,""),"")</f>
        <v>0.471628844107383</v>
      </c>
      <c r="AT70" s="256">
        <f>IF(ISNUMBER(AT68),IFERROR(AT68/AT99,""),"")</f>
        <v>0.473565984589546</v>
      </c>
      <c r="AU70" s="256">
        <f>IF(ISNUMBER(AU68),IFERROR(AU68/AU99,""),"")</f>
        <v>0.475155144939329</v>
      </c>
      <c r="AV70" s="153" t="n"/>
      <c r="AX70" s="37">
        <f>IFERROR(AVERAGE(AQ70,AR70,AS70,AT70,AU70),"n/m")</f>
        <v>0.470537806015739</v>
      </c>
      <c r="AY70" s="37">
        <f>IFERROR(AVERAGE(Q70,V70,AA70,AF70,AK70),"n/m")</f>
        <v>0.389134494015101</v>
      </c>
      <c r="AZ70" s="37">
        <f>IFERROR(AVERAGE(H70,I70,J70,K70,L70,Q70,V70,AA70,AF70,AK70),"n/m")</f>
        <v>0.382699318154993</v>
      </c>
      <c r="BA70" s="37">
        <f>IFERROR(AVERAGE(C70,D70,E70,F70,G70,H70,I70,J70,K70,L70,Q70,V70,AA70,AF70,AK70),"n/m")</f>
        <v>0.382699318154993</v>
      </c>
      <c r="BD70" s="25" t="inlineStr">
        <is>
          <t xml:space="preserve">  2027E</t>
        </is>
      </c>
      <c r="BE70" s="33">
        <f>BF70+$BE$69</f>
        <v>0.07</v>
      </c>
      <c r="BF70" s="42" t="n">
        <v>0.04</v>
      </c>
      <c r="BG70" s="33">
        <f>BF70+$BG$69</f>
        <v>-0.02</v>
      </c>
    </row>
    <row r="71" ht="15" customHeight="1" s="251">
      <c r="B71" s="25" t="inlineStr">
        <is>
          <t xml:space="preserve">  Defense % of total sales</t>
        </is>
      </c>
      <c r="C71" s="215">
        <f>IF(ISNUMBER(C69),IFERROR(C69/C99,""),"")</f>
      </c>
      <c r="D71" s="215">
        <f>IF(ISNUMBER(D69),IFERROR(D69/D99,""),"")</f>
      </c>
      <c r="E71" s="215">
        <f>IF(ISNUMBER(E69),IFERROR(E69/E99,""),"")</f>
      </c>
      <c r="F71" s="215">
        <f>IF(ISNUMBER(F69),IFERROR(F69/F99,""),"")</f>
      </c>
      <c r="G71" s="215">
        <f>IF(ISNUMBER(G69),IFERROR(G69/G99,""),"")</f>
      </c>
      <c r="H71" s="215">
        <f>IF(ISNUMBER(H69),IFERROR(H69/H99,""),"")</f>
      </c>
      <c r="I71" s="215">
        <f>IF(ISNUMBER(I69),IFERROR(I69/I99,""),"")</f>
      </c>
      <c r="J71" s="215">
        <f>IF(ISNUMBER(J69),IFERROR(J69/J99,""),"")</f>
      </c>
      <c r="K71" s="215">
        <f>IF(ISNUMBER(K69),IFERROR(K69/K99,""),"")</f>
        <v>0.249427538887876</v>
      </c>
      <c r="L71" s="215">
        <f>IF(ISNUMBER(L69),IFERROR(L69/L99,""),"")</f>
        <v>0.303251437993481</v>
      </c>
      <c r="M71" s="215">
        <f>IF(ISNUMBER(M69),IFERROR(M69/M99,""),"")</f>
        <v>0.334941659427959</v>
      </c>
      <c r="N71" s="215">
        <f>IF(ISNUMBER(N69),IFERROR(N69/N99,""),"")</f>
        <v>0.318619145016265</v>
      </c>
      <c r="O71" s="215">
        <f>IF(ISNUMBER(O69),IFERROR(O69/O99,""),"")</f>
        <v>0.303793056990165</v>
      </c>
      <c r="P71" s="215">
        <f>IF(ISNUMBER(P69),IFERROR(P69/P99,""),"")</f>
        <v>0.309745237339469</v>
      </c>
      <c r="Q71" s="215">
        <f>IF(ISNUMBER(Q69),IFERROR(Q69/Q99,""),"")</f>
        <v>0.316598481097429</v>
      </c>
      <c r="R71" s="215">
        <f>IF(ISNUMBER(R69),IFERROR(R69/R99,""),"")</f>
        <v>0.268697861466138</v>
      </c>
      <c r="S71" s="215">
        <f>IF(ISNUMBER(S69),IFERROR(S69/S99,""),"")</f>
        <v>0.240805399777452</v>
      </c>
      <c r="T71" s="215">
        <f>IF(ISNUMBER(T69),IFERROR(T69/T99,""),"")</f>
        <v>0.262153037771108</v>
      </c>
      <c r="U71" s="215">
        <f>IF(ISNUMBER(U69),IFERROR(U69/U99,""),"")</f>
        <v>0.236108138174125</v>
      </c>
      <c r="V71" s="215">
        <f>IF(ISNUMBER(V69),IFERROR(V69/V99,""),"")</f>
        <v>0.251387239328686</v>
      </c>
      <c r="W71" s="215">
        <f>IF(ISNUMBER(W69),IFERROR(W69/W99,""),"")</f>
        <v>0.21041545765649</v>
      </c>
      <c r="X71" s="215">
        <f>IF(ISNUMBER(X69),IFERROR(X69/X99,""),"")</f>
        <v>0.19256238391343</v>
      </c>
      <c r="Y71" s="215">
        <f>IF(ISNUMBER(Y69),IFERROR(Y69/Y99,""),"")</f>
        <v>0.193389728262702</v>
      </c>
      <c r="Z71" s="215">
        <f>IF(ISNUMBER(Z69),IFERROR(Z69/Z99,""),"")</f>
        <v>0.187750138340175</v>
      </c>
      <c r="AA71" s="215">
        <f>IF(ISNUMBER(AA69),IFERROR(AA69/AA99,""),"")</f>
        <v>0.195295972024651</v>
      </c>
      <c r="AB71" s="215">
        <f>IF(ISNUMBER(AB69),IFERROR(AB69/AB99,""),"")</f>
        <v>0.193024290417297</v>
      </c>
      <c r="AC71" s="215">
        <f>IF(ISNUMBER(AC69),IFERROR(AC69/AC99,""),"")</f>
        <v>0.179697441649718</v>
      </c>
      <c r="AD71" s="215">
        <f>IF(ISNUMBER(AD69),IFERROR(AD69/AD99,""),"")</f>
        <v>0.191279102688725</v>
      </c>
      <c r="AE71" s="215">
        <f>IF(ISNUMBER(AE69),IFERROR(AE69/AE99,""),"")</f>
        <v>0.216842132364644</v>
      </c>
      <c r="AF71" s="215">
        <f>IF(ISNUMBER(AF69),IFERROR(AF69/AF99,""),"")</f>
        <v>0.195352694698863</v>
      </c>
      <c r="AG71" s="215">
        <f>IF(ISNUMBER(AG69),IFERROR(AG69/AG99,""),"")</f>
        <v>0.227708434436572</v>
      </c>
      <c r="AH71" s="215">
        <f>IF(ISNUMBER(AH69),IFERROR(AH69/AH99,""),"")</f>
        <v>0.217746361878119</v>
      </c>
      <c r="AI71" s="215">
        <f>IF(ISNUMBER(AI69),IFERROR(AI69/AI99,""),"")</f>
        <v>0.224276472888625</v>
      </c>
      <c r="AJ71" s="215">
        <f>IF(ISNUMBER(AJ69),IFERROR(AJ69/AJ99,""),"")</f>
        <v>0.225689867211112</v>
      </c>
      <c r="AK71" s="215">
        <f>IF(ISNUMBER(AK69),IFERROR(AK69/AK99,""),"")</f>
        <v>0.223796657419099</v>
      </c>
      <c r="AL71" s="215">
        <f>IF(ISNUMBER(AL69),IFERROR(AL69/AL99,""),"")</f>
        <v>0.202771026058403</v>
      </c>
      <c r="AM71" s="215">
        <f>IF(ISNUMBER(AM69),IFERROR(AM69/AM99,""),"")</f>
        <v>0.19249785432912</v>
      </c>
      <c r="AN71" s="215">
        <f>IF(ISNUMBER(AN69),IFERROR(AN69/AN99,""),"")</f>
        <v>0.186018806800005</v>
      </c>
      <c r="AO71" s="256">
        <f>IF(ISNUMBER(AO69),IFERROR(AO69/AO99,""),"")</f>
        <v>0.193191999312631</v>
      </c>
      <c r="AP71" s="256">
        <f>IF(ISNUMBER(AP69),IFERROR(AP69/AP99,""),"")</f>
        <v>0.193383029055751</v>
      </c>
      <c r="AQ71" s="256">
        <f>IF(ISNUMBER(AQ69),IFERROR(AQ69/AQ99,""),"")</f>
        <v>0.189448241072824</v>
      </c>
      <c r="AR71" s="256">
        <f>IF(ISNUMBER(AR69),IFERROR(AR69/AR99,""),"")</f>
        <v>0.184763423762885</v>
      </c>
      <c r="AS71" s="256">
        <f>IF(ISNUMBER(AS69),IFERROR(AS69/AS99,""),"")</f>
        <v>0.180539218434631</v>
      </c>
      <c r="AT71" s="256">
        <f>IF(ISNUMBER(AT69),IFERROR(AT69/AT99,""),"")</f>
        <v>0.178284945145479</v>
      </c>
      <c r="AU71" s="256">
        <f>IF(ISNUMBER(AU69),IFERROR(AU69/AU99,""),"")</f>
        <v>0.176704042348086</v>
      </c>
      <c r="AV71" s="153" t="n"/>
      <c r="AX71" s="37">
        <f>IFERROR(AVERAGE(AQ71,AR71,AS71,AT71,AU71),"n/m")</f>
        <v>0.181947974152781</v>
      </c>
      <c r="AY71" s="37">
        <f>IFERROR(AVERAGE(Q71,V71,AA71,AF71,AK71),"n/m")</f>
        <v>0.236486208913746</v>
      </c>
      <c r="AZ71" s="37">
        <f>IFERROR(AVERAGE(H71,I71,J71,K71,L71,Q71,V71,AA71,AF71,AK71),"n/m")</f>
        <v>0.247872860207155</v>
      </c>
      <c r="BA71" s="37">
        <f>IFERROR(AVERAGE(C71,D71,E71,F71,G71,H71,I71,J71,K71,L71,Q71,V71,AA71,AF71,AK71),"n/m")</f>
        <v>0.247872860207155</v>
      </c>
      <c r="BD71" s="25" t="inlineStr">
        <is>
          <t xml:space="preserve">  2028E</t>
        </is>
      </c>
      <c r="BE71" s="33">
        <f>BF71+$BE$69</f>
        <v>0.07</v>
      </c>
      <c r="BF71" s="42" t="n">
        <v>0.04</v>
      </c>
      <c r="BG71" s="33">
        <f>BF71+$BG$69</f>
        <v>-0.02</v>
      </c>
    </row>
    <row r="72" collapsed="1" ht="15" customHeight="1" s="251">
      <c r="B72" s="22" t="inlineStr">
        <is>
          <t xml:space="preserve">  Commercial aerospace y/y %</t>
        </is>
      </c>
      <c r="C72" s="23" t="n"/>
      <c r="D72" s="255">
        <f>IF(AND(ISNUMBER(D68),ISNUMBER(C68)),IFERROR(D68/C68-1,""),"")</f>
      </c>
      <c r="E72" s="255">
        <f>IF(AND(ISNUMBER(E68),ISNUMBER(D68)),IFERROR(E68/D68-1,""),"")</f>
      </c>
      <c r="F72" s="255">
        <f>IF(AND(ISNUMBER(F68),ISNUMBER(E68)),IFERROR(F68/E68-1,""),"")</f>
      </c>
      <c r="G72" s="255">
        <f>IF(AND(ISNUMBER(G68),ISNUMBER(F68)),IFERROR(G68/F68-1,""),"")</f>
      </c>
      <c r="H72" s="255">
        <f>IF(AND(ISNUMBER(H68),ISNUMBER(G68)),IFERROR(H68/G68-1,""),"")</f>
      </c>
      <c r="I72" s="255">
        <f>IF(AND(ISNUMBER(I68),ISNUMBER(H68)),IFERROR(I68/H68-1,""),"")</f>
      </c>
      <c r="J72" s="255">
        <f>IF(AND(ISNUMBER(J68),ISNUMBER(I68)),IFERROR(J68/I68-1,""),"")</f>
      </c>
      <c r="K72" s="255">
        <f>IF(AND(ISNUMBER(K68),ISNUMBER(J68)),IFERROR(K68/J68-1,""),"")</f>
      </c>
      <c r="L72" s="255">
        <f>IF(AND(ISNUMBER(L68),ISNUMBER(K68)),IFERROR(L68/K68-1,""),"")</f>
        <v>-0.279123107063937</v>
      </c>
      <c r="M72" s="23" t="n"/>
      <c r="N72" s="23" t="n"/>
      <c r="O72" s="23" t="n"/>
      <c r="P72" s="23" t="n"/>
      <c r="Q72" s="255">
        <f>IF(AND(ISNUMBER(Q68),ISNUMBER(L68)),IFERROR(Q68/L68-1,""),"")</f>
        <v>-0.169105279752178</v>
      </c>
      <c r="R72" s="255">
        <f>IF(AND(ISNUMBER(R68),ISNUMBER(M68)),IFERROR(R68/M68-1,""),"")</f>
        <v>0.348286674764824</v>
      </c>
      <c r="S72" s="255">
        <f>IF(AND(ISNUMBER(S68),ISNUMBER(N68)),IFERROR(S68/N68-1,""),"")</f>
        <v>0.289476616560623</v>
      </c>
      <c r="T72" s="255">
        <f>IF(AND(ISNUMBER(T68),ISNUMBER(O68)),IFERROR(T68/O68-1,""),"")</f>
        <v>0.40084867111375</v>
      </c>
      <c r="U72" s="255">
        <f>IF(AND(ISNUMBER(U68),ISNUMBER(P68)),IFERROR(U68/P68-1,""),"")</f>
        <v>0.285155586634034</v>
      </c>
      <c r="V72" s="255">
        <f>IF(AND(ISNUMBER(V68),ISNUMBER(Q68)),IFERROR(V68/Q68-1,""),"")</f>
        <v>0.327849197073973</v>
      </c>
      <c r="W72" s="255">
        <f>IF(AND(ISNUMBER(W68),ISNUMBER(R68)),IFERROR(W68/R68-1,""),"")</f>
        <v>0.390787378478042</v>
      </c>
      <c r="X72" s="255">
        <f>IF(AND(ISNUMBER(X68),ISNUMBER(S68)),IFERROR(X68/S68-1,""),"")</f>
        <v>0.290667680595222</v>
      </c>
      <c r="Y72" s="255">
        <f>IF(AND(ISNUMBER(Y68),ISNUMBER(T68)),IFERROR(Y68/T68-1,""),"")</f>
        <v>0.353307321856704</v>
      </c>
      <c r="Z72" s="255">
        <f>IF(AND(ISNUMBER(Z68),ISNUMBER(U68)),IFERROR(Z68/U68-1,""),"")</f>
        <v>0.200830933420391</v>
      </c>
      <c r="AA72" s="255">
        <f>IF(AND(ISNUMBER(AA68),ISNUMBER(V68)),IFERROR(AA68/V68-1,""),"")</f>
        <v>0.302700476682542</v>
      </c>
      <c r="AB72" s="255">
        <f>IF(AND(ISNUMBER(AB68),ISNUMBER(W68)),IFERROR(AB68/W68-1,""),"")</f>
        <v>0.163378753982781</v>
      </c>
      <c r="AC72" s="255">
        <f>IF(AND(ISNUMBER(AC68),ISNUMBER(X68)),IFERROR(AC68/X68-1,""),"")</f>
        <v>0.162987586871811</v>
      </c>
      <c r="AD72" s="255">
        <f>IF(AND(ISNUMBER(AD68),ISNUMBER(Y68)),IFERROR(AD68/Y68-1,""),"")</f>
        <v>0.0912644193422598</v>
      </c>
      <c r="AE72" s="255">
        <f>IF(AND(ISNUMBER(AE68),ISNUMBER(Z68)),IFERROR(AE68/Z68-1,""),"")</f>
        <v>0.189419855975402</v>
      </c>
      <c r="AF72" s="255">
        <f>IF(AND(ISNUMBER(AF68),ISNUMBER(AA68)),IFERROR(AF68/AA68-1,""),"")</f>
        <v>0.150402035198932</v>
      </c>
      <c r="AG72" s="255">
        <f>IF(AND(ISNUMBER(AG68),ISNUMBER(AB68)),IFERROR(AG68/AB68-1,""),"")</f>
        <v>0.0292264760535839</v>
      </c>
      <c r="AH72" s="255">
        <f>IF(AND(ISNUMBER(AH68),ISNUMBER(AC68)),IFERROR(AH68/AC68-1,""),"")</f>
        <v>0.0630938708071029</v>
      </c>
      <c r="AI72" s="255">
        <f>IF(AND(ISNUMBER(AI68),ISNUMBER(AD68)),IFERROR(AI68/AD68-1,""),"")</f>
        <v>0.0992135953744215</v>
      </c>
      <c r="AJ72" s="255">
        <f>IF(AND(ISNUMBER(AJ68),ISNUMBER(AE68)),IFERROR(AJ68/AE68-1,""),"")</f>
        <v>0.187980440869549</v>
      </c>
      <c r="AK72" s="255">
        <f>IF(AND(ISNUMBER(AK68),ISNUMBER(AF68)),IFERROR(AK68/AF68-1,""),"")</f>
        <v>0.0980933384666807</v>
      </c>
      <c r="AL72" s="255">
        <f>IF(AND(ISNUMBER(AL68),ISNUMBER(AG68)),IFERROR(AL68/AG68-1,""),"")</f>
        <v>0.361464617552512</v>
      </c>
      <c r="AM72" s="255">
        <f>IF(AND(ISNUMBER(AM68),ISNUMBER(AH68)),IFERROR(AM68/AH68-1,""),"")</f>
        <v>0.335931788520586</v>
      </c>
      <c r="AN72" s="255">
        <f>IF(AND(ISNUMBER(AN68),ISNUMBER(AI68)),IFERROR(AN68/AI68-1,""),"")</f>
        <v>0.285581183432861</v>
      </c>
      <c r="AO72" s="256">
        <f>IF(AND(ISNUMBER(AO68),ISNUMBER(AJ68)),IFERROR(AO68/AJ68-1,""),"")</f>
        <v>0.226730353859455</v>
      </c>
      <c r="AP72" s="256">
        <f>IF(AND(ISNUMBER(AP68),ISNUMBER(AK68)),IFERROR(AP68/AK68-1,""),"")</f>
        <v>0.296824148822738</v>
      </c>
      <c r="AQ72" s="256">
        <f>IF(AND(ISNUMBER(AQ68),ISNUMBER(AP68)),IFERROR(AQ68/AP68-1,""),"")</f>
        <v>0.1121824546597</v>
      </c>
      <c r="AR72" s="256">
        <f>IF(AND(ISNUMBER(AR68),ISNUMBER(AQ68)),IFERROR(AR68/AQ68-1,""),"")</f>
        <v>0.0936423649947593</v>
      </c>
      <c r="AS72" s="256">
        <f>IF(AND(ISNUMBER(AS68),ISNUMBER(AR68)),IFERROR(AS68/AR68-1,""),"")</f>
        <v>0.0792309427828084</v>
      </c>
      <c r="AT72" s="256">
        <f>IF(AND(ISNUMBER(AT68),ISNUMBER(AS68)),IFERROR(AT68/AS68-1,""),"")</f>
        <v>0.0646615266642174</v>
      </c>
      <c r="AU72" s="256">
        <f>IF(AND(ISNUMBER(AU68),ISNUMBER(AT68)),IFERROR(AU68/AT68-1,""),"")</f>
        <v>0.0600000000000001</v>
      </c>
      <c r="AV72" s="153" t="n"/>
      <c r="BD72" s="25" t="inlineStr">
        <is>
          <t xml:space="preserve">  2029E</t>
        </is>
      </c>
      <c r="BE72" s="33">
        <f>BF72+$BE$69</f>
        <v>0.06</v>
      </c>
      <c r="BF72" s="42" t="n">
        <v>0.03</v>
      </c>
      <c r="BG72" s="33">
        <f>BF72+$BG$69</f>
        <v>-0.03</v>
      </c>
    </row>
    <row r="73" ht="15" customHeight="1" s="251">
      <c r="B73" s="22" t="inlineStr">
        <is>
          <t xml:space="preserve">  Defense y/y %</t>
        </is>
      </c>
      <c r="C73" s="23" t="n"/>
      <c r="D73" s="255">
        <f>IF(AND(ISNUMBER(D69),ISNUMBER(C69)),IFERROR(D69/C69-1,""),"")</f>
      </c>
      <c r="E73" s="255">
        <f>IF(AND(ISNUMBER(E69),ISNUMBER(D69)),IFERROR(E69/D69-1,""),"")</f>
      </c>
      <c r="F73" s="255">
        <f>IF(AND(ISNUMBER(F69),ISNUMBER(E69)),IFERROR(F69/E69-1,""),"")</f>
      </c>
      <c r="G73" s="255">
        <f>IF(AND(ISNUMBER(G69),ISNUMBER(F69)),IFERROR(G69/F69-1,""),"")</f>
      </c>
      <c r="H73" s="255">
        <f>IF(AND(ISNUMBER(H69),ISNUMBER(G69)),IFERROR(H69/G69-1,""),"")</f>
      </c>
      <c r="I73" s="255">
        <f>IF(AND(ISNUMBER(I69),ISNUMBER(H69)),IFERROR(I69/H69-1,""),"")</f>
      </c>
      <c r="J73" s="255">
        <f>IF(AND(ISNUMBER(J69),ISNUMBER(I69)),IFERROR(J69/I69-1,""),"")</f>
      </c>
      <c r="K73" s="255">
        <f>IF(AND(ISNUMBER(K69),ISNUMBER(J69)),IFERROR(K69/J69-1,""),"")</f>
      </c>
      <c r="L73" s="255">
        <f>IF(AND(ISNUMBER(L69),ISNUMBER(K69)),IFERROR(L69/K69-1,""),"")</f>
        <v>0.046206121464385</v>
      </c>
      <c r="M73" s="23" t="n"/>
      <c r="N73" s="23" t="n"/>
      <c r="O73" s="23" t="n"/>
      <c r="P73" s="23" t="n"/>
      <c r="Q73" s="255">
        <f>IF(AND(ISNUMBER(Q69),ISNUMBER(L69)),IFERROR(Q69/L69-1,""),"")</f>
        <v>-0.0604996736318303</v>
      </c>
      <c r="R73" s="255">
        <f>IF(AND(ISNUMBER(R69),ISNUMBER(M69)),IFERROR(R69/M69-1,""),"")</f>
        <v>-0.191857656146742</v>
      </c>
      <c r="S73" s="255">
        <f>IF(AND(ISNUMBER(S69),ISNUMBER(N69)),IFERROR(S69/N69-1,""),"")</f>
        <v>-0.237047835007019</v>
      </c>
      <c r="T73" s="255">
        <f>IF(AND(ISNUMBER(T69),ISNUMBER(O69)),IFERROR(T69/O69-1,""),"")</f>
        <v>-0.0476897240914411</v>
      </c>
      <c r="U73" s="255">
        <f>IF(AND(ISNUMBER(U69),ISNUMBER(P69)),IFERROR(U69/P69-1,""),"")</f>
        <v>-0.144404434328679</v>
      </c>
      <c r="V73" s="255">
        <f>IF(AND(ISNUMBER(V69),ISNUMBER(Q69)),IFERROR(V69/Q69-1,""),"")</f>
        <v>-0.157552385493097</v>
      </c>
      <c r="W73" s="255">
        <f>IF(AND(ISNUMBER(W69),ISNUMBER(R69)),IFERROR(W69/R69-1,""),"")</f>
        <v>-0.105522838314218</v>
      </c>
      <c r="X73" s="255">
        <f>IF(AND(ISNUMBER(X69),ISNUMBER(S69)),IFERROR(X69/S69-1,""),"")</f>
        <v>-0.0213213128210935</v>
      </c>
      <c r="Y73" s="255">
        <f>IF(AND(ISNUMBER(Y69),ISNUMBER(T69)),IFERROR(Y69/T69-1,""),"")</f>
        <v>-0.0385534837223454</v>
      </c>
      <c r="Z73" s="255">
        <f>IF(AND(ISNUMBER(Z69),ISNUMBER(U69)),IFERROR(Z69/U69-1,""),"")</f>
        <v>-0.034556006273285</v>
      </c>
      <c r="AA73" s="255">
        <f>IF(AND(ISNUMBER(AA69),ISNUMBER(V69)),IFERROR(AA69/V69-1,""),"")</f>
        <v>-0.0497493334757924</v>
      </c>
      <c r="AB73" s="255">
        <f>IF(AND(ISNUMBER(AB69),ISNUMBER(W69)),IFERROR(AB69/W69-1,""),"")</f>
        <v>0.16663977813117</v>
      </c>
      <c r="AC73" s="255">
        <f>IF(AND(ISNUMBER(AC69),ISNUMBER(X69)),IFERROR(AC69/X69-1,""),"")</f>
        <v>0.0853789921981765</v>
      </c>
      <c r="AD73" s="255">
        <f>IF(AND(ISNUMBER(AD69),ISNUMBER(Y69)),IFERROR(AD69/Y69-1,""),"")</f>
        <v>0.0471777318522344</v>
      </c>
      <c r="AE73" s="255">
        <f>IF(AND(ISNUMBER(AE69),ISNUMBER(Z69)),IFERROR(AE69/Z69-1,""),"")</f>
        <v>0.270016107474554</v>
      </c>
      <c r="AF73" s="255">
        <f>IF(AND(ISNUMBER(AF69),ISNUMBER(AA69)),IFERROR(AF69/AA69-1,""),"")</f>
        <v>0.140895251781878</v>
      </c>
      <c r="AG73" s="255">
        <f>IF(AND(ISNUMBER(AG69),ISNUMBER(AB69)),IFERROR(AG69/AB69-1,""),"")</f>
        <v>0.158687721423962</v>
      </c>
      <c r="AH73" s="255">
        <f>IF(AND(ISNUMBER(AH69),ISNUMBER(AC69)),IFERROR(AH69/AC69-1,""),"")</f>
        <v>0.281781905148925</v>
      </c>
      <c r="AI73" s="255">
        <f>IF(AND(ISNUMBER(AI69),ISNUMBER(AD69)),IFERROR(AI69/AD69-1,""),"")</f>
        <v>0.266230842764193</v>
      </c>
      <c r="AJ73" s="255">
        <f>IF(AND(ISNUMBER(AJ69),ISNUMBER(AE69)),IFERROR(AJ69/AE69-1,""),"")</f>
        <v>0.212273799308108</v>
      </c>
      <c r="AK73" s="255">
        <f>IF(AND(ISNUMBER(AK69),ISNUMBER(AF69)),IFERROR(AK69/AF69-1,""),"")</f>
        <v>0.229282061468954</v>
      </c>
      <c r="AL73" s="255">
        <f>IF(AND(ISNUMBER(AL69),ISNUMBER(AG69)),IFERROR(AL69/AG69-1,""),"")</f>
        <v>0.148309804723908</v>
      </c>
      <c r="AM73" s="255">
        <f>IF(AND(ISNUMBER(AM69),ISNUMBER(AH69)),IFERROR(AM69/AH69-1,""),"")</f>
        <v>0.0910829647569995</v>
      </c>
      <c r="AN73" s="255">
        <f>IF(AND(ISNUMBER(AN69),ISNUMBER(AI69)),IFERROR(AN69/AI69-1,""),"")</f>
        <v>0.00542099136440455</v>
      </c>
      <c r="AO73" s="256">
        <f>IF(AND(ISNUMBER(AO69),ISNUMBER(AJ69)),IFERROR(AO69/AJ69-1,""),"")</f>
        <v>-0.0218692196891388</v>
      </c>
      <c r="AP73" s="256">
        <f>IF(AND(ISNUMBER(AP69),ISNUMBER(AK69)),IFERROR(AP69/AK69-1,""),"")</f>
        <v>0.049883331647502</v>
      </c>
      <c r="AQ73" s="256">
        <f>IF(AND(ISNUMBER(AQ69),ISNUMBER(AP69)),IFERROR(AQ69/AP69-1,""),"")</f>
        <v>0.063975885533222</v>
      </c>
      <c r="AR73" s="256">
        <f>IF(AND(ISNUMBER(AR69),ISNUMBER(AQ69)),IFERROR(AR69/AQ69-1,""),"")</f>
        <v>0.0570275077301459</v>
      </c>
      <c r="AS73" s="256">
        <f>IF(AND(ISNUMBER(AS69),ISNUMBER(AR69)),IFERROR(AS69/AR69-1,""),"")</f>
        <v>0.0470472699522753</v>
      </c>
      <c r="AT73" s="256">
        <f>IF(AND(ISNUMBER(AT69),ISNUMBER(AS69)),IFERROR(AT69/AS69-1,""),"")</f>
        <v>0.0470671436354788</v>
      </c>
      <c r="AU73" s="256">
        <f>IF(AND(ISNUMBER(AU69),ISNUMBER(AT69)),IFERROR(AU69/AT69-1,""),"")</f>
        <v>0.0470869388485329</v>
      </c>
      <c r="AV73" s="153" t="n"/>
      <c r="BD73" s="25" t="inlineStr">
        <is>
          <t xml:space="preserve">  2030E</t>
        </is>
      </c>
      <c r="BE73" s="33">
        <f>BF73+$BE$69</f>
        <v>0.06</v>
      </c>
      <c r="BF73" s="42" t="n">
        <v>0.03</v>
      </c>
      <c r="BG73" s="33">
        <f>BF73+$BG$69</f>
        <v>-0.03</v>
      </c>
    </row>
    <row r="74" ht="15" customHeight="1" s="251">
      <c r="B74" s="22" t="inlineStr">
        <is>
          <t xml:space="preserve">  Contribution to total sales growth — Aerospace (pp)</t>
        </is>
      </c>
      <c r="C74" s="23" t="n"/>
      <c r="D74" s="255">
        <f>IFERROR((D23-C23)/C99,"")</f>
        <v>0.0309931284768026</v>
      </c>
      <c r="E74" s="255">
        <f>IFERROR((E23-D23)/D99,"")</f>
        <v>0.0886533052962892</v>
      </c>
      <c r="F74" s="255">
        <f>IFERROR((F23-E23)/E99,"")</f>
        <v>0.0116468385971727</v>
      </c>
      <c r="G74" s="255">
        <f>IFERROR((G23-F23)/F99,"")</f>
        <v>0.0384051887829545</v>
      </c>
      <c r="H74" s="255">
        <f>IFERROR((H23-G23)/G99,"")</f>
        <v>0.0354672489811377</v>
      </c>
      <c r="I74" s="255">
        <f>IFERROR((I23-H23)/H99,"")</f>
        <v>0.0539588686150509</v>
      </c>
      <c r="J74" s="255">
        <f>IFERROR((J23-I23)/I99,"")</f>
        <v>0.102754343791469</v>
      </c>
      <c r="K74" s="255">
        <f>IFERROR((K23-J23)/J99,"")</f>
        <v>0.138671371996665</v>
      </c>
      <c r="L74" s="255">
        <f>IFERROR((L23-K23)/K99,"")</f>
        <v>-0.0998404591136396</v>
      </c>
      <c r="M74" s="23" t="n"/>
      <c r="N74" s="23" t="n"/>
      <c r="O74" s="23" t="n"/>
      <c r="P74" s="23" t="n"/>
      <c r="Q74" s="255">
        <f>IFERROR((Q23-L23)/L99,"")</f>
        <v>-0.0748682214960742</v>
      </c>
      <c r="R74" s="255">
        <f>IFERROR((R23-M23)/M99,"")</f>
        <v>0.0274692672691999</v>
      </c>
      <c r="S74" s="255">
        <f>IFERROR((S23-N23)/N99,"")</f>
        <v>0.0138494910729184</v>
      </c>
      <c r="T74" s="255">
        <f>IFERROR((T23-O23)/O99,"")</f>
        <v>0.109219921857457</v>
      </c>
      <c r="U74" s="255">
        <f>IFERROR((U23-P23)/P99,"")</f>
        <v>0.0553929468956554</v>
      </c>
      <c r="V74" s="255">
        <f>IFERROR((V23-Q23)/Q99,"")</f>
        <v>0.0512972475234123</v>
      </c>
      <c r="W74" s="255">
        <f>IFERROR((W23-R23)/R99,"")</f>
        <v>0.109400907704409</v>
      </c>
      <c r="X74" s="255">
        <f>IFERROR((X23-S23)/S99,"")</f>
        <v>0.109501924718705</v>
      </c>
      <c r="Y74" s="255">
        <f>IFERROR((Y23-T23)/T99,"")</f>
        <v>0.128300332719116</v>
      </c>
      <c r="Z74" s="255">
        <f>IFERROR((Z23-U23)/U99,"")</f>
        <v>0.0725775077222583</v>
      </c>
      <c r="AA74" s="255">
        <f>IFERROR((AA23-V23)/V99,"")</f>
        <v>0.10440743833909</v>
      </c>
      <c r="AB74" s="255">
        <f>IFERROR((AB23-W23)/W99,"")</f>
        <v>0.105187522530022</v>
      </c>
      <c r="AC74" s="255">
        <f>IFERROR((AC23-X23)/X99,"")</f>
        <v>0.0842297699571436</v>
      </c>
      <c r="AD74" s="255">
        <f>IFERROR((AD23-Y23)/Y99,"")</f>
        <v>0.0462479220346137</v>
      </c>
      <c r="AE74" s="255">
        <f>IFERROR((AE23-Z23)/Z99,"")</f>
        <v>0.126011813607526</v>
      </c>
      <c r="AF74" s="255">
        <f>IFERROR((AF23-AA23)/AA99,"")</f>
        <v>0.0893838053418587</v>
      </c>
      <c r="AG74" s="255">
        <f>IFERROR((AG23-AB23)/AB99,"")</f>
        <v>0.0421059321495302</v>
      </c>
      <c r="AH74" s="255">
        <f>IFERROR((AH23-AC23)/AC99,"")</f>
        <v>0.0768750082301522</v>
      </c>
      <c r="AI74" s="255">
        <f>IFERROR((AI23-AD23)/AD99,"")</f>
        <v>0.0925222487518995</v>
      </c>
      <c r="AJ74" s="255">
        <f>IFERROR((AJ23-AE23)/AE99,"")</f>
        <v>0.12687714748481</v>
      </c>
      <c r="AK74" s="255">
        <f>IFERROR((AK23-AF23)/AF99,"")</f>
        <v>0.0854893842188116</v>
      </c>
      <c r="AL74" s="255">
        <f>IFERROR((AL23-AG23)/AG99,"")</f>
        <v>0.182490536736873</v>
      </c>
      <c r="AM74" s="255">
        <f>IFERROR((AM23-AH23)/AH99,"")</f>
        <v>0.160239195408933</v>
      </c>
      <c r="AN74" s="255">
        <f>IFERROR((AN23-AI23)/AI99,"")</f>
        <v>0.123090821304588</v>
      </c>
      <c r="AO74" s="256">
        <f>IFERROR((AO23-AJ23)/AJ99,"")</f>
        <v>0.0945222160286943</v>
      </c>
      <c r="AP74" s="256">
        <f>IFERROR((AP23-AK23)/AK99,"")</f>
        <v>0.137189733297071</v>
      </c>
      <c r="AQ74" s="256">
        <f>IFERROR((AQ23-AP23)/AP99,"")</f>
        <v>0.0632101139091777</v>
      </c>
      <c r="AR74" s="256">
        <f>IFERROR((AR23-AQ23)/AQ99,"")</f>
        <v>0.0542602480230394</v>
      </c>
      <c r="AS74" s="256">
        <f>IFERROR((AS23-AR23)/AR99,"")</f>
        <v>0.045794119536891</v>
      </c>
      <c r="AT74" s="256">
        <f>IFERROR((AT23-AS23)/AS99,"")</f>
        <v>0.0389937064047634</v>
      </c>
      <c r="AU74" s="256">
        <f>IFERROR((AU23-AT23)/AT99,"")</f>
        <v>0.0368088513850521</v>
      </c>
      <c r="AV74" s="153" t="n"/>
      <c r="BD74" s="25" t="inlineStr">
        <is>
          <t xml:space="preserve">  2031E</t>
        </is>
      </c>
      <c r="BE74" s="33">
        <f>BF74+$BE$69</f>
        <v>0.06</v>
      </c>
      <c r="BF74" s="42" t="n">
        <v>0.03</v>
      </c>
      <c r="BG74" s="33">
        <f>BF74+$BG$69</f>
        <v>-0.03</v>
      </c>
    </row>
    <row r="75" ht="15" customHeight="1" s="251">
      <c r="B75" s="22" t="inlineStr">
        <is>
          <t xml:space="preserve">  Contribution to total sales growth — Industrial (pp)</t>
        </is>
      </c>
      <c r="C75" s="23" t="n"/>
      <c r="D75" s="255">
        <f>IFERROR((D45-C45)/C99,"")</f>
        <v>0.0589319869930631</v>
      </c>
      <c r="E75" s="255">
        <f>IFERROR((E45-D45)/D99,"")</f>
        <v>-0.0509453390200721</v>
      </c>
      <c r="F75" s="255">
        <f>IFERROR((F45-E45)/E99,"")</f>
        <v>0.0220643231114435</v>
      </c>
      <c r="G75" s="255">
        <f>IFERROR((G45-F45)/F99,"")</f>
        <v>-0.0198851711938598</v>
      </c>
      <c r="H75" s="255">
        <f>IFERROR((H45-G45)/G99,"")</f>
        <v>-0.0429366978314804</v>
      </c>
      <c r="I75" s="255">
        <f>IFERROR((I45-H45)/H99,"")</f>
        <v>-0.0165866071402091</v>
      </c>
      <c r="J75" s="255">
        <f>IFERROR((J45-I45)/I99,"")</f>
        <v>0.0054982048282615</v>
      </c>
      <c r="K75" s="255">
        <f>IFERROR((K45-J45)/J99,"")</f>
        <v>0.108256985656569</v>
      </c>
      <c r="L75" s="255">
        <f>IFERROR((L45-K45)/K99,"")</f>
        <v>-0.0396438586758072</v>
      </c>
      <c r="M75" s="23" t="n"/>
      <c r="N75" s="23" t="n"/>
      <c r="O75" s="23" t="n"/>
      <c r="P75" s="23" t="n"/>
      <c r="Q75" s="255">
        <f>IFERROR((Q45-L45)/L99,"")</f>
        <v>-0.0252385636694028</v>
      </c>
      <c r="R75" s="255">
        <f>IFERROR((R45-M45)/M99,"")</f>
        <v>-0.0200904357918898</v>
      </c>
      <c r="S75" s="255">
        <f>IFERROR((S45-N45)/N99,"")</f>
        <v>-0.00435731721372532</v>
      </c>
      <c r="T75" s="255">
        <f>IFERROR((T45-O45)/O99,"")</f>
        <v>-0.0056460232631248</v>
      </c>
      <c r="U75" s="255">
        <f>IFERROR((U45-P45)/P99,"")</f>
        <v>0.0670446514221779</v>
      </c>
      <c r="V75" s="255">
        <f>IFERROR((V45-Q45)/Q99,"")</f>
        <v>0.0096859426706896</v>
      </c>
      <c r="W75" s="255">
        <f>IFERROR((W45-R45)/R99,"")</f>
        <v>0.0328350437418988</v>
      </c>
      <c r="X75" s="255">
        <f>IFERROR((X45-S45)/S99,"")</f>
        <v>0.114366972883534</v>
      </c>
      <c r="Y75" s="255">
        <f>IFERROR((Y45-T45)/T99,"")</f>
        <v>0.175006348358868</v>
      </c>
      <c r="Z75" s="255">
        <f>IFERROR((Z45-U45)/U99,"")</f>
        <v>0.141531764768379</v>
      </c>
      <c r="AA75" s="255">
        <f>IFERROR((AA45-V45)/V99,"")</f>
        <v>0.118766236218886</v>
      </c>
      <c r="AB75" s="255">
        <f>IFERROR((AB45-W45)/W99,"")</f>
        <v>0.166564557506316</v>
      </c>
      <c r="AC75" s="255">
        <f>IFERROR((AC45-X45)/X99,"")</f>
        <v>0.078853934899626</v>
      </c>
      <c r="AD75" s="255">
        <f>IFERROR((AD45-Y45)/Y99,"")</f>
        <v>0.0124846533435416</v>
      </c>
      <c r="AE75" s="255">
        <f>IFERROR((AE45-Z45)/Z99,"")</f>
        <v>-0.0263837234740758</v>
      </c>
      <c r="AF75" s="255">
        <f>IFERROR((AF45-AA45)/AA99,"")</f>
        <v>0.0511801757105517</v>
      </c>
      <c r="AG75" s="255">
        <f>IFERROR((AG45-AB45)/AB99,"")</f>
        <v>-0.0599074650769642</v>
      </c>
      <c r="AH75" s="255">
        <f>IFERROR((AH45-AC45)/AC99,"")</f>
        <v>-0.0190712078750884</v>
      </c>
      <c r="AI75" s="255">
        <f>IFERROR((AI45-AD45)/AD99,"")</f>
        <v>-0.0125895376600825</v>
      </c>
      <c r="AJ75" s="255">
        <f>IFERROR((AJ45-AE45)/AE99,"")</f>
        <v>0.0378718015934688</v>
      </c>
      <c r="AK75" s="255">
        <f>IFERROR((AK45-AF45)/AF99,"")</f>
        <v>-0.0124458185894017</v>
      </c>
      <c r="AL75" s="255">
        <f>IFERROR((AL45-AG45)/AG99,"")</f>
        <v>0.107041961888123</v>
      </c>
      <c r="AM75" s="255">
        <f>IFERROR((AM45-AH45)/AH99,"")</f>
        <v>0.0739529825299984</v>
      </c>
      <c r="AN75" s="255">
        <f>IFERROR((AN45-AI45)/AI99,"")</f>
        <v>0.0891106629992376</v>
      </c>
      <c r="AO75" s="256">
        <f>IFERROR((AO45-AJ45)/AJ99,"")</f>
        <v>0.0481452169338164</v>
      </c>
      <c r="AP75" s="256">
        <f>IFERROR((AP45-AK45)/AK99,"")</f>
        <v>0.0778102667029293</v>
      </c>
      <c r="AQ75" s="256">
        <f>IFERROR((AQ45-AP45)/AP99,"")</f>
        <v>0.0190186812957448</v>
      </c>
      <c r="AR75" s="256">
        <f>IFERROR((AR45-AQ45)/AQ99,"")</f>
        <v>0.0221333067082735</v>
      </c>
      <c r="AS75" s="256">
        <f>IFERROR((AS45-AR45)/AR99,"")</f>
        <v>0.018548062521001</v>
      </c>
      <c r="AT75" s="256">
        <f>IFERROR((AT45-AS45)/AS99,"")</f>
        <v>0.0142540218636917</v>
      </c>
      <c r="AU75" s="256">
        <f>IFERROR((AU45-AT45)/AT99,"")</f>
        <v>0.0126558248334643</v>
      </c>
      <c r="AV75" s="153" t="n"/>
      <c r="BD75" s="15" t="inlineStr">
        <is>
          <t>AERO_M (Aerospace segment margin)</t>
        </is>
      </c>
      <c r="BE75" s="41" t="n">
        <v>0.01</v>
      </c>
      <c r="BF75" s="21" t="inlineStr">
        <is>
          <t>Δ →</t>
        </is>
      </c>
      <c r="BG75" s="41" t="n">
        <v>-0.02</v>
      </c>
      <c r="BH75" s="13" t="inlineStr">
        <is>
          <t>FY26 guided ~23.5% (FY25 21.9%, FY19 peak 20.7%); price and volume leverage vs Spartanburg start-up costs (2027).</t>
        </is>
      </c>
    </row>
    <row r="76" ht="15" customHeight="1" s="251">
      <c r="BD76" s="25" t="inlineStr">
        <is>
          <t xml:space="preserve">  2027E</t>
        </is>
      </c>
      <c r="BE76" s="33">
        <f>BF76+$BE$75</f>
        <v>0.25</v>
      </c>
      <c r="BF76" s="42" t="n">
        <v>0.24</v>
      </c>
      <c r="BG76" s="33">
        <f>BF76+$BG$75</f>
        <v>0.22</v>
      </c>
    </row>
    <row r="77" ht="15" customHeight="1" s="251">
      <c r="B77" s="14" t="inlineStr">
        <is>
          <t>Future acquisitions (M&amp;A lever — Aerospace / Industrial bolt-ons, unallocated; deals closed from 2027E)</t>
        </is>
      </c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5" t="inlineStr">
        <is>
          <t>M&amp;A LEVER — acquired revenue = spend ÷ EV/sales; mid-year convention</t>
        </is>
      </c>
      <c r="BD77" s="25" t="inlineStr">
        <is>
          <t xml:space="preserve">  2028E</t>
        </is>
      </c>
      <c r="BE77" s="33">
        <f>BF77+$BE$75</f>
        <v>0.255</v>
      </c>
      <c r="BF77" s="42" t="n">
        <v>0.245</v>
      </c>
      <c r="BG77" s="33">
        <f>BF77+$BG$75</f>
        <v>0.225</v>
      </c>
    </row>
    <row r="78" ht="15" customHeight="1" s="251">
      <c r="B78" s="25" t="inlineStr">
        <is>
          <t xml:space="preserve">  Acquisition spend (USDm, scenario)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 t="n"/>
      <c r="AF78" s="34" t="n"/>
      <c r="AG78" s="34" t="n"/>
      <c r="AH78" s="34" t="n"/>
      <c r="AI78" s="34" t="n"/>
      <c r="AJ78" s="34" t="n"/>
      <c r="AK78" s="34" t="n"/>
      <c r="AL78" s="34" t="n"/>
      <c r="AM78" s="34" t="n"/>
      <c r="AN78" s="34" t="n"/>
      <c r="AO78" s="35" t="n"/>
      <c r="AP78" s="266" t="n">
        <v>0</v>
      </c>
      <c r="AQ78" s="267">
        <f>MAX(0,CHOOSE(MATCH($AV$2,{"Bull","Base","Bear"},0),$BE$88,$BF$88,$BG$88))</f>
        <v>100</v>
      </c>
      <c r="AR78" s="267">
        <f>MAX(0,CHOOSE(MATCH($AV$2,{"Bull","Base","Bear"},0),$BE$89,$BF$89,$BG$89))</f>
        <v>100</v>
      </c>
      <c r="AS78" s="267">
        <f>MAX(0,CHOOSE(MATCH($AV$2,{"Bull","Base","Bear"},0),$BE$90,$BF$90,$BG$90))</f>
        <v>100</v>
      </c>
      <c r="AT78" s="267">
        <f>MAX(0,CHOOSE(MATCH($AV$2,{"Bull","Base","Bear"},0),$BE$91,$BF$91,$BG$91))</f>
        <v>100</v>
      </c>
      <c r="AU78" s="267">
        <f>MAX(0,CHOOSE(MATCH($AV$2,{"Bull","Base","Bear"},0),$BE$92,$BF$92,$BG$92))</f>
        <v>100</v>
      </c>
      <c r="AV78" s="19" t="inlineStr">
        <is>
          <t>Scenario lever M&amp;A_spend (Base $100m p.a. of bolt-ons). Funded from cash / revolver (debt schedule).</t>
        </is>
      </c>
      <c r="BD78" s="25" t="inlineStr">
        <is>
          <t xml:space="preserve">  2029E</t>
        </is>
      </c>
      <c r="BE78" s="33">
        <f>BF78+$BE$75</f>
        <v>0.26</v>
      </c>
      <c r="BF78" s="42" t="n">
        <v>0.25</v>
      </c>
      <c r="BG78" s="33">
        <f>BF78+$BG$75</f>
        <v>0.23</v>
      </c>
    </row>
    <row r="79" ht="15" customHeight="1" s="251">
      <c r="B79" s="25" t="inlineStr">
        <is>
          <t xml:space="preserve">  Purchase multiple — EV / sales (x)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24" t="n"/>
      <c r="AP79" s="268" t="n">
        <v>0</v>
      </c>
      <c r="AQ79" s="268" t="n">
        <v>3</v>
      </c>
      <c r="AR79" s="268" t="n">
        <v>3</v>
      </c>
      <c r="AS79" s="268" t="n">
        <v>3</v>
      </c>
      <c r="AT79" s="268" t="n">
        <v>3</v>
      </c>
      <c r="AU79" s="268" t="n">
        <v>3</v>
      </c>
      <c r="AV79" s="19" t="inlineStr">
        <is>
          <t>L'Orange (Jun-2018) $771m on ~$290m annual sales (~2.7x); Valve Research (Apr-2026) $121m; Safran EMA (Jul-2025) $40m. 3.0x input (assumption).</t>
        </is>
      </c>
      <c r="BD79" s="25" t="inlineStr">
        <is>
          <t xml:space="preserve">  2030E</t>
        </is>
      </c>
      <c r="BE79" s="33">
        <f>BF79+$BE$75</f>
        <v>0.263</v>
      </c>
      <c r="BF79" s="42" t="n">
        <v>0.253</v>
      </c>
      <c r="BG79" s="33">
        <f>BF79+$BG$75</f>
        <v>0.233</v>
      </c>
    </row>
    <row r="80" collapsed="1" ht="15" customHeight="1" s="251">
      <c r="B80" s="25" t="inlineStr">
        <is>
          <t xml:space="preserve">  Annualised revenue acquired in the year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34" t="n"/>
      <c r="AG80" s="34" t="n"/>
      <c r="AH80" s="34" t="n"/>
      <c r="AI80" s="34" t="n"/>
      <c r="AJ80" s="34" t="n"/>
      <c r="AK80" s="34" t="n"/>
      <c r="AL80" s="34" t="n"/>
      <c r="AM80" s="34" t="n"/>
      <c r="AN80" s="34" t="n"/>
      <c r="AO80" s="35" t="n"/>
      <c r="AP80" s="266" t="n">
        <v>0</v>
      </c>
      <c r="AQ80" s="267">
        <f>IFERROR(AQ78/AQ79,0)</f>
        <v>33.3333333333333</v>
      </c>
      <c r="AR80" s="267">
        <f>IFERROR(AR78/AR79,0)</f>
        <v>33.3333333333333</v>
      </c>
      <c r="AS80" s="267">
        <f>IFERROR(AS78/AS79,0)</f>
        <v>33.3333333333333</v>
      </c>
      <c r="AT80" s="267">
        <f>IFERROR(AT78/AT79,0)</f>
        <v>33.3333333333333</v>
      </c>
      <c r="AU80" s="267">
        <f>IFERROR(AU78/AU79,0)</f>
        <v>33.3333333333333</v>
      </c>
      <c r="AV80" s="19" t="n"/>
      <c r="BD80" s="25" t="inlineStr">
        <is>
          <t xml:space="preserve">  2031E</t>
        </is>
      </c>
      <c r="BE80" s="33">
        <f>BF80+$BE$75</f>
        <v>0.265</v>
      </c>
      <c r="BF80" s="42" t="n">
        <v>0.255</v>
      </c>
      <c r="BG80" s="33">
        <f>BF80+$BG$75</f>
        <v>0.235</v>
      </c>
    </row>
    <row r="81" ht="15" customHeight="1" s="251">
      <c r="B81" s="25" t="inlineStr">
        <is>
          <t xml:space="preserve">  Growth of acquired businesses after acquisition %</t>
        </is>
      </c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24" t="n"/>
      <c r="AP81" s="265" t="n">
        <v>0</v>
      </c>
      <c r="AQ81" s="265" t="n">
        <v>0.05</v>
      </c>
      <c r="AR81" s="265" t="n">
        <v>0.05</v>
      </c>
      <c r="AS81" s="265" t="n">
        <v>0.05</v>
      </c>
      <c r="AT81" s="265" t="n">
        <v>0.05</v>
      </c>
      <c r="AU81" s="265" t="n">
        <v>0.05</v>
      </c>
      <c r="AV81" s="19" t="n"/>
      <c r="BD81" s="15" t="inlineStr">
        <is>
          <t>IND_M (Industrial segment margin)</t>
        </is>
      </c>
      <c r="BE81" s="41" t="n">
        <v>0.01</v>
      </c>
      <c r="BF81" s="21" t="inlineStr">
        <is>
          <t>Δ →</t>
        </is>
      </c>
      <c r="BG81" s="41" t="n">
        <v>-0.03</v>
      </c>
      <c r="BH81" s="13" t="inlineStr">
        <is>
          <t>FY26 guided ~19% (FY25 14.6%, FY24 17.7%); China OH exit accretive; cyclical downside (FY18 6.2%).</t>
        </is>
      </c>
    </row>
    <row r="82" ht="15" customHeight="1" s="251">
      <c r="B82" s="25" t="inlineStr">
        <is>
          <t xml:space="preserve">  Run-rate revenue of businesses acquired (year end)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4" t="n"/>
      <c r="AK82" s="34" t="n"/>
      <c r="AL82" s="34" t="n"/>
      <c r="AM82" s="34" t="n"/>
      <c r="AN82" s="34" t="n"/>
      <c r="AO82" s="35" t="n"/>
      <c r="AP82" s="266" t="n">
        <v>0</v>
      </c>
      <c r="AQ82" s="267">
        <f>AP82*(1+AQ81)+AQ80</f>
        <v>33.3333333333333</v>
      </c>
      <c r="AR82" s="267">
        <f>AQ82*(1+AR81)+AR80</f>
        <v>68.3333333333333</v>
      </c>
      <c r="AS82" s="267">
        <f>AR82*(1+AS81)+AS80</f>
        <v>105.083333333333</v>
      </c>
      <c r="AT82" s="267">
        <f>AS82*(1+AT81)+AT80</f>
        <v>143.670833333333</v>
      </c>
      <c r="AU82" s="267">
        <f>AT82*(1+AU81)+AU80</f>
        <v>184.187708333333</v>
      </c>
      <c r="AV82" s="19" t="n"/>
      <c r="BD82" s="25" t="inlineStr">
        <is>
          <t xml:space="preserve">  2027E</t>
        </is>
      </c>
      <c r="BE82" s="33">
        <f>BF82+$BE$81</f>
        <v>0.2</v>
      </c>
      <c r="BF82" s="42" t="n">
        <v>0.19</v>
      </c>
      <c r="BG82" s="33">
        <f>BF82+$BG$81</f>
        <v>0.16</v>
      </c>
    </row>
    <row r="83" ht="15" customHeight="1" s="251">
      <c r="B83" s="16" t="inlineStr">
        <is>
          <t xml:space="preserve">  Revenue from future acquisitions</t>
        </is>
      </c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32" t="n"/>
      <c r="AP83" s="269" t="n">
        <v>0</v>
      </c>
      <c r="AQ83" s="270">
        <f>AP82*(1+AQ81)+0.5*AQ80</f>
        <v>16.6666666666667</v>
      </c>
      <c r="AR83" s="270">
        <f>AQ82*(1+AR81)+0.5*AR80</f>
        <v>51.6666666666667</v>
      </c>
      <c r="AS83" s="270">
        <f>AR82*(1+AS81)+0.5*AS80</f>
        <v>88.4166666666667</v>
      </c>
      <c r="AT83" s="270">
        <f>AS82*(1+AT81)+0.5*AT80</f>
        <v>127.004166666667</v>
      </c>
      <c r="AU83" s="270">
        <f>AT82*(1+AU81)+0.5*AU80</f>
        <v>167.521041666667</v>
      </c>
      <c r="AV83" s="153" t="inlineStr">
        <is>
          <t>Mid-year convention.</t>
        </is>
      </c>
      <c r="BD83" s="25" t="inlineStr">
        <is>
          <t xml:space="preserve">  2028E</t>
        </is>
      </c>
      <c r="BE83" s="33">
        <f>BF83+$BE$81</f>
        <v>0.202</v>
      </c>
      <c r="BF83" s="42" t="n">
        <v>0.192</v>
      </c>
      <c r="BG83" s="33">
        <f>BF83+$BG$81</f>
        <v>0.162</v>
      </c>
    </row>
    <row r="84" ht="15" customHeight="1" s="251">
      <c r="B84" s="25" t="inlineStr">
        <is>
          <t xml:space="preserve">  Earnings margin of acquired businesses (after amortization) %</t>
        </is>
      </c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24" t="n"/>
      <c r="AP84" s="265" t="n">
        <v>0</v>
      </c>
      <c r="AQ84" s="265" t="n">
        <v>0.15</v>
      </c>
      <c r="AR84" s="265" t="n">
        <v>0.15</v>
      </c>
      <c r="AS84" s="265" t="n">
        <v>0.15</v>
      </c>
      <c r="AT84" s="265" t="n">
        <v>0.15</v>
      </c>
      <c r="AU84" s="265" t="n">
        <v>0.15</v>
      </c>
      <c r="AV84" s="19" t="n"/>
      <c r="BD84" s="25" t="inlineStr">
        <is>
          <t xml:space="preserve">  2029E</t>
        </is>
      </c>
      <c r="BE84" s="33">
        <f>BF84+$BE$81</f>
        <v>0.205</v>
      </c>
      <c r="BF84" s="42" t="n">
        <v>0.195</v>
      </c>
      <c r="BG84" s="33">
        <f>BF84+$BG$81</f>
        <v>0.165</v>
      </c>
    </row>
    <row r="85" ht="15" customHeight="1" s="251">
      <c r="B85" s="25" t="inlineStr">
        <is>
          <t xml:space="preserve">  Earnings from future acquisitions</t>
        </is>
      </c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 t="n"/>
      <c r="AF85" s="34" t="n"/>
      <c r="AG85" s="34" t="n"/>
      <c r="AH85" s="34" t="n"/>
      <c r="AI85" s="34" t="n"/>
      <c r="AJ85" s="34" t="n"/>
      <c r="AK85" s="34" t="n"/>
      <c r="AL85" s="34" t="n"/>
      <c r="AM85" s="34" t="n"/>
      <c r="AN85" s="34" t="n"/>
      <c r="AO85" s="35" t="n"/>
      <c r="AP85" s="266" t="n">
        <v>0</v>
      </c>
      <c r="AQ85" s="267">
        <f>AQ83*AQ84</f>
        <v>2.5</v>
      </c>
      <c r="AR85" s="267">
        <f>AR83*AR84</f>
        <v>7.75</v>
      </c>
      <c r="AS85" s="267">
        <f>AS83*AS84</f>
        <v>13.2625</v>
      </c>
      <c r="AT85" s="267">
        <f>AT83*AT84</f>
        <v>19.050625</v>
      </c>
      <c r="AU85" s="267">
        <f>AU83*AU84</f>
        <v>25.12815625</v>
      </c>
      <c r="AV85" s="19" t="n"/>
      <c r="BD85" s="25" t="inlineStr">
        <is>
          <t xml:space="preserve">  2030E</t>
        </is>
      </c>
      <c r="BE85" s="33">
        <f>BF85+$BE$81</f>
        <v>0.207</v>
      </c>
      <c r="BF85" s="42" t="n">
        <v>0.197</v>
      </c>
      <c r="BG85" s="33">
        <f>BF85+$BG$81</f>
        <v>0.167</v>
      </c>
    </row>
    <row r="86" ht="15" customHeight="1" s="251">
      <c r="B86" s="25" t="inlineStr">
        <is>
          <t xml:space="preserve">  PP&amp;E % of spend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24" t="n"/>
      <c r="AP86" s="265" t="n">
        <v>0</v>
      </c>
      <c r="AQ86" s="265" t="n">
        <v>0.1</v>
      </c>
      <c r="AR86" s="265" t="n">
        <v>0.1</v>
      </c>
      <c r="AS86" s="265" t="n">
        <v>0.1</v>
      </c>
      <c r="AT86" s="265" t="n">
        <v>0.1</v>
      </c>
      <c r="AU86" s="265" t="n">
        <v>0.1</v>
      </c>
      <c r="AV86" s="19" t="n"/>
      <c r="BD86" s="25" t="inlineStr">
        <is>
          <t xml:space="preserve">  2031E</t>
        </is>
      </c>
      <c r="BE86" s="33">
        <f>BF86+$BE$81</f>
        <v>0.21</v>
      </c>
      <c r="BF86" s="42" t="n">
        <v>0.2</v>
      </c>
      <c r="BG86" s="33">
        <f>BF86+$BG$81</f>
        <v>0.17</v>
      </c>
    </row>
    <row r="87" ht="15" customHeight="1" s="251">
      <c r="B87" s="25" t="inlineStr">
        <is>
          <t xml:space="preserve">  Acquired intangibles % of spend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24" t="n"/>
      <c r="AP87" s="265" t="n">
        <v>0</v>
      </c>
      <c r="AQ87" s="265" t="n">
        <v>0.4</v>
      </c>
      <c r="AR87" s="265" t="n">
        <v>0.4</v>
      </c>
      <c r="AS87" s="265" t="n">
        <v>0.4</v>
      </c>
      <c r="AT87" s="265" t="n">
        <v>0.4</v>
      </c>
      <c r="AU87" s="265" t="n">
        <v>0.4</v>
      </c>
      <c r="AV87" s="19" t="inlineStr">
        <is>
          <t>PPAs: L'Orange 74% of the purchase price in intangibles, Valve Research 30%, Safran EMA 0%.</t>
        </is>
      </c>
      <c r="BD87" s="15" t="inlineStr">
        <is>
          <t>M&amp;A_spend (bolt-on acquisitions, $m)</t>
        </is>
      </c>
      <c r="BE87" s="50" t="n">
        <v>100</v>
      </c>
      <c r="BF87" s="21" t="inlineStr">
        <is>
          <t>Δ →</t>
        </is>
      </c>
      <c r="BG87" s="50" t="n">
        <v>-100</v>
      </c>
      <c r="BH87" s="13" t="inlineStr">
        <is>
          <t>Woodward spent $40m (Safran EMA, FY25) and $121m (Valve Research, FY26) on bolt-ons besides L'Orange ($771m, FY18). Base $100m p.a. (assumption).</t>
        </is>
      </c>
    </row>
    <row r="88" collapsed="1" ht="15" customHeight="1" s="251">
      <c r="B88" s="25" t="inlineStr">
        <is>
          <t xml:space="preserve">  Intangible amortization life (years)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24" t="n"/>
      <c r="AP88" s="271" t="n">
        <v>0</v>
      </c>
      <c r="AQ88" s="271" t="n">
        <v>15</v>
      </c>
      <c r="AR88" s="271" t="n">
        <v>15</v>
      </c>
      <c r="AS88" s="271" t="n">
        <v>15</v>
      </c>
      <c r="AT88" s="271" t="n">
        <v>15</v>
      </c>
      <c r="AU88" s="271" t="n">
        <v>15</v>
      </c>
      <c r="AV88" s="19" t="n"/>
      <c r="BD88" s="25" t="inlineStr">
        <is>
          <t xml:space="preserve">  2027E</t>
        </is>
      </c>
      <c r="BE88" s="51">
        <f>MAX(0,BF88+$BE$87)</f>
        <v>200</v>
      </c>
      <c r="BF88" s="26" t="n">
        <v>100</v>
      </c>
      <c r="BG88" s="51">
        <f>MAX(0,BF88+$BG$87)</f>
        <v>0</v>
      </c>
    </row>
    <row r="89" ht="15" customHeight="1" s="251">
      <c r="B89" s="25" t="inlineStr">
        <is>
          <t xml:space="preserve">  Cumulative acquired intangibles (gross)</t>
        </is>
      </c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34" t="n"/>
      <c r="AG89" s="34" t="n"/>
      <c r="AH89" s="34" t="n"/>
      <c r="AI89" s="34" t="n"/>
      <c r="AJ89" s="34" t="n"/>
      <c r="AK89" s="34" t="n"/>
      <c r="AL89" s="34" t="n"/>
      <c r="AM89" s="34" t="n"/>
      <c r="AN89" s="34" t="n"/>
      <c r="AO89" s="35" t="n"/>
      <c r="AP89" s="266" t="n">
        <v>0</v>
      </c>
      <c r="AQ89" s="267">
        <f>AP89+AQ78*AQ87</f>
        <v>40</v>
      </c>
      <c r="AR89" s="267">
        <f>AQ89+AR78*AR87</f>
        <v>80</v>
      </c>
      <c r="AS89" s="267">
        <f>AR89+AS78*AS87</f>
        <v>120</v>
      </c>
      <c r="AT89" s="267">
        <f>AS89+AT78*AT87</f>
        <v>160</v>
      </c>
      <c r="AU89" s="267">
        <f>AT89+AU78*AU87</f>
        <v>200</v>
      </c>
      <c r="AV89" s="19" t="n"/>
      <c r="BD89" s="25" t="inlineStr">
        <is>
          <t xml:space="preserve">  2028E</t>
        </is>
      </c>
      <c r="BE89" s="51">
        <f>MAX(0,BF89+$BE$87)</f>
        <v>200</v>
      </c>
      <c r="BF89" s="26" t="n">
        <v>100</v>
      </c>
      <c r="BG89" s="51">
        <f>MAX(0,BF89+$BG$87)</f>
        <v>0</v>
      </c>
    </row>
    <row r="90" ht="15" customHeight="1" s="251">
      <c r="B90" s="25" t="inlineStr">
        <is>
          <t xml:space="preserve">  Amortization of future-acquisition intangibles (inside segment earnings)</t>
        </is>
      </c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n"/>
      <c r="AD90" s="34" t="n"/>
      <c r="AE90" s="34" t="n"/>
      <c r="AF90" s="34" t="n"/>
      <c r="AG90" s="34" t="n"/>
      <c r="AH90" s="34" t="n"/>
      <c r="AI90" s="34" t="n"/>
      <c r="AJ90" s="34" t="n"/>
      <c r="AK90" s="34" t="n"/>
      <c r="AL90" s="34" t="n"/>
      <c r="AM90" s="34" t="n"/>
      <c r="AN90" s="34" t="n"/>
      <c r="AO90" s="35" t="n"/>
      <c r="AP90" s="266" t="n">
        <v>0</v>
      </c>
      <c r="AQ90" s="267">
        <f>IFERROR((AP89+0.5*AQ78*AQ87)/AQ88,0)</f>
        <v>1.33333333333333</v>
      </c>
      <c r="AR90" s="267">
        <f>IFERROR((AQ89+0.5*AR78*AR87)/AR88,0)</f>
        <v>4</v>
      </c>
      <c r="AS90" s="267">
        <f>IFERROR((AR89+0.5*AS78*AS87)/AS88,0)</f>
        <v>6.66666666666667</v>
      </c>
      <c r="AT90" s="267">
        <f>IFERROR((AS89+0.5*AT78*AT87)/AT88,0)</f>
        <v>9.33333333333333</v>
      </c>
      <c r="AU90" s="267">
        <f>IFERROR((AT89+0.5*AU78*AU87)/AU88,0)</f>
        <v>12</v>
      </c>
      <c r="AV90" s="19" t="inlineStr">
        <is>
          <t>Woodward does not adjust out amortization; the acquired-business margin above is after amortization.</t>
        </is>
      </c>
      <c r="BD90" s="25" t="inlineStr">
        <is>
          <t xml:space="preserve">  2029E</t>
        </is>
      </c>
      <c r="BE90" s="51">
        <f>MAX(0,BF90+$BE$87)</f>
        <v>200</v>
      </c>
      <c r="BF90" s="26" t="n">
        <v>100</v>
      </c>
      <c r="BG90" s="51">
        <f>MAX(0,BF90+$BG$87)</f>
        <v>0</v>
      </c>
    </row>
    <row r="91" ht="15" customHeight="1" s="251">
      <c r="BD91" s="25" t="inlineStr">
        <is>
          <t xml:space="preserve">  2030E</t>
        </is>
      </c>
      <c r="BE91" s="51">
        <f>MAX(0,BF91+$BE$87)</f>
        <v>200</v>
      </c>
      <c r="BF91" s="26" t="n">
        <v>100</v>
      </c>
      <c r="BG91" s="51">
        <f>MAX(0,BF91+$BG$87)</f>
        <v>0</v>
      </c>
    </row>
    <row r="92" ht="15" customHeight="1" s="251">
      <c r="B92" s="14" t="inlineStr">
        <is>
          <t>Pending divestitures — Aerospace pilot controls (to ONTIC, $180m; close expected FY2027) · Santa Clarita product lines &amp; campus (terms not disclosed)</t>
        </is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5" t="inlineStr">
        <is>
          <t>DIVESTITURES — gain recorded in other income, net and excluded from adjusted earnings (company practice for divestitures)</t>
        </is>
      </c>
      <c r="BD92" s="25" t="inlineStr">
        <is>
          <t xml:space="preserve">  2031E</t>
        </is>
      </c>
      <c r="BE92" s="51">
        <f>MAX(0,BF92+$BE$87)</f>
        <v>200</v>
      </c>
      <c r="BF92" s="26" t="n">
        <v>100</v>
      </c>
      <c r="BG92" s="51">
        <f>MAX(0,BF92+$BG$87)</f>
        <v>0</v>
      </c>
    </row>
    <row r="93" ht="15" customHeight="1" s="251">
      <c r="B93" s="25" t="inlineStr">
        <is>
          <t xml:space="preserve">  Cash proceeds (USDm; ONTIC $180m in 2027E)</t>
        </is>
      </c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  <c r="AA93" s="34" t="n"/>
      <c r="AB93" s="34" t="n"/>
      <c r="AC93" s="34" t="n"/>
      <c r="AD93" s="34" t="n"/>
      <c r="AE93" s="34" t="n"/>
      <c r="AF93" s="34" t="n"/>
      <c r="AG93" s="34" t="n"/>
      <c r="AH93" s="34" t="n"/>
      <c r="AI93" s="34" t="n"/>
      <c r="AJ93" s="34" t="n"/>
      <c r="AK93" s="34" t="n"/>
      <c r="AL93" s="34" t="n"/>
      <c r="AM93" s="34" t="n"/>
      <c r="AN93" s="34" t="n"/>
      <c r="AO93" s="35" t="n"/>
      <c r="AP93" s="272" t="n">
        <v>0</v>
      </c>
      <c r="AQ93" s="272" t="n">
        <v>180</v>
      </c>
      <c r="AR93" s="272" t="n">
        <v>0</v>
      </c>
      <c r="AS93" s="272" t="n">
        <v>0</v>
      </c>
      <c r="AT93" s="272" t="n">
        <v>0</v>
      </c>
      <c r="AU93" s="272" t="n">
        <v>0</v>
      </c>
      <c r="AV93" s="19" t="inlineStr">
        <is>
          <t>Sale of the Aerospace pilot controls product line to ONTIC for $180.0m (definitive agreement 15-Apr-2026; close expected FY27, accounting gain expected). Held for sale at 30-Jun-2026: assets $20.0m, liabilities $3.6m (Q3 FY26 10-Q Note 10). Revenue of the product line not disclosed.</t>
        </is>
      </c>
    </row>
    <row r="94" ht="15" customHeight="1" s="251">
      <c r="B94" s="25" t="inlineStr">
        <is>
          <t xml:space="preserve">  Net assets held for sale (30-Jun-2026: assets $20.0m − liabilities $3.6m)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24" t="n"/>
      <c r="AP94" s="272" t="n">
        <v>0</v>
      </c>
      <c r="AQ94" s="272" t="n">
        <v>16.364</v>
      </c>
      <c r="AR94" s="272" t="n">
        <v>0</v>
      </c>
      <c r="AS94" s="272" t="n">
        <v>0</v>
      </c>
      <c r="AT94" s="272" t="n">
        <v>0</v>
      </c>
      <c r="AU94" s="272" t="n">
        <v>0</v>
      </c>
      <c r="AV94" s="19" t="n"/>
    </row>
    <row r="95" ht="15" customHeight="1" s="251">
      <c r="B95" s="25" t="inlineStr">
        <is>
          <t xml:space="preserve">  Pre-tax gain on sale (assumption: proceeds − net assets held for sale; goodwill allocation not disclosed)</t>
        </is>
      </c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  <c r="AD95" s="34" t="n"/>
      <c r="AE95" s="34" t="n"/>
      <c r="AF95" s="34" t="n"/>
      <c r="AG95" s="34" t="n"/>
      <c r="AH95" s="34" t="n"/>
      <c r="AI95" s="34" t="n"/>
      <c r="AJ95" s="34" t="n"/>
      <c r="AK95" s="34" t="n"/>
      <c r="AL95" s="34" t="n"/>
      <c r="AM95" s="34" t="n"/>
      <c r="AN95" s="34" t="n"/>
      <c r="AO95" s="35" t="n"/>
      <c r="AP95" s="272" t="n">
        <v>0</v>
      </c>
      <c r="AQ95" s="254">
        <f>AQ93-AQ94</f>
        <v>163.636</v>
      </c>
      <c r="AR95" s="254">
        <f>AR93-AR94</f>
        <v>0</v>
      </c>
      <c r="AS95" s="254">
        <f>AS93-AS94</f>
        <v>0</v>
      </c>
      <c r="AT95" s="254">
        <f>AT93-AT94</f>
        <v>0</v>
      </c>
      <c r="AU95" s="254">
        <f>AU93-AU94</f>
        <v>0</v>
      </c>
      <c r="AV95" s="19" t="n"/>
    </row>
    <row r="96" ht="15" customHeight="1" s="251">
      <c r="B96" s="25" t="inlineStr">
        <is>
          <t xml:space="preserve">  Sales of the divested product lines (not disclosed — input 0; flag)</t>
        </is>
      </c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24" t="n"/>
      <c r="AP96" s="272" t="n">
        <v>0</v>
      </c>
      <c r="AQ96" s="272" t="n">
        <v>0</v>
      </c>
      <c r="AR96" s="272" t="n">
        <v>0</v>
      </c>
      <c r="AS96" s="272" t="n">
        <v>0</v>
      </c>
      <c r="AT96" s="272" t="n">
        <v>0</v>
      </c>
      <c r="AU96" s="272" t="n">
        <v>0</v>
      </c>
      <c r="AV96" s="19" t="inlineStr">
        <is>
          <t>Neither the pilot-controls nor the Santa Clarita product-line sales are disclosed; no revenue is removed from the Aerospace build (assumption).</t>
        </is>
      </c>
    </row>
    <row r="97" ht="15" customHeight="1" s="251">
      <c r="BD97" s="11" t="n"/>
      <c r="BE97" s="12" t="n"/>
      <c r="BF97" s="12" t="n"/>
      <c r="BG97" s="12" t="n"/>
      <c r="BH97" s="13" t="n"/>
    </row>
    <row r="98" ht="15" customHeight="1" s="251">
      <c r="B98" s="14" t="inlineStr">
        <is>
          <t>Group Total — net sales &amp; adjusted EBIT (segment build) → FY26 guidance calibration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5" t="inlineStr">
        <is>
          <t>GROUP TOTAL (CONSOLIDATED) — modelling logic</t>
        </is>
      </c>
    </row>
    <row r="99" ht="15" customHeight="1" s="251">
      <c r="B99" s="55" t="inlineStr">
        <is>
          <t>Net sales (segment build)</t>
        </is>
      </c>
      <c r="C99" s="273">
        <f>IF(ISNUMBER(C23),C23+C45,C150)</f>
        <v>1711.702</v>
      </c>
      <c r="D99" s="273">
        <f>IF(ISNUMBER(D23),D23+D45,D150)</f>
        <v>1865.627</v>
      </c>
      <c r="E99" s="273">
        <f>IF(ISNUMBER(E23),E23+E45,E150)</f>
        <v>1935.976</v>
      </c>
      <c r="F99" s="273">
        <f>IF(ISNUMBER(F23),F23+F45,F150)</f>
        <v>2001.24</v>
      </c>
      <c r="G99" s="273">
        <f>IF(ISNUMBER(G23),G23+G45,G150)</f>
        <v>2038.303</v>
      </c>
      <c r="H99" s="273">
        <f>IF(ISNUMBER(H23),H23+H45,H150)</f>
        <v>2023.078</v>
      </c>
      <c r="I99" s="273">
        <f>IF(ISNUMBER(I23),I23+I45,I150)</f>
        <v>2098.685</v>
      </c>
      <c r="J99" s="273">
        <f>IF(ISNUMBER(J23),J23+J45,J150)</f>
        <v>2325.873</v>
      </c>
      <c r="K99" s="273">
        <f>IF(ISNUMBER(K23),K23+K45,K150)</f>
        <v>2900.197</v>
      </c>
      <c r="L99" s="273">
        <f>IF(ISNUMBER(L23),L23+L45,L150)</f>
        <v>2495.665</v>
      </c>
      <c r="M99" s="273">
        <f>IF(ISNUMBER(M23),M23+M45,M150)</f>
        <v>537.619</v>
      </c>
      <c r="N99" s="273">
        <f>IF(ISNUMBER(N23),N23+N45,N150)</f>
        <v>581.321</v>
      </c>
      <c r="O99" s="273">
        <f>IF(ISNUMBER(O23),O23+O45,O150)</f>
        <v>556.675</v>
      </c>
      <c r="P99" s="273">
        <f>IF(ISNUMBER(P23),P23+P45,P150)</f>
        <v>570.217</v>
      </c>
      <c r="Q99" s="273">
        <f>IF(ISNUMBER(Q23),Q23+Q45,Q150)</f>
        <v>2245.832</v>
      </c>
      <c r="R99" s="273">
        <f>IF(ISNUMBER(R23),R23+R45,R150)</f>
        <v>541.586</v>
      </c>
      <c r="S99" s="273">
        <f>IF(ISNUMBER(S23),S23+S45,S150)</f>
        <v>586.839</v>
      </c>
      <c r="T99" s="273">
        <f>IF(ISNUMBER(T23),T23+T45,T150)</f>
        <v>614.332</v>
      </c>
      <c r="U99" s="273">
        <f>IF(ISNUMBER(U23),U23+U45,U150)</f>
        <v>640.033</v>
      </c>
      <c r="V99" s="273">
        <f>IF(ISNUMBER(V23),V23+V45,V150)</f>
        <v>2382.79</v>
      </c>
      <c r="W99" s="273">
        <f>IF(ISNUMBER(W23),W23+W45,W150)</f>
        <v>618.619</v>
      </c>
      <c r="X99" s="273">
        <f>IF(ISNUMBER(X23),X23+X45,X150)</f>
        <v>718.214</v>
      </c>
      <c r="Y99" s="273">
        <f>IF(ISNUMBER(Y23),Y23+Y45,Y150)</f>
        <v>800.663</v>
      </c>
      <c r="Z99" s="273">
        <f>IF(ISNUMBER(Z23),Z23+Z45,Z150)</f>
        <v>777.07</v>
      </c>
      <c r="AA99" s="273">
        <f>IF(ISNUMBER(AA23),AA23+AA45,AA150)</f>
        <v>2914.566</v>
      </c>
      <c r="AB99" s="273">
        <f>IF(ISNUMBER(AB23),AB23+AB45,AB150)</f>
        <v>786.73</v>
      </c>
      <c r="AC99" s="273">
        <f>IF(ISNUMBER(AC23),AC23+AC45,AC150)</f>
        <v>835.343</v>
      </c>
      <c r="AD99" s="273">
        <f>IF(ISNUMBER(AD23),AD23+AD45,AD150)</f>
        <v>847.688</v>
      </c>
      <c r="AE99" s="273">
        <f>IF(ISNUMBER(AE23),AE23+AE45,AE150)</f>
        <v>854.488</v>
      </c>
      <c r="AF99" s="273">
        <f>IF(ISNUMBER(AF23),AF23+AF45,AF150)</f>
        <v>3324.249</v>
      </c>
      <c r="AG99" s="273">
        <f>IF(ISNUMBER(AG23),AG23+AG45,AG150)</f>
        <v>772.725</v>
      </c>
      <c r="AH99" s="273">
        <f>IF(ISNUMBER(AH23),AH23+AH45,AH150)</f>
        <v>883.629</v>
      </c>
      <c r="AI99" s="273">
        <f>IF(ISNUMBER(AI23),AI23+AI45,AI150)</f>
        <v>915.446</v>
      </c>
      <c r="AJ99" s="273">
        <f>IF(ISNUMBER(AJ23),AJ23+AJ45,AJ150)</f>
        <v>995.264</v>
      </c>
      <c r="AK99" s="273">
        <f>IF(ISNUMBER(AK23),AK23+AK45,AK150)</f>
        <v>3567.064</v>
      </c>
      <c r="AL99" s="273">
        <f>IF(ISNUMBER(AL23),AL23+AL45,AL150)</f>
        <v>996.454</v>
      </c>
      <c r="AM99" s="273">
        <f>IF(ISNUMBER(AM23),AM23+AM45,AM150)</f>
        <v>1090.568</v>
      </c>
      <c r="AN99" s="273">
        <f>IF(ISNUMBER(AN23),AN23+AN45,AN150)</f>
        <v>1109.705</v>
      </c>
      <c r="AO99" s="273">
        <f>AO23+AO45+N(AO83)-N(AO96)</f>
        <v>1137.25576</v>
      </c>
      <c r="AP99" s="273">
        <f>AP23+AP45+N(AP83)-N(AP96)</f>
        <v>4333.98276</v>
      </c>
      <c r="AQ99" s="273">
        <f>AQ23+AQ45+N(AQ83)-N(AQ96)</f>
        <v>4707.02760746037</v>
      </c>
      <c r="AR99" s="273">
        <f>AR23+AR45+N(AR83)-N(AR96)</f>
        <v>5101.6141786127</v>
      </c>
      <c r="AS99" s="273">
        <f>AS23+AS45+N(AS83)-N(AS96)</f>
        <v>5466.61316688212</v>
      </c>
      <c r="AT99" s="273">
        <f>AT23+AT45+N(AT83)-N(AT96)</f>
        <v>5796.28539934102</v>
      </c>
      <c r="AU99" s="273">
        <f>AU23+AU45+N(AU83)-N(AU96)</f>
        <v>6123.51365488953</v>
      </c>
      <c r="AV99" s="153" t="inlineStr">
        <is>
          <t>Σ segment sales (+ future acquisitions − divested product lines from 2027E).</t>
        </is>
      </c>
      <c r="AX99" s="20">
        <f>IFERROR((AU99/AP99)^(1/5)-1,"n/m")</f>
        <v>0.0715753191275013</v>
      </c>
      <c r="AY99" s="20">
        <f>IFERROR((AK99/L99)^(1/5)-1,"n/m")</f>
        <v>0.0740510465589011</v>
      </c>
      <c r="AZ99" s="20">
        <f>IFERROR((AK99/G99)^(1/10)-1,"n/m")</f>
        <v>0.0575580509577025</v>
      </c>
      <c r="BA99" s="20">
        <f>IFERROR((AK99/C99)^(1/14)-1,"n/m")</f>
        <v>0.0538464546515822</v>
      </c>
    </row>
    <row r="100" ht="15" customHeight="1" s="251">
      <c r="B100" s="22" t="inlineStr">
        <is>
          <t xml:space="preserve">  Net sales y/y %</t>
        </is>
      </c>
      <c r="C100" s="23" t="n"/>
      <c r="D100" s="255">
        <f>IF(AND(ISNUMBER(D99),ISNUMBER(C99)),IFERROR(D99/C99-1,""),"")</f>
        <v>0.0899251154698657</v>
      </c>
      <c r="E100" s="255">
        <f>IF(AND(ISNUMBER(E99),ISNUMBER(D99)),IFERROR(E99/D99-1,""),"")</f>
        <v>0.0377079662762172</v>
      </c>
      <c r="F100" s="255">
        <f>IF(AND(ISNUMBER(F99),ISNUMBER(E99)),IFERROR(F99/E99-1,""),"")</f>
        <v>0.0337111617086163</v>
      </c>
      <c r="G100" s="255">
        <f>IF(AND(ISNUMBER(G99),ISNUMBER(F99)),IFERROR(G99/F99-1,""),"")</f>
        <v>0.0185200175890945</v>
      </c>
      <c r="H100" s="255">
        <f>IF(AND(ISNUMBER(H99),ISNUMBER(G99)),IFERROR(H99/G99-1,""),"")</f>
        <v>-0.00746944885034262</v>
      </c>
      <c r="I100" s="255">
        <f>IF(AND(ISNUMBER(I99),ISNUMBER(H99)),IFERROR(I99/H99-1,""),"")</f>
        <v>0.0373722614748417</v>
      </c>
      <c r="J100" s="255">
        <f>IF(AND(ISNUMBER(J99),ISNUMBER(I99)),IFERROR(J99/I99-1,""),"")</f>
        <v>0.108252548619731</v>
      </c>
      <c r="K100" s="255">
        <f>IF(AND(ISNUMBER(K99),ISNUMBER(J99)),IFERROR(K99/J99-1,""),"")</f>
        <v>0.246928357653234</v>
      </c>
      <c r="L100" s="255">
        <f>IF(AND(ISNUMBER(L99),ISNUMBER(K99)),IFERROR(L99/K99-1,""),"")</f>
        <v>-0.139484317789447</v>
      </c>
      <c r="M100" s="23" t="n"/>
      <c r="N100" s="23" t="n"/>
      <c r="O100" s="23" t="n"/>
      <c r="P100" s="23" t="n"/>
      <c r="Q100" s="255">
        <f>IF(AND(ISNUMBER(Q99),ISNUMBER(L99)),IFERROR(Q99/L99-1,""),"")</f>
        <v>-0.100106785165477</v>
      </c>
      <c r="R100" s="255">
        <f>IF(AND(ISNUMBER(R99),ISNUMBER(M99)),IFERROR(R99/M99-1,""),"")</f>
        <v>0.00737883147731022</v>
      </c>
      <c r="S100" s="255">
        <f>IF(AND(ISNUMBER(S99),ISNUMBER(N99)),IFERROR(S99/N99-1,""),"")</f>
        <v>0.00949217385919288</v>
      </c>
      <c r="T100" s="255">
        <f>IF(AND(ISNUMBER(T99),ISNUMBER(O99)),IFERROR(T99/O99-1,""),"")</f>
        <v>0.103573898594332</v>
      </c>
      <c r="U100" s="255">
        <f>IF(AND(ISNUMBER(U99),ISNUMBER(P99)),IFERROR(U99/P99-1,""),"")</f>
        <v>0.122437598317833</v>
      </c>
      <c r="V100" s="255">
        <f>IF(AND(ISNUMBER(V99),ISNUMBER(Q99)),IFERROR(V99/Q99-1,""),"")</f>
        <v>0.0609831901941018</v>
      </c>
      <c r="W100" s="255">
        <f>IF(AND(ISNUMBER(W99),ISNUMBER(R99)),IFERROR(W99/R99-1,""),"")</f>
        <v>0.142235951446308</v>
      </c>
      <c r="X100" s="255">
        <f>IF(AND(ISNUMBER(X99),ISNUMBER(S99)),IFERROR(X99/S99-1,""),"")</f>
        <v>0.223868897602239</v>
      </c>
      <c r="Y100" s="255">
        <f>IF(AND(ISNUMBER(Y99),ISNUMBER(T99)),IFERROR(Y99/T99-1,""),"")</f>
        <v>0.303306681077984</v>
      </c>
      <c r="Z100" s="255">
        <f>IF(AND(ISNUMBER(Z99),ISNUMBER(U99)),IFERROR(Z99/U99-1,""),"")</f>
        <v>0.214109272490638</v>
      </c>
      <c r="AA100" s="255">
        <f>IF(AND(ISNUMBER(AA99),ISNUMBER(V99)),IFERROR(AA99/V99-1,""),"")</f>
        <v>0.223173674557976</v>
      </c>
      <c r="AB100" s="255">
        <f>IF(AND(ISNUMBER(AB99),ISNUMBER(W99)),IFERROR(AB99/W99-1,""),"")</f>
        <v>0.271752080036339</v>
      </c>
      <c r="AC100" s="255">
        <f>IF(AND(ISNUMBER(AC99),ISNUMBER(X99)),IFERROR(AC99/X99-1,""),"")</f>
        <v>0.163083704856769</v>
      </c>
      <c r="AD100" s="255">
        <f>IF(AND(ISNUMBER(AD99),ISNUMBER(Y99)),IFERROR(AD99/Y99-1,""),"")</f>
        <v>0.0587325753781554</v>
      </c>
      <c r="AE100" s="255">
        <f>IF(AND(ISNUMBER(AE99),ISNUMBER(Z99)),IFERROR(AE99/Z99-1,""),"")</f>
        <v>0.0996280901334496</v>
      </c>
      <c r="AF100" s="255">
        <f>IF(AND(ISNUMBER(AF99),ISNUMBER(AA99)),IFERROR(AF99/AA99-1,""),"")</f>
        <v>0.14056398105241</v>
      </c>
      <c r="AG100" s="255">
        <f>IF(AND(ISNUMBER(AG99),ISNUMBER(AB99)),IFERROR(AG99/AB99-1,""),"")</f>
        <v>-0.0178015329274339</v>
      </c>
      <c r="AH100" s="255">
        <f>IF(AND(ISNUMBER(AH99),ISNUMBER(AC99)),IFERROR(AH99/AC99-1,""),"")</f>
        <v>0.0578038003550638</v>
      </c>
      <c r="AI100" s="255">
        <f>IF(AND(ISNUMBER(AI99),ISNUMBER(AD99)),IFERROR(AI99/AD99-1,""),"")</f>
        <v>0.0799327110918169</v>
      </c>
      <c r="AJ100" s="255">
        <f>IF(AND(ISNUMBER(AJ99),ISNUMBER(AE99)),IFERROR(AJ99/AE99-1,""),"")</f>
        <v>0.164748949078278</v>
      </c>
      <c r="AK100" s="255">
        <f>IF(AND(ISNUMBER(AK99),ISNUMBER(AF99)),IFERROR(AK99/AF99-1,""),"")</f>
        <v>0.07304356562941</v>
      </c>
      <c r="AL100" s="255">
        <f>IF(AND(ISNUMBER(AL99),ISNUMBER(AG99)),IFERROR(AL99/AG99-1,""),"")</f>
        <v>0.289532498624996</v>
      </c>
      <c r="AM100" s="255">
        <f>IF(AND(ISNUMBER(AM99),ISNUMBER(AH99)),IFERROR(AM99/AH99-1,""),"")</f>
        <v>0.234192177938931</v>
      </c>
      <c r="AN100" s="255">
        <f>IF(AND(ISNUMBER(AN99),ISNUMBER(AI99)),IFERROR(AN99/AI99-1,""),"")</f>
        <v>0.212201484303825</v>
      </c>
      <c r="AO100" s="256">
        <f>IF(AND(ISNUMBER(AO99),ISNUMBER(AJ99)),IFERROR(AO99/AJ99-1,""),"")</f>
        <v>0.142667432962511</v>
      </c>
      <c r="AP100" s="256">
        <f>IF(AND(ISNUMBER(AP99),ISNUMBER(AK99)),IFERROR(AP99/AK99-1,""),"")</f>
        <v>0.215</v>
      </c>
      <c r="AQ100" s="256">
        <f>IF(AND(ISNUMBER(AQ99),ISNUMBER(AP99)),IFERROR(AQ99/AP99-1,""),"")</f>
        <v>0.0860743727232485</v>
      </c>
      <c r="AR100" s="256">
        <f>IF(AND(ISNUMBER(AR99),ISNUMBER(AQ99)),IFERROR(AR99/AQ99-1,""),"")</f>
        <v>0.0838292451327303</v>
      </c>
      <c r="AS100" s="256">
        <f>IF(AND(ISNUMBER(AS99),ISNUMBER(AR99)),IFERROR(AS99/AR99-1,""),"")</f>
        <v>0.0715457844302676</v>
      </c>
      <c r="AT100" s="256">
        <f>IF(AND(ISNUMBER(AT99),ISNUMBER(AS99)),IFERROR(AT99/AS99-1,""),"")</f>
        <v>0.0603064863737057</v>
      </c>
      <c r="AU100" s="256">
        <f>IF(AND(ISNUMBER(AU99),ISNUMBER(AT99)),IFERROR(AU99/AT99-1,""),"")</f>
        <v>0.0564548211490277</v>
      </c>
      <c r="AV100" s="153" t="n"/>
    </row>
    <row r="101" ht="15" customHeight="1" s="251">
      <c r="B101" s="57" t="inlineStr">
        <is>
          <t xml:space="preserve">  Check: segment build vs consolidated net sales (should be 0)</t>
        </is>
      </c>
      <c r="C101" s="263">
        <f>IF(ISNUMBER(C99),IF(ABS(C99-C150)&lt;=0.15,0,ROUND(C99-C150,1)),"")</f>
        <v>0</v>
      </c>
      <c r="D101" s="263">
        <f>IF(ISNUMBER(D99),IF(ABS(D99-D150)&lt;=0.15,0,ROUND(D99-D150,1)),"")</f>
        <v>0</v>
      </c>
      <c r="E101" s="263">
        <f>IF(ISNUMBER(E99),IF(ABS(E99-E150)&lt;=0.15,0,ROUND(E99-E150,1)),"")</f>
        <v>0</v>
      </c>
      <c r="F101" s="263">
        <f>IF(ISNUMBER(F99),IF(ABS(F99-F150)&lt;=0.15,0,ROUND(F99-F150,1)),"")</f>
        <v>0</v>
      </c>
      <c r="G101" s="263">
        <f>IF(ISNUMBER(G99),IF(ABS(G99-G150)&lt;=0.15,0,ROUND(G99-G150,1)),"")</f>
        <v>0</v>
      </c>
      <c r="H101" s="263">
        <f>IF(ISNUMBER(H99),IF(ABS(H99-H150)&lt;=0.15,0,ROUND(H99-H150,1)),"")</f>
        <v>0</v>
      </c>
      <c r="I101" s="263">
        <f>IF(ISNUMBER(I99),IF(ABS(I99-I150)&lt;=0.15,0,ROUND(I99-I150,1)),"")</f>
        <v>0</v>
      </c>
      <c r="J101" s="263">
        <f>IF(ISNUMBER(J99),IF(ABS(J99-J150)&lt;=0.15,0,ROUND(J99-J150,1)),"")</f>
        <v>0</v>
      </c>
      <c r="K101" s="263">
        <f>IF(ISNUMBER(K99),IF(ABS(K99-K150)&lt;=0.15,0,ROUND(K99-K150,1)),"")</f>
        <v>0</v>
      </c>
      <c r="L101" s="263">
        <f>IF(ISNUMBER(L99),IF(ABS(L99-L150)&lt;=0.15,0,ROUND(L99-L150,1)),"")</f>
        <v>0</v>
      </c>
      <c r="M101" s="263">
        <f>IF(ISNUMBER(M99),IF(ABS(M99-M150)&lt;=0.15,0,ROUND(M99-M150,1)),"")</f>
        <v>0</v>
      </c>
      <c r="N101" s="263">
        <f>IF(ISNUMBER(N99),IF(ABS(N99-N150)&lt;=0.15,0,ROUND(N99-N150,1)),"")</f>
        <v>0</v>
      </c>
      <c r="O101" s="263">
        <f>IF(ISNUMBER(O99),IF(ABS(O99-O150)&lt;=0.15,0,ROUND(O99-O150,1)),"")</f>
        <v>0</v>
      </c>
      <c r="P101" s="263">
        <f>IF(ISNUMBER(P99),IF(ABS(P99-P150)&lt;=0.15,0,ROUND(P99-P150,1)),"")</f>
        <v>0</v>
      </c>
      <c r="Q101" s="263">
        <f>IF(ISNUMBER(Q99),IF(ABS(Q99-Q150)&lt;=0.15,0,ROUND(Q99-Q150,1)),"")</f>
        <v>0</v>
      </c>
      <c r="R101" s="263">
        <f>IF(ISNUMBER(R99),IF(ABS(R99-R150)&lt;=0.15,0,ROUND(R99-R150,1)),"")</f>
        <v>0</v>
      </c>
      <c r="S101" s="263">
        <f>IF(ISNUMBER(S99),IF(ABS(S99-S150)&lt;=0.15,0,ROUND(S99-S150,1)),"")</f>
        <v>0</v>
      </c>
      <c r="T101" s="263">
        <f>IF(ISNUMBER(T99),IF(ABS(T99-T150)&lt;=0.15,0,ROUND(T99-T150,1)),"")</f>
        <v>0</v>
      </c>
      <c r="U101" s="263">
        <f>IF(ISNUMBER(U99),IF(ABS(U99-U150)&lt;=0.15,0,ROUND(U99-U150,1)),"")</f>
        <v>0</v>
      </c>
      <c r="V101" s="263">
        <f>IF(ISNUMBER(V99),IF(ABS(V99-V150)&lt;=0.15,0,ROUND(V99-V150,1)),"")</f>
        <v>0</v>
      </c>
      <c r="W101" s="263">
        <f>IF(ISNUMBER(W99),IF(ABS(W99-W150)&lt;=0.15,0,ROUND(W99-W150,1)),"")</f>
        <v>0</v>
      </c>
      <c r="X101" s="263">
        <f>IF(ISNUMBER(X99),IF(ABS(X99-X150)&lt;=0.15,0,ROUND(X99-X150,1)),"")</f>
        <v>0</v>
      </c>
      <c r="Y101" s="263">
        <f>IF(ISNUMBER(Y99),IF(ABS(Y99-Y150)&lt;=0.15,0,ROUND(Y99-Y150,1)),"")</f>
        <v>0</v>
      </c>
      <c r="Z101" s="263">
        <f>IF(ISNUMBER(Z99),IF(ABS(Z99-Z150)&lt;=0.15,0,ROUND(Z99-Z150,1)),"")</f>
        <v>0</v>
      </c>
      <c r="AA101" s="263">
        <f>IF(ISNUMBER(AA99),IF(ABS(AA99-AA150)&lt;=0.15,0,ROUND(AA99-AA150,1)),"")</f>
        <v>0</v>
      </c>
      <c r="AB101" s="263">
        <f>IF(ISNUMBER(AB99),IF(ABS(AB99-AB150)&lt;=0.15,0,ROUND(AB99-AB150,1)),"")</f>
        <v>0</v>
      </c>
      <c r="AC101" s="263">
        <f>IF(ISNUMBER(AC99),IF(ABS(AC99-AC150)&lt;=0.15,0,ROUND(AC99-AC150,1)),"")</f>
        <v>0</v>
      </c>
      <c r="AD101" s="263">
        <f>IF(ISNUMBER(AD99),IF(ABS(AD99-AD150)&lt;=0.15,0,ROUND(AD99-AD150,1)),"")</f>
        <v>0</v>
      </c>
      <c r="AE101" s="263">
        <f>IF(ISNUMBER(AE99),IF(ABS(AE99-AE150)&lt;=0.15,0,ROUND(AE99-AE150,1)),"")</f>
        <v>0</v>
      </c>
      <c r="AF101" s="263">
        <f>IF(ISNUMBER(AF99),IF(ABS(AF99-AF150)&lt;=0.15,0,ROUND(AF99-AF150,1)),"")</f>
        <v>0</v>
      </c>
      <c r="AG101" s="263">
        <f>IF(ISNUMBER(AG99),IF(ABS(AG99-AG150)&lt;=0.15,0,ROUND(AG99-AG150,1)),"")</f>
        <v>0</v>
      </c>
      <c r="AH101" s="263">
        <f>IF(ISNUMBER(AH99),IF(ABS(AH99-AH150)&lt;=0.15,0,ROUND(AH99-AH150,1)),"")</f>
        <v>0</v>
      </c>
      <c r="AI101" s="263">
        <f>IF(ISNUMBER(AI99),IF(ABS(AI99-AI150)&lt;=0.15,0,ROUND(AI99-AI150,1)),"")</f>
        <v>0</v>
      </c>
      <c r="AJ101" s="263">
        <f>IF(ISNUMBER(AJ99),IF(ABS(AJ99-AJ150)&lt;=0.15,0,ROUND(AJ99-AJ150,1)),"")</f>
        <v>0</v>
      </c>
      <c r="AK101" s="263">
        <f>IF(ISNUMBER(AK99),IF(ABS(AK99-AK150)&lt;=0.15,0,ROUND(AK99-AK150,1)),"")</f>
        <v>0</v>
      </c>
      <c r="AL101" s="263">
        <f>IF(ISNUMBER(AL99),IF(ABS(AL99-AL150)&lt;=0.15,0,ROUND(AL99-AL150,1)),"")</f>
        <v>0</v>
      </c>
      <c r="AM101" s="263">
        <f>IF(ISNUMBER(AM99),IF(ABS(AM99-AM150)&lt;=0.15,0,ROUND(AM99-AM150,1)),"")</f>
        <v>0</v>
      </c>
      <c r="AN101" s="263">
        <f>IF(ISNUMBER(AN99),IF(ABS(AN99-AN150)&lt;=0.15,0,ROUND(AN99-AN150,1)),"")</f>
        <v>0</v>
      </c>
      <c r="AO101" s="274">
        <f>IF(ISNUMBER(AO99),IF(ABS(AO99-AO150)&lt;=0.15,0,ROUND(AO99-AO150,1)),"")</f>
        <v>0</v>
      </c>
      <c r="AP101" s="274">
        <f>IF(ISNUMBER(AP99),IF(ABS(AP99-AP150)&lt;=0.15,0,ROUND(AP99-AP150,1)),"")</f>
        <v>0</v>
      </c>
      <c r="AQ101" s="274">
        <f>IF(ISNUMBER(AQ99),IF(ABS(AQ99-AQ150)&lt;=0.15,0,ROUND(AQ99-AQ150,1)),"")</f>
        <v>0</v>
      </c>
      <c r="AR101" s="274">
        <f>IF(ISNUMBER(AR99),IF(ABS(AR99-AR150)&lt;=0.15,0,ROUND(AR99-AR150,1)),"")</f>
        <v>0</v>
      </c>
      <c r="AS101" s="274">
        <f>IF(ISNUMBER(AS99),IF(ABS(AS99-AS150)&lt;=0.15,0,ROUND(AS99-AS150,1)),"")</f>
        <v>0</v>
      </c>
      <c r="AT101" s="274">
        <f>IF(ISNUMBER(AT99),IF(ABS(AT99-AT150)&lt;=0.15,0,ROUND(AT99-AT150,1)),"")</f>
        <v>0</v>
      </c>
      <c r="AU101" s="274">
        <f>IF(ISNUMBER(AU99),IF(ABS(AU99-AU150)&lt;=0.15,0,ROUND(AU99-AU150,1)),"")</f>
        <v>0</v>
      </c>
      <c r="AV101" s="153" t="n"/>
    </row>
    <row r="102" ht="15" customHeight="1" s="251">
      <c r="B102" s="55" t="inlineStr">
        <is>
          <t>Adjusted EBIT (segment build)</t>
        </is>
      </c>
      <c r="C102" s="273">
        <f>IF(ISNUMBER(C29),C29+C50+C63+N(C85),"")</f>
        <v>212.432</v>
      </c>
      <c r="D102" s="273">
        <f>IF(ISNUMBER(D29),D29+D50+D63+N(D85),"")</f>
        <v>223.268</v>
      </c>
      <c r="E102" s="273">
        <f>IF(ISNUMBER(E29),E29+E50+E63+N(E85),"")</f>
        <v>226.001</v>
      </c>
      <c r="F102" s="273">
        <f>IF(ISNUMBER(F29),F29+F50+F63+N(F85),"")</f>
        <v>249.777</v>
      </c>
      <c r="G102" s="273">
        <f>IF(ISNUMBER(G29),G29+G50+G63+N(G85),"")</f>
        <v>265.026</v>
      </c>
      <c r="H102" s="273">
        <f>IF(ISNUMBER(H29),H29+H50+H63+N(H85),"")</f>
        <v>251.237</v>
      </c>
      <c r="I102" s="273">
        <f>IF(ISNUMBER(I29),I29+I50+I63+N(I85),"")</f>
        <v>278.452</v>
      </c>
      <c r="J102" s="273">
        <f>IF(ISNUMBER(J29),J29+J50+J63+N(J85),"")</f>
        <v>325.666</v>
      </c>
      <c r="K102" s="273">
        <f>IF(ISNUMBER(K29),K29+K50+K63+N(K85),"")</f>
        <v>423.99</v>
      </c>
      <c r="L102" s="273">
        <f>IF(ISNUMBER(L29),L29+L50+L63+N(L85),"")</f>
        <v>343.158</v>
      </c>
      <c r="M102" s="273">
        <f>IF(ISNUMBER(M29),M29+M50+M63+N(M85),"")</f>
        <v>55.995</v>
      </c>
      <c r="N102" s="273">
        <f>IF(ISNUMBER(N29),N29+N50+N63+N(N85),"")</f>
        <v>86.453</v>
      </c>
      <c r="O102" s="273">
        <f>IF(ISNUMBER(O29),O29+O50+O63+N(O85),"")</f>
        <v>66.787</v>
      </c>
      <c r="P102" s="273">
        <f>IF(ISNUMBER(P29),P29+P50+P63+N(P85),"")</f>
        <v>74.359</v>
      </c>
      <c r="Q102" s="273">
        <f>IF(ISNUMBER(Q29),Q29+Q50+Q63+N(Q85),"")</f>
        <v>283.594</v>
      </c>
      <c r="R102" s="273">
        <f>IF(ISNUMBER(R29),R29+R50+R63+N(R85),"")</f>
        <v>53.393</v>
      </c>
      <c r="S102" s="273">
        <f>IF(ISNUMBER(S29),S29+S50+S63+N(S85),"")</f>
        <v>60.065</v>
      </c>
      <c r="T102" s="273">
        <f>IF(ISNUMBER(T29),T29+T50+T63+N(T85),"")</f>
        <v>58.467</v>
      </c>
      <c r="U102" s="273">
        <f>IF(ISNUMBER(U29),U29+U50+U63+N(U85),"")</f>
        <v>63.538</v>
      </c>
      <c r="V102" s="273">
        <f>IF(ISNUMBER(V29),V29+V50+V63+N(V85),"")</f>
        <v>235.463</v>
      </c>
      <c r="W102" s="273">
        <f>IF(ISNUMBER(W29),W29+W50+W63+N(W85),"")</f>
        <v>42.525</v>
      </c>
      <c r="X102" s="273">
        <f>IF(ISNUMBER(X29),X29+X50+X63+N(X85),"")</f>
        <v>87.454</v>
      </c>
      <c r="Y102" s="273">
        <f>IF(ISNUMBER(Y29),Y29+Y50+Y63+N(Y85),"")</f>
        <v>117.397</v>
      </c>
      <c r="Z102" s="273">
        <f>IF(ISNUMBER(Z29),Z29+Z50+Z63+N(Z85),"")</f>
        <v>108.415</v>
      </c>
      <c r="AA102" s="273">
        <f>IF(ISNUMBER(AA29),AA29+AA50+AA63+N(AA85),"")</f>
        <v>355.791</v>
      </c>
      <c r="AB102" s="273">
        <f>IF(ISNUMBER(AB29),AB29+AB50+AB63+N(AB85),"")</f>
        <v>119.118</v>
      </c>
      <c r="AC102" s="273">
        <f>IF(ISNUMBER(AC29),AC29+AC50+AC63+N(AC85),"")</f>
        <v>135.191</v>
      </c>
      <c r="AD102" s="273">
        <f>IF(ISNUMBER(AD29),AD29+AD50+AD63+N(AD85),"")</f>
        <v>131.884</v>
      </c>
      <c r="AE102" s="273">
        <f>IF(ISNUMBER(AE29),AE29+AE50+AE63+N(AE85),"")</f>
        <v>117.422</v>
      </c>
      <c r="AF102" s="273">
        <f>IF(ISNUMBER(AF29),AF29+AF50+AF63+N(AF85),"")</f>
        <v>503.615</v>
      </c>
      <c r="AG102" s="273">
        <f>IF(ISNUMBER(AG29),AG29+AG50+AG63+N(AG85),"")</f>
        <v>106.975</v>
      </c>
      <c r="AH102" s="273">
        <f>IF(ISNUMBER(AH29),AH29+AH50+AH63+N(AH85),"")</f>
        <v>136.461</v>
      </c>
      <c r="AI102" s="273">
        <f>IF(ISNUMBER(AI29),AI29+AI50+AI63+N(AI85),"")</f>
        <v>137.232</v>
      </c>
      <c r="AJ102" s="273">
        <f>IF(ISNUMBER(AJ29),AJ29+AJ50+AJ63+N(AJ85),"")</f>
        <v>175.566</v>
      </c>
      <c r="AK102" s="273">
        <f>IF(ISNUMBER(AK29),AK29+AK50+AK63+N(AK85),"")</f>
        <v>556.233</v>
      </c>
      <c r="AL102" s="273">
        <f>IF(ISNUMBER(AL29),AL29+AL50+AL63+N(AL85),"")</f>
        <v>178.794</v>
      </c>
      <c r="AM102" s="273">
        <f>IF(ISNUMBER(AM29),AM29+AM50+AM63+N(AM85),"")</f>
        <v>185.562</v>
      </c>
      <c r="AN102" s="273">
        <f>IF(ISNUMBER(AN29),AN29+AN50+AN63+N(AN85),"")</f>
        <v>216.992</v>
      </c>
      <c r="AO102" s="273">
        <f>IF(ISNUMBER(AO29),AO29+AO50+AO63+N(AO85),"")</f>
        <v>209.691697901044</v>
      </c>
      <c r="AP102" s="273">
        <f>IF(ISNUMBER(AP29),AP29+AP50+AP63+N(AP85),"")</f>
        <v>791.039697901045</v>
      </c>
      <c r="AQ102" s="273">
        <f>IF(ISNUMBER(AQ29),AQ29+AQ50+AQ63+N(AQ85),"")</f>
        <v>882.728717627371</v>
      </c>
      <c r="AR102" s="273">
        <f>IF(ISNUMBER(AR29),AR29+AR50+AR63+N(AR85),"")</f>
        <v>975.354335216035</v>
      </c>
      <c r="AS102" s="273">
        <f>IF(ISNUMBER(AS29),AS29+AS50+AS63+N(AS85),"")</f>
        <v>1066.76263517531</v>
      </c>
      <c r="AT102" s="273">
        <f>IF(ISNUMBER(AT29),AT29+AT50+AT63+N(AT85),"")</f>
        <v>1144.61462434783</v>
      </c>
      <c r="AU102" s="273">
        <f>IF(ISNUMBER(AU29),AU29+AU50+AU63+N(AU85),"")</f>
        <v>1221.54547586652</v>
      </c>
      <c r="AV102" s="153" t="inlineStr">
        <is>
          <t>Σ segment earnings + adjusted nonsegment expenses (+ future acquisitions). Woodward's adjusted EBIT (company definition); drives the GAAP P&amp;L below.</t>
        </is>
      </c>
      <c r="AX102" s="20">
        <f>IFERROR((AU102/AP102)^(1/5)-1,"n/m")</f>
        <v>0.0907928238896334</v>
      </c>
      <c r="AY102" s="20">
        <f>IFERROR((AK102/L102)^(1/5)-1,"n/m")</f>
        <v>0.101418900072007</v>
      </c>
      <c r="AZ102" s="20">
        <f>IFERROR((AK102/G102)^(1/10)-1,"n/m")</f>
        <v>0.0769531897607265</v>
      </c>
      <c r="BA102" s="20">
        <f>IFERROR((AK102/C102)^(1/14)-1,"n/m")</f>
        <v>0.0711733824288665</v>
      </c>
    </row>
    <row r="103" ht="15" customHeight="1" s="251">
      <c r="B103" s="25" t="inlineStr">
        <is>
          <t xml:space="preserve">  Adjusted EBIT margin %</t>
        </is>
      </c>
      <c r="C103" s="215">
        <f>IF(AND(ISNUMBER(C102),ISNUMBER(C150)),IFERROR(C102/C150,""),"")</f>
        <v>0.12410571466295</v>
      </c>
      <c r="D103" s="215">
        <f>IF(AND(ISNUMBER(D102),ISNUMBER(D150)),IFERROR(D102/D150,""),"")</f>
        <v>0.119674511571713</v>
      </c>
      <c r="E103" s="215">
        <f>IF(AND(ISNUMBER(E102),ISNUMBER(E150)),IFERROR(E102/E150,""),"")</f>
        <v>0.11673750087811</v>
      </c>
      <c r="F103" s="215">
        <f>IF(AND(ISNUMBER(F102),ISNUMBER(F150)),IFERROR(F102/F150,""),"")</f>
        <v>0.124811117107393</v>
      </c>
      <c r="G103" s="215">
        <f>IF(AND(ISNUMBER(G102),ISNUMBER(G150)),IFERROR(G102/G150,""),"")</f>
        <v>0.130022867061472</v>
      </c>
      <c r="H103" s="215">
        <f>IF(AND(ISNUMBER(H102),ISNUMBER(H150)),IFERROR(H102/H150,""),"")</f>
        <v>0.12418552324725</v>
      </c>
      <c r="I103" s="215">
        <f>IF(AND(ISNUMBER(I102),ISNUMBER(I150)),IFERROR(I102/I150,""),"")</f>
        <v>0.132679272973314</v>
      </c>
      <c r="J103" s="215">
        <f>IF(AND(ISNUMBER(J102),ISNUMBER(J150)),IFERROR(J102/J150,""),"")</f>
        <v>0.140018823039779</v>
      </c>
      <c r="K103" s="215">
        <f>IF(AND(ISNUMBER(K102),ISNUMBER(K150)),IFERROR(K102/K150,""),"")</f>
        <v>0.146193517199004</v>
      </c>
      <c r="L103" s="215">
        <f>IF(AND(ISNUMBER(L102),ISNUMBER(L150)),IFERROR(L102/L150,""),"")</f>
        <v>0.137501627822644</v>
      </c>
      <c r="M103" s="215">
        <f>IF(AND(ISNUMBER(M102),ISNUMBER(M150)),IFERROR(M102/M150,""),"")</f>
        <v>0.104153685044613</v>
      </c>
      <c r="N103" s="215">
        <f>IF(AND(ISNUMBER(N102),ISNUMBER(N150)),IFERROR(N102/N150,""),"")</f>
        <v>0.148718178080613</v>
      </c>
      <c r="O103" s="215">
        <f>IF(AND(ISNUMBER(O102),ISNUMBER(O150)),IFERROR(O102/O150,""),"")</f>
        <v>0.119974850675888</v>
      </c>
      <c r="P103" s="215">
        <f>IF(AND(ISNUMBER(P102),ISNUMBER(P150)),IFERROR(P102/P150,""),"")</f>
        <v>0.130404740651366</v>
      </c>
      <c r="Q103" s="215">
        <f>IF(AND(ISNUMBER(Q102),ISNUMBER(Q150)),IFERROR(Q102/Q150,""),"")</f>
        <v>0.126275696490209</v>
      </c>
      <c r="R103" s="215">
        <f>IF(AND(ISNUMBER(R102),ISNUMBER(R150)),IFERROR(R102/R150,""),"")</f>
        <v>0.0985863740938651</v>
      </c>
      <c r="S103" s="215">
        <f>IF(AND(ISNUMBER(S102),ISNUMBER(S150)),IFERROR(S102/S150,""),"")</f>
        <v>0.102353456399455</v>
      </c>
      <c r="T103" s="215">
        <f>IF(AND(ISNUMBER(T102),ISNUMBER(T150)),IFERROR(T102/T150,""),"")</f>
        <v>0.0951716661349238</v>
      </c>
      <c r="U103" s="215">
        <f>IF(AND(ISNUMBER(U102),ISNUMBER(U150)),IFERROR(U102/U150,""),"")</f>
        <v>0.099273006235616</v>
      </c>
      <c r="V103" s="215">
        <f>IF(AND(ISNUMBER(V102),ISNUMBER(V150)),IFERROR(V102/V150,""),"")</f>
        <v>0.0988181921193223</v>
      </c>
      <c r="W103" s="215">
        <f>IF(AND(ISNUMBER(W102),ISNUMBER(W150)),IFERROR(W102/W150,""),"")</f>
        <v>0.0687418265523691</v>
      </c>
      <c r="X103" s="215">
        <f>IF(AND(ISNUMBER(X102),ISNUMBER(X150)),IFERROR(X102/X150,""),"")</f>
        <v>0.121765936058055</v>
      </c>
      <c r="Y103" s="215">
        <f>IF(AND(ISNUMBER(Y102),ISNUMBER(Y150)),IFERROR(Y102/Y150,""),"")</f>
        <v>0.146624734751075</v>
      </c>
      <c r="Z103" s="215">
        <f>IF(AND(ISNUMBER(Z102),ISNUMBER(Z150)),IFERROR(Z102/Z150,""),"")</f>
        <v>0.139517675370301</v>
      </c>
      <c r="AA103" s="215">
        <f>IF(AND(ISNUMBER(AA102),ISNUMBER(AA150)),IFERROR(AA102/AA150,""),"")</f>
        <v>0.122073406469437</v>
      </c>
      <c r="AB103" s="215">
        <f>IF(AND(ISNUMBER(AB102),ISNUMBER(AB150)),IFERROR(AB102/AB150,""),"")</f>
        <v>0.151408996733314</v>
      </c>
      <c r="AC103" s="215">
        <f>IF(AND(ISNUMBER(AC102),ISNUMBER(AC150)),IFERROR(AC102/AC150,""),"")</f>
        <v>0.161838909286365</v>
      </c>
      <c r="AD103" s="215">
        <f>IF(AND(ISNUMBER(AD102),ISNUMBER(AD150)),IFERROR(AD102/AD150,""),"")</f>
        <v>0.155580826908013</v>
      </c>
      <c r="AE103" s="215">
        <f>IF(AND(ISNUMBER(AE102),ISNUMBER(AE150)),IFERROR(AE102/AE150,""),"")</f>
        <v>0.137417962569398</v>
      </c>
      <c r="AF103" s="215">
        <f>IF(AND(ISNUMBER(AF102),ISNUMBER(AF150)),IFERROR(AF102/AF150,""),"")</f>
        <v>0.151497375798263</v>
      </c>
      <c r="AG103" s="215">
        <f>IF(AND(ISNUMBER(AG102),ISNUMBER(AG150)),IFERROR(AG102/AG150,""),"")</f>
        <v>0.138438642466595</v>
      </c>
      <c r="AH103" s="215">
        <f>IF(AND(ISNUMBER(AH102),ISNUMBER(AH150)),IFERROR(AH102/AH150,""),"")</f>
        <v>0.154432459776671</v>
      </c>
      <c r="AI103" s="215">
        <f>IF(AND(ISNUMBER(AI102),ISNUMBER(AI150)),IFERROR(AI102/AI150,""),"")</f>
        <v>0.149907258319988</v>
      </c>
      <c r="AJ103" s="215">
        <f>IF(AND(ISNUMBER(AJ102),ISNUMBER(AJ150)),IFERROR(AJ102/AJ150,""),"")</f>
        <v>0.176401437206611</v>
      </c>
      <c r="AK103" s="215">
        <f>IF(AND(ISNUMBER(AK102),ISNUMBER(AK150)),IFERROR(AK102/AK150,""),"")</f>
        <v>0.155935806029833</v>
      </c>
      <c r="AL103" s="215">
        <f>IF(AND(ISNUMBER(AL102),ISNUMBER(AL150)),IFERROR(AL102/AL150,""),"")</f>
        <v>0.179430259700899</v>
      </c>
      <c r="AM103" s="215">
        <f>IF(AND(ISNUMBER(AM102),ISNUMBER(AM150)),IFERROR(AM102/AM150,""),"")</f>
        <v>0.170151700765106</v>
      </c>
      <c r="AN103" s="215">
        <f>IF(AND(ISNUMBER(AN102),ISNUMBER(AN150)),IFERROR(AN102/AN150,""),"")</f>
        <v>0.195540256194214</v>
      </c>
      <c r="AO103" s="256">
        <f>IF(AND(ISNUMBER(AO102),ISNUMBER(AO150)),IFERROR(AO102/AO150,""),"")</f>
        <v>0.184383940074346</v>
      </c>
      <c r="AP103" s="256">
        <f>IF(AND(ISNUMBER(AP102),ISNUMBER(AP150)),IFERROR(AP102/AP150,""),"")</f>
        <v>0.182520268701079</v>
      </c>
      <c r="AQ103" s="256">
        <f>IF(AND(ISNUMBER(AQ102),ISNUMBER(AQ150)),IFERROR(AQ102/AQ150,""),"")</f>
        <v>0.187534212934782</v>
      </c>
      <c r="AR103" s="256">
        <f>IF(AND(ISNUMBER(AR102),ISNUMBER(AR150)),IFERROR(AR102/AR150,""),"")</f>
        <v>0.191185436818209</v>
      </c>
      <c r="AS103" s="256">
        <f>IF(AND(ISNUMBER(AS102),ISNUMBER(AS150)),IFERROR(AS102/AS150,""),"")</f>
        <v>0.195141416194945</v>
      </c>
      <c r="AT103" s="256">
        <f>IF(AND(ISNUMBER(AT102),ISNUMBER(AT150)),IFERROR(AT102/AT150,""),"")</f>
        <v>0.197473820815994</v>
      </c>
      <c r="AU103" s="256">
        <f>IF(AND(ISNUMBER(AU102),ISNUMBER(AU150)),IFERROR(AU102/AU150,""),"")</f>
        <v>0.199484404658939</v>
      </c>
      <c r="AV103" s="153" t="n"/>
      <c r="AX103" s="37">
        <f>IFERROR(AVERAGE(AQ103,AR103,AS103,AT103,AU103),"n/m")</f>
        <v>0.194163858284574</v>
      </c>
      <c r="AY103" s="37">
        <f>IFERROR(AVERAGE(Q103,V103,AA103,AF103,AK103),"n/m")</f>
        <v>0.130920095381413</v>
      </c>
      <c r="AZ103" s="37">
        <f>IFERROR(AVERAGE(H103,I103,J103,K103,L103,Q103,V103,AA103,AF103,AK103),"n/m")</f>
        <v>0.133517924118906</v>
      </c>
      <c r="BA103" s="37">
        <f>IFERROR(AVERAGE(C103,D103,E103,F103,G103,H103,I103,J103,K103,L103,Q103,V103,AA103,AF103,AK103),"n/m")</f>
        <v>0.13003539683138</v>
      </c>
    </row>
    <row r="104" ht="15" customHeight="1" s="251">
      <c r="B104" s="22" t="inlineStr">
        <is>
          <t xml:space="preserve">  Adjusted EBIT y/y %</t>
        </is>
      </c>
      <c r="C104" s="23" t="n"/>
      <c r="D104" s="255">
        <f>IF(AND(ISNUMBER(D102),ISNUMBER(C102)),IFERROR(D102/C102-1,""),"")</f>
        <v>0.0510092641409958</v>
      </c>
      <c r="E104" s="255">
        <f>IF(AND(ISNUMBER(E102),ISNUMBER(D102)),IFERROR(E102/D102-1,""),"")</f>
        <v>0.0122408943511831</v>
      </c>
      <c r="F104" s="255">
        <f>IF(AND(ISNUMBER(F102),ISNUMBER(E102)),IFERROR(F102/E102-1,""),"")</f>
        <v>0.10520307432268</v>
      </c>
      <c r="G104" s="255">
        <f>IF(AND(ISNUMBER(G102),ISNUMBER(F102)),IFERROR(G102/F102-1,""),"")</f>
        <v>0.0610504570076511</v>
      </c>
      <c r="H104" s="255">
        <f>IF(AND(ISNUMBER(H102),ISNUMBER(G102)),IFERROR(H102/G102-1,""),"")</f>
        <v>-0.052028857546052</v>
      </c>
      <c r="I104" s="255">
        <f>IF(AND(ISNUMBER(I102),ISNUMBER(H102)),IFERROR(I102/H102-1,""),"")</f>
        <v>0.108324012784741</v>
      </c>
      <c r="J104" s="255">
        <f>IF(AND(ISNUMBER(J102),ISNUMBER(I102)),IFERROR(J102/I102-1,""),"")</f>
        <v>0.169558846767127</v>
      </c>
      <c r="K104" s="255">
        <f>IF(AND(ISNUMBER(K102),ISNUMBER(J102)),IFERROR(K102/J102-1,""),"")</f>
        <v>0.301916687649309</v>
      </c>
      <c r="L104" s="255">
        <f>IF(AND(ISNUMBER(L102),ISNUMBER(K102)),IFERROR(L102/K102-1,""),"")</f>
        <v>-0.190646005802024</v>
      </c>
      <c r="M104" s="23" t="n"/>
      <c r="N104" s="23" t="n"/>
      <c r="O104" s="23" t="n"/>
      <c r="P104" s="23" t="n"/>
      <c r="Q104" s="255">
        <f>IF(AND(ISNUMBER(Q102),ISNUMBER(L102)),IFERROR(Q102/L102-1,""),"")</f>
        <v>-0.173576020375454</v>
      </c>
      <c r="R104" s="255">
        <f>IF(AND(ISNUMBER(R102),ISNUMBER(M102)),IFERROR(R102/M102-1,""),"")</f>
        <v>-0.046468434681668</v>
      </c>
      <c r="S104" s="255">
        <f>IF(AND(ISNUMBER(S102),ISNUMBER(N102)),IFERROR(S102/N102-1,""),"")</f>
        <v>-0.305229431020323</v>
      </c>
      <c r="T104" s="255">
        <f>IF(AND(ISNUMBER(T102),ISNUMBER(O102)),IFERROR(T102/O102-1,""),"")</f>
        <v>-0.124575141868927</v>
      </c>
      <c r="U104" s="255">
        <f>IF(AND(ISNUMBER(U102),ISNUMBER(P102)),IFERROR(U102/P102-1,""),"")</f>
        <v>-0.145523742922847</v>
      </c>
      <c r="V104" s="255">
        <f>IF(AND(ISNUMBER(V102),ISNUMBER(Q102)),IFERROR(V102/Q102-1,""),"")</f>
        <v>-0.169717977108119</v>
      </c>
      <c r="W104" s="255">
        <f>IF(AND(ISNUMBER(W102),ISNUMBER(R102)),IFERROR(W102/R102-1,""),"")</f>
        <v>-0.203547281478846</v>
      </c>
      <c r="X104" s="255">
        <f>IF(AND(ISNUMBER(X102),ISNUMBER(S102)),IFERROR(X102/S102-1,""),"")</f>
        <v>0.455989344876384</v>
      </c>
      <c r="Y104" s="255">
        <f>IF(AND(ISNUMBER(Y102),ISNUMBER(T102)),IFERROR(Y102/T102-1,""),"")</f>
        <v>1.00791899704107</v>
      </c>
      <c r="Z104" s="255">
        <f>IF(AND(ISNUMBER(Z102),ISNUMBER(U102)),IFERROR(Z102/U102-1,""),"")</f>
        <v>0.70630174069061</v>
      </c>
      <c r="AA104" s="255">
        <f>IF(AND(ISNUMBER(AA102),ISNUMBER(V102)),IFERROR(AA102/V102-1,""),"")</f>
        <v>0.511027210219865</v>
      </c>
      <c r="AB104" s="255">
        <f>IF(AND(ISNUMBER(AB102),ISNUMBER(W102)),IFERROR(AB102/W102-1,""),"")</f>
        <v>1.80112874779541</v>
      </c>
      <c r="AC104" s="255">
        <f>IF(AND(ISNUMBER(AC102),ISNUMBER(X102)),IFERROR(AC102/X102-1,""),"")</f>
        <v>0.545852676835822</v>
      </c>
      <c r="AD104" s="255">
        <f>IF(AND(ISNUMBER(AD102),ISNUMBER(Y102)),IFERROR(AD102/Y102-1,""),"")</f>
        <v>0.12340179050572</v>
      </c>
      <c r="AE104" s="255">
        <f>IF(AND(ISNUMBER(AE102),ISNUMBER(Z102)),IFERROR(AE102/Z102-1,""),"")</f>
        <v>0.0830789097449614</v>
      </c>
      <c r="AF104" s="255">
        <f>IF(AND(ISNUMBER(AF102),ISNUMBER(AA102)),IFERROR(AF102/AA102-1,""),"")</f>
        <v>0.415479874420657</v>
      </c>
      <c r="AG104" s="255">
        <f>IF(AND(ISNUMBER(AG102),ISNUMBER(AB102)),IFERROR(AG102/AB102-1,""),"")</f>
        <v>-0.101940932520694</v>
      </c>
      <c r="AH104" s="255">
        <f>IF(AND(ISNUMBER(AH102),ISNUMBER(AC102)),IFERROR(AH102/AC102-1,""),"")</f>
        <v>0.00939411647225064</v>
      </c>
      <c r="AI104" s="255">
        <f>IF(AND(ISNUMBER(AI102),ISNUMBER(AD102)),IFERROR(AI102/AD102-1,""),"")</f>
        <v>0.040550787055291</v>
      </c>
      <c r="AJ104" s="255">
        <f>IF(AND(ISNUMBER(AJ102),ISNUMBER(AE102)),IFERROR(AJ102/AE102-1,""),"")</f>
        <v>0.495171262625403</v>
      </c>
      <c r="AK104" s="255">
        <f>IF(AND(ISNUMBER(AK102),ISNUMBER(AF102)),IFERROR(AK102/AF102-1,""),"")</f>
        <v>0.104480605224229</v>
      </c>
      <c r="AL104" s="255">
        <f>IF(AND(ISNUMBER(AL102),ISNUMBER(AG102)),IFERROR(AL102/AG102-1,""),"")</f>
        <v>0.671362467866324</v>
      </c>
      <c r="AM104" s="255">
        <f>IF(AND(ISNUMBER(AM102),ISNUMBER(AH102)),IFERROR(AM102/AH102-1,""),"")</f>
        <v>0.359817090597313</v>
      </c>
      <c r="AN104" s="255">
        <f>IF(AND(ISNUMBER(AN102),ISNUMBER(AI102)),IFERROR(AN102/AI102-1,""),"")</f>
        <v>0.581205549726012</v>
      </c>
      <c r="AO104" s="256">
        <f>IF(AND(ISNUMBER(AO102),ISNUMBER(AJ102)),IFERROR(AO102/AJ102-1,""),"")</f>
        <v>0.194375322676625</v>
      </c>
      <c r="AP104" s="256">
        <f>IF(AND(ISNUMBER(AP102),ISNUMBER(AK102)),IFERROR(AP102/AK102-1,""),"")</f>
        <v>0.422137301995827</v>
      </c>
      <c r="AQ104" s="256">
        <f>IF(AND(ISNUMBER(AQ102),ISNUMBER(AP102)),IFERROR(AQ102/AP102-1,""),"")</f>
        <v>0.11590950488277</v>
      </c>
      <c r="AR104" s="256">
        <f>IF(AND(ISNUMBER(AR102),ISNUMBER(AQ102)),IFERROR(AR102/AQ102-1,""),"")</f>
        <v>0.104931011916806</v>
      </c>
      <c r="AS104" s="256">
        <f>IF(AND(ISNUMBER(AS102),ISNUMBER(AR102)),IFERROR(AS102/AR102-1,""),"")</f>
        <v>0.0937180434421583</v>
      </c>
      <c r="AT104" s="256">
        <f>IF(AND(ISNUMBER(AT102),ISNUMBER(AS102)),IFERROR(AT102/AS102-1,""),"")</f>
        <v>0.0729796738331845</v>
      </c>
      <c r="AU104" s="256">
        <f>IF(AND(ISNUMBER(AU102),ISNUMBER(AT102)),IFERROR(AU102/AT102-1,""),"")</f>
        <v>0.0672111380391669</v>
      </c>
      <c r="AV104" s="153" t="n"/>
    </row>
    <row r="105" ht="15" customHeight="1" s="251">
      <c r="B105" s="57" t="inlineStr">
        <is>
          <t xml:space="preserve">  Check: segment build vs adjusted EBIT bridge (should be 0)</t>
        </is>
      </c>
      <c r="C105" s="263">
        <f>IF(AND(ISNUMBER(C102),ISNUMBER(C192)),IF(ABS(C102-C192)&lt;=0.15,0,ROUND(C102-C192,1)),"")</f>
        <v>0</v>
      </c>
      <c r="D105" s="263">
        <f>IF(AND(ISNUMBER(D102),ISNUMBER(D192)),IF(ABS(D102-D192)&lt;=0.15,0,ROUND(D102-D192,1)),"")</f>
        <v>0</v>
      </c>
      <c r="E105" s="263">
        <f>IF(AND(ISNUMBER(E102),ISNUMBER(E192)),IF(ABS(E102-E192)&lt;=0.15,0,ROUND(E102-E192,1)),"")</f>
        <v>0</v>
      </c>
      <c r="F105" s="263">
        <f>IF(AND(ISNUMBER(F102),ISNUMBER(F192)),IF(ABS(F102-F192)&lt;=0.15,0,ROUND(F102-F192,1)),"")</f>
        <v>0</v>
      </c>
      <c r="G105" s="263">
        <f>IF(AND(ISNUMBER(G102),ISNUMBER(G192)),IF(ABS(G102-G192)&lt;=0.15,0,ROUND(G102-G192,1)),"")</f>
        <v>0</v>
      </c>
      <c r="H105" s="263">
        <f>IF(AND(ISNUMBER(H102),ISNUMBER(H192)),IF(ABS(H102-H192)&lt;=0.15,0,ROUND(H102-H192,1)),"")</f>
        <v>0</v>
      </c>
      <c r="I105" s="263">
        <f>IF(AND(ISNUMBER(I102),ISNUMBER(I192)),IF(ABS(I102-I192)&lt;=0.15,0,ROUND(I102-I192,1)),"")</f>
        <v>0</v>
      </c>
      <c r="J105" s="263">
        <f>IF(AND(ISNUMBER(J102),ISNUMBER(J192)),IF(ABS(J102-J192)&lt;=0.15,0,ROUND(J102-J192,1)),"")</f>
        <v>0</v>
      </c>
      <c r="K105" s="263">
        <f>IF(AND(ISNUMBER(K102),ISNUMBER(K192)),IF(ABS(K102-K192)&lt;=0.15,0,ROUND(K102-K192,1)),"")</f>
        <v>0</v>
      </c>
      <c r="L105" s="263">
        <f>IF(AND(ISNUMBER(L102),ISNUMBER(L192)),IF(ABS(L102-L192)&lt;=0.15,0,ROUND(L102-L192,1)),"")</f>
        <v>0</v>
      </c>
      <c r="M105" s="263">
        <f>IF(AND(ISNUMBER(M102),ISNUMBER(M192)),IF(ABS(M102-M192)&lt;=0.15,0,ROUND(M102-M192,1)),"")</f>
        <v>0</v>
      </c>
      <c r="N105" s="263">
        <f>IF(AND(ISNUMBER(N102),ISNUMBER(N192)),IF(ABS(N102-N192)&lt;=0.15,0,ROUND(N102-N192,1)),"")</f>
        <v>0</v>
      </c>
      <c r="O105" s="263">
        <f>IF(AND(ISNUMBER(O102),ISNUMBER(O192)),IF(ABS(O102-O192)&lt;=0.15,0,ROUND(O102-O192,1)),"")</f>
        <v>0</v>
      </c>
      <c r="P105" s="263">
        <f>IF(AND(ISNUMBER(P102),ISNUMBER(P192)),IF(ABS(P102-P192)&lt;=0.15,0,ROUND(P102-P192,1)),"")</f>
        <v>0</v>
      </c>
      <c r="Q105" s="263">
        <f>IF(AND(ISNUMBER(Q102),ISNUMBER(Q192)),IF(ABS(Q102-Q192)&lt;=0.15,0,ROUND(Q102-Q192,1)),"")</f>
        <v>0</v>
      </c>
      <c r="R105" s="263">
        <f>IF(AND(ISNUMBER(R102),ISNUMBER(R192)),IF(ABS(R102-R192)&lt;=0.15,0,ROUND(R102-R192,1)),"")</f>
        <v>0</v>
      </c>
      <c r="S105" s="263">
        <f>IF(AND(ISNUMBER(S102),ISNUMBER(S192)),IF(ABS(S102-S192)&lt;=0.15,0,ROUND(S102-S192,1)),"")</f>
        <v>0</v>
      </c>
      <c r="T105" s="263">
        <f>IF(AND(ISNUMBER(T102),ISNUMBER(T192)),IF(ABS(T102-T192)&lt;=0.15,0,ROUND(T102-T192,1)),"")</f>
        <v>0</v>
      </c>
      <c r="U105" s="263">
        <f>IF(AND(ISNUMBER(U102),ISNUMBER(U192)),IF(ABS(U102-U192)&lt;=0.15,0,ROUND(U102-U192,1)),"")</f>
        <v>0</v>
      </c>
      <c r="V105" s="263">
        <f>IF(AND(ISNUMBER(V102),ISNUMBER(V192)),IF(ABS(V102-V192)&lt;=0.15,0,ROUND(V102-V192,1)),"")</f>
        <v>0</v>
      </c>
      <c r="W105" s="263">
        <f>IF(AND(ISNUMBER(W102),ISNUMBER(W192)),IF(ABS(W102-W192)&lt;=0.15,0,ROUND(W102-W192,1)),"")</f>
        <v>0</v>
      </c>
      <c r="X105" s="263">
        <f>IF(AND(ISNUMBER(X102),ISNUMBER(X192)),IF(ABS(X102-X192)&lt;=0.15,0,ROUND(X102-X192,1)),"")</f>
        <v>0</v>
      </c>
      <c r="Y105" s="263">
        <f>IF(AND(ISNUMBER(Y102),ISNUMBER(Y192)),IF(ABS(Y102-Y192)&lt;=0.15,0,ROUND(Y102-Y192,1)),"")</f>
        <v>0</v>
      </c>
      <c r="Z105" s="263">
        <f>IF(AND(ISNUMBER(Z102),ISNUMBER(Z192)),IF(ABS(Z102-Z192)&lt;=0.15,0,ROUND(Z102-Z192,1)),"")</f>
        <v>0</v>
      </c>
      <c r="AA105" s="263">
        <f>IF(AND(ISNUMBER(AA102),ISNUMBER(AA192)),IF(ABS(AA102-AA192)&lt;=0.15,0,ROUND(AA102-AA192,1)),"")</f>
        <v>0</v>
      </c>
      <c r="AB105" s="263">
        <f>IF(AND(ISNUMBER(AB102),ISNUMBER(AB192)),IF(ABS(AB102-AB192)&lt;=0.15,0,ROUND(AB102-AB192,1)),"")</f>
        <v>0</v>
      </c>
      <c r="AC105" s="263">
        <f>IF(AND(ISNUMBER(AC102),ISNUMBER(AC192)),IF(ABS(AC102-AC192)&lt;=0.15,0,ROUND(AC102-AC192,1)),"")</f>
        <v>0</v>
      </c>
      <c r="AD105" s="263">
        <f>IF(AND(ISNUMBER(AD102),ISNUMBER(AD192)),IF(ABS(AD102-AD192)&lt;=0.15,0,ROUND(AD102-AD192,1)),"")</f>
        <v>0</v>
      </c>
      <c r="AE105" s="263">
        <f>IF(AND(ISNUMBER(AE102),ISNUMBER(AE192)),IF(ABS(AE102-AE192)&lt;=0.15,0,ROUND(AE102-AE192,1)),"")</f>
        <v>0</v>
      </c>
      <c r="AF105" s="263">
        <f>IF(AND(ISNUMBER(AF102),ISNUMBER(AF192)),IF(ABS(AF102-AF192)&lt;=0.15,0,ROUND(AF102-AF192,1)),"")</f>
        <v>0</v>
      </c>
      <c r="AG105" s="263">
        <f>IF(AND(ISNUMBER(AG102),ISNUMBER(AG192)),IF(ABS(AG102-AG192)&lt;=0.15,0,ROUND(AG102-AG192,1)),"")</f>
        <v>0</v>
      </c>
      <c r="AH105" s="263">
        <f>IF(AND(ISNUMBER(AH102),ISNUMBER(AH192)),IF(ABS(AH102-AH192)&lt;=0.15,0,ROUND(AH102-AH192,1)),"")</f>
        <v>0</v>
      </c>
      <c r="AI105" s="263">
        <f>IF(AND(ISNUMBER(AI102),ISNUMBER(AI192)),IF(ABS(AI102-AI192)&lt;=0.15,0,ROUND(AI102-AI192,1)),"")</f>
        <v>0</v>
      </c>
      <c r="AJ105" s="263">
        <f>IF(AND(ISNUMBER(AJ102),ISNUMBER(AJ192)),IF(ABS(AJ102-AJ192)&lt;=0.15,0,ROUND(AJ102-AJ192,1)),"")</f>
        <v>0</v>
      </c>
      <c r="AK105" s="263">
        <f>IF(AND(ISNUMBER(AK102),ISNUMBER(AK192)),IF(ABS(AK102-AK192)&lt;=0.15,0,ROUND(AK102-AK192,1)),"")</f>
        <v>0</v>
      </c>
      <c r="AL105" s="263">
        <f>IF(AND(ISNUMBER(AL102),ISNUMBER(AL192)),IF(ABS(AL102-AL192)&lt;=0.15,0,ROUND(AL102-AL192,1)),"")</f>
        <v>0</v>
      </c>
      <c r="AM105" s="263">
        <f>IF(AND(ISNUMBER(AM102),ISNUMBER(AM192)),IF(ABS(AM102-AM192)&lt;=0.15,0,ROUND(AM102-AM192,1)),"")</f>
        <v>0</v>
      </c>
      <c r="AN105" s="263">
        <f>IF(AND(ISNUMBER(AN102),ISNUMBER(AN192)),IF(ABS(AN102-AN192)&lt;=0.15,0,ROUND(AN102-AN192,1)),"")</f>
        <v>0</v>
      </c>
      <c r="AO105" s="274">
        <f>IF(AND(ISNUMBER(AO102),ISNUMBER(AO192)),IF(ABS(AO102-AO192)&lt;=0.15,0,ROUND(AO102-AO192,1)),"")</f>
        <v>0</v>
      </c>
      <c r="AP105" s="274">
        <f>IF(AND(ISNUMBER(AP102),ISNUMBER(AP192)),IF(ABS(AP102-AP192)&lt;=0.15,0,ROUND(AP102-AP192,1)),"")</f>
        <v>0</v>
      </c>
      <c r="AQ105" s="274">
        <f>IF(AND(ISNUMBER(AQ102),ISNUMBER(AQ192)),IF(ABS(AQ102-AQ192)&lt;=0.15,0,ROUND(AQ102-AQ192,1)),"")</f>
        <v>0</v>
      </c>
      <c r="AR105" s="274">
        <f>IF(AND(ISNUMBER(AR102),ISNUMBER(AR192)),IF(ABS(AR102-AR192)&lt;=0.15,0,ROUND(AR102-AR192,1)),"")</f>
        <v>0</v>
      </c>
      <c r="AS105" s="274">
        <f>IF(AND(ISNUMBER(AS102),ISNUMBER(AS192)),IF(ABS(AS102-AS192)&lt;=0.15,0,ROUND(AS102-AS192,1)),"")</f>
        <v>0</v>
      </c>
      <c r="AT105" s="274">
        <f>IF(AND(ISNUMBER(AT102),ISNUMBER(AT192)),IF(ABS(AT102-AT192)&lt;=0.15,0,ROUND(AT102-AT192,1)),"")</f>
        <v>0</v>
      </c>
      <c r="AU105" s="274">
        <f>IF(AND(ISNUMBER(AU102),ISNUMBER(AU192)),IF(ABS(AU102-AU192)&lt;=0.15,0,ROUND(AU102-AU192,1)),"")</f>
        <v>0</v>
      </c>
      <c r="AV105" s="153" t="n"/>
    </row>
    <row r="106" ht="15" customHeight="1" s="251">
      <c r="B106" s="156" t="inlineStr">
        <is>
          <t xml:space="preserve">  Memo: FY26 net sales guidance (scenario end-point = FY2025 × (1 + guided sales growth))</t>
        </is>
      </c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  <c r="AD106" s="34" t="n"/>
      <c r="AE106" s="34" t="n"/>
      <c r="AF106" s="34" t="n"/>
      <c r="AG106" s="34" t="n"/>
      <c r="AH106" s="34" t="n"/>
      <c r="AI106" s="34" t="n"/>
      <c r="AJ106" s="34" t="n"/>
      <c r="AK106" s="34" t="n"/>
      <c r="AL106" s="34" t="n"/>
      <c r="AM106" s="34" t="n"/>
      <c r="AN106" s="34" t="n"/>
      <c r="AO106" s="153" t="n"/>
      <c r="AP106" s="274">
        <f>AK150*(1+CHOOSE(MATCH($AV$2,{"Bull","Base","Bear"},0),$BE$12,$BF$12,$BG$12))</f>
        <v>4333.98276</v>
      </c>
      <c r="AQ106" s="153" t="n"/>
      <c r="AR106" s="153" t="n"/>
      <c r="AS106" s="153" t="n"/>
      <c r="AT106" s="153" t="n"/>
      <c r="AU106" s="153" t="n"/>
      <c r="AV106" s="153" t="inlineStr">
        <is>
          <t>Company FY26 net sales growth guidance +20–23% (raised 29-Apr-2026, unchanged 29-Jul-2026). Drives the sales calibration.</t>
        </is>
      </c>
    </row>
    <row r="107" ht="15" customHeight="1" s="251">
      <c r="B107" s="25" t="inlineStr">
        <is>
          <t xml:space="preserve">  Net sales before calibration (Q4/26E helper)</t>
        </is>
      </c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  <c r="AA107" s="34" t="n"/>
      <c r="AB107" s="34" t="n"/>
      <c r="AC107" s="34" t="n"/>
      <c r="AD107" s="34" t="n"/>
      <c r="AE107" s="34" t="n"/>
      <c r="AF107" s="34" t="n"/>
      <c r="AG107" s="34" t="n"/>
      <c r="AH107" s="34" t="n"/>
      <c r="AI107" s="34" t="n"/>
      <c r="AJ107" s="34" t="n"/>
      <c r="AK107" s="34" t="n"/>
      <c r="AL107" s="34" t="n"/>
      <c r="AM107" s="34" t="n"/>
      <c r="AN107" s="34" t="n"/>
      <c r="AO107" s="254">
        <f>AJ11*(1+AO13)+AJ14*(1+AO16)+AJ17*(1+AO19)+AJ20*(1+AO22)+AJ36*(1+AO38)+AJ39*(1+AO41)+AJ42*(1+AO44)</f>
        <v>1236.34328877736</v>
      </c>
      <c r="AP107" s="35" t="n"/>
      <c r="AQ107" s="35" t="n"/>
      <c r="AR107" s="35" t="n"/>
      <c r="AS107" s="35" t="n"/>
      <c r="AT107" s="35" t="n"/>
      <c r="AU107" s="35" t="n"/>
      <c r="AV107" s="19" t="n"/>
    </row>
    <row r="108" ht="15" customHeight="1" s="251">
      <c r="B108" s="25" t="inlineStr">
        <is>
          <t xml:space="preserve">  Net sales sensitivity to +1.00 of growth (Q4/26E helper)</t>
        </is>
      </c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n"/>
      <c r="AD108" s="34" t="n"/>
      <c r="AE108" s="34" t="n"/>
      <c r="AF108" s="34" t="n"/>
      <c r="AG108" s="34" t="n"/>
      <c r="AH108" s="34" t="n"/>
      <c r="AI108" s="34" t="n"/>
      <c r="AJ108" s="34" t="n"/>
      <c r="AK108" s="34" t="n"/>
      <c r="AL108" s="34" t="n"/>
      <c r="AM108" s="34" t="n"/>
      <c r="AN108" s="34" t="n"/>
      <c r="AO108" s="254">
        <f>AJ11+AJ14+AJ17+AJ20+AJ36+AJ39+AJ42</f>
        <v>995.264</v>
      </c>
      <c r="AP108" s="35" t="n"/>
      <c r="AQ108" s="35" t="n"/>
      <c r="AR108" s="35" t="n"/>
      <c r="AS108" s="35" t="n"/>
      <c r="AT108" s="35" t="n"/>
      <c r="AU108" s="35" t="n"/>
      <c r="AV108" s="19" t="n"/>
    </row>
    <row r="109" ht="15" customHeight="1" s="251">
      <c r="B109" s="25" t="inlineStr">
        <is>
          <t xml:space="preserve">  Guidance calibration: Δ y/y growth applied to all primary markets (Q4/26E)</t>
        </is>
      </c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256">
        <f>(AP106-SUM(AL99:AN99)-AO107)/AO108</f>
        <v>-0.0995590403926596</v>
      </c>
      <c r="AP109" s="24" t="n"/>
      <c r="AQ109" s="46" t="n"/>
      <c r="AR109" s="46" t="n"/>
      <c r="AS109" s="46" t="n"/>
      <c r="AT109" s="46" t="n"/>
      <c r="AU109" s="46" t="n"/>
      <c r="AV109" s="19" t="inlineStr">
        <is>
          <t>Solves the uniform growth shift (vs 9M FY26 y/y rates) so that FY26 net sales = the guidance end-point for the active scenario.</t>
        </is>
      </c>
    </row>
    <row r="110" ht="15" customHeight="1" s="251">
      <c r="B110" s="57" t="inlineStr">
        <is>
          <t xml:space="preserve">  Check: FY26 net sales vs guidance end-point (should be 0)</t>
        </is>
      </c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153" t="n"/>
      <c r="AP110" s="274">
        <f>ROUND(AP99-AP106,1)</f>
        <v>0</v>
      </c>
      <c r="AQ110" s="153" t="n"/>
      <c r="AR110" s="153" t="n"/>
      <c r="AS110" s="153" t="n"/>
      <c r="AT110" s="153" t="n"/>
      <c r="AU110" s="153" t="n"/>
      <c r="AV110" s="153" t="n"/>
    </row>
    <row r="111" ht="15" customHeight="1" s="251">
      <c r="B111" s="156" t="inlineStr">
        <is>
          <t xml:space="preserve">  Memo: FY26 adjusted EPS guidance (scenario end-point, $)</t>
        </is>
      </c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153" t="n"/>
      <c r="AP111" s="275">
        <f>CHOOSE(MATCH($AV$2,{"Bull","Base","Bear"},0),$BE$13,$BF$13,$BG$13)</f>
        <v>9.4</v>
      </c>
      <c r="AQ111" s="153" t="n"/>
      <c r="AR111" s="153" t="n"/>
      <c r="AS111" s="153" t="n"/>
      <c r="AT111" s="153" t="n"/>
      <c r="AU111" s="153" t="n"/>
      <c r="AV111" s="153" t="inlineStr">
        <is>
          <t>Company FY26 adjusted EPS guidance $9.30–9.50 (raised 29-Jul-2026). Drives the segment-margin calibration.</t>
        </is>
      </c>
    </row>
    <row r="112" ht="15" customHeight="1" s="251">
      <c r="B112" s="156" t="inlineStr">
        <is>
          <t xml:space="preserve">  Adjusted net earnings required (FY26E diluted shares × EPS guidance)</t>
        </is>
      </c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35" t="n"/>
      <c r="AP112" s="254">
        <f>AP111*AP230</f>
        <v>574.514690404794</v>
      </c>
      <c r="AQ112" s="35" t="n"/>
      <c r="AR112" s="35" t="n"/>
      <c r="AS112" s="35" t="n"/>
      <c r="AT112" s="35" t="n"/>
      <c r="AU112" s="35" t="n"/>
      <c r="AV112" s="153" t="n"/>
    </row>
    <row r="113" ht="15" customHeight="1" s="251">
      <c r="B113" s="156" t="inlineStr">
        <is>
          <t xml:space="preserve">  Q4/26E adjusted EBIT required ((NI − 9M actual) ÷ (1 − Q4 tax rate) + Q4 interest expense − interest income)</t>
        </is>
      </c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35" t="n"/>
      <c r="AP113" s="254">
        <f>(AP112-SUM(AL228:AN228))/(1-$BF$25)+AO162-AO163</f>
        <v>209.691697901044</v>
      </c>
      <c r="AQ113" s="35" t="n"/>
      <c r="AR113" s="35" t="n"/>
      <c r="AS113" s="35" t="n"/>
      <c r="AT113" s="35" t="n"/>
      <c r="AU113" s="35" t="n"/>
      <c r="AV113" s="153" t="n"/>
    </row>
    <row r="114" ht="15" customHeight="1" s="251">
      <c r="B114" s="25" t="inlineStr">
        <is>
          <t xml:space="preserve">  Adjusted EBIT before margin calibration (Q4/26E helper)</t>
        </is>
      </c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  <c r="AA114" s="34" t="n"/>
      <c r="AB114" s="34" t="n"/>
      <c r="AC114" s="34" t="n"/>
      <c r="AD114" s="34" t="n"/>
      <c r="AE114" s="34" t="n"/>
      <c r="AF114" s="34" t="n"/>
      <c r="AG114" s="34" t="n"/>
      <c r="AH114" s="34" t="n"/>
      <c r="AI114" s="34" t="n"/>
      <c r="AJ114" s="34" t="n"/>
      <c r="AK114" s="34" t="n"/>
      <c r="AL114" s="34" t="n"/>
      <c r="AM114" s="34" t="n"/>
      <c r="AN114" s="34" t="n"/>
      <c r="AO114" s="254">
        <f>AO23*AO31+AO45*AO52+AO63</f>
        <v>235.088832253291</v>
      </c>
      <c r="AP114" s="35" t="n"/>
      <c r="AQ114" s="35" t="n"/>
      <c r="AR114" s="35" t="n"/>
      <c r="AS114" s="35" t="n"/>
      <c r="AT114" s="35" t="n"/>
      <c r="AU114" s="35" t="n"/>
      <c r="AV114" s="19" t="n"/>
    </row>
    <row r="115" ht="15" customHeight="1" s="251">
      <c r="B115" s="25" t="inlineStr">
        <is>
          <t xml:space="preserve">  Segment sales (Q4/26E helper)</t>
        </is>
      </c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 t="n"/>
      <c r="AF115" s="34" t="n"/>
      <c r="AG115" s="34" t="n"/>
      <c r="AH115" s="34" t="n"/>
      <c r="AI115" s="34" t="n"/>
      <c r="AJ115" s="34" t="n"/>
      <c r="AK115" s="34" t="n"/>
      <c r="AL115" s="34" t="n"/>
      <c r="AM115" s="34" t="n"/>
      <c r="AN115" s="34" t="n"/>
      <c r="AO115" s="254">
        <f>AO23+AO45</f>
        <v>1137.25576</v>
      </c>
      <c r="AP115" s="35" t="n"/>
      <c r="AQ115" s="35" t="n"/>
      <c r="AR115" s="35" t="n"/>
      <c r="AS115" s="35" t="n"/>
      <c r="AT115" s="35" t="n"/>
      <c r="AU115" s="35" t="n"/>
      <c r="AV115" s="19" t="n"/>
    </row>
    <row r="116" ht="15" customHeight="1" s="251">
      <c r="B116" s="25" t="inlineStr">
        <is>
          <t xml:space="preserve">  Guidance calibration: Δ segment margin (Q4/26E)</t>
        </is>
      </c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256">
        <f>(AP113-AO114)/AO115</f>
        <v>-0.0223319461158379</v>
      </c>
      <c r="AP116" s="24" t="n"/>
      <c r="AQ116" s="46" t="n"/>
      <c r="AR116" s="46" t="n"/>
      <c r="AS116" s="46" t="n"/>
      <c r="AT116" s="46" t="n"/>
      <c r="AU116" s="46" t="n"/>
      <c r="AV116" s="19" t="inlineStr">
        <is>
          <t>Solves the uniform segment-margin shift so that FY26 adjusted EPS = the guidance end-point for the active scenario.</t>
        </is>
      </c>
    </row>
    <row r="117" ht="15" customHeight="1" s="251">
      <c r="B117" s="57" t="inlineStr">
        <is>
          <t xml:space="preserve">  Check: FY26 adjusted EPS vs guidance end-point (should be 0.00)</t>
        </is>
      </c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153" t="n"/>
      <c r="AP117" s="275">
        <f>ROUND(AP231-AP111,2)</f>
        <v>0</v>
      </c>
      <c r="AQ117" s="153" t="n"/>
      <c r="AR117" s="153" t="n"/>
      <c r="AS117" s="153" t="n"/>
      <c r="AT117" s="153" t="n"/>
      <c r="AU117" s="153" t="n"/>
      <c r="AV117" s="153" t="n"/>
    </row>
    <row r="118" ht="15" customHeight="1" s="251">
      <c r="B118" s="156" t="inlineStr">
        <is>
          <t xml:space="preserve">  Memo: FY26 Aerospace sales growth guidance (scenario end-point) — information, not forced</t>
        </is>
      </c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n"/>
      <c r="AD118" s="34" t="n"/>
      <c r="AE118" s="34" t="n"/>
      <c r="AF118" s="34" t="n"/>
      <c r="AG118" s="34" t="n"/>
      <c r="AH118" s="34" t="n"/>
      <c r="AI118" s="34" t="n"/>
      <c r="AJ118" s="34" t="n"/>
      <c r="AK118" s="34" t="n"/>
      <c r="AL118" s="34" t="n"/>
      <c r="AM118" s="34" t="n"/>
      <c r="AN118" s="34" t="n"/>
      <c r="AO118" s="153" t="n"/>
      <c r="AP118" s="276">
        <f>CHOOSE(MATCH($AV$2,{"Bull","Base","Bear"},0),$BE$14,$BF$14,$BG$14)</f>
        <v>0.22</v>
      </c>
      <c r="AQ118" s="153" t="n"/>
      <c r="AR118" s="153" t="n"/>
      <c r="AS118" s="153" t="n"/>
      <c r="AT118" s="153" t="n"/>
      <c r="AU118" s="153" t="n"/>
      <c r="AV118" s="153" t="n"/>
    </row>
    <row r="119" ht="15" customHeight="1" s="251">
      <c r="B119" s="156" t="inlineStr">
        <is>
          <t xml:space="preserve">    Model Aerospace sales growth − guidance (pp)</t>
        </is>
      </c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35" t="n"/>
      <c r="AP119" s="256">
        <f>AP24-AP118</f>
        <v>-0.00841089187178581</v>
      </c>
      <c r="AQ119" s="35" t="n"/>
      <c r="AR119" s="35" t="n"/>
      <c r="AS119" s="35" t="n"/>
      <c r="AT119" s="35" t="n"/>
      <c r="AU119" s="35" t="n"/>
      <c r="AV119" s="153" t="n"/>
    </row>
    <row r="120" ht="15" customHeight="1" s="251">
      <c r="B120" s="156" t="inlineStr">
        <is>
          <t xml:space="preserve">  Memo: FY26 Industrial sales growth guidance (scenario end-point) — information</t>
        </is>
      </c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  <c r="AD120" s="34" t="n"/>
      <c r="AE120" s="34" t="n"/>
      <c r="AF120" s="34" t="n"/>
      <c r="AG120" s="34" t="n"/>
      <c r="AH120" s="34" t="n"/>
      <c r="AI120" s="34" t="n"/>
      <c r="AJ120" s="34" t="n"/>
      <c r="AK120" s="34" t="n"/>
      <c r="AL120" s="34" t="n"/>
      <c r="AM120" s="34" t="n"/>
      <c r="AN120" s="34" t="n"/>
      <c r="AO120" s="153" t="n"/>
      <c r="AP120" s="276">
        <f>CHOOSE(MATCH($AV$2,{"Bull","Base","Bear"},0),$BE$15,$BF$15,$BG$15)</f>
        <v>0.2</v>
      </c>
      <c r="AQ120" s="153" t="n"/>
      <c r="AR120" s="153" t="n"/>
      <c r="AS120" s="153" t="n"/>
      <c r="AT120" s="153" t="n"/>
      <c r="AU120" s="153" t="n"/>
      <c r="AV120" s="153" t="n"/>
    </row>
    <row r="121" ht="15" customHeight="1" s="251">
      <c r="B121" s="156" t="inlineStr">
        <is>
          <t xml:space="preserve">    Model Industrial sales growth − guidance (pp)</t>
        </is>
      </c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35" t="n"/>
      <c r="AP121" s="256">
        <f>AP46-AP120</f>
        <v>0.0212895601912985</v>
      </c>
      <c r="AQ121" s="35" t="n"/>
      <c r="AR121" s="35" t="n"/>
      <c r="AS121" s="35" t="n"/>
      <c r="AT121" s="35" t="n"/>
      <c r="AU121" s="35" t="n"/>
      <c r="AV121" s="153" t="n"/>
    </row>
    <row r="122" ht="15" customHeight="1" s="251">
      <c r="B122" s="156" t="inlineStr">
        <is>
          <t xml:space="preserve">  Memo: FY26 segment margin guidance — Aerospace ~23.5% / Industrial ~19% (information)</t>
        </is>
      </c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  <c r="AD122" s="34" t="n"/>
      <c r="AE122" s="34" t="n"/>
      <c r="AF122" s="34" t="n"/>
      <c r="AG122" s="34" t="n"/>
      <c r="AH122" s="34" t="n"/>
      <c r="AI122" s="34" t="n"/>
      <c r="AJ122" s="34" t="n"/>
      <c r="AK122" s="34" t="n"/>
      <c r="AL122" s="34" t="n"/>
      <c r="AM122" s="34" t="n"/>
      <c r="AN122" s="34" t="n"/>
      <c r="AO122" s="153" t="n"/>
      <c r="AP122" s="276">
        <f>$BF$28</f>
        <v>0.235</v>
      </c>
      <c r="AQ122" s="153" t="n"/>
      <c r="AR122" s="153" t="n"/>
      <c r="AS122" s="153" t="n"/>
      <c r="AT122" s="153" t="n"/>
      <c r="AU122" s="153" t="n"/>
      <c r="AV122" s="153" t="n"/>
    </row>
    <row r="123" ht="15" customHeight="1" s="251">
      <c r="B123" s="156" t="inlineStr">
        <is>
          <t xml:space="preserve">    Model Aerospace margin − guidance (pp)</t>
        </is>
      </c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35" t="n"/>
      <c r="AP123" s="256">
        <f>AP30-AP122</f>
        <v>0.00129926927200019</v>
      </c>
      <c r="AQ123" s="35" t="n"/>
      <c r="AR123" s="35" t="n"/>
      <c r="AS123" s="35" t="n"/>
      <c r="AT123" s="35" t="n"/>
      <c r="AU123" s="35" t="n"/>
      <c r="AV123" s="153" t="n"/>
    </row>
    <row r="124" ht="15" customHeight="1" s="251">
      <c r="B124" s="156" t="inlineStr">
        <is>
          <t xml:space="preserve">    Model Industrial margin − guidance (pp)</t>
        </is>
      </c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35" t="n"/>
      <c r="AP124" s="256">
        <f>AP51-$BF$29</f>
        <v>-0.00306761199873332</v>
      </c>
      <c r="AQ124" s="35" t="n"/>
      <c r="AR124" s="35" t="n"/>
      <c r="AS124" s="35" t="n"/>
      <c r="AT124" s="35" t="n"/>
      <c r="AU124" s="35" t="n"/>
      <c r="AV124" s="153" t="n"/>
    </row>
    <row r="125" ht="15" customHeight="1" s="251">
      <c r="B125" s="156" t="inlineStr">
        <is>
          <t xml:space="preserve">  Memo: FY26 free cash flow guidance (scenario end-point)</t>
        </is>
      </c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  <c r="AA125" s="34" t="n"/>
      <c r="AB125" s="34" t="n"/>
      <c r="AC125" s="34" t="n"/>
      <c r="AD125" s="34" t="n"/>
      <c r="AE125" s="34" t="n"/>
      <c r="AF125" s="34" t="n"/>
      <c r="AG125" s="34" t="n"/>
      <c r="AH125" s="34" t="n"/>
      <c r="AI125" s="34" t="n"/>
      <c r="AJ125" s="34" t="n"/>
      <c r="AK125" s="34" t="n"/>
      <c r="AL125" s="34" t="n"/>
      <c r="AM125" s="34" t="n"/>
      <c r="AN125" s="34" t="n"/>
      <c r="AO125" s="153" t="n"/>
      <c r="AP125" s="274">
        <f>CHOOSE(MATCH($AV$2,{"Bull","Base","Bear"},0),$BE$16,$BF$16,$BG$16)</f>
        <v>325</v>
      </c>
      <c r="AQ125" s="153" t="n"/>
      <c r="AR125" s="153" t="n"/>
      <c r="AS125" s="153" t="n"/>
      <c r="AT125" s="153" t="n"/>
      <c r="AU125" s="153" t="n"/>
      <c r="AV125" s="153" t="n"/>
    </row>
    <row r="126" ht="15" customHeight="1" s="251">
      <c r="B126" s="156" t="inlineStr">
        <is>
          <t xml:space="preserve">  Model FY26 free cash flow − guidance (information)</t>
        </is>
      </c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35" t="n"/>
      <c r="AP126" s="254">
        <f>AP285-AP125</f>
        <v>-32.2438620001146</v>
      </c>
      <c r="AQ126" s="35" t="n"/>
      <c r="AR126" s="35" t="n"/>
      <c r="AS126" s="35" t="n"/>
      <c r="AT126" s="35" t="n"/>
      <c r="AU126" s="35" t="n"/>
      <c r="AV126" s="153" t="n"/>
    </row>
    <row r="127" ht="15" customHeight="1" s="251">
      <c r="BD127" s="11" t="n"/>
      <c r="BE127" s="12" t="n"/>
      <c r="BF127" s="12" t="n"/>
      <c r="BG127" s="12" t="n"/>
      <c r="BH127" s="13" t="n"/>
    </row>
    <row r="128" ht="15" customHeight="1" s="251">
      <c r="B128" s="14" t="inlineStr">
        <is>
          <t>Cost drivers, D&amp;A &amp; adjusting items</t>
        </is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5" t="inlineStr">
        <is>
          <t>COST DRIVERS — inputs that drive forecast cost lines (Q4/26E: point estimates; 2027E+: % of sales or schedules)</t>
        </is>
      </c>
    </row>
    <row r="129" ht="15" customHeight="1" s="251">
      <c r="B129" s="25" t="inlineStr">
        <is>
          <t xml:space="preserve">  Depreciation &amp; amortization (total; EBITDA reconciliation)</t>
        </is>
      </c>
      <c r="C129" s="263">
        <f>IF(AND(ISNUMBER(C132),ISNUMBER(C130)),C132+C130,"")</f>
        <v>75.393</v>
      </c>
      <c r="D129" s="263">
        <f>IF(AND(ISNUMBER(D132),ISNUMBER(D130)),D132+D130,"")</f>
        <v>68.617</v>
      </c>
      <c r="E129" s="263">
        <f>IF(AND(ISNUMBER(E132),ISNUMBER(E130)),E132+E130,"")</f>
        <v>74.233</v>
      </c>
      <c r="F129" s="263">
        <f>IF(AND(ISNUMBER(F132),ISNUMBER(F130)),F132+F130,"")</f>
        <v>77.353</v>
      </c>
      <c r="G129" s="263">
        <f>IF(AND(ISNUMBER(G132),ISNUMBER(G130)),G132+G130,"")</f>
        <v>75.235</v>
      </c>
      <c r="H129" s="263">
        <f>IF(AND(ISNUMBER(H132),ISNUMBER(H130)),H132+H130,"")</f>
        <v>69.036</v>
      </c>
      <c r="I129" s="263">
        <f>IF(AND(ISNUMBER(I132),ISNUMBER(I130)),I132+I130,"")</f>
        <v>80.917</v>
      </c>
      <c r="J129" s="263">
        <f>IF(AND(ISNUMBER(J132),ISNUMBER(J130)),J132+J130,"")</f>
        <v>116.131</v>
      </c>
      <c r="K129" s="263">
        <f>IF(AND(ISNUMBER(K132),ISNUMBER(K130)),K132+K130,"")</f>
        <v>142.004</v>
      </c>
      <c r="L129" s="263">
        <f>IF(AND(ISNUMBER(L132),ISNUMBER(L130)),L132+L130,"")</f>
        <v>131.158</v>
      </c>
      <c r="M129" s="263">
        <f>IF(AND(ISNUMBER(M132),ISNUMBER(M130)),M132+M130,"")</f>
        <v>33.077</v>
      </c>
      <c r="N129" s="263">
        <f>IF(AND(ISNUMBER(N132),ISNUMBER(N130)),N132+N130,"")</f>
        <v>32.479</v>
      </c>
      <c r="O129" s="263">
        <f>IF(AND(ISNUMBER(O132),ISNUMBER(O130)),O132+O130,"")</f>
        <v>32.243</v>
      </c>
      <c r="P129" s="263">
        <f>IF(AND(ISNUMBER(P132),ISNUMBER(P130)),P132+P130,"")</f>
        <v>31.725</v>
      </c>
      <c r="Q129" s="263">
        <f>IF(AND(ISNUMBER(Q132),ISNUMBER(Q130)),Q132+Q130,"")</f>
        <v>129.524</v>
      </c>
      <c r="R129" s="263">
        <f>IF(AND(ISNUMBER(R132),ISNUMBER(R130)),R132+R130,"")</f>
        <v>30.721</v>
      </c>
      <c r="S129" s="263">
        <f>IF(AND(ISNUMBER(S132),ISNUMBER(S130)),S132+S130,"")</f>
        <v>30.61</v>
      </c>
      <c r="T129" s="263">
        <f>IF(AND(ISNUMBER(T132),ISNUMBER(T130)),T132+T130,"")</f>
        <v>29.927</v>
      </c>
      <c r="U129" s="263">
        <f>IF(AND(ISNUMBER(U132),ISNUMBER(U130)),U132+U130,"")</f>
        <v>29.37</v>
      </c>
      <c r="V129" s="263">
        <f>IF(AND(ISNUMBER(V132),ISNUMBER(V130)),V132+V130,"")</f>
        <v>120.628</v>
      </c>
      <c r="W129" s="263">
        <f>IF(AND(ISNUMBER(W132),ISNUMBER(W130)),W132+W130,"")</f>
        <v>29.304</v>
      </c>
      <c r="X129" s="263">
        <f>IF(AND(ISNUMBER(X132),ISNUMBER(X130)),X132+X130,"")</f>
        <v>29.953</v>
      </c>
      <c r="Y129" s="263">
        <f>IF(AND(ISNUMBER(Y132),ISNUMBER(Y130)),Y132+Y130,"")</f>
        <v>30.044</v>
      </c>
      <c r="Z129" s="263">
        <f>IF(AND(ISNUMBER(Z132),ISNUMBER(Z130)),Z132+Z130,"")</f>
        <v>30.442</v>
      </c>
      <c r="AA129" s="263">
        <f>IF(AND(ISNUMBER(AA132),ISNUMBER(AA130)),AA132+AA130,"")</f>
        <v>119.743</v>
      </c>
      <c r="AB129" s="263">
        <f>IF(AND(ISNUMBER(AB132),ISNUMBER(AB130)),AB132+AB130,"")</f>
        <v>28.825</v>
      </c>
      <c r="AC129" s="263">
        <f>IF(AND(ISNUMBER(AC132),ISNUMBER(AC130)),AC132+AC130,"")</f>
        <v>29.225</v>
      </c>
      <c r="AD129" s="263">
        <f>IF(AND(ISNUMBER(AD132),ISNUMBER(AD130)),AD132+AD130,"")</f>
        <v>28.792</v>
      </c>
      <c r="AE129" s="263">
        <f>IF(AND(ISNUMBER(AE132),ISNUMBER(AE130)),AE132+AE130,"")</f>
        <v>29.328</v>
      </c>
      <c r="AF129" s="263">
        <f>IF(AND(ISNUMBER(AF132),ISNUMBER(AF130)),AF132+AF130,"")</f>
        <v>116.17</v>
      </c>
      <c r="AG129" s="263">
        <f>IF(AND(ISNUMBER(AG132),ISNUMBER(AG130)),AG132+AG130,"")</f>
        <v>27.876</v>
      </c>
      <c r="AH129" s="263">
        <f>IF(AND(ISNUMBER(AH132),ISNUMBER(AH130)),AH132+AH130,"")</f>
        <v>27.566</v>
      </c>
      <c r="AI129" s="263">
        <f>IF(AND(ISNUMBER(AI132),ISNUMBER(AI130)),AI132+AI130,"")</f>
        <v>28.654</v>
      </c>
      <c r="AJ129" s="263">
        <f>IF(AND(ISNUMBER(AJ132),ISNUMBER(AJ130)),AJ132+AJ130,"")</f>
        <v>29.182</v>
      </c>
      <c r="AK129" s="263">
        <f>IF(AND(ISNUMBER(AK132),ISNUMBER(AK130)),AK132+AK130,"")</f>
        <v>113.278</v>
      </c>
      <c r="AL129" s="263">
        <f>IF(AND(ISNUMBER(AL132),ISNUMBER(AL130)),AL132+AL130,"")</f>
        <v>29.038</v>
      </c>
      <c r="AM129" s="263">
        <f>IF(AND(ISNUMBER(AM132),ISNUMBER(AM130)),AM132+AM130,"")</f>
        <v>29.906</v>
      </c>
      <c r="AN129" s="263">
        <f>IF(AND(ISNUMBER(AN132),ISNUMBER(AN130)),AN132+AN130,"")</f>
        <v>32.069</v>
      </c>
      <c r="AO129" s="254">
        <f>IF(AND(ISNUMBER(AO132),ISNUMBER(AO130)),AO132+AO130,"")</f>
        <v>31.448</v>
      </c>
      <c r="AP129" s="254">
        <f>IF(AND(ISNUMBER(AP132),ISNUMBER(AP130)),AP132+AP130,"")</f>
        <v>122.461</v>
      </c>
      <c r="AQ129" s="254">
        <f>IF(AND(ISNUMBER(AQ132),ISNUMBER(AQ130)),AQ132+AQ130,"")</f>
        <v>142.052968304922</v>
      </c>
      <c r="AR129" s="254">
        <f>IF(AND(ISNUMBER(AR132),ISNUMBER(AR130)),AR132+AR130,"")</f>
        <v>163.649354465317</v>
      </c>
      <c r="AS129" s="254">
        <f>IF(AND(ISNUMBER(AS132),ISNUMBER(AS130)),AS132+AS130,"")</f>
        <v>180.002609005602</v>
      </c>
      <c r="AT129" s="254">
        <f>IF(AND(ISNUMBER(AT132),ISNUMBER(AT130)),AT132+AT130,"")</f>
        <v>191.2127537162</v>
      </c>
      <c r="AU129" s="254">
        <f>IF(AND(ISNUMBER(AU132),ISNUMBER(AU130)),AU132+AU130,"")</f>
        <v>201.211355027128</v>
      </c>
      <c r="AV129" s="19" t="inlineStr">
        <is>
          <t>Release EBIT / EBITDA reconciliations: depreciation expense + amortization of intangible assets.</t>
        </is>
      </c>
      <c r="AX129" s="20">
        <f>IFERROR((AU129/AP129)^(1/5)-1,"n/m")</f>
        <v>0.104411542328517</v>
      </c>
      <c r="AY129" s="20">
        <f>IFERROR((AK129/L129)^(1/5)-1,"n/m")</f>
        <v>-0.0288861290925752</v>
      </c>
      <c r="AZ129" s="20">
        <f>IFERROR((AK129/G129)^(1/10)-1,"n/m")</f>
        <v>0.0417717220689933</v>
      </c>
      <c r="BA129" s="20">
        <f>IFERROR((AK129/C129)^(1/14)-1,"n/m")</f>
        <v>0.0295077269496693</v>
      </c>
    </row>
    <row r="130" ht="15" customHeight="1" s="251">
      <c r="B130" s="25" t="inlineStr">
        <is>
          <t xml:space="preserve">  Amortization of intangible assets (inside segment earnings; not adjusted out)</t>
        </is>
      </c>
      <c r="C130" s="253" t="n">
        <v>34.993</v>
      </c>
      <c r="D130" s="253" t="n">
        <v>32.809</v>
      </c>
      <c r="E130" s="253" t="n">
        <v>36.979</v>
      </c>
      <c r="F130" s="253" t="n">
        <v>33.58</v>
      </c>
      <c r="G130" s="253" t="n">
        <v>29.241</v>
      </c>
      <c r="H130" s="253" t="n">
        <v>27.486</v>
      </c>
      <c r="I130" s="253" t="n">
        <v>25.777</v>
      </c>
      <c r="J130" s="253" t="n">
        <v>44.742</v>
      </c>
      <c r="K130" s="253" t="n">
        <v>56.022</v>
      </c>
      <c r="L130" s="253" t="n">
        <v>39.458</v>
      </c>
      <c r="M130" s="253" t="n">
        <v>10.469</v>
      </c>
      <c r="N130" s="253" t="n">
        <v>10.56</v>
      </c>
      <c r="O130" s="253" t="n">
        <v>10.526</v>
      </c>
      <c r="P130" s="253" t="n">
        <v>10.338</v>
      </c>
      <c r="Q130" s="253" t="n">
        <v>41.893</v>
      </c>
      <c r="R130" s="253" t="n">
        <v>9.688000000000001</v>
      </c>
      <c r="S130" s="253" t="n">
        <v>9.587</v>
      </c>
      <c r="T130" s="253" t="n">
        <v>9.308999999999999</v>
      </c>
      <c r="U130" s="253" t="n">
        <v>9.025</v>
      </c>
      <c r="V130" s="253" t="n">
        <v>37.609</v>
      </c>
      <c r="W130" s="253" t="n">
        <v>9.178000000000001</v>
      </c>
      <c r="X130" s="253" t="n">
        <v>9.417999999999999</v>
      </c>
      <c r="Y130" s="253" t="n">
        <v>9.493</v>
      </c>
      <c r="Z130" s="253" t="n">
        <v>9.5</v>
      </c>
      <c r="AA130" s="253" t="n">
        <v>37.589</v>
      </c>
      <c r="AB130" s="253" t="n">
        <v>8.599</v>
      </c>
      <c r="AC130" s="253" t="n">
        <v>8.618</v>
      </c>
      <c r="AD130" s="253" t="n">
        <v>8.131</v>
      </c>
      <c r="AE130" s="253" t="n">
        <v>8.244</v>
      </c>
      <c r="AF130" s="253" t="n">
        <v>33.592</v>
      </c>
      <c r="AG130" s="253" t="n">
        <v>6.914</v>
      </c>
      <c r="AH130" s="253" t="n">
        <v>6.772</v>
      </c>
      <c r="AI130" s="253" t="n">
        <v>7.172</v>
      </c>
      <c r="AJ130" s="253" t="n">
        <v>7.366</v>
      </c>
      <c r="AK130" s="253" t="n">
        <v>28.224</v>
      </c>
      <c r="AL130" s="253" t="n">
        <v>7.342</v>
      </c>
      <c r="AM130" s="253" t="n">
        <v>7.424</v>
      </c>
      <c r="AN130" s="253" t="n">
        <v>9.568</v>
      </c>
      <c r="AO130" s="254">
        <f>$BF$23</f>
        <v>8.448</v>
      </c>
      <c r="AP130" s="254">
        <f>SUM(AL130:AO130)</f>
        <v>32.782</v>
      </c>
      <c r="AQ130" s="254">
        <f>AQ131+N(AQ90)</f>
        <v>33.7913333333333</v>
      </c>
      <c r="AR130" s="254">
        <f>AR131+N(AR90)</f>
        <v>36.109</v>
      </c>
      <c r="AS130" s="254">
        <f>AS131+N(AS90)</f>
        <v>37.8706666666667</v>
      </c>
      <c r="AT130" s="254">
        <f>AT131+N(AT90)</f>
        <v>40.5093333333333</v>
      </c>
      <c r="AU130" s="254">
        <f>AU131+N(AU90)</f>
        <v>42</v>
      </c>
      <c r="AV130" s="19" t="inlineStr">
        <is>
          <t>Q4/26E: 10-Q schedule ($8.4m remaining FY26). 2027E+: schedule of intangibles held at 30-Jun-2026 + future-acquisition amortization.</t>
        </is>
      </c>
      <c r="AX130" s="20">
        <f>IFERROR((AU130/AP130)^(1/5)-1,"n/m")</f>
        <v>0.0508065443754502</v>
      </c>
      <c r="AY130" s="20">
        <f>IFERROR((AK130/L130)^(1/5)-1,"n/m")</f>
        <v>-0.0648167943815959</v>
      </c>
      <c r="AZ130" s="20">
        <f>IFERROR((AK130/G130)^(1/10)-1,"n/m")</f>
        <v>-0.00353365730586619</v>
      </c>
      <c r="BA130" s="20">
        <f>IFERROR((AK130/C130)^(1/14)-1,"n/m")</f>
        <v>-0.0152380902086096</v>
      </c>
    </row>
    <row r="131" ht="15" customHeight="1" s="251">
      <c r="B131" s="25" t="inlineStr">
        <is>
          <t xml:space="preserve">  Amortization schedule — intangibles held at 30-Jun-2026 (10-Q, input)</t>
        </is>
      </c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24" t="n"/>
      <c r="AP131" s="24" t="n"/>
      <c r="AQ131" s="272" t="n">
        <v>32.458</v>
      </c>
      <c r="AR131" s="272" t="n">
        <v>32.109</v>
      </c>
      <c r="AS131" s="272" t="n">
        <v>31.204</v>
      </c>
      <c r="AT131" s="272" t="n">
        <v>31.176</v>
      </c>
      <c r="AU131" s="272" t="n">
        <v>30</v>
      </c>
      <c r="AV131" s="19" t="inlineStr">
        <is>
          <t>Q3 FY26 10-Q Note 14: future amortization of intangibles held at 30-Jun-2026 (Year ending 30 September). FY27 $32.5m, FY28 $32.1m, FY29 $31.2m, FY30 $31.2m; FY31 $30.0m assumed ($245.6m thereafter).</t>
        </is>
      </c>
    </row>
    <row r="132" ht="15" customHeight="1" s="251">
      <c r="B132" s="25" t="inlineStr">
        <is>
          <t xml:space="preserve">  Depreciation expense</t>
        </is>
      </c>
      <c r="C132" s="253" t="n">
        <v>40.4</v>
      </c>
      <c r="D132" s="253" t="n">
        <v>35.808</v>
      </c>
      <c r="E132" s="253" t="n">
        <v>37.254</v>
      </c>
      <c r="F132" s="253" t="n">
        <v>43.773</v>
      </c>
      <c r="G132" s="253" t="n">
        <v>45.994</v>
      </c>
      <c r="H132" s="253" t="n">
        <v>41.55</v>
      </c>
      <c r="I132" s="253" t="n">
        <v>55.14</v>
      </c>
      <c r="J132" s="253" t="n">
        <v>71.389</v>
      </c>
      <c r="K132" s="253" t="n">
        <v>85.982</v>
      </c>
      <c r="L132" s="253" t="n">
        <v>91.7</v>
      </c>
      <c r="M132" s="253" t="n">
        <v>22.608</v>
      </c>
      <c r="N132" s="253" t="n">
        <v>21.919</v>
      </c>
      <c r="O132" s="253" t="n">
        <v>21.717</v>
      </c>
      <c r="P132" s="253" t="n">
        <v>21.387</v>
      </c>
      <c r="Q132" s="253" t="n">
        <v>87.631</v>
      </c>
      <c r="R132" s="253" t="n">
        <v>21.033</v>
      </c>
      <c r="S132" s="253" t="n">
        <v>21.023</v>
      </c>
      <c r="T132" s="253" t="n">
        <v>20.618</v>
      </c>
      <c r="U132" s="253" t="n">
        <v>20.345</v>
      </c>
      <c r="V132" s="253" t="n">
        <v>83.01900000000001</v>
      </c>
      <c r="W132" s="253" t="n">
        <v>20.126</v>
      </c>
      <c r="X132" s="253" t="n">
        <v>20.535</v>
      </c>
      <c r="Y132" s="253" t="n">
        <v>20.551</v>
      </c>
      <c r="Z132" s="253" t="n">
        <v>20.942</v>
      </c>
      <c r="AA132" s="253" t="n">
        <v>82.154</v>
      </c>
      <c r="AB132" s="253" t="n">
        <v>20.226</v>
      </c>
      <c r="AC132" s="253" t="n">
        <v>20.607</v>
      </c>
      <c r="AD132" s="253" t="n">
        <v>20.661</v>
      </c>
      <c r="AE132" s="253" t="n">
        <v>21.084</v>
      </c>
      <c r="AF132" s="253" t="n">
        <v>82.578</v>
      </c>
      <c r="AG132" s="253" t="n">
        <v>20.962</v>
      </c>
      <c r="AH132" s="253" t="n">
        <v>20.794</v>
      </c>
      <c r="AI132" s="253" t="n">
        <v>21.482</v>
      </c>
      <c r="AJ132" s="253" t="n">
        <v>21.816</v>
      </c>
      <c r="AK132" s="253" t="n">
        <v>85.054</v>
      </c>
      <c r="AL132" s="253" t="n">
        <v>21.696</v>
      </c>
      <c r="AM132" s="253" t="n">
        <v>22.482</v>
      </c>
      <c r="AN132" s="253" t="n">
        <v>22.501</v>
      </c>
      <c r="AO132" s="254">
        <f>$BF$24</f>
        <v>23</v>
      </c>
      <c r="AP132" s="254">
        <f>SUM(AL132:AO132)</f>
        <v>89.679</v>
      </c>
      <c r="AQ132" s="254">
        <f>AQ150*AQ133</f>
        <v>108.261634971589</v>
      </c>
      <c r="AR132" s="254">
        <f>AR150*AR133</f>
        <v>127.540354465317</v>
      </c>
      <c r="AS132" s="254">
        <f>AS150*AS133</f>
        <v>142.131942338935</v>
      </c>
      <c r="AT132" s="254">
        <f>AT150*AT133</f>
        <v>150.703420382866</v>
      </c>
      <c r="AU132" s="254">
        <f>AU150*AU133</f>
        <v>159.211355027128</v>
      </c>
      <c r="AV132" s="19" t="n"/>
      <c r="AX132" s="20">
        <f>IFERROR((AU132/AP132)^(1/5)-1,"n/m")</f>
        <v>0.121648180928495</v>
      </c>
      <c r="AY132" s="20">
        <f>IFERROR((AK132/L132)^(1/5)-1,"n/m")</f>
        <v>-0.0149345625661277</v>
      </c>
      <c r="AZ132" s="20">
        <f>IFERROR((AK132/G132)^(1/10)-1,"n/m")</f>
        <v>0.0634066116902685</v>
      </c>
      <c r="BA132" s="20">
        <f>IFERROR((AK132/C132)^(1/14)-1,"n/m")</f>
        <v>0.054614680912157</v>
      </c>
    </row>
    <row r="133" ht="15" customHeight="1" s="251">
      <c r="B133" s="25" t="inlineStr">
        <is>
          <t xml:space="preserve">  Depreciation % of net sales</t>
        </is>
      </c>
      <c r="C133" s="215">
        <f>IF(AND(ISNUMBER(C132),ISNUMBER(C150)),IFERROR(C132/C150,""),"")</f>
        <v>0.0236022391748096</v>
      </c>
      <c r="D133" s="215">
        <f>IF(AND(ISNUMBER(D132),ISNUMBER(D150)),IFERROR(D132/D150,""),"")</f>
        <v>0.0191935472631989</v>
      </c>
      <c r="E133" s="215">
        <f>IF(AND(ISNUMBER(E132),ISNUMBER(E150)),IFERROR(E132/E150,""),"")</f>
        <v>0.0192430071447167</v>
      </c>
      <c r="F133" s="215">
        <f>IF(AND(ISNUMBER(F132),ISNUMBER(F150)),IFERROR(F132/F150,""),"")</f>
        <v>0.0218729387779577</v>
      </c>
      <c r="G133" s="215">
        <f>IF(AND(ISNUMBER(G132),ISNUMBER(G150)),IFERROR(G132/G150,""),"")</f>
        <v>0.0225648492888447</v>
      </c>
      <c r="H133" s="215">
        <f>IF(AND(ISNUMBER(H132),ISNUMBER(H150)),IFERROR(H132/H150,""),"")</f>
        <v>0.0205380118809062</v>
      </c>
      <c r="I133" s="215">
        <f>IF(AND(ISNUMBER(I132),ISNUMBER(I150)),IFERROR(I132/I150,""),"")</f>
        <v>0.0262735951321899</v>
      </c>
      <c r="J133" s="215">
        <f>IF(AND(ISNUMBER(J132),ISNUMBER(J150)),IFERROR(J132/J150,""),"")</f>
        <v>0.0306934213518967</v>
      </c>
      <c r="K133" s="215">
        <f>IF(AND(ISNUMBER(K132),ISNUMBER(K150)),IFERROR(K132/K150,""),"")</f>
        <v>0.029646951569152</v>
      </c>
      <c r="L133" s="215">
        <f>IF(AND(ISNUMBER(L132),ISNUMBER(L150)),IFERROR(L132/L150,""),"")</f>
        <v>0.0367437135993813</v>
      </c>
      <c r="M133" s="215">
        <f>IF(AND(ISNUMBER(M132),ISNUMBER(M150)),IFERROR(M132/M150,""),"")</f>
        <v>0.0420520852127622</v>
      </c>
      <c r="N133" s="215">
        <f>IF(AND(ISNUMBER(N132),ISNUMBER(N150)),IFERROR(N132/N150,""),"")</f>
        <v>0.0377055017795676</v>
      </c>
      <c r="O133" s="215">
        <f>IF(AND(ISNUMBER(O132),ISNUMBER(O150)),IFERROR(O132/O150,""),"")</f>
        <v>0.0390119908384605</v>
      </c>
      <c r="P133" s="215">
        <f>IF(AND(ISNUMBER(P132),ISNUMBER(P150)),IFERROR(P132/P150,""),"")</f>
        <v>0.0375067737370159</v>
      </c>
      <c r="Q133" s="215">
        <f>IF(AND(ISNUMBER(Q132),ISNUMBER(Q150)),IFERROR(Q132/Q150,""),"")</f>
        <v>0.0390193923677283</v>
      </c>
      <c r="R133" s="215">
        <f>IF(AND(ISNUMBER(R132),ISNUMBER(R150)),IFERROR(R132/R150,""),"")</f>
        <v>0.0388359374134487</v>
      </c>
      <c r="S133" s="215">
        <f>IF(AND(ISNUMBER(S132),ISNUMBER(S150)),IFERROR(S132/S150,""),"")</f>
        <v>0.0358241357510322</v>
      </c>
      <c r="T133" s="215">
        <f>IF(AND(ISNUMBER(T132),ISNUMBER(T150)),IFERROR(T132/T150,""),"")</f>
        <v>0.0335616572146657</v>
      </c>
      <c r="U133" s="215">
        <f>IF(AND(ISNUMBER(U132),ISNUMBER(U150)),IFERROR(U132/U150,""),"")</f>
        <v>0.0317874234609778</v>
      </c>
      <c r="V133" s="215">
        <f>IF(AND(ISNUMBER(V132),ISNUMBER(V150)),IFERROR(V132/V150,""),"")</f>
        <v>0.0348410896470104</v>
      </c>
      <c r="W133" s="215">
        <f>IF(AND(ISNUMBER(W132),ISNUMBER(W150)),IFERROR(W132/W150,""),"")</f>
        <v>0.0325337566418102</v>
      </c>
      <c r="X133" s="215">
        <f>IF(AND(ISNUMBER(X132),ISNUMBER(X150)),IFERROR(X132/X150,""),"")</f>
        <v>0.0285917567744433</v>
      </c>
      <c r="Y133" s="215">
        <f>IF(AND(ISNUMBER(Y132),ISNUMBER(Y150)),IFERROR(Y132/Y150,""),"")</f>
        <v>0.0256674780775432</v>
      </c>
      <c r="Z133" s="215">
        <f>IF(AND(ISNUMBER(Z132),ISNUMBER(Z150)),IFERROR(Z132/Z150,""),"")</f>
        <v>0.0269499530286847</v>
      </c>
      <c r="AA133" s="215">
        <f>IF(AND(ISNUMBER(AA132),ISNUMBER(AA150)),IFERROR(AA132/AA150,""),"")</f>
        <v>0.0281873870758116</v>
      </c>
      <c r="AB133" s="215">
        <f>IF(AND(ISNUMBER(AB132),ISNUMBER(AB150)),IFERROR(AB132/AB150,""),"")</f>
        <v>0.0257089471610336</v>
      </c>
      <c r="AC133" s="215">
        <f>IF(AND(ISNUMBER(AC132),ISNUMBER(AC150)),IFERROR(AC132/AC150,""),"")</f>
        <v>0.024668908460357</v>
      </c>
      <c r="AD133" s="215">
        <f>IF(AND(ISNUMBER(AD132),ISNUMBER(AD150)),IFERROR(AD132/AD150,""),"")</f>
        <v>0.0243733543473542</v>
      </c>
      <c r="AE133" s="215">
        <f>IF(AND(ISNUMBER(AE132),ISNUMBER(AE150)),IFERROR(AE132/AE150,""),"")</f>
        <v>0.0246744249187818</v>
      </c>
      <c r="AF133" s="215">
        <f>IF(AND(ISNUMBER(AF132),ISNUMBER(AF150)),IFERROR(AF132/AF150,""),"")</f>
        <v>0.0248410994483265</v>
      </c>
      <c r="AG133" s="215">
        <f>IF(AND(ISNUMBER(AG132),ISNUMBER(AG150)),IFERROR(AG132/AG150,""),"")</f>
        <v>0.0271273739040409</v>
      </c>
      <c r="AH133" s="215">
        <f>IF(AND(ISNUMBER(AH132),ISNUMBER(AH150)),IFERROR(AH132/AH150,""),"")</f>
        <v>0.0235325006309209</v>
      </c>
      <c r="AI133" s="215">
        <f>IF(AND(ISNUMBER(AI132),ISNUMBER(AI150)),IFERROR(AI132/AI150,""),"")</f>
        <v>0.0234661574795236</v>
      </c>
      <c r="AJ133" s="215">
        <f>IF(AND(ISNUMBER(AJ132),ISNUMBER(AJ150)),IFERROR(AJ132/AJ150,""),"")</f>
        <v>0.0219198122307247</v>
      </c>
      <c r="AK133" s="215">
        <f>IF(AND(ISNUMBER(AK132),ISNUMBER(AK150)),IFERROR(AK132/AK150,""),"")</f>
        <v>0.0238442595927631</v>
      </c>
      <c r="AL133" s="215">
        <f>IF(AND(ISNUMBER(AL132),ISNUMBER(AL150)),IFERROR(AL132/AL150,""),"")</f>
        <v>0.0217732077948405</v>
      </c>
      <c r="AM133" s="215">
        <f>IF(AND(ISNUMBER(AM132),ISNUMBER(AM150)),IFERROR(AM132/AM150,""),"")</f>
        <v>0.0206149456063262</v>
      </c>
      <c r="AN133" s="215">
        <f>IF(AND(ISNUMBER(AN132),ISNUMBER(AN150)),IFERROR(AN132/AN150,""),"")</f>
        <v>0.0202765599866631</v>
      </c>
      <c r="AO133" s="256">
        <f>IF(AND(ISNUMBER(AO132),ISNUMBER(AO150)),IFERROR(AO132/AO150,""),"")</f>
        <v>0.0202241226722826</v>
      </c>
      <c r="AP133" s="256">
        <f>IF(AND(ISNUMBER(AP132),ISNUMBER(AP150)),IFERROR(AP132/AP150,""),"")</f>
        <v>0.0206920527759552</v>
      </c>
      <c r="AQ133" s="265" t="n">
        <v>0.023</v>
      </c>
      <c r="AR133" s="265" t="n">
        <v>0.025</v>
      </c>
      <c r="AS133" s="265" t="n">
        <v>0.026</v>
      </c>
      <c r="AT133" s="265" t="n">
        <v>0.026</v>
      </c>
      <c r="AU133" s="265" t="n">
        <v>0.026</v>
      </c>
      <c r="AV133" s="153" t="inlineStr">
        <is>
          <t>Rising with the Spartanburg, SC aerospace campus (online summer 2027) and capacity additions.</t>
        </is>
      </c>
      <c r="AX133" s="37">
        <f>IFERROR(AVERAGE(AQ133,AR133,AS133,AT133,AU133),"n/m")</f>
        <v>0.0252</v>
      </c>
      <c r="AY133" s="37">
        <f>IFERROR(AVERAGE(Q133,V133,AA133,AF133,AK133),"n/m")</f>
        <v>0.030146645626328</v>
      </c>
      <c r="AZ133" s="37">
        <f>IFERROR(AVERAGE(H133,I133,J133,K133,L133,Q133,V133,AA133,AF133,AK133),"n/m")</f>
        <v>0.0294628921665166</v>
      </c>
      <c r="BA133" s="37">
        <f>IFERROR(AVERAGE(C133,D133,E133,F133,G133,H133,I133,J133,K133,L133,Q133,V133,AA133,AF133,AK133),"n/m")</f>
        <v>0.0267403668876463</v>
      </c>
    </row>
    <row r="134" ht="15" customHeight="1" s="251">
      <c r="B134" s="25" t="inlineStr">
        <is>
          <t xml:space="preserve">  SG&amp;A % of net sales</t>
        </is>
      </c>
      <c r="C134" s="215">
        <f>IF(AND(ISNUMBER(C154),ISNUMBER(C150)),IFERROR(C154/C150,""),"")</f>
        <v>0.0869911935605614</v>
      </c>
      <c r="D134" s="215">
        <f>IF(AND(ISNUMBER(D154),ISNUMBER(D150)),IFERROR(D154/D150,""),"")</f>
        <v>0.0881805419840086</v>
      </c>
      <c r="E134" s="215">
        <f>IF(AND(ISNUMBER(E154),ISNUMBER(E150)),IFERROR(E154/E150,""),"")</f>
        <v>0.0868280391905685</v>
      </c>
      <c r="F134" s="215">
        <f>IF(AND(ISNUMBER(F154),ISNUMBER(F150)),IFERROR(F154/F150,""),"")</f>
        <v>0.0776213747476565</v>
      </c>
      <c r="G134" s="215">
        <f>IF(AND(ISNUMBER(G154),ISNUMBER(G150)),IFERROR(G154/G150,""),"")</f>
        <v>0.0770224054029259</v>
      </c>
      <c r="H134" s="215">
        <f>IF(AND(ISNUMBER(H154),ISNUMBER(H150)),IFERROR(H154/H150,""),"")</f>
        <v>0.0765917082781781</v>
      </c>
      <c r="I134" s="215">
        <f>IF(AND(ISNUMBER(I154),ISNUMBER(I150)),IFERROR(I154/I150,""),"")</f>
        <v>0.0841636548600672</v>
      </c>
      <c r="J134" s="215">
        <f>IF(AND(ISNUMBER(J154),ISNUMBER(J150)),IFERROR(J154/J150,""),"")</f>
        <v>0.0828751182889178</v>
      </c>
      <c r="K134" s="215">
        <f>IF(AND(ISNUMBER(K154),ISNUMBER(K150)),IFERROR(K154/K150,""),"")</f>
        <v>0.0728243633104924</v>
      </c>
      <c r="L134" s="215">
        <f>IF(AND(ISNUMBER(L154),ISNUMBER(L150)),IFERROR(L154/L150,""),"")</f>
        <v>0.0872352659511593</v>
      </c>
      <c r="M134" s="215">
        <f>IF(AND(ISNUMBER(M154),ISNUMBER(M150)),IFERROR(M154/M150,""),"")</f>
        <v>0.104369451228472</v>
      </c>
      <c r="N134" s="215">
        <f>IF(AND(ISNUMBER(N154),ISNUMBER(N150)),IFERROR(N154/N150,""),"")</f>
        <v>0.0762556315701652</v>
      </c>
      <c r="O134" s="215">
        <f>IF(AND(ISNUMBER(O154),ISNUMBER(O150)),IFERROR(O154/O150,""),"")</f>
        <v>0.0862639780841604</v>
      </c>
      <c r="P134" s="215">
        <f>IF(AND(ISNUMBER(P154),ISNUMBER(P150)),IFERROR(P154/P150,""),"")</f>
        <v>0.0673515521284002</v>
      </c>
      <c r="Q134" s="215">
        <f>IF(AND(ISNUMBER(Q154),ISNUMBER(Q150)),IFERROR(Q154/Q150,""),"")</f>
        <v>0.0832056894727656</v>
      </c>
      <c r="R134" s="215">
        <f>IF(AND(ISNUMBER(R154),ISNUMBER(R150)),IFERROR(R154/R150,""),"")</f>
        <v>0.115043594184488</v>
      </c>
      <c r="S134" s="215">
        <f>IF(AND(ISNUMBER(S154),ISNUMBER(S150)),IFERROR(S154/S150,""),"")</f>
        <v>0.0751892767863077</v>
      </c>
      <c r="T134" s="215">
        <f>IF(AND(ISNUMBER(T154),ISNUMBER(T150)),IFERROR(T154/T150,""),"")</f>
        <v>0.0756756932733441</v>
      </c>
      <c r="U134" s="215">
        <f>IF(AND(ISNUMBER(U154),ISNUMBER(U150)),IFERROR(U154/U150,""),"")</f>
        <v>0.0782537775395956</v>
      </c>
      <c r="V134" s="215">
        <f>IF(AND(ISNUMBER(V154),ISNUMBER(V150)),IFERROR(V154/V150,""),"")</f>
        <v>0.0851963454605735</v>
      </c>
      <c r="W134" s="215">
        <f>IF(AND(ISNUMBER(W154),ISNUMBER(W150)),IFERROR(W154/W150,""),"")</f>
        <v>0.102142029261953</v>
      </c>
      <c r="X134" s="215">
        <f>IF(AND(ISNUMBER(X154),ISNUMBER(X150)),IFERROR(X154/X150,""),"")</f>
        <v>0.105230474482536</v>
      </c>
      <c r="Y134" s="215">
        <f>IF(AND(ISNUMBER(Y154),ISNUMBER(Y150)),IFERROR(Y154/Y150,""),"")</f>
        <v>0.0811614874173029</v>
      </c>
      <c r="Z134" s="215">
        <f>IF(AND(ISNUMBER(Z154),ISNUMBER(Z150)),IFERROR(Z154/Z150,""),"")</f>
        <v>0.0848623676116695</v>
      </c>
      <c r="AA134" s="215">
        <f>IF(AND(ISNUMBER(AA154),ISNUMBER(AA150)),IFERROR(AA154/AA150,""),"")</f>
        <v>0.0925324731023418</v>
      </c>
      <c r="AB134" s="215">
        <f>IF(AND(ISNUMBER(AB154),ISNUMBER(AB150)),IFERROR(AB154/AB150,""),"")</f>
        <v>0.0947097479440215</v>
      </c>
      <c r="AC134" s="215">
        <f>IF(AND(ISNUMBER(AC154),ISNUMBER(AC150)),IFERROR(AC154/AC150,""),"")</f>
        <v>0.0975012659470421</v>
      </c>
      <c r="AD134" s="215">
        <f>IF(AND(ISNUMBER(AD154),ISNUMBER(AD150)),IFERROR(AD154/AD150,""),"")</f>
        <v>0.0870744896707279</v>
      </c>
      <c r="AE134" s="215">
        <f>IF(AND(ISNUMBER(AE154),ISNUMBER(AE150)),IFERROR(AE154/AE150,""),"")</f>
        <v>0.0909655840690566</v>
      </c>
      <c r="AF134" s="215">
        <f>IF(AND(ISNUMBER(AF154),ISNUMBER(AF150)),IFERROR(AF154/AF150,""),"")</f>
        <v>0.0925017951423013</v>
      </c>
      <c r="AG134" s="215">
        <f>IF(AND(ISNUMBER(AG154),ISNUMBER(AG150)),IFERROR(AG154/AG150,""),"")</f>
        <v>0.0901950888090847</v>
      </c>
      <c r="AH134" s="215">
        <f>IF(AND(ISNUMBER(AH154),ISNUMBER(AH150)),IFERROR(AH154/AH150,""),"")</f>
        <v>0.0948837125083038</v>
      </c>
      <c r="AI134" s="215">
        <f>IF(AND(ISNUMBER(AI154),ISNUMBER(AI150)),IFERROR(AI154/AI150,""),"")</f>
        <v>0.0968959392470992</v>
      </c>
      <c r="AJ134" s="215">
        <f>IF(AND(ISNUMBER(AJ154),ISNUMBER(AJ150)),IFERROR(AJ154/AJ150,""),"")</f>
        <v>0.0879987621374831</v>
      </c>
      <c r="AK134" s="215">
        <f>IF(AND(ISNUMBER(AK154),ISNUMBER(AK150)),IFERROR(AK154/AK150,""),"")</f>
        <v>0.0924634377179664</v>
      </c>
      <c r="AL134" s="215">
        <f>IF(AND(ISNUMBER(AL154),ISNUMBER(AL150)),IFERROR(AL154/AL150,""),"")</f>
        <v>0.0953230154126533</v>
      </c>
      <c r="AM134" s="215">
        <f>IF(AND(ISNUMBER(AM154),ISNUMBER(AM150)),IFERROR(AM154/AM150,""),"")</f>
        <v>0.0937905751865083</v>
      </c>
      <c r="AN134" s="215">
        <f>IF(AND(ISNUMBER(AN154),ISNUMBER(AN150)),IFERROR(AN154/AN150,""),"")</f>
        <v>0.0959399119585836</v>
      </c>
      <c r="AO134" s="256">
        <f>AJ134+IFERROR(SUM(AL154:AN154)/SUM(AL150:AN150)-SUM(AG154:AI154)/SUM(AG150:AI150),0)</f>
        <v>0.0888219035884265</v>
      </c>
      <c r="AP134" s="256">
        <f>IF(AND(ISNUMBER(AP154),ISNUMBER(AP150)),IFERROR(AP154/AP150,""),"")</f>
        <v>0.0933894396640615</v>
      </c>
      <c r="AQ134" s="265" t="n">
        <v>0.093</v>
      </c>
      <c r="AR134" s="265" t="n">
        <v>0.092</v>
      </c>
      <c r="AS134" s="265" t="n">
        <v>0.091</v>
      </c>
      <c r="AT134" s="265" t="n">
        <v>0.09</v>
      </c>
      <c r="AU134" s="265" t="n">
        <v>0.09</v>
      </c>
      <c r="AV134" s="153" t="inlineStr">
        <is>
          <t>Q4/26E: prior-year quarter ratio + 9M FY26 y/y drift; 2027E+ input. Gross profit is implied: EBIT (from the adjusted build) + operating costs − other income.</t>
        </is>
      </c>
      <c r="AX134" s="37">
        <f>IFERROR(AVERAGE(AQ134,AR134,AS134,AT134,AU134),"n/m")</f>
        <v>0.0912</v>
      </c>
      <c r="AY134" s="37">
        <f>IFERROR(AVERAGE(Q134,V134,AA134,AF134,AK134),"n/m")</f>
        <v>0.0891799481791897</v>
      </c>
      <c r="AZ134" s="37">
        <f>IFERROR(AVERAGE(H134,I134,J134,K134,L134,Q134,V134,AA134,AF134,AK134),"n/m")</f>
        <v>0.0849589851584763</v>
      </c>
      <c r="BA134" s="37">
        <f>IFERROR(AVERAGE(C134,D134,E134,F134,G134,H134,I134,J134,K134,L134,Q134,V134,AA134,AF134,AK134),"n/m")</f>
        <v>0.0844155604313656</v>
      </c>
    </row>
    <row r="135" ht="15" customHeight="1" s="251">
      <c r="B135" s="25" t="inlineStr">
        <is>
          <t xml:space="preserve">  R&amp;D % of net sales</t>
        </is>
      </c>
      <c r="C135" s="215">
        <f>IF(AND(ISNUMBER(C155),ISNUMBER(C150)),IFERROR(C155/C150,""),"")</f>
        <v>0.0675543990718011</v>
      </c>
      <c r="D135" s="215">
        <f>IF(AND(ISNUMBER(D155),ISNUMBER(D150)),IFERROR(D155/D150,""),"")</f>
        <v>0.0767967015914757</v>
      </c>
      <c r="E135" s="215">
        <f>IF(AND(ISNUMBER(E155),ISNUMBER(E150)),IFERROR(E155/E150,""),"")</f>
        <v>0.0672787265957842</v>
      </c>
      <c r="F135" s="215">
        <f>IF(AND(ISNUMBER(F155),ISNUMBER(F150)),IFERROR(F155/F150,""),"")</f>
        <v>0.068959744958126</v>
      </c>
      <c r="G135" s="215">
        <f>IF(AND(ISNUMBER(G155),ISNUMBER(G150)),IFERROR(G155/G150,""),"")</f>
        <v>0.0659789050008757</v>
      </c>
      <c r="H135" s="215">
        <f>IF(AND(ISNUMBER(H155),ISNUMBER(H150)),IFERROR(H155/H150,""),"")</f>
        <v>0.06236536604125</v>
      </c>
      <c r="I135" s="215">
        <f>IF(AND(ISNUMBER(I155),ISNUMBER(I150)),IFERROR(I155/I150,""),"")</f>
        <v>0.060284892682799</v>
      </c>
      <c r="J135" s="215">
        <f>IF(AND(ISNUMBER(J155),ISNUMBER(J150)),IFERROR(J155/J150,""),"")</f>
        <v>0.0637519761397118</v>
      </c>
      <c r="K135" s="215">
        <f>IF(AND(ISNUMBER(K155),ISNUMBER(K150)),IFERROR(K155/K150,""),"")</f>
        <v>0.0548607560107124</v>
      </c>
      <c r="L135" s="215">
        <f>IF(AND(ISNUMBER(L155),ISNUMBER(L150)),IFERROR(L155/L150,""),"")</f>
        <v>0.0533461021411127</v>
      </c>
      <c r="M135" s="215">
        <f>IF(AND(ISNUMBER(M155),ISNUMBER(M150)),IFERROR(M155/M150,""),"")</f>
        <v>0.0595142656788544</v>
      </c>
      <c r="N135" s="215">
        <f>IF(AND(ISNUMBER(N155),ISNUMBER(N150)),IFERROR(N155/N150,""),"")</f>
        <v>0.0475245174352896</v>
      </c>
      <c r="O135" s="215">
        <f>IF(AND(ISNUMBER(O155),ISNUMBER(O150)),IFERROR(O155/O150,""),"")</f>
        <v>0.0534692594422239</v>
      </c>
      <c r="P135" s="215">
        <f>IF(AND(ISNUMBER(P155),ISNUMBER(P150)),IFERROR(P155/P150,""),"")</f>
        <v>0.0485832586541615</v>
      </c>
      <c r="Q135" s="215">
        <f>IF(AND(ISNUMBER(Q155),ISNUMBER(Q150)),IFERROR(Q155/Q150,""),"")</f>
        <v>0.0521370253874733</v>
      </c>
      <c r="R135" s="215">
        <f>IF(AND(ISNUMBER(R155),ISNUMBER(R150)),IFERROR(R155/R150,""),"")</f>
        <v>0.0468845206486135</v>
      </c>
      <c r="S135" s="215">
        <f>IF(AND(ISNUMBER(S155),ISNUMBER(S150)),IFERROR(S155/S150,""),"")</f>
        <v>0.0551837897617575</v>
      </c>
      <c r="T135" s="215">
        <f>IF(AND(ISNUMBER(T155),ISNUMBER(T150)),IFERROR(T155/T150,""),"")</f>
        <v>0.0524537220916377</v>
      </c>
      <c r="U135" s="215">
        <f>IF(AND(ISNUMBER(U155),ISNUMBER(U150)),IFERROR(U155/U150,""),"")</f>
        <v>0.0465319756950032</v>
      </c>
      <c r="V135" s="215">
        <f>IF(AND(ISNUMBER(V155),ISNUMBER(V150)),IFERROR(V155/V150,""),"")</f>
        <v>0.050269641890389</v>
      </c>
      <c r="W135" s="215">
        <f>IF(AND(ISNUMBER(W155),ISNUMBER(W150)),IFERROR(W155/W150,""),"")</f>
        <v>0.0462869714638574</v>
      </c>
      <c r="X135" s="215">
        <f>IF(AND(ISNUMBER(X155),ISNUMBER(X150)),IFERROR(X155/X150,""),"")</f>
        <v>0.052598529129201</v>
      </c>
      <c r="Y135" s="215">
        <f>IF(AND(ISNUMBER(Y155),ISNUMBER(Y150)),IFERROR(Y155/Y150,""),"")</f>
        <v>0.0437549880536505</v>
      </c>
      <c r="Z135" s="215">
        <f>IF(AND(ISNUMBER(Z155),ISNUMBER(Z150)),IFERROR(Z155/Z150,""),"")</f>
        <v>0.0412588312507239</v>
      </c>
      <c r="AA135" s="215">
        <f>IF(AND(ISNUMBER(AA155),ISNUMBER(AA150)),IFERROR(AA155/AA150,""),"")</f>
        <v>0.0453223567419643</v>
      </c>
      <c r="AB135" s="215">
        <f>IF(AND(ISNUMBER(AB155),ISNUMBER(AB150)),IFERROR(AB155/AB150,""),"")</f>
        <v>0.0391417640105246</v>
      </c>
      <c r="AC135" s="215">
        <f>IF(AND(ISNUMBER(AC155),ISNUMBER(AC150)),IFERROR(AC155/AC150,""),"")</f>
        <v>0.0436527270833658</v>
      </c>
      <c r="AD135" s="215">
        <f>IF(AND(ISNUMBER(AD155),ISNUMBER(AD150)),IFERROR(AD155/AD150,""),"")</f>
        <v>0.0456866205490699</v>
      </c>
      <c r="AE135" s="215">
        <f>IF(AND(ISNUMBER(AE155),ISNUMBER(AE150)),IFERROR(AE155/AE150,""),"")</f>
        <v>0.0405962400876314</v>
      </c>
      <c r="AF135" s="215">
        <f>IF(AND(ISNUMBER(AF155),ISNUMBER(AF150)),IFERROR(AF155/AF150,""),"")</f>
        <v>0.0423181295985951</v>
      </c>
      <c r="AG135" s="215">
        <f>IF(AND(ISNUMBER(AG155),ISNUMBER(AG150)),IFERROR(AG155/AG150,""),"")</f>
        <v>0.0390915267397845</v>
      </c>
      <c r="AH135" s="215">
        <f>IF(AND(ISNUMBER(AH155),ISNUMBER(AH150)),IFERROR(AH155/AH150,""),"")</f>
        <v>0.0421330671582757</v>
      </c>
      <c r="AI135" s="215">
        <f>IF(AND(ISNUMBER(AI155),ISNUMBER(AI150)),IFERROR(AI155/AI150,""),"")</f>
        <v>0.0448830406162679</v>
      </c>
      <c r="AJ135" s="215">
        <f>IF(AND(ISNUMBER(AJ155),ISNUMBER(AJ150)),IFERROR(AJ155/AJ150,""),"")</f>
        <v>0.0392287875377789</v>
      </c>
      <c r="AK135" s="215">
        <f>IF(AND(ISNUMBER(AK155),ISNUMBER(AK150)),IFERROR(AK155/AK150,""),"")</f>
        <v>0.0413695969570493</v>
      </c>
      <c r="AL135" s="215">
        <f>IF(AND(ISNUMBER(AL155),ISNUMBER(AL150)),IFERROR(AL155/AL150,""),"")</f>
        <v>0.037890359213772</v>
      </c>
      <c r="AM135" s="215">
        <f>IF(AND(ISNUMBER(AM155),ISNUMBER(AM150)),IFERROR(AM155/AM150,""),"")</f>
        <v>0.0422889723520221</v>
      </c>
      <c r="AN135" s="215">
        <f>IF(AND(ISNUMBER(AN155),ISNUMBER(AN150)),IFERROR(AN155/AN150,""),"")</f>
        <v>0.0444406396294511</v>
      </c>
      <c r="AO135" s="256">
        <f>IFERROR(SUM(AL155:AN155)/SUM(AL150:AN150),"")</f>
        <v>0.0416648027810945</v>
      </c>
      <c r="AP135" s="256">
        <f>IF(AND(ISNUMBER(AP155),ISNUMBER(AP150)),IFERROR(AP155/AP150,""),"")</f>
        <v>0.0416648027810945</v>
      </c>
      <c r="AQ135" s="265" t="n">
        <v>0.041</v>
      </c>
      <c r="AR135" s="265" t="n">
        <v>0.041</v>
      </c>
      <c r="AS135" s="265" t="n">
        <v>0.041</v>
      </c>
      <c r="AT135" s="265" t="n">
        <v>0.041</v>
      </c>
      <c r="AU135" s="265" t="n">
        <v>0.041</v>
      </c>
      <c r="AV135" s="153" t="n"/>
    </row>
    <row r="136" ht="15" customHeight="1" s="251">
      <c r="B136" s="25" t="inlineStr">
        <is>
          <t xml:space="preserve">  Share-based compensation (cash-flow statement, XBRL)</t>
        </is>
      </c>
      <c r="C136" s="253" t="n">
        <v>6.59</v>
      </c>
      <c r="D136" s="253" t="n">
        <v>8.628</v>
      </c>
      <c r="E136" s="253" t="n">
        <v>9.414</v>
      </c>
      <c r="F136" s="253" t="n">
        <v>11.241</v>
      </c>
      <c r="G136" s="253" t="n">
        <v>14.255</v>
      </c>
      <c r="H136" s="253" t="n">
        <v>15.122</v>
      </c>
      <c r="I136" s="253" t="n">
        <v>17.282</v>
      </c>
      <c r="J136" s="253" t="n">
        <v>18.229</v>
      </c>
      <c r="K136" s="253" t="n">
        <v>18.146</v>
      </c>
      <c r="L136" s="253" t="n">
        <v>22.902</v>
      </c>
      <c r="M136" s="253" t="n">
        <v>13.469</v>
      </c>
      <c r="N136" s="253" t="n">
        <v>2.969</v>
      </c>
      <c r="O136" s="253" t="n">
        <v>2.615</v>
      </c>
      <c r="P136" s="253" t="n">
        <v>2.422</v>
      </c>
      <c r="Q136" s="253" t="n">
        <v>21.475</v>
      </c>
      <c r="R136" s="253" t="n">
        <v>11.892</v>
      </c>
      <c r="S136" s="253" t="n">
        <v>2.065</v>
      </c>
      <c r="T136" s="253" t="n">
        <v>3.179</v>
      </c>
      <c r="U136" s="253" t="n">
        <v>2.973</v>
      </c>
      <c r="V136" s="253" t="n">
        <v>20.109</v>
      </c>
      <c r="W136" s="253" t="n">
        <v>11.316</v>
      </c>
      <c r="X136" s="253" t="n">
        <v>4.222</v>
      </c>
      <c r="Y136" s="253" t="n">
        <v>3.831</v>
      </c>
      <c r="Z136" s="253" t="n">
        <v>4.014</v>
      </c>
      <c r="AA136" s="253" t="n">
        <v>23.383</v>
      </c>
      <c r="AB136" s="253" t="n">
        <v>4.937</v>
      </c>
      <c r="AC136" s="253" t="n">
        <v>14.966</v>
      </c>
      <c r="AD136" s="253" t="n">
        <v>8.023</v>
      </c>
      <c r="AE136" s="253" t="n">
        <v>5.126</v>
      </c>
      <c r="AF136" s="253" t="n">
        <v>33.052</v>
      </c>
      <c r="AG136" s="253" t="n">
        <v>6.666</v>
      </c>
      <c r="AH136" s="253" t="n">
        <v>12.71</v>
      </c>
      <c r="AI136" s="253" t="n">
        <v>6.114</v>
      </c>
      <c r="AJ136" s="253" t="n">
        <v>6.184</v>
      </c>
      <c r="AK136" s="253" t="n">
        <v>31.674</v>
      </c>
      <c r="AL136" s="253" t="n">
        <v>7.03</v>
      </c>
      <c r="AM136" s="253" t="n">
        <v>14.093</v>
      </c>
      <c r="AN136" s="253" t="n">
        <v>7.53</v>
      </c>
      <c r="AO136" s="254">
        <f>AJ136*(1+IFERROR(SUM(AL136:AN136)/SUM(AG136:AI136)-1,0))</f>
        <v>6.95135943507258</v>
      </c>
      <c r="AP136" s="254">
        <f>SUM(AL136:AO136)</f>
        <v>35.6043594350726</v>
      </c>
      <c r="AQ136" s="254">
        <f>AQ150*AQ137</f>
        <v>40.0097346634132</v>
      </c>
      <c r="AR136" s="254">
        <f>AR150*AR137</f>
        <v>43.3637205182079</v>
      </c>
      <c r="AS136" s="254">
        <f>AS150*AS137</f>
        <v>46.466211918498</v>
      </c>
      <c r="AT136" s="254">
        <f>AT150*AT137</f>
        <v>49.2684258943986</v>
      </c>
      <c r="AU136" s="254">
        <f>AU150*AU137</f>
        <v>52.049866066561</v>
      </c>
      <c r="AV136" s="19" t="inlineStr">
        <is>
          <t>Q4/26E: prior-year quarter × 9M FY26 y/y; 2027E+: % of net sales. Woodward does not adjust out share-based compensation.</t>
        </is>
      </c>
    </row>
    <row r="137" ht="15" customHeight="1" s="251">
      <c r="B137" s="25" t="inlineStr">
        <is>
          <t xml:space="preserve">  Share-based compensation % of net sales</t>
        </is>
      </c>
      <c r="C137" s="215">
        <f>IF(AND(ISNUMBER(C136),ISNUMBER(C150)),IFERROR(C136/C150,""),"")</f>
        <v>0.00384996921193058</v>
      </c>
      <c r="D137" s="215">
        <f>IF(AND(ISNUMBER(D136),ISNUMBER(D150)),IFERROR(D136/D150,""),"")</f>
        <v>0.0046247186602681</v>
      </c>
      <c r="E137" s="215">
        <f>IF(AND(ISNUMBER(E136),ISNUMBER(E150)),IFERROR(E136/E150,""),"")</f>
        <v>0.00486266358673868</v>
      </c>
      <c r="F137" s="215">
        <f>IF(AND(ISNUMBER(F136),ISNUMBER(F150)),IFERROR(F136/F150,""),"")</f>
        <v>0.00561701744918151</v>
      </c>
      <c r="G137" s="215">
        <f>IF(AND(ISNUMBER(G136),ISNUMBER(G150)),IFERROR(G136/G150,""),"")</f>
        <v>0.00699356278237338</v>
      </c>
      <c r="H137" s="215">
        <f>IF(AND(ISNUMBER(H136),ISNUMBER(H150)),IFERROR(H136/H150,""),"")</f>
        <v>0.00747474887275725</v>
      </c>
      <c r="I137" s="215">
        <f>IF(AND(ISNUMBER(I136),ISNUMBER(I150)),IFERROR(I136/I150,""),"")</f>
        <v>0.00823468028789456</v>
      </c>
      <c r="J137" s="215">
        <f>IF(AND(ISNUMBER(J136),ISNUMBER(J150)),IFERROR(J136/J150,""),"")</f>
        <v>0.00783748725747279</v>
      </c>
      <c r="K137" s="215">
        <f>IF(AND(ISNUMBER(K136),ISNUMBER(K150)),IFERROR(K136/K150,""),"")</f>
        <v>0.0062568163473033</v>
      </c>
      <c r="L137" s="215">
        <f>IF(AND(ISNUMBER(L136),ISNUMBER(L150)),IFERROR(L136/L150,""),"")</f>
        <v>0.00917671241933513</v>
      </c>
      <c r="M137" s="215">
        <f>IF(AND(ISNUMBER(M136),ISNUMBER(M150)),IFERROR(M136/M150,""),"")</f>
        <v>0.0250530580206429</v>
      </c>
      <c r="N137" s="215">
        <f>IF(AND(ISNUMBER(N136),ISNUMBER(N150)),IFERROR(N136/N150,""),"")</f>
        <v>0.00510733312576012</v>
      </c>
      <c r="O137" s="215">
        <f>IF(AND(ISNUMBER(O136),ISNUMBER(O150)),IFERROR(O136/O150,""),"")</f>
        <v>0.00469753446804689</v>
      </c>
      <c r="P137" s="215">
        <f>IF(AND(ISNUMBER(P136),ISNUMBER(P150)),IFERROR(P136/P150,""),"")</f>
        <v>0.00424750577411757</v>
      </c>
      <c r="Q137" s="215">
        <f>IF(AND(ISNUMBER(Q136),ISNUMBER(Q150)),IFERROR(Q136/Q150,""),"")</f>
        <v>0.00956215781055751</v>
      </c>
      <c r="R137" s="215">
        <f>IF(AND(ISNUMBER(R136),ISNUMBER(R150)),IFERROR(R136/R150,""),"")</f>
        <v>0.0219577315514064</v>
      </c>
      <c r="S137" s="215">
        <f>IF(AND(ISNUMBER(S136),ISNUMBER(S150)),IFERROR(S136/S150,""),"")</f>
        <v>0.00351885270065555</v>
      </c>
      <c r="T137" s="215">
        <f>IF(AND(ISNUMBER(T136),ISNUMBER(T150)),IFERROR(T136/T150,""),"")</f>
        <v>0.00517472636945495</v>
      </c>
      <c r="U137" s="215">
        <f>IF(AND(ISNUMBER(U136),ISNUMBER(U150)),IFERROR(U136/U150,""),"")</f>
        <v>0.00464507298842403</v>
      </c>
      <c r="V137" s="215">
        <f>IF(AND(ISNUMBER(V136),ISNUMBER(V150)),IFERROR(V136/V150,""),"")</f>
        <v>0.00843926657405814</v>
      </c>
      <c r="W137" s="215">
        <f>IF(AND(ISNUMBER(W136),ISNUMBER(W150)),IFERROR(W136/W150,""),"")</f>
        <v>0.0182923576547115</v>
      </c>
      <c r="X137" s="215">
        <f>IF(AND(ISNUMBER(X136),ISNUMBER(X150)),IFERROR(X136/X150,""),"")</f>
        <v>0.00587847076219623</v>
      </c>
      <c r="Y137" s="215">
        <f>IF(AND(ISNUMBER(Y136),ISNUMBER(Y150)),IFERROR(Y136/Y150,""),"")</f>
        <v>0.00478478460975467</v>
      </c>
      <c r="Z137" s="215">
        <f>IF(AND(ISNUMBER(Z136),ISNUMBER(Z150)),IFERROR(Z136/Z150,""),"")</f>
        <v>0.00516555780045556</v>
      </c>
      <c r="AA137" s="215">
        <f>IF(AND(ISNUMBER(AA136),ISNUMBER(AA150)),IFERROR(AA136/AA150,""),"")</f>
        <v>0.0080228068261278</v>
      </c>
      <c r="AB137" s="215">
        <f>IF(AND(ISNUMBER(AB136),ISNUMBER(AB150)),IFERROR(AB136/AB150,""),"")</f>
        <v>0.00627534223939598</v>
      </c>
      <c r="AC137" s="215">
        <f>IF(AND(ISNUMBER(AC136),ISNUMBER(AC150)),IFERROR(AC136/AC150,""),"")</f>
        <v>0.0179159937893775</v>
      </c>
      <c r="AD137" s="215">
        <f>IF(AND(ISNUMBER(AD136),ISNUMBER(AD150)),IFERROR(AD136/AD150,""),"")</f>
        <v>0.00946456715206538</v>
      </c>
      <c r="AE137" s="215">
        <f>IF(AND(ISNUMBER(AE136),ISNUMBER(AE150)),IFERROR(AE136/AE150,""),"")</f>
        <v>0.00599891396953497</v>
      </c>
      <c r="AF137" s="215">
        <f>IF(AND(ISNUMBER(AF136),ISNUMBER(AF150)),IFERROR(AF136/AF150,""),"")</f>
        <v>0.00994269683167537</v>
      </c>
      <c r="AG137" s="215">
        <f>IF(AND(ISNUMBER(AG136),ISNUMBER(AG150)),IFERROR(AG136/AG150,""),"")</f>
        <v>0.00862661360768708</v>
      </c>
      <c r="AH137" s="215">
        <f>IF(AND(ISNUMBER(AH136),ISNUMBER(AH150)),IFERROR(AH136/AH150,""),"")</f>
        <v>0.0143838647215064</v>
      </c>
      <c r="AI137" s="215">
        <f>IF(AND(ISNUMBER(AI136),ISNUMBER(AI150)),IFERROR(AI136/AI150,""),"")</f>
        <v>0.00667871179730973</v>
      </c>
      <c r="AJ137" s="215">
        <f>IF(AND(ISNUMBER(AJ136),ISNUMBER(AJ150)),IFERROR(AJ136/AJ150,""),"")</f>
        <v>0.006213426789274</v>
      </c>
      <c r="AK137" s="215">
        <f>IF(AND(ISNUMBER(AK136),ISNUMBER(AK150)),IFERROR(AK136/AK150,""),"")</f>
        <v>0.00887957154679591</v>
      </c>
      <c r="AL137" s="215">
        <f>IF(AND(ISNUMBER(AL136),ISNUMBER(AL150)),IFERROR(AL136/AL150,""),"")</f>
        <v>0.00705501709060328</v>
      </c>
      <c r="AM137" s="215">
        <f>IF(AND(ISNUMBER(AM136),ISNUMBER(AM150)),IFERROR(AM136/AM150,""),"")</f>
        <v>0.0129226238070437</v>
      </c>
      <c r="AN137" s="215">
        <f>IF(AND(ISNUMBER(AN136),ISNUMBER(AN150)),IFERROR(AN136/AN150,""),"")</f>
        <v>0.00678558716055168</v>
      </c>
      <c r="AO137" s="256">
        <f>IF(AND(ISNUMBER(AO136),ISNUMBER(AO150)),IFERROR(AO136/AO150,""),"")</f>
        <v>0.00611239765017552</v>
      </c>
      <c r="AP137" s="256">
        <f>IF(AND(ISNUMBER(AP136),ISNUMBER(AP150)),IFERROR(AP136/AP150,""),"")</f>
        <v>0.00821515945187391</v>
      </c>
      <c r="AQ137" s="265" t="n">
        <v>0.008500000000000001</v>
      </c>
      <c r="AR137" s="265" t="n">
        <v>0.008500000000000001</v>
      </c>
      <c r="AS137" s="265" t="n">
        <v>0.008500000000000001</v>
      </c>
      <c r="AT137" s="265" t="n">
        <v>0.008500000000000001</v>
      </c>
      <c r="AU137" s="265" t="n">
        <v>0.008500000000000001</v>
      </c>
      <c r="AV137" s="153" t="n"/>
      <c r="AX137" s="37">
        <f>IFERROR(AVERAGE(AQ137,AR137,AS137,AT137,AU137),"n/m")</f>
        <v>0.0085</v>
      </c>
      <c r="AY137" s="37">
        <f>IFERROR(AVERAGE(Q137,V137,AA137,AF137,AK137),"n/m")</f>
        <v>0.00896929991784295</v>
      </c>
      <c r="AZ137" s="37">
        <f>IFERROR(AVERAGE(H137,I137,J137,K137,L137,Q137,V137,AA137,AF137,AK137),"n/m")</f>
        <v>0.00838269447739778</v>
      </c>
      <c r="BA137" s="37">
        <f>IFERROR(AVERAGE(C137,D137,E137,F137,G137,H137,I137,J137,K137,L137,Q137,V137,AA137,AF137,AK137),"n/m")</f>
        <v>0.00731832509763133</v>
      </c>
    </row>
    <row r="138" ht="15" customHeight="1" s="251">
      <c r="B138" s="25" t="inlineStr">
        <is>
          <t xml:space="preserve">  Other income, net — recurring (excl. divestiture gains), input</t>
        </is>
      </c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  <c r="AD138" s="34" t="n"/>
      <c r="AE138" s="34" t="n"/>
      <c r="AF138" s="34" t="n"/>
      <c r="AG138" s="34" t="n"/>
      <c r="AH138" s="34" t="n"/>
      <c r="AI138" s="34" t="n"/>
      <c r="AJ138" s="34" t="n"/>
      <c r="AK138" s="34" t="n"/>
      <c r="AL138" s="34" t="n"/>
      <c r="AM138" s="34" t="n"/>
      <c r="AN138" s="34" t="n"/>
      <c r="AO138" s="254">
        <f>$BF$22</f>
        <v>20</v>
      </c>
      <c r="AP138" s="35" t="n"/>
      <c r="AQ138" s="272" t="n">
        <v>80</v>
      </c>
      <c r="AR138" s="272" t="n">
        <v>80</v>
      </c>
      <c r="AS138" s="272" t="n">
        <v>80</v>
      </c>
      <c r="AT138" s="272" t="n">
        <v>80</v>
      </c>
      <c r="AU138" s="272" t="n">
        <v>80</v>
      </c>
      <c r="AV138" s="19" t="inlineStr">
        <is>
          <t>Other income includes the amortization of deferred revenue from the GE joint venture (Jan-2016), rental income, pension and investment items. 9M FY26 $60.3m. Input (assumption).</t>
        </is>
      </c>
    </row>
    <row r="139" ht="15" customHeight="1" s="251">
      <c r="B139" s="25" t="inlineStr">
        <is>
          <t xml:space="preserve">  Adjusting items (pre-tax, adjusted out by the company; forecast inputs):</t>
        </is>
      </c>
      <c r="AV139" s="153" t="n"/>
    </row>
    <row r="140" ht="15" customHeight="1" s="251">
      <c r="B140" s="25" t="inlineStr">
        <is>
          <t xml:space="preserve">  Restructuring charges</t>
        </is>
      </c>
      <c r="C140" s="253" t="n">
        <v>0</v>
      </c>
      <c r="D140" s="253" t="n">
        <v>0</v>
      </c>
      <c r="E140" s="253" t="n">
        <v>0</v>
      </c>
      <c r="F140" s="253" t="n">
        <v>0</v>
      </c>
      <c r="G140" s="253" t="n">
        <v>0</v>
      </c>
      <c r="H140" s="253" t="n">
        <v>0</v>
      </c>
      <c r="I140" s="253" t="n">
        <v>0</v>
      </c>
      <c r="J140" s="253" t="n">
        <v>17.013</v>
      </c>
      <c r="K140" s="253" t="n">
        <v>0</v>
      </c>
      <c r="L140" s="253" t="n">
        <v>22.216</v>
      </c>
      <c r="M140" s="253" t="n">
        <v>0</v>
      </c>
      <c r="N140" s="253" t="n">
        <v>0</v>
      </c>
      <c r="O140" s="253" t="n">
        <v>0</v>
      </c>
      <c r="P140" s="253" t="n">
        <v>5.008</v>
      </c>
      <c r="Q140" s="253" t="n">
        <v>5.008</v>
      </c>
      <c r="R140" s="253" t="n">
        <v>0</v>
      </c>
      <c r="S140" s="253" t="n">
        <v>0</v>
      </c>
      <c r="T140" s="253" t="n">
        <v>0</v>
      </c>
      <c r="U140" s="253" t="n">
        <v>-3.42</v>
      </c>
      <c r="V140" s="253" t="n">
        <v>-3.42</v>
      </c>
      <c r="W140" s="253" t="n">
        <v>0</v>
      </c>
      <c r="X140" s="253" t="n">
        <v>7.38</v>
      </c>
      <c r="Y140" s="253" t="n">
        <v>0</v>
      </c>
      <c r="Z140" s="253" t="n">
        <v>0</v>
      </c>
      <c r="AA140" s="253" t="n">
        <v>7.38</v>
      </c>
      <c r="AB140" s="253" t="n">
        <v>0</v>
      </c>
      <c r="AC140" s="253" t="n">
        <v>2.666</v>
      </c>
      <c r="AD140" s="253" t="n">
        <v>0</v>
      </c>
      <c r="AE140" s="253" t="n">
        <v>0</v>
      </c>
      <c r="AF140" s="253" t="n">
        <v>2.666</v>
      </c>
      <c r="AG140" s="253" t="n">
        <v>0</v>
      </c>
      <c r="AH140" s="253" t="n">
        <v>0</v>
      </c>
      <c r="AI140" s="253" t="n">
        <v>0</v>
      </c>
      <c r="AJ140" s="253" t="n">
        <v>0</v>
      </c>
      <c r="AK140" s="253" t="n">
        <v>0</v>
      </c>
      <c r="AL140" s="253" t="n">
        <v>0</v>
      </c>
      <c r="AM140" s="253" t="n">
        <v>6.815</v>
      </c>
      <c r="AN140" s="253" t="n">
        <v>9.263999999999999</v>
      </c>
      <c r="AO140" s="254">
        <f>$BF$27</f>
        <v>6</v>
      </c>
      <c r="AP140" s="254">
        <f>SUM(AL140:AO140)</f>
        <v>22.079</v>
      </c>
      <c r="AQ140" s="272" t="n">
        <v>30</v>
      </c>
      <c r="AR140" s="272" t="n">
        <v>15</v>
      </c>
      <c r="AS140" s="272" t="n">
        <v>0</v>
      </c>
      <c r="AT140" s="272" t="n">
        <v>0</v>
      </c>
      <c r="AU140" s="272" t="n">
        <v>0</v>
      </c>
      <c r="AV140" s="19" t="inlineStr">
        <is>
          <t>Q4 FY26E $6m (servo valve + start of Santa Clarita); FY27E $30m, FY28E $15m, FY29E+ 0 (Santa Clarita mid-point ~$41m + servo valve ~$13m remaining). All excluded from adjusted earnings (company definition).</t>
        </is>
      </c>
    </row>
    <row r="141" ht="15" customHeight="1" s="251">
      <c r="B141" s="25" t="inlineStr">
        <is>
          <t xml:space="preserve">  Acquisition, transaction, integration &amp; business development costs</t>
        </is>
      </c>
      <c r="C141" s="253" t="n">
        <v>0</v>
      </c>
      <c r="D141" s="253" t="n">
        <v>0</v>
      </c>
      <c r="E141" s="253" t="n">
        <v>0</v>
      </c>
      <c r="F141" s="253" t="n">
        <v>0</v>
      </c>
      <c r="G141" s="253" t="n">
        <v>0</v>
      </c>
      <c r="H141" s="253" t="n">
        <v>0</v>
      </c>
      <c r="I141" s="253" t="n">
        <v>0</v>
      </c>
      <c r="J141" s="253" t="n">
        <v>19.051</v>
      </c>
      <c r="K141" s="253" t="n">
        <v>27.089</v>
      </c>
      <c r="L141" s="253" t="n">
        <v>16.355</v>
      </c>
      <c r="M141" s="253" t="n">
        <v>0</v>
      </c>
      <c r="N141" s="253" t="n">
        <v>0</v>
      </c>
      <c r="O141" s="253" t="n">
        <v>0</v>
      </c>
      <c r="P141" s="253" t="n">
        <v>0</v>
      </c>
      <c r="Q141" s="253" t="n">
        <v>0</v>
      </c>
      <c r="R141" s="253" t="n">
        <v>2.982</v>
      </c>
      <c r="S141" s="253" t="n">
        <v>0</v>
      </c>
      <c r="T141" s="253" t="n">
        <v>0</v>
      </c>
      <c r="U141" s="253" t="n">
        <v>0</v>
      </c>
      <c r="V141" s="253" t="n">
        <v>2.982</v>
      </c>
      <c r="W141" s="253" t="n">
        <v>0</v>
      </c>
      <c r="X141" s="253" t="n">
        <v>0</v>
      </c>
      <c r="Y141" s="253" t="n">
        <v>0</v>
      </c>
      <c r="Z141" s="253" t="n">
        <v>0</v>
      </c>
      <c r="AA141" s="253" t="n">
        <v>0</v>
      </c>
      <c r="AB141" s="253" t="n">
        <v>4.238</v>
      </c>
      <c r="AC141" s="253" t="n">
        <v>1.664</v>
      </c>
      <c r="AD141" s="253" t="n">
        <v>0</v>
      </c>
      <c r="AE141" s="253" t="n">
        <v>4.378</v>
      </c>
      <c r="AF141" s="253" t="n">
        <v>10.28</v>
      </c>
      <c r="AG141" s="253" t="n">
        <v>3.518</v>
      </c>
      <c r="AH141" s="253" t="n">
        <v>3.793</v>
      </c>
      <c r="AI141" s="253" t="n">
        <v>0</v>
      </c>
      <c r="AJ141" s="253" t="n">
        <v>0</v>
      </c>
      <c r="AK141" s="253" t="n">
        <v>7.31</v>
      </c>
      <c r="AL141" s="253" t="n">
        <v>0</v>
      </c>
      <c r="AM141" s="253" t="n">
        <v>0</v>
      </c>
      <c r="AN141" s="253" t="n">
        <v>0</v>
      </c>
      <c r="AO141" s="272" t="n">
        <v>0</v>
      </c>
      <c r="AP141" s="254">
        <f>SUM(AL141:AO141)</f>
        <v>0</v>
      </c>
      <c r="AQ141" s="254">
        <f>AQ78*AQ142</f>
        <v>2</v>
      </c>
      <c r="AR141" s="254">
        <f>AR78*AR142</f>
        <v>2</v>
      </c>
      <c r="AS141" s="254">
        <f>AS78*AS142</f>
        <v>2</v>
      </c>
      <c r="AT141" s="254">
        <f>AT78*AT142</f>
        <v>2</v>
      </c>
      <c r="AU141" s="254">
        <f>AU78*AU142</f>
        <v>2</v>
      </c>
      <c r="AV141" s="19" t="n"/>
    </row>
    <row r="142" ht="15" customHeight="1" s="251">
      <c r="B142" s="25" t="inlineStr">
        <is>
          <t xml:space="preserve">  Acquisition &amp; integration costs % of acquisition spend</t>
        </is>
      </c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24" t="n"/>
      <c r="AP142" s="24" t="n"/>
      <c r="AQ142" s="265" t="n">
        <v>0.02</v>
      </c>
      <c r="AR142" s="265" t="n">
        <v>0.02</v>
      </c>
      <c r="AS142" s="265" t="n">
        <v>0.02</v>
      </c>
      <c r="AT142" s="265" t="n">
        <v>0.02</v>
      </c>
      <c r="AU142" s="265" t="n">
        <v>0.02</v>
      </c>
      <c r="AV142" s="153" t="n"/>
    </row>
    <row r="143" ht="15" customHeight="1" s="251">
      <c r="B143" s="25" t="inlineStr">
        <is>
          <t xml:space="preserve">  Purchase accounting (L'Orange inventory step-up and backlog amortization)</t>
        </is>
      </c>
      <c r="C143" s="253" t="n">
        <v>0</v>
      </c>
      <c r="D143" s="253" t="n">
        <v>0</v>
      </c>
      <c r="E143" s="253" t="n">
        <v>0</v>
      </c>
      <c r="F143" s="253" t="n">
        <v>0</v>
      </c>
      <c r="G143" s="253" t="n">
        <v>0</v>
      </c>
      <c r="H143" s="253" t="n">
        <v>0</v>
      </c>
      <c r="I143" s="253" t="n">
        <v>0</v>
      </c>
      <c r="J143" s="253" t="n">
        <v>34.385</v>
      </c>
      <c r="K143" s="253" t="n">
        <v>21.1</v>
      </c>
      <c r="L143" s="253" t="n">
        <v>0</v>
      </c>
      <c r="M143" s="253" t="n">
        <v>0</v>
      </c>
      <c r="N143" s="253" t="n">
        <v>0</v>
      </c>
      <c r="O143" s="253" t="n">
        <v>0</v>
      </c>
      <c r="P143" s="253" t="n">
        <v>0</v>
      </c>
      <c r="Q143" s="253" t="n">
        <v>0</v>
      </c>
      <c r="R143" s="253" t="n">
        <v>0</v>
      </c>
      <c r="S143" s="253" t="n">
        <v>0</v>
      </c>
      <c r="T143" s="253" t="n">
        <v>0</v>
      </c>
      <c r="U143" s="253" t="n">
        <v>0</v>
      </c>
      <c r="V143" s="253" t="n">
        <v>0</v>
      </c>
      <c r="W143" s="253" t="n">
        <v>0</v>
      </c>
      <c r="X143" s="253" t="n">
        <v>0</v>
      </c>
      <c r="Y143" s="253" t="n">
        <v>0</v>
      </c>
      <c r="Z143" s="253" t="n">
        <v>0</v>
      </c>
      <c r="AA143" s="253" t="n">
        <v>0</v>
      </c>
      <c r="AB143" s="253" t="n">
        <v>0</v>
      </c>
      <c r="AC143" s="253" t="n">
        <v>0</v>
      </c>
      <c r="AD143" s="253" t="n">
        <v>0</v>
      </c>
      <c r="AE143" s="253" t="n">
        <v>0</v>
      </c>
      <c r="AF143" s="253" t="n">
        <v>0</v>
      </c>
      <c r="AG143" s="253" t="n">
        <v>0</v>
      </c>
      <c r="AH143" s="253" t="n">
        <v>0</v>
      </c>
      <c r="AI143" s="253" t="n">
        <v>0</v>
      </c>
      <c r="AJ143" s="253" t="n">
        <v>0</v>
      </c>
      <c r="AK143" s="253" t="n">
        <v>0</v>
      </c>
      <c r="AL143" s="253" t="n">
        <v>0</v>
      </c>
      <c r="AM143" s="253" t="n">
        <v>0</v>
      </c>
      <c r="AN143" s="253" t="n">
        <v>0</v>
      </c>
      <c r="AO143" s="254">
        <f>0</f>
        <v>0</v>
      </c>
      <c r="AP143" s="254">
        <f>SUM(AL143:AO143)</f>
        <v>0</v>
      </c>
      <c r="AQ143" s="254">
        <f>0</f>
        <v>0</v>
      </c>
      <c r="AR143" s="254">
        <f>0</f>
        <v>0</v>
      </c>
      <c r="AS143" s="254">
        <f>0</f>
        <v>0</v>
      </c>
      <c r="AT143" s="254">
        <f>0</f>
        <v>0</v>
      </c>
      <c r="AU143" s="254">
        <f>0</f>
        <v>0</v>
      </c>
      <c r="AV143" s="19" t="n"/>
    </row>
    <row r="144" ht="15" customHeight="1" s="251">
      <c r="B144" s="25" t="inlineStr">
        <is>
          <t xml:space="preserve">  (Gains) / losses on sales of businesses, properties &amp; product lines; swaps (product rationalization)</t>
        </is>
      </c>
      <c r="C144" s="253" t="n">
        <v>0</v>
      </c>
      <c r="D144" s="253" t="n">
        <v>0</v>
      </c>
      <c r="E144" s="253" t="n">
        <v>0</v>
      </c>
      <c r="F144" s="253" t="n">
        <v>0</v>
      </c>
      <c r="G144" s="253" t="n">
        <v>0</v>
      </c>
      <c r="H144" s="253" t="n">
        <v>0</v>
      </c>
      <c r="I144" s="253" t="n">
        <v>0</v>
      </c>
      <c r="J144" s="253" t="n">
        <v>0</v>
      </c>
      <c r="K144" s="253" t="n">
        <v>0</v>
      </c>
      <c r="L144" s="253" t="n">
        <v>-51.619</v>
      </c>
      <c r="M144" s="253" t="n">
        <v>0</v>
      </c>
      <c r="N144" s="253" t="n">
        <v>0</v>
      </c>
      <c r="O144" s="253" t="n">
        <v>0</v>
      </c>
      <c r="P144" s="253" t="n">
        <v>0</v>
      </c>
      <c r="Q144" s="253" t="n">
        <v>0</v>
      </c>
      <c r="R144" s="253" t="n">
        <v>0</v>
      </c>
      <c r="S144" s="253" t="n">
        <v>0</v>
      </c>
      <c r="T144" s="253" t="n">
        <v>0</v>
      </c>
      <c r="U144" s="253" t="n">
        <v>0</v>
      </c>
      <c r="V144" s="253" t="n">
        <v>0</v>
      </c>
      <c r="W144" s="253" t="n">
        <v>0</v>
      </c>
      <c r="X144" s="253" t="n">
        <v>10.504</v>
      </c>
      <c r="Y144" s="253" t="n">
        <v>0</v>
      </c>
      <c r="Z144" s="253" t="n">
        <v>0</v>
      </c>
      <c r="AA144" s="253" t="n">
        <v>10.504</v>
      </c>
      <c r="AB144" s="253" t="n">
        <v>-4.803</v>
      </c>
      <c r="AC144" s="253" t="n">
        <v>0</v>
      </c>
      <c r="AD144" s="253" t="n">
        <v>0</v>
      </c>
      <c r="AE144" s="253" t="n">
        <v>0</v>
      </c>
      <c r="AF144" s="253" t="n">
        <v>-4.803</v>
      </c>
      <c r="AG144" s="253" t="n">
        <v>-9.361000000000001</v>
      </c>
      <c r="AH144" s="253" t="n">
        <v>-11.163</v>
      </c>
      <c r="AI144" s="253" t="n">
        <v>0</v>
      </c>
      <c r="AJ144" s="253" t="n">
        <v>0</v>
      </c>
      <c r="AK144" s="253" t="n">
        <v>-20.524</v>
      </c>
      <c r="AL144" s="253" t="n">
        <v>0</v>
      </c>
      <c r="AM144" s="253" t="n">
        <v>0</v>
      </c>
      <c r="AN144" s="253" t="n">
        <v>0</v>
      </c>
      <c r="AO144" s="272" t="n">
        <v>0</v>
      </c>
      <c r="AP144" s="254">
        <f>SUM(AL144:AO144)</f>
        <v>0</v>
      </c>
      <c r="AQ144" s="254">
        <f>-AQ95</f>
        <v>-163.636</v>
      </c>
      <c r="AR144" s="254">
        <f>-AR95</f>
        <v>0</v>
      </c>
      <c r="AS144" s="254">
        <f>-AS95</f>
        <v>0</v>
      </c>
      <c r="AT144" s="254">
        <f>-AT95</f>
        <v>0</v>
      </c>
      <c r="AU144" s="254">
        <f>-AU95</f>
        <v>0</v>
      </c>
      <c r="AV144" s="19" t="inlineStr">
        <is>
          <t>2027E: gain on the pending pilot-controls sale (negative = gain adjusted out).</t>
        </is>
      </c>
    </row>
    <row r="145" ht="15" customHeight="1" s="251">
      <c r="B145" s="25" t="inlineStr">
        <is>
          <t xml:space="preserve">  Impairments (Senvion FY2019; assets sold FY2020)</t>
        </is>
      </c>
      <c r="C145" s="253" t="n">
        <v>0</v>
      </c>
      <c r="D145" s="253" t="n">
        <v>0</v>
      </c>
      <c r="E145" s="253" t="n">
        <v>0</v>
      </c>
      <c r="F145" s="253" t="n">
        <v>0</v>
      </c>
      <c r="G145" s="253" t="n">
        <v>0</v>
      </c>
      <c r="H145" s="253" t="n">
        <v>0</v>
      </c>
      <c r="I145" s="253" t="n">
        <v>0</v>
      </c>
      <c r="J145" s="253" t="n">
        <v>0</v>
      </c>
      <c r="K145" s="253" t="n">
        <v>12.601</v>
      </c>
      <c r="L145" s="253" t="n">
        <v>37.902</v>
      </c>
      <c r="M145" s="253" t="n">
        <v>0</v>
      </c>
      <c r="N145" s="253" t="n">
        <v>0</v>
      </c>
      <c r="O145" s="253" t="n">
        <v>0</v>
      </c>
      <c r="P145" s="253" t="n">
        <v>0</v>
      </c>
      <c r="Q145" s="253" t="n">
        <v>0</v>
      </c>
      <c r="R145" s="253" t="n">
        <v>0</v>
      </c>
      <c r="S145" s="253" t="n">
        <v>0</v>
      </c>
      <c r="T145" s="253" t="n">
        <v>0</v>
      </c>
      <c r="U145" s="253" t="n">
        <v>0</v>
      </c>
      <c r="V145" s="253" t="n">
        <v>0</v>
      </c>
      <c r="W145" s="253" t="n">
        <v>0</v>
      </c>
      <c r="X145" s="253" t="n">
        <v>0</v>
      </c>
      <c r="Y145" s="253" t="n">
        <v>0</v>
      </c>
      <c r="Z145" s="253" t="n">
        <v>0</v>
      </c>
      <c r="AA145" s="253" t="n">
        <v>0</v>
      </c>
      <c r="AB145" s="253" t="n">
        <v>0</v>
      </c>
      <c r="AC145" s="253" t="n">
        <v>0</v>
      </c>
      <c r="AD145" s="253" t="n">
        <v>0</v>
      </c>
      <c r="AE145" s="253" t="n">
        <v>0</v>
      </c>
      <c r="AF145" s="253" t="n">
        <v>0</v>
      </c>
      <c r="AG145" s="253" t="n">
        <v>0</v>
      </c>
      <c r="AH145" s="253" t="n">
        <v>0</v>
      </c>
      <c r="AI145" s="253" t="n">
        <v>0</v>
      </c>
      <c r="AJ145" s="253" t="n">
        <v>0</v>
      </c>
      <c r="AK145" s="253" t="n">
        <v>0</v>
      </c>
      <c r="AL145" s="253" t="n">
        <v>0</v>
      </c>
      <c r="AM145" s="253" t="n">
        <v>0</v>
      </c>
      <c r="AN145" s="253" t="n">
        <v>0</v>
      </c>
      <c r="AO145" s="254">
        <f>0</f>
        <v>0</v>
      </c>
      <c r="AP145" s="254">
        <f>SUM(AL145:AO145)</f>
        <v>0</v>
      </c>
      <c r="AQ145" s="254">
        <f>0</f>
        <v>0</v>
      </c>
      <c r="AR145" s="254">
        <f>0</f>
        <v>0</v>
      </c>
      <c r="AS145" s="254">
        <f>0</f>
        <v>0</v>
      </c>
      <c r="AT145" s="254">
        <f>0</f>
        <v>0</v>
      </c>
      <c r="AU145" s="254">
        <f>0</f>
        <v>0</v>
      </c>
      <c r="AV145" s="19" t="n"/>
    </row>
    <row r="146" ht="15" customHeight="1" s="251">
      <c r="B146" s="25" t="inlineStr">
        <is>
          <t xml:space="preserve">  Other items (inventory / collections charges, non-recurring matters, stock-compensation acceleration, Forward Option)</t>
        </is>
      </c>
      <c r="C146" s="253" t="n">
        <v>0</v>
      </c>
      <c r="D146" s="253" t="n">
        <v>0</v>
      </c>
      <c r="E146" s="253" t="n">
        <v>0</v>
      </c>
      <c r="F146" s="253" t="n">
        <v>0</v>
      </c>
      <c r="G146" s="253" t="n">
        <v>0</v>
      </c>
      <c r="H146" s="253" t="n">
        <v>0</v>
      </c>
      <c r="I146" s="253" t="n">
        <v>0</v>
      </c>
      <c r="J146" s="253" t="n">
        <v>5.543</v>
      </c>
      <c r="K146" s="253" t="n">
        <v>0</v>
      </c>
      <c r="L146" s="253" t="n">
        <v>2.376</v>
      </c>
      <c r="M146" s="253" t="n">
        <v>0</v>
      </c>
      <c r="N146" s="253" t="n">
        <v>0</v>
      </c>
      <c r="O146" s="253" t="n">
        <v>0</v>
      </c>
      <c r="P146" s="253" t="n">
        <v>0</v>
      </c>
      <c r="Q146" s="253" t="n">
        <v>0</v>
      </c>
      <c r="R146" s="253" t="n">
        <v>5</v>
      </c>
      <c r="S146" s="253" t="n">
        <v>-1.728</v>
      </c>
      <c r="T146" s="253" t="n">
        <v>0</v>
      </c>
      <c r="U146" s="253" t="n">
        <v>0</v>
      </c>
      <c r="V146" s="253" t="n">
        <v>3.272</v>
      </c>
      <c r="W146" s="253" t="n">
        <v>0</v>
      </c>
      <c r="X146" s="253" t="n">
        <v>16.992</v>
      </c>
      <c r="Y146" s="253" t="n">
        <v>0</v>
      </c>
      <c r="Z146" s="253" t="n">
        <v>0</v>
      </c>
      <c r="AA146" s="253" t="n">
        <v>16.992</v>
      </c>
      <c r="AB146" s="253" t="n">
        <v>0</v>
      </c>
      <c r="AC146" s="253" t="n">
        <v>0</v>
      </c>
      <c r="AD146" s="253" t="n">
        <v>0</v>
      </c>
      <c r="AE146" s="253" t="n">
        <v>0</v>
      </c>
      <c r="AF146" s="253" t="n">
        <v>0</v>
      </c>
      <c r="AG146" s="253" t="n">
        <v>0</v>
      </c>
      <c r="AH146" s="253" t="n">
        <v>0</v>
      </c>
      <c r="AI146" s="253" t="n">
        <v>0</v>
      </c>
      <c r="AJ146" s="253" t="n">
        <v>6.536</v>
      </c>
      <c r="AK146" s="253" t="n">
        <v>6.536</v>
      </c>
      <c r="AL146" s="253" t="n">
        <v>0</v>
      </c>
      <c r="AM146" s="253" t="n">
        <v>0</v>
      </c>
      <c r="AN146" s="253" t="n">
        <v>0</v>
      </c>
      <c r="AO146" s="254">
        <f>0</f>
        <v>0</v>
      </c>
      <c r="AP146" s="254">
        <f>SUM(AL146:AO146)</f>
        <v>0</v>
      </c>
      <c r="AQ146" s="254">
        <f>0</f>
        <v>0</v>
      </c>
      <c r="AR146" s="254">
        <f>0</f>
        <v>0</v>
      </c>
      <c r="AS146" s="254">
        <f>0</f>
        <v>0</v>
      </c>
      <c r="AT146" s="254">
        <f>0</f>
        <v>0</v>
      </c>
      <c r="AU146" s="254">
        <f>0</f>
        <v>0</v>
      </c>
      <c r="AV146" s="19" t="n"/>
    </row>
    <row r="147" ht="15" customHeight="1" s="251">
      <c r="B147" s="156" t="inlineStr">
        <is>
          <t xml:space="preserve">  Memo: adjusting items recorded in D&amp;A (L'Orange backlog amortization; not added back again in adjusted EBITDA)</t>
        </is>
      </c>
      <c r="C147" s="253" t="n">
        <v>0</v>
      </c>
      <c r="D147" s="253" t="n">
        <v>0</v>
      </c>
      <c r="E147" s="253" t="n">
        <v>0</v>
      </c>
      <c r="F147" s="253" t="n">
        <v>0</v>
      </c>
      <c r="G147" s="253" t="n">
        <v>0</v>
      </c>
      <c r="H147" s="253" t="n">
        <v>0</v>
      </c>
      <c r="I147" s="253" t="n">
        <v>0</v>
      </c>
      <c r="J147" s="253" t="n">
        <v>18.061</v>
      </c>
      <c r="K147" s="253" t="n">
        <v>21.1</v>
      </c>
      <c r="L147" s="253" t="n">
        <v>0</v>
      </c>
      <c r="M147" s="253" t="n">
        <v>0</v>
      </c>
      <c r="N147" s="253" t="n">
        <v>0</v>
      </c>
      <c r="O147" s="253" t="n">
        <v>0</v>
      </c>
      <c r="P147" s="253" t="n">
        <v>0</v>
      </c>
      <c r="Q147" s="253" t="n">
        <v>0</v>
      </c>
      <c r="R147" s="253" t="n">
        <v>0</v>
      </c>
      <c r="S147" s="253" t="n">
        <v>0</v>
      </c>
      <c r="T147" s="253" t="n">
        <v>0</v>
      </c>
      <c r="U147" s="253" t="n">
        <v>0</v>
      </c>
      <c r="V147" s="253" t="n">
        <v>0</v>
      </c>
      <c r="W147" s="253" t="n">
        <v>0</v>
      </c>
      <c r="X147" s="253" t="n">
        <v>0</v>
      </c>
      <c r="Y147" s="253" t="n">
        <v>0</v>
      </c>
      <c r="Z147" s="253" t="n">
        <v>0</v>
      </c>
      <c r="AA147" s="253" t="n">
        <v>0</v>
      </c>
      <c r="AB147" s="253" t="n">
        <v>0</v>
      </c>
      <c r="AC147" s="253" t="n">
        <v>0</v>
      </c>
      <c r="AD147" s="253" t="n">
        <v>0</v>
      </c>
      <c r="AE147" s="253" t="n">
        <v>0</v>
      </c>
      <c r="AF147" s="253" t="n">
        <v>0</v>
      </c>
      <c r="AG147" s="253" t="n">
        <v>0</v>
      </c>
      <c r="AH147" s="253" t="n">
        <v>0</v>
      </c>
      <c r="AI147" s="253" t="n">
        <v>0</v>
      </c>
      <c r="AJ147" s="253" t="n">
        <v>0</v>
      </c>
      <c r="AK147" s="253" t="n">
        <v>0</v>
      </c>
      <c r="AL147" s="253" t="n">
        <v>0</v>
      </c>
      <c r="AM147" s="253" t="n">
        <v>0</v>
      </c>
      <c r="AN147" s="253" t="n">
        <v>0</v>
      </c>
      <c r="AO147" s="274">
        <f>0</f>
        <v>0</v>
      </c>
      <c r="AP147" s="274">
        <f>SUM(AL147:AO147)</f>
        <v>0</v>
      </c>
      <c r="AQ147" s="274">
        <f>0</f>
        <v>0</v>
      </c>
      <c r="AR147" s="274">
        <f>0</f>
        <v>0</v>
      </c>
      <c r="AS147" s="274">
        <f>0</f>
        <v>0</v>
      </c>
      <c r="AT147" s="274">
        <f>0</f>
        <v>0</v>
      </c>
      <c r="AU147" s="274">
        <f>0</f>
        <v>0</v>
      </c>
      <c r="AV147" s="153" t="n"/>
    </row>
    <row r="148" ht="15" customHeight="1" s="251">
      <c r="BD148" s="11" t="n"/>
      <c r="BE148" s="12" t="n"/>
      <c r="BF148" s="12" t="n"/>
      <c r="BG148" s="12" t="n"/>
      <c r="BH148" s="13" t="n"/>
    </row>
    <row r="149" collapsed="1" ht="15" customHeight="1" s="251">
      <c r="B149" s="10" t="inlineStr">
        <is>
          <t>CONSOLIDATED STATEMENT OF EARNINGS (US GAAP)</t>
        </is>
      </c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inlineStr">
        <is>
          <t>CONSOLIDATED IS — forecast logic (EBIT = adjusted EBIT − adjusting items; gross profit implied)</t>
        </is>
      </c>
    </row>
    <row r="150" ht="15" customHeight="1" s="251">
      <c r="B150" s="55" t="inlineStr">
        <is>
          <t>Net sales</t>
        </is>
      </c>
      <c r="C150" s="277" t="n">
        <v>1711.702</v>
      </c>
      <c r="D150" s="277" t="n">
        <v>1865.627</v>
      </c>
      <c r="E150" s="277" t="n">
        <v>1935.976</v>
      </c>
      <c r="F150" s="277" t="n">
        <v>2001.24</v>
      </c>
      <c r="G150" s="277" t="n">
        <v>2038.303</v>
      </c>
      <c r="H150" s="277" t="n">
        <v>2023.078</v>
      </c>
      <c r="I150" s="277" t="n">
        <v>2098.685</v>
      </c>
      <c r="J150" s="277" t="n">
        <v>2325.873</v>
      </c>
      <c r="K150" s="277" t="n">
        <v>2900.197</v>
      </c>
      <c r="L150" s="277" t="n">
        <v>2495.665</v>
      </c>
      <c r="M150" s="277" t="n">
        <v>537.619</v>
      </c>
      <c r="N150" s="277" t="n">
        <v>581.321</v>
      </c>
      <c r="O150" s="277" t="n">
        <v>556.675</v>
      </c>
      <c r="P150" s="277" t="n">
        <v>570.217</v>
      </c>
      <c r="Q150" s="277" t="n">
        <v>2245.832</v>
      </c>
      <c r="R150" s="277" t="n">
        <v>541.586</v>
      </c>
      <c r="S150" s="277" t="n">
        <v>586.8390000000001</v>
      </c>
      <c r="T150" s="277" t="n">
        <v>614.332</v>
      </c>
      <c r="U150" s="277" t="n">
        <v>640.033</v>
      </c>
      <c r="V150" s="277" t="n">
        <v>2382.79</v>
      </c>
      <c r="W150" s="277" t="n">
        <v>618.619</v>
      </c>
      <c r="X150" s="277" t="n">
        <v>718.2140000000001</v>
      </c>
      <c r="Y150" s="277" t="n">
        <v>800.663</v>
      </c>
      <c r="Z150" s="277" t="n">
        <v>777.0700000000001</v>
      </c>
      <c r="AA150" s="277" t="n">
        <v>2914.566</v>
      </c>
      <c r="AB150" s="277" t="n">
        <v>786.73</v>
      </c>
      <c r="AC150" s="277" t="n">
        <v>835.343</v>
      </c>
      <c r="AD150" s="277" t="n">
        <v>847.688</v>
      </c>
      <c r="AE150" s="277" t="n">
        <v>854.4880000000001</v>
      </c>
      <c r="AF150" s="277" t="n">
        <v>3324.249</v>
      </c>
      <c r="AG150" s="277" t="n">
        <v>772.725</v>
      </c>
      <c r="AH150" s="277" t="n">
        <v>883.629</v>
      </c>
      <c r="AI150" s="277" t="n">
        <v>915.446</v>
      </c>
      <c r="AJ150" s="277" t="n">
        <v>995.264</v>
      </c>
      <c r="AK150" s="277" t="n">
        <v>3567.064</v>
      </c>
      <c r="AL150" s="277" t="n">
        <v>996.454</v>
      </c>
      <c r="AM150" s="277" t="n">
        <v>1090.568</v>
      </c>
      <c r="AN150" s="277" t="n">
        <v>1109.705</v>
      </c>
      <c r="AO150" s="273">
        <f>AO99</f>
        <v>1137.25576</v>
      </c>
      <c r="AP150" s="273">
        <f>SUM(AL150:AO150)</f>
        <v>4333.98276</v>
      </c>
      <c r="AQ150" s="273">
        <f>AQ99</f>
        <v>4707.02760746037</v>
      </c>
      <c r="AR150" s="273">
        <f>AR99</f>
        <v>5101.6141786127</v>
      </c>
      <c r="AS150" s="273">
        <f>AS99</f>
        <v>5466.61316688212</v>
      </c>
      <c r="AT150" s="273">
        <f>AT99</f>
        <v>5796.28539934102</v>
      </c>
      <c r="AU150" s="273">
        <f>AU99</f>
        <v>6123.51365488953</v>
      </c>
      <c r="AV150" s="153" t="inlineStr">
        <is>
          <t>Forecast linked to the segment build.</t>
        </is>
      </c>
      <c r="AX150" s="20">
        <f>IFERROR((AU150/AP150)^(1/5)-1,"n/m")</f>
        <v>0.0715753191275013</v>
      </c>
      <c r="AY150" s="20">
        <f>IFERROR((AK150/L150)^(1/5)-1,"n/m")</f>
        <v>0.0740510465589011</v>
      </c>
      <c r="AZ150" s="20">
        <f>IFERROR((AK150/G150)^(1/10)-1,"n/m")</f>
        <v>0.0575580509577025</v>
      </c>
      <c r="BA150" s="20">
        <f>IFERROR((AK150/C150)^(1/14)-1,"n/m")</f>
        <v>0.0538464546515822</v>
      </c>
    </row>
    <row r="151" ht="15" customHeight="1" s="251">
      <c r="B151" s="25" t="inlineStr">
        <is>
          <t>Cost of goods sold</t>
        </is>
      </c>
      <c r="C151" s="253" t="n">
        <v>1198.153</v>
      </c>
      <c r="D151" s="253" t="n">
        <v>1303.344</v>
      </c>
      <c r="E151" s="253" t="n">
        <v>1376.271</v>
      </c>
      <c r="F151" s="253" t="n">
        <v>1425.839</v>
      </c>
      <c r="G151" s="253" t="n">
        <v>1453.718</v>
      </c>
      <c r="H151" s="253" t="n">
        <v>1475.54</v>
      </c>
      <c r="I151" s="253" t="n">
        <v>1526.126</v>
      </c>
      <c r="J151" s="253" t="n">
        <v>1719.675</v>
      </c>
      <c r="K151" s="253" t="n">
        <v>2192.654</v>
      </c>
      <c r="L151" s="253" t="n">
        <v>1855.422</v>
      </c>
      <c r="M151" s="253" t="n">
        <v>401.64</v>
      </c>
      <c r="N151" s="253" t="n">
        <v>434.243</v>
      </c>
      <c r="O151" s="253" t="n">
        <v>422.457</v>
      </c>
      <c r="P151" s="253" t="n">
        <v>436.434</v>
      </c>
      <c r="Q151" s="253" t="n">
        <v>1694.774</v>
      </c>
      <c r="R151" s="253" t="n">
        <v>419.151</v>
      </c>
      <c r="S151" s="253" t="n">
        <v>453.425</v>
      </c>
      <c r="T151" s="253" t="n">
        <v>480.403</v>
      </c>
      <c r="U151" s="253" t="n">
        <v>504.506</v>
      </c>
      <c r="V151" s="253" t="n">
        <v>1857.485</v>
      </c>
      <c r="W151" s="253" t="n">
        <v>492.663</v>
      </c>
      <c r="X151" s="253" t="n">
        <v>559.149</v>
      </c>
      <c r="Y151" s="253" t="n">
        <v>596.251</v>
      </c>
      <c r="Z151" s="253" t="n">
        <v>587.51</v>
      </c>
      <c r="AA151" s="253" t="n">
        <v>2236.983</v>
      </c>
      <c r="AB151" s="253" t="n">
        <v>582.381</v>
      </c>
      <c r="AC151" s="253" t="n">
        <v>600.954</v>
      </c>
      <c r="AD151" s="253" t="n">
        <v>617.702</v>
      </c>
      <c r="AE151" s="253" t="n">
        <v>646.7329999999999</v>
      </c>
      <c r="AF151" s="253" t="n">
        <v>2447.77</v>
      </c>
      <c r="AG151" s="253" t="n">
        <v>583.091</v>
      </c>
      <c r="AH151" s="253" t="n">
        <v>643.53</v>
      </c>
      <c r="AI151" s="253" t="n">
        <v>666.287</v>
      </c>
      <c r="AJ151" s="253" t="n">
        <v>717.864</v>
      </c>
      <c r="AK151" s="253" t="n">
        <v>2610.772</v>
      </c>
      <c r="AL151" s="253" t="n">
        <v>704.293</v>
      </c>
      <c r="AM151" s="253" t="n">
        <v>774.66</v>
      </c>
      <c r="AN151" s="253" t="n">
        <v>759.799</v>
      </c>
      <c r="AO151" s="254">
        <f>AO150-AO152</f>
        <v>799.167303676789</v>
      </c>
      <c r="AP151" s="254">
        <f>SUM(AL151:AO151)</f>
        <v>3037.91930367679</v>
      </c>
      <c r="AQ151" s="254">
        <f>AQ150-AQ152</f>
        <v>3275.55719043331</v>
      </c>
      <c r="AR151" s="254">
        <f>AR150-AR152</f>
        <v>3529.74515764117</v>
      </c>
      <c r="AS151" s="254">
        <f>AS150-AS152</f>
        <v>3760.25759367837</v>
      </c>
      <c r="AT151" s="254">
        <f>AT150-AT152</f>
        <v>3974.35738767951</v>
      </c>
      <c r="AU151" s="254">
        <f>AU150-AU152</f>
        <v>4181.78789023248</v>
      </c>
      <c r="AV151" s="19" t="n"/>
    </row>
    <row r="152" ht="15" customHeight="1" s="251">
      <c r="B152" s="16" t="inlineStr">
        <is>
          <t>Gross profit</t>
        </is>
      </c>
      <c r="C152" s="261">
        <f>IF(ISNUMBER(C151),C150-C151,"")</f>
        <v>513.549</v>
      </c>
      <c r="D152" s="261">
        <f>IF(ISNUMBER(D151),D150-D151,"")</f>
        <v>562.283</v>
      </c>
      <c r="E152" s="261">
        <f>IF(ISNUMBER(E151),E150-E151,"")</f>
        <v>559.705</v>
      </c>
      <c r="F152" s="261">
        <f>IF(ISNUMBER(F151),F150-F151,"")</f>
        <v>575.401</v>
      </c>
      <c r="G152" s="261">
        <f>IF(ISNUMBER(G151),G150-G151,"")</f>
        <v>584.585</v>
      </c>
      <c r="H152" s="261">
        <f>IF(ISNUMBER(H151),H150-H151,"")</f>
        <v>547.538</v>
      </c>
      <c r="I152" s="261">
        <f>IF(ISNUMBER(I151),I150-I151,"")</f>
        <v>572.559</v>
      </c>
      <c r="J152" s="261">
        <f>IF(ISNUMBER(J151),J150-J151,"")</f>
        <v>606.198</v>
      </c>
      <c r="K152" s="261">
        <f>IF(ISNUMBER(K151),K150-K151,"")</f>
        <v>707.543</v>
      </c>
      <c r="L152" s="261">
        <f>IF(ISNUMBER(L151),L150-L151,"")</f>
        <v>640.243</v>
      </c>
      <c r="M152" s="261">
        <f>IF(ISNUMBER(M151),M150-M151,"")</f>
        <v>135.979</v>
      </c>
      <c r="N152" s="261">
        <f>IF(ISNUMBER(N151),N150-N151,"")</f>
        <v>147.078</v>
      </c>
      <c r="O152" s="261">
        <f>IF(ISNUMBER(O151),O150-O151,"")</f>
        <v>134.218</v>
      </c>
      <c r="P152" s="261">
        <f>IF(ISNUMBER(P151),P150-P151,"")</f>
        <v>133.783</v>
      </c>
      <c r="Q152" s="261">
        <f>IF(ISNUMBER(Q151),Q150-Q151,"")</f>
        <v>551.058</v>
      </c>
      <c r="R152" s="261">
        <f>IF(ISNUMBER(R151),R150-R151,"")</f>
        <v>122.435</v>
      </c>
      <c r="S152" s="261">
        <f>IF(ISNUMBER(S151),S150-S151,"")</f>
        <v>133.414</v>
      </c>
      <c r="T152" s="261">
        <f>IF(ISNUMBER(T151),T150-T151,"")</f>
        <v>133.929</v>
      </c>
      <c r="U152" s="261">
        <f>IF(ISNUMBER(U151),U150-U151,"")</f>
        <v>135.527</v>
      </c>
      <c r="V152" s="261">
        <f>IF(ISNUMBER(V151),V150-V151,"")</f>
        <v>525.305</v>
      </c>
      <c r="W152" s="261">
        <f>IF(ISNUMBER(W151),W150-W151,"")</f>
        <v>125.956</v>
      </c>
      <c r="X152" s="261">
        <f>IF(ISNUMBER(X151),X150-X151,"")</f>
        <v>159.065</v>
      </c>
      <c r="Y152" s="261">
        <f>IF(ISNUMBER(Y151),Y150-Y151,"")</f>
        <v>204.412</v>
      </c>
      <c r="Z152" s="261">
        <f>IF(ISNUMBER(Z151),Z150-Z151,"")</f>
        <v>189.56</v>
      </c>
      <c r="AA152" s="261">
        <f>IF(ISNUMBER(AA151),AA150-AA151,"")</f>
        <v>677.583</v>
      </c>
      <c r="AB152" s="261">
        <f>IF(ISNUMBER(AB151),AB150-AB151,"")</f>
        <v>204.349</v>
      </c>
      <c r="AC152" s="261">
        <f>IF(ISNUMBER(AC151),AC150-AC151,"")</f>
        <v>234.389</v>
      </c>
      <c r="AD152" s="261">
        <f>IF(ISNUMBER(AD151),AD150-AD151,"")</f>
        <v>229.986</v>
      </c>
      <c r="AE152" s="261">
        <f>IF(ISNUMBER(AE151),AE150-AE151,"")</f>
        <v>207.755</v>
      </c>
      <c r="AF152" s="261">
        <f>IF(ISNUMBER(AF151),AF150-AF151,"")</f>
        <v>876.479</v>
      </c>
      <c r="AG152" s="261">
        <f>IF(ISNUMBER(AG151),AG150-AG151,"")</f>
        <v>189.634</v>
      </c>
      <c r="AH152" s="261">
        <f>IF(ISNUMBER(AH151),AH150-AH151,"")</f>
        <v>240.099</v>
      </c>
      <c r="AI152" s="261">
        <f>IF(ISNUMBER(AI151),AI150-AI151,"")</f>
        <v>249.159</v>
      </c>
      <c r="AJ152" s="261">
        <f>IF(ISNUMBER(AJ151),AJ150-AJ151,"")</f>
        <v>277.4</v>
      </c>
      <c r="AK152" s="261">
        <f>IF(ISNUMBER(AK151),AK150-AK151,"")</f>
        <v>956.292</v>
      </c>
      <c r="AL152" s="261">
        <f>IF(ISNUMBER(AL151),AL150-AL151,"")</f>
        <v>292.161</v>
      </c>
      <c r="AM152" s="261">
        <f>IF(ISNUMBER(AM151),AM150-AM151,"")</f>
        <v>315.908</v>
      </c>
      <c r="AN152" s="261">
        <f>IF(ISNUMBER(AN151),AN150-AN151,"")</f>
        <v>349.906</v>
      </c>
      <c r="AO152" s="262">
        <f>AO160+AO154+AO155+AO156+AO157+AO158-AO159</f>
        <v>338.088456323211</v>
      </c>
      <c r="AP152" s="262">
        <f>AP160+AP154+AP155+AP156+AP157+AP158-AP159</f>
        <v>1296.06345632321</v>
      </c>
      <c r="AQ152" s="262">
        <f>AQ160+AQ154+AQ155+AQ156+AQ157+AQ158-AQ159</f>
        <v>1431.47041702706</v>
      </c>
      <c r="AR152" s="262">
        <f>AR160+AR154+AR155+AR156+AR157+AR158-AR159</f>
        <v>1571.86902097152</v>
      </c>
      <c r="AS152" s="262">
        <f>AS160+AS154+AS155+AS156+AS157+AS158-AS159</f>
        <v>1706.35557320375</v>
      </c>
      <c r="AT152" s="262">
        <f>AT160+AT154+AT155+AT156+AT157+AT158-AT159</f>
        <v>1821.9280116615</v>
      </c>
      <c r="AU152" s="262">
        <f>AU160+AU154+AU155+AU156+AU157+AU158-AU159</f>
        <v>1941.72576465705</v>
      </c>
      <c r="AV152" s="153" t="inlineStr">
        <is>
          <t>Forecast = EBIT + operating costs − other income (implied by the adjusted EBIT build).</t>
        </is>
      </c>
      <c r="AX152" s="20">
        <f>IFERROR((AU152/AP152)^(1/5)-1,"n/m")</f>
        <v>0.0842072962328941</v>
      </c>
      <c r="AY152" s="20">
        <f>IFERROR((AK152/L152)^(1/5)-1,"n/m")</f>
        <v>0.0835504497975566</v>
      </c>
      <c r="AZ152" s="20">
        <f>IFERROR((AK152/G152)^(1/10)-1,"n/m")</f>
        <v>0.050447339643348</v>
      </c>
      <c r="BA152" s="20">
        <f>IFERROR((AK152/C152)^(1/14)-1,"n/m")</f>
        <v>0.0454092320586226</v>
      </c>
    </row>
    <row r="153" ht="15" customHeight="1" s="251">
      <c r="B153" s="25" t="inlineStr">
        <is>
          <t xml:space="preserve">  Gross margin %</t>
        </is>
      </c>
      <c r="C153" s="215">
        <f>IF(AND(ISNUMBER(C152),ISNUMBER(C150)),IFERROR(C152/C150,""),"")</f>
        <v>0.300022433811493</v>
      </c>
      <c r="D153" s="215">
        <f>IF(AND(ISNUMBER(D152),ISNUMBER(D150)),IFERROR(D152/D150,""),"")</f>
        <v>0.301390899681448</v>
      </c>
      <c r="E153" s="215">
        <f>IF(AND(ISNUMBER(E152),ISNUMBER(E150)),IFERROR(E152/E150,""),"")</f>
        <v>0.289107406290161</v>
      </c>
      <c r="F153" s="215">
        <f>IF(AND(ISNUMBER(F152),ISNUMBER(F150)),IFERROR(F152/F150,""),"")</f>
        <v>0.287522236213548</v>
      </c>
      <c r="G153" s="215">
        <f>IF(AND(ISNUMBER(G152),ISNUMBER(G150)),IFERROR(G152/G150,""),"")</f>
        <v>0.2867998526225</v>
      </c>
      <c r="H153" s="215">
        <f>IF(AND(ISNUMBER(H152),ISNUMBER(H150)),IFERROR(H152/H150,""),"")</f>
        <v>0.270646015625695</v>
      </c>
      <c r="I153" s="215">
        <f>IF(AND(ISNUMBER(I152),ISNUMBER(I150)),IFERROR(I152/I150,""),"")</f>
        <v>0.272817978877249</v>
      </c>
      <c r="J153" s="215">
        <f>IF(AND(ISNUMBER(J152),ISNUMBER(J150)),IFERROR(J152/J150,""),"")</f>
        <v>0.260632459295929</v>
      </c>
      <c r="K153" s="215">
        <f>IF(AND(ISNUMBER(K152),ISNUMBER(K150)),IFERROR(K152/K150,""),"")</f>
        <v>0.24396377211617</v>
      </c>
      <c r="L153" s="215">
        <f>IF(AND(ISNUMBER(L152),ISNUMBER(L150)),IFERROR(L152/L150,""),"")</f>
        <v>0.25654204390413</v>
      </c>
      <c r="M153" s="215">
        <f>IF(AND(ISNUMBER(M152),ISNUMBER(M150)),IFERROR(M152/M150,""),"")</f>
        <v>0.252928188921895</v>
      </c>
      <c r="N153" s="215">
        <f>IF(AND(ISNUMBER(N152),ISNUMBER(N150)),IFERROR(N152/N150,""),"")</f>
        <v>0.253006514473071</v>
      </c>
      <c r="O153" s="215">
        <f>IF(AND(ISNUMBER(O152),ISNUMBER(O150)),IFERROR(O152/O150,""),"")</f>
        <v>0.241106570260924</v>
      </c>
      <c r="P153" s="215">
        <f>IF(AND(ISNUMBER(P152),ISNUMBER(P150)),IFERROR(P152/P150,""),"")</f>
        <v>0.234617698174555</v>
      </c>
      <c r="Q153" s="215">
        <f>IF(AND(ISNUMBER(Q152),ISNUMBER(Q150)),IFERROR(Q152/Q150,""),"")</f>
        <v>0.245369199477076</v>
      </c>
      <c r="R153" s="215">
        <f>IF(AND(ISNUMBER(R152),ISNUMBER(R150)),IFERROR(R152/R150,""),"")</f>
        <v>0.226067512823448</v>
      </c>
      <c r="S153" s="215">
        <f>IF(AND(ISNUMBER(S152),ISNUMBER(S150)),IFERROR(S152/S150,""),"")</f>
        <v>0.227343445135719</v>
      </c>
      <c r="T153" s="215">
        <f>IF(AND(ISNUMBER(T152),ISNUMBER(T150)),IFERROR(T152/T150,""),"")</f>
        <v>0.218007526874719</v>
      </c>
      <c r="U153" s="215">
        <f>IF(AND(ISNUMBER(U152),ISNUMBER(U150)),IFERROR(U152/U150,""),"")</f>
        <v>0.211750019139638</v>
      </c>
      <c r="V153" s="215">
        <f>IF(AND(ISNUMBER(V152),ISNUMBER(V150)),IFERROR(V152/V150,""),"")</f>
        <v>0.220457950553763</v>
      </c>
      <c r="W153" s="215">
        <f>IF(AND(ISNUMBER(W152),ISNUMBER(W150)),IFERROR(W152/W150,""),"")</f>
        <v>0.203608359911351</v>
      </c>
      <c r="X153" s="215">
        <f>IF(AND(ISNUMBER(X152),ISNUMBER(X150)),IFERROR(X152/X150,""),"")</f>
        <v>0.221472987159816</v>
      </c>
      <c r="Y153" s="215">
        <f>IF(AND(ISNUMBER(Y152),ISNUMBER(Y150)),IFERROR(Y152/Y150,""),"")</f>
        <v>0.255303417292919</v>
      </c>
      <c r="Z153" s="215">
        <f>IF(AND(ISNUMBER(Z152),ISNUMBER(Z150)),IFERROR(Z152/Z150,""),"")</f>
        <v>0.24394198720836</v>
      </c>
      <c r="AA153" s="215">
        <f>IF(AND(ISNUMBER(AA152),ISNUMBER(AA150)),IFERROR(AA152/AA150,""),"")</f>
        <v>0.232481611327381</v>
      </c>
      <c r="AB153" s="215">
        <f>IF(AND(ISNUMBER(AB152),ISNUMBER(AB150)),IFERROR(AB152/AB150,""),"")</f>
        <v>0.259744766311187</v>
      </c>
      <c r="AC153" s="215">
        <f>IF(AND(ISNUMBER(AC152),ISNUMBER(AC150)),IFERROR(AC152/AC150,""),"")</f>
        <v>0.280590128845277</v>
      </c>
      <c r="AD153" s="215">
        <f>IF(AND(ISNUMBER(AD152),ISNUMBER(AD150)),IFERROR(AD152/AD150,""),"")</f>
        <v>0.271309727163768</v>
      </c>
      <c r="AE153" s="215">
        <f>IF(AND(ISNUMBER(AE152),ISNUMBER(AE150)),IFERROR(AE152/AE150,""),"")</f>
        <v>0.243133900066473</v>
      </c>
      <c r="AF153" s="215">
        <f>IF(AND(ISNUMBER(AF152),ISNUMBER(AF150)),IFERROR(AF152/AF150,""),"")</f>
        <v>0.263662258753782</v>
      </c>
      <c r="AG153" s="215">
        <f>IF(AND(ISNUMBER(AG152),ISNUMBER(AG150)),IFERROR(AG152/AG150,""),"")</f>
        <v>0.245409427674787</v>
      </c>
      <c r="AH153" s="215">
        <f>IF(AND(ISNUMBER(AH152),ISNUMBER(AH150)),IFERROR(AH152/AH150,""),"")</f>
        <v>0.271719239635639</v>
      </c>
      <c r="AI153" s="215">
        <f>IF(AND(ISNUMBER(AI152),ISNUMBER(AI150)),IFERROR(AI152/AI150,""),"")</f>
        <v>0.272172252650621</v>
      </c>
      <c r="AJ153" s="215">
        <f>IF(AND(ISNUMBER(AJ152),ISNUMBER(AJ150)),IFERROR(AJ152/AJ150,""),"")</f>
        <v>0.278720018005273</v>
      </c>
      <c r="AK153" s="215">
        <f>IF(AND(ISNUMBER(AK152),ISNUMBER(AK150)),IFERROR(AK152/AK150,""),"")</f>
        <v>0.268089386677671</v>
      </c>
      <c r="AL153" s="215">
        <f>IF(AND(ISNUMBER(AL152),ISNUMBER(AL150)),IFERROR(AL152/AL150,""),"")</f>
        <v>0.293200689645483</v>
      </c>
      <c r="AM153" s="215">
        <f>IF(AND(ISNUMBER(AM152),ISNUMBER(AM150)),IFERROR(AM152/AM150,""),"")</f>
        <v>0.289672904394774</v>
      </c>
      <c r="AN153" s="215">
        <f>IF(AND(ISNUMBER(AN152),ISNUMBER(AN150)),IFERROR(AN152/AN150,""),"")</f>
        <v>0.315314430411686</v>
      </c>
      <c r="AO153" s="256">
        <f>IF(AND(ISNUMBER(AO152),ISNUMBER(AO150)),IFERROR(AO152/AO150,""),"")</f>
        <v>0.297284452815795</v>
      </c>
      <c r="AP153" s="256">
        <f>IF(AND(ISNUMBER(AP152),ISNUMBER(AP150)),IFERROR(AP152/AP150,""),"")</f>
        <v>0.299046749397594</v>
      </c>
      <c r="AQ153" s="256">
        <f>IF(AND(ISNUMBER(AQ152),ISNUMBER(AQ150)),IFERROR(AQ152/AQ150,""),"")</f>
        <v>0.304113452565747</v>
      </c>
      <c r="AR153" s="256">
        <f>IF(AND(ISNUMBER(AR152),ISNUMBER(AR150)),IFERROR(AR152/AR150,""),"")</f>
        <v>0.308112092749234</v>
      </c>
      <c r="AS153" s="256">
        <f>IF(AND(ISNUMBER(AS152),ISNUMBER(AS150)),IFERROR(AS152/AS150,""),"")</f>
        <v>0.312141269395319</v>
      </c>
      <c r="AT153" s="256">
        <f>IF(AND(ISNUMBER(AT152),ISNUMBER(AT150)),IFERROR(AT152/AT150,""),"")</f>
        <v>0.31432682936362</v>
      </c>
      <c r="AU153" s="256">
        <f>IF(AND(ISNUMBER(AU152),ISNUMBER(AU150)),IFERROR(AU152/AU150,""),"")</f>
        <v>0.317093399980681</v>
      </c>
      <c r="AV153" s="153" t="n"/>
      <c r="AX153" s="37">
        <f>IFERROR(AVERAGE(AQ153,AR153,AS153,AT153,AU153),"n/m")</f>
        <v>0.31115740881092</v>
      </c>
      <c r="AY153" s="37">
        <f>IFERROR(AVERAGE(Q153,V153,AA153,AF153,AK153),"n/m")</f>
        <v>0.246012081357934</v>
      </c>
      <c r="AZ153" s="37">
        <f>IFERROR(AVERAGE(H153,I153,J153,K153,L153,Q153,V153,AA153,AF153,AK153),"n/m")</f>
        <v>0.253466267660885</v>
      </c>
      <c r="BA153" s="37">
        <f>IFERROR(AVERAGE(C153,D153,E153,F153,G153,H153,I153,J153,K153,L153,Q153,V153,AA153,AF153,AK153),"n/m")</f>
        <v>0.266633700348533</v>
      </c>
    </row>
    <row r="154" ht="15" customHeight="1" s="251">
      <c r="B154" s="25" t="inlineStr">
        <is>
          <t>Selling, general &amp; administrative expenses</t>
        </is>
      </c>
      <c r="C154" s="253" t="n">
        <v>148.903</v>
      </c>
      <c r="D154" s="253" t="n">
        <v>164.512</v>
      </c>
      <c r="E154" s="253" t="n">
        <v>168.097</v>
      </c>
      <c r="F154" s="253" t="n">
        <v>155.339</v>
      </c>
      <c r="G154" s="253" t="n">
        <v>156.995</v>
      </c>
      <c r="H154" s="253" t="n">
        <v>154.951</v>
      </c>
      <c r="I154" s="253" t="n">
        <v>176.633</v>
      </c>
      <c r="J154" s="253" t="n">
        <v>192.757</v>
      </c>
      <c r="K154" s="253" t="n">
        <v>211.205</v>
      </c>
      <c r="L154" s="253" t="n">
        <v>217.71</v>
      </c>
      <c r="M154" s="253" t="n">
        <v>56.111</v>
      </c>
      <c r="N154" s="253" t="n">
        <v>44.329</v>
      </c>
      <c r="O154" s="253" t="n">
        <v>48.021</v>
      </c>
      <c r="P154" s="253" t="n">
        <v>38.405</v>
      </c>
      <c r="Q154" s="253" t="n">
        <v>186.866</v>
      </c>
      <c r="R154" s="253" t="n">
        <v>62.306</v>
      </c>
      <c r="S154" s="253" t="n">
        <v>44.124</v>
      </c>
      <c r="T154" s="253" t="n">
        <v>46.49</v>
      </c>
      <c r="U154" s="253" t="n">
        <v>50.085</v>
      </c>
      <c r="V154" s="253" t="n">
        <v>203.005</v>
      </c>
      <c r="W154" s="253" t="n">
        <v>63.187</v>
      </c>
      <c r="X154" s="253" t="n">
        <v>75.578</v>
      </c>
      <c r="Y154" s="253" t="n">
        <v>64.983</v>
      </c>
      <c r="Z154" s="253" t="n">
        <v>65.944</v>
      </c>
      <c r="AA154" s="253" t="n">
        <v>269.692</v>
      </c>
      <c r="AB154" s="253" t="n">
        <v>74.511</v>
      </c>
      <c r="AC154" s="253" t="n">
        <v>81.447</v>
      </c>
      <c r="AD154" s="253" t="n">
        <v>73.812</v>
      </c>
      <c r="AE154" s="253" t="n">
        <v>77.729</v>
      </c>
      <c r="AF154" s="253" t="n">
        <v>307.499</v>
      </c>
      <c r="AG154" s="253" t="n">
        <v>69.696</v>
      </c>
      <c r="AH154" s="253" t="n">
        <v>83.842</v>
      </c>
      <c r="AI154" s="253" t="n">
        <v>88.703</v>
      </c>
      <c r="AJ154" s="253" t="n">
        <v>87.58199999999999</v>
      </c>
      <c r="AK154" s="253" t="n">
        <v>329.823</v>
      </c>
      <c r="AL154" s="253" t="n">
        <v>94.985</v>
      </c>
      <c r="AM154" s="253" t="n">
        <v>102.285</v>
      </c>
      <c r="AN154" s="253" t="n">
        <v>106.465</v>
      </c>
      <c r="AO154" s="254">
        <f>AO150*AO134</f>
        <v>101.013221470103</v>
      </c>
      <c r="AP154" s="254">
        <f>SUM(AL154:AO154)</f>
        <v>404.748221470103</v>
      </c>
      <c r="AQ154" s="254">
        <f>AQ150*AQ134</f>
        <v>437.753567493815</v>
      </c>
      <c r="AR154" s="254">
        <f>AR150*AR134</f>
        <v>469.348504432368</v>
      </c>
      <c r="AS154" s="254">
        <f>AS150*AS134</f>
        <v>497.461798186273</v>
      </c>
      <c r="AT154" s="254">
        <f>AT150*AT134</f>
        <v>521.665685940691</v>
      </c>
      <c r="AU154" s="254">
        <f>AU150*AU134</f>
        <v>551.116228940058</v>
      </c>
      <c r="AV154" s="19" t="n"/>
      <c r="AX154" s="20">
        <f>IFERROR((AU154/AP154)^(1/5)-1,"n/m")</f>
        <v>0.0636816085608289</v>
      </c>
      <c r="AY154" s="20">
        <f>IFERROR((AK154/L154)^(1/5)-1,"n/m")</f>
        <v>0.0866270500039097</v>
      </c>
      <c r="AZ154" s="20">
        <f>IFERROR((AK154/G154)^(1/10)-1,"n/m")</f>
        <v>0.0770590435639655</v>
      </c>
      <c r="BA154" s="20">
        <f>IFERROR((AK154/C154)^(1/14)-1,"n/m")</f>
        <v>0.0584487167202901</v>
      </c>
    </row>
    <row r="155" ht="15" customHeight="1" s="251">
      <c r="B155" s="25" t="inlineStr">
        <is>
          <t>Research &amp; development costs</t>
        </is>
      </c>
      <c r="C155" s="253" t="n">
        <v>115.633</v>
      </c>
      <c r="D155" s="253" t="n">
        <v>143.274</v>
      </c>
      <c r="E155" s="253" t="n">
        <v>130.25</v>
      </c>
      <c r="F155" s="253" t="n">
        <v>138.005</v>
      </c>
      <c r="G155" s="253" t="n">
        <v>134.485</v>
      </c>
      <c r="H155" s="253" t="n">
        <v>126.17</v>
      </c>
      <c r="I155" s="253" t="n">
        <v>126.519</v>
      </c>
      <c r="J155" s="253" t="n">
        <v>148.279</v>
      </c>
      <c r="K155" s="253" t="n">
        <v>159.107</v>
      </c>
      <c r="L155" s="253" t="n">
        <v>133.134</v>
      </c>
      <c r="M155" s="253" t="n">
        <v>31.996</v>
      </c>
      <c r="N155" s="253" t="n">
        <v>27.627</v>
      </c>
      <c r="O155" s="253" t="n">
        <v>29.765</v>
      </c>
      <c r="P155" s="253" t="n">
        <v>27.703</v>
      </c>
      <c r="Q155" s="253" t="n">
        <v>117.091</v>
      </c>
      <c r="R155" s="253" t="n">
        <v>25.392</v>
      </c>
      <c r="S155" s="253" t="n">
        <v>32.384</v>
      </c>
      <c r="T155" s="253" t="n">
        <v>32.224</v>
      </c>
      <c r="U155" s="253" t="n">
        <v>29.782</v>
      </c>
      <c r="V155" s="253" t="n">
        <v>119.782</v>
      </c>
      <c r="W155" s="253" t="n">
        <v>28.634</v>
      </c>
      <c r="X155" s="253" t="n">
        <v>37.777</v>
      </c>
      <c r="Y155" s="253" t="n">
        <v>35.033</v>
      </c>
      <c r="Z155" s="253" t="n">
        <v>32.061</v>
      </c>
      <c r="AA155" s="253" t="n">
        <v>132.095</v>
      </c>
      <c r="AB155" s="253" t="n">
        <v>30.794</v>
      </c>
      <c r="AC155" s="253" t="n">
        <v>36.465</v>
      </c>
      <c r="AD155" s="253" t="n">
        <v>38.728</v>
      </c>
      <c r="AE155" s="253" t="n">
        <v>34.689</v>
      </c>
      <c r="AF155" s="253" t="n">
        <v>140.676</v>
      </c>
      <c r="AG155" s="253" t="n">
        <v>30.207</v>
      </c>
      <c r="AH155" s="253" t="n">
        <v>37.23</v>
      </c>
      <c r="AI155" s="253" t="n">
        <v>41.088</v>
      </c>
      <c r="AJ155" s="253" t="n">
        <v>39.043</v>
      </c>
      <c r="AK155" s="253" t="n">
        <v>147.568</v>
      </c>
      <c r="AL155" s="253" t="n">
        <v>37.756</v>
      </c>
      <c r="AM155" s="253" t="n">
        <v>46.119</v>
      </c>
      <c r="AN155" s="253" t="n">
        <v>49.316</v>
      </c>
      <c r="AO155" s="254">
        <f>AO150*AO135</f>
        <v>47.3835369520638</v>
      </c>
      <c r="AP155" s="254">
        <f>SUM(AL155:AO155)</f>
        <v>180.574536952064</v>
      </c>
      <c r="AQ155" s="254">
        <f>AQ150*AQ135</f>
        <v>192.988131905875</v>
      </c>
      <c r="AR155" s="254">
        <f>AR150*AR135</f>
        <v>209.166181323121</v>
      </c>
      <c r="AS155" s="254">
        <f>AS150*AS135</f>
        <v>224.131139842167</v>
      </c>
      <c r="AT155" s="254">
        <f>AT150*AT135</f>
        <v>237.647701372982</v>
      </c>
      <c r="AU155" s="254">
        <f>AU150*AU135</f>
        <v>251.064059850471</v>
      </c>
      <c r="AV155" s="19" t="n"/>
    </row>
    <row r="156" collapsed="1" ht="15" customHeight="1" s="251">
      <c r="B156" s="25" t="inlineStr">
        <is>
          <t>Amortization of intangible assets (separate line to FY2020; in cost of goods sold / SG&amp;A from FY2021)</t>
        </is>
      </c>
      <c r="C156" s="253" t="n">
        <v>34.993</v>
      </c>
      <c r="D156" s="253" t="n">
        <v>32.809</v>
      </c>
      <c r="E156" s="253" t="n">
        <v>36.979</v>
      </c>
      <c r="F156" s="253" t="n">
        <v>33.58</v>
      </c>
      <c r="G156" s="253" t="n">
        <v>29.241</v>
      </c>
      <c r="H156" s="253" t="n">
        <v>27.486</v>
      </c>
      <c r="I156" s="253" t="n">
        <v>0</v>
      </c>
      <c r="J156" s="253" t="n">
        <v>0</v>
      </c>
      <c r="K156" s="253" t="n">
        <v>0</v>
      </c>
      <c r="L156" s="253" t="n">
        <v>0</v>
      </c>
      <c r="M156" s="253" t="n">
        <v>0</v>
      </c>
      <c r="N156" s="253" t="n">
        <v>0</v>
      </c>
      <c r="O156" s="253" t="n">
        <v>0</v>
      </c>
      <c r="P156" s="253" t="n">
        <v>0</v>
      </c>
      <c r="Q156" s="253" t="n">
        <v>0</v>
      </c>
      <c r="R156" s="253" t="n">
        <v>0</v>
      </c>
      <c r="S156" s="253" t="n">
        <v>0</v>
      </c>
      <c r="T156" s="253" t="n">
        <v>0</v>
      </c>
      <c r="U156" s="253" t="n">
        <v>0</v>
      </c>
      <c r="V156" s="253" t="n">
        <v>0</v>
      </c>
      <c r="W156" s="253" t="n">
        <v>0</v>
      </c>
      <c r="X156" s="253" t="n">
        <v>0</v>
      </c>
      <c r="Y156" s="253" t="n">
        <v>0</v>
      </c>
      <c r="Z156" s="253" t="n">
        <v>0</v>
      </c>
      <c r="AA156" s="253" t="n">
        <v>0</v>
      </c>
      <c r="AB156" s="253" t="n">
        <v>0</v>
      </c>
      <c r="AC156" s="253" t="n">
        <v>0</v>
      </c>
      <c r="AD156" s="253" t="n">
        <v>0</v>
      </c>
      <c r="AE156" s="253" t="n">
        <v>0</v>
      </c>
      <c r="AF156" s="253" t="n">
        <v>0</v>
      </c>
      <c r="AG156" s="253" t="n">
        <v>0</v>
      </c>
      <c r="AH156" s="253" t="n">
        <v>0</v>
      </c>
      <c r="AI156" s="253" t="n">
        <v>0</v>
      </c>
      <c r="AJ156" s="253" t="n">
        <v>0</v>
      </c>
      <c r="AK156" s="253" t="n">
        <v>0</v>
      </c>
      <c r="AL156" s="253" t="n">
        <v>0</v>
      </c>
      <c r="AM156" s="253" t="n">
        <v>0</v>
      </c>
      <c r="AN156" s="253" t="n">
        <v>0</v>
      </c>
      <c r="AO156" s="254">
        <f>0</f>
        <v>0</v>
      </c>
      <c r="AP156" s="254">
        <f>SUM(AL156:AO156)</f>
        <v>0</v>
      </c>
      <c r="AQ156" s="254">
        <f>0</f>
        <v>0</v>
      </c>
      <c r="AR156" s="254">
        <f>0</f>
        <v>0</v>
      </c>
      <c r="AS156" s="254">
        <f>0</f>
        <v>0</v>
      </c>
      <c r="AT156" s="254">
        <f>0</f>
        <v>0</v>
      </c>
      <c r="AU156" s="254">
        <f>0</f>
        <v>0</v>
      </c>
      <c r="AV156" s="19" t="n"/>
    </row>
    <row r="157" ht="15" customHeight="1" s="251">
      <c r="B157" s="25" t="inlineStr">
        <is>
          <t>Restructuring charges</t>
        </is>
      </c>
      <c r="C157" s="253" t="n">
        <v>0</v>
      </c>
      <c r="D157" s="253" t="n">
        <v>0</v>
      </c>
      <c r="E157" s="253" t="n">
        <v>0</v>
      </c>
      <c r="F157" s="253" t="n">
        <v>0</v>
      </c>
      <c r="G157" s="253" t="n">
        <v>0</v>
      </c>
      <c r="H157" s="253" t="n">
        <v>0</v>
      </c>
      <c r="I157" s="253" t="n">
        <v>0</v>
      </c>
      <c r="J157" s="253" t="n">
        <v>17.013</v>
      </c>
      <c r="K157" s="253" t="n">
        <v>0</v>
      </c>
      <c r="L157" s="253" t="n">
        <v>22.216</v>
      </c>
      <c r="M157" s="253" t="n">
        <v>0</v>
      </c>
      <c r="N157" s="253" t="n">
        <v>0</v>
      </c>
      <c r="O157" s="253" t="n">
        <v>0</v>
      </c>
      <c r="P157" s="253" t="n">
        <v>5.008</v>
      </c>
      <c r="Q157" s="253" t="n">
        <v>5.008</v>
      </c>
      <c r="R157" s="253" t="n">
        <v>0</v>
      </c>
      <c r="S157" s="253" t="n">
        <v>0</v>
      </c>
      <c r="T157" s="253" t="n">
        <v>0</v>
      </c>
      <c r="U157" s="253" t="n">
        <v>-3.42</v>
      </c>
      <c r="V157" s="253" t="n">
        <v>-3.42</v>
      </c>
      <c r="W157" s="253" t="n">
        <v>0</v>
      </c>
      <c r="X157" s="253" t="n">
        <v>5.172</v>
      </c>
      <c r="Y157" s="253" t="n">
        <v>0</v>
      </c>
      <c r="Z157" s="253" t="n">
        <v>0</v>
      </c>
      <c r="AA157" s="253" t="n">
        <v>5.172</v>
      </c>
      <c r="AB157" s="253" t="n">
        <v>0</v>
      </c>
      <c r="AC157" s="253" t="n">
        <v>0</v>
      </c>
      <c r="AD157" s="253" t="n">
        <v>0</v>
      </c>
      <c r="AE157" s="253" t="n">
        <v>0</v>
      </c>
      <c r="AF157" s="253" t="n">
        <v>0</v>
      </c>
      <c r="AG157" s="253" t="n">
        <v>0</v>
      </c>
      <c r="AH157" s="253" t="n">
        <v>0</v>
      </c>
      <c r="AI157" s="253" t="n">
        <v>0</v>
      </c>
      <c r="AJ157" s="253" t="n">
        <v>0</v>
      </c>
      <c r="AK157" s="253" t="n">
        <v>0</v>
      </c>
      <c r="AL157" s="253" t="n">
        <v>0</v>
      </c>
      <c r="AM157" s="253" t="n">
        <v>6.815</v>
      </c>
      <c r="AN157" s="253" t="n">
        <v>9.263999999999999</v>
      </c>
      <c r="AO157" s="254">
        <f>AO140</f>
        <v>6</v>
      </c>
      <c r="AP157" s="254">
        <f>SUM(AL157:AO157)</f>
        <v>22.079</v>
      </c>
      <c r="AQ157" s="254">
        <f>AQ140</f>
        <v>30</v>
      </c>
      <c r="AR157" s="254">
        <f>AR140</f>
        <v>15</v>
      </c>
      <c r="AS157" s="254">
        <f>AS140</f>
        <v>0</v>
      </c>
      <c r="AT157" s="254">
        <f>AT140</f>
        <v>0</v>
      </c>
      <c r="AU157" s="254">
        <f>AU140</f>
        <v>0</v>
      </c>
      <c r="AV157" s="19" t="n"/>
    </row>
    <row r="158" ht="15" customHeight="1" s="251">
      <c r="B158" s="25" t="inlineStr">
        <is>
          <t>Other items shown separately (gain on cross-currency swaps FY2020, impairments)</t>
        </is>
      </c>
      <c r="C158" s="253" t="n">
        <v>0</v>
      </c>
      <c r="D158" s="253" t="n">
        <v>0</v>
      </c>
      <c r="E158" s="253" t="n">
        <v>0</v>
      </c>
      <c r="F158" s="253" t="n">
        <v>0</v>
      </c>
      <c r="G158" s="253" t="n">
        <v>0</v>
      </c>
      <c r="H158" s="253" t="n">
        <v>0</v>
      </c>
      <c r="I158" s="253" t="n">
        <v>0</v>
      </c>
      <c r="J158" s="253" t="n">
        <v>0</v>
      </c>
      <c r="K158" s="253" t="n">
        <v>0</v>
      </c>
      <c r="L158" s="253" t="n">
        <v>7.421</v>
      </c>
      <c r="M158" s="253" t="n">
        <v>0</v>
      </c>
      <c r="N158" s="253" t="n">
        <v>0</v>
      </c>
      <c r="O158" s="253" t="n">
        <v>0</v>
      </c>
      <c r="P158" s="253" t="n">
        <v>0</v>
      </c>
      <c r="Q158" s="253" t="n">
        <v>0</v>
      </c>
      <c r="R158" s="253" t="n">
        <v>0</v>
      </c>
      <c r="S158" s="253" t="n">
        <v>0</v>
      </c>
      <c r="T158" s="253" t="n">
        <v>0</v>
      </c>
      <c r="U158" s="253" t="n">
        <v>0</v>
      </c>
      <c r="V158" s="253" t="n">
        <v>0</v>
      </c>
      <c r="W158" s="253" t="n">
        <v>0</v>
      </c>
      <c r="X158" s="253" t="n">
        <v>0</v>
      </c>
      <c r="Y158" s="253" t="n">
        <v>0</v>
      </c>
      <c r="Z158" s="253" t="n">
        <v>0</v>
      </c>
      <c r="AA158" s="253" t="n">
        <v>0</v>
      </c>
      <c r="AB158" s="253" t="n">
        <v>0</v>
      </c>
      <c r="AC158" s="253" t="n">
        <v>0</v>
      </c>
      <c r="AD158" s="253" t="n">
        <v>0</v>
      </c>
      <c r="AE158" s="253" t="n">
        <v>0</v>
      </c>
      <c r="AF158" s="253" t="n">
        <v>0</v>
      </c>
      <c r="AG158" s="253" t="n">
        <v>0</v>
      </c>
      <c r="AH158" s="253" t="n">
        <v>0</v>
      </c>
      <c r="AI158" s="253" t="n">
        <v>0</v>
      </c>
      <c r="AJ158" s="253" t="n">
        <v>0</v>
      </c>
      <c r="AK158" s="253" t="n">
        <v>0</v>
      </c>
      <c r="AL158" s="253" t="n">
        <v>0</v>
      </c>
      <c r="AM158" s="253" t="n">
        <v>0</v>
      </c>
      <c r="AN158" s="253" t="n">
        <v>0</v>
      </c>
      <c r="AO158" s="254">
        <f>0</f>
        <v>0</v>
      </c>
      <c r="AP158" s="254">
        <f>SUM(AL158:AO158)</f>
        <v>0</v>
      </c>
      <c r="AQ158" s="254">
        <f>0</f>
        <v>0</v>
      </c>
      <c r="AR158" s="254">
        <f>0</f>
        <v>0</v>
      </c>
      <c r="AS158" s="254">
        <f>0</f>
        <v>0</v>
      </c>
      <c r="AT158" s="254">
        <f>0</f>
        <v>0</v>
      </c>
      <c r="AU158" s="254">
        <f>0</f>
        <v>0</v>
      </c>
      <c r="AV158" s="19" t="n"/>
    </row>
    <row r="159" ht="15" customHeight="1" s="251">
      <c r="B159" s="25" t="inlineStr">
        <is>
          <t>Other income, net (income +)</t>
        </is>
      </c>
      <c r="C159" s="253" t="n">
        <v>-1.588</v>
      </c>
      <c r="D159" s="253" t="n">
        <v>1.58</v>
      </c>
      <c r="E159" s="253" t="n">
        <v>1.622</v>
      </c>
      <c r="F159" s="253" t="n">
        <v>1.3</v>
      </c>
      <c r="G159" s="253" t="n">
        <v>1.162</v>
      </c>
      <c r="H159" s="253" t="n">
        <v>12.306</v>
      </c>
      <c r="I159" s="253" t="n">
        <v>9.045</v>
      </c>
      <c r="J159" s="253" t="n">
        <v>1.525</v>
      </c>
      <c r="K159" s="253" t="n">
        <v>25.969</v>
      </c>
      <c r="L159" s="253" t="n">
        <v>56.166</v>
      </c>
      <c r="M159" s="253" t="n">
        <v>8.122999999999999</v>
      </c>
      <c r="N159" s="253" t="n">
        <v>11.331</v>
      </c>
      <c r="O159" s="253" t="n">
        <v>10.355</v>
      </c>
      <c r="P159" s="253" t="n">
        <v>6.684</v>
      </c>
      <c r="Q159" s="253" t="n">
        <v>36.493</v>
      </c>
      <c r="R159" s="253" t="n">
        <v>10.674</v>
      </c>
      <c r="S159" s="253" t="n">
        <v>4.887</v>
      </c>
      <c r="T159" s="253" t="n">
        <v>3.252</v>
      </c>
      <c r="U159" s="253" t="n">
        <v>7.878</v>
      </c>
      <c r="V159" s="253" t="n">
        <v>26.691</v>
      </c>
      <c r="W159" s="253" t="n">
        <v>8.390000000000001</v>
      </c>
      <c r="X159" s="253" t="n">
        <v>12.04</v>
      </c>
      <c r="Y159" s="253" t="n">
        <v>13.001</v>
      </c>
      <c r="Z159" s="253" t="n">
        <v>16.86</v>
      </c>
      <c r="AA159" s="253" t="n">
        <v>50.291</v>
      </c>
      <c r="AB159" s="253" t="n">
        <v>20.639</v>
      </c>
      <c r="AC159" s="253" t="n">
        <v>14.384</v>
      </c>
      <c r="AD159" s="253" t="n">
        <v>14.438</v>
      </c>
      <c r="AE159" s="253" t="n">
        <v>17.707</v>
      </c>
      <c r="AF159" s="253" t="n">
        <v>67.16800000000001</v>
      </c>
      <c r="AG159" s="253" t="n">
        <v>23.087</v>
      </c>
      <c r="AH159" s="253" t="n">
        <v>24.804</v>
      </c>
      <c r="AI159" s="253" t="n">
        <v>17.864</v>
      </c>
      <c r="AJ159" s="253" t="n">
        <v>18.255</v>
      </c>
      <c r="AK159" s="253" t="n">
        <v>84.01000000000001</v>
      </c>
      <c r="AL159" s="253" t="n">
        <v>19.374</v>
      </c>
      <c r="AM159" s="253" t="n">
        <v>18.058</v>
      </c>
      <c r="AN159" s="253" t="n">
        <v>22.867</v>
      </c>
      <c r="AO159" s="254">
        <f>AO138-AO144</f>
        <v>20</v>
      </c>
      <c r="AP159" s="254">
        <f>SUM(AL159:AO159)</f>
        <v>80.299</v>
      </c>
      <c r="AQ159" s="254">
        <f>AQ138-AQ144</f>
        <v>243.636</v>
      </c>
      <c r="AR159" s="254">
        <f>AR138-AR144</f>
        <v>80</v>
      </c>
      <c r="AS159" s="254">
        <f>AS138-AS144</f>
        <v>80</v>
      </c>
      <c r="AT159" s="254">
        <f>AT138-AT144</f>
        <v>80</v>
      </c>
      <c r="AU159" s="254">
        <f>AU138-AU144</f>
        <v>80</v>
      </c>
      <c r="AV159" s="19" t="inlineStr">
        <is>
          <t>Forecast = recurring other income + divestiture gains (adjusted out in the bridge).</t>
        </is>
      </c>
    </row>
    <row r="160" ht="15" customHeight="1" s="251">
      <c r="B160" s="55" t="inlineStr">
        <is>
          <t>EBIT (earnings before interest and taxes — company definition)</t>
        </is>
      </c>
      <c r="C160" s="273">
        <f>IF(ISNUMBER(C152),C152-C154-C155-C156-C157-C158+C159,"")</f>
        <v>212.432</v>
      </c>
      <c r="D160" s="273">
        <f>IF(ISNUMBER(D152),D152-D154-D155-D156-D157-D158+D159,"")</f>
        <v>223.268</v>
      </c>
      <c r="E160" s="273">
        <f>IF(ISNUMBER(E152),E152-E154-E155-E156-E157-E158+E159,"")</f>
        <v>226.001</v>
      </c>
      <c r="F160" s="273">
        <f>IF(ISNUMBER(F152),F152-F154-F155-F156-F157-F158+F159,"")</f>
        <v>249.777</v>
      </c>
      <c r="G160" s="273">
        <f>IF(ISNUMBER(G152),G152-G154-G155-G156-G157-G158+G159,"")</f>
        <v>265.026</v>
      </c>
      <c r="H160" s="273">
        <f>IF(ISNUMBER(H152),H152-H154-H155-H156-H157-H158+H159,"")</f>
        <v>251.237</v>
      </c>
      <c r="I160" s="273">
        <f>IF(ISNUMBER(I152),I152-I154-I155-I156-I157-I158+I159,"")</f>
        <v>278.452</v>
      </c>
      <c r="J160" s="273">
        <f>IF(ISNUMBER(J152),J152-J154-J155-J156-J157-J158+J159,"")</f>
        <v>249.674</v>
      </c>
      <c r="K160" s="273">
        <f>IF(ISNUMBER(K152),K152-K154-K155-K156-K157-K158+K159,"")</f>
        <v>363.2</v>
      </c>
      <c r="L160" s="273">
        <f>IF(ISNUMBER(L152),L152-L154-L155-L156-L157-L158+L159,"")</f>
        <v>315.928</v>
      </c>
      <c r="M160" s="273">
        <f>IF(ISNUMBER(M152),M152-M154-M155-M156-M157-M158+M159,"")</f>
        <v>55.9950000000001</v>
      </c>
      <c r="N160" s="273">
        <f>IF(ISNUMBER(N152),N152-N154-N155-N156-N157-N158+N159,"")</f>
        <v>86.453</v>
      </c>
      <c r="O160" s="273">
        <f>IF(ISNUMBER(O152),O152-O154-O155-O156-O157-O158+O159,"")</f>
        <v>66.787</v>
      </c>
      <c r="P160" s="273">
        <f>IF(ISNUMBER(P152),P152-P154-P155-P156-P157-P158+P159,"")</f>
        <v>69.351</v>
      </c>
      <c r="Q160" s="273">
        <f>IF(ISNUMBER(Q152),Q152-Q154-Q155-Q156-Q157-Q158+Q159,"")</f>
        <v>278.586</v>
      </c>
      <c r="R160" s="273">
        <f>IF(ISNUMBER(R152),R152-R154-R155-R156-R157-R158+R159,"")</f>
        <v>45.411</v>
      </c>
      <c r="S160" s="273">
        <f>IF(ISNUMBER(S152),S152-S154-S155-S156-S157-S158+S159,"")</f>
        <v>61.7930000000001</v>
      </c>
      <c r="T160" s="273">
        <f>IF(ISNUMBER(T152),T152-T154-T155-T156-T157-T158+T159,"")</f>
        <v>58.467</v>
      </c>
      <c r="U160" s="273">
        <f>IF(ISNUMBER(U152),U152-U154-U155-U156-U157-U158+U159,"")</f>
        <v>66.958</v>
      </c>
      <c r="V160" s="273">
        <f>IF(ISNUMBER(V152),V152-V154-V155-V156-V157-V158+V159,"")</f>
        <v>232.629</v>
      </c>
      <c r="W160" s="273">
        <f>IF(ISNUMBER(W152),W152-W154-W155-W156-W157-W158+W159,"")</f>
        <v>42.525</v>
      </c>
      <c r="X160" s="273">
        <f>IF(ISNUMBER(X152),X152-X154-X155-X156-X157-X158+X159,"")</f>
        <v>52.5780000000001</v>
      </c>
      <c r="Y160" s="273">
        <f>IF(ISNUMBER(Y152),Y152-Y154-Y155-Y156-Y157-Y158+Y159,"")</f>
        <v>117.397</v>
      </c>
      <c r="Z160" s="273">
        <f>IF(ISNUMBER(Z152),Z152-Z154-Z155-Z156-Z157-Z158+Z159,"")</f>
        <v>108.415</v>
      </c>
      <c r="AA160" s="273">
        <f>IF(ISNUMBER(AA152),AA152-AA154-AA155-AA156-AA157-AA158+AA159,"")</f>
        <v>320.915</v>
      </c>
      <c r="AB160" s="273">
        <f>IF(ISNUMBER(AB152),AB152-AB154-AB155-AB156-AB157-AB158+AB159,"")</f>
        <v>119.683</v>
      </c>
      <c r="AC160" s="273">
        <f>IF(ISNUMBER(AC152),AC152-AC154-AC155-AC156-AC157-AC158+AC159,"")</f>
        <v>130.861</v>
      </c>
      <c r="AD160" s="273">
        <f>IF(ISNUMBER(AD152),AD152-AD154-AD155-AD156-AD157-AD158+AD159,"")</f>
        <v>131.884</v>
      </c>
      <c r="AE160" s="273">
        <f>IF(ISNUMBER(AE152),AE152-AE154-AE155-AE156-AE157-AE158+AE159,"")</f>
        <v>113.044</v>
      </c>
      <c r="AF160" s="273">
        <f>IF(ISNUMBER(AF152),AF152-AF154-AF155-AF156-AF157-AF158+AF159,"")</f>
        <v>495.472</v>
      </c>
      <c r="AG160" s="273">
        <f>IF(ISNUMBER(AG152),AG152-AG154-AG155-AG156-AG157-AG158+AG159,"")</f>
        <v>112.818</v>
      </c>
      <c r="AH160" s="273">
        <f>IF(ISNUMBER(AH152),AH152-AH154-AH155-AH156-AH157-AH158+AH159,"")</f>
        <v>143.831</v>
      </c>
      <c r="AI160" s="273">
        <f>IF(ISNUMBER(AI152),AI152-AI154-AI155-AI156-AI157-AI158+AI159,"")</f>
        <v>137.232</v>
      </c>
      <c r="AJ160" s="273">
        <f>IF(ISNUMBER(AJ152),AJ152-AJ154-AJ155-AJ156-AJ157-AJ158+AJ159,"")</f>
        <v>169.03</v>
      </c>
      <c r="AK160" s="273">
        <f>IF(ISNUMBER(AK152),AK152-AK154-AK155-AK156-AK157-AK158+AK159,"")</f>
        <v>562.911</v>
      </c>
      <c r="AL160" s="273">
        <f>IF(ISNUMBER(AL152),AL152-AL154-AL155-AL156-AL157-AL158+AL159,"")</f>
        <v>178.794</v>
      </c>
      <c r="AM160" s="273">
        <f>IF(ISNUMBER(AM152),AM152-AM154-AM155-AM156-AM157-AM158+AM159,"")</f>
        <v>178.747</v>
      </c>
      <c r="AN160" s="273">
        <f>IF(ISNUMBER(AN152),AN152-AN154-AN155-AN156-AN157-AN158+AN159,"")</f>
        <v>207.728</v>
      </c>
      <c r="AO160" s="273">
        <f>AO102-AO191</f>
        <v>203.691697901044</v>
      </c>
      <c r="AP160" s="273">
        <f>AP102-AP191</f>
        <v>768.960697901045</v>
      </c>
      <c r="AQ160" s="273">
        <f>AQ102-AQ191</f>
        <v>1014.36471762737</v>
      </c>
      <c r="AR160" s="273">
        <f>AR102-AR191</f>
        <v>958.354335216035</v>
      </c>
      <c r="AS160" s="273">
        <f>AS102-AS191</f>
        <v>1064.76263517531</v>
      </c>
      <c r="AT160" s="273">
        <f>AT102-AT191</f>
        <v>1142.61462434783</v>
      </c>
      <c r="AU160" s="273">
        <f>AU102-AU191</f>
        <v>1219.54547586652</v>
      </c>
      <c r="AV160" s="153" t="inlineStr">
        <is>
          <t>Woodward presents no operating-income line; EBIT = net earnings + income taxes + interest expense − interest income (= segment earnings + nonsegment expenses). Forecast = adjusted EBIT − adjusting items.</t>
        </is>
      </c>
      <c r="AX160" s="20">
        <f>IFERROR((AU160/AP160)^(1/5)-1,"n/m")</f>
        <v>0.0966265879302868</v>
      </c>
      <c r="AY160" s="20">
        <f>IFERROR((AK160/L160)^(1/5)-1,"n/m")</f>
        <v>0.122458578548236</v>
      </c>
      <c r="AZ160" s="20">
        <f>IFERROR((AK160/G160)^(1/10)-1,"n/m")</f>
        <v>0.0782392212306187</v>
      </c>
      <c r="BA160" s="20">
        <f>IFERROR((AK160/C160)^(1/14)-1,"n/m")</f>
        <v>0.0720868906300367</v>
      </c>
    </row>
    <row r="161" ht="15" customHeight="1" s="251">
      <c r="B161" s="25" t="inlineStr">
        <is>
          <t xml:space="preserve">  EBIT margin %</t>
        </is>
      </c>
      <c r="C161" s="215">
        <f>IF(AND(ISNUMBER(C160),ISNUMBER(C150)),IFERROR(C160/C150,""),"")</f>
        <v>0.12410571466295</v>
      </c>
      <c r="D161" s="215">
        <f>IF(AND(ISNUMBER(D160),ISNUMBER(D150)),IFERROR(D160/D150,""),"")</f>
        <v>0.119674511571713</v>
      </c>
      <c r="E161" s="215">
        <f>IF(AND(ISNUMBER(E160),ISNUMBER(E150)),IFERROR(E160/E150,""),"")</f>
        <v>0.11673750087811</v>
      </c>
      <c r="F161" s="215">
        <f>IF(AND(ISNUMBER(F160),ISNUMBER(F150)),IFERROR(F160/F150,""),"")</f>
        <v>0.124811117107393</v>
      </c>
      <c r="G161" s="215">
        <f>IF(AND(ISNUMBER(G160),ISNUMBER(G150)),IFERROR(G160/G150,""),"")</f>
        <v>0.130022867061472</v>
      </c>
      <c r="H161" s="215">
        <f>IF(AND(ISNUMBER(H160),ISNUMBER(H150)),IFERROR(H160/H150,""),"")</f>
        <v>0.12418552324725</v>
      </c>
      <c r="I161" s="215">
        <f>IF(AND(ISNUMBER(I160),ISNUMBER(I150)),IFERROR(I160/I150,""),"")</f>
        <v>0.132679272973314</v>
      </c>
      <c r="J161" s="215">
        <f>IF(AND(ISNUMBER(J160),ISNUMBER(J150)),IFERROR(J160/J150,""),"")</f>
        <v>0.10734635983994</v>
      </c>
      <c r="K161" s="215">
        <f>IF(AND(ISNUMBER(K160),ISNUMBER(K150)),IFERROR(K160/K150,""),"")</f>
        <v>0.125232872111791</v>
      </c>
      <c r="L161" s="215">
        <f>IF(AND(ISNUMBER(L160),ISNUMBER(L150)),IFERROR(L160/L150,""),"")</f>
        <v>0.126590708288172</v>
      </c>
      <c r="M161" s="215">
        <f>IF(AND(ISNUMBER(M160),ISNUMBER(M150)),IFERROR(M160/M150,""),"")</f>
        <v>0.104153685044613</v>
      </c>
      <c r="N161" s="215">
        <f>IF(AND(ISNUMBER(N160),ISNUMBER(N150)),IFERROR(N160/N150,""),"")</f>
        <v>0.148718178080613</v>
      </c>
      <c r="O161" s="215">
        <f>IF(AND(ISNUMBER(O160),ISNUMBER(O150)),IFERROR(O160/O150,""),"")</f>
        <v>0.119974850675888</v>
      </c>
      <c r="P161" s="215">
        <f>IF(AND(ISNUMBER(P160),ISNUMBER(P150)),IFERROR(P160/P150,""),"")</f>
        <v>0.121622119298442</v>
      </c>
      <c r="Q161" s="215">
        <f>IF(AND(ISNUMBER(Q160),ISNUMBER(Q150)),IFERROR(Q160/Q150,""),"")</f>
        <v>0.124045787930709</v>
      </c>
      <c r="R161" s="215">
        <f>IF(AND(ISNUMBER(R160),ISNUMBER(R150)),IFERROR(R160/R150,""),"")</f>
        <v>0.0838481792365386</v>
      </c>
      <c r="S161" s="215">
        <f>IF(AND(ISNUMBER(S160),ISNUMBER(S150)),IFERROR(S160/S150,""),"")</f>
        <v>0.105298045971723</v>
      </c>
      <c r="T161" s="215">
        <f>IF(AND(ISNUMBER(T160),ISNUMBER(T150)),IFERROR(T160/T150,""),"")</f>
        <v>0.0951716661349237</v>
      </c>
      <c r="U161" s="215">
        <f>IF(AND(ISNUMBER(U160),ISNUMBER(U150)),IFERROR(U160/U150,""),"")</f>
        <v>0.104616480712713</v>
      </c>
      <c r="V161" s="215">
        <f>IF(AND(ISNUMBER(V160),ISNUMBER(V150)),IFERROR(V160/V150,""),"")</f>
        <v>0.0976288300689528</v>
      </c>
      <c r="W161" s="215">
        <f>IF(AND(ISNUMBER(W160),ISNUMBER(W150)),IFERROR(W160/W150,""),"")</f>
        <v>0.0687418265523691</v>
      </c>
      <c r="X161" s="215">
        <f>IF(AND(ISNUMBER(X160),ISNUMBER(X150)),IFERROR(X160/X150,""),"")</f>
        <v>0.0732065930210217</v>
      </c>
      <c r="Y161" s="215">
        <f>IF(AND(ISNUMBER(Y160),ISNUMBER(Y150)),IFERROR(Y160/Y150,""),"")</f>
        <v>0.146624734751075</v>
      </c>
      <c r="Z161" s="215">
        <f>IF(AND(ISNUMBER(Z160),ISNUMBER(Z150)),IFERROR(Z160/Z150,""),"")</f>
        <v>0.139517675370301</v>
      </c>
      <c r="AA161" s="215">
        <f>IF(AND(ISNUMBER(AA160),ISNUMBER(AA150)),IFERROR(AA160/AA150,""),"")</f>
        <v>0.110107302425129</v>
      </c>
      <c r="AB161" s="215">
        <f>IF(AND(ISNUMBER(AB160),ISNUMBER(AB150)),IFERROR(AB160/AB150,""),"")</f>
        <v>0.152127159254128</v>
      </c>
      <c r="AC161" s="215">
        <f>IF(AND(ISNUMBER(AC160),ISNUMBER(AC150)),IFERROR(AC160/AC150,""),"")</f>
        <v>0.156655409813693</v>
      </c>
      <c r="AD161" s="215">
        <f>IF(AND(ISNUMBER(AD160),ISNUMBER(AD150)),IFERROR(AD160/AD150,""),"")</f>
        <v>0.155580826908013</v>
      </c>
      <c r="AE161" s="215">
        <f>IF(AND(ISNUMBER(AE160),ISNUMBER(AE150)),IFERROR(AE160/AE150,""),"")</f>
        <v>0.132294426604002</v>
      </c>
      <c r="AF161" s="215">
        <f>IF(AND(ISNUMBER(AF160),ISNUMBER(AF150)),IFERROR(AF160/AF150,""),"")</f>
        <v>0.149047799969256</v>
      </c>
      <c r="AG161" s="215">
        <f>IF(AND(ISNUMBER(AG160),ISNUMBER(AG150)),IFERROR(AG160/AG150,""),"")</f>
        <v>0.146000194118218</v>
      </c>
      <c r="AH161" s="215">
        <f>IF(AND(ISNUMBER(AH160),ISNUMBER(AH150)),IFERROR(AH160/AH150,""),"")</f>
        <v>0.162773064261132</v>
      </c>
      <c r="AI161" s="215">
        <f>IF(AND(ISNUMBER(AI160),ISNUMBER(AI150)),IFERROR(AI160/AI150,""),"")</f>
        <v>0.149907258319988</v>
      </c>
      <c r="AJ161" s="215">
        <f>IF(AND(ISNUMBER(AJ160),ISNUMBER(AJ150)),IFERROR(AJ160/AJ150,""),"")</f>
        <v>0.169834335412514</v>
      </c>
      <c r="AK161" s="215">
        <f>IF(AND(ISNUMBER(AK160),ISNUMBER(AK150)),IFERROR(AK160/AK150,""),"")</f>
        <v>0.157807933919885</v>
      </c>
      <c r="AL161" s="215">
        <f>IF(AND(ISNUMBER(AL160),ISNUMBER(AL150)),IFERROR(AL160/AL150,""),"")</f>
        <v>0.179430259700899</v>
      </c>
      <c r="AM161" s="215">
        <f>IF(AND(ISNUMBER(AM160),ISNUMBER(AM150)),IFERROR(AM160/AM150,""),"")</f>
        <v>0.163902663566142</v>
      </c>
      <c r="AN161" s="215">
        <f>IF(AND(ISNUMBER(AN160),ISNUMBER(AN150)),IFERROR(AN160/AN150,""),"")</f>
        <v>0.18719209159191</v>
      </c>
      <c r="AO161" s="256">
        <f>IF(AND(ISNUMBER(AO160),ISNUMBER(AO150)),IFERROR(AO160/AO150,""),"")</f>
        <v>0.179108081985924</v>
      </c>
      <c r="AP161" s="256">
        <f>IF(AND(ISNUMBER(AP160),ISNUMBER(AP150)),IFERROR(AP160/AP150,""),"")</f>
        <v>0.177425878339453</v>
      </c>
      <c r="AQ161" s="256">
        <f>IF(AND(ISNUMBER(AQ160),ISNUMBER(AQ150)),IFERROR(AQ160/AQ150,""),"")</f>
        <v>0.21550005698281</v>
      </c>
      <c r="AR161" s="256">
        <f>IF(AND(ISNUMBER(AR160),ISNUMBER(AR150)),IFERROR(AR160/AR150,""),"")</f>
        <v>0.187853158169763</v>
      </c>
      <c r="AS161" s="256">
        <f>IF(AND(ISNUMBER(AS160),ISNUMBER(AS150)),IFERROR(AS160/AS150,""),"")</f>
        <v>0.19477555895593</v>
      </c>
      <c r="AT161" s="256">
        <f>IF(AND(ISNUMBER(AT160),ISNUMBER(AT150)),IFERROR(AT160/AT150,""),"")</f>
        <v>0.197128772243985</v>
      </c>
      <c r="AU161" s="256">
        <f>IF(AND(ISNUMBER(AU160),ISNUMBER(AU150)),IFERROR(AU160/AU150,""),"")</f>
        <v>0.199157794788738</v>
      </c>
      <c r="AV161" s="153" t="n"/>
      <c r="AX161" s="37">
        <f>IFERROR(AVERAGE(AQ161,AR161,AS161,AT161,AU161),"n/m")</f>
        <v>0.198883068228245</v>
      </c>
      <c r="AY161" s="37">
        <f>IFERROR(AVERAGE(Q161,V161,AA161,AF161,AK161),"n/m")</f>
        <v>0.127727530862786</v>
      </c>
      <c r="AZ161" s="37">
        <f>IFERROR(AVERAGE(H161,I161,J161,K161,L161,Q161,V161,AA161,AF161,AK161),"n/m")</f>
        <v>0.12546723907744</v>
      </c>
      <c r="BA161" s="37">
        <f>IFERROR(AVERAGE(C161,D161,E161,F161,G161,H161,I161,J161,K161,L161,Q161,V161,AA161,AF161,AK161),"n/m")</f>
        <v>0.124668273470402</v>
      </c>
    </row>
    <row r="162" ht="15" customHeight="1" s="251">
      <c r="B162" s="25" t="inlineStr">
        <is>
          <t>Interest expense</t>
        </is>
      </c>
      <c r="C162" s="253" t="n">
        <v>25.399</v>
      </c>
      <c r="D162" s="253" t="n">
        <v>26.003</v>
      </c>
      <c r="E162" s="253" t="n">
        <v>26.703</v>
      </c>
      <c r="F162" s="253" t="n">
        <v>22.804</v>
      </c>
      <c r="G162" s="253" t="n">
        <v>24.864</v>
      </c>
      <c r="H162" s="253" t="n">
        <v>26.776</v>
      </c>
      <c r="I162" s="253" t="n">
        <v>27.43</v>
      </c>
      <c r="J162" s="253" t="n">
        <v>31.77</v>
      </c>
      <c r="K162" s="253" t="n">
        <v>44.001</v>
      </c>
      <c r="L162" s="253" t="n">
        <v>35.811</v>
      </c>
      <c r="M162" s="253" t="n">
        <v>8.906000000000001</v>
      </c>
      <c r="N162" s="253" t="n">
        <v>8.249000000000001</v>
      </c>
      <c r="O162" s="253" t="n">
        <v>8.397</v>
      </c>
      <c r="P162" s="253" t="n">
        <v>8.73</v>
      </c>
      <c r="Q162" s="253" t="n">
        <v>34.282</v>
      </c>
      <c r="R162" s="253" t="n">
        <v>8.305999999999999</v>
      </c>
      <c r="S162" s="253" t="n">
        <v>8.196999999999999</v>
      </c>
      <c r="T162" s="253" t="n">
        <v>8.532999999999999</v>
      </c>
      <c r="U162" s="253" t="n">
        <v>9.509</v>
      </c>
      <c r="V162" s="253" t="n">
        <v>34.545</v>
      </c>
      <c r="W162" s="253" t="n">
        <v>11.142</v>
      </c>
      <c r="X162" s="253" t="n">
        <v>12.845</v>
      </c>
      <c r="Y162" s="253" t="n">
        <v>12.175</v>
      </c>
      <c r="Z162" s="253" t="n">
        <v>11.736</v>
      </c>
      <c r="AA162" s="253" t="n">
        <v>47.898</v>
      </c>
      <c r="AB162" s="253" t="n">
        <v>11.436</v>
      </c>
      <c r="AC162" s="253" t="n">
        <v>11.53</v>
      </c>
      <c r="AD162" s="253" t="n">
        <v>11.516</v>
      </c>
      <c r="AE162" s="253" t="n">
        <v>13.477</v>
      </c>
      <c r="AF162" s="253" t="n">
        <v>47.959</v>
      </c>
      <c r="AG162" s="253" t="n">
        <v>12.341</v>
      </c>
      <c r="AH162" s="253" t="n">
        <v>11.889</v>
      </c>
      <c r="AI162" s="253" t="n">
        <v>11.234</v>
      </c>
      <c r="AJ162" s="253" t="n">
        <v>10.225</v>
      </c>
      <c r="AK162" s="253" t="n">
        <v>45.689</v>
      </c>
      <c r="AL162" s="253" t="n">
        <v>10.344</v>
      </c>
      <c r="AM162" s="253" t="n">
        <v>12.035</v>
      </c>
      <c r="AN162" s="253" t="n">
        <v>14.827</v>
      </c>
      <c r="AO162" s="254">
        <f>$BF$20</f>
        <v>15.5</v>
      </c>
      <c r="AP162" s="254">
        <f>SUM(AL162:AO162)</f>
        <v>52.706</v>
      </c>
      <c r="AQ162" s="254">
        <f>AP366*AQ375+AP372*AQ376+AQ377</f>
        <v>61.9516242525961</v>
      </c>
      <c r="AR162" s="254">
        <f>AQ366*AR375+AQ372*AR376+AR377</f>
        <v>76.1533180485222</v>
      </c>
      <c r="AS162" s="254">
        <f>AR366*AS375+AR372*AS376+AS377</f>
        <v>84.0164667687795</v>
      </c>
      <c r="AT162" s="254">
        <f>AS366*AT375+AS372*AT376+AT377</f>
        <v>91.5000640956285</v>
      </c>
      <c r="AU162" s="254">
        <f>AT366*AU375+AT372*AU376+AU377</f>
        <v>97.8850704612618</v>
      </c>
      <c r="AV162" s="19" t="inlineStr">
        <is>
          <t>Q4/26E point estimate. 2027E+ = rate × opening notes &amp; term loan + rate × opening revolver + fees (no circularity).</t>
        </is>
      </c>
    </row>
    <row r="163" ht="15" customHeight="1" s="251">
      <c r="B163" s="25" t="inlineStr">
        <is>
          <t>Interest income</t>
        </is>
      </c>
      <c r="C163" s="253" t="n">
        <v>0.534</v>
      </c>
      <c r="D163" s="253" t="n">
        <v>0.542</v>
      </c>
      <c r="E163" s="253" t="n">
        <v>0.273</v>
      </c>
      <c r="F163" s="253" t="n">
        <v>0.271</v>
      </c>
      <c r="G163" s="253" t="n">
        <v>0.787</v>
      </c>
      <c r="H163" s="253" t="n">
        <v>2.025</v>
      </c>
      <c r="I163" s="253" t="n">
        <v>1.725</v>
      </c>
      <c r="J163" s="253" t="n">
        <v>1.674</v>
      </c>
      <c r="K163" s="253" t="n">
        <v>1.413</v>
      </c>
      <c r="L163" s="253" t="n">
        <v>1.764</v>
      </c>
      <c r="M163" s="253" t="n">
        <v>0.495</v>
      </c>
      <c r="N163" s="253" t="n">
        <v>0.283</v>
      </c>
      <c r="O163" s="253" t="n">
        <v>0.308</v>
      </c>
      <c r="P163" s="253" t="n">
        <v>0.409</v>
      </c>
      <c r="Q163" s="253" t="n">
        <v>1.495</v>
      </c>
      <c r="R163" s="253" t="n">
        <v>0.641</v>
      </c>
      <c r="S163" s="253" t="n">
        <v>0.5</v>
      </c>
      <c r="T163" s="253" t="n">
        <v>0.353</v>
      </c>
      <c r="U163" s="253" t="n">
        <v>0.32</v>
      </c>
      <c r="V163" s="253" t="n">
        <v>1.814</v>
      </c>
      <c r="W163" s="253" t="n">
        <v>0.366</v>
      </c>
      <c r="X163" s="253" t="n">
        <v>0.508</v>
      </c>
      <c r="Y163" s="253" t="n">
        <v>0.516</v>
      </c>
      <c r="Z163" s="253" t="n">
        <v>1.361</v>
      </c>
      <c r="AA163" s="253" t="n">
        <v>2.751</v>
      </c>
      <c r="AB163" s="253" t="n">
        <v>1.473</v>
      </c>
      <c r="AC163" s="253" t="n">
        <v>1.293</v>
      </c>
      <c r="AD163" s="253" t="n">
        <v>1.728</v>
      </c>
      <c r="AE163" s="253" t="n">
        <v>1.964</v>
      </c>
      <c r="AF163" s="253" t="n">
        <v>6.458</v>
      </c>
      <c r="AG163" s="253" t="n">
        <v>1.377</v>
      </c>
      <c r="AH163" s="253" t="n">
        <v>1.021</v>
      </c>
      <c r="AI163" s="253" t="n">
        <v>0.838</v>
      </c>
      <c r="AJ163" s="253" t="n">
        <v>0.953</v>
      </c>
      <c r="AK163" s="253" t="n">
        <v>4.189</v>
      </c>
      <c r="AL163" s="253" t="n">
        <v>0.701</v>
      </c>
      <c r="AM163" s="253" t="n">
        <v>0.715</v>
      </c>
      <c r="AN163" s="253" t="n">
        <v>0.611</v>
      </c>
      <c r="AO163" s="254">
        <f>$BF$21</f>
        <v>0.6</v>
      </c>
      <c r="AP163" s="254">
        <f>SUM(AL163:AO163)</f>
        <v>2.627</v>
      </c>
      <c r="AQ163" s="254">
        <f>AP281*AQ378</f>
        <v>1.8</v>
      </c>
      <c r="AR163" s="254">
        <f>AQ281*AR378</f>
        <v>1.8</v>
      </c>
      <c r="AS163" s="254">
        <f>AR281*AS378</f>
        <v>1.8</v>
      </c>
      <c r="AT163" s="254">
        <f>AS281*AT378</f>
        <v>1.8</v>
      </c>
      <c r="AU163" s="254">
        <f>AT281*AU378</f>
        <v>1.8</v>
      </c>
      <c r="AV163" s="19" t="n"/>
    </row>
    <row r="164" ht="15" customHeight="1" s="251">
      <c r="B164" s="16" t="inlineStr">
        <is>
          <t>Earnings before income taxes</t>
        </is>
      </c>
      <c r="C164" s="261">
        <f>IF(ISNUMBER(C160),C160-C162+C163,"")</f>
        <v>187.567</v>
      </c>
      <c r="D164" s="261">
        <f>IF(ISNUMBER(D160),D160-D162+D163,"")</f>
        <v>197.807</v>
      </c>
      <c r="E164" s="261">
        <f>IF(ISNUMBER(E160),E160-E162+E163,"")</f>
        <v>199.571</v>
      </c>
      <c r="F164" s="261">
        <f>IF(ISNUMBER(F160),F160-F162+F163,"")</f>
        <v>227.244</v>
      </c>
      <c r="G164" s="261">
        <f>IF(ISNUMBER(G160),G160-G162+G163,"")</f>
        <v>240.949</v>
      </c>
      <c r="H164" s="261">
        <f>IF(ISNUMBER(H160),H160-H162+H163,"")</f>
        <v>226.486</v>
      </c>
      <c r="I164" s="261">
        <f>IF(ISNUMBER(I160),I160-I162+I163,"")</f>
        <v>252.747</v>
      </c>
      <c r="J164" s="261">
        <f>IF(ISNUMBER(J160),J160-J162+J163,"")</f>
        <v>219.578</v>
      </c>
      <c r="K164" s="261">
        <f>IF(ISNUMBER(K160),K160-K162+K163,"")</f>
        <v>320.612</v>
      </c>
      <c r="L164" s="261">
        <f>IF(ISNUMBER(L160),L160-L162+L163,"")</f>
        <v>281.881</v>
      </c>
      <c r="M164" s="261">
        <f>IF(ISNUMBER(M160),M160-M162+M163,"")</f>
        <v>47.5840000000001</v>
      </c>
      <c r="N164" s="261">
        <f>IF(ISNUMBER(N160),N160-N162+N163,"")</f>
        <v>78.487</v>
      </c>
      <c r="O164" s="261">
        <f>IF(ISNUMBER(O160),O160-O162+O163,"")</f>
        <v>58.698</v>
      </c>
      <c r="P164" s="261">
        <f>IF(ISNUMBER(P160),P160-P162+P163,"")</f>
        <v>61.03</v>
      </c>
      <c r="Q164" s="261">
        <f>IF(ISNUMBER(Q160),Q160-Q162+Q163,"")</f>
        <v>245.799</v>
      </c>
      <c r="R164" s="261">
        <f>IF(ISNUMBER(R160),R160-R162+R163,"")</f>
        <v>37.746</v>
      </c>
      <c r="S164" s="261">
        <f>IF(ISNUMBER(S160),S160-S162+S163,"")</f>
        <v>54.096</v>
      </c>
      <c r="T164" s="261">
        <f>IF(ISNUMBER(T160),T160-T162+T163,"")</f>
        <v>50.287</v>
      </c>
      <c r="U164" s="261">
        <f>IF(ISNUMBER(U160),U160-U162+U163,"")</f>
        <v>57.769</v>
      </c>
      <c r="V164" s="261">
        <f>IF(ISNUMBER(V160),V160-V162+V163,"")</f>
        <v>199.898</v>
      </c>
      <c r="W164" s="261">
        <f>IF(ISNUMBER(W160),W160-W162+W163,"")</f>
        <v>31.749</v>
      </c>
      <c r="X164" s="261">
        <f>IF(ISNUMBER(X160),X160-X162+X163,"")</f>
        <v>40.2410000000001</v>
      </c>
      <c r="Y164" s="261">
        <f>IF(ISNUMBER(Y160),Y160-Y162+Y163,"")</f>
        <v>105.738</v>
      </c>
      <c r="Z164" s="261">
        <f>IF(ISNUMBER(Z160),Z160-Z162+Z163,"")</f>
        <v>98.0400000000001</v>
      </c>
      <c r="AA164" s="261">
        <f>IF(ISNUMBER(AA160),AA160-AA162+AA163,"")</f>
        <v>275.768</v>
      </c>
      <c r="AB164" s="261">
        <f>IF(ISNUMBER(AB160),AB160-AB162+AB163,"")</f>
        <v>109.72</v>
      </c>
      <c r="AC164" s="261">
        <f>IF(ISNUMBER(AC160),AC160-AC162+AC163,"")</f>
        <v>120.624</v>
      </c>
      <c r="AD164" s="261">
        <f>IF(ISNUMBER(AD160),AD160-AD162+AD163,"")</f>
        <v>122.096</v>
      </c>
      <c r="AE164" s="261">
        <f>IF(ISNUMBER(AE160),AE160-AE162+AE163,"")</f>
        <v>101.531</v>
      </c>
      <c r="AF164" s="261">
        <f>IF(ISNUMBER(AF160),AF160-AF162+AF163,"")</f>
        <v>453.971</v>
      </c>
      <c r="AG164" s="261">
        <f>IF(ISNUMBER(AG160),AG160-AG162+AG163,"")</f>
        <v>101.854</v>
      </c>
      <c r="AH164" s="261">
        <f>IF(ISNUMBER(AH160),AH160-AH162+AH163,"")</f>
        <v>132.963</v>
      </c>
      <c r="AI164" s="261">
        <f>IF(ISNUMBER(AI160),AI160-AI162+AI163,"")</f>
        <v>126.836</v>
      </c>
      <c r="AJ164" s="261">
        <f>IF(ISNUMBER(AJ160),AJ160-AJ162+AJ163,"")</f>
        <v>159.758</v>
      </c>
      <c r="AK164" s="261">
        <f>IF(ISNUMBER(AK160),AK160-AK162+AK163,"")</f>
        <v>521.411</v>
      </c>
      <c r="AL164" s="261">
        <f>IF(ISNUMBER(AL160),AL160-AL162+AL163,"")</f>
        <v>169.151</v>
      </c>
      <c r="AM164" s="261">
        <f>IF(ISNUMBER(AM160),AM160-AM162+AM163,"")</f>
        <v>167.427</v>
      </c>
      <c r="AN164" s="261">
        <f>IF(ISNUMBER(AN160),AN160-AN162+AN163,"")</f>
        <v>193.512</v>
      </c>
      <c r="AO164" s="262">
        <f>IF(ISNUMBER(AO160),AO160-AO162+AO163,"")</f>
        <v>188.791697901044</v>
      </c>
      <c r="AP164" s="262">
        <f>IF(ISNUMBER(AP160),AP160-AP162+AP163,"")</f>
        <v>718.881697901045</v>
      </c>
      <c r="AQ164" s="262">
        <f>IF(ISNUMBER(AQ160),AQ160-AQ162+AQ163,"")</f>
        <v>954.213093374775</v>
      </c>
      <c r="AR164" s="262">
        <f>IF(ISNUMBER(AR160),AR160-AR162+AR163,"")</f>
        <v>884.001017167513</v>
      </c>
      <c r="AS164" s="262">
        <f>IF(ISNUMBER(AS160),AS160-AS162+AS163,"")</f>
        <v>982.546168406529</v>
      </c>
      <c r="AT164" s="262">
        <f>IF(ISNUMBER(AT160),AT160-AT162+AT163,"")</f>
        <v>1052.9145602522</v>
      </c>
      <c r="AU164" s="262">
        <f>IF(ISNUMBER(AU160),AU160-AU162+AU163,"")</f>
        <v>1123.46040540526</v>
      </c>
      <c r="AV164" s="153" t="n"/>
    </row>
    <row r="165" ht="15" customHeight="1" s="251">
      <c r="B165" s="25" t="inlineStr">
        <is>
          <t>Income taxes</t>
        </is>
      </c>
      <c r="C165" s="253" t="n">
        <v>55.332</v>
      </c>
      <c r="D165" s="253" t="n">
        <v>56.218</v>
      </c>
      <c r="E165" s="253" t="n">
        <v>53.629</v>
      </c>
      <c r="F165" s="253" t="n">
        <v>61.4</v>
      </c>
      <c r="G165" s="253" t="n">
        <v>59.497</v>
      </c>
      <c r="H165" s="253" t="n">
        <v>45.648</v>
      </c>
      <c r="I165" s="253" t="n">
        <v>52.24</v>
      </c>
      <c r="J165" s="253" t="n">
        <v>39.2</v>
      </c>
      <c r="K165" s="253" t="n">
        <v>61.01</v>
      </c>
      <c r="L165" s="253" t="n">
        <v>41.486</v>
      </c>
      <c r="M165" s="253" t="n">
        <v>6.014</v>
      </c>
      <c r="N165" s="253" t="n">
        <v>10.174</v>
      </c>
      <c r="O165" s="253" t="n">
        <v>9.837</v>
      </c>
      <c r="P165" s="253" t="n">
        <v>11.125</v>
      </c>
      <c r="Q165" s="253" t="n">
        <v>37.15</v>
      </c>
      <c r="R165" s="253" t="n">
        <v>7.441</v>
      </c>
      <c r="S165" s="253" t="n">
        <v>6.19</v>
      </c>
      <c r="T165" s="253" t="n">
        <v>10.841</v>
      </c>
      <c r="U165" s="253" t="n">
        <v>3.728</v>
      </c>
      <c r="V165" s="253" t="n">
        <v>28.2</v>
      </c>
      <c r="W165" s="253" t="n">
        <v>2.143</v>
      </c>
      <c r="X165" s="253" t="n">
        <v>4.73</v>
      </c>
      <c r="Y165" s="253" t="n">
        <v>21.139</v>
      </c>
      <c r="Z165" s="253" t="n">
        <v>15.388</v>
      </c>
      <c r="AA165" s="253" t="n">
        <v>43.4</v>
      </c>
      <c r="AB165" s="253" t="n">
        <v>19.676</v>
      </c>
      <c r="AC165" s="253" t="n">
        <v>23.068</v>
      </c>
      <c r="AD165" s="253" t="n">
        <v>20.021</v>
      </c>
      <c r="AE165" s="253" t="n">
        <v>18.235</v>
      </c>
      <c r="AF165" s="253" t="n">
        <v>81</v>
      </c>
      <c r="AG165" s="253" t="n">
        <v>14.763</v>
      </c>
      <c r="AH165" s="253" t="n">
        <v>24.014</v>
      </c>
      <c r="AI165" s="253" t="n">
        <v>18.388</v>
      </c>
      <c r="AJ165" s="253" t="n">
        <v>22.135</v>
      </c>
      <c r="AK165" s="253" t="n">
        <v>79.3</v>
      </c>
      <c r="AL165" s="253" t="n">
        <v>35.432</v>
      </c>
      <c r="AM165" s="253" t="n">
        <v>33.414</v>
      </c>
      <c r="AN165" s="253" t="n">
        <v>46.837</v>
      </c>
      <c r="AO165" s="254">
        <f>AO164*AO166</f>
        <v>45.3100074962507</v>
      </c>
      <c r="AP165" s="254">
        <f>SUM(AL165:AO165)</f>
        <v>160.993007496251</v>
      </c>
      <c r="AQ165" s="254">
        <f>AQ164*AQ166</f>
        <v>214.697946009324</v>
      </c>
      <c r="AR165" s="254">
        <f>AR164*AR166</f>
        <v>198.90022886269</v>
      </c>
      <c r="AS165" s="254">
        <f>AS164*AS166</f>
        <v>221.072887891469</v>
      </c>
      <c r="AT165" s="254">
        <f>AT164*AT166</f>
        <v>236.905776056746</v>
      </c>
      <c r="AU165" s="254">
        <f>AU164*AU166</f>
        <v>252.778591216184</v>
      </c>
      <c r="AV165" s="19" t="n"/>
    </row>
    <row r="166" ht="15" customHeight="1" s="251">
      <c r="B166" s="25" t="inlineStr">
        <is>
          <t xml:space="preserve">  Effective tax rate</t>
        </is>
      </c>
      <c r="C166" s="215">
        <f>IF(AND(ISNUMBER(C165),ISNUMBER(C164)),IFERROR(C165/C164,""),"")</f>
        <v>0.294998587171517</v>
      </c>
      <c r="D166" s="215">
        <f>IF(AND(ISNUMBER(D165),ISNUMBER(D164)),IFERROR(D165/D164,""),"")</f>
        <v>0.284206322324286</v>
      </c>
      <c r="E166" s="215">
        <f>IF(AND(ISNUMBER(E165),ISNUMBER(E164)),IFERROR(E165/E164,""),"")</f>
        <v>0.268721407418913</v>
      </c>
      <c r="F166" s="215">
        <f>IF(AND(ISNUMBER(F165),ISNUMBER(F164)),IFERROR(F165/F164,""),"")</f>
        <v>0.270194152540881</v>
      </c>
      <c r="G166" s="215">
        <f>IF(AND(ISNUMBER(G165),ISNUMBER(G164)),IFERROR(G165/G164,""),"")</f>
        <v>0.246927773097211</v>
      </c>
      <c r="H166" s="215">
        <f>IF(AND(ISNUMBER(H165),ISNUMBER(H164)),IFERROR(H165/H164,""),"")</f>
        <v>0.201548881608576</v>
      </c>
      <c r="I166" s="215">
        <f>IF(AND(ISNUMBER(I165),ISNUMBER(I164)),IFERROR(I165/I164,""),"")</f>
        <v>0.206688902341076</v>
      </c>
      <c r="J166" s="215">
        <f>IF(AND(ISNUMBER(J165),ISNUMBER(J164)),IFERROR(J165/J164,""),"")</f>
        <v>0.178524260171784</v>
      </c>
      <c r="K166" s="215">
        <f>IF(AND(ISNUMBER(K165),ISNUMBER(K164)),IFERROR(K165/K164,""),"")</f>
        <v>0.190292315945754</v>
      </c>
      <c r="L166" s="215">
        <f>IF(AND(ISNUMBER(L165),ISNUMBER(L164)),IFERROR(L165/L164,""),"")</f>
        <v>0.147175581184968</v>
      </c>
      <c r="M166" s="215">
        <f>IF(AND(ISNUMBER(M165),ISNUMBER(M164)),IFERROR(M165/M164,""),"")</f>
        <v>0.126387020847344</v>
      </c>
      <c r="N166" s="215">
        <f>IF(AND(ISNUMBER(N165),ISNUMBER(N164)),IFERROR(N165/N164,""),"")</f>
        <v>0.129626562360646</v>
      </c>
      <c r="O166" s="215">
        <f>IF(AND(ISNUMBER(O165),ISNUMBER(O164)),IFERROR(O165/O164,""),"")</f>
        <v>0.167586629868139</v>
      </c>
      <c r="P166" s="215">
        <f>IF(AND(ISNUMBER(P165),ISNUMBER(P164)),IFERROR(P165/P164,""),"")</f>
        <v>0.182287399639522</v>
      </c>
      <c r="Q166" s="215">
        <f>IF(AND(ISNUMBER(Q165),ISNUMBER(Q164)),IFERROR(Q165/Q164,""),"")</f>
        <v>0.151139752399318</v>
      </c>
      <c r="R166" s="215">
        <f>IF(AND(ISNUMBER(R165),ISNUMBER(R164)),IFERROR(R165/R164,""),"")</f>
        <v>0.197133471096275</v>
      </c>
      <c r="S166" s="215">
        <f>IF(AND(ISNUMBER(S165),ISNUMBER(S164)),IFERROR(S165/S164,""),"")</f>
        <v>0.114426205264714</v>
      </c>
      <c r="T166" s="215">
        <f>IF(AND(ISNUMBER(T165),ISNUMBER(T164)),IFERROR(T165/T164,""),"")</f>
        <v>0.215582556127826</v>
      </c>
      <c r="U166" s="215">
        <f>IF(AND(ISNUMBER(U165),ISNUMBER(U164)),IFERROR(U165/U164,""),"")</f>
        <v>0.0645328809569146</v>
      </c>
      <c r="V166" s="215">
        <f>IF(AND(ISNUMBER(V165),ISNUMBER(V164)),IFERROR(V165/V164,""),"")</f>
        <v>0.141071946692813</v>
      </c>
      <c r="W166" s="215">
        <f>IF(AND(ISNUMBER(W165),ISNUMBER(W164)),IFERROR(W165/W164,""),"")</f>
        <v>0.067498188919336</v>
      </c>
      <c r="X166" s="215">
        <f>IF(AND(ISNUMBER(X165),ISNUMBER(X164)),IFERROR(X165/X164,""),"")</f>
        <v>0.117541810591188</v>
      </c>
      <c r="Y166" s="215">
        <f>IF(AND(ISNUMBER(Y165),ISNUMBER(Y164)),IFERROR(Y165/Y164,""),"")</f>
        <v>0.199918666893643</v>
      </c>
      <c r="Z166" s="215">
        <f>IF(AND(ISNUMBER(Z165),ISNUMBER(Z164)),IFERROR(Z165/Z164,""),"")</f>
        <v>0.156956344349245</v>
      </c>
      <c r="AA166" s="215">
        <f>IF(AND(ISNUMBER(AA165),ISNUMBER(AA164)),IFERROR(AA165/AA164,""),"")</f>
        <v>0.157378666125149</v>
      </c>
      <c r="AB166" s="215">
        <f>IF(AND(ISNUMBER(AB165),ISNUMBER(AB164)),IFERROR(AB165/AB164,""),"")</f>
        <v>0.179329201604083</v>
      </c>
      <c r="AC166" s="215">
        <f>IF(AND(ISNUMBER(AC165),ISNUMBER(AC164)),IFERROR(AC165/AC164,""),"")</f>
        <v>0.191238891099615</v>
      </c>
      <c r="AD166" s="215">
        <f>IF(AND(ISNUMBER(AD165),ISNUMBER(AD164)),IFERROR(AD165/AD164,""),"")</f>
        <v>0.163977525881274</v>
      </c>
      <c r="AE166" s="215">
        <f>IF(AND(ISNUMBER(AE165),ISNUMBER(AE164)),IFERROR(AE165/AE164,""),"")</f>
        <v>0.179600319114359</v>
      </c>
      <c r="AF166" s="215">
        <f>IF(AND(ISNUMBER(AF165),ISNUMBER(AF164)),IFERROR(AF165/AF164,""),"")</f>
        <v>0.178425494139494</v>
      </c>
      <c r="AG166" s="215">
        <f>IF(AND(ISNUMBER(AG165),ISNUMBER(AG164)),IFERROR(AG165/AG164,""),"")</f>
        <v>0.144942761207218</v>
      </c>
      <c r="AH166" s="215">
        <f>IF(AND(ISNUMBER(AH165),ISNUMBER(AH164)),IFERROR(AH165/AH164,""),"")</f>
        <v>0.180606634928514</v>
      </c>
      <c r="AI166" s="215">
        <f>IF(AND(ISNUMBER(AI165),ISNUMBER(AI164)),IFERROR(AI165/AI164,""),"")</f>
        <v>0.144974612885931</v>
      </c>
      <c r="AJ166" s="215">
        <f>IF(AND(ISNUMBER(AJ165),ISNUMBER(AJ164)),IFERROR(AJ165/AJ164,""),"")</f>
        <v>0.138553311884225</v>
      </c>
      <c r="AK166" s="215">
        <f>IF(AND(ISNUMBER(AK165),ISNUMBER(AK164)),IFERROR(AK165/AK164,""),"")</f>
        <v>0.152087316915063</v>
      </c>
      <c r="AL166" s="215">
        <f>IF(AND(ISNUMBER(AL165),ISNUMBER(AL164)),IFERROR(AL165/AL164,""),"")</f>
        <v>0.209469645464703</v>
      </c>
      <c r="AM166" s="215">
        <f>IF(AND(ISNUMBER(AM165),ISNUMBER(AM164)),IFERROR(AM165/AM164,""),"")</f>
        <v>0.199573545485495</v>
      </c>
      <c r="AN166" s="215">
        <f>IF(AND(ISNUMBER(AN165),ISNUMBER(AN164)),IFERROR(AN165/AN164,""),"")</f>
        <v>0.242036669560544</v>
      </c>
      <c r="AO166" s="256">
        <f>$BF$25</f>
        <v>0.24</v>
      </c>
      <c r="AP166" s="256">
        <f>IF(AND(ISNUMBER(AP165),ISNUMBER(AP164)),IFERROR(AP165/AP164,""),"")</f>
        <v>0.223949236663432</v>
      </c>
      <c r="AQ166" s="265" t="n">
        <v>0.225</v>
      </c>
      <c r="AR166" s="265" t="n">
        <v>0.225</v>
      </c>
      <c r="AS166" s="265" t="n">
        <v>0.225</v>
      </c>
      <c r="AT166" s="265" t="n">
        <v>0.225</v>
      </c>
      <c r="AU166" s="265" t="n">
        <v>0.225</v>
      </c>
      <c r="AV166" s="153" t="inlineStr">
        <is>
          <t>Q4/26E: point estimate consistent with the ~22.5% FY26 adjusted-rate guidance. 2027E+: input.</t>
        </is>
      </c>
      <c r="AX166" s="37">
        <f>IFERROR(AVERAGE(AQ166,AR166,AS166,AT166,AU166),"n/m")</f>
        <v>0.225</v>
      </c>
      <c r="AY166" s="37">
        <f>IFERROR(AVERAGE(Q166,V166,AA166,AF166,AK166),"n/m")</f>
        <v>0.156020635254367</v>
      </c>
      <c r="AZ166" s="37">
        <f>IFERROR(AVERAGE(H166,I166,J166,K166,L166,Q166,V166,AA166,AF166,AK166),"n/m")</f>
        <v>0.1704333117524</v>
      </c>
      <c r="BA166" s="37">
        <f>IFERROR(AVERAGE(C166,D166,E166,F166,G166,H166,I166,J166,K166,L166,Q166,V166,AA166,AF166,AK166),"n/m")</f>
        <v>0.20462542400512</v>
      </c>
    </row>
    <row r="167" ht="15" customHeight="1" s="251">
      <c r="B167" s="55" t="inlineStr">
        <is>
          <t>Net earnings</t>
        </is>
      </c>
      <c r="C167" s="273">
        <f>IF(ISNUMBER(C164),C164-C165,"")</f>
        <v>132.235</v>
      </c>
      <c r="D167" s="273">
        <f>IF(ISNUMBER(D164),D164-D165,"")</f>
        <v>141.589</v>
      </c>
      <c r="E167" s="273">
        <f>IF(ISNUMBER(E164),E164-E165,"")</f>
        <v>145.942</v>
      </c>
      <c r="F167" s="273">
        <f>IF(ISNUMBER(F164),F164-F165,"")</f>
        <v>165.844</v>
      </c>
      <c r="G167" s="273">
        <f>IF(ISNUMBER(G164),G164-G165,"")</f>
        <v>181.452</v>
      </c>
      <c r="H167" s="273">
        <f>IF(ISNUMBER(H164),H164-H165,"")</f>
        <v>180.838</v>
      </c>
      <c r="I167" s="273">
        <f>IF(ISNUMBER(I164),I164-I165,"")</f>
        <v>200.507</v>
      </c>
      <c r="J167" s="273">
        <f>IF(ISNUMBER(J164),J164-J165,"")</f>
        <v>180.378</v>
      </c>
      <c r="K167" s="273">
        <f>IF(ISNUMBER(K164),K164-K165,"")</f>
        <v>259.602</v>
      </c>
      <c r="L167" s="273">
        <f>IF(ISNUMBER(L164),L164-L165,"")</f>
        <v>240.395</v>
      </c>
      <c r="M167" s="273">
        <f>IF(ISNUMBER(M164),M164-M165,"")</f>
        <v>41.5700000000001</v>
      </c>
      <c r="N167" s="273">
        <f>IF(ISNUMBER(N164),N164-N165,"")</f>
        <v>68.3130000000001</v>
      </c>
      <c r="O167" s="273">
        <f>IF(ISNUMBER(O164),O164-O165,"")</f>
        <v>48.861</v>
      </c>
      <c r="P167" s="273">
        <f>IF(ISNUMBER(P164),P164-P165,"")</f>
        <v>49.905</v>
      </c>
      <c r="Q167" s="273">
        <f>IF(ISNUMBER(Q164),Q164-Q165,"")</f>
        <v>208.649</v>
      </c>
      <c r="R167" s="273">
        <f>IF(ISNUMBER(R164),R164-R165,"")</f>
        <v>30.305</v>
      </c>
      <c r="S167" s="273">
        <f>IF(ISNUMBER(S164),S164-S165,"")</f>
        <v>47.9060000000001</v>
      </c>
      <c r="T167" s="273">
        <f>IF(ISNUMBER(T164),T164-T165,"")</f>
        <v>39.446</v>
      </c>
      <c r="U167" s="273">
        <f>IF(ISNUMBER(U164),U164-U165,"")</f>
        <v>54.041</v>
      </c>
      <c r="V167" s="273">
        <f>IF(ISNUMBER(V164),V164-V165,"")</f>
        <v>171.698</v>
      </c>
      <c r="W167" s="273">
        <f>IF(ISNUMBER(W164),W164-W165,"")</f>
        <v>29.606</v>
      </c>
      <c r="X167" s="273">
        <f>IF(ISNUMBER(X164),X164-X165,"")</f>
        <v>35.5110000000001</v>
      </c>
      <c r="Y167" s="273">
        <f>IF(ISNUMBER(Y164),Y164-Y165,"")</f>
        <v>84.5990000000001</v>
      </c>
      <c r="Z167" s="273">
        <f>IF(ISNUMBER(Z164),Z164-Z165,"")</f>
        <v>82.6520000000001</v>
      </c>
      <c r="AA167" s="273">
        <f>IF(ISNUMBER(AA164),AA164-AA165,"")</f>
        <v>232.368</v>
      </c>
      <c r="AB167" s="273">
        <f>IF(ISNUMBER(AB164),AB164-AB165,"")</f>
        <v>90.044</v>
      </c>
      <c r="AC167" s="273">
        <f>IF(ISNUMBER(AC164),AC164-AC165,"")</f>
        <v>97.556</v>
      </c>
      <c r="AD167" s="273">
        <f>IF(ISNUMBER(AD164),AD164-AD165,"")</f>
        <v>102.075</v>
      </c>
      <c r="AE167" s="273">
        <f>IF(ISNUMBER(AE164),AE164-AE165,"")</f>
        <v>83.2960000000001</v>
      </c>
      <c r="AF167" s="273">
        <f>IF(ISNUMBER(AF164),AF164-AF165,"")</f>
        <v>372.971</v>
      </c>
      <c r="AG167" s="273">
        <f>IF(ISNUMBER(AG164),AG164-AG165,"")</f>
        <v>87.091</v>
      </c>
      <c r="AH167" s="273">
        <f>IF(ISNUMBER(AH164),AH164-AH165,"")</f>
        <v>108.949</v>
      </c>
      <c r="AI167" s="273">
        <f>IF(ISNUMBER(AI164),AI164-AI165,"")</f>
        <v>108.448</v>
      </c>
      <c r="AJ167" s="273">
        <f>IF(ISNUMBER(AJ164),AJ164-AJ165,"")</f>
        <v>137.623</v>
      </c>
      <c r="AK167" s="273">
        <f>IF(ISNUMBER(AK164),AK164-AK165,"")</f>
        <v>442.111</v>
      </c>
      <c r="AL167" s="273">
        <f>IF(ISNUMBER(AL164),AL164-AL165,"")</f>
        <v>133.719</v>
      </c>
      <c r="AM167" s="273">
        <f>IF(ISNUMBER(AM164),AM164-AM165,"")</f>
        <v>134.013</v>
      </c>
      <c r="AN167" s="273">
        <f>IF(ISNUMBER(AN164),AN164-AN165,"")</f>
        <v>146.675</v>
      </c>
      <c r="AO167" s="273">
        <f>IF(ISNUMBER(AO164),AO164-AO165,"")</f>
        <v>143.481690404794</v>
      </c>
      <c r="AP167" s="273">
        <f>IF(ISNUMBER(AP164),AP164-AP165,"")</f>
        <v>557.888690404794</v>
      </c>
      <c r="AQ167" s="273">
        <f>IF(ISNUMBER(AQ164),AQ164-AQ165,"")</f>
        <v>739.51514736545</v>
      </c>
      <c r="AR167" s="273">
        <f>IF(ISNUMBER(AR164),AR164-AR165,"")</f>
        <v>685.100788304822</v>
      </c>
      <c r="AS167" s="273">
        <f>IF(ISNUMBER(AS164),AS164-AS165,"")</f>
        <v>761.47328051506</v>
      </c>
      <c r="AT167" s="273">
        <f>IF(ISNUMBER(AT164),AT164-AT165,"")</f>
        <v>816.008784195457</v>
      </c>
      <c r="AU167" s="273">
        <f>IF(ISNUMBER(AU164),AU164-AU165,"")</f>
        <v>870.681814189077</v>
      </c>
      <c r="AV167" s="153" t="n"/>
      <c r="AX167" s="20">
        <f>IFERROR((AU167/AP167)^(1/5)-1,"n/m")</f>
        <v>0.0931062645043306</v>
      </c>
      <c r="AY167" s="20">
        <f>IFERROR((AK167/L167)^(1/5)-1,"n/m")</f>
        <v>0.129590881727391</v>
      </c>
      <c r="AZ167" s="20">
        <f>IFERROR((AK167/G167)^(1/10)-1,"n/m")</f>
        <v>0.0931429446626966</v>
      </c>
      <c r="BA167" s="20">
        <f>IFERROR((AK167/C167)^(1/14)-1,"n/m")</f>
        <v>0.0900383524524706</v>
      </c>
    </row>
    <row r="168" ht="15" customHeight="1" s="251">
      <c r="B168" s="57" t="inlineStr">
        <is>
          <t xml:space="preserve">  Check: net earnings vs reported (should be 0; ±0.1 rounding)</t>
        </is>
      </c>
      <c r="C168" s="263">
        <f>IF(ISNUMBER(C169),IF(ABS(C167-C169)&lt;=0.15,0,ROUND(C167-C169,1)),"")</f>
        <v>0</v>
      </c>
      <c r="D168" s="263">
        <f>IF(ISNUMBER(D169),IF(ABS(D167-D169)&lt;=0.15,0,ROUND(D167-D169,1)),"")</f>
        <v>0</v>
      </c>
      <c r="E168" s="263">
        <f>IF(ISNUMBER(E169),IF(ABS(E167-E169)&lt;=0.15,0,ROUND(E167-E169,1)),"")</f>
        <v>0</v>
      </c>
      <c r="F168" s="263">
        <f>IF(ISNUMBER(F169),IF(ABS(F167-F169)&lt;=0.15,0,ROUND(F167-F169,1)),"")</f>
        <v>0</v>
      </c>
      <c r="G168" s="263">
        <f>IF(ISNUMBER(G169),IF(ABS(G167-G169)&lt;=0.15,0,ROUND(G167-G169,1)),"")</f>
        <v>0</v>
      </c>
      <c r="H168" s="263">
        <f>IF(ISNUMBER(H169),IF(ABS(H167-H169)&lt;=0.15,0,ROUND(H167-H169,1)),"")</f>
        <v>0</v>
      </c>
      <c r="I168" s="263">
        <f>IF(ISNUMBER(I169),IF(ABS(I167-I169)&lt;=0.15,0,ROUND(I167-I169,1)),"")</f>
        <v>0</v>
      </c>
      <c r="J168" s="263">
        <f>IF(ISNUMBER(J169),IF(ABS(J167-J169)&lt;=0.15,0,ROUND(J167-J169,1)),"")</f>
        <v>0</v>
      </c>
      <c r="K168" s="263">
        <f>IF(ISNUMBER(K169),IF(ABS(K167-K169)&lt;=0.15,0,ROUND(K167-K169,1)),"")</f>
        <v>0</v>
      </c>
      <c r="L168" s="263">
        <f>IF(ISNUMBER(L169),IF(ABS(L167-L169)&lt;=0.15,0,ROUND(L167-L169,1)),"")</f>
        <v>0</v>
      </c>
      <c r="M168" s="263">
        <f>IF(ISNUMBER(M169),IF(ABS(M167-M169)&lt;=0.15,0,ROUND(M167-M169,1)),"")</f>
        <v>0</v>
      </c>
      <c r="N168" s="263">
        <f>IF(ISNUMBER(N169),IF(ABS(N167-N169)&lt;=0.15,0,ROUND(N167-N169,1)),"")</f>
        <v>0</v>
      </c>
      <c r="O168" s="263">
        <f>IF(ISNUMBER(O169),IF(ABS(O167-O169)&lt;=0.15,0,ROUND(O167-O169,1)),"")</f>
        <v>0</v>
      </c>
      <c r="P168" s="263">
        <f>IF(ISNUMBER(P169),IF(ABS(P167-P169)&lt;=0.15,0,ROUND(P167-P169,1)),"")</f>
        <v>0</v>
      </c>
      <c r="Q168" s="263">
        <f>IF(ISNUMBER(Q169),IF(ABS(Q167-Q169)&lt;=0.15,0,ROUND(Q167-Q169,1)),"")</f>
        <v>0</v>
      </c>
      <c r="R168" s="263">
        <f>IF(ISNUMBER(R169),IF(ABS(R167-R169)&lt;=0.15,0,ROUND(R167-R169,1)),"")</f>
        <v>0</v>
      </c>
      <c r="S168" s="263">
        <f>IF(ISNUMBER(S169),IF(ABS(S167-S169)&lt;=0.15,0,ROUND(S167-S169,1)),"")</f>
        <v>0</v>
      </c>
      <c r="T168" s="263">
        <f>IF(ISNUMBER(T169),IF(ABS(T167-T169)&lt;=0.15,0,ROUND(T167-T169,1)),"")</f>
        <v>0</v>
      </c>
      <c r="U168" s="263">
        <f>IF(ISNUMBER(U169),IF(ABS(U167-U169)&lt;=0.15,0,ROUND(U167-U169,1)),"")</f>
        <v>0</v>
      </c>
      <c r="V168" s="263">
        <f>IF(ISNUMBER(V169),IF(ABS(V167-V169)&lt;=0.15,0,ROUND(V167-V169,1)),"")</f>
        <v>0</v>
      </c>
      <c r="W168" s="263">
        <f>IF(ISNUMBER(W169),IF(ABS(W167-W169)&lt;=0.15,0,ROUND(W167-W169,1)),"")</f>
        <v>0</v>
      </c>
      <c r="X168" s="263">
        <f>IF(ISNUMBER(X169),IF(ABS(X167-X169)&lt;=0.15,0,ROUND(X167-X169,1)),"")</f>
        <v>0</v>
      </c>
      <c r="Y168" s="263">
        <f>IF(ISNUMBER(Y169),IF(ABS(Y167-Y169)&lt;=0.15,0,ROUND(Y167-Y169,1)),"")</f>
        <v>0</v>
      </c>
      <c r="Z168" s="263">
        <f>IF(ISNUMBER(Z169),IF(ABS(Z167-Z169)&lt;=0.15,0,ROUND(Z167-Z169,1)),"")</f>
        <v>0</v>
      </c>
      <c r="AA168" s="263">
        <f>IF(ISNUMBER(AA169),IF(ABS(AA167-AA169)&lt;=0.15,0,ROUND(AA167-AA169,1)),"")</f>
        <v>0</v>
      </c>
      <c r="AB168" s="263">
        <f>IF(ISNUMBER(AB169),IF(ABS(AB167-AB169)&lt;=0.15,0,ROUND(AB167-AB169,1)),"")</f>
        <v>0</v>
      </c>
      <c r="AC168" s="263">
        <f>IF(ISNUMBER(AC169),IF(ABS(AC167-AC169)&lt;=0.15,0,ROUND(AC167-AC169,1)),"")</f>
        <v>0</v>
      </c>
      <c r="AD168" s="263">
        <f>IF(ISNUMBER(AD169),IF(ABS(AD167-AD169)&lt;=0.15,0,ROUND(AD167-AD169,1)),"")</f>
        <v>0</v>
      </c>
      <c r="AE168" s="263">
        <f>IF(ISNUMBER(AE169),IF(ABS(AE167-AE169)&lt;=0.15,0,ROUND(AE167-AE169,1)),"")</f>
        <v>0</v>
      </c>
      <c r="AF168" s="263">
        <f>IF(ISNUMBER(AF169),IF(ABS(AF167-AF169)&lt;=0.15,0,ROUND(AF167-AF169,1)),"")</f>
        <v>0</v>
      </c>
      <c r="AG168" s="263">
        <f>IF(ISNUMBER(AG169),IF(ABS(AG167-AG169)&lt;=0.15,0,ROUND(AG167-AG169,1)),"")</f>
        <v>0</v>
      </c>
      <c r="AH168" s="263">
        <f>IF(ISNUMBER(AH169),IF(ABS(AH167-AH169)&lt;=0.15,0,ROUND(AH167-AH169,1)),"")</f>
        <v>0</v>
      </c>
      <c r="AI168" s="263">
        <f>IF(ISNUMBER(AI169),IF(ABS(AI167-AI169)&lt;=0.15,0,ROUND(AI167-AI169,1)),"")</f>
        <v>0</v>
      </c>
      <c r="AJ168" s="263">
        <f>IF(ISNUMBER(AJ169),IF(ABS(AJ167-AJ169)&lt;=0.15,0,ROUND(AJ167-AJ169,1)),"")</f>
        <v>0</v>
      </c>
      <c r="AK168" s="263">
        <f>IF(ISNUMBER(AK169),IF(ABS(AK167-AK169)&lt;=0.15,0,ROUND(AK167-AK169,1)),"")</f>
        <v>0</v>
      </c>
      <c r="AL168" s="263">
        <f>IF(ISNUMBER(AL169),IF(ABS(AL167-AL169)&lt;=0.15,0,ROUND(AL167-AL169,1)),"")</f>
        <v>0</v>
      </c>
      <c r="AM168" s="263">
        <f>IF(ISNUMBER(AM169),IF(ABS(AM167-AM169)&lt;=0.15,0,ROUND(AM167-AM169,1)),"")</f>
        <v>0</v>
      </c>
      <c r="AN168" s="263">
        <f>IF(ISNUMBER(AN169),IF(ABS(AN167-AN169)&lt;=0.15,0,ROUND(AN167-AN169,1)),"")</f>
        <v>0</v>
      </c>
      <c r="AO168" s="153" t="n"/>
      <c r="AP168" s="153" t="n"/>
      <c r="AQ168" s="153" t="n"/>
      <c r="AR168" s="153" t="n"/>
      <c r="AS168" s="153" t="n"/>
      <c r="AT168" s="153" t="n"/>
      <c r="AU168" s="153" t="n"/>
      <c r="AV168" s="153" t="n"/>
    </row>
    <row r="169" ht="15" customHeight="1" s="251">
      <c r="B169" s="156" t="inlineStr">
        <is>
          <t xml:space="preserve">  Memo: net earnings as reported (attributable to Woodward)</t>
        </is>
      </c>
      <c r="C169" s="253" t="n">
        <v>132.235</v>
      </c>
      <c r="D169" s="253" t="n">
        <v>141.589</v>
      </c>
      <c r="E169" s="253" t="n">
        <v>145.942</v>
      </c>
      <c r="F169" s="253" t="n">
        <v>165.844</v>
      </c>
      <c r="G169" s="253" t="n">
        <v>181.452</v>
      </c>
      <c r="H169" s="253" t="n">
        <v>180.838</v>
      </c>
      <c r="I169" s="253" t="n">
        <v>200.507</v>
      </c>
      <c r="J169" s="253" t="n">
        <v>180.378</v>
      </c>
      <c r="K169" s="253" t="n">
        <v>259.602</v>
      </c>
      <c r="L169" s="253" t="n">
        <v>240.395</v>
      </c>
      <c r="M169" s="253" t="n">
        <v>41.57</v>
      </c>
      <c r="N169" s="253" t="n">
        <v>68.313</v>
      </c>
      <c r="O169" s="253" t="n">
        <v>48.861</v>
      </c>
      <c r="P169" s="253" t="n">
        <v>49.905</v>
      </c>
      <c r="Q169" s="253" t="n">
        <v>208.649</v>
      </c>
      <c r="R169" s="253" t="n">
        <v>30.305</v>
      </c>
      <c r="S169" s="253" t="n">
        <v>47.906</v>
      </c>
      <c r="T169" s="253" t="n">
        <v>39.446</v>
      </c>
      <c r="U169" s="253" t="n">
        <v>54.041</v>
      </c>
      <c r="V169" s="253" t="n">
        <v>171.698</v>
      </c>
      <c r="W169" s="253" t="n">
        <v>29.606</v>
      </c>
      <c r="X169" s="253" t="n">
        <v>35.511</v>
      </c>
      <c r="Y169" s="253" t="n">
        <v>84.599</v>
      </c>
      <c r="Z169" s="253" t="n">
        <v>82.652</v>
      </c>
      <c r="AA169" s="253" t="n">
        <v>232.368</v>
      </c>
      <c r="AB169" s="253" t="n">
        <v>90.044</v>
      </c>
      <c r="AC169" s="253" t="n">
        <v>97.556</v>
      </c>
      <c r="AD169" s="253" t="n">
        <v>102.075</v>
      </c>
      <c r="AE169" s="253" t="n">
        <v>83.29600000000001</v>
      </c>
      <c r="AF169" s="253" t="n">
        <v>372.971</v>
      </c>
      <c r="AG169" s="253" t="n">
        <v>87.09099999999999</v>
      </c>
      <c r="AH169" s="253" t="n">
        <v>108.949</v>
      </c>
      <c r="AI169" s="253" t="n">
        <v>108.448</v>
      </c>
      <c r="AJ169" s="253" t="n">
        <v>137.623</v>
      </c>
      <c r="AK169" s="253" t="n">
        <v>442.111</v>
      </c>
      <c r="AL169" s="253" t="n">
        <v>133.719</v>
      </c>
      <c r="AM169" s="253" t="n">
        <v>134.013</v>
      </c>
      <c r="AN169" s="253" t="n">
        <v>146.675</v>
      </c>
      <c r="AO169" s="153" t="n"/>
      <c r="AP169" s="153" t="n"/>
      <c r="AQ169" s="153" t="n"/>
      <c r="AR169" s="153" t="n"/>
      <c r="AS169" s="153" t="n"/>
      <c r="AT169" s="153" t="n"/>
      <c r="AU169" s="153" t="n"/>
      <c r="AV169" s="153" t="n"/>
    </row>
    <row r="170" ht="15" customHeight="1" s="251">
      <c r="B170" s="156" t="inlineStr">
        <is>
          <t xml:space="preserve">  Memo: net earnings attributable to noncontrolling interests (none since FY2011)</t>
        </is>
      </c>
      <c r="C170" s="253" t="n">
        <v>0</v>
      </c>
      <c r="D170" s="253" t="n">
        <v>0</v>
      </c>
      <c r="E170" s="253" t="n">
        <v>0</v>
      </c>
      <c r="F170" s="253" t="n">
        <v>0</v>
      </c>
      <c r="G170" s="253" t="n">
        <v>0</v>
      </c>
      <c r="H170" s="253" t="n">
        <v>0</v>
      </c>
      <c r="I170" s="253" t="n">
        <v>0</v>
      </c>
      <c r="J170" s="253" t="n">
        <v>0</v>
      </c>
      <c r="K170" s="253" t="n">
        <v>0</v>
      </c>
      <c r="L170" s="253" t="n">
        <v>0</v>
      </c>
      <c r="M170" s="253" t="n">
        <v>0</v>
      </c>
      <c r="N170" s="253" t="n">
        <v>0</v>
      </c>
      <c r="O170" s="253" t="n">
        <v>0</v>
      </c>
      <c r="P170" s="253" t="n">
        <v>0</v>
      </c>
      <c r="Q170" s="253" t="n">
        <v>0</v>
      </c>
      <c r="R170" s="253" t="n">
        <v>0</v>
      </c>
      <c r="S170" s="253" t="n">
        <v>0</v>
      </c>
      <c r="T170" s="253" t="n">
        <v>0</v>
      </c>
      <c r="U170" s="253" t="n">
        <v>0</v>
      </c>
      <c r="V170" s="253" t="n">
        <v>0</v>
      </c>
      <c r="W170" s="253" t="n">
        <v>0</v>
      </c>
      <c r="X170" s="253" t="n">
        <v>0</v>
      </c>
      <c r="Y170" s="253" t="n">
        <v>0</v>
      </c>
      <c r="Z170" s="253" t="n">
        <v>0</v>
      </c>
      <c r="AA170" s="253" t="n">
        <v>0</v>
      </c>
      <c r="AB170" s="253" t="n">
        <v>0</v>
      </c>
      <c r="AC170" s="253" t="n">
        <v>0</v>
      </c>
      <c r="AD170" s="253" t="n">
        <v>0</v>
      </c>
      <c r="AE170" s="253" t="n">
        <v>0</v>
      </c>
      <c r="AF170" s="253" t="n">
        <v>0</v>
      </c>
      <c r="AG170" s="253" t="n">
        <v>0</v>
      </c>
      <c r="AH170" s="253" t="n">
        <v>0</v>
      </c>
      <c r="AI170" s="253" t="n">
        <v>0</v>
      </c>
      <c r="AJ170" s="253" t="n">
        <v>0</v>
      </c>
      <c r="AK170" s="253" t="n">
        <v>0</v>
      </c>
      <c r="AL170" s="253" t="n">
        <v>0</v>
      </c>
      <c r="AM170" s="253" t="n">
        <v>0</v>
      </c>
      <c r="AN170" s="253" t="n">
        <v>0</v>
      </c>
      <c r="AO170" s="274">
        <f>0</f>
        <v>0</v>
      </c>
      <c r="AP170" s="274">
        <f>SUM(AL170:AO170)</f>
        <v>0</v>
      </c>
      <c r="AQ170" s="274">
        <f>0</f>
        <v>0</v>
      </c>
      <c r="AR170" s="274">
        <f>0</f>
        <v>0</v>
      </c>
      <c r="AS170" s="274">
        <f>0</f>
        <v>0</v>
      </c>
      <c r="AT170" s="274">
        <f>0</f>
        <v>0</v>
      </c>
      <c r="AU170" s="274">
        <f>0</f>
        <v>0</v>
      </c>
      <c r="AV170" s="153" t="n"/>
    </row>
    <row r="171" ht="15" customHeight="1" s="251">
      <c r="B171" s="156" t="inlineStr">
        <is>
          <t xml:space="preserve">  Memo: depreciation &amp; amortization (total)</t>
        </is>
      </c>
      <c r="C171" s="263">
        <f>C129</f>
        <v>75.393</v>
      </c>
      <c r="D171" s="263">
        <f>D129</f>
        <v>68.617</v>
      </c>
      <c r="E171" s="263">
        <f>E129</f>
        <v>74.233</v>
      </c>
      <c r="F171" s="263">
        <f>F129</f>
        <v>77.353</v>
      </c>
      <c r="G171" s="263">
        <f>G129</f>
        <v>75.235</v>
      </c>
      <c r="H171" s="263">
        <f>H129</f>
        <v>69.036</v>
      </c>
      <c r="I171" s="263">
        <f>I129</f>
        <v>80.917</v>
      </c>
      <c r="J171" s="263">
        <f>J129</f>
        <v>116.131</v>
      </c>
      <c r="K171" s="263">
        <f>K129</f>
        <v>142.004</v>
      </c>
      <c r="L171" s="263">
        <f>L129</f>
        <v>131.158</v>
      </c>
      <c r="M171" s="263">
        <f>M129</f>
        <v>33.077</v>
      </c>
      <c r="N171" s="263">
        <f>N129</f>
        <v>32.479</v>
      </c>
      <c r="O171" s="263">
        <f>O129</f>
        <v>32.243</v>
      </c>
      <c r="P171" s="263">
        <f>P129</f>
        <v>31.725</v>
      </c>
      <c r="Q171" s="263">
        <f>Q129</f>
        <v>129.524</v>
      </c>
      <c r="R171" s="263">
        <f>R129</f>
        <v>30.721</v>
      </c>
      <c r="S171" s="263">
        <f>S129</f>
        <v>30.61</v>
      </c>
      <c r="T171" s="263">
        <f>T129</f>
        <v>29.927</v>
      </c>
      <c r="U171" s="263">
        <f>U129</f>
        <v>29.37</v>
      </c>
      <c r="V171" s="263">
        <f>V129</f>
        <v>120.628</v>
      </c>
      <c r="W171" s="263">
        <f>W129</f>
        <v>29.304</v>
      </c>
      <c r="X171" s="263">
        <f>X129</f>
        <v>29.953</v>
      </c>
      <c r="Y171" s="263">
        <f>Y129</f>
        <v>30.044</v>
      </c>
      <c r="Z171" s="263">
        <f>Z129</f>
        <v>30.442</v>
      </c>
      <c r="AA171" s="263">
        <f>AA129</f>
        <v>119.743</v>
      </c>
      <c r="AB171" s="263">
        <f>AB129</f>
        <v>28.825</v>
      </c>
      <c r="AC171" s="263">
        <f>AC129</f>
        <v>29.225</v>
      </c>
      <c r="AD171" s="263">
        <f>AD129</f>
        <v>28.792</v>
      </c>
      <c r="AE171" s="263">
        <f>AE129</f>
        <v>29.328</v>
      </c>
      <c r="AF171" s="263">
        <f>AF129</f>
        <v>116.17</v>
      </c>
      <c r="AG171" s="263">
        <f>AG129</f>
        <v>27.876</v>
      </c>
      <c r="AH171" s="263">
        <f>AH129</f>
        <v>27.566</v>
      </c>
      <c r="AI171" s="263">
        <f>AI129</f>
        <v>28.654</v>
      </c>
      <c r="AJ171" s="263">
        <f>AJ129</f>
        <v>29.182</v>
      </c>
      <c r="AK171" s="263">
        <f>AK129</f>
        <v>113.278</v>
      </c>
      <c r="AL171" s="263">
        <f>AL129</f>
        <v>29.038</v>
      </c>
      <c r="AM171" s="263">
        <f>AM129</f>
        <v>29.906</v>
      </c>
      <c r="AN171" s="263">
        <f>AN129</f>
        <v>32.069</v>
      </c>
      <c r="AO171" s="254">
        <f>AO129</f>
        <v>31.448</v>
      </c>
      <c r="AP171" s="254">
        <f>AP129</f>
        <v>122.461</v>
      </c>
      <c r="AQ171" s="254">
        <f>AQ129</f>
        <v>142.052968304922</v>
      </c>
      <c r="AR171" s="254">
        <f>AR129</f>
        <v>163.649354465317</v>
      </c>
      <c r="AS171" s="254">
        <f>AS129</f>
        <v>180.002609005602</v>
      </c>
      <c r="AT171" s="254">
        <f>AT129</f>
        <v>191.2127537162</v>
      </c>
      <c r="AU171" s="254">
        <f>AU129</f>
        <v>201.211355027128</v>
      </c>
      <c r="AV171" s="153" t="n"/>
    </row>
    <row r="172" ht="15" customHeight="1" s="251">
      <c r="B172" s="156" t="inlineStr">
        <is>
          <t xml:space="preserve">  Memo: share-based compensation</t>
        </is>
      </c>
      <c r="C172" s="263">
        <f>C136</f>
        <v>6.59</v>
      </c>
      <c r="D172" s="263">
        <f>D136</f>
        <v>8.628</v>
      </c>
      <c r="E172" s="263">
        <f>E136</f>
        <v>9.414</v>
      </c>
      <c r="F172" s="263">
        <f>F136</f>
        <v>11.241</v>
      </c>
      <c r="G172" s="263">
        <f>G136</f>
        <v>14.255</v>
      </c>
      <c r="H172" s="263">
        <f>H136</f>
        <v>15.122</v>
      </c>
      <c r="I172" s="263">
        <f>I136</f>
        <v>17.282</v>
      </c>
      <c r="J172" s="263">
        <f>J136</f>
        <v>18.229</v>
      </c>
      <c r="K172" s="263">
        <f>K136</f>
        <v>18.146</v>
      </c>
      <c r="L172" s="263">
        <f>L136</f>
        <v>22.902</v>
      </c>
      <c r="M172" s="263">
        <f>M136</f>
        <v>13.469</v>
      </c>
      <c r="N172" s="263">
        <f>N136</f>
        <v>2.969</v>
      </c>
      <c r="O172" s="263">
        <f>O136</f>
        <v>2.615</v>
      </c>
      <c r="P172" s="263">
        <f>P136</f>
        <v>2.422</v>
      </c>
      <c r="Q172" s="263">
        <f>Q136</f>
        <v>21.475</v>
      </c>
      <c r="R172" s="263">
        <f>R136</f>
        <v>11.892</v>
      </c>
      <c r="S172" s="263">
        <f>S136</f>
        <v>2.065</v>
      </c>
      <c r="T172" s="263">
        <f>T136</f>
        <v>3.179</v>
      </c>
      <c r="U172" s="263">
        <f>U136</f>
        <v>2.973</v>
      </c>
      <c r="V172" s="263">
        <f>V136</f>
        <v>20.109</v>
      </c>
      <c r="W172" s="263">
        <f>W136</f>
        <v>11.316</v>
      </c>
      <c r="X172" s="263">
        <f>X136</f>
        <v>4.222</v>
      </c>
      <c r="Y172" s="263">
        <f>Y136</f>
        <v>3.831</v>
      </c>
      <c r="Z172" s="263">
        <f>Z136</f>
        <v>4.014</v>
      </c>
      <c r="AA172" s="263">
        <f>AA136</f>
        <v>23.383</v>
      </c>
      <c r="AB172" s="263">
        <f>AB136</f>
        <v>4.937</v>
      </c>
      <c r="AC172" s="263">
        <f>AC136</f>
        <v>14.966</v>
      </c>
      <c r="AD172" s="263">
        <f>AD136</f>
        <v>8.023</v>
      </c>
      <c r="AE172" s="263">
        <f>AE136</f>
        <v>5.126</v>
      </c>
      <c r="AF172" s="263">
        <f>AF136</f>
        <v>33.052</v>
      </c>
      <c r="AG172" s="263">
        <f>AG136</f>
        <v>6.666</v>
      </c>
      <c r="AH172" s="263">
        <f>AH136</f>
        <v>12.71</v>
      </c>
      <c r="AI172" s="263">
        <f>AI136</f>
        <v>6.114</v>
      </c>
      <c r="AJ172" s="263">
        <f>AJ136</f>
        <v>6.184</v>
      </c>
      <c r="AK172" s="263">
        <f>AK136</f>
        <v>31.674</v>
      </c>
      <c r="AL172" s="263">
        <f>AL136</f>
        <v>7.03</v>
      </c>
      <c r="AM172" s="263">
        <f>AM136</f>
        <v>14.093</v>
      </c>
      <c r="AN172" s="263">
        <f>AN136</f>
        <v>7.53</v>
      </c>
      <c r="AO172" s="254">
        <f>AO136</f>
        <v>6.95135943507258</v>
      </c>
      <c r="AP172" s="254">
        <f>AP136</f>
        <v>35.6043594350726</v>
      </c>
      <c r="AQ172" s="254">
        <f>AQ136</f>
        <v>40.0097346634132</v>
      </c>
      <c r="AR172" s="254">
        <f>AR136</f>
        <v>43.3637205182079</v>
      </c>
      <c r="AS172" s="254">
        <f>AS136</f>
        <v>46.466211918498</v>
      </c>
      <c r="AT172" s="254">
        <f>AT136</f>
        <v>49.2684258943986</v>
      </c>
      <c r="AU172" s="254">
        <f>AU136</f>
        <v>52.049866066561</v>
      </c>
      <c r="AV172" s="153" t="n"/>
    </row>
    <row r="173" ht="15" customHeight="1" s="251">
      <c r="B173" s="25" t="inlineStr">
        <is>
          <t>(Earnings per share — Woodward common stock)</t>
        </is>
      </c>
      <c r="AV173" s="153" t="n"/>
    </row>
    <row r="174" ht="15" customHeight="1" s="251">
      <c r="B174" s="25" t="inlineStr">
        <is>
          <t xml:space="preserve">  Weighted-average basic shares (m)</t>
        </is>
      </c>
      <c r="C174" s="253" t="n">
        <v>68.797</v>
      </c>
      <c r="D174" s="253" t="n">
        <v>68.88</v>
      </c>
      <c r="E174" s="253" t="n">
        <v>68.392</v>
      </c>
      <c r="F174" s="253" t="n">
        <v>66.432</v>
      </c>
      <c r="G174" s="253" t="n">
        <v>64.684</v>
      </c>
      <c r="H174" s="253" t="n">
        <v>61.893</v>
      </c>
      <c r="I174" s="253" t="n">
        <v>61.366</v>
      </c>
      <c r="J174" s="253" t="n">
        <v>61.493</v>
      </c>
      <c r="K174" s="253" t="n">
        <v>61.95</v>
      </c>
      <c r="L174" s="253" t="n">
        <v>62.267</v>
      </c>
      <c r="M174" s="253" t="n">
        <v>62.812</v>
      </c>
      <c r="N174" s="253" t="n">
        <v>63.278</v>
      </c>
      <c r="O174" s="253" t="n">
        <v>63.559</v>
      </c>
      <c r="P174" s="253" t="n">
        <v>63.5</v>
      </c>
      <c r="Q174" s="253" t="n">
        <v>63.287</v>
      </c>
      <c r="R174" s="253" t="n">
        <v>63.094</v>
      </c>
      <c r="S174" s="253" t="n">
        <v>62.55</v>
      </c>
      <c r="T174" s="253" t="n">
        <v>60.506</v>
      </c>
      <c r="U174" s="253" t="n">
        <v>59.929</v>
      </c>
      <c r="V174" s="253" t="n">
        <v>61.517</v>
      </c>
      <c r="W174" s="253" t="n">
        <v>59.667</v>
      </c>
      <c r="X174" s="253" t="n">
        <v>59.807</v>
      </c>
      <c r="Y174" s="253" t="n">
        <v>60.056</v>
      </c>
      <c r="Z174" s="253" t="n">
        <v>60.103</v>
      </c>
      <c r="AA174" s="253" t="n">
        <v>59.908</v>
      </c>
      <c r="AB174" s="253" t="n">
        <v>60.021</v>
      </c>
      <c r="AC174" s="253" t="n">
        <v>60.427</v>
      </c>
      <c r="AD174" s="253" t="n">
        <v>60.425</v>
      </c>
      <c r="AE174" s="253" t="n">
        <v>59.437</v>
      </c>
      <c r="AF174" s="253" t="n">
        <v>60.076</v>
      </c>
      <c r="AG174" s="253" t="n">
        <v>59.216</v>
      </c>
      <c r="AH174" s="253" t="n">
        <v>59.432</v>
      </c>
      <c r="AI174" s="253" t="n">
        <v>59.68</v>
      </c>
      <c r="AJ174" s="253" t="n">
        <v>59.921</v>
      </c>
      <c r="AK174" s="253" t="n">
        <v>59.563</v>
      </c>
      <c r="AL174" s="253" t="n">
        <v>59.837</v>
      </c>
      <c r="AM174" s="253" t="n">
        <v>59.611</v>
      </c>
      <c r="AN174" s="253" t="n">
        <v>59.445</v>
      </c>
      <c r="AO174" s="254">
        <f>AN335-$AP$300*0.5+$AP$301*0.5</f>
        <v>59.0173363424654</v>
      </c>
      <c r="AP174" s="254">
        <f>AVERAGE(AL174:AO174)</f>
        <v>59.4775840856164</v>
      </c>
      <c r="AQ174" s="254">
        <f>AVERAGE(AQ302,AQ303)</f>
        <v>58.0576129498637</v>
      </c>
      <c r="AR174" s="254">
        <f>AVERAGE(AR302,AR303)</f>
        <v>56.8104357524274</v>
      </c>
      <c r="AS174" s="254">
        <f>AVERAGE(AS302,AS303)</f>
        <v>55.7688399621696</v>
      </c>
      <c r="AT174" s="254">
        <f>AVERAGE(AT302,AT303)</f>
        <v>54.6948538054639</v>
      </c>
      <c r="AU174" s="254">
        <f>AVERAGE(AU302,AU303)</f>
        <v>53.6429880633979</v>
      </c>
      <c r="AV174" s="19" t="inlineStr">
        <is>
          <t>Q4/26E: shares outstanding at 30-Jun-2026 − Q4 buybacks (mid-quarter) + equity-plan issuance. 2027E+: average of beginning and ending shares.</t>
        </is>
      </c>
    </row>
    <row r="175" ht="15" customHeight="1" s="251">
      <c r="B175" s="25" t="inlineStr">
        <is>
          <t xml:space="preserve">  Weighted-average diluted shares (m)</t>
        </is>
      </c>
      <c r="C175" s="253" t="n">
        <v>70.14</v>
      </c>
      <c r="D175" s="253" t="n">
        <v>70.307</v>
      </c>
      <c r="E175" s="253" t="n">
        <v>69.602</v>
      </c>
      <c r="F175" s="253" t="n">
        <v>67.776</v>
      </c>
      <c r="G175" s="253" t="n">
        <v>66.056</v>
      </c>
      <c r="H175" s="253" t="n">
        <v>63.556</v>
      </c>
      <c r="I175" s="253" t="n">
        <v>63.512</v>
      </c>
      <c r="J175" s="253" t="n">
        <v>63.876</v>
      </c>
      <c r="K175" s="253" t="n">
        <v>64.498</v>
      </c>
      <c r="L175" s="253" t="n">
        <v>64.209</v>
      </c>
      <c r="M175" s="253" t="n">
        <v>64.892</v>
      </c>
      <c r="N175" s="253" t="n">
        <v>65.654</v>
      </c>
      <c r="O175" s="253" t="n">
        <v>65.91</v>
      </c>
      <c r="P175" s="253" t="n">
        <v>65.711</v>
      </c>
      <c r="Q175" s="253" t="n">
        <v>65.55500000000001</v>
      </c>
      <c r="R175" s="253" t="n">
        <v>65.099</v>
      </c>
      <c r="S175" s="253" t="n">
        <v>64.61799999999999</v>
      </c>
      <c r="T175" s="253" t="n">
        <v>62.088</v>
      </c>
      <c r="U175" s="253" t="n">
        <v>61.234</v>
      </c>
      <c r="V175" s="253" t="n">
        <v>63.254</v>
      </c>
      <c r="W175" s="253" t="n">
        <v>60.928</v>
      </c>
      <c r="X175" s="253" t="n">
        <v>61.227</v>
      </c>
      <c r="Y175" s="253" t="n">
        <v>61.591</v>
      </c>
      <c r="Z175" s="253" t="n">
        <v>62.039</v>
      </c>
      <c r="AA175" s="253" t="n">
        <v>61.482</v>
      </c>
      <c r="AB175" s="253" t="n">
        <v>61.846</v>
      </c>
      <c r="AC175" s="253" t="n">
        <v>62.365</v>
      </c>
      <c r="AD175" s="253" t="n">
        <v>62.522</v>
      </c>
      <c r="AE175" s="253" t="n">
        <v>61.385</v>
      </c>
      <c r="AF175" s="253" t="n">
        <v>62.084</v>
      </c>
      <c r="AG175" s="253" t="n">
        <v>61.141</v>
      </c>
      <c r="AH175" s="253" t="n">
        <v>61.344</v>
      </c>
      <c r="AI175" s="253" t="n">
        <v>61.488</v>
      </c>
      <c r="AJ175" s="253" t="n">
        <v>61.72</v>
      </c>
      <c r="AK175" s="253" t="n">
        <v>61.464</v>
      </c>
      <c r="AL175" s="253" t="n">
        <v>61.59</v>
      </c>
      <c r="AM175" s="253" t="n">
        <v>61.276</v>
      </c>
      <c r="AN175" s="253" t="n">
        <v>61.018</v>
      </c>
      <c r="AO175" s="254">
        <f>AO174+(AN175-AN174)</f>
        <v>60.5903363424654</v>
      </c>
      <c r="AP175" s="254">
        <f>AVERAGE(AL175:AO175)</f>
        <v>61.1185840856164</v>
      </c>
      <c r="AQ175" s="254">
        <f>AQ174+AQ362</f>
        <v>59.7576129498637</v>
      </c>
      <c r="AR175" s="254">
        <f>AR174+AR362</f>
        <v>58.5104357524274</v>
      </c>
      <c r="AS175" s="254">
        <f>AS174+AS362</f>
        <v>57.4688399621696</v>
      </c>
      <c r="AT175" s="254">
        <f>AT174+AT362</f>
        <v>56.3948538054639</v>
      </c>
      <c r="AU175" s="254">
        <f>AU174+AU362</f>
        <v>55.3429880633979</v>
      </c>
      <c r="AV175" s="19" t="n"/>
      <c r="AX175" s="20">
        <f>IFERROR((AU175/AP175)^(1/5)-1,"n/m")</f>
        <v>-0.0196574251048282</v>
      </c>
      <c r="AY175" s="20">
        <f>IFERROR((AK175/L175)^(1/5)-1,"n/m")</f>
        <v>-0.00870028162923686</v>
      </c>
      <c r="AZ175" s="20">
        <f>IFERROR((AK175/G175)^(1/10)-1,"n/m")</f>
        <v>-0.00717922828533091</v>
      </c>
      <c r="BA175" s="20">
        <f>IFERROR((AK175/C175)^(1/14)-1,"n/m")</f>
        <v>-0.00938720586232822</v>
      </c>
    </row>
    <row r="176" ht="15" customHeight="1" s="251">
      <c r="B176" s="55" t="inlineStr">
        <is>
          <t>EPS – diluted ($)</t>
        </is>
      </c>
      <c r="C176" s="278">
        <f>IF(ISNUMBER(C175),IFERROR(C167/C175,""),"")</f>
        <v>1.88530082691759</v>
      </c>
      <c r="D176" s="278">
        <f>IF(ISNUMBER(D175),IFERROR(D167/D175,""),"")</f>
        <v>2.013867751433</v>
      </c>
      <c r="E176" s="278">
        <f>IF(ISNUMBER(E175),IFERROR(E167/E175,""),"")</f>
        <v>2.09680756300107</v>
      </c>
      <c r="F176" s="278">
        <f>IF(ISNUMBER(F175),IFERROR(F167/F175,""),"")</f>
        <v>2.44694287063267</v>
      </c>
      <c r="G176" s="278">
        <f>IF(ISNUMBER(G175),IFERROR(G167/G175,""),"")</f>
        <v>2.74694198861572</v>
      </c>
      <c r="H176" s="278">
        <f>IF(ISNUMBER(H175),IFERROR(H167/H175,""),"")</f>
        <v>2.84533324941784</v>
      </c>
      <c r="I176" s="278">
        <f>IF(ISNUMBER(I175),IFERROR(I167/I175,""),"")</f>
        <v>3.15699395389848</v>
      </c>
      <c r="J176" s="278">
        <f>IF(ISNUMBER(J175),IFERROR(J167/J175,""),"")</f>
        <v>2.82387751268082</v>
      </c>
      <c r="K176" s="278">
        <f>IF(ISNUMBER(K175),IFERROR(K167/K175,""),"")</f>
        <v>4.02496201432603</v>
      </c>
      <c r="L176" s="278">
        <f>IF(ISNUMBER(L175),IFERROR(L167/L175,""),"")</f>
        <v>3.74394555280412</v>
      </c>
      <c r="M176" s="278">
        <f>IF(ISNUMBER(M175),IFERROR(M167/M175,""),"")</f>
        <v>0.640602847808668</v>
      </c>
      <c r="N176" s="278">
        <f>IF(ISNUMBER(N175),IFERROR(N167/N175,""),"")</f>
        <v>1.04050019800774</v>
      </c>
      <c r="O176" s="278">
        <f>IF(ISNUMBER(O175),IFERROR(O167/O175,""),"")</f>
        <v>0.741329085116067</v>
      </c>
      <c r="P176" s="278">
        <f>IF(ISNUMBER(P175),IFERROR(P167/P175,""),"")</f>
        <v>0.759461886137784</v>
      </c>
      <c r="Q176" s="278">
        <f>IF(ISNUMBER(Q175),IFERROR(Q167/Q175,""),"")</f>
        <v>3.18280832888414</v>
      </c>
      <c r="R176" s="278">
        <f>IF(ISNUMBER(R175),IFERROR(R167/R175,""),"")</f>
        <v>0.465521743805589</v>
      </c>
      <c r="S176" s="278">
        <f>IF(ISNUMBER(S175),IFERROR(S167/S175,""),"")</f>
        <v>0.741372373022998</v>
      </c>
      <c r="T176" s="278">
        <f>IF(ISNUMBER(T175),IFERROR(T167/T175,""),"")</f>
        <v>0.635324056178327</v>
      </c>
      <c r="U176" s="278">
        <f>IF(ISNUMBER(U175),IFERROR(U167/U175,""),"")</f>
        <v>0.88253257993925</v>
      </c>
      <c r="V176" s="278">
        <f>IF(ISNUMBER(V175),IFERROR(V167/V175,""),"")</f>
        <v>2.71442122237329</v>
      </c>
      <c r="W176" s="278">
        <f>IF(ISNUMBER(W175),IFERROR(W167/W175,""),"")</f>
        <v>0.485917804621849</v>
      </c>
      <c r="X176" s="278">
        <f>IF(ISNUMBER(X175),IFERROR(X167/X175,""),"")</f>
        <v>0.579989220441963</v>
      </c>
      <c r="Y176" s="278">
        <f>IF(ISNUMBER(Y175),IFERROR(Y167/Y175,""),"")</f>
        <v>1.37356107223458</v>
      </c>
      <c r="Z176" s="278">
        <f>IF(ISNUMBER(Z175),IFERROR(Z167/Z175,""),"")</f>
        <v>1.33225874046971</v>
      </c>
      <c r="AA176" s="278">
        <f>IF(ISNUMBER(AA175),IFERROR(AA167/AA175,""),"")</f>
        <v>3.77944764321264</v>
      </c>
      <c r="AB176" s="278">
        <f>IF(ISNUMBER(AB175),IFERROR(AB167/AB175,""),"")</f>
        <v>1.45593894512175</v>
      </c>
      <c r="AC176" s="278">
        <f>IF(ISNUMBER(AC175),IFERROR(AC167/AC175,""),"")</f>
        <v>1.56427483364066</v>
      </c>
      <c r="AD176" s="278">
        <f>IF(ISNUMBER(AD175),IFERROR(AD167/AD175,""),"")</f>
        <v>1.63262531588881</v>
      </c>
      <c r="AE176" s="278">
        <f>IF(ISNUMBER(AE175),IFERROR(AE167/AE175,""),"")</f>
        <v>1.35694387879775</v>
      </c>
      <c r="AF176" s="278">
        <f>IF(ISNUMBER(AF175),IFERROR(AF167/AF175,""),"")</f>
        <v>6.00752206687713</v>
      </c>
      <c r="AG176" s="278">
        <f>IF(ISNUMBER(AG175),IFERROR(AG167/AG175,""),"")</f>
        <v>1.42442877937881</v>
      </c>
      <c r="AH176" s="278">
        <f>IF(ISNUMBER(AH175),IFERROR(AH167/AH175,""),"")</f>
        <v>1.77603351591028</v>
      </c>
      <c r="AI176" s="278">
        <f>IF(ISNUMBER(AI175),IFERROR(AI167/AI175,""),"")</f>
        <v>1.76372625552953</v>
      </c>
      <c r="AJ176" s="278">
        <f>IF(ISNUMBER(AJ175),IFERROR(AJ167/AJ175,""),"")</f>
        <v>2.2297958522359</v>
      </c>
      <c r="AK176" s="278">
        <f>IF(ISNUMBER(AK175),IFERROR(AK167/AK175,""),"")</f>
        <v>7.19300728881947</v>
      </c>
      <c r="AL176" s="278">
        <f>IF(ISNUMBER(AL175),IFERROR(AL167/AL175,""),"")</f>
        <v>2.17111544081831</v>
      </c>
      <c r="AM176" s="278">
        <f>IF(ISNUMBER(AM175),IFERROR(AM167/AM175,""),"")</f>
        <v>2.18703897121222</v>
      </c>
      <c r="AN176" s="278">
        <f>IF(ISNUMBER(AN175),IFERROR(AN167/AN175,""),"")</f>
        <v>2.4037988790193</v>
      </c>
      <c r="AO176" s="278">
        <f>IF(ISNUMBER(AO175),IFERROR(AO167/AO175,""),"")</f>
        <v>2.36806228626648</v>
      </c>
      <c r="AP176" s="278">
        <f>IF(ISNUMBER(AP175),IFERROR(AP167/AP175,""),"")</f>
        <v>9.12797144683997</v>
      </c>
      <c r="AQ176" s="278">
        <f>IF(ISNUMBER(AQ175),IFERROR(AQ167/AQ175,""),"")</f>
        <v>12.3752457780718</v>
      </c>
      <c r="AR176" s="278">
        <f>IF(ISNUMBER(AR175),IFERROR(AR167/AR175,""),"")</f>
        <v>11.7090358240308</v>
      </c>
      <c r="AS176" s="278">
        <f>IF(ISNUMBER(AS175),IFERROR(AS167/AS175,""),"")</f>
        <v>13.2501940358692</v>
      </c>
      <c r="AT176" s="278">
        <f>IF(ISNUMBER(AT175),IFERROR(AT167/AT175,""),"")</f>
        <v>14.4695611236144</v>
      </c>
      <c r="AU176" s="278">
        <f>IF(ISNUMBER(AU175),IFERROR(AU167/AU175,""),"")</f>
        <v>15.7324684599912</v>
      </c>
      <c r="AV176" s="19" t="inlineStr">
        <is>
          <t>Net earnings / weighted diluted shares (±$0.01 vs reported).</t>
        </is>
      </c>
      <c r="AX176" s="20">
        <f>IFERROR((AU176/AP176)^(1/5)-1,"n/m")</f>
        <v>0.115024780619384</v>
      </c>
      <c r="AY176" s="20">
        <f>IFERROR((AK176/L176)^(1/5)-1,"n/m")</f>
        <v>0.139504895233819</v>
      </c>
      <c r="AZ176" s="20">
        <f>IFERROR((AK176/G176)^(1/10)-1,"n/m")</f>
        <v>0.101047616857133</v>
      </c>
      <c r="BA176" s="20">
        <f>IFERROR((AK176/C176)^(1/14)-1,"n/m")</f>
        <v>0.100367730866376</v>
      </c>
    </row>
    <row r="177" ht="15" customHeight="1" s="251">
      <c r="B177" s="22" t="inlineStr">
        <is>
          <t xml:space="preserve">  EPS – diluted y/y %</t>
        </is>
      </c>
      <c r="C177" s="23" t="n"/>
      <c r="D177" s="255">
        <f>IF(AND(ISNUMBER(D176),ISNUMBER(C176)),IFERROR(D176/C176-1,""),"")</f>
        <v>0.0681943818619173</v>
      </c>
      <c r="E177" s="255">
        <f>IF(AND(ISNUMBER(E176),ISNUMBER(D176)),IFERROR(E176/D176-1,""),"")</f>
        <v>0.0411843386980344</v>
      </c>
      <c r="F177" s="255">
        <f>IF(AND(ISNUMBER(F176),ISNUMBER(E176)),IFERROR(F176/E176-1,""),"")</f>
        <v>0.166984950746016</v>
      </c>
      <c r="G177" s="255">
        <f>IF(AND(ISNUMBER(G176),ISNUMBER(F176)),IFERROR(G176/F176-1,""),"")</f>
        <v>0.122601602834103</v>
      </c>
      <c r="H177" s="255">
        <f>IF(AND(ISNUMBER(H176),ISNUMBER(G176)),IFERROR(H176/G176-1,""),"")</f>
        <v>0.0358184705792419</v>
      </c>
      <c r="I177" s="255">
        <f>IF(AND(ISNUMBER(I176),ISNUMBER(H176)),IFERROR(I176/H176-1,""),"")</f>
        <v>0.109533990278434</v>
      </c>
      <c r="J177" s="255">
        <f>IF(AND(ISNUMBER(J176),ISNUMBER(I176)),IFERROR(J176/I176-1,""),"")</f>
        <v>-0.105516971550198</v>
      </c>
      <c r="K177" s="255">
        <f>IF(AND(ISNUMBER(K176),ISNUMBER(J176)),IFERROR(K176/J176-1,""),"")</f>
        <v>0.42533165700412</v>
      </c>
      <c r="L177" s="255">
        <f>IF(AND(ISNUMBER(L176),ISNUMBER(K176)),IFERROR(L176/K176-1,""),"")</f>
        <v>-0.0698184133220847</v>
      </c>
      <c r="M177" s="23" t="n"/>
      <c r="N177" s="23" t="n"/>
      <c r="O177" s="23" t="n"/>
      <c r="P177" s="23" t="n"/>
      <c r="Q177" s="255">
        <f>IF(AND(ISNUMBER(Q176),ISNUMBER(L176)),IFERROR(Q176/L176-1,""),"")</f>
        <v>-0.149878574889985</v>
      </c>
      <c r="R177" s="255">
        <f>IF(AND(ISNUMBER(R176),ISNUMBER(M176)),IFERROR(R176/M176-1,""),"")</f>
        <v>-0.273306783761554</v>
      </c>
      <c r="S177" s="255">
        <f>IF(AND(ISNUMBER(S176),ISNUMBER(N176)),IFERROR(S176/N176-1,""),"")</f>
        <v>-0.287484640135086</v>
      </c>
      <c r="T177" s="255">
        <f>IF(AND(ISNUMBER(T176),ISNUMBER(O176)),IFERROR(T176/O176-1,""),"")</f>
        <v>-0.142993214573718</v>
      </c>
      <c r="U177" s="255">
        <f>IF(AND(ISNUMBER(U176),ISNUMBER(P176)),IFERROR(U176/P176-1,""),"")</f>
        <v>0.162049861945459</v>
      </c>
      <c r="V177" s="255">
        <f>IF(AND(ISNUMBER(V176),ISNUMBER(Q176)),IFERROR(V176/Q176-1,""),"")</f>
        <v>-0.147161581255213</v>
      </c>
      <c r="W177" s="255">
        <f>IF(AND(ISNUMBER(W176),ISNUMBER(R176)),IFERROR(W176/R176-1,""),"")</f>
        <v>0.0438133365146922</v>
      </c>
      <c r="X177" s="255">
        <f>IF(AND(ISNUMBER(X176),ISNUMBER(S176)),IFERROR(X176/S176-1,""),"")</f>
        <v>-0.217681638072085</v>
      </c>
      <c r="Y177" s="255">
        <f>IF(AND(ISNUMBER(Y176),ISNUMBER(T176)),IFERROR(Y176/T176-1,""),"")</f>
        <v>1.16198498841202</v>
      </c>
      <c r="Z177" s="255">
        <f>IF(AND(ISNUMBER(Z176),ISNUMBER(U176)),IFERROR(Z176/U176-1,""),"")</f>
        <v>0.509585901702816</v>
      </c>
      <c r="AA177" s="255">
        <f>IF(AND(ISNUMBER(AA176),ISNUMBER(V176)),IFERROR(AA176/V176-1,""),"")</f>
        <v>0.392358566924322</v>
      </c>
      <c r="AB177" s="255">
        <f>IF(AND(ISNUMBER(AB176),ISNUMBER(W176)),IFERROR(AB176/W176-1,""),"")</f>
        <v>1.99626589368298</v>
      </c>
      <c r="AC177" s="255">
        <f>IF(AND(ISNUMBER(AC176),ISNUMBER(X176)),IFERROR(AC176/X176-1,""),"")</f>
        <v>1.69707570159434</v>
      </c>
      <c r="AD177" s="255">
        <f>IF(AND(ISNUMBER(AD176),ISNUMBER(Y176)),IFERROR(AD176/Y176-1,""),"")</f>
        <v>0.18860773568136</v>
      </c>
      <c r="AE177" s="255">
        <f>IF(AND(ISNUMBER(AE176),ISNUMBER(Z176)),IFERROR(AE176/Z176-1,""),"")</f>
        <v>0.0185287869226853</v>
      </c>
      <c r="AF177" s="255">
        <f>IF(AND(ISNUMBER(AF176),ISNUMBER(AA176)),IFERROR(AF176/AA176-1,""),"")</f>
        <v>0.589523823055415</v>
      </c>
      <c r="AG177" s="255">
        <f>IF(AND(ISNUMBER(AG176),ISNUMBER(AB176)),IFERROR(AG176/AB176-1,""),"")</f>
        <v>-0.0216425048924743</v>
      </c>
      <c r="AH177" s="255">
        <f>IF(AND(ISNUMBER(AH176),ISNUMBER(AC176)),IFERROR(AH176/AC176-1,""),"")</f>
        <v>0.135371788713605</v>
      </c>
      <c r="AI177" s="255">
        <f>IF(AND(ISNUMBER(AI176),ISNUMBER(AD176)),IFERROR(AI176/AD176-1,""),"")</f>
        <v>0.0803006901613284</v>
      </c>
      <c r="AJ177" s="255">
        <f>IF(AND(ISNUMBER(AJ176),ISNUMBER(AE176)),IFERROR(AJ176/AE176-1,""),"")</f>
        <v>0.643248395955397</v>
      </c>
      <c r="AK177" s="255">
        <f>IF(AND(ISNUMBER(AK176),ISNUMBER(AF176)),IFERROR(AK176/AF176-1,""),"")</f>
        <v>0.197333477720971</v>
      </c>
      <c r="AL177" s="255">
        <f>IF(AND(ISNUMBER(AL176),ISNUMBER(AG176)),IFERROR(AL176/AG176-1,""),"")</f>
        <v>0.52420076893218</v>
      </c>
      <c r="AM177" s="255">
        <f>IF(AND(ISNUMBER(AM176),ISNUMBER(AH176)),IFERROR(AM176/AH176-1,""),"")</f>
        <v>0.231417623383807</v>
      </c>
      <c r="AN177" s="255">
        <f>IF(AND(ISNUMBER(AN176),ISNUMBER(AI176)),IFERROR(AN176/AI176-1,""),"")</f>
        <v>0.362909278853819</v>
      </c>
      <c r="AO177" s="256">
        <f>IF(AND(ISNUMBER(AO176),ISNUMBER(AJ176)),IFERROR(AO176/AJ176-1,""),"")</f>
        <v>0.0620085618564292</v>
      </c>
      <c r="AP177" s="256">
        <f>IF(AND(ISNUMBER(AP176),ISNUMBER(AK176)),IFERROR(AP176/AK176-1,""),"")</f>
        <v>0.269006283509282</v>
      </c>
      <c r="AQ177" s="256">
        <f>IF(AND(ISNUMBER(AQ176),ISNUMBER(AP176)),IFERROR(AQ176/AP176-1,""),"")</f>
        <v>0.355749834466893</v>
      </c>
      <c r="AR177" s="256">
        <f>IF(AND(ISNUMBER(AR176),ISNUMBER(AQ176)),IFERROR(AR176/AQ176-1,""),"")</f>
        <v>-0.053834078610507</v>
      </c>
      <c r="AS177" s="256">
        <f>IF(AND(ISNUMBER(AS176),ISNUMBER(AR176)),IFERROR(AS176/AR176-1,""),"")</f>
        <v>0.131621273946013</v>
      </c>
      <c r="AT177" s="256">
        <f>IF(AND(ISNUMBER(AT176),ISNUMBER(AS176)),IFERROR(AT176/AS176-1,""),"")</f>
        <v>0.0920263570815865</v>
      </c>
      <c r="AU177" s="256">
        <f>IF(AND(ISNUMBER(AU176),ISNUMBER(AT176)),IFERROR(AU176/AT176-1,""),"")</f>
        <v>0.0872802793110121</v>
      </c>
      <c r="AV177" s="153" t="n"/>
    </row>
    <row r="178" ht="15" customHeight="1" s="251">
      <c r="B178" s="156" t="inlineStr">
        <is>
          <t xml:space="preserve">  Memo: EPS – diluted as reported ($)</t>
        </is>
      </c>
      <c r="C178" s="279" t="n">
        <v>1.89</v>
      </c>
      <c r="D178" s="279" t="n">
        <v>2.01</v>
      </c>
      <c r="E178" s="279" t="n">
        <v>2.1</v>
      </c>
      <c r="F178" s="279" t="n">
        <v>2.45</v>
      </c>
      <c r="G178" s="279" t="n">
        <v>2.75</v>
      </c>
      <c r="H178" s="279" t="n">
        <v>2.85</v>
      </c>
      <c r="I178" s="279" t="n">
        <v>3.16</v>
      </c>
      <c r="J178" s="279" t="n">
        <v>2.82</v>
      </c>
      <c r="K178" s="279" t="n">
        <v>4.02</v>
      </c>
      <c r="L178" s="279" t="n">
        <v>3.74</v>
      </c>
      <c r="M178" s="279" t="n">
        <v>0.64</v>
      </c>
      <c r="N178" s="279" t="n">
        <v>1.04</v>
      </c>
      <c r="O178" s="279" t="n">
        <v>0.74</v>
      </c>
      <c r="P178" s="279" t="n">
        <v>0.76</v>
      </c>
      <c r="Q178" s="279" t="n">
        <v>3.18</v>
      </c>
      <c r="R178" s="279" t="n">
        <v>0.47</v>
      </c>
      <c r="S178" s="279" t="n">
        <v>0.74</v>
      </c>
      <c r="T178" s="279" t="n">
        <v>0.64</v>
      </c>
      <c r="U178" s="279" t="n">
        <v>0.88</v>
      </c>
      <c r="V178" s="279" t="n">
        <v>2.71</v>
      </c>
      <c r="W178" s="279" t="n">
        <v>0.49</v>
      </c>
      <c r="X178" s="279" t="n">
        <v>0.58</v>
      </c>
      <c r="Y178" s="279" t="n">
        <v>1.37</v>
      </c>
      <c r="Z178" s="279" t="n">
        <v>1.33</v>
      </c>
      <c r="AA178" s="279" t="n">
        <v>3.78</v>
      </c>
      <c r="AB178" s="279" t="n">
        <v>1.46</v>
      </c>
      <c r="AC178" s="279" t="n">
        <v>1.56</v>
      </c>
      <c r="AD178" s="279" t="n">
        <v>1.63</v>
      </c>
      <c r="AE178" s="279" t="n">
        <v>1.36</v>
      </c>
      <c r="AF178" s="279" t="n">
        <v>6.01</v>
      </c>
      <c r="AG178" s="279" t="n">
        <v>1.42</v>
      </c>
      <c r="AH178" s="279" t="n">
        <v>1.78</v>
      </c>
      <c r="AI178" s="279" t="n">
        <v>1.76</v>
      </c>
      <c r="AJ178" s="279" t="n">
        <v>2.23</v>
      </c>
      <c r="AK178" s="279" t="n">
        <v>7.19</v>
      </c>
      <c r="AL178" s="279" t="n">
        <v>2.17</v>
      </c>
      <c r="AM178" s="279" t="n">
        <v>2.19</v>
      </c>
      <c r="AN178" s="279" t="n">
        <v>2.4</v>
      </c>
      <c r="AO178" s="153" t="n"/>
      <c r="AP178" s="153" t="n"/>
      <c r="AQ178" s="153" t="n"/>
      <c r="AR178" s="153" t="n"/>
      <c r="AS178" s="153" t="n"/>
      <c r="AT178" s="153" t="n"/>
      <c r="AU178" s="153" t="n"/>
      <c r="AV178" s="153" t="n"/>
    </row>
    <row r="179" ht="15" customHeight="1" s="251">
      <c r="B179" s="57" t="inlineStr">
        <is>
          <t xml:space="preserve">  Check: model vs reported diluted EPS (should be 0.00; ±0.01 rounding)</t>
        </is>
      </c>
      <c r="C179" s="280">
        <f>IF(AND(ISNUMBER(C178),ISNUMBER(C176)),IF(ABS(C176-C178)&lt;=0.0101,0,ROUND(C176-C178,2)),"n/p")</f>
        <v>0</v>
      </c>
      <c r="D179" s="280">
        <f>IF(AND(ISNUMBER(D178),ISNUMBER(D176)),IF(ABS(D176-D178)&lt;=0.0101,0,ROUND(D176-D178,2)),"n/p")</f>
        <v>0</v>
      </c>
      <c r="E179" s="280">
        <f>IF(AND(ISNUMBER(E178),ISNUMBER(E176)),IF(ABS(E176-E178)&lt;=0.0101,0,ROUND(E176-E178,2)),"n/p")</f>
        <v>0</v>
      </c>
      <c r="F179" s="280">
        <f>IF(AND(ISNUMBER(F178),ISNUMBER(F176)),IF(ABS(F176-F178)&lt;=0.0101,0,ROUND(F176-F178,2)),"n/p")</f>
        <v>0</v>
      </c>
      <c r="G179" s="280">
        <f>IF(AND(ISNUMBER(G178),ISNUMBER(G176)),IF(ABS(G176-G178)&lt;=0.0101,0,ROUND(G176-G178,2)),"n/p")</f>
        <v>0</v>
      </c>
      <c r="H179" s="280">
        <f>IF(AND(ISNUMBER(H178),ISNUMBER(H176)),IF(ABS(H176-H178)&lt;=0.0101,0,ROUND(H176-H178,2)),"n/p")</f>
        <v>0</v>
      </c>
      <c r="I179" s="280">
        <f>IF(AND(ISNUMBER(I178),ISNUMBER(I176)),IF(ABS(I176-I178)&lt;=0.0101,0,ROUND(I176-I178,2)),"n/p")</f>
        <v>0</v>
      </c>
      <c r="J179" s="280">
        <f>IF(AND(ISNUMBER(J178),ISNUMBER(J176)),IF(ABS(J176-J178)&lt;=0.0101,0,ROUND(J176-J178,2)),"n/p")</f>
        <v>0</v>
      </c>
      <c r="K179" s="280">
        <f>IF(AND(ISNUMBER(K178),ISNUMBER(K176)),IF(ABS(K176-K178)&lt;=0.0101,0,ROUND(K176-K178,2)),"n/p")</f>
        <v>0</v>
      </c>
      <c r="L179" s="280">
        <f>IF(AND(ISNUMBER(L178),ISNUMBER(L176)),IF(ABS(L176-L178)&lt;=0.0101,0,ROUND(L176-L178,2)),"n/p")</f>
        <v>0</v>
      </c>
      <c r="M179" s="280">
        <f>IF(AND(ISNUMBER(M178),ISNUMBER(M176)),IF(ABS(M176-M178)&lt;=0.0101,0,ROUND(M176-M178,2)),"n/p")</f>
        <v>0</v>
      </c>
      <c r="N179" s="280">
        <f>IF(AND(ISNUMBER(N178),ISNUMBER(N176)),IF(ABS(N176-N178)&lt;=0.0101,0,ROUND(N176-N178,2)),"n/p")</f>
        <v>0</v>
      </c>
      <c r="O179" s="280">
        <f>IF(AND(ISNUMBER(O178),ISNUMBER(O176)),IF(ABS(O176-O178)&lt;=0.0101,0,ROUND(O176-O178,2)),"n/p")</f>
        <v>0</v>
      </c>
      <c r="P179" s="280">
        <f>IF(AND(ISNUMBER(P178),ISNUMBER(P176)),IF(ABS(P176-P178)&lt;=0.0101,0,ROUND(P176-P178,2)),"n/p")</f>
        <v>0</v>
      </c>
      <c r="Q179" s="280">
        <f>IF(AND(ISNUMBER(Q178),ISNUMBER(Q176)),IF(ABS(Q176-Q178)&lt;=0.0101,0,ROUND(Q176-Q178,2)),"n/p")</f>
        <v>0</v>
      </c>
      <c r="R179" s="280">
        <f>IF(AND(ISNUMBER(R178),ISNUMBER(R176)),IF(ABS(R176-R178)&lt;=0.0101,0,ROUND(R176-R178,2)),"n/p")</f>
        <v>0</v>
      </c>
      <c r="S179" s="280">
        <f>IF(AND(ISNUMBER(S178),ISNUMBER(S176)),IF(ABS(S176-S178)&lt;=0.0101,0,ROUND(S176-S178,2)),"n/p")</f>
        <v>0</v>
      </c>
      <c r="T179" s="280">
        <f>IF(AND(ISNUMBER(T178),ISNUMBER(T176)),IF(ABS(T176-T178)&lt;=0.0101,0,ROUND(T176-T178,2)),"n/p")</f>
        <v>0</v>
      </c>
      <c r="U179" s="280">
        <f>IF(AND(ISNUMBER(U178),ISNUMBER(U176)),IF(ABS(U176-U178)&lt;=0.0101,0,ROUND(U176-U178,2)),"n/p")</f>
        <v>0</v>
      </c>
      <c r="V179" s="280">
        <f>IF(AND(ISNUMBER(V178),ISNUMBER(V176)),IF(ABS(V176-V178)&lt;=0.0101,0,ROUND(V176-V178,2)),"n/p")</f>
        <v>0</v>
      </c>
      <c r="W179" s="280">
        <f>IF(AND(ISNUMBER(W178),ISNUMBER(W176)),IF(ABS(W176-W178)&lt;=0.0101,0,ROUND(W176-W178,2)),"n/p")</f>
        <v>0</v>
      </c>
      <c r="X179" s="280">
        <f>IF(AND(ISNUMBER(X178),ISNUMBER(X176)),IF(ABS(X176-X178)&lt;=0.0101,0,ROUND(X176-X178,2)),"n/p")</f>
        <v>0</v>
      </c>
      <c r="Y179" s="280">
        <f>IF(AND(ISNUMBER(Y178),ISNUMBER(Y176)),IF(ABS(Y176-Y178)&lt;=0.0101,0,ROUND(Y176-Y178,2)),"n/p")</f>
        <v>0</v>
      </c>
      <c r="Z179" s="280">
        <f>IF(AND(ISNUMBER(Z178),ISNUMBER(Z176)),IF(ABS(Z176-Z178)&lt;=0.0101,0,ROUND(Z176-Z178,2)),"n/p")</f>
        <v>0</v>
      </c>
      <c r="AA179" s="280">
        <f>IF(AND(ISNUMBER(AA178),ISNUMBER(AA176)),IF(ABS(AA176-AA178)&lt;=0.0101,0,ROUND(AA176-AA178,2)),"n/p")</f>
        <v>0</v>
      </c>
      <c r="AB179" s="280">
        <f>IF(AND(ISNUMBER(AB178),ISNUMBER(AB176)),IF(ABS(AB176-AB178)&lt;=0.0101,0,ROUND(AB176-AB178,2)),"n/p")</f>
        <v>0</v>
      </c>
      <c r="AC179" s="280">
        <f>IF(AND(ISNUMBER(AC178),ISNUMBER(AC176)),IF(ABS(AC176-AC178)&lt;=0.0101,0,ROUND(AC176-AC178,2)),"n/p")</f>
        <v>0</v>
      </c>
      <c r="AD179" s="280">
        <f>IF(AND(ISNUMBER(AD178),ISNUMBER(AD176)),IF(ABS(AD176-AD178)&lt;=0.0101,0,ROUND(AD176-AD178,2)),"n/p")</f>
        <v>0</v>
      </c>
      <c r="AE179" s="280">
        <f>IF(AND(ISNUMBER(AE178),ISNUMBER(AE176)),IF(ABS(AE176-AE178)&lt;=0.0101,0,ROUND(AE176-AE178,2)),"n/p")</f>
        <v>0</v>
      </c>
      <c r="AF179" s="280">
        <f>IF(AND(ISNUMBER(AF178),ISNUMBER(AF176)),IF(ABS(AF176-AF178)&lt;=0.0101,0,ROUND(AF176-AF178,2)),"n/p")</f>
        <v>0</v>
      </c>
      <c r="AG179" s="280">
        <f>IF(AND(ISNUMBER(AG178),ISNUMBER(AG176)),IF(ABS(AG176-AG178)&lt;=0.0101,0,ROUND(AG176-AG178,2)),"n/p")</f>
        <v>0</v>
      </c>
      <c r="AH179" s="280">
        <f>IF(AND(ISNUMBER(AH178),ISNUMBER(AH176)),IF(ABS(AH176-AH178)&lt;=0.0101,0,ROUND(AH176-AH178,2)),"n/p")</f>
        <v>0</v>
      </c>
      <c r="AI179" s="280">
        <f>IF(AND(ISNUMBER(AI178),ISNUMBER(AI176)),IF(ABS(AI176-AI178)&lt;=0.0101,0,ROUND(AI176-AI178,2)),"n/p")</f>
        <v>0</v>
      </c>
      <c r="AJ179" s="280">
        <f>IF(AND(ISNUMBER(AJ178),ISNUMBER(AJ176)),IF(ABS(AJ176-AJ178)&lt;=0.0101,0,ROUND(AJ176-AJ178,2)),"n/p")</f>
        <v>0</v>
      </c>
      <c r="AK179" s="280">
        <f>IF(AND(ISNUMBER(AK178),ISNUMBER(AK176)),IF(ABS(AK176-AK178)&lt;=0.0101,0,ROUND(AK176-AK178,2)),"n/p")</f>
        <v>0</v>
      </c>
      <c r="AL179" s="280">
        <f>IF(AND(ISNUMBER(AL178),ISNUMBER(AL176)),IF(ABS(AL176-AL178)&lt;=0.0101,0,ROUND(AL176-AL178,2)),"n/p")</f>
        <v>0</v>
      </c>
      <c r="AM179" s="280">
        <f>IF(AND(ISNUMBER(AM178),ISNUMBER(AM176)),IF(ABS(AM176-AM178)&lt;=0.0101,0,ROUND(AM176-AM178,2)),"n/p")</f>
        <v>0</v>
      </c>
      <c r="AN179" s="280">
        <f>IF(AND(ISNUMBER(AN178),ISNUMBER(AN176)),IF(ABS(AN176-AN178)&lt;=0.0101,0,ROUND(AN176-AN178,2)),"n/p")</f>
        <v>0</v>
      </c>
      <c r="AO179" s="153" t="n"/>
      <c r="AP179" s="153" t="n"/>
      <c r="AQ179" s="153" t="n"/>
      <c r="AR179" s="153" t="n"/>
      <c r="AS179" s="153" t="n"/>
      <c r="AT179" s="153" t="n"/>
      <c r="AU179" s="153" t="n"/>
      <c r="AV179" s="153" t="n"/>
    </row>
    <row r="180" ht="15" customHeight="1" s="251">
      <c r="B180" s="25" t="inlineStr">
        <is>
          <t xml:space="preserve">  Cash dividends paid per share ($)</t>
        </is>
      </c>
      <c r="C180" s="279" t="n">
        <v>0.27</v>
      </c>
      <c r="D180" s="34" t="n"/>
      <c r="E180" s="34" t="n"/>
      <c r="F180" s="279" t="n">
        <v>0.32</v>
      </c>
      <c r="G180" s="279" t="n">
        <v>0.38</v>
      </c>
      <c r="H180" s="279" t="n">
        <v>0.43</v>
      </c>
      <c r="I180" s="279" t="n">
        <v>0.485</v>
      </c>
      <c r="J180" s="279" t="n">
        <v>0.5525</v>
      </c>
      <c r="K180" s="279" t="n">
        <v>0.63</v>
      </c>
      <c r="L180" s="279" t="n">
        <v>0.605</v>
      </c>
      <c r="M180" s="279" t="n">
        <v>0.08125</v>
      </c>
      <c r="N180" s="279" t="n">
        <v>0.1625</v>
      </c>
      <c r="O180" s="279" t="n">
        <v>0.1625</v>
      </c>
      <c r="P180" s="279" t="n">
        <v>0.1625</v>
      </c>
      <c r="Q180" s="279" t="n">
        <v>0.5688</v>
      </c>
      <c r="R180" s="279" t="n">
        <v>0.1625</v>
      </c>
      <c r="S180" s="279" t="n">
        <v>0.19</v>
      </c>
      <c r="T180" s="279" t="n">
        <v>0.19</v>
      </c>
      <c r="U180" s="279" t="n">
        <v>0.19</v>
      </c>
      <c r="V180" s="279" t="n">
        <v>0.7325</v>
      </c>
      <c r="W180" s="279" t="n">
        <v>0.19</v>
      </c>
      <c r="X180" s="279" t="n">
        <v>0.22</v>
      </c>
      <c r="Y180" s="279" t="n">
        <v>0.22</v>
      </c>
      <c r="Z180" s="279" t="n">
        <v>0.22</v>
      </c>
      <c r="AA180" s="279" t="n">
        <v>0.85</v>
      </c>
      <c r="AB180" s="279" t="n">
        <v>0.22</v>
      </c>
      <c r="AC180" s="279" t="n">
        <v>0.25</v>
      </c>
      <c r="AD180" s="279" t="n">
        <v>0.25</v>
      </c>
      <c r="AE180" s="279" t="n">
        <v>0.25</v>
      </c>
      <c r="AF180" s="279" t="n">
        <v>0.97</v>
      </c>
      <c r="AG180" s="279" t="n">
        <v>0.25</v>
      </c>
      <c r="AH180" s="279" t="n">
        <v>0.28</v>
      </c>
      <c r="AI180" s="279" t="n">
        <v>0.28</v>
      </c>
      <c r="AJ180" s="279" t="n">
        <v>0.28</v>
      </c>
      <c r="AK180" s="279" t="n">
        <v>1.09</v>
      </c>
      <c r="AL180" s="279" t="n">
        <v>0.28</v>
      </c>
      <c r="AM180" s="279" t="n">
        <v>0.32</v>
      </c>
      <c r="AN180" s="279" t="n">
        <v>0.32</v>
      </c>
      <c r="AO180" s="281" t="n">
        <v>0.32</v>
      </c>
      <c r="AP180" s="282">
        <f>SUM(AL180:AO180)</f>
        <v>1.24</v>
      </c>
      <c r="AQ180" s="282">
        <f>AP180*(1+AQ181)</f>
        <v>1.364</v>
      </c>
      <c r="AR180" s="282">
        <f>AQ180*(1+AR181)</f>
        <v>1.5004</v>
      </c>
      <c r="AS180" s="282">
        <f>AR180*(1+AS181)</f>
        <v>1.65044</v>
      </c>
      <c r="AT180" s="282">
        <f>AS180*(1+AT181)</f>
        <v>1.815484</v>
      </c>
      <c r="AU180" s="282">
        <f>AT180*(1+AU181)</f>
        <v>1.9970324</v>
      </c>
      <c r="AV180" s="19" t="inlineStr">
        <is>
          <t>Quarterly dividend $0.32 (declared Jun-2026 and Sep-2026). 2027E+: prior year × (1 + growth).</t>
        </is>
      </c>
      <c r="AX180" s="20">
        <f>IFERROR((AU180/AP180)^(1/5)-1,"n/m")</f>
        <v>0.1</v>
      </c>
      <c r="AY180" s="20">
        <f>IFERROR((AK180/L180)^(1/5)-1,"n/m")</f>
        <v>0.12495260225334</v>
      </c>
      <c r="AZ180" s="20">
        <f>IFERROR((AK180/G180)^(1/10)-1,"n/m")</f>
        <v>0.111128507461127</v>
      </c>
      <c r="BA180" s="20">
        <f>IFERROR((AK180/C180)^(1/14)-1,"n/m")</f>
        <v>0.104816611001491</v>
      </c>
    </row>
    <row r="181" ht="15" customHeight="1" s="251">
      <c r="B181" s="25" t="inlineStr">
        <is>
          <t xml:space="preserve">  Dividend per share growth %</t>
        </is>
      </c>
      <c r="C181" s="36" t="n"/>
      <c r="D181" s="215">
        <f>IF(AND(ISNUMBER(D180),ISNUMBER(C180)),IFERROR(D180/C180-1,""),"")</f>
      </c>
      <c r="E181" s="215">
        <f>IF(AND(ISNUMBER(E180),ISNUMBER(D180)),IFERROR(E180/D180-1,""),"")</f>
      </c>
      <c r="F181" s="215">
        <f>IF(AND(ISNUMBER(F180),ISNUMBER(E180)),IFERROR(F180/E180-1,""),"")</f>
      </c>
      <c r="G181" s="215">
        <f>IF(AND(ISNUMBER(G180),ISNUMBER(F180)),IFERROR(G180/F180-1,""),"")</f>
        <v>0.1875</v>
      </c>
      <c r="H181" s="215">
        <f>IF(AND(ISNUMBER(H180),ISNUMBER(G180)),IFERROR(H180/G180-1,""),"")</f>
        <v>0.131578947368421</v>
      </c>
      <c r="I181" s="215">
        <f>IF(AND(ISNUMBER(I180),ISNUMBER(H180)),IFERROR(I180/H180-1,""),"")</f>
        <v>0.127906976744186</v>
      </c>
      <c r="J181" s="215">
        <f>IF(AND(ISNUMBER(J180),ISNUMBER(I180)),IFERROR(J180/I180-1,""),"")</f>
        <v>0.139175257731959</v>
      </c>
      <c r="K181" s="215">
        <f>IF(AND(ISNUMBER(K180),ISNUMBER(J180)),IFERROR(K180/J180-1,""),"")</f>
        <v>0.14027149321267</v>
      </c>
      <c r="L181" s="215">
        <f>IF(AND(ISNUMBER(L180),ISNUMBER(K180)),IFERROR(L180/K180-1,""),"")</f>
        <v>-0.0396825396825398</v>
      </c>
      <c r="M181" s="36" t="n"/>
      <c r="N181" s="36" t="n"/>
      <c r="O181" s="36" t="n"/>
      <c r="P181" s="36" t="n"/>
      <c r="Q181" s="215">
        <f>IF(AND(ISNUMBER(Q180),ISNUMBER(L180)),IFERROR(Q180/L180-1,""),"")</f>
        <v>-0.0598347107438016</v>
      </c>
      <c r="R181" s="215">
        <f>IF(AND(ISNUMBER(R180),ISNUMBER(M180)),IFERROR(R180/M180-1,""),"")</f>
        <v>1</v>
      </c>
      <c r="S181" s="215">
        <f>IF(AND(ISNUMBER(S180),ISNUMBER(N180)),IFERROR(S180/N180-1,""),"")</f>
        <v>0.169230769230769</v>
      </c>
      <c r="T181" s="215">
        <f>IF(AND(ISNUMBER(T180),ISNUMBER(O180)),IFERROR(T180/O180-1,""),"")</f>
        <v>0.169230769230769</v>
      </c>
      <c r="U181" s="215">
        <f>IF(AND(ISNUMBER(U180),ISNUMBER(P180)),IFERROR(U180/P180-1,""),"")</f>
        <v>0.169230769230769</v>
      </c>
      <c r="V181" s="215">
        <f>IF(AND(ISNUMBER(V180),ISNUMBER(Q180)),IFERROR(V180/Q180-1,""),"")</f>
        <v>0.287798874824191</v>
      </c>
      <c r="W181" s="215">
        <f>IF(AND(ISNUMBER(W180),ISNUMBER(R180)),IFERROR(W180/R180-1,""),"")</f>
        <v>0.169230769230769</v>
      </c>
      <c r="X181" s="215">
        <f>IF(AND(ISNUMBER(X180),ISNUMBER(S180)),IFERROR(X180/S180-1,""),"")</f>
        <v>0.157894736842105</v>
      </c>
      <c r="Y181" s="215">
        <f>IF(AND(ISNUMBER(Y180),ISNUMBER(T180)),IFERROR(Y180/T180-1,""),"")</f>
        <v>0.157894736842105</v>
      </c>
      <c r="Z181" s="215">
        <f>IF(AND(ISNUMBER(Z180),ISNUMBER(U180)),IFERROR(Z180/U180-1,""),"")</f>
        <v>0.157894736842105</v>
      </c>
      <c r="AA181" s="215">
        <f>IF(AND(ISNUMBER(AA180),ISNUMBER(V180)),IFERROR(AA180/V180-1,""),"")</f>
        <v>0.160409556313993</v>
      </c>
      <c r="AB181" s="215">
        <f>IF(AND(ISNUMBER(AB180),ISNUMBER(W180)),IFERROR(AB180/W180-1,""),"")</f>
        <v>0.157894736842105</v>
      </c>
      <c r="AC181" s="215">
        <f>IF(AND(ISNUMBER(AC180),ISNUMBER(X180)),IFERROR(AC180/X180-1,""),"")</f>
        <v>0.136363636363636</v>
      </c>
      <c r="AD181" s="215">
        <f>IF(AND(ISNUMBER(AD180),ISNUMBER(Y180)),IFERROR(AD180/Y180-1,""),"")</f>
        <v>0.136363636363636</v>
      </c>
      <c r="AE181" s="215">
        <f>IF(AND(ISNUMBER(AE180),ISNUMBER(Z180)),IFERROR(AE180/Z180-1,""),"")</f>
        <v>0.136363636363636</v>
      </c>
      <c r="AF181" s="215">
        <f>IF(AND(ISNUMBER(AF180),ISNUMBER(AA180)),IFERROR(AF180/AA180-1,""),"")</f>
        <v>0.141176470588235</v>
      </c>
      <c r="AG181" s="215">
        <f>IF(AND(ISNUMBER(AG180),ISNUMBER(AB180)),IFERROR(AG180/AB180-1,""),"")</f>
        <v>0.136363636363636</v>
      </c>
      <c r="AH181" s="215">
        <f>IF(AND(ISNUMBER(AH180),ISNUMBER(AC180)),IFERROR(AH180/AC180-1,""),"")</f>
        <v>0.12</v>
      </c>
      <c r="AI181" s="215">
        <f>IF(AND(ISNUMBER(AI180),ISNUMBER(AD180)),IFERROR(AI180/AD180-1,""),"")</f>
        <v>0.12</v>
      </c>
      <c r="AJ181" s="215">
        <f>IF(AND(ISNUMBER(AJ180),ISNUMBER(AE180)),IFERROR(AJ180/AE180-1,""),"")</f>
        <v>0.12</v>
      </c>
      <c r="AK181" s="215">
        <f>IF(AND(ISNUMBER(AK180),ISNUMBER(AF180)),IFERROR(AK180/AF180-1,""),"")</f>
        <v>0.123711340206186</v>
      </c>
      <c r="AL181" s="215">
        <f>IF(AND(ISNUMBER(AL180),ISNUMBER(AG180)),IFERROR(AL180/AG180-1,""),"")</f>
        <v>0.12</v>
      </c>
      <c r="AM181" s="215">
        <f>IF(AND(ISNUMBER(AM180),ISNUMBER(AH180)),IFERROR(AM180/AH180-1,""),"")</f>
        <v>0.142857142857143</v>
      </c>
      <c r="AN181" s="215">
        <f>IF(AND(ISNUMBER(AN180),ISNUMBER(AI180)),IFERROR(AN180/AI180-1,""),"")</f>
        <v>0.142857142857143</v>
      </c>
      <c r="AO181" s="256">
        <f>IF(AND(ISNUMBER(AO180),ISNUMBER(AJ180)),IFERROR(AO180/AJ180-1,""),"")</f>
        <v>0.142857142857143</v>
      </c>
      <c r="AP181" s="256">
        <f>IF(AND(ISNUMBER(AP180),ISNUMBER(AK180)),IFERROR(AP180/AK180-1,""),"")</f>
        <v>0.137614678899082</v>
      </c>
      <c r="AQ181" s="265" t="n">
        <v>0.1</v>
      </c>
      <c r="AR181" s="265" t="n">
        <v>0.1</v>
      </c>
      <c r="AS181" s="265" t="n">
        <v>0.1</v>
      </c>
      <c r="AT181" s="265" t="n">
        <v>0.1</v>
      </c>
      <c r="AU181" s="265" t="n">
        <v>0.1</v>
      </c>
      <c r="AV181" s="19" t="n"/>
    </row>
    <row r="182" ht="15" customHeight="1" s="251">
      <c r="BD182" s="11" t="n"/>
      <c r="BE182" s="12" t="n"/>
      <c r="BF182" s="12" t="n"/>
      <c r="BG182" s="12" t="n"/>
      <c r="BH182" s="13" t="n"/>
    </row>
    <row r="183" ht="15" customHeight="1" s="251">
      <c r="B183" s="10" t="inlineStr">
        <is>
          <t>RECONCILIATION: EBIT → ADJUSTED EBIT (company definition, as published from Q2 FY2018)</t>
        </is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inlineStr">
        <is>
          <t>ADJUSTED EBIT — per the release reconciliations ("Reconciliation of Net Earnings to EBIT and Adjusted EBIT"); items in the labels of each period are in the cell comments of the cost-driver rows</t>
        </is>
      </c>
    </row>
    <row r="184" ht="15" customHeight="1" s="251">
      <c r="B184" s="16" t="inlineStr">
        <is>
          <t>EBIT (GAAP basis, company definition)</t>
        </is>
      </c>
      <c r="C184" s="261">
        <f>C160</f>
        <v>212.432</v>
      </c>
      <c r="D184" s="261">
        <f>D160</f>
        <v>223.268</v>
      </c>
      <c r="E184" s="261">
        <f>E160</f>
        <v>226.001</v>
      </c>
      <c r="F184" s="261">
        <f>F160</f>
        <v>249.777</v>
      </c>
      <c r="G184" s="261">
        <f>G160</f>
        <v>265.026</v>
      </c>
      <c r="H184" s="261">
        <f>H160</f>
        <v>251.237</v>
      </c>
      <c r="I184" s="261">
        <f>I160</f>
        <v>278.452</v>
      </c>
      <c r="J184" s="261">
        <f>J160</f>
        <v>249.674</v>
      </c>
      <c r="K184" s="261">
        <f>K160</f>
        <v>363.2</v>
      </c>
      <c r="L184" s="261">
        <f>L160</f>
        <v>315.928</v>
      </c>
      <c r="M184" s="261">
        <f>M160</f>
        <v>55.9950000000001</v>
      </c>
      <c r="N184" s="261">
        <f>N160</f>
        <v>86.453</v>
      </c>
      <c r="O184" s="261">
        <f>O160</f>
        <v>66.787</v>
      </c>
      <c r="P184" s="261">
        <f>P160</f>
        <v>69.351</v>
      </c>
      <c r="Q184" s="261">
        <f>Q160</f>
        <v>278.586</v>
      </c>
      <c r="R184" s="261">
        <f>R160</f>
        <v>45.411</v>
      </c>
      <c r="S184" s="261">
        <f>S160</f>
        <v>61.7930000000001</v>
      </c>
      <c r="T184" s="261">
        <f>T160</f>
        <v>58.467</v>
      </c>
      <c r="U184" s="261">
        <f>U160</f>
        <v>66.958</v>
      </c>
      <c r="V184" s="261">
        <f>V160</f>
        <v>232.629</v>
      </c>
      <c r="W184" s="261">
        <f>W160</f>
        <v>42.525</v>
      </c>
      <c r="X184" s="261">
        <f>X160</f>
        <v>52.5780000000001</v>
      </c>
      <c r="Y184" s="261">
        <f>Y160</f>
        <v>117.397</v>
      </c>
      <c r="Z184" s="261">
        <f>Z160</f>
        <v>108.415</v>
      </c>
      <c r="AA184" s="261">
        <f>AA160</f>
        <v>320.915</v>
      </c>
      <c r="AB184" s="261">
        <f>AB160</f>
        <v>119.683</v>
      </c>
      <c r="AC184" s="261">
        <f>AC160</f>
        <v>130.861</v>
      </c>
      <c r="AD184" s="261">
        <f>AD160</f>
        <v>131.884</v>
      </c>
      <c r="AE184" s="261">
        <f>AE160</f>
        <v>113.044</v>
      </c>
      <c r="AF184" s="261">
        <f>AF160</f>
        <v>495.472</v>
      </c>
      <c r="AG184" s="261">
        <f>AG160</f>
        <v>112.818</v>
      </c>
      <c r="AH184" s="261">
        <f>AH160</f>
        <v>143.831</v>
      </c>
      <c r="AI184" s="261">
        <f>AI160</f>
        <v>137.232</v>
      </c>
      <c r="AJ184" s="261">
        <f>AJ160</f>
        <v>169.03</v>
      </c>
      <c r="AK184" s="261">
        <f>AK160</f>
        <v>562.911</v>
      </c>
      <c r="AL184" s="261">
        <f>AL160</f>
        <v>178.794</v>
      </c>
      <c r="AM184" s="261">
        <f>AM160</f>
        <v>178.747</v>
      </c>
      <c r="AN184" s="261">
        <f>AN160</f>
        <v>207.728</v>
      </c>
      <c r="AO184" s="262">
        <f>AO160</f>
        <v>203.691697901044</v>
      </c>
      <c r="AP184" s="262">
        <f>AP160</f>
        <v>768.960697901045</v>
      </c>
      <c r="AQ184" s="262">
        <f>AQ160</f>
        <v>1014.36471762737</v>
      </c>
      <c r="AR184" s="262">
        <f>AR160</f>
        <v>958.354335216035</v>
      </c>
      <c r="AS184" s="262">
        <f>AS160</f>
        <v>1064.76263517531</v>
      </c>
      <c r="AT184" s="262">
        <f>AT160</f>
        <v>1142.61462434783</v>
      </c>
      <c r="AU184" s="262">
        <f>AU160</f>
        <v>1219.54547586652</v>
      </c>
      <c r="AV184" s="153" t="n"/>
    </row>
    <row r="185" ht="15" customHeight="1" s="251">
      <c r="B185" s="25" t="inlineStr">
        <is>
          <t xml:space="preserve">  (+) Restructuring charges</t>
        </is>
      </c>
      <c r="C185" s="263">
        <f>C140</f>
        <v>0</v>
      </c>
      <c r="D185" s="263">
        <f>D140</f>
        <v>0</v>
      </c>
      <c r="E185" s="263">
        <f>E140</f>
        <v>0</v>
      </c>
      <c r="F185" s="263">
        <f>F140</f>
        <v>0</v>
      </c>
      <c r="G185" s="263">
        <f>G140</f>
        <v>0</v>
      </c>
      <c r="H185" s="263">
        <f>H140</f>
        <v>0</v>
      </c>
      <c r="I185" s="263">
        <f>I140</f>
        <v>0</v>
      </c>
      <c r="J185" s="263">
        <f>J140</f>
        <v>17.013</v>
      </c>
      <c r="K185" s="263">
        <f>K140</f>
        <v>0</v>
      </c>
      <c r="L185" s="263">
        <f>L140</f>
        <v>22.216</v>
      </c>
      <c r="M185" s="263">
        <f>M140</f>
        <v>0</v>
      </c>
      <c r="N185" s="263">
        <f>N140</f>
        <v>0</v>
      </c>
      <c r="O185" s="263">
        <f>O140</f>
        <v>0</v>
      </c>
      <c r="P185" s="263">
        <f>P140</f>
        <v>5.008</v>
      </c>
      <c r="Q185" s="263">
        <f>Q140</f>
        <v>5.008</v>
      </c>
      <c r="R185" s="263">
        <f>R140</f>
        <v>0</v>
      </c>
      <c r="S185" s="263">
        <f>S140</f>
        <v>0</v>
      </c>
      <c r="T185" s="263">
        <f>T140</f>
        <v>0</v>
      </c>
      <c r="U185" s="263">
        <f>U140</f>
        <v>-3.42</v>
      </c>
      <c r="V185" s="263">
        <f>V140</f>
        <v>-3.42</v>
      </c>
      <c r="W185" s="263">
        <f>W140</f>
        <v>0</v>
      </c>
      <c r="X185" s="263">
        <f>X140</f>
        <v>7.38</v>
      </c>
      <c r="Y185" s="263">
        <f>Y140</f>
        <v>0</v>
      </c>
      <c r="Z185" s="263">
        <f>Z140</f>
        <v>0</v>
      </c>
      <c r="AA185" s="263">
        <f>AA140</f>
        <v>7.38</v>
      </c>
      <c r="AB185" s="263">
        <f>AB140</f>
        <v>0</v>
      </c>
      <c r="AC185" s="263">
        <f>AC140</f>
        <v>2.666</v>
      </c>
      <c r="AD185" s="263">
        <f>AD140</f>
        <v>0</v>
      </c>
      <c r="AE185" s="263">
        <f>AE140</f>
        <v>0</v>
      </c>
      <c r="AF185" s="263">
        <f>AF140</f>
        <v>2.666</v>
      </c>
      <c r="AG185" s="263">
        <f>AG140</f>
        <v>0</v>
      </c>
      <c r="AH185" s="263">
        <f>AH140</f>
        <v>0</v>
      </c>
      <c r="AI185" s="263">
        <f>AI140</f>
        <v>0</v>
      </c>
      <c r="AJ185" s="263">
        <f>AJ140</f>
        <v>0</v>
      </c>
      <c r="AK185" s="263">
        <f>AK140</f>
        <v>0</v>
      </c>
      <c r="AL185" s="263">
        <f>AL140</f>
        <v>0</v>
      </c>
      <c r="AM185" s="263">
        <f>AM140</f>
        <v>6.815</v>
      </c>
      <c r="AN185" s="263">
        <f>AN140</f>
        <v>9.264</v>
      </c>
      <c r="AO185" s="254">
        <f>AO140</f>
        <v>6</v>
      </c>
      <c r="AP185" s="254">
        <f>AP140</f>
        <v>22.079</v>
      </c>
      <c r="AQ185" s="254">
        <f>AQ140</f>
        <v>30</v>
      </c>
      <c r="AR185" s="254">
        <f>AR140</f>
        <v>15</v>
      </c>
      <c r="AS185" s="254">
        <f>AS140</f>
        <v>0</v>
      </c>
      <c r="AT185" s="254">
        <f>AT140</f>
        <v>0</v>
      </c>
      <c r="AU185" s="254">
        <f>AU140</f>
        <v>0</v>
      </c>
      <c r="AV185" s="19" t="n"/>
    </row>
    <row r="186" ht="15" customHeight="1" s="251">
      <c r="B186" s="25" t="inlineStr">
        <is>
          <t xml:space="preserve">  (+) Acquisition, transaction, integration &amp; business development costs</t>
        </is>
      </c>
      <c r="C186" s="263">
        <f>C141</f>
        <v>0</v>
      </c>
      <c r="D186" s="263">
        <f>D141</f>
        <v>0</v>
      </c>
      <c r="E186" s="263">
        <f>E141</f>
        <v>0</v>
      </c>
      <c r="F186" s="263">
        <f>F141</f>
        <v>0</v>
      </c>
      <c r="G186" s="263">
        <f>G141</f>
        <v>0</v>
      </c>
      <c r="H186" s="263">
        <f>H141</f>
        <v>0</v>
      </c>
      <c r="I186" s="263">
        <f>I141</f>
        <v>0</v>
      </c>
      <c r="J186" s="263">
        <f>J141</f>
        <v>19.051</v>
      </c>
      <c r="K186" s="263">
        <f>K141</f>
        <v>27.089</v>
      </c>
      <c r="L186" s="263">
        <f>L141</f>
        <v>16.355</v>
      </c>
      <c r="M186" s="263">
        <f>M141</f>
        <v>0</v>
      </c>
      <c r="N186" s="263">
        <f>N141</f>
        <v>0</v>
      </c>
      <c r="O186" s="263">
        <f>O141</f>
        <v>0</v>
      </c>
      <c r="P186" s="263">
        <f>P141</f>
        <v>0</v>
      </c>
      <c r="Q186" s="263">
        <f>Q141</f>
        <v>0</v>
      </c>
      <c r="R186" s="263">
        <f>R141</f>
        <v>2.982</v>
      </c>
      <c r="S186" s="263">
        <f>S141</f>
        <v>0</v>
      </c>
      <c r="T186" s="263">
        <f>T141</f>
        <v>0</v>
      </c>
      <c r="U186" s="263">
        <f>U141</f>
        <v>0</v>
      </c>
      <c r="V186" s="263">
        <f>V141</f>
        <v>2.982</v>
      </c>
      <c r="W186" s="263">
        <f>W141</f>
        <v>0</v>
      </c>
      <c r="X186" s="263">
        <f>X141</f>
        <v>0</v>
      </c>
      <c r="Y186" s="263">
        <f>Y141</f>
        <v>0</v>
      </c>
      <c r="Z186" s="263">
        <f>Z141</f>
        <v>0</v>
      </c>
      <c r="AA186" s="263">
        <f>AA141</f>
        <v>0</v>
      </c>
      <c r="AB186" s="263">
        <f>AB141</f>
        <v>4.238</v>
      </c>
      <c r="AC186" s="263">
        <f>AC141</f>
        <v>1.664</v>
      </c>
      <c r="AD186" s="263">
        <f>AD141</f>
        <v>0</v>
      </c>
      <c r="AE186" s="263">
        <f>AE141</f>
        <v>4.378</v>
      </c>
      <c r="AF186" s="263">
        <f>AF141</f>
        <v>10.28</v>
      </c>
      <c r="AG186" s="263">
        <f>AG141</f>
        <v>3.518</v>
      </c>
      <c r="AH186" s="263">
        <f>AH141</f>
        <v>3.793</v>
      </c>
      <c r="AI186" s="263">
        <f>AI141</f>
        <v>0</v>
      </c>
      <c r="AJ186" s="263">
        <f>AJ141</f>
        <v>0</v>
      </c>
      <c r="AK186" s="263">
        <f>AK141</f>
        <v>7.31</v>
      </c>
      <c r="AL186" s="263">
        <f>AL141</f>
        <v>0</v>
      </c>
      <c r="AM186" s="263">
        <f>AM141</f>
        <v>0</v>
      </c>
      <c r="AN186" s="263">
        <f>AN141</f>
        <v>0</v>
      </c>
      <c r="AO186" s="254">
        <f>AO141</f>
        <v>0</v>
      </c>
      <c r="AP186" s="254">
        <f>AP141</f>
        <v>0</v>
      </c>
      <c r="AQ186" s="254">
        <f>AQ141</f>
        <v>2</v>
      </c>
      <c r="AR186" s="254">
        <f>AR141</f>
        <v>2</v>
      </c>
      <c r="AS186" s="254">
        <f>AS141</f>
        <v>2</v>
      </c>
      <c r="AT186" s="254">
        <f>AT141</f>
        <v>2</v>
      </c>
      <c r="AU186" s="254">
        <f>AU141</f>
        <v>2</v>
      </c>
      <c r="AV186" s="19" t="n"/>
    </row>
    <row r="187" ht="15" customHeight="1" s="251">
      <c r="B187" s="25" t="inlineStr">
        <is>
          <t xml:space="preserve">  (+) Purchase accounting (inventory step-up, backlog amortization)</t>
        </is>
      </c>
      <c r="C187" s="263">
        <f>C143</f>
        <v>0</v>
      </c>
      <c r="D187" s="263">
        <f>D143</f>
        <v>0</v>
      </c>
      <c r="E187" s="263">
        <f>E143</f>
        <v>0</v>
      </c>
      <c r="F187" s="263">
        <f>F143</f>
        <v>0</v>
      </c>
      <c r="G187" s="263">
        <f>G143</f>
        <v>0</v>
      </c>
      <c r="H187" s="263">
        <f>H143</f>
        <v>0</v>
      </c>
      <c r="I187" s="263">
        <f>I143</f>
        <v>0</v>
      </c>
      <c r="J187" s="263">
        <f>J143</f>
        <v>34.385</v>
      </c>
      <c r="K187" s="263">
        <f>K143</f>
        <v>21.1</v>
      </c>
      <c r="L187" s="263">
        <f>L143</f>
        <v>0</v>
      </c>
      <c r="M187" s="263">
        <f>M143</f>
        <v>0</v>
      </c>
      <c r="N187" s="263">
        <f>N143</f>
        <v>0</v>
      </c>
      <c r="O187" s="263">
        <f>O143</f>
        <v>0</v>
      </c>
      <c r="P187" s="263">
        <f>P143</f>
        <v>0</v>
      </c>
      <c r="Q187" s="263">
        <f>Q143</f>
        <v>0</v>
      </c>
      <c r="R187" s="263">
        <f>R143</f>
        <v>0</v>
      </c>
      <c r="S187" s="263">
        <f>S143</f>
        <v>0</v>
      </c>
      <c r="T187" s="263">
        <f>T143</f>
        <v>0</v>
      </c>
      <c r="U187" s="263">
        <f>U143</f>
        <v>0</v>
      </c>
      <c r="V187" s="263">
        <f>V143</f>
        <v>0</v>
      </c>
      <c r="W187" s="263">
        <f>W143</f>
        <v>0</v>
      </c>
      <c r="X187" s="263">
        <f>X143</f>
        <v>0</v>
      </c>
      <c r="Y187" s="263">
        <f>Y143</f>
        <v>0</v>
      </c>
      <c r="Z187" s="263">
        <f>Z143</f>
        <v>0</v>
      </c>
      <c r="AA187" s="263">
        <f>AA143</f>
        <v>0</v>
      </c>
      <c r="AB187" s="263">
        <f>AB143</f>
        <v>0</v>
      </c>
      <c r="AC187" s="263">
        <f>AC143</f>
        <v>0</v>
      </c>
      <c r="AD187" s="263">
        <f>AD143</f>
        <v>0</v>
      </c>
      <c r="AE187" s="263">
        <f>AE143</f>
        <v>0</v>
      </c>
      <c r="AF187" s="263">
        <f>AF143</f>
        <v>0</v>
      </c>
      <c r="AG187" s="263">
        <f>AG143</f>
        <v>0</v>
      </c>
      <c r="AH187" s="263">
        <f>AH143</f>
        <v>0</v>
      </c>
      <c r="AI187" s="263">
        <f>AI143</f>
        <v>0</v>
      </c>
      <c r="AJ187" s="263">
        <f>AJ143</f>
        <v>0</v>
      </c>
      <c r="AK187" s="263">
        <f>AK143</f>
        <v>0</v>
      </c>
      <c r="AL187" s="263">
        <f>AL143</f>
        <v>0</v>
      </c>
      <c r="AM187" s="263">
        <f>AM143</f>
        <v>0</v>
      </c>
      <c r="AN187" s="263">
        <f>AN143</f>
        <v>0</v>
      </c>
      <c r="AO187" s="254">
        <f>AO143</f>
        <v>0</v>
      </c>
      <c r="AP187" s="254">
        <f>AP143</f>
        <v>0</v>
      </c>
      <c r="AQ187" s="254">
        <f>AQ143</f>
        <v>0</v>
      </c>
      <c r="AR187" s="254">
        <f>AR143</f>
        <v>0</v>
      </c>
      <c r="AS187" s="254">
        <f>AS143</f>
        <v>0</v>
      </c>
      <c r="AT187" s="254">
        <f>AT143</f>
        <v>0</v>
      </c>
      <c r="AU187" s="254">
        <f>AU143</f>
        <v>0</v>
      </c>
      <c r="AV187" s="19" t="n"/>
    </row>
    <row r="188" ht="15" customHeight="1" s="251">
      <c r="B188" s="25" t="inlineStr">
        <is>
          <t xml:space="preserve">  (+) (Gains) / losses on sales of businesses, properties, product lines; swaps</t>
        </is>
      </c>
      <c r="C188" s="263">
        <f>C144</f>
        <v>0</v>
      </c>
      <c r="D188" s="263">
        <f>D144</f>
        <v>0</v>
      </c>
      <c r="E188" s="263">
        <f>E144</f>
        <v>0</v>
      </c>
      <c r="F188" s="263">
        <f>F144</f>
        <v>0</v>
      </c>
      <c r="G188" s="263">
        <f>G144</f>
        <v>0</v>
      </c>
      <c r="H188" s="263">
        <f>H144</f>
        <v>0</v>
      </c>
      <c r="I188" s="263">
        <f>I144</f>
        <v>0</v>
      </c>
      <c r="J188" s="263">
        <f>J144</f>
        <v>0</v>
      </c>
      <c r="K188" s="263">
        <f>K144</f>
        <v>0</v>
      </c>
      <c r="L188" s="263">
        <f>L144</f>
        <v>-51.619</v>
      </c>
      <c r="M188" s="263">
        <f>M144</f>
        <v>0</v>
      </c>
      <c r="N188" s="263">
        <f>N144</f>
        <v>0</v>
      </c>
      <c r="O188" s="263">
        <f>O144</f>
        <v>0</v>
      </c>
      <c r="P188" s="263">
        <f>P144</f>
        <v>0</v>
      </c>
      <c r="Q188" s="263">
        <f>Q144</f>
        <v>0</v>
      </c>
      <c r="R188" s="263">
        <f>R144</f>
        <v>0</v>
      </c>
      <c r="S188" s="263">
        <f>S144</f>
        <v>0</v>
      </c>
      <c r="T188" s="263">
        <f>T144</f>
        <v>0</v>
      </c>
      <c r="U188" s="263">
        <f>U144</f>
        <v>0</v>
      </c>
      <c r="V188" s="263">
        <f>V144</f>
        <v>0</v>
      </c>
      <c r="W188" s="263">
        <f>W144</f>
        <v>0</v>
      </c>
      <c r="X188" s="263">
        <f>X144</f>
        <v>10.504</v>
      </c>
      <c r="Y188" s="263">
        <f>Y144</f>
        <v>0</v>
      </c>
      <c r="Z188" s="263">
        <f>Z144</f>
        <v>0</v>
      </c>
      <c r="AA188" s="263">
        <f>AA144</f>
        <v>10.504</v>
      </c>
      <c r="AB188" s="263">
        <f>AB144</f>
        <v>-4.803</v>
      </c>
      <c r="AC188" s="263">
        <f>AC144</f>
        <v>0</v>
      </c>
      <c r="AD188" s="263">
        <f>AD144</f>
        <v>0</v>
      </c>
      <c r="AE188" s="263">
        <f>AE144</f>
        <v>0</v>
      </c>
      <c r="AF188" s="263">
        <f>AF144</f>
        <v>-4.803</v>
      </c>
      <c r="AG188" s="263">
        <f>AG144</f>
        <v>-9.361</v>
      </c>
      <c r="AH188" s="263">
        <f>AH144</f>
        <v>-11.163</v>
      </c>
      <c r="AI188" s="263">
        <f>AI144</f>
        <v>0</v>
      </c>
      <c r="AJ188" s="263">
        <f>AJ144</f>
        <v>0</v>
      </c>
      <c r="AK188" s="263">
        <f>AK144</f>
        <v>-20.524</v>
      </c>
      <c r="AL188" s="263">
        <f>AL144</f>
        <v>0</v>
      </c>
      <c r="AM188" s="263">
        <f>AM144</f>
        <v>0</v>
      </c>
      <c r="AN188" s="263">
        <f>AN144</f>
        <v>0</v>
      </c>
      <c r="AO188" s="254">
        <f>AO144</f>
        <v>0</v>
      </c>
      <c r="AP188" s="254">
        <f>AP144</f>
        <v>0</v>
      </c>
      <c r="AQ188" s="254">
        <f>AQ144</f>
        <v>-163.636</v>
      </c>
      <c r="AR188" s="254">
        <f>AR144</f>
        <v>0</v>
      </c>
      <c r="AS188" s="254">
        <f>AS144</f>
        <v>0</v>
      </c>
      <c r="AT188" s="254">
        <f>AT144</f>
        <v>0</v>
      </c>
      <c r="AU188" s="254">
        <f>AU144</f>
        <v>0</v>
      </c>
      <c r="AV188" s="19" t="n"/>
    </row>
    <row r="189" ht="15" customHeight="1" s="251">
      <c r="B189" s="25" t="inlineStr">
        <is>
          <t xml:space="preserve">  (+) Impairments</t>
        </is>
      </c>
      <c r="C189" s="263">
        <f>C145</f>
        <v>0</v>
      </c>
      <c r="D189" s="263">
        <f>D145</f>
        <v>0</v>
      </c>
      <c r="E189" s="263">
        <f>E145</f>
        <v>0</v>
      </c>
      <c r="F189" s="263">
        <f>F145</f>
        <v>0</v>
      </c>
      <c r="G189" s="263">
        <f>G145</f>
        <v>0</v>
      </c>
      <c r="H189" s="263">
        <f>H145</f>
        <v>0</v>
      </c>
      <c r="I189" s="263">
        <f>I145</f>
        <v>0</v>
      </c>
      <c r="J189" s="263">
        <f>J145</f>
        <v>0</v>
      </c>
      <c r="K189" s="263">
        <f>K145</f>
        <v>12.601</v>
      </c>
      <c r="L189" s="263">
        <f>L145</f>
        <v>37.902</v>
      </c>
      <c r="M189" s="263">
        <f>M145</f>
        <v>0</v>
      </c>
      <c r="N189" s="263">
        <f>N145</f>
        <v>0</v>
      </c>
      <c r="O189" s="263">
        <f>O145</f>
        <v>0</v>
      </c>
      <c r="P189" s="263">
        <f>P145</f>
        <v>0</v>
      </c>
      <c r="Q189" s="263">
        <f>Q145</f>
        <v>0</v>
      </c>
      <c r="R189" s="263">
        <f>R145</f>
        <v>0</v>
      </c>
      <c r="S189" s="263">
        <f>S145</f>
        <v>0</v>
      </c>
      <c r="T189" s="263">
        <f>T145</f>
        <v>0</v>
      </c>
      <c r="U189" s="263">
        <f>U145</f>
        <v>0</v>
      </c>
      <c r="V189" s="263">
        <f>V145</f>
        <v>0</v>
      </c>
      <c r="W189" s="263">
        <f>W145</f>
        <v>0</v>
      </c>
      <c r="X189" s="263">
        <f>X145</f>
        <v>0</v>
      </c>
      <c r="Y189" s="263">
        <f>Y145</f>
        <v>0</v>
      </c>
      <c r="Z189" s="263">
        <f>Z145</f>
        <v>0</v>
      </c>
      <c r="AA189" s="263">
        <f>AA145</f>
        <v>0</v>
      </c>
      <c r="AB189" s="263">
        <f>AB145</f>
        <v>0</v>
      </c>
      <c r="AC189" s="263">
        <f>AC145</f>
        <v>0</v>
      </c>
      <c r="AD189" s="263">
        <f>AD145</f>
        <v>0</v>
      </c>
      <c r="AE189" s="263">
        <f>AE145</f>
        <v>0</v>
      </c>
      <c r="AF189" s="263">
        <f>AF145</f>
        <v>0</v>
      </c>
      <c r="AG189" s="263">
        <f>AG145</f>
        <v>0</v>
      </c>
      <c r="AH189" s="263">
        <f>AH145</f>
        <v>0</v>
      </c>
      <c r="AI189" s="263">
        <f>AI145</f>
        <v>0</v>
      </c>
      <c r="AJ189" s="263">
        <f>AJ145</f>
        <v>0</v>
      </c>
      <c r="AK189" s="263">
        <f>AK145</f>
        <v>0</v>
      </c>
      <c r="AL189" s="263">
        <f>AL145</f>
        <v>0</v>
      </c>
      <c r="AM189" s="263">
        <f>AM145</f>
        <v>0</v>
      </c>
      <c r="AN189" s="263">
        <f>AN145</f>
        <v>0</v>
      </c>
      <c r="AO189" s="254">
        <f>AO145</f>
        <v>0</v>
      </c>
      <c r="AP189" s="254">
        <f>AP145</f>
        <v>0</v>
      </c>
      <c r="AQ189" s="254">
        <f>AQ145</f>
        <v>0</v>
      </c>
      <c r="AR189" s="254">
        <f>AR145</f>
        <v>0</v>
      </c>
      <c r="AS189" s="254">
        <f>AS145</f>
        <v>0</v>
      </c>
      <c r="AT189" s="254">
        <f>AT145</f>
        <v>0</v>
      </c>
      <c r="AU189" s="254">
        <f>AU145</f>
        <v>0</v>
      </c>
      <c r="AV189" s="19" t="n"/>
    </row>
    <row r="190" ht="15" customHeight="1" s="251">
      <c r="B190" s="25" t="inlineStr">
        <is>
          <t xml:space="preserve">  (+) Other items</t>
        </is>
      </c>
      <c r="C190" s="263">
        <f>C146</f>
        <v>0</v>
      </c>
      <c r="D190" s="263">
        <f>D146</f>
        <v>0</v>
      </c>
      <c r="E190" s="263">
        <f>E146</f>
        <v>0</v>
      </c>
      <c r="F190" s="263">
        <f>F146</f>
        <v>0</v>
      </c>
      <c r="G190" s="263">
        <f>G146</f>
        <v>0</v>
      </c>
      <c r="H190" s="263">
        <f>H146</f>
        <v>0</v>
      </c>
      <c r="I190" s="263">
        <f>I146</f>
        <v>0</v>
      </c>
      <c r="J190" s="263">
        <f>J146</f>
        <v>5.543</v>
      </c>
      <c r="K190" s="263">
        <f>K146</f>
        <v>0</v>
      </c>
      <c r="L190" s="263">
        <f>L146</f>
        <v>2.376</v>
      </c>
      <c r="M190" s="263">
        <f>M146</f>
        <v>0</v>
      </c>
      <c r="N190" s="263">
        <f>N146</f>
        <v>0</v>
      </c>
      <c r="O190" s="263">
        <f>O146</f>
        <v>0</v>
      </c>
      <c r="P190" s="263">
        <f>P146</f>
        <v>0</v>
      </c>
      <c r="Q190" s="263">
        <f>Q146</f>
        <v>0</v>
      </c>
      <c r="R190" s="263">
        <f>R146</f>
        <v>5</v>
      </c>
      <c r="S190" s="263">
        <f>S146</f>
        <v>-1.728</v>
      </c>
      <c r="T190" s="263">
        <f>T146</f>
        <v>0</v>
      </c>
      <c r="U190" s="263">
        <f>U146</f>
        <v>0</v>
      </c>
      <c r="V190" s="263">
        <f>V146</f>
        <v>3.272</v>
      </c>
      <c r="W190" s="263">
        <f>W146</f>
        <v>0</v>
      </c>
      <c r="X190" s="263">
        <f>X146</f>
        <v>16.992</v>
      </c>
      <c r="Y190" s="263">
        <f>Y146</f>
        <v>0</v>
      </c>
      <c r="Z190" s="263">
        <f>Z146</f>
        <v>0</v>
      </c>
      <c r="AA190" s="263">
        <f>AA146</f>
        <v>16.992</v>
      </c>
      <c r="AB190" s="263">
        <f>AB146</f>
        <v>0</v>
      </c>
      <c r="AC190" s="263">
        <f>AC146</f>
        <v>0</v>
      </c>
      <c r="AD190" s="263">
        <f>AD146</f>
        <v>0</v>
      </c>
      <c r="AE190" s="263">
        <f>AE146</f>
        <v>0</v>
      </c>
      <c r="AF190" s="263">
        <f>AF146</f>
        <v>0</v>
      </c>
      <c r="AG190" s="263">
        <f>AG146</f>
        <v>0</v>
      </c>
      <c r="AH190" s="263">
        <f>AH146</f>
        <v>0</v>
      </c>
      <c r="AI190" s="263">
        <f>AI146</f>
        <v>0</v>
      </c>
      <c r="AJ190" s="263">
        <f>AJ146</f>
        <v>6.536</v>
      </c>
      <c r="AK190" s="263">
        <f>AK146</f>
        <v>6.536</v>
      </c>
      <c r="AL190" s="263">
        <f>AL146</f>
        <v>0</v>
      </c>
      <c r="AM190" s="263">
        <f>AM146</f>
        <v>0</v>
      </c>
      <c r="AN190" s="263">
        <f>AN146</f>
        <v>0</v>
      </c>
      <c r="AO190" s="254">
        <f>AO146</f>
        <v>0</v>
      </c>
      <c r="AP190" s="254">
        <f>AP146</f>
        <v>0</v>
      </c>
      <c r="AQ190" s="254">
        <f>AQ146</f>
        <v>0</v>
      </c>
      <c r="AR190" s="254">
        <f>AR146</f>
        <v>0</v>
      </c>
      <c r="AS190" s="254">
        <f>AS146</f>
        <v>0</v>
      </c>
      <c r="AT190" s="254">
        <f>AT146</f>
        <v>0</v>
      </c>
      <c r="AU190" s="254">
        <f>AU146</f>
        <v>0</v>
      </c>
      <c r="AV190" s="19" t="n"/>
    </row>
    <row r="191" ht="15" customHeight="1" s="251">
      <c r="B191" s="16" t="inlineStr">
        <is>
          <t xml:space="preserve">  Total adjusting items (pre-tax)</t>
        </is>
      </c>
      <c r="C191" s="261">
        <f>IF(ISNUMBER(C185),N(C185)+N(C186)+N(C187)+N(C188)+N(C189)+N(C190),"")</f>
        <v>0</v>
      </c>
      <c r="D191" s="261">
        <f>IF(ISNUMBER(D185),N(D185)+N(D186)+N(D187)+N(D188)+N(D189)+N(D190),"")</f>
        <v>0</v>
      </c>
      <c r="E191" s="261">
        <f>IF(ISNUMBER(E185),N(E185)+N(E186)+N(E187)+N(E188)+N(E189)+N(E190),"")</f>
        <v>0</v>
      </c>
      <c r="F191" s="261">
        <f>IF(ISNUMBER(F185),N(F185)+N(F186)+N(F187)+N(F188)+N(F189)+N(F190),"")</f>
        <v>0</v>
      </c>
      <c r="G191" s="261">
        <f>IF(ISNUMBER(G185),N(G185)+N(G186)+N(G187)+N(G188)+N(G189)+N(G190),"")</f>
        <v>0</v>
      </c>
      <c r="H191" s="261">
        <f>IF(ISNUMBER(H185),N(H185)+N(H186)+N(H187)+N(H188)+N(H189)+N(H190),"")</f>
        <v>0</v>
      </c>
      <c r="I191" s="261">
        <f>IF(ISNUMBER(I185),N(I185)+N(I186)+N(I187)+N(I188)+N(I189)+N(I190),"")</f>
        <v>0</v>
      </c>
      <c r="J191" s="261">
        <f>IF(ISNUMBER(J185),N(J185)+N(J186)+N(J187)+N(J188)+N(J189)+N(J190),"")</f>
        <v>75.992</v>
      </c>
      <c r="K191" s="261">
        <f>IF(ISNUMBER(K185),N(K185)+N(K186)+N(K187)+N(K188)+N(K189)+N(K190),"")</f>
        <v>60.79</v>
      </c>
      <c r="L191" s="261">
        <f>IF(ISNUMBER(L185),N(L185)+N(L186)+N(L187)+N(L188)+N(L189)+N(L190),"")</f>
        <v>27.23</v>
      </c>
      <c r="M191" s="261">
        <f>IF(ISNUMBER(M185),N(M185)+N(M186)+N(M187)+N(M188)+N(M189)+N(M190),"")</f>
        <v>0</v>
      </c>
      <c r="N191" s="261">
        <f>IF(ISNUMBER(N185),N(N185)+N(N186)+N(N187)+N(N188)+N(N189)+N(N190),"")</f>
        <v>0</v>
      </c>
      <c r="O191" s="261">
        <f>IF(ISNUMBER(O185),N(O185)+N(O186)+N(O187)+N(O188)+N(O189)+N(O190),"")</f>
        <v>0</v>
      </c>
      <c r="P191" s="261">
        <f>IF(ISNUMBER(P185),N(P185)+N(P186)+N(P187)+N(P188)+N(P189)+N(P190),"")</f>
        <v>5.008</v>
      </c>
      <c r="Q191" s="261">
        <f>IF(ISNUMBER(Q185),N(Q185)+N(Q186)+N(Q187)+N(Q188)+N(Q189)+N(Q190),"")</f>
        <v>5.008</v>
      </c>
      <c r="R191" s="261">
        <f>IF(ISNUMBER(R185),N(R185)+N(R186)+N(R187)+N(R188)+N(R189)+N(R190),"")</f>
        <v>7.982</v>
      </c>
      <c r="S191" s="261">
        <f>IF(ISNUMBER(S185),N(S185)+N(S186)+N(S187)+N(S188)+N(S189)+N(S190),"")</f>
        <v>-1.728</v>
      </c>
      <c r="T191" s="261">
        <f>IF(ISNUMBER(T185),N(T185)+N(T186)+N(T187)+N(T188)+N(T189)+N(T190),"")</f>
        <v>0</v>
      </c>
      <c r="U191" s="261">
        <f>IF(ISNUMBER(U185),N(U185)+N(U186)+N(U187)+N(U188)+N(U189)+N(U190),"")</f>
        <v>-3.42</v>
      </c>
      <c r="V191" s="261">
        <f>IF(ISNUMBER(V185),N(V185)+N(V186)+N(V187)+N(V188)+N(V189)+N(V190),"")</f>
        <v>2.834</v>
      </c>
      <c r="W191" s="261">
        <f>IF(ISNUMBER(W185),N(W185)+N(W186)+N(W187)+N(W188)+N(W189)+N(W190),"")</f>
        <v>0</v>
      </c>
      <c r="X191" s="261">
        <f>IF(ISNUMBER(X185),N(X185)+N(X186)+N(X187)+N(X188)+N(X189)+N(X190),"")</f>
        <v>34.876</v>
      </c>
      <c r="Y191" s="261">
        <f>IF(ISNUMBER(Y185),N(Y185)+N(Y186)+N(Y187)+N(Y188)+N(Y189)+N(Y190),"")</f>
        <v>0</v>
      </c>
      <c r="Z191" s="261">
        <f>IF(ISNUMBER(Z185),N(Z185)+N(Z186)+N(Z187)+N(Z188)+N(Z189)+N(Z190),"")</f>
        <v>0</v>
      </c>
      <c r="AA191" s="261">
        <f>IF(ISNUMBER(AA185),N(AA185)+N(AA186)+N(AA187)+N(AA188)+N(AA189)+N(AA190),"")</f>
        <v>34.876</v>
      </c>
      <c r="AB191" s="261">
        <f>IF(ISNUMBER(AB185),N(AB185)+N(AB186)+N(AB187)+N(AB188)+N(AB189)+N(AB190),"")</f>
        <v>-0.565</v>
      </c>
      <c r="AC191" s="261">
        <f>IF(ISNUMBER(AC185),N(AC185)+N(AC186)+N(AC187)+N(AC188)+N(AC189)+N(AC190),"")</f>
        <v>4.33</v>
      </c>
      <c r="AD191" s="261">
        <f>IF(ISNUMBER(AD185),N(AD185)+N(AD186)+N(AD187)+N(AD188)+N(AD189)+N(AD190),"")</f>
        <v>0</v>
      </c>
      <c r="AE191" s="261">
        <f>IF(ISNUMBER(AE185),N(AE185)+N(AE186)+N(AE187)+N(AE188)+N(AE189)+N(AE190),"")</f>
        <v>4.378</v>
      </c>
      <c r="AF191" s="261">
        <f>IF(ISNUMBER(AF185),N(AF185)+N(AF186)+N(AF187)+N(AF188)+N(AF189)+N(AF190),"")</f>
        <v>8.143</v>
      </c>
      <c r="AG191" s="261">
        <f>IF(ISNUMBER(AG185),N(AG185)+N(AG186)+N(AG187)+N(AG188)+N(AG189)+N(AG190),"")</f>
        <v>-5.843</v>
      </c>
      <c r="AH191" s="261">
        <f>IF(ISNUMBER(AH185),N(AH185)+N(AH186)+N(AH187)+N(AH188)+N(AH189)+N(AH190),"")</f>
        <v>-7.37</v>
      </c>
      <c r="AI191" s="261">
        <f>IF(ISNUMBER(AI185),N(AI185)+N(AI186)+N(AI187)+N(AI188)+N(AI189)+N(AI190),"")</f>
        <v>0</v>
      </c>
      <c r="AJ191" s="261">
        <f>IF(ISNUMBER(AJ185),N(AJ185)+N(AJ186)+N(AJ187)+N(AJ188)+N(AJ189)+N(AJ190),"")</f>
        <v>6.536</v>
      </c>
      <c r="AK191" s="261">
        <f>IF(ISNUMBER(AK185),N(AK185)+N(AK186)+N(AK187)+N(AK188)+N(AK189)+N(AK190),"")</f>
        <v>-6.678</v>
      </c>
      <c r="AL191" s="261">
        <f>IF(ISNUMBER(AL185),N(AL185)+N(AL186)+N(AL187)+N(AL188)+N(AL189)+N(AL190),"")</f>
        <v>0</v>
      </c>
      <c r="AM191" s="261">
        <f>IF(ISNUMBER(AM185),N(AM185)+N(AM186)+N(AM187)+N(AM188)+N(AM189)+N(AM190),"")</f>
        <v>6.815</v>
      </c>
      <c r="AN191" s="261">
        <f>IF(ISNUMBER(AN185),N(AN185)+N(AN186)+N(AN187)+N(AN188)+N(AN189)+N(AN190),"")</f>
        <v>9.264</v>
      </c>
      <c r="AO191" s="262">
        <f>IF(ISNUMBER(AO185),N(AO185)+N(AO186)+N(AO187)+N(AO188)+N(AO189)+N(AO190),"")</f>
        <v>6</v>
      </c>
      <c r="AP191" s="262">
        <f>IF(ISNUMBER(AP185),N(AP185)+N(AP186)+N(AP187)+N(AP188)+N(AP189)+N(AP190),"")</f>
        <v>22.079</v>
      </c>
      <c r="AQ191" s="262">
        <f>IF(ISNUMBER(AQ185),N(AQ185)+N(AQ186)+N(AQ187)+N(AQ188)+N(AQ189)+N(AQ190),"")</f>
        <v>-131.636</v>
      </c>
      <c r="AR191" s="262">
        <f>IF(ISNUMBER(AR185),N(AR185)+N(AR186)+N(AR187)+N(AR188)+N(AR189)+N(AR190),"")</f>
        <v>17</v>
      </c>
      <c r="AS191" s="262">
        <f>IF(ISNUMBER(AS185),N(AS185)+N(AS186)+N(AS187)+N(AS188)+N(AS189)+N(AS190),"")</f>
        <v>2</v>
      </c>
      <c r="AT191" s="262">
        <f>IF(ISNUMBER(AT185),N(AT185)+N(AT186)+N(AT187)+N(AT188)+N(AT189)+N(AT190),"")</f>
        <v>2</v>
      </c>
      <c r="AU191" s="262">
        <f>IF(ISNUMBER(AU185),N(AU185)+N(AU186)+N(AU187)+N(AU188)+N(AU189)+N(AU190),"")</f>
        <v>2</v>
      </c>
      <c r="AV191" s="153" t="n"/>
    </row>
    <row r="192" ht="15" customHeight="1" s="251">
      <c r="B192" s="55" t="inlineStr">
        <is>
          <t xml:space="preserve">  = Adjusted EBIT (model bridge)</t>
        </is>
      </c>
      <c r="C192" s="273">
        <f>IF(ISNUMBER(C184),C184+C191,"")</f>
        <v>212.432</v>
      </c>
      <c r="D192" s="273">
        <f>IF(ISNUMBER(D184),D184+D191,"")</f>
        <v>223.268</v>
      </c>
      <c r="E192" s="273">
        <f>IF(ISNUMBER(E184),E184+E191,"")</f>
        <v>226.001</v>
      </c>
      <c r="F192" s="273">
        <f>IF(ISNUMBER(F184),F184+F191,"")</f>
        <v>249.777</v>
      </c>
      <c r="G192" s="273">
        <f>IF(ISNUMBER(G184),G184+G191,"")</f>
        <v>265.026</v>
      </c>
      <c r="H192" s="273">
        <f>IF(ISNUMBER(H184),H184+H191,"")</f>
        <v>251.237</v>
      </c>
      <c r="I192" s="273">
        <f>IF(ISNUMBER(I184),I184+I191,"")</f>
        <v>278.452</v>
      </c>
      <c r="J192" s="273">
        <f>IF(ISNUMBER(J184),J184+J191,"")</f>
        <v>325.666</v>
      </c>
      <c r="K192" s="273">
        <f>IF(ISNUMBER(K184),K184+K191,"")</f>
        <v>423.99</v>
      </c>
      <c r="L192" s="273">
        <f>IF(ISNUMBER(L184),L184+L191,"")</f>
        <v>343.158</v>
      </c>
      <c r="M192" s="273">
        <f>IF(ISNUMBER(M184),M184+M191,"")</f>
        <v>55.9950000000001</v>
      </c>
      <c r="N192" s="273">
        <f>IF(ISNUMBER(N184),N184+N191,"")</f>
        <v>86.453</v>
      </c>
      <c r="O192" s="273">
        <f>IF(ISNUMBER(O184),O184+O191,"")</f>
        <v>66.787</v>
      </c>
      <c r="P192" s="273">
        <f>IF(ISNUMBER(P184),P184+P191,"")</f>
        <v>74.359</v>
      </c>
      <c r="Q192" s="273">
        <f>IF(ISNUMBER(Q184),Q184+Q191,"")</f>
        <v>283.594</v>
      </c>
      <c r="R192" s="273">
        <f>IF(ISNUMBER(R184),R184+R191,"")</f>
        <v>53.393</v>
      </c>
      <c r="S192" s="273">
        <f>IF(ISNUMBER(S184),S184+S191,"")</f>
        <v>60.0650000000001</v>
      </c>
      <c r="T192" s="273">
        <f>IF(ISNUMBER(T184),T184+T191,"")</f>
        <v>58.467</v>
      </c>
      <c r="U192" s="273">
        <f>IF(ISNUMBER(U184),U184+U191,"")</f>
        <v>63.538</v>
      </c>
      <c r="V192" s="273">
        <f>IF(ISNUMBER(V184),V184+V191,"")</f>
        <v>235.463</v>
      </c>
      <c r="W192" s="273">
        <f>IF(ISNUMBER(W184),W184+W191,"")</f>
        <v>42.525</v>
      </c>
      <c r="X192" s="273">
        <f>IF(ISNUMBER(X184),X184+X191,"")</f>
        <v>87.4540000000001</v>
      </c>
      <c r="Y192" s="273">
        <f>IF(ISNUMBER(Y184),Y184+Y191,"")</f>
        <v>117.397</v>
      </c>
      <c r="Z192" s="273">
        <f>IF(ISNUMBER(Z184),Z184+Z191,"")</f>
        <v>108.415</v>
      </c>
      <c r="AA192" s="273">
        <f>IF(ISNUMBER(AA184),AA184+AA191,"")</f>
        <v>355.791</v>
      </c>
      <c r="AB192" s="273">
        <f>IF(ISNUMBER(AB184),AB184+AB191,"")</f>
        <v>119.118</v>
      </c>
      <c r="AC192" s="273">
        <f>IF(ISNUMBER(AC184),AC184+AC191,"")</f>
        <v>135.191</v>
      </c>
      <c r="AD192" s="273">
        <f>IF(ISNUMBER(AD184),AD184+AD191,"")</f>
        <v>131.884</v>
      </c>
      <c r="AE192" s="273">
        <f>IF(ISNUMBER(AE184),AE184+AE191,"")</f>
        <v>117.422</v>
      </c>
      <c r="AF192" s="273">
        <f>IF(ISNUMBER(AF184),AF184+AF191,"")</f>
        <v>503.615</v>
      </c>
      <c r="AG192" s="273">
        <f>IF(ISNUMBER(AG184),AG184+AG191,"")</f>
        <v>106.975</v>
      </c>
      <c r="AH192" s="273">
        <f>IF(ISNUMBER(AH184),AH184+AH191,"")</f>
        <v>136.461</v>
      </c>
      <c r="AI192" s="273">
        <f>IF(ISNUMBER(AI184),AI184+AI191,"")</f>
        <v>137.232</v>
      </c>
      <c r="AJ192" s="273">
        <f>IF(ISNUMBER(AJ184),AJ184+AJ191,"")</f>
        <v>175.566</v>
      </c>
      <c r="AK192" s="273">
        <f>IF(ISNUMBER(AK184),AK184+AK191,"")</f>
        <v>556.233</v>
      </c>
      <c r="AL192" s="273">
        <f>IF(ISNUMBER(AL184),AL184+AL191,"")</f>
        <v>178.794</v>
      </c>
      <c r="AM192" s="273">
        <f>IF(ISNUMBER(AM184),AM184+AM191,"")</f>
        <v>185.562</v>
      </c>
      <c r="AN192" s="273">
        <f>IF(ISNUMBER(AN184),AN184+AN191,"")</f>
        <v>216.992</v>
      </c>
      <c r="AO192" s="273">
        <f>IF(ISNUMBER(AO184),AO184+AO191,"")</f>
        <v>209.691697901044</v>
      </c>
      <c r="AP192" s="273">
        <f>IF(ISNUMBER(AP184),AP184+AP191,"")</f>
        <v>791.039697901045</v>
      </c>
      <c r="AQ192" s="273">
        <f>IF(ISNUMBER(AQ184),AQ184+AQ191,"")</f>
        <v>882.728717627371</v>
      </c>
      <c r="AR192" s="273">
        <f>IF(ISNUMBER(AR184),AR184+AR191,"")</f>
        <v>975.354335216035</v>
      </c>
      <c r="AS192" s="273">
        <f>IF(ISNUMBER(AS184),AS184+AS191,"")</f>
        <v>1066.76263517531</v>
      </c>
      <c r="AT192" s="273">
        <f>IF(ISNUMBER(AT184),AT184+AT191,"")</f>
        <v>1144.61462434783</v>
      </c>
      <c r="AU192" s="273">
        <f>IF(ISNUMBER(AU184),AU184+AU191,"")</f>
        <v>1221.54547586652</v>
      </c>
      <c r="AV192" s="153" t="inlineStr">
        <is>
          <t>Rebuilt from the published reconciliation items; forecast = EBIT + forecast adjusting items (equals the segment build — check in the Group block).</t>
        </is>
      </c>
      <c r="AX192" s="20">
        <f>IFERROR((AU192/AP192)^(1/5)-1,"n/m")</f>
        <v>0.0907928238896334</v>
      </c>
      <c r="AY192" s="20">
        <f>IFERROR((AK192/L192)^(1/5)-1,"n/m")</f>
        <v>0.101418900072007</v>
      </c>
      <c r="AZ192" s="20">
        <f>IFERROR((AK192/G192)^(1/10)-1,"n/m")</f>
        <v>0.0769531897607265</v>
      </c>
      <c r="BA192" s="20">
        <f>IFERROR((AK192/C192)^(1/14)-1,"n/m")</f>
        <v>0.0711733824288665</v>
      </c>
    </row>
    <row r="193" ht="15" customHeight="1" s="251">
      <c r="B193" s="25" t="inlineStr">
        <is>
          <t xml:space="preserve">  Adjusted EBIT margin %</t>
        </is>
      </c>
      <c r="C193" s="215">
        <f>IF(AND(ISNUMBER(C192),ISNUMBER(C150)),IFERROR(C192/C150,""),"")</f>
        <v>0.12410571466295</v>
      </c>
      <c r="D193" s="215">
        <f>IF(AND(ISNUMBER(D192),ISNUMBER(D150)),IFERROR(D192/D150,""),"")</f>
        <v>0.119674511571713</v>
      </c>
      <c r="E193" s="215">
        <f>IF(AND(ISNUMBER(E192),ISNUMBER(E150)),IFERROR(E192/E150,""),"")</f>
        <v>0.11673750087811</v>
      </c>
      <c r="F193" s="215">
        <f>IF(AND(ISNUMBER(F192),ISNUMBER(F150)),IFERROR(F192/F150,""),"")</f>
        <v>0.124811117107393</v>
      </c>
      <c r="G193" s="215">
        <f>IF(AND(ISNUMBER(G192),ISNUMBER(G150)),IFERROR(G192/G150,""),"")</f>
        <v>0.130022867061472</v>
      </c>
      <c r="H193" s="215">
        <f>IF(AND(ISNUMBER(H192),ISNUMBER(H150)),IFERROR(H192/H150,""),"")</f>
        <v>0.12418552324725</v>
      </c>
      <c r="I193" s="215">
        <f>IF(AND(ISNUMBER(I192),ISNUMBER(I150)),IFERROR(I192/I150,""),"")</f>
        <v>0.132679272973314</v>
      </c>
      <c r="J193" s="215">
        <f>IF(AND(ISNUMBER(J192),ISNUMBER(J150)),IFERROR(J192/J150,""),"")</f>
        <v>0.140018823039779</v>
      </c>
      <c r="K193" s="215">
        <f>IF(AND(ISNUMBER(K192),ISNUMBER(K150)),IFERROR(K192/K150,""),"")</f>
        <v>0.146193517199004</v>
      </c>
      <c r="L193" s="215">
        <f>IF(AND(ISNUMBER(L192),ISNUMBER(L150)),IFERROR(L192/L150,""),"")</f>
        <v>0.137501627822644</v>
      </c>
      <c r="M193" s="215">
        <f>IF(AND(ISNUMBER(M192),ISNUMBER(M150)),IFERROR(M192/M150,""),"")</f>
        <v>0.104153685044613</v>
      </c>
      <c r="N193" s="215">
        <f>IF(AND(ISNUMBER(N192),ISNUMBER(N150)),IFERROR(N192/N150,""),"")</f>
        <v>0.148718178080613</v>
      </c>
      <c r="O193" s="215">
        <f>IF(AND(ISNUMBER(O192),ISNUMBER(O150)),IFERROR(O192/O150,""),"")</f>
        <v>0.119974850675888</v>
      </c>
      <c r="P193" s="215">
        <f>IF(AND(ISNUMBER(P192),ISNUMBER(P150)),IFERROR(P192/P150,""),"")</f>
        <v>0.130404740651366</v>
      </c>
      <c r="Q193" s="215">
        <f>IF(AND(ISNUMBER(Q192),ISNUMBER(Q150)),IFERROR(Q192/Q150,""),"")</f>
        <v>0.126275696490209</v>
      </c>
      <c r="R193" s="215">
        <f>IF(AND(ISNUMBER(R192),ISNUMBER(R150)),IFERROR(R192/R150,""),"")</f>
        <v>0.0985863740938651</v>
      </c>
      <c r="S193" s="215">
        <f>IF(AND(ISNUMBER(S192),ISNUMBER(S150)),IFERROR(S192/S150,""),"")</f>
        <v>0.102353456399455</v>
      </c>
      <c r="T193" s="215">
        <f>IF(AND(ISNUMBER(T192),ISNUMBER(T150)),IFERROR(T192/T150,""),"")</f>
        <v>0.0951716661349237</v>
      </c>
      <c r="U193" s="215">
        <f>IF(AND(ISNUMBER(U192),ISNUMBER(U150)),IFERROR(U192/U150,""),"")</f>
        <v>0.099273006235616</v>
      </c>
      <c r="V193" s="215">
        <f>IF(AND(ISNUMBER(V192),ISNUMBER(V150)),IFERROR(V192/V150,""),"")</f>
        <v>0.0988181921193223</v>
      </c>
      <c r="W193" s="215">
        <f>IF(AND(ISNUMBER(W192),ISNUMBER(W150)),IFERROR(W192/W150,""),"")</f>
        <v>0.0687418265523691</v>
      </c>
      <c r="X193" s="215">
        <f>IF(AND(ISNUMBER(X192),ISNUMBER(X150)),IFERROR(X192/X150,""),"")</f>
        <v>0.121765936058055</v>
      </c>
      <c r="Y193" s="215">
        <f>IF(AND(ISNUMBER(Y192),ISNUMBER(Y150)),IFERROR(Y192/Y150,""),"")</f>
        <v>0.146624734751075</v>
      </c>
      <c r="Z193" s="215">
        <f>IF(AND(ISNUMBER(Z192),ISNUMBER(Z150)),IFERROR(Z192/Z150,""),"")</f>
        <v>0.139517675370301</v>
      </c>
      <c r="AA193" s="215">
        <f>IF(AND(ISNUMBER(AA192),ISNUMBER(AA150)),IFERROR(AA192/AA150,""),"")</f>
        <v>0.122073406469436</v>
      </c>
      <c r="AB193" s="215">
        <f>IF(AND(ISNUMBER(AB192),ISNUMBER(AB150)),IFERROR(AB192/AB150,""),"")</f>
        <v>0.151408996733314</v>
      </c>
      <c r="AC193" s="215">
        <f>IF(AND(ISNUMBER(AC192),ISNUMBER(AC150)),IFERROR(AC192/AC150,""),"")</f>
        <v>0.161838909286365</v>
      </c>
      <c r="AD193" s="215">
        <f>IF(AND(ISNUMBER(AD192),ISNUMBER(AD150)),IFERROR(AD192/AD150,""),"")</f>
        <v>0.155580826908013</v>
      </c>
      <c r="AE193" s="215">
        <f>IF(AND(ISNUMBER(AE192),ISNUMBER(AE150)),IFERROR(AE192/AE150,""),"")</f>
        <v>0.137417962569398</v>
      </c>
      <c r="AF193" s="215">
        <f>IF(AND(ISNUMBER(AF192),ISNUMBER(AF150)),IFERROR(AF192/AF150,""),"")</f>
        <v>0.151497375798263</v>
      </c>
      <c r="AG193" s="215">
        <f>IF(AND(ISNUMBER(AG192),ISNUMBER(AG150)),IFERROR(AG192/AG150,""),"")</f>
        <v>0.138438642466596</v>
      </c>
      <c r="AH193" s="215">
        <f>IF(AND(ISNUMBER(AH192),ISNUMBER(AH150)),IFERROR(AH192/AH150,""),"")</f>
        <v>0.154432459776671</v>
      </c>
      <c r="AI193" s="215">
        <f>IF(AND(ISNUMBER(AI192),ISNUMBER(AI150)),IFERROR(AI192/AI150,""),"")</f>
        <v>0.149907258319988</v>
      </c>
      <c r="AJ193" s="215">
        <f>IF(AND(ISNUMBER(AJ192),ISNUMBER(AJ150)),IFERROR(AJ192/AJ150,""),"")</f>
        <v>0.17640143720661</v>
      </c>
      <c r="AK193" s="215">
        <f>IF(AND(ISNUMBER(AK192),ISNUMBER(AK150)),IFERROR(AK192/AK150,""),"")</f>
        <v>0.155935806029833</v>
      </c>
      <c r="AL193" s="215">
        <f>IF(AND(ISNUMBER(AL192),ISNUMBER(AL150)),IFERROR(AL192/AL150,""),"")</f>
        <v>0.179430259700899</v>
      </c>
      <c r="AM193" s="215">
        <f>IF(AND(ISNUMBER(AM192),ISNUMBER(AM150)),IFERROR(AM192/AM150,""),"")</f>
        <v>0.170151700765106</v>
      </c>
      <c r="AN193" s="215">
        <f>IF(AND(ISNUMBER(AN192),ISNUMBER(AN150)),IFERROR(AN192/AN150,""),"")</f>
        <v>0.195540256194214</v>
      </c>
      <c r="AO193" s="256">
        <f>IF(AND(ISNUMBER(AO192),ISNUMBER(AO150)),IFERROR(AO192/AO150,""),"")</f>
        <v>0.184383940074346</v>
      </c>
      <c r="AP193" s="256">
        <f>IF(AND(ISNUMBER(AP192),ISNUMBER(AP150)),IFERROR(AP192/AP150,""),"")</f>
        <v>0.182520268701079</v>
      </c>
      <c r="AQ193" s="256">
        <f>IF(AND(ISNUMBER(AQ192),ISNUMBER(AQ150)),IFERROR(AQ192/AQ150,""),"")</f>
        <v>0.187534212934782</v>
      </c>
      <c r="AR193" s="256">
        <f>IF(AND(ISNUMBER(AR192),ISNUMBER(AR150)),IFERROR(AR192/AR150,""),"")</f>
        <v>0.191185436818209</v>
      </c>
      <c r="AS193" s="256">
        <f>IF(AND(ISNUMBER(AS192),ISNUMBER(AS150)),IFERROR(AS192/AS150,""),"")</f>
        <v>0.195141416194945</v>
      </c>
      <c r="AT193" s="256">
        <f>IF(AND(ISNUMBER(AT192),ISNUMBER(AT150)),IFERROR(AT192/AT150,""),"")</f>
        <v>0.197473820815994</v>
      </c>
      <c r="AU193" s="256">
        <f>IF(AND(ISNUMBER(AU192),ISNUMBER(AU150)),IFERROR(AU192/AU150,""),"")</f>
        <v>0.199484404658939</v>
      </c>
      <c r="AV193" s="153" t="n"/>
      <c r="AX193" s="37">
        <f>IFERROR(AVERAGE(AQ193,AR193,AS193,AT193,AU193),"n/m")</f>
        <v>0.194163858284574</v>
      </c>
      <c r="AY193" s="37">
        <f>IFERROR(AVERAGE(Q193,V193,AA193,AF193,AK193),"n/m")</f>
        <v>0.130920095381413</v>
      </c>
      <c r="AZ193" s="37">
        <f>IFERROR(AVERAGE(H193,I193,J193,K193,L193,Q193,V193,AA193,AF193,AK193),"n/m")</f>
        <v>0.133517924118906</v>
      </c>
      <c r="BA193" s="37">
        <f>IFERROR(AVERAGE(C193,D193,E193,F193,G193,H193,I193,J193,K193,L193,Q193,V193,AA193,AF193,AK193),"n/m")</f>
        <v>0.13003539683138</v>
      </c>
    </row>
    <row r="194" ht="15" customHeight="1" s="251">
      <c r="B194" s="156" t="inlineStr">
        <is>
          <t xml:space="preserve">  Company-published adjusted EBIT</t>
        </is>
      </c>
      <c r="C194" s="34" t="n"/>
      <c r="D194" s="34" t="n"/>
      <c r="E194" s="34" t="n"/>
      <c r="F194" s="34" t="n"/>
      <c r="G194" s="34" t="n"/>
      <c r="H194" s="34" t="n"/>
      <c r="I194" s="34" t="n"/>
      <c r="J194" s="253" t="n">
        <v>325.666</v>
      </c>
      <c r="K194" s="253" t="n">
        <v>423.99</v>
      </c>
      <c r="L194" s="253" t="n">
        <v>343.158</v>
      </c>
      <c r="M194" s="253" t="n">
        <v>55.995</v>
      </c>
      <c r="N194" s="253" t="n">
        <v>86.453</v>
      </c>
      <c r="O194" s="253" t="n">
        <v>66.78700000000001</v>
      </c>
      <c r="P194" s="253" t="n">
        <v>74.35899999999999</v>
      </c>
      <c r="Q194" s="253" t="n">
        <v>283.594</v>
      </c>
      <c r="R194" s="253" t="n">
        <v>53.393</v>
      </c>
      <c r="S194" s="253" t="n">
        <v>60.065</v>
      </c>
      <c r="T194" s="253" t="n">
        <v>58.467</v>
      </c>
      <c r="U194" s="253" t="n">
        <v>63.538</v>
      </c>
      <c r="V194" s="253" t="n">
        <v>235.463</v>
      </c>
      <c r="W194" s="253" t="n">
        <v>42.525</v>
      </c>
      <c r="X194" s="253" t="n">
        <v>87.45399999999999</v>
      </c>
      <c r="Y194" s="253" t="n">
        <v>117.397</v>
      </c>
      <c r="Z194" s="253" t="n">
        <v>108.415</v>
      </c>
      <c r="AA194" s="253" t="n">
        <v>355.791</v>
      </c>
      <c r="AB194" s="253" t="n">
        <v>119.118</v>
      </c>
      <c r="AC194" s="253" t="n">
        <v>135.191</v>
      </c>
      <c r="AD194" s="253" t="n">
        <v>131.884</v>
      </c>
      <c r="AE194" s="253" t="n">
        <v>117.422</v>
      </c>
      <c r="AF194" s="253" t="n">
        <v>503.615</v>
      </c>
      <c r="AG194" s="253" t="n">
        <v>106.975</v>
      </c>
      <c r="AH194" s="253" t="n">
        <v>136.461</v>
      </c>
      <c r="AI194" s="253" t="n">
        <v>137.232</v>
      </c>
      <c r="AJ194" s="253" t="n">
        <v>175.566</v>
      </c>
      <c r="AK194" s="253" t="n">
        <v>556.2329999999999</v>
      </c>
      <c r="AL194" s="253" t="n">
        <v>178.794</v>
      </c>
      <c r="AM194" s="253" t="n">
        <v>185.562</v>
      </c>
      <c r="AN194" s="253" t="n">
        <v>216.992</v>
      </c>
      <c r="AO194" s="153" t="n"/>
      <c r="AP194" s="153" t="n"/>
      <c r="AQ194" s="153" t="n"/>
      <c r="AR194" s="153" t="n"/>
      <c r="AS194" s="153" t="n"/>
      <c r="AT194" s="153" t="n"/>
      <c r="AU194" s="153" t="n"/>
      <c r="AV194" s="153" t="n"/>
    </row>
    <row r="195" ht="15" customHeight="1" s="251">
      <c r="B195" s="57" t="inlineStr">
        <is>
          <t xml:space="preserve">  Check: model bridge vs company-published (should be 0)</t>
        </is>
      </c>
      <c r="C195" s="263" t="str">
        <f>IF(ISNUMBER(C194),IF(ABS(C192-C194)&lt;=0.15,0,ROUND(C192-C194,1)),"n/p")</f>
        <v>n/p</v>
      </c>
      <c r="D195" s="263" t="str">
        <f>IF(ISNUMBER(D194),IF(ABS(D192-D194)&lt;=0.15,0,ROUND(D192-D194,1)),"n/p")</f>
        <v>n/p</v>
      </c>
      <c r="E195" s="263" t="str">
        <f>IF(ISNUMBER(E194),IF(ABS(E192-E194)&lt;=0.15,0,ROUND(E192-E194,1)),"n/p")</f>
        <v>n/p</v>
      </c>
      <c r="F195" s="263" t="str">
        <f>IF(ISNUMBER(F194),IF(ABS(F192-F194)&lt;=0.15,0,ROUND(F192-F194,1)),"n/p")</f>
        <v>n/p</v>
      </c>
      <c r="G195" s="263" t="str">
        <f>IF(ISNUMBER(G194),IF(ABS(G192-G194)&lt;=0.15,0,ROUND(G192-G194,1)),"n/p")</f>
        <v>n/p</v>
      </c>
      <c r="H195" s="263" t="str">
        <f>IF(ISNUMBER(H194),IF(ABS(H192-H194)&lt;=0.15,0,ROUND(H192-H194,1)),"n/p")</f>
        <v>n/p</v>
      </c>
      <c r="I195" s="263" t="str">
        <f>IF(ISNUMBER(I194),IF(ABS(I192-I194)&lt;=0.15,0,ROUND(I192-I194,1)),"n/p")</f>
        <v>n/p</v>
      </c>
      <c r="J195" s="263">
        <f>IF(ISNUMBER(J194),IF(ABS(J192-J194)&lt;=0.15,0,ROUND(J192-J194,1)),"n/p")</f>
        <v>0</v>
      </c>
      <c r="K195" s="263">
        <f>IF(ISNUMBER(K194),IF(ABS(K192-K194)&lt;=0.15,0,ROUND(K192-K194,1)),"n/p")</f>
        <v>0</v>
      </c>
      <c r="L195" s="263">
        <f>IF(ISNUMBER(L194),IF(ABS(L192-L194)&lt;=0.15,0,ROUND(L192-L194,1)),"n/p")</f>
        <v>0</v>
      </c>
      <c r="M195" s="263">
        <f>IF(ISNUMBER(M194),IF(ABS(M192-M194)&lt;=0.15,0,ROUND(M192-M194,1)),"n/p")</f>
        <v>0</v>
      </c>
      <c r="N195" s="263">
        <f>IF(ISNUMBER(N194),IF(ABS(N192-N194)&lt;=0.15,0,ROUND(N192-N194,1)),"n/p")</f>
        <v>0</v>
      </c>
      <c r="O195" s="263">
        <f>IF(ISNUMBER(O194),IF(ABS(O192-O194)&lt;=0.15,0,ROUND(O192-O194,1)),"n/p")</f>
        <v>0</v>
      </c>
      <c r="P195" s="263">
        <f>IF(ISNUMBER(P194),IF(ABS(P192-P194)&lt;=0.15,0,ROUND(P192-P194,1)),"n/p")</f>
        <v>0</v>
      </c>
      <c r="Q195" s="263">
        <f>IF(ISNUMBER(Q194),IF(ABS(Q192-Q194)&lt;=0.15,0,ROUND(Q192-Q194,1)),"n/p")</f>
        <v>0</v>
      </c>
      <c r="R195" s="263">
        <f>IF(ISNUMBER(R194),IF(ABS(R192-R194)&lt;=0.15,0,ROUND(R192-R194,1)),"n/p")</f>
        <v>0</v>
      </c>
      <c r="S195" s="263">
        <f>IF(ISNUMBER(S194),IF(ABS(S192-S194)&lt;=0.15,0,ROUND(S192-S194,1)),"n/p")</f>
        <v>0</v>
      </c>
      <c r="T195" s="263">
        <f>IF(ISNUMBER(T194),IF(ABS(T192-T194)&lt;=0.15,0,ROUND(T192-T194,1)),"n/p")</f>
        <v>0</v>
      </c>
      <c r="U195" s="263">
        <f>IF(ISNUMBER(U194),IF(ABS(U192-U194)&lt;=0.15,0,ROUND(U192-U194,1)),"n/p")</f>
        <v>0</v>
      </c>
      <c r="V195" s="263">
        <f>IF(ISNUMBER(V194),IF(ABS(V192-V194)&lt;=0.15,0,ROUND(V192-V194,1)),"n/p")</f>
        <v>0</v>
      </c>
      <c r="W195" s="263">
        <f>IF(ISNUMBER(W194),IF(ABS(W192-W194)&lt;=0.15,0,ROUND(W192-W194,1)),"n/p")</f>
        <v>0</v>
      </c>
      <c r="X195" s="263">
        <f>IF(ISNUMBER(X194),IF(ABS(X192-X194)&lt;=0.15,0,ROUND(X192-X194,1)),"n/p")</f>
        <v>0</v>
      </c>
      <c r="Y195" s="263">
        <f>IF(ISNUMBER(Y194),IF(ABS(Y192-Y194)&lt;=0.15,0,ROUND(Y192-Y194,1)),"n/p")</f>
        <v>0</v>
      </c>
      <c r="Z195" s="263">
        <f>IF(ISNUMBER(Z194),IF(ABS(Z192-Z194)&lt;=0.15,0,ROUND(Z192-Z194,1)),"n/p")</f>
        <v>0</v>
      </c>
      <c r="AA195" s="263">
        <f>IF(ISNUMBER(AA194),IF(ABS(AA192-AA194)&lt;=0.15,0,ROUND(AA192-AA194,1)),"n/p")</f>
        <v>0</v>
      </c>
      <c r="AB195" s="263">
        <f>IF(ISNUMBER(AB194),IF(ABS(AB192-AB194)&lt;=0.15,0,ROUND(AB192-AB194,1)),"n/p")</f>
        <v>0</v>
      </c>
      <c r="AC195" s="263">
        <f>IF(ISNUMBER(AC194),IF(ABS(AC192-AC194)&lt;=0.15,0,ROUND(AC192-AC194,1)),"n/p")</f>
        <v>0</v>
      </c>
      <c r="AD195" s="263">
        <f>IF(ISNUMBER(AD194),IF(ABS(AD192-AD194)&lt;=0.15,0,ROUND(AD192-AD194,1)),"n/p")</f>
        <v>0</v>
      </c>
      <c r="AE195" s="263">
        <f>IF(ISNUMBER(AE194),IF(ABS(AE192-AE194)&lt;=0.15,0,ROUND(AE192-AE194,1)),"n/p")</f>
        <v>0</v>
      </c>
      <c r="AF195" s="263">
        <f>IF(ISNUMBER(AF194),IF(ABS(AF192-AF194)&lt;=0.15,0,ROUND(AF192-AF194,1)),"n/p")</f>
        <v>0</v>
      </c>
      <c r="AG195" s="263">
        <f>IF(ISNUMBER(AG194),IF(ABS(AG192-AG194)&lt;=0.15,0,ROUND(AG192-AG194,1)),"n/p")</f>
        <v>0</v>
      </c>
      <c r="AH195" s="263">
        <f>IF(ISNUMBER(AH194),IF(ABS(AH192-AH194)&lt;=0.15,0,ROUND(AH192-AH194,1)),"n/p")</f>
        <v>0</v>
      </c>
      <c r="AI195" s="263">
        <f>IF(ISNUMBER(AI194),IF(ABS(AI192-AI194)&lt;=0.15,0,ROUND(AI192-AI194,1)),"n/p")</f>
        <v>0</v>
      </c>
      <c r="AJ195" s="263">
        <f>IF(ISNUMBER(AJ194),IF(ABS(AJ192-AJ194)&lt;=0.15,0,ROUND(AJ192-AJ194,1)),"n/p")</f>
        <v>0</v>
      </c>
      <c r="AK195" s="263">
        <f>IF(ISNUMBER(AK194),IF(ABS(AK192-AK194)&lt;=0.15,0,ROUND(AK192-AK194,1)),"n/p")</f>
        <v>0</v>
      </c>
      <c r="AL195" s="263">
        <f>IF(ISNUMBER(AL194),IF(ABS(AL192-AL194)&lt;=0.15,0,ROUND(AL192-AL194,1)),"n/p")</f>
        <v>0</v>
      </c>
      <c r="AM195" s="263">
        <f>IF(ISNUMBER(AM194),IF(ABS(AM192-AM194)&lt;=0.15,0,ROUND(AM192-AM194,1)),"n/p")</f>
        <v>0</v>
      </c>
      <c r="AN195" s="263">
        <f>IF(ISNUMBER(AN194),IF(ABS(AN192-AN194)&lt;=0.15,0,ROUND(AN192-AN194,1)),"n/p")</f>
        <v>0</v>
      </c>
      <c r="AO195" s="153" t="n"/>
      <c r="AP195" s="153" t="n"/>
      <c r="AQ195" s="153" t="n"/>
      <c r="AR195" s="153" t="n"/>
      <c r="AS195" s="153" t="n"/>
      <c r="AT195" s="153" t="n"/>
      <c r="AU195" s="153" t="n"/>
      <c r="AV195" s="153" t="n"/>
    </row>
    <row r="196" ht="15" customHeight="1" s="251">
      <c r="B196" s="158" t="inlineStr">
        <is>
          <t xml:space="preserve">  Definition / basis (company adjusted definition in force)</t>
        </is>
      </c>
      <c r="C196" s="283" t="inlineStr">
        <is>
          <t>FY2011–17: no adjusted measures published (EBIT / EBITDA / FCF only) — adjusted = GAAP EBIT; segments Aerospace / Energy (Energy renamed Industrial in FY2016)</t>
        </is>
      </c>
      <c r="J196" s="283" t="inlineStr">
        <is>
          <t>FY2018+: adjusted EBIT / EBITDA / EPS published (from Q2 FY2018): restructuring, L'Orange acquisition &amp; purchase accounting, Duarte move, US tax reform</t>
        </is>
      </c>
      <c r="L196" s="283" t="inlineStr">
        <is>
          <t>FY2020: gains on property / business sales, cross-currency swap gain, Hexcel merger costs and COVID restructuring adjusted out</t>
        </is>
      </c>
      <c r="R196" s="283" t="inlineStr">
        <is>
          <t>FY2022+: business development, non-recurring matters, product rationalization, inventory / collections charges adjusted out</t>
        </is>
      </c>
      <c r="AL196" s="283" t="inlineStr">
        <is>
          <t>FY2026: restructuring (China OH wind-down, servo-valve transition) only</t>
        </is>
      </c>
      <c r="AO196" s="153" t="n"/>
      <c r="AP196" s="153" t="n"/>
      <c r="AQ196" s="153" t="n"/>
      <c r="AR196" s="153" t="n"/>
      <c r="AS196" s="153" t="n"/>
      <c r="AT196" s="153" t="n"/>
      <c r="AU196" s="153" t="n"/>
      <c r="AV196" s="19" t="inlineStr">
        <is>
          <t>Basis changes are flagged in the column where they take effect (cell comment gives the detail).</t>
        </is>
      </c>
    </row>
    <row r="197" ht="15" customHeight="1" s="251">
      <c r="B197" s="22" t="inlineStr">
        <is>
          <t xml:space="preserve">  Adjusted EBIT y/y %</t>
        </is>
      </c>
      <c r="C197" s="23" t="n"/>
      <c r="D197" s="255">
        <f>IF(AND(ISNUMBER(D192),ISNUMBER(C192)),IFERROR(D192/C192-1,""),"")</f>
        <v>0.0510092641409954</v>
      </c>
      <c r="E197" s="255">
        <f>IF(AND(ISNUMBER(E192),ISNUMBER(D192)),IFERROR(E192/D192-1,""),"")</f>
        <v>0.0122408943511847</v>
      </c>
      <c r="F197" s="255">
        <f>IF(AND(ISNUMBER(F192),ISNUMBER(E192)),IFERROR(F192/E192-1,""),"")</f>
        <v>0.10520307432268</v>
      </c>
      <c r="G197" s="255">
        <f>IF(AND(ISNUMBER(G192),ISNUMBER(F192)),IFERROR(G192/F192-1,""),"")</f>
        <v>0.0610504570076504</v>
      </c>
      <c r="H197" s="255">
        <f>IF(AND(ISNUMBER(H192),ISNUMBER(G192)),IFERROR(H192/G192-1,""),"")</f>
        <v>-0.0520288575460521</v>
      </c>
      <c r="I197" s="255">
        <f>IF(AND(ISNUMBER(I192),ISNUMBER(H192)),IFERROR(I192/H192-1,""),"")</f>
        <v>0.108324012784741</v>
      </c>
      <c r="J197" s="255">
        <f>IF(AND(ISNUMBER(J192),ISNUMBER(I192)),IFERROR(J192/I192-1,""),"")</f>
        <v>0.169558846767127</v>
      </c>
      <c r="K197" s="255">
        <f>IF(AND(ISNUMBER(K192),ISNUMBER(J192)),IFERROR(K192/J192-1,""),"")</f>
        <v>0.301916687649309</v>
      </c>
      <c r="L197" s="255">
        <f>IF(AND(ISNUMBER(L192),ISNUMBER(K192)),IFERROR(L192/K192-1,""),"")</f>
        <v>-0.190646005802024</v>
      </c>
      <c r="M197" s="23" t="n"/>
      <c r="N197" s="23" t="n"/>
      <c r="O197" s="23" t="n"/>
      <c r="P197" s="23" t="n"/>
      <c r="Q197" s="255">
        <f>IF(AND(ISNUMBER(Q192),ISNUMBER(L192)),IFERROR(Q192/L192-1,""),"")</f>
        <v>-0.173576020375454</v>
      </c>
      <c r="R197" s="255">
        <f>IF(AND(ISNUMBER(R192),ISNUMBER(M192)),IFERROR(R192/M192-1,""),"")</f>
        <v>-0.0464684346816688</v>
      </c>
      <c r="S197" s="255">
        <f>IF(AND(ISNUMBER(S192),ISNUMBER(N192)),IFERROR(S192/N192-1,""),"")</f>
        <v>-0.305229431020323</v>
      </c>
      <c r="T197" s="255">
        <f>IF(AND(ISNUMBER(T192),ISNUMBER(O192)),IFERROR(T192/O192-1,""),"")</f>
        <v>-0.124575141868927</v>
      </c>
      <c r="U197" s="255">
        <f>IF(AND(ISNUMBER(U192),ISNUMBER(P192)),IFERROR(U192/P192-1,""),"")</f>
        <v>-0.145523742922846</v>
      </c>
      <c r="V197" s="255">
        <f>IF(AND(ISNUMBER(V192),ISNUMBER(Q192)),IFERROR(V192/Q192-1,""),"")</f>
        <v>-0.169717977108119</v>
      </c>
      <c r="W197" s="255">
        <f>IF(AND(ISNUMBER(W192),ISNUMBER(R192)),IFERROR(W192/R192-1,""),"")</f>
        <v>-0.203547281478845</v>
      </c>
      <c r="X197" s="255">
        <f>IF(AND(ISNUMBER(X192),ISNUMBER(S192)),IFERROR(X192/S192-1,""),"")</f>
        <v>0.455989344876384</v>
      </c>
      <c r="Y197" s="255">
        <f>IF(AND(ISNUMBER(Y192),ISNUMBER(T192)),IFERROR(Y192/T192-1,""),"")</f>
        <v>1.00791899704107</v>
      </c>
      <c r="Z197" s="255">
        <f>IF(AND(ISNUMBER(Z192),ISNUMBER(U192)),IFERROR(Z192/U192-1,""),"")</f>
        <v>0.70630174069061</v>
      </c>
      <c r="AA197" s="255">
        <f>IF(AND(ISNUMBER(AA192),ISNUMBER(V192)),IFERROR(AA192/V192-1,""),"")</f>
        <v>0.511027210219863</v>
      </c>
      <c r="AB197" s="255">
        <f>IF(AND(ISNUMBER(AB192),ISNUMBER(W192)),IFERROR(AB192/W192-1,""),"")</f>
        <v>1.80112874779541</v>
      </c>
      <c r="AC197" s="255">
        <f>IF(AND(ISNUMBER(AC192),ISNUMBER(X192)),IFERROR(AC192/X192-1,""),"")</f>
        <v>0.545852676835821</v>
      </c>
      <c r="AD197" s="255">
        <f>IF(AND(ISNUMBER(AD192),ISNUMBER(Y192)),IFERROR(AD192/Y192-1,""),"")</f>
        <v>0.123401790505719</v>
      </c>
      <c r="AE197" s="255">
        <f>IF(AND(ISNUMBER(AE192),ISNUMBER(Z192)),IFERROR(AE192/Z192-1,""),"")</f>
        <v>0.083078909744962</v>
      </c>
      <c r="AF197" s="255">
        <f>IF(AND(ISNUMBER(AF192),ISNUMBER(AA192)),IFERROR(AF192/AA192-1,""),"")</f>
        <v>0.415479874420658</v>
      </c>
      <c r="AG197" s="255">
        <f>IF(AND(ISNUMBER(AG192),ISNUMBER(AB192)),IFERROR(AG192/AB192-1,""),"")</f>
        <v>-0.101940932520694</v>
      </c>
      <c r="AH197" s="255">
        <f>IF(AND(ISNUMBER(AH192),ISNUMBER(AC192)),IFERROR(AH192/AC192-1,""),"")</f>
        <v>0.00939411647225086</v>
      </c>
      <c r="AI197" s="255">
        <f>IF(AND(ISNUMBER(AI192),ISNUMBER(AD192)),IFERROR(AI192/AD192-1,""),"")</f>
        <v>0.0405507870552913</v>
      </c>
      <c r="AJ197" s="255">
        <f>IF(AND(ISNUMBER(AJ192),ISNUMBER(AE192)),IFERROR(AJ192/AE192-1,""),"")</f>
        <v>0.495171262625401</v>
      </c>
      <c r="AK197" s="255">
        <f>IF(AND(ISNUMBER(AK192),ISNUMBER(AF192)),IFERROR(AK192/AF192-1,""),"")</f>
        <v>0.104480605224229</v>
      </c>
      <c r="AL197" s="255">
        <f>IF(AND(ISNUMBER(AL192),ISNUMBER(AG192)),IFERROR(AL192/AG192-1,""),"")</f>
        <v>0.671362467866323</v>
      </c>
      <c r="AM197" s="255">
        <f>IF(AND(ISNUMBER(AM192),ISNUMBER(AH192)),IFERROR(AM192/AH192-1,""),"")</f>
        <v>0.359817090597313</v>
      </c>
      <c r="AN197" s="255">
        <f>IF(AND(ISNUMBER(AN192),ISNUMBER(AI192)),IFERROR(AN192/AI192-1,""),"")</f>
        <v>0.581205549726011</v>
      </c>
      <c r="AO197" s="256">
        <f>IF(AND(ISNUMBER(AO192),ISNUMBER(AJ192)),IFERROR(AO192/AJ192-1,""),"")</f>
        <v>0.194375322676626</v>
      </c>
      <c r="AP197" s="256">
        <f>IF(AND(ISNUMBER(AP192),ISNUMBER(AK192)),IFERROR(AP192/AK192-1,""),"")</f>
        <v>0.422137301995827</v>
      </c>
      <c r="AQ197" s="256">
        <f>IF(AND(ISNUMBER(AQ192),ISNUMBER(AP192)),IFERROR(AQ192/AP192-1,""),"")</f>
        <v>0.11590950488277</v>
      </c>
      <c r="AR197" s="256">
        <f>IF(AND(ISNUMBER(AR192),ISNUMBER(AQ192)),IFERROR(AR192/AQ192-1,""),"")</f>
        <v>0.104931011916806</v>
      </c>
      <c r="AS197" s="256">
        <f>IF(AND(ISNUMBER(AS192),ISNUMBER(AR192)),IFERROR(AS192/AR192-1,""),"")</f>
        <v>0.0937180434421583</v>
      </c>
      <c r="AT197" s="256">
        <f>IF(AND(ISNUMBER(AT192),ISNUMBER(AS192)),IFERROR(AT192/AS192-1,""),"")</f>
        <v>0.0729796738331845</v>
      </c>
      <c r="AU197" s="256">
        <f>IF(AND(ISNUMBER(AU192),ISNUMBER(AT192)),IFERROR(AU192/AT192-1,""),"")</f>
        <v>0.0672111380391669</v>
      </c>
      <c r="AV197" s="153" t="n"/>
    </row>
    <row r="198" ht="15" customHeight="1" s="251">
      <c r="B198" s="25" t="inlineStr">
        <is>
          <t xml:space="preserve">  Incremental adjusted EBIT margin (Δ adjusted EBIT / Δ net sales)</t>
        </is>
      </c>
      <c r="C198" s="36" t="n"/>
      <c r="D198" s="215">
        <f>IFERROR((D192-C192)/(D150-C150),"")</f>
        <v>0.0703979210654535</v>
      </c>
      <c r="E198" s="215">
        <f>IFERROR((E192-D192)/(E150-D150),"")</f>
        <v>0.0388491662994539</v>
      </c>
      <c r="F198" s="215">
        <f>IFERROR((F192-E192)/(F150-E150),"")</f>
        <v>0.364304976709977</v>
      </c>
      <c r="G198" s="215">
        <f>IFERROR((G192-F192)/(G150-F150),"")</f>
        <v>0.411434584356363</v>
      </c>
      <c r="H198" s="215">
        <f>IFERROR((H192-G192)/(H150-G150),"")</f>
        <v>0.905681444991783</v>
      </c>
      <c r="I198" s="215">
        <f>IFERROR((I192-H192)/(I150-H150),"")</f>
        <v>0.359953443464229</v>
      </c>
      <c r="J198" s="215">
        <f>IFERROR((J192-I192)/(J150-I150),"")</f>
        <v>0.207819074951142</v>
      </c>
      <c r="K198" s="215">
        <f>IFERROR((K192-J192)/(K150-J150),"")</f>
        <v>0.1711995319715</v>
      </c>
      <c r="L198" s="215">
        <f>IFERROR((L192-K192)/(L150-K150),"")</f>
        <v>0.199816083770876</v>
      </c>
      <c r="M198" s="36" t="n"/>
      <c r="N198" s="36" t="n"/>
      <c r="O198" s="36" t="n"/>
      <c r="P198" s="36" t="n"/>
      <c r="Q198" s="215">
        <f>IFERROR((Q192-L192)/(Q150-L150),"")</f>
        <v>0.238415261394611</v>
      </c>
      <c r="R198" s="215">
        <f>IFERROR((R192-M192)/(R150-M150),"")</f>
        <v>-0.65591126796069</v>
      </c>
      <c r="S198" s="215">
        <f>IFERROR((S192-N192)/(S150-N150),"")</f>
        <v>-4.78216745197533</v>
      </c>
      <c r="T198" s="215">
        <f>IFERROR((T192-O192)/(T150-O150),"")</f>
        <v>-0.144301645940649</v>
      </c>
      <c r="U198" s="215">
        <f>IFERROR((U192-P192)/(U150-P150),"")</f>
        <v>-0.154993124785148</v>
      </c>
      <c r="V198" s="215">
        <f>IFERROR((V192-Q192)/(V150-Q150),"")</f>
        <v>-0.351428905211816</v>
      </c>
      <c r="W198" s="215">
        <f>IFERROR((W192-R192)/(W150-R150),"")</f>
        <v>-0.141082393260031</v>
      </c>
      <c r="X198" s="215">
        <f>IFERROR((X192-S192)/(X150-S150),"")</f>
        <v>0.208479543292103</v>
      </c>
      <c r="Y198" s="215">
        <f>IFERROR((Y192-T192)/(Y150-T150),"")</f>
        <v>0.316265141066168</v>
      </c>
      <c r="Z198" s="215">
        <f>IFERROR((Z192-U192)/(Z150-U150),"")</f>
        <v>0.327480899319162</v>
      </c>
      <c r="AA198" s="215">
        <f>IFERROR((AA192-V192)/(AA150-V150),"")</f>
        <v>0.226275725117342</v>
      </c>
      <c r="AB198" s="215">
        <f>IFERROR((AB192-W192)/(AB150-W150),"")</f>
        <v>0.455609686457162</v>
      </c>
      <c r="AC198" s="215">
        <f>IFERROR((AC192-X192)/(AC150-X150),"")</f>
        <v>0.407559186879423</v>
      </c>
      <c r="AD198" s="215">
        <f>IFERROR((AD192-Y192)/(AD150-Y150),"")</f>
        <v>0.308070175438595</v>
      </c>
      <c r="AE198" s="215">
        <f>IFERROR((AE192-Z192)/(AE150-Z150),"")</f>
        <v>0.116342452659589</v>
      </c>
      <c r="AF198" s="215">
        <f>IFERROR((AF192-AA192)/(AF150-AA150),"")</f>
        <v>0.360825321040903</v>
      </c>
      <c r="AG198" s="215">
        <f>IFERROR((AG192-AB192)/(AG150-AB150),"")</f>
        <v>0.867047483041773</v>
      </c>
      <c r="AH198" s="215">
        <f>IFERROR((AH192-AC192)/(AH150-AC150),"")</f>
        <v>0.0263016195170456</v>
      </c>
      <c r="AI198" s="215">
        <f>IFERROR((AI192-AD192)/(AI150-AD150),"")</f>
        <v>0.0789279494672222</v>
      </c>
      <c r="AJ198" s="215">
        <f>IFERROR((AJ192-AE192)/(AJ150-AE150),"")</f>
        <v>0.413024947434221</v>
      </c>
      <c r="AK198" s="215">
        <f>IFERROR((AK192-AF192)/(AK150-AF150),"")</f>
        <v>0.216699956757203</v>
      </c>
      <c r="AL198" s="215">
        <f>IFERROR((AL192-AG192)/(AL150-AG150),"")</f>
        <v>0.32100889915925</v>
      </c>
      <c r="AM198" s="215">
        <f>IFERROR((AM192-AH192)/(AM150-AH150),"")</f>
        <v>0.237272819526527</v>
      </c>
      <c r="AN198" s="215">
        <f>IFERROR((AN192-AI192)/(AN150-AI150),"")</f>
        <v>0.410585867321462</v>
      </c>
      <c r="AO198" s="256">
        <f>IFERROR((AO192-AJ192)/(AO150-AJ150),"")</f>
        <v>0.240335762448782</v>
      </c>
      <c r="AP198" s="256">
        <f>IFERROR((AP192-AK192)/(AP150-AK150),"")</f>
        <v>0.306168932288271</v>
      </c>
      <c r="AQ198" s="256">
        <f>IFERROR((AQ192-AP192)/(AQ150-AP150),"")</f>
        <v>0.245785514397343</v>
      </c>
      <c r="AR198" s="256">
        <f>IFERROR((AR192-AQ192)/(AR150-AQ150),"")</f>
        <v>0.234740927239785</v>
      </c>
      <c r="AS198" s="256">
        <f>IFERROR((AS192-AR192)/(AS150-AR150),"")</f>
        <v>0.250434392688786</v>
      </c>
      <c r="AT198" s="256">
        <f>IFERROR((AT192-AS192)/(AT150-AS150),"")</f>
        <v>0.23614967081654</v>
      </c>
      <c r="AU198" s="256">
        <f>IFERROR((AU192-AT192)/(AU150-AT150),"")</f>
        <v>0.235098437296424</v>
      </c>
      <c r="AV198" s="153" t="n"/>
    </row>
    <row r="199" ht="15" customHeight="1" s="251">
      <c r="BD199" s="11" t="n"/>
      <c r="BE199" s="12" t="n"/>
      <c r="BF199" s="12" t="n"/>
      <c r="BG199" s="12" t="n"/>
      <c r="BH199" s="13" t="n"/>
    </row>
    <row r="200" ht="15" customHeight="1" s="251">
      <c r="B200" s="10" t="inlineStr">
        <is>
          <t>RECONCILIATION: NET EARNINGS → EBIT → EBITDA → ADJUSTED EBITDA (company definitions, as published)</t>
        </is>
      </c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inlineStr">
        <is>
          <t>EBITDA — net earnings + income taxes + interest expense − interest income = EBIT; + depreciation + amortization = EBITDA; + adjusting items not already in D&amp;A = adjusted EBITDA</t>
        </is>
      </c>
    </row>
    <row r="201" ht="15" customHeight="1" s="251">
      <c r="B201" s="16" t="inlineStr">
        <is>
          <t>Net earnings (GAAP)</t>
        </is>
      </c>
      <c r="C201" s="261">
        <f>C167</f>
        <v>132.235</v>
      </c>
      <c r="D201" s="261">
        <f>D167</f>
        <v>141.589</v>
      </c>
      <c r="E201" s="261">
        <f>E167</f>
        <v>145.942</v>
      </c>
      <c r="F201" s="261">
        <f>F167</f>
        <v>165.844</v>
      </c>
      <c r="G201" s="261">
        <f>G167</f>
        <v>181.452</v>
      </c>
      <c r="H201" s="261">
        <f>H167</f>
        <v>180.838</v>
      </c>
      <c r="I201" s="261">
        <f>I167</f>
        <v>200.507</v>
      </c>
      <c r="J201" s="261">
        <f>J167</f>
        <v>180.378</v>
      </c>
      <c r="K201" s="261">
        <f>K167</f>
        <v>259.602</v>
      </c>
      <c r="L201" s="261">
        <f>L167</f>
        <v>240.395</v>
      </c>
      <c r="M201" s="261">
        <f>M167</f>
        <v>41.5700000000001</v>
      </c>
      <c r="N201" s="261">
        <f>N167</f>
        <v>68.3130000000001</v>
      </c>
      <c r="O201" s="261">
        <f>O167</f>
        <v>48.861</v>
      </c>
      <c r="P201" s="261">
        <f>P167</f>
        <v>49.905</v>
      </c>
      <c r="Q201" s="261">
        <f>Q167</f>
        <v>208.649</v>
      </c>
      <c r="R201" s="261">
        <f>R167</f>
        <v>30.305</v>
      </c>
      <c r="S201" s="261">
        <f>S167</f>
        <v>47.9060000000001</v>
      </c>
      <c r="T201" s="261">
        <f>T167</f>
        <v>39.446</v>
      </c>
      <c r="U201" s="261">
        <f>U167</f>
        <v>54.041</v>
      </c>
      <c r="V201" s="261">
        <f>V167</f>
        <v>171.698</v>
      </c>
      <c r="W201" s="261">
        <f>W167</f>
        <v>29.606</v>
      </c>
      <c r="X201" s="261">
        <f>X167</f>
        <v>35.5110000000001</v>
      </c>
      <c r="Y201" s="261">
        <f>Y167</f>
        <v>84.5990000000001</v>
      </c>
      <c r="Z201" s="261">
        <f>Z167</f>
        <v>82.6520000000001</v>
      </c>
      <c r="AA201" s="261">
        <f>AA167</f>
        <v>232.368</v>
      </c>
      <c r="AB201" s="261">
        <f>AB167</f>
        <v>90.044</v>
      </c>
      <c r="AC201" s="261">
        <f>AC167</f>
        <v>97.556</v>
      </c>
      <c r="AD201" s="261">
        <f>AD167</f>
        <v>102.075</v>
      </c>
      <c r="AE201" s="261">
        <f>AE167</f>
        <v>83.2960000000001</v>
      </c>
      <c r="AF201" s="261">
        <f>AF167</f>
        <v>372.971</v>
      </c>
      <c r="AG201" s="261">
        <f>AG167</f>
        <v>87.091</v>
      </c>
      <c r="AH201" s="261">
        <f>AH167</f>
        <v>108.949</v>
      </c>
      <c r="AI201" s="261">
        <f>AI167</f>
        <v>108.448</v>
      </c>
      <c r="AJ201" s="261">
        <f>AJ167</f>
        <v>137.623</v>
      </c>
      <c r="AK201" s="261">
        <f>AK167</f>
        <v>442.111</v>
      </c>
      <c r="AL201" s="261">
        <f>AL167</f>
        <v>133.719</v>
      </c>
      <c r="AM201" s="261">
        <f>AM167</f>
        <v>134.013</v>
      </c>
      <c r="AN201" s="261">
        <f>AN167</f>
        <v>146.675</v>
      </c>
      <c r="AO201" s="262">
        <f>AO167</f>
        <v>143.481690404794</v>
      </c>
      <c r="AP201" s="262">
        <f>AP167</f>
        <v>557.888690404794</v>
      </c>
      <c r="AQ201" s="262">
        <f>AQ167</f>
        <v>739.51514736545</v>
      </c>
      <c r="AR201" s="262">
        <f>AR167</f>
        <v>685.100788304822</v>
      </c>
      <c r="AS201" s="262">
        <f>AS167</f>
        <v>761.47328051506</v>
      </c>
      <c r="AT201" s="262">
        <f>AT167</f>
        <v>816.008784195457</v>
      </c>
      <c r="AU201" s="262">
        <f>AU167</f>
        <v>870.681814189077</v>
      </c>
      <c r="AV201" s="153" t="n"/>
    </row>
    <row r="202" ht="15" customHeight="1" s="251">
      <c r="B202" s="25" t="inlineStr">
        <is>
          <t xml:space="preserve">  (+) Income taxes</t>
        </is>
      </c>
      <c r="C202" s="263">
        <f>C165</f>
        <v>55.332</v>
      </c>
      <c r="D202" s="263">
        <f>D165</f>
        <v>56.218</v>
      </c>
      <c r="E202" s="263">
        <f>E165</f>
        <v>53.629</v>
      </c>
      <c r="F202" s="263">
        <f>F165</f>
        <v>61.4</v>
      </c>
      <c r="G202" s="263">
        <f>G165</f>
        <v>59.497</v>
      </c>
      <c r="H202" s="263">
        <f>H165</f>
        <v>45.648</v>
      </c>
      <c r="I202" s="263">
        <f>I165</f>
        <v>52.24</v>
      </c>
      <c r="J202" s="263">
        <f>J165</f>
        <v>39.2</v>
      </c>
      <c r="K202" s="263">
        <f>K165</f>
        <v>61.01</v>
      </c>
      <c r="L202" s="263">
        <f>L165</f>
        <v>41.486</v>
      </c>
      <c r="M202" s="263">
        <f>M165</f>
        <v>6.014</v>
      </c>
      <c r="N202" s="263">
        <f>N165</f>
        <v>10.174</v>
      </c>
      <c r="O202" s="263">
        <f>O165</f>
        <v>9.837</v>
      </c>
      <c r="P202" s="263">
        <f>P165</f>
        <v>11.125</v>
      </c>
      <c r="Q202" s="263">
        <f>Q165</f>
        <v>37.15</v>
      </c>
      <c r="R202" s="263">
        <f>R165</f>
        <v>7.441</v>
      </c>
      <c r="S202" s="263">
        <f>S165</f>
        <v>6.19</v>
      </c>
      <c r="T202" s="263">
        <f>T165</f>
        <v>10.841</v>
      </c>
      <c r="U202" s="263">
        <f>U165</f>
        <v>3.728</v>
      </c>
      <c r="V202" s="263">
        <f>V165</f>
        <v>28.2</v>
      </c>
      <c r="W202" s="263">
        <f>W165</f>
        <v>2.143</v>
      </c>
      <c r="X202" s="263">
        <f>X165</f>
        <v>4.73</v>
      </c>
      <c r="Y202" s="263">
        <f>Y165</f>
        <v>21.139</v>
      </c>
      <c r="Z202" s="263">
        <f>Z165</f>
        <v>15.388</v>
      </c>
      <c r="AA202" s="263">
        <f>AA165</f>
        <v>43.4</v>
      </c>
      <c r="AB202" s="263">
        <f>AB165</f>
        <v>19.676</v>
      </c>
      <c r="AC202" s="263">
        <f>AC165</f>
        <v>23.068</v>
      </c>
      <c r="AD202" s="263">
        <f>AD165</f>
        <v>20.021</v>
      </c>
      <c r="AE202" s="263">
        <f>AE165</f>
        <v>18.235</v>
      </c>
      <c r="AF202" s="263">
        <f>AF165</f>
        <v>81</v>
      </c>
      <c r="AG202" s="263">
        <f>AG165</f>
        <v>14.763</v>
      </c>
      <c r="AH202" s="263">
        <f>AH165</f>
        <v>24.014</v>
      </c>
      <c r="AI202" s="263">
        <f>AI165</f>
        <v>18.388</v>
      </c>
      <c r="AJ202" s="263">
        <f>AJ165</f>
        <v>22.135</v>
      </c>
      <c r="AK202" s="263">
        <f>AK165</f>
        <v>79.3</v>
      </c>
      <c r="AL202" s="263">
        <f>AL165</f>
        <v>35.432</v>
      </c>
      <c r="AM202" s="263">
        <f>AM165</f>
        <v>33.414</v>
      </c>
      <c r="AN202" s="263">
        <f>AN165</f>
        <v>46.837</v>
      </c>
      <c r="AO202" s="254">
        <f>AO165</f>
        <v>45.3100074962507</v>
      </c>
      <c r="AP202" s="254">
        <f>AP165</f>
        <v>160.993007496251</v>
      </c>
      <c r="AQ202" s="254">
        <f>AQ165</f>
        <v>214.697946009324</v>
      </c>
      <c r="AR202" s="254">
        <f>AR165</f>
        <v>198.90022886269</v>
      </c>
      <c r="AS202" s="254">
        <f>AS165</f>
        <v>221.072887891469</v>
      </c>
      <c r="AT202" s="254">
        <f>AT165</f>
        <v>236.905776056746</v>
      </c>
      <c r="AU202" s="254">
        <f>AU165</f>
        <v>252.778591216184</v>
      </c>
      <c r="AV202" s="19" t="n"/>
    </row>
    <row r="203" ht="15" customHeight="1" s="251">
      <c r="B203" s="25" t="inlineStr">
        <is>
          <t xml:space="preserve">  (+) Interest expense</t>
        </is>
      </c>
      <c r="C203" s="263">
        <f>C162</f>
        <v>25.399</v>
      </c>
      <c r="D203" s="263">
        <f>D162</f>
        <v>26.003</v>
      </c>
      <c r="E203" s="263">
        <f>E162</f>
        <v>26.703</v>
      </c>
      <c r="F203" s="263">
        <f>F162</f>
        <v>22.804</v>
      </c>
      <c r="G203" s="263">
        <f>G162</f>
        <v>24.864</v>
      </c>
      <c r="H203" s="263">
        <f>H162</f>
        <v>26.776</v>
      </c>
      <c r="I203" s="263">
        <f>I162</f>
        <v>27.43</v>
      </c>
      <c r="J203" s="263">
        <f>J162</f>
        <v>31.77</v>
      </c>
      <c r="K203" s="263">
        <f>K162</f>
        <v>44.001</v>
      </c>
      <c r="L203" s="263">
        <f>L162</f>
        <v>35.811</v>
      </c>
      <c r="M203" s="263">
        <f>M162</f>
        <v>8.906</v>
      </c>
      <c r="N203" s="263">
        <f>N162</f>
        <v>8.249</v>
      </c>
      <c r="O203" s="263">
        <f>O162</f>
        <v>8.397</v>
      </c>
      <c r="P203" s="263">
        <f>P162</f>
        <v>8.73</v>
      </c>
      <c r="Q203" s="263">
        <f>Q162</f>
        <v>34.282</v>
      </c>
      <c r="R203" s="263">
        <f>R162</f>
        <v>8.306</v>
      </c>
      <c r="S203" s="263">
        <f>S162</f>
        <v>8.197</v>
      </c>
      <c r="T203" s="263">
        <f>T162</f>
        <v>8.533</v>
      </c>
      <c r="U203" s="263">
        <f>U162</f>
        <v>9.509</v>
      </c>
      <c r="V203" s="263">
        <f>V162</f>
        <v>34.545</v>
      </c>
      <c r="W203" s="263">
        <f>W162</f>
        <v>11.142</v>
      </c>
      <c r="X203" s="263">
        <f>X162</f>
        <v>12.845</v>
      </c>
      <c r="Y203" s="263">
        <f>Y162</f>
        <v>12.175</v>
      </c>
      <c r="Z203" s="263">
        <f>Z162</f>
        <v>11.736</v>
      </c>
      <c r="AA203" s="263">
        <f>AA162</f>
        <v>47.898</v>
      </c>
      <c r="AB203" s="263">
        <f>AB162</f>
        <v>11.436</v>
      </c>
      <c r="AC203" s="263">
        <f>AC162</f>
        <v>11.53</v>
      </c>
      <c r="AD203" s="263">
        <f>AD162</f>
        <v>11.516</v>
      </c>
      <c r="AE203" s="263">
        <f>AE162</f>
        <v>13.477</v>
      </c>
      <c r="AF203" s="263">
        <f>AF162</f>
        <v>47.959</v>
      </c>
      <c r="AG203" s="263">
        <f>AG162</f>
        <v>12.341</v>
      </c>
      <c r="AH203" s="263">
        <f>AH162</f>
        <v>11.889</v>
      </c>
      <c r="AI203" s="263">
        <f>AI162</f>
        <v>11.234</v>
      </c>
      <c r="AJ203" s="263">
        <f>AJ162</f>
        <v>10.225</v>
      </c>
      <c r="AK203" s="263">
        <f>AK162</f>
        <v>45.689</v>
      </c>
      <c r="AL203" s="263">
        <f>AL162</f>
        <v>10.344</v>
      </c>
      <c r="AM203" s="263">
        <f>AM162</f>
        <v>12.035</v>
      </c>
      <c r="AN203" s="263">
        <f>AN162</f>
        <v>14.827</v>
      </c>
      <c r="AO203" s="254">
        <f>AO162</f>
        <v>15.5</v>
      </c>
      <c r="AP203" s="254">
        <f>AP162</f>
        <v>52.706</v>
      </c>
      <c r="AQ203" s="254">
        <f>AQ162</f>
        <v>61.9516242525961</v>
      </c>
      <c r="AR203" s="254">
        <f>AR162</f>
        <v>76.1533180485222</v>
      </c>
      <c r="AS203" s="254">
        <f>AS162</f>
        <v>84.0164667687795</v>
      </c>
      <c r="AT203" s="254">
        <f>AT162</f>
        <v>91.5000640956285</v>
      </c>
      <c r="AU203" s="254">
        <f>AU162</f>
        <v>97.8850704612618</v>
      </c>
      <c r="AV203" s="19" t="n"/>
    </row>
    <row r="204" ht="15" customHeight="1" s="251">
      <c r="B204" s="25" t="inlineStr">
        <is>
          <t xml:space="preserve">  (−) Interest income</t>
        </is>
      </c>
      <c r="C204" s="263">
        <f>-C163</f>
        <v>-0.534</v>
      </c>
      <c r="D204" s="263">
        <f>-D163</f>
        <v>-0.542</v>
      </c>
      <c r="E204" s="263">
        <f>-E163</f>
        <v>-0.273</v>
      </c>
      <c r="F204" s="263">
        <f>-F163</f>
        <v>-0.271</v>
      </c>
      <c r="G204" s="263">
        <f>-G163</f>
        <v>-0.787</v>
      </c>
      <c r="H204" s="263">
        <f>-H163</f>
        <v>-2.025</v>
      </c>
      <c r="I204" s="263">
        <f>-I163</f>
        <v>-1.725</v>
      </c>
      <c r="J204" s="263">
        <f>-J163</f>
        <v>-1.674</v>
      </c>
      <c r="K204" s="263">
        <f>-K163</f>
        <v>-1.413</v>
      </c>
      <c r="L204" s="263">
        <f>-L163</f>
        <v>-1.764</v>
      </c>
      <c r="M204" s="263">
        <f>-M163</f>
        <v>-0.495</v>
      </c>
      <c r="N204" s="263">
        <f>-N163</f>
        <v>-0.283</v>
      </c>
      <c r="O204" s="263">
        <f>-O163</f>
        <v>-0.308</v>
      </c>
      <c r="P204" s="263">
        <f>-P163</f>
        <v>-0.409</v>
      </c>
      <c r="Q204" s="263">
        <f>-Q163</f>
        <v>-1.495</v>
      </c>
      <c r="R204" s="263">
        <f>-R163</f>
        <v>-0.641</v>
      </c>
      <c r="S204" s="263">
        <f>-S163</f>
        <v>-0.5</v>
      </c>
      <c r="T204" s="263">
        <f>-T163</f>
        <v>-0.353</v>
      </c>
      <c r="U204" s="263">
        <f>-U163</f>
        <v>-0.32</v>
      </c>
      <c r="V204" s="263">
        <f>-V163</f>
        <v>-1.814</v>
      </c>
      <c r="W204" s="263">
        <f>-W163</f>
        <v>-0.366</v>
      </c>
      <c r="X204" s="263">
        <f>-X163</f>
        <v>-0.508</v>
      </c>
      <c r="Y204" s="263">
        <f>-Y163</f>
        <v>-0.516</v>
      </c>
      <c r="Z204" s="263">
        <f>-Z163</f>
        <v>-1.361</v>
      </c>
      <c r="AA204" s="263">
        <f>-AA163</f>
        <v>-2.751</v>
      </c>
      <c r="AB204" s="263">
        <f>-AB163</f>
        <v>-1.473</v>
      </c>
      <c r="AC204" s="263">
        <f>-AC163</f>
        <v>-1.293</v>
      </c>
      <c r="AD204" s="263">
        <f>-AD163</f>
        <v>-1.728</v>
      </c>
      <c r="AE204" s="263">
        <f>-AE163</f>
        <v>-1.964</v>
      </c>
      <c r="AF204" s="263">
        <f>-AF163</f>
        <v>-6.458</v>
      </c>
      <c r="AG204" s="263">
        <f>-AG163</f>
        <v>-1.377</v>
      </c>
      <c r="AH204" s="263">
        <f>-AH163</f>
        <v>-1.021</v>
      </c>
      <c r="AI204" s="263">
        <f>-AI163</f>
        <v>-0.838</v>
      </c>
      <c r="AJ204" s="263">
        <f>-AJ163</f>
        <v>-0.953</v>
      </c>
      <c r="AK204" s="263">
        <f>-AK163</f>
        <v>-4.189</v>
      </c>
      <c r="AL204" s="263">
        <f>-AL163</f>
        <v>-0.701</v>
      </c>
      <c r="AM204" s="263">
        <f>-AM163</f>
        <v>-0.715</v>
      </c>
      <c r="AN204" s="263">
        <f>-AN163</f>
        <v>-0.611</v>
      </c>
      <c r="AO204" s="254">
        <f>-AO163</f>
        <v>-0.6</v>
      </c>
      <c r="AP204" s="254">
        <f>-AP163</f>
        <v>-2.627</v>
      </c>
      <c r="AQ204" s="254">
        <f>-AQ163</f>
        <v>-1.8</v>
      </c>
      <c r="AR204" s="254">
        <f>-AR163</f>
        <v>-1.8</v>
      </c>
      <c r="AS204" s="254">
        <f>-AS163</f>
        <v>-1.8</v>
      </c>
      <c r="AT204" s="254">
        <f>-AT163</f>
        <v>-1.8</v>
      </c>
      <c r="AU204" s="254">
        <f>-AU163</f>
        <v>-1.8</v>
      </c>
      <c r="AV204" s="19" t="n"/>
    </row>
    <row r="205" ht="15" customHeight="1" s="251">
      <c r="B205" s="16" t="inlineStr">
        <is>
          <t xml:space="preserve">  = EBIT</t>
        </is>
      </c>
      <c r="C205" s="261">
        <f>IF(ISNUMBER(C201),C201+C202+C203+C204,"")</f>
        <v>212.432</v>
      </c>
      <c r="D205" s="261">
        <f>IF(ISNUMBER(D201),D201+D202+D203+D204,"")</f>
        <v>223.268</v>
      </c>
      <c r="E205" s="261">
        <f>IF(ISNUMBER(E201),E201+E202+E203+E204,"")</f>
        <v>226.001</v>
      </c>
      <c r="F205" s="261">
        <f>IF(ISNUMBER(F201),F201+F202+F203+F204,"")</f>
        <v>249.777</v>
      </c>
      <c r="G205" s="261">
        <f>IF(ISNUMBER(G201),G201+G202+G203+G204,"")</f>
        <v>265.026</v>
      </c>
      <c r="H205" s="261">
        <f>IF(ISNUMBER(H201),H201+H202+H203+H204,"")</f>
        <v>251.237</v>
      </c>
      <c r="I205" s="261">
        <f>IF(ISNUMBER(I201),I201+I202+I203+I204,"")</f>
        <v>278.452</v>
      </c>
      <c r="J205" s="261">
        <f>IF(ISNUMBER(J201),J201+J202+J203+J204,"")</f>
        <v>249.674</v>
      </c>
      <c r="K205" s="261">
        <f>IF(ISNUMBER(K201),K201+K202+K203+K204,"")</f>
        <v>363.2</v>
      </c>
      <c r="L205" s="261">
        <f>IF(ISNUMBER(L201),L201+L202+L203+L204,"")</f>
        <v>315.928</v>
      </c>
      <c r="M205" s="261">
        <f>IF(ISNUMBER(M201),M201+M202+M203+M204,"")</f>
        <v>55.9950000000001</v>
      </c>
      <c r="N205" s="261">
        <f>IF(ISNUMBER(N201),N201+N202+N203+N204,"")</f>
        <v>86.4530000000001</v>
      </c>
      <c r="O205" s="261">
        <f>IF(ISNUMBER(O201),O201+O202+O203+O204,"")</f>
        <v>66.787</v>
      </c>
      <c r="P205" s="261">
        <f>IF(ISNUMBER(P201),P201+P202+P203+P204,"")</f>
        <v>69.3509999999999</v>
      </c>
      <c r="Q205" s="261">
        <f>IF(ISNUMBER(Q201),Q201+Q202+Q203+Q204,"")</f>
        <v>278.586</v>
      </c>
      <c r="R205" s="261">
        <f>IF(ISNUMBER(R201),R201+R202+R203+R204,"")</f>
        <v>45.411</v>
      </c>
      <c r="S205" s="261">
        <f>IF(ISNUMBER(S201),S201+S202+S203+S204,"")</f>
        <v>61.7930000000001</v>
      </c>
      <c r="T205" s="261">
        <f>IF(ISNUMBER(T201),T201+T202+T203+T204,"")</f>
        <v>58.467</v>
      </c>
      <c r="U205" s="261">
        <f>IF(ISNUMBER(U201),U201+U202+U203+U204,"")</f>
        <v>66.9580000000001</v>
      </c>
      <c r="V205" s="261">
        <f>IF(ISNUMBER(V201),V201+V202+V203+V204,"")</f>
        <v>232.629</v>
      </c>
      <c r="W205" s="261">
        <f>IF(ISNUMBER(W201),W201+W202+W203+W204,"")</f>
        <v>42.525</v>
      </c>
      <c r="X205" s="261">
        <f>IF(ISNUMBER(X201),X201+X202+X203+X204,"")</f>
        <v>52.5780000000001</v>
      </c>
      <c r="Y205" s="261">
        <f>IF(ISNUMBER(Y201),Y201+Y202+Y203+Y204,"")</f>
        <v>117.397</v>
      </c>
      <c r="Z205" s="261">
        <f>IF(ISNUMBER(Z201),Z201+Z202+Z203+Z204,"")</f>
        <v>108.415</v>
      </c>
      <c r="AA205" s="261">
        <f>IF(ISNUMBER(AA201),AA201+AA202+AA203+AA204,"")</f>
        <v>320.915</v>
      </c>
      <c r="AB205" s="261">
        <f>IF(ISNUMBER(AB201),AB201+AB202+AB203+AB204,"")</f>
        <v>119.683</v>
      </c>
      <c r="AC205" s="261">
        <f>IF(ISNUMBER(AC201),AC201+AC202+AC203+AC204,"")</f>
        <v>130.861</v>
      </c>
      <c r="AD205" s="261">
        <f>IF(ISNUMBER(AD201),AD201+AD202+AD203+AD204,"")</f>
        <v>131.884</v>
      </c>
      <c r="AE205" s="261">
        <f>IF(ISNUMBER(AE201),AE201+AE202+AE203+AE204,"")</f>
        <v>113.044</v>
      </c>
      <c r="AF205" s="261">
        <f>IF(ISNUMBER(AF201),AF201+AF202+AF203+AF204,"")</f>
        <v>495.472</v>
      </c>
      <c r="AG205" s="261">
        <f>IF(ISNUMBER(AG201),AG201+AG202+AG203+AG204,"")</f>
        <v>112.818</v>
      </c>
      <c r="AH205" s="261">
        <f>IF(ISNUMBER(AH201),AH201+AH202+AH203+AH204,"")</f>
        <v>143.831</v>
      </c>
      <c r="AI205" s="261">
        <f>IF(ISNUMBER(AI201),AI201+AI202+AI203+AI204,"")</f>
        <v>137.232</v>
      </c>
      <c r="AJ205" s="261">
        <f>IF(ISNUMBER(AJ201),AJ201+AJ202+AJ203+AJ204,"")</f>
        <v>169.03</v>
      </c>
      <c r="AK205" s="261">
        <f>IF(ISNUMBER(AK201),AK201+AK202+AK203+AK204,"")</f>
        <v>562.911</v>
      </c>
      <c r="AL205" s="261">
        <f>IF(ISNUMBER(AL201),AL201+AL202+AL203+AL204,"")</f>
        <v>178.794</v>
      </c>
      <c r="AM205" s="261">
        <f>IF(ISNUMBER(AM201),AM201+AM202+AM203+AM204,"")</f>
        <v>178.747</v>
      </c>
      <c r="AN205" s="261">
        <f>IF(ISNUMBER(AN201),AN201+AN202+AN203+AN204,"")</f>
        <v>207.728</v>
      </c>
      <c r="AO205" s="262">
        <f>IF(ISNUMBER(AO201),AO201+AO202+AO203+AO204,"")</f>
        <v>203.691697901044</v>
      </c>
      <c r="AP205" s="262">
        <f>IF(ISNUMBER(AP201),AP201+AP202+AP203+AP204,"")</f>
        <v>768.960697901045</v>
      </c>
      <c r="AQ205" s="262">
        <f>IF(ISNUMBER(AQ201),AQ201+AQ202+AQ203+AQ204,"")</f>
        <v>1014.36471762737</v>
      </c>
      <c r="AR205" s="262">
        <f>IF(ISNUMBER(AR201),AR201+AR202+AR203+AR204,"")</f>
        <v>958.354335216035</v>
      </c>
      <c r="AS205" s="262">
        <f>IF(ISNUMBER(AS201),AS201+AS202+AS203+AS204,"")</f>
        <v>1064.76263517531</v>
      </c>
      <c r="AT205" s="262">
        <f>IF(ISNUMBER(AT201),AT201+AT202+AT203+AT204,"")</f>
        <v>1142.61462434783</v>
      </c>
      <c r="AU205" s="262">
        <f>IF(ISNUMBER(AU201),AU201+AU202+AU203+AU204,"")</f>
        <v>1219.54547586652</v>
      </c>
      <c r="AV205" s="153" t="n"/>
    </row>
    <row r="206" ht="15" customHeight="1" s="251">
      <c r="B206" s="156" t="inlineStr">
        <is>
          <t xml:space="preserve">  Company-published EBIT</t>
        </is>
      </c>
      <c r="C206" s="253" t="n">
        <v>212.432</v>
      </c>
      <c r="D206" s="253" t="n">
        <v>223.268</v>
      </c>
      <c r="E206" s="253" t="n">
        <v>226.001</v>
      </c>
      <c r="F206" s="253" t="n">
        <v>249.777</v>
      </c>
      <c r="G206" s="253" t="n">
        <v>265.026</v>
      </c>
      <c r="H206" s="253" t="n">
        <v>251.237</v>
      </c>
      <c r="I206" s="253" t="n">
        <v>278.452</v>
      </c>
      <c r="J206" s="253" t="n">
        <v>249.674</v>
      </c>
      <c r="K206" s="253" t="n">
        <v>363.2</v>
      </c>
      <c r="L206" s="253" t="n">
        <v>315.928</v>
      </c>
      <c r="M206" s="253" t="n">
        <v>55.995</v>
      </c>
      <c r="N206" s="253" t="n">
        <v>86.453</v>
      </c>
      <c r="O206" s="253" t="n">
        <v>66.78700000000001</v>
      </c>
      <c r="P206" s="253" t="n">
        <v>69.351</v>
      </c>
      <c r="Q206" s="253" t="n">
        <v>278.586</v>
      </c>
      <c r="R206" s="253" t="n">
        <v>45.411</v>
      </c>
      <c r="S206" s="253" t="n">
        <v>61.793</v>
      </c>
      <c r="T206" s="253" t="n">
        <v>58.467</v>
      </c>
      <c r="U206" s="253" t="n">
        <v>66.958</v>
      </c>
      <c r="V206" s="253" t="n">
        <v>232.629</v>
      </c>
      <c r="W206" s="253" t="n">
        <v>42.525</v>
      </c>
      <c r="X206" s="253" t="n">
        <v>52.578</v>
      </c>
      <c r="Y206" s="253" t="n">
        <v>117.397</v>
      </c>
      <c r="Z206" s="253" t="n">
        <v>108.415</v>
      </c>
      <c r="AA206" s="253" t="n">
        <v>320.915</v>
      </c>
      <c r="AB206" s="253" t="n">
        <v>119.683</v>
      </c>
      <c r="AC206" s="253" t="n">
        <v>130.861</v>
      </c>
      <c r="AD206" s="253" t="n">
        <v>131.884</v>
      </c>
      <c r="AE206" s="253" t="n">
        <v>113.044</v>
      </c>
      <c r="AF206" s="253" t="n">
        <v>495.472</v>
      </c>
      <c r="AG206" s="253" t="n">
        <v>112.818</v>
      </c>
      <c r="AH206" s="253" t="n">
        <v>143.831</v>
      </c>
      <c r="AI206" s="253" t="n">
        <v>137.232</v>
      </c>
      <c r="AJ206" s="253" t="n">
        <v>169.03</v>
      </c>
      <c r="AK206" s="253" t="n">
        <v>562.9109999999999</v>
      </c>
      <c r="AL206" s="253" t="n">
        <v>178.794</v>
      </c>
      <c r="AM206" s="253" t="n">
        <v>178.747</v>
      </c>
      <c r="AN206" s="253" t="n">
        <v>207.728</v>
      </c>
      <c r="AO206" s="153" t="n"/>
      <c r="AP206" s="153" t="n"/>
      <c r="AQ206" s="153" t="n"/>
      <c r="AR206" s="153" t="n"/>
      <c r="AS206" s="153" t="n"/>
      <c r="AT206" s="153" t="n"/>
      <c r="AU206" s="153" t="n"/>
      <c r="AV206" s="153" t="n"/>
    </row>
    <row r="207" ht="15" customHeight="1" s="251">
      <c r="B207" s="57" t="inlineStr">
        <is>
          <t xml:space="preserve">  Check: model vs company-published EBIT (should be 0)</t>
        </is>
      </c>
      <c r="C207" s="263">
        <f>IF(ISNUMBER(C206),IF(ABS(C205-C206)&lt;=0.15,0,ROUND(C205-C206,1)),"n/p")</f>
        <v>0</v>
      </c>
      <c r="D207" s="263">
        <f>IF(ISNUMBER(D206),IF(ABS(D205-D206)&lt;=0.15,0,ROUND(D205-D206,1)),"n/p")</f>
        <v>0</v>
      </c>
      <c r="E207" s="263">
        <f>IF(ISNUMBER(E206),IF(ABS(E205-E206)&lt;=0.15,0,ROUND(E205-E206,1)),"n/p")</f>
        <v>0</v>
      </c>
      <c r="F207" s="263">
        <f>IF(ISNUMBER(F206),IF(ABS(F205-F206)&lt;=0.15,0,ROUND(F205-F206,1)),"n/p")</f>
        <v>0</v>
      </c>
      <c r="G207" s="263">
        <f>IF(ISNUMBER(G206),IF(ABS(G205-G206)&lt;=0.15,0,ROUND(G205-G206,1)),"n/p")</f>
        <v>0</v>
      </c>
      <c r="H207" s="263">
        <f>IF(ISNUMBER(H206),IF(ABS(H205-H206)&lt;=0.15,0,ROUND(H205-H206,1)),"n/p")</f>
        <v>0</v>
      </c>
      <c r="I207" s="263">
        <f>IF(ISNUMBER(I206),IF(ABS(I205-I206)&lt;=0.15,0,ROUND(I205-I206,1)),"n/p")</f>
        <v>0</v>
      </c>
      <c r="J207" s="263">
        <f>IF(ISNUMBER(J206),IF(ABS(J205-J206)&lt;=0.15,0,ROUND(J205-J206,1)),"n/p")</f>
        <v>0</v>
      </c>
      <c r="K207" s="263">
        <f>IF(ISNUMBER(K206),IF(ABS(K205-K206)&lt;=0.15,0,ROUND(K205-K206,1)),"n/p")</f>
        <v>0</v>
      </c>
      <c r="L207" s="263">
        <f>IF(ISNUMBER(L206),IF(ABS(L205-L206)&lt;=0.15,0,ROUND(L205-L206,1)),"n/p")</f>
        <v>0</v>
      </c>
      <c r="M207" s="263">
        <f>IF(ISNUMBER(M206),IF(ABS(M205-M206)&lt;=0.15,0,ROUND(M205-M206,1)),"n/p")</f>
        <v>0</v>
      </c>
      <c r="N207" s="263">
        <f>IF(ISNUMBER(N206),IF(ABS(N205-N206)&lt;=0.15,0,ROUND(N205-N206,1)),"n/p")</f>
        <v>0</v>
      </c>
      <c r="O207" s="263">
        <f>IF(ISNUMBER(O206),IF(ABS(O205-O206)&lt;=0.15,0,ROUND(O205-O206,1)),"n/p")</f>
        <v>0</v>
      </c>
      <c r="P207" s="263">
        <f>IF(ISNUMBER(P206),IF(ABS(P205-P206)&lt;=0.15,0,ROUND(P205-P206,1)),"n/p")</f>
        <v>0</v>
      </c>
      <c r="Q207" s="263">
        <f>IF(ISNUMBER(Q206),IF(ABS(Q205-Q206)&lt;=0.15,0,ROUND(Q205-Q206,1)),"n/p")</f>
        <v>0</v>
      </c>
      <c r="R207" s="263">
        <f>IF(ISNUMBER(R206),IF(ABS(R205-R206)&lt;=0.15,0,ROUND(R205-R206,1)),"n/p")</f>
        <v>0</v>
      </c>
      <c r="S207" s="263">
        <f>IF(ISNUMBER(S206),IF(ABS(S205-S206)&lt;=0.15,0,ROUND(S205-S206,1)),"n/p")</f>
        <v>0</v>
      </c>
      <c r="T207" s="263">
        <f>IF(ISNUMBER(T206),IF(ABS(T205-T206)&lt;=0.15,0,ROUND(T205-T206,1)),"n/p")</f>
        <v>0</v>
      </c>
      <c r="U207" s="263">
        <f>IF(ISNUMBER(U206),IF(ABS(U205-U206)&lt;=0.15,0,ROUND(U205-U206,1)),"n/p")</f>
        <v>0</v>
      </c>
      <c r="V207" s="263">
        <f>IF(ISNUMBER(V206),IF(ABS(V205-V206)&lt;=0.15,0,ROUND(V205-V206,1)),"n/p")</f>
        <v>0</v>
      </c>
      <c r="W207" s="263">
        <f>IF(ISNUMBER(W206),IF(ABS(W205-W206)&lt;=0.15,0,ROUND(W205-W206,1)),"n/p")</f>
        <v>0</v>
      </c>
      <c r="X207" s="263">
        <f>IF(ISNUMBER(X206),IF(ABS(X205-X206)&lt;=0.15,0,ROUND(X205-X206,1)),"n/p")</f>
        <v>0</v>
      </c>
      <c r="Y207" s="263">
        <f>IF(ISNUMBER(Y206),IF(ABS(Y205-Y206)&lt;=0.15,0,ROUND(Y205-Y206,1)),"n/p")</f>
        <v>0</v>
      </c>
      <c r="Z207" s="263">
        <f>IF(ISNUMBER(Z206),IF(ABS(Z205-Z206)&lt;=0.15,0,ROUND(Z205-Z206,1)),"n/p")</f>
        <v>0</v>
      </c>
      <c r="AA207" s="263">
        <f>IF(ISNUMBER(AA206),IF(ABS(AA205-AA206)&lt;=0.15,0,ROUND(AA205-AA206,1)),"n/p")</f>
        <v>0</v>
      </c>
      <c r="AB207" s="263">
        <f>IF(ISNUMBER(AB206),IF(ABS(AB205-AB206)&lt;=0.15,0,ROUND(AB205-AB206,1)),"n/p")</f>
        <v>0</v>
      </c>
      <c r="AC207" s="263">
        <f>IF(ISNUMBER(AC206),IF(ABS(AC205-AC206)&lt;=0.15,0,ROUND(AC205-AC206,1)),"n/p")</f>
        <v>0</v>
      </c>
      <c r="AD207" s="263">
        <f>IF(ISNUMBER(AD206),IF(ABS(AD205-AD206)&lt;=0.15,0,ROUND(AD205-AD206,1)),"n/p")</f>
        <v>0</v>
      </c>
      <c r="AE207" s="263">
        <f>IF(ISNUMBER(AE206),IF(ABS(AE205-AE206)&lt;=0.15,0,ROUND(AE205-AE206,1)),"n/p")</f>
        <v>0</v>
      </c>
      <c r="AF207" s="263">
        <f>IF(ISNUMBER(AF206),IF(ABS(AF205-AF206)&lt;=0.15,0,ROUND(AF205-AF206,1)),"n/p")</f>
        <v>0</v>
      </c>
      <c r="AG207" s="263">
        <f>IF(ISNUMBER(AG206),IF(ABS(AG205-AG206)&lt;=0.15,0,ROUND(AG205-AG206,1)),"n/p")</f>
        <v>0</v>
      </c>
      <c r="AH207" s="263">
        <f>IF(ISNUMBER(AH206),IF(ABS(AH205-AH206)&lt;=0.15,0,ROUND(AH205-AH206,1)),"n/p")</f>
        <v>0</v>
      </c>
      <c r="AI207" s="263">
        <f>IF(ISNUMBER(AI206),IF(ABS(AI205-AI206)&lt;=0.15,0,ROUND(AI205-AI206,1)),"n/p")</f>
        <v>0</v>
      </c>
      <c r="AJ207" s="263">
        <f>IF(ISNUMBER(AJ206),IF(ABS(AJ205-AJ206)&lt;=0.15,0,ROUND(AJ205-AJ206,1)),"n/p")</f>
        <v>0</v>
      </c>
      <c r="AK207" s="263">
        <f>IF(ISNUMBER(AK206),IF(ABS(AK205-AK206)&lt;=0.15,0,ROUND(AK205-AK206,1)),"n/p")</f>
        <v>0</v>
      </c>
      <c r="AL207" s="263">
        <f>IF(ISNUMBER(AL206),IF(ABS(AL205-AL206)&lt;=0.15,0,ROUND(AL205-AL206,1)),"n/p")</f>
        <v>0</v>
      </c>
      <c r="AM207" s="263">
        <f>IF(ISNUMBER(AM206),IF(ABS(AM205-AM206)&lt;=0.15,0,ROUND(AM205-AM206,1)),"n/p")</f>
        <v>0</v>
      </c>
      <c r="AN207" s="263">
        <f>IF(ISNUMBER(AN206),IF(ABS(AN205-AN206)&lt;=0.15,0,ROUND(AN205-AN206,1)),"n/p")</f>
        <v>0</v>
      </c>
      <c r="AO207" s="153" t="n"/>
      <c r="AP207" s="153" t="n"/>
      <c r="AQ207" s="153" t="n"/>
      <c r="AR207" s="153" t="n"/>
      <c r="AS207" s="153" t="n"/>
      <c r="AT207" s="153" t="n"/>
      <c r="AU207" s="153" t="n"/>
      <c r="AV207" s="153" t="n"/>
    </row>
    <row r="208" ht="15" customHeight="1" s="251">
      <c r="B208" s="25" t="inlineStr">
        <is>
          <t xml:space="preserve">  (+) Depreciation expense</t>
        </is>
      </c>
      <c r="C208" s="263">
        <f>C132</f>
        <v>40.4</v>
      </c>
      <c r="D208" s="263">
        <f>D132</f>
        <v>35.808</v>
      </c>
      <c r="E208" s="263">
        <f>E132</f>
        <v>37.254</v>
      </c>
      <c r="F208" s="263">
        <f>F132</f>
        <v>43.773</v>
      </c>
      <c r="G208" s="263">
        <f>G132</f>
        <v>45.994</v>
      </c>
      <c r="H208" s="263">
        <f>H132</f>
        <v>41.55</v>
      </c>
      <c r="I208" s="263">
        <f>I132</f>
        <v>55.14</v>
      </c>
      <c r="J208" s="263">
        <f>J132</f>
        <v>71.389</v>
      </c>
      <c r="K208" s="263">
        <f>K132</f>
        <v>85.982</v>
      </c>
      <c r="L208" s="263">
        <f>L132</f>
        <v>91.7</v>
      </c>
      <c r="M208" s="263">
        <f>M132</f>
        <v>22.608</v>
      </c>
      <c r="N208" s="263">
        <f>N132</f>
        <v>21.919</v>
      </c>
      <c r="O208" s="263">
        <f>O132</f>
        <v>21.717</v>
      </c>
      <c r="P208" s="263">
        <f>P132</f>
        <v>21.387</v>
      </c>
      <c r="Q208" s="263">
        <f>Q132</f>
        <v>87.631</v>
      </c>
      <c r="R208" s="263">
        <f>R132</f>
        <v>21.033</v>
      </c>
      <c r="S208" s="263">
        <f>S132</f>
        <v>21.023</v>
      </c>
      <c r="T208" s="263">
        <f>T132</f>
        <v>20.618</v>
      </c>
      <c r="U208" s="263">
        <f>U132</f>
        <v>20.345</v>
      </c>
      <c r="V208" s="263">
        <f>V132</f>
        <v>83.019</v>
      </c>
      <c r="W208" s="263">
        <f>W132</f>
        <v>20.126</v>
      </c>
      <c r="X208" s="263">
        <f>X132</f>
        <v>20.535</v>
      </c>
      <c r="Y208" s="263">
        <f>Y132</f>
        <v>20.551</v>
      </c>
      <c r="Z208" s="263">
        <f>Z132</f>
        <v>20.942</v>
      </c>
      <c r="AA208" s="263">
        <f>AA132</f>
        <v>82.154</v>
      </c>
      <c r="AB208" s="263">
        <f>AB132</f>
        <v>20.226</v>
      </c>
      <c r="AC208" s="263">
        <f>AC132</f>
        <v>20.607</v>
      </c>
      <c r="AD208" s="263">
        <f>AD132</f>
        <v>20.661</v>
      </c>
      <c r="AE208" s="263">
        <f>AE132</f>
        <v>21.084</v>
      </c>
      <c r="AF208" s="263">
        <f>AF132</f>
        <v>82.578</v>
      </c>
      <c r="AG208" s="263">
        <f>AG132</f>
        <v>20.962</v>
      </c>
      <c r="AH208" s="263">
        <f>AH132</f>
        <v>20.794</v>
      </c>
      <c r="AI208" s="263">
        <f>AI132</f>
        <v>21.482</v>
      </c>
      <c r="AJ208" s="263">
        <f>AJ132</f>
        <v>21.816</v>
      </c>
      <c r="AK208" s="263">
        <f>AK132</f>
        <v>85.054</v>
      </c>
      <c r="AL208" s="263">
        <f>AL132</f>
        <v>21.696</v>
      </c>
      <c r="AM208" s="263">
        <f>AM132</f>
        <v>22.482</v>
      </c>
      <c r="AN208" s="263">
        <f>AN132</f>
        <v>22.501</v>
      </c>
      <c r="AO208" s="254">
        <f>AO132</f>
        <v>23</v>
      </c>
      <c r="AP208" s="254">
        <f>AP132</f>
        <v>89.679</v>
      </c>
      <c r="AQ208" s="254">
        <f>AQ132</f>
        <v>108.261634971589</v>
      </c>
      <c r="AR208" s="254">
        <f>AR132</f>
        <v>127.540354465317</v>
      </c>
      <c r="AS208" s="254">
        <f>AS132</f>
        <v>142.131942338935</v>
      </c>
      <c r="AT208" s="254">
        <f>AT132</f>
        <v>150.703420382866</v>
      </c>
      <c r="AU208" s="254">
        <f>AU132</f>
        <v>159.211355027128</v>
      </c>
      <c r="AV208" s="19" t="n"/>
    </row>
    <row r="209" ht="15" customHeight="1" s="251">
      <c r="B209" s="25" t="inlineStr">
        <is>
          <t xml:space="preserve">  (+) Amortization of intangible assets</t>
        </is>
      </c>
      <c r="C209" s="263">
        <f>C130</f>
        <v>34.993</v>
      </c>
      <c r="D209" s="263">
        <f>D130</f>
        <v>32.809</v>
      </c>
      <c r="E209" s="263">
        <f>E130</f>
        <v>36.979</v>
      </c>
      <c r="F209" s="263">
        <f>F130</f>
        <v>33.58</v>
      </c>
      <c r="G209" s="263">
        <f>G130</f>
        <v>29.241</v>
      </c>
      <c r="H209" s="263">
        <f>H130</f>
        <v>27.486</v>
      </c>
      <c r="I209" s="263">
        <f>I130</f>
        <v>25.777</v>
      </c>
      <c r="J209" s="263">
        <f>J130</f>
        <v>44.742</v>
      </c>
      <c r="K209" s="263">
        <f>K130</f>
        <v>56.022</v>
      </c>
      <c r="L209" s="263">
        <f>L130</f>
        <v>39.458</v>
      </c>
      <c r="M209" s="263">
        <f>M130</f>
        <v>10.469</v>
      </c>
      <c r="N209" s="263">
        <f>N130</f>
        <v>10.56</v>
      </c>
      <c r="O209" s="263">
        <f>O130</f>
        <v>10.526</v>
      </c>
      <c r="P209" s="263">
        <f>P130</f>
        <v>10.338</v>
      </c>
      <c r="Q209" s="263">
        <f>Q130</f>
        <v>41.893</v>
      </c>
      <c r="R209" s="263">
        <f>R130</f>
        <v>9.688</v>
      </c>
      <c r="S209" s="263">
        <f>S130</f>
        <v>9.587</v>
      </c>
      <c r="T209" s="263">
        <f>T130</f>
        <v>9.309</v>
      </c>
      <c r="U209" s="263">
        <f>U130</f>
        <v>9.025</v>
      </c>
      <c r="V209" s="263">
        <f>V130</f>
        <v>37.609</v>
      </c>
      <c r="W209" s="263">
        <f>W130</f>
        <v>9.178</v>
      </c>
      <c r="X209" s="263">
        <f>X130</f>
        <v>9.418</v>
      </c>
      <c r="Y209" s="263">
        <f>Y130</f>
        <v>9.493</v>
      </c>
      <c r="Z209" s="263">
        <f>Z130</f>
        <v>9.5</v>
      </c>
      <c r="AA209" s="263">
        <f>AA130</f>
        <v>37.589</v>
      </c>
      <c r="AB209" s="263">
        <f>AB130</f>
        <v>8.599</v>
      </c>
      <c r="AC209" s="263">
        <f>AC130</f>
        <v>8.618</v>
      </c>
      <c r="AD209" s="263">
        <f>AD130</f>
        <v>8.131</v>
      </c>
      <c r="AE209" s="263">
        <f>AE130</f>
        <v>8.244</v>
      </c>
      <c r="AF209" s="263">
        <f>AF130</f>
        <v>33.592</v>
      </c>
      <c r="AG209" s="263">
        <f>AG130</f>
        <v>6.914</v>
      </c>
      <c r="AH209" s="263">
        <f>AH130</f>
        <v>6.772</v>
      </c>
      <c r="AI209" s="263">
        <f>AI130</f>
        <v>7.172</v>
      </c>
      <c r="AJ209" s="263">
        <f>AJ130</f>
        <v>7.366</v>
      </c>
      <c r="AK209" s="263">
        <f>AK130</f>
        <v>28.224</v>
      </c>
      <c r="AL209" s="263">
        <f>AL130</f>
        <v>7.342</v>
      </c>
      <c r="AM209" s="263">
        <f>AM130</f>
        <v>7.424</v>
      </c>
      <c r="AN209" s="263">
        <f>AN130</f>
        <v>9.568</v>
      </c>
      <c r="AO209" s="254">
        <f>AO130</f>
        <v>8.448</v>
      </c>
      <c r="AP209" s="254">
        <f>AP130</f>
        <v>32.782</v>
      </c>
      <c r="AQ209" s="254">
        <f>AQ130</f>
        <v>33.7913333333333</v>
      </c>
      <c r="AR209" s="254">
        <f>AR130</f>
        <v>36.109</v>
      </c>
      <c r="AS209" s="254">
        <f>AS130</f>
        <v>37.8706666666667</v>
      </c>
      <c r="AT209" s="254">
        <f>AT130</f>
        <v>40.5093333333333</v>
      </c>
      <c r="AU209" s="254">
        <f>AU130</f>
        <v>42</v>
      </c>
      <c r="AV209" s="19" t="n"/>
    </row>
    <row r="210" ht="15" customHeight="1" s="251">
      <c r="B210" s="55" t="inlineStr">
        <is>
          <t xml:space="preserve">  = EBITDA</t>
        </is>
      </c>
      <c r="C210" s="273">
        <f>IF(AND(ISNUMBER(C205),ISNUMBER(C208)),C205+C208+C209,"")</f>
        <v>287.825</v>
      </c>
      <c r="D210" s="273">
        <f>IF(AND(ISNUMBER(D205),ISNUMBER(D208)),D205+D208+D209,"")</f>
        <v>291.885</v>
      </c>
      <c r="E210" s="273">
        <f>IF(AND(ISNUMBER(E205),ISNUMBER(E208)),E205+E208+E209,"")</f>
        <v>300.234</v>
      </c>
      <c r="F210" s="273">
        <f>IF(AND(ISNUMBER(F205),ISNUMBER(F208)),F205+F208+F209,"")</f>
        <v>327.13</v>
      </c>
      <c r="G210" s="273">
        <f>IF(AND(ISNUMBER(G205),ISNUMBER(G208)),G205+G208+G209,"")</f>
        <v>340.261</v>
      </c>
      <c r="H210" s="273">
        <f>IF(AND(ISNUMBER(H205),ISNUMBER(H208)),H205+H208+H209,"")</f>
        <v>320.273</v>
      </c>
      <c r="I210" s="273">
        <f>IF(AND(ISNUMBER(I205),ISNUMBER(I208)),I205+I208+I209,"")</f>
        <v>359.369</v>
      </c>
      <c r="J210" s="273">
        <f>IF(AND(ISNUMBER(J205),ISNUMBER(J208)),J205+J208+J209,"")</f>
        <v>365.805</v>
      </c>
      <c r="K210" s="273">
        <f>IF(AND(ISNUMBER(K205),ISNUMBER(K208)),K205+K208+K209,"")</f>
        <v>505.204</v>
      </c>
      <c r="L210" s="273">
        <f>IF(AND(ISNUMBER(L205),ISNUMBER(L208)),L205+L208+L209,"")</f>
        <v>447.086</v>
      </c>
      <c r="M210" s="273">
        <f>IF(AND(ISNUMBER(M205),ISNUMBER(M208)),M205+M208+M209,"")</f>
        <v>89.0720000000001</v>
      </c>
      <c r="N210" s="273">
        <f>IF(AND(ISNUMBER(N205),ISNUMBER(N208)),N205+N208+N209,"")</f>
        <v>118.932</v>
      </c>
      <c r="O210" s="273">
        <f>IF(AND(ISNUMBER(O205),ISNUMBER(O208)),O205+O208+O209,"")</f>
        <v>99.03</v>
      </c>
      <c r="P210" s="273">
        <f>IF(AND(ISNUMBER(P205),ISNUMBER(P208)),P205+P208+P209,"")</f>
        <v>101.076</v>
      </c>
      <c r="Q210" s="273">
        <f>IF(AND(ISNUMBER(Q205),ISNUMBER(Q208)),Q205+Q208+Q209,"")</f>
        <v>408.11</v>
      </c>
      <c r="R210" s="273">
        <f>IF(AND(ISNUMBER(R205),ISNUMBER(R208)),R205+R208+R209,"")</f>
        <v>76.132</v>
      </c>
      <c r="S210" s="273">
        <f>IF(AND(ISNUMBER(S205),ISNUMBER(S208)),S205+S208+S209,"")</f>
        <v>92.4030000000001</v>
      </c>
      <c r="T210" s="273">
        <f>IF(AND(ISNUMBER(T205),ISNUMBER(T208)),T205+T208+T209,"")</f>
        <v>88.394</v>
      </c>
      <c r="U210" s="273">
        <f>IF(AND(ISNUMBER(U205),ISNUMBER(U208)),U205+U208+U209,"")</f>
        <v>96.3280000000001</v>
      </c>
      <c r="V210" s="273">
        <f>IF(AND(ISNUMBER(V205),ISNUMBER(V208)),V205+V208+V209,"")</f>
        <v>353.257</v>
      </c>
      <c r="W210" s="273">
        <f>IF(AND(ISNUMBER(W205),ISNUMBER(W208)),W205+W208+W209,"")</f>
        <v>71.829</v>
      </c>
      <c r="X210" s="273">
        <f>IF(AND(ISNUMBER(X205),ISNUMBER(X208)),X205+X208+X209,"")</f>
        <v>82.5310000000001</v>
      </c>
      <c r="Y210" s="273">
        <f>IF(AND(ISNUMBER(Y205),ISNUMBER(Y208)),Y205+Y208+Y209,"")</f>
        <v>147.441</v>
      </c>
      <c r="Z210" s="273">
        <f>IF(AND(ISNUMBER(Z205),ISNUMBER(Z208)),Z205+Z208+Z209,"")</f>
        <v>138.857</v>
      </c>
      <c r="AA210" s="273">
        <f>IF(AND(ISNUMBER(AA205),ISNUMBER(AA208)),AA205+AA208+AA209,"")</f>
        <v>440.658</v>
      </c>
      <c r="AB210" s="273">
        <f>IF(AND(ISNUMBER(AB205),ISNUMBER(AB208)),AB205+AB208+AB209,"")</f>
        <v>148.508</v>
      </c>
      <c r="AC210" s="273">
        <f>IF(AND(ISNUMBER(AC205),ISNUMBER(AC208)),AC205+AC208+AC209,"")</f>
        <v>160.086</v>
      </c>
      <c r="AD210" s="273">
        <f>IF(AND(ISNUMBER(AD205),ISNUMBER(AD208)),AD205+AD208+AD209,"")</f>
        <v>160.676</v>
      </c>
      <c r="AE210" s="273">
        <f>IF(AND(ISNUMBER(AE205),ISNUMBER(AE208)),AE205+AE208+AE209,"")</f>
        <v>142.372</v>
      </c>
      <c r="AF210" s="273">
        <f>IF(AND(ISNUMBER(AF205),ISNUMBER(AF208)),AF205+AF208+AF209,"")</f>
        <v>611.642</v>
      </c>
      <c r="AG210" s="273">
        <f>IF(AND(ISNUMBER(AG205),ISNUMBER(AG208)),AG205+AG208+AG209,"")</f>
        <v>140.694</v>
      </c>
      <c r="AH210" s="273">
        <f>IF(AND(ISNUMBER(AH205),ISNUMBER(AH208)),AH205+AH208+AH209,"")</f>
        <v>171.397</v>
      </c>
      <c r="AI210" s="273">
        <f>IF(AND(ISNUMBER(AI205),ISNUMBER(AI208)),AI205+AI208+AI209,"")</f>
        <v>165.886</v>
      </c>
      <c r="AJ210" s="273">
        <f>IF(AND(ISNUMBER(AJ205),ISNUMBER(AJ208)),AJ205+AJ208+AJ209,"")</f>
        <v>198.212</v>
      </c>
      <c r="AK210" s="273">
        <f>IF(AND(ISNUMBER(AK205),ISNUMBER(AK208)),AK205+AK208+AK209,"")</f>
        <v>676.189</v>
      </c>
      <c r="AL210" s="273">
        <f>IF(AND(ISNUMBER(AL205),ISNUMBER(AL208)),AL205+AL208+AL209,"")</f>
        <v>207.832</v>
      </c>
      <c r="AM210" s="273">
        <f>IF(AND(ISNUMBER(AM205),ISNUMBER(AM208)),AM205+AM208+AM209,"")</f>
        <v>208.653</v>
      </c>
      <c r="AN210" s="273">
        <f>IF(AND(ISNUMBER(AN205),ISNUMBER(AN208)),AN205+AN208+AN209,"")</f>
        <v>239.797</v>
      </c>
      <c r="AO210" s="273">
        <f>IF(AND(ISNUMBER(AO205),ISNUMBER(AO208)),AO205+AO208+AO209,"")</f>
        <v>235.139697901044</v>
      </c>
      <c r="AP210" s="273">
        <f>IF(AND(ISNUMBER(AP205),ISNUMBER(AP208)),AP205+AP208+AP209,"")</f>
        <v>891.421697901045</v>
      </c>
      <c r="AQ210" s="273">
        <f>IF(AND(ISNUMBER(AQ205),ISNUMBER(AQ208)),AQ205+AQ208+AQ209,"")</f>
        <v>1156.41768593229</v>
      </c>
      <c r="AR210" s="273">
        <f>IF(AND(ISNUMBER(AR205),ISNUMBER(AR208)),AR205+AR208+AR209,"")</f>
        <v>1122.00368968135</v>
      </c>
      <c r="AS210" s="273">
        <f>IF(AND(ISNUMBER(AS205),ISNUMBER(AS208)),AS205+AS208+AS209,"")</f>
        <v>1244.76524418091</v>
      </c>
      <c r="AT210" s="273">
        <f>IF(AND(ISNUMBER(AT205),ISNUMBER(AT208)),AT205+AT208+AT209,"")</f>
        <v>1333.82737806403</v>
      </c>
      <c r="AU210" s="273">
        <f>IF(AND(ISNUMBER(AU205),ISNUMBER(AU208)),AU205+AU208+AU209,"")</f>
        <v>1420.75683089365</v>
      </c>
      <c r="AV210" s="153" t="n"/>
      <c r="AX210" s="20">
        <f>IFERROR((AU210/AP210)^(1/5)-1,"n/m")</f>
        <v>0.097709215881908</v>
      </c>
      <c r="AY210" s="20">
        <f>IFERROR((AK210/L210)^(1/5)-1,"n/m")</f>
        <v>0.0862640485476141</v>
      </c>
      <c r="AZ210" s="20">
        <f>IFERROR((AK210/G210)^(1/10)-1,"n/m")</f>
        <v>0.0710890828369422</v>
      </c>
      <c r="BA210" s="20">
        <f>IFERROR((AK210/C210)^(1/14)-1,"n/m")</f>
        <v>0.0629080222225953</v>
      </c>
    </row>
    <row r="211" ht="15" customHeight="1" s="251">
      <c r="B211" s="156" t="inlineStr">
        <is>
          <t xml:space="preserve">  Company-published EBITDA</t>
        </is>
      </c>
      <c r="C211" s="253" t="n">
        <v>287.825</v>
      </c>
      <c r="D211" s="253" t="n">
        <v>291.885</v>
      </c>
      <c r="E211" s="253" t="n">
        <v>300.234</v>
      </c>
      <c r="F211" s="253" t="n">
        <v>327.13</v>
      </c>
      <c r="G211" s="253" t="n">
        <v>340.261</v>
      </c>
      <c r="H211" s="253" t="n">
        <v>320.273</v>
      </c>
      <c r="I211" s="253" t="n">
        <v>359.369</v>
      </c>
      <c r="J211" s="253" t="n">
        <v>365.805</v>
      </c>
      <c r="K211" s="253" t="n">
        <v>505.204</v>
      </c>
      <c r="L211" s="253" t="n">
        <v>447.086</v>
      </c>
      <c r="M211" s="253" t="n">
        <v>89.072</v>
      </c>
      <c r="N211" s="253" t="n">
        <v>118.932</v>
      </c>
      <c r="O211" s="253" t="n">
        <v>99.03</v>
      </c>
      <c r="P211" s="253" t="n">
        <v>101.076</v>
      </c>
      <c r="Q211" s="253" t="n">
        <v>408.11</v>
      </c>
      <c r="R211" s="253" t="n">
        <v>76.13200000000001</v>
      </c>
      <c r="S211" s="253" t="n">
        <v>92.40300000000001</v>
      </c>
      <c r="T211" s="253" t="n">
        <v>88.39400000000001</v>
      </c>
      <c r="U211" s="253" t="n">
        <v>96.328</v>
      </c>
      <c r="V211" s="253" t="n">
        <v>353.257</v>
      </c>
      <c r="W211" s="253" t="n">
        <v>71.82899999999999</v>
      </c>
      <c r="X211" s="253" t="n">
        <v>82.53100000000001</v>
      </c>
      <c r="Y211" s="253" t="n">
        <v>147.441</v>
      </c>
      <c r="Z211" s="253" t="n">
        <v>138.857</v>
      </c>
      <c r="AA211" s="253" t="n">
        <v>440.658</v>
      </c>
      <c r="AB211" s="253" t="n">
        <v>148.508</v>
      </c>
      <c r="AC211" s="253" t="n">
        <v>160.086</v>
      </c>
      <c r="AD211" s="253" t="n">
        <v>160.676</v>
      </c>
      <c r="AE211" s="253" t="n">
        <v>142.372</v>
      </c>
      <c r="AF211" s="253" t="n">
        <v>611.6420000000001</v>
      </c>
      <c r="AG211" s="253" t="n">
        <v>140.694</v>
      </c>
      <c r="AH211" s="253" t="n">
        <v>171.397</v>
      </c>
      <c r="AI211" s="253" t="n">
        <v>165.886</v>
      </c>
      <c r="AJ211" s="253" t="n">
        <v>198.212</v>
      </c>
      <c r="AK211" s="253" t="n">
        <v>676.189</v>
      </c>
      <c r="AL211" s="253" t="n">
        <v>207.832</v>
      </c>
      <c r="AM211" s="253" t="n">
        <v>208.653</v>
      </c>
      <c r="AN211" s="253" t="n">
        <v>239.797</v>
      </c>
      <c r="AO211" s="153" t="n"/>
      <c r="AP211" s="153" t="n"/>
      <c r="AQ211" s="153" t="n"/>
      <c r="AR211" s="153" t="n"/>
      <c r="AS211" s="153" t="n"/>
      <c r="AT211" s="153" t="n"/>
      <c r="AU211" s="153" t="n"/>
      <c r="AV211" s="153" t="n"/>
    </row>
    <row r="212" ht="15" customHeight="1" s="251">
      <c r="B212" s="57" t="inlineStr">
        <is>
          <t xml:space="preserve">  Check: model vs company-published EBITDA (should be 0)</t>
        </is>
      </c>
      <c r="C212" s="263">
        <f>IF(AND(ISNUMBER(C211),ISNUMBER(C210)),IF(ABS(C210-C211)&lt;=0.15,0,ROUND(C210-C211,1)),"n/p")</f>
        <v>0</v>
      </c>
      <c r="D212" s="263">
        <f>IF(AND(ISNUMBER(D211),ISNUMBER(D210)),IF(ABS(D210-D211)&lt;=0.15,0,ROUND(D210-D211,1)),"n/p")</f>
        <v>0</v>
      </c>
      <c r="E212" s="263">
        <f>IF(AND(ISNUMBER(E211),ISNUMBER(E210)),IF(ABS(E210-E211)&lt;=0.15,0,ROUND(E210-E211,1)),"n/p")</f>
        <v>0</v>
      </c>
      <c r="F212" s="263">
        <f>IF(AND(ISNUMBER(F211),ISNUMBER(F210)),IF(ABS(F210-F211)&lt;=0.15,0,ROUND(F210-F211,1)),"n/p")</f>
        <v>0</v>
      </c>
      <c r="G212" s="263">
        <f>IF(AND(ISNUMBER(G211),ISNUMBER(G210)),IF(ABS(G210-G211)&lt;=0.15,0,ROUND(G210-G211,1)),"n/p")</f>
        <v>0</v>
      </c>
      <c r="H212" s="263">
        <f>IF(AND(ISNUMBER(H211),ISNUMBER(H210)),IF(ABS(H210-H211)&lt;=0.15,0,ROUND(H210-H211,1)),"n/p")</f>
        <v>0</v>
      </c>
      <c r="I212" s="263">
        <f>IF(AND(ISNUMBER(I211),ISNUMBER(I210)),IF(ABS(I210-I211)&lt;=0.15,0,ROUND(I210-I211,1)),"n/p")</f>
        <v>0</v>
      </c>
      <c r="J212" s="263">
        <f>IF(AND(ISNUMBER(J211),ISNUMBER(J210)),IF(ABS(J210-J211)&lt;=0.15,0,ROUND(J210-J211,1)),"n/p")</f>
        <v>0</v>
      </c>
      <c r="K212" s="263">
        <f>IF(AND(ISNUMBER(K211),ISNUMBER(K210)),IF(ABS(K210-K211)&lt;=0.15,0,ROUND(K210-K211,1)),"n/p")</f>
        <v>0</v>
      </c>
      <c r="L212" s="263">
        <f>IF(AND(ISNUMBER(L211),ISNUMBER(L210)),IF(ABS(L210-L211)&lt;=0.15,0,ROUND(L210-L211,1)),"n/p")</f>
        <v>0</v>
      </c>
      <c r="M212" s="263">
        <f>IF(AND(ISNUMBER(M211),ISNUMBER(M210)),IF(ABS(M210-M211)&lt;=0.15,0,ROUND(M210-M211,1)),"n/p")</f>
        <v>0</v>
      </c>
      <c r="N212" s="263">
        <f>IF(AND(ISNUMBER(N211),ISNUMBER(N210)),IF(ABS(N210-N211)&lt;=0.15,0,ROUND(N210-N211,1)),"n/p")</f>
        <v>0</v>
      </c>
      <c r="O212" s="263">
        <f>IF(AND(ISNUMBER(O211),ISNUMBER(O210)),IF(ABS(O210-O211)&lt;=0.15,0,ROUND(O210-O211,1)),"n/p")</f>
        <v>0</v>
      </c>
      <c r="P212" s="263">
        <f>IF(AND(ISNUMBER(P211),ISNUMBER(P210)),IF(ABS(P210-P211)&lt;=0.15,0,ROUND(P210-P211,1)),"n/p")</f>
        <v>0</v>
      </c>
      <c r="Q212" s="263">
        <f>IF(AND(ISNUMBER(Q211),ISNUMBER(Q210)),IF(ABS(Q210-Q211)&lt;=0.15,0,ROUND(Q210-Q211,1)),"n/p")</f>
        <v>0</v>
      </c>
      <c r="R212" s="263">
        <f>IF(AND(ISNUMBER(R211),ISNUMBER(R210)),IF(ABS(R210-R211)&lt;=0.15,0,ROUND(R210-R211,1)),"n/p")</f>
        <v>0</v>
      </c>
      <c r="S212" s="263">
        <f>IF(AND(ISNUMBER(S211),ISNUMBER(S210)),IF(ABS(S210-S211)&lt;=0.15,0,ROUND(S210-S211,1)),"n/p")</f>
        <v>0</v>
      </c>
      <c r="T212" s="263">
        <f>IF(AND(ISNUMBER(T211),ISNUMBER(T210)),IF(ABS(T210-T211)&lt;=0.15,0,ROUND(T210-T211,1)),"n/p")</f>
        <v>0</v>
      </c>
      <c r="U212" s="263">
        <f>IF(AND(ISNUMBER(U211),ISNUMBER(U210)),IF(ABS(U210-U211)&lt;=0.15,0,ROUND(U210-U211,1)),"n/p")</f>
        <v>0</v>
      </c>
      <c r="V212" s="263">
        <f>IF(AND(ISNUMBER(V211),ISNUMBER(V210)),IF(ABS(V210-V211)&lt;=0.15,0,ROUND(V210-V211,1)),"n/p")</f>
        <v>0</v>
      </c>
      <c r="W212" s="263">
        <f>IF(AND(ISNUMBER(W211),ISNUMBER(W210)),IF(ABS(W210-W211)&lt;=0.15,0,ROUND(W210-W211,1)),"n/p")</f>
        <v>0</v>
      </c>
      <c r="X212" s="263">
        <f>IF(AND(ISNUMBER(X211),ISNUMBER(X210)),IF(ABS(X210-X211)&lt;=0.15,0,ROUND(X210-X211,1)),"n/p")</f>
        <v>0</v>
      </c>
      <c r="Y212" s="263">
        <f>IF(AND(ISNUMBER(Y211),ISNUMBER(Y210)),IF(ABS(Y210-Y211)&lt;=0.15,0,ROUND(Y210-Y211,1)),"n/p")</f>
        <v>0</v>
      </c>
      <c r="Z212" s="263">
        <f>IF(AND(ISNUMBER(Z211),ISNUMBER(Z210)),IF(ABS(Z210-Z211)&lt;=0.15,0,ROUND(Z210-Z211,1)),"n/p")</f>
        <v>0</v>
      </c>
      <c r="AA212" s="263">
        <f>IF(AND(ISNUMBER(AA211),ISNUMBER(AA210)),IF(ABS(AA210-AA211)&lt;=0.15,0,ROUND(AA210-AA211,1)),"n/p")</f>
        <v>0</v>
      </c>
      <c r="AB212" s="263">
        <f>IF(AND(ISNUMBER(AB211),ISNUMBER(AB210)),IF(ABS(AB210-AB211)&lt;=0.15,0,ROUND(AB210-AB211,1)),"n/p")</f>
        <v>0</v>
      </c>
      <c r="AC212" s="263">
        <f>IF(AND(ISNUMBER(AC211),ISNUMBER(AC210)),IF(ABS(AC210-AC211)&lt;=0.15,0,ROUND(AC210-AC211,1)),"n/p")</f>
        <v>0</v>
      </c>
      <c r="AD212" s="263">
        <f>IF(AND(ISNUMBER(AD211),ISNUMBER(AD210)),IF(ABS(AD210-AD211)&lt;=0.15,0,ROUND(AD210-AD211,1)),"n/p")</f>
        <v>0</v>
      </c>
      <c r="AE212" s="263">
        <f>IF(AND(ISNUMBER(AE211),ISNUMBER(AE210)),IF(ABS(AE210-AE211)&lt;=0.15,0,ROUND(AE210-AE211,1)),"n/p")</f>
        <v>0</v>
      </c>
      <c r="AF212" s="263">
        <f>IF(AND(ISNUMBER(AF211),ISNUMBER(AF210)),IF(ABS(AF210-AF211)&lt;=0.15,0,ROUND(AF210-AF211,1)),"n/p")</f>
        <v>0</v>
      </c>
      <c r="AG212" s="263">
        <f>IF(AND(ISNUMBER(AG211),ISNUMBER(AG210)),IF(ABS(AG210-AG211)&lt;=0.15,0,ROUND(AG210-AG211,1)),"n/p")</f>
        <v>0</v>
      </c>
      <c r="AH212" s="263">
        <f>IF(AND(ISNUMBER(AH211),ISNUMBER(AH210)),IF(ABS(AH210-AH211)&lt;=0.15,0,ROUND(AH210-AH211,1)),"n/p")</f>
        <v>0</v>
      </c>
      <c r="AI212" s="263">
        <f>IF(AND(ISNUMBER(AI211),ISNUMBER(AI210)),IF(ABS(AI210-AI211)&lt;=0.15,0,ROUND(AI210-AI211,1)),"n/p")</f>
        <v>0</v>
      </c>
      <c r="AJ212" s="263">
        <f>IF(AND(ISNUMBER(AJ211),ISNUMBER(AJ210)),IF(ABS(AJ210-AJ211)&lt;=0.15,0,ROUND(AJ210-AJ211,1)),"n/p")</f>
        <v>0</v>
      </c>
      <c r="AK212" s="263">
        <f>IF(AND(ISNUMBER(AK211),ISNUMBER(AK210)),IF(ABS(AK210-AK211)&lt;=0.15,0,ROUND(AK210-AK211,1)),"n/p")</f>
        <v>0</v>
      </c>
      <c r="AL212" s="263">
        <f>IF(AND(ISNUMBER(AL211),ISNUMBER(AL210)),IF(ABS(AL210-AL211)&lt;=0.15,0,ROUND(AL210-AL211,1)),"n/p")</f>
        <v>0</v>
      </c>
      <c r="AM212" s="263">
        <f>IF(AND(ISNUMBER(AM211),ISNUMBER(AM210)),IF(ABS(AM210-AM211)&lt;=0.15,0,ROUND(AM210-AM211,1)),"n/p")</f>
        <v>0</v>
      </c>
      <c r="AN212" s="263">
        <f>IF(AND(ISNUMBER(AN211),ISNUMBER(AN210)),IF(ABS(AN210-AN211)&lt;=0.15,0,ROUND(AN210-AN211,1)),"n/p")</f>
        <v>0</v>
      </c>
      <c r="AO212" s="153" t="n"/>
      <c r="AP212" s="153" t="n"/>
      <c r="AQ212" s="153" t="n"/>
      <c r="AR212" s="153" t="n"/>
      <c r="AS212" s="153" t="n"/>
      <c r="AT212" s="153" t="n"/>
      <c r="AU212" s="153" t="n"/>
      <c r="AV212" s="153" t="n"/>
    </row>
    <row r="213" ht="15" customHeight="1" s="251">
      <c r="B213" s="25" t="inlineStr">
        <is>
          <t xml:space="preserve">  (+) Adjusting items not already in D&amp;A (total adjusting items − backlog amortization)</t>
        </is>
      </c>
      <c r="C213" s="263">
        <f>IF(ISNUMBER(C191),C191-N(C147),"")</f>
        <v>0</v>
      </c>
      <c r="D213" s="263">
        <f>IF(ISNUMBER(D191),D191-N(D147),"")</f>
        <v>0</v>
      </c>
      <c r="E213" s="263">
        <f>IF(ISNUMBER(E191),E191-N(E147),"")</f>
        <v>0</v>
      </c>
      <c r="F213" s="263">
        <f>IF(ISNUMBER(F191),F191-N(F147),"")</f>
        <v>0</v>
      </c>
      <c r="G213" s="263">
        <f>IF(ISNUMBER(G191),G191-N(G147),"")</f>
        <v>0</v>
      </c>
      <c r="H213" s="263">
        <f>IF(ISNUMBER(H191),H191-N(H147),"")</f>
        <v>0</v>
      </c>
      <c r="I213" s="263">
        <f>IF(ISNUMBER(I191),I191-N(I147),"")</f>
        <v>0</v>
      </c>
      <c r="J213" s="263">
        <f>IF(ISNUMBER(J191),J191-N(J147),"")</f>
        <v>57.931</v>
      </c>
      <c r="K213" s="263">
        <f>IF(ISNUMBER(K191),K191-N(K147),"")</f>
        <v>39.69</v>
      </c>
      <c r="L213" s="263">
        <f>IF(ISNUMBER(L191),L191-N(L147),"")</f>
        <v>27.23</v>
      </c>
      <c r="M213" s="263">
        <f>IF(ISNUMBER(M191),M191-N(M147),"")</f>
        <v>0</v>
      </c>
      <c r="N213" s="263">
        <f>IF(ISNUMBER(N191),N191-N(N147),"")</f>
        <v>0</v>
      </c>
      <c r="O213" s="263">
        <f>IF(ISNUMBER(O191),O191-N(O147),"")</f>
        <v>0</v>
      </c>
      <c r="P213" s="263">
        <f>IF(ISNUMBER(P191),P191-N(P147),"")</f>
        <v>5.008</v>
      </c>
      <c r="Q213" s="263">
        <f>IF(ISNUMBER(Q191),Q191-N(Q147),"")</f>
        <v>5.008</v>
      </c>
      <c r="R213" s="263">
        <f>IF(ISNUMBER(R191),R191-N(R147),"")</f>
        <v>7.982</v>
      </c>
      <c r="S213" s="263">
        <f>IF(ISNUMBER(S191),S191-N(S147),"")</f>
        <v>-1.728</v>
      </c>
      <c r="T213" s="263">
        <f>IF(ISNUMBER(T191),T191-N(T147),"")</f>
        <v>0</v>
      </c>
      <c r="U213" s="263">
        <f>IF(ISNUMBER(U191),U191-N(U147),"")</f>
        <v>-3.42</v>
      </c>
      <c r="V213" s="263">
        <f>IF(ISNUMBER(V191),V191-N(V147),"")</f>
        <v>2.834</v>
      </c>
      <c r="W213" s="263">
        <f>IF(ISNUMBER(W191),W191-N(W147),"")</f>
        <v>0</v>
      </c>
      <c r="X213" s="263">
        <f>IF(ISNUMBER(X191),X191-N(X147),"")</f>
        <v>34.876</v>
      </c>
      <c r="Y213" s="263">
        <f>IF(ISNUMBER(Y191),Y191-N(Y147),"")</f>
        <v>0</v>
      </c>
      <c r="Z213" s="263">
        <f>IF(ISNUMBER(Z191),Z191-N(Z147),"")</f>
        <v>0</v>
      </c>
      <c r="AA213" s="263">
        <f>IF(ISNUMBER(AA191),AA191-N(AA147),"")</f>
        <v>34.876</v>
      </c>
      <c r="AB213" s="263">
        <f>IF(ISNUMBER(AB191),AB191-N(AB147),"")</f>
        <v>-0.565</v>
      </c>
      <c r="AC213" s="263">
        <f>IF(ISNUMBER(AC191),AC191-N(AC147),"")</f>
        <v>4.33</v>
      </c>
      <c r="AD213" s="263">
        <f>IF(ISNUMBER(AD191),AD191-N(AD147),"")</f>
        <v>0</v>
      </c>
      <c r="AE213" s="263">
        <f>IF(ISNUMBER(AE191),AE191-N(AE147),"")</f>
        <v>4.378</v>
      </c>
      <c r="AF213" s="263">
        <f>IF(ISNUMBER(AF191),AF191-N(AF147),"")</f>
        <v>8.143</v>
      </c>
      <c r="AG213" s="263">
        <f>IF(ISNUMBER(AG191),AG191-N(AG147),"")</f>
        <v>-5.843</v>
      </c>
      <c r="AH213" s="263">
        <f>IF(ISNUMBER(AH191),AH191-N(AH147),"")</f>
        <v>-7.37</v>
      </c>
      <c r="AI213" s="263">
        <f>IF(ISNUMBER(AI191),AI191-N(AI147),"")</f>
        <v>0</v>
      </c>
      <c r="AJ213" s="263">
        <f>IF(ISNUMBER(AJ191),AJ191-N(AJ147),"")</f>
        <v>6.536</v>
      </c>
      <c r="AK213" s="263">
        <f>IF(ISNUMBER(AK191),AK191-N(AK147),"")</f>
        <v>-6.678</v>
      </c>
      <c r="AL213" s="263">
        <f>IF(ISNUMBER(AL191),AL191-N(AL147),"")</f>
        <v>0</v>
      </c>
      <c r="AM213" s="263">
        <f>IF(ISNUMBER(AM191),AM191-N(AM147),"")</f>
        <v>6.815</v>
      </c>
      <c r="AN213" s="263">
        <f>IF(ISNUMBER(AN191),AN191-N(AN147),"")</f>
        <v>9.264</v>
      </c>
      <c r="AO213" s="254">
        <f>IF(ISNUMBER(AO191),AO191-N(AO147),"")</f>
        <v>6</v>
      </c>
      <c r="AP213" s="254">
        <f>IF(ISNUMBER(AP191),AP191-N(AP147),"")</f>
        <v>22.079</v>
      </c>
      <c r="AQ213" s="254">
        <f>IF(ISNUMBER(AQ191),AQ191-N(AQ147),"")</f>
        <v>-131.636</v>
      </c>
      <c r="AR213" s="254">
        <f>IF(ISNUMBER(AR191),AR191-N(AR147),"")</f>
        <v>17</v>
      </c>
      <c r="AS213" s="254">
        <f>IF(ISNUMBER(AS191),AS191-N(AS147),"")</f>
        <v>2</v>
      </c>
      <c r="AT213" s="254">
        <f>IF(ISNUMBER(AT191),AT191-N(AT147),"")</f>
        <v>2</v>
      </c>
      <c r="AU213" s="254">
        <f>IF(ISNUMBER(AU191),AU191-N(AU147),"")</f>
        <v>2</v>
      </c>
      <c r="AV213" s="19" t="n"/>
    </row>
    <row r="214" ht="15" customHeight="1" s="251">
      <c r="B214" s="55" t="inlineStr">
        <is>
          <t xml:space="preserve">  = Adjusted EBITDA</t>
        </is>
      </c>
      <c r="C214" s="273">
        <f>IF(AND(ISNUMBER(C210),ISNUMBER(C213)),C210+C213,"")</f>
        <v>287.825</v>
      </c>
      <c r="D214" s="273">
        <f>IF(AND(ISNUMBER(D210),ISNUMBER(D213)),D210+D213,"")</f>
        <v>291.885</v>
      </c>
      <c r="E214" s="273">
        <f>IF(AND(ISNUMBER(E210),ISNUMBER(E213)),E210+E213,"")</f>
        <v>300.234</v>
      </c>
      <c r="F214" s="273">
        <f>IF(AND(ISNUMBER(F210),ISNUMBER(F213)),F210+F213,"")</f>
        <v>327.13</v>
      </c>
      <c r="G214" s="273">
        <f>IF(AND(ISNUMBER(G210),ISNUMBER(G213)),G210+G213,"")</f>
        <v>340.261</v>
      </c>
      <c r="H214" s="273">
        <f>IF(AND(ISNUMBER(H210),ISNUMBER(H213)),H210+H213,"")</f>
        <v>320.273</v>
      </c>
      <c r="I214" s="273">
        <f>IF(AND(ISNUMBER(I210),ISNUMBER(I213)),I210+I213,"")</f>
        <v>359.369</v>
      </c>
      <c r="J214" s="273">
        <f>IF(AND(ISNUMBER(J210),ISNUMBER(J213)),J210+J213,"")</f>
        <v>423.736</v>
      </c>
      <c r="K214" s="273">
        <f>IF(AND(ISNUMBER(K210),ISNUMBER(K213)),K210+K213,"")</f>
        <v>544.894</v>
      </c>
      <c r="L214" s="273">
        <f>IF(AND(ISNUMBER(L210),ISNUMBER(L213)),L210+L213,"")</f>
        <v>474.316</v>
      </c>
      <c r="M214" s="273">
        <f>IF(AND(ISNUMBER(M210),ISNUMBER(M213)),M210+M213,"")</f>
        <v>89.0720000000001</v>
      </c>
      <c r="N214" s="273">
        <f>IF(AND(ISNUMBER(N210),ISNUMBER(N213)),N210+N213,"")</f>
        <v>118.932</v>
      </c>
      <c r="O214" s="273">
        <f>IF(AND(ISNUMBER(O210),ISNUMBER(O213)),O210+O213,"")</f>
        <v>99.03</v>
      </c>
      <c r="P214" s="273">
        <f>IF(AND(ISNUMBER(P210),ISNUMBER(P213)),P210+P213,"")</f>
        <v>106.084</v>
      </c>
      <c r="Q214" s="273">
        <f>IF(AND(ISNUMBER(Q210),ISNUMBER(Q213)),Q210+Q213,"")</f>
        <v>413.118</v>
      </c>
      <c r="R214" s="273">
        <f>IF(AND(ISNUMBER(R210),ISNUMBER(R213)),R210+R213,"")</f>
        <v>84.114</v>
      </c>
      <c r="S214" s="273">
        <f>IF(AND(ISNUMBER(S210),ISNUMBER(S213)),S210+S213,"")</f>
        <v>90.6750000000001</v>
      </c>
      <c r="T214" s="273">
        <f>IF(AND(ISNUMBER(T210),ISNUMBER(T213)),T210+T213,"")</f>
        <v>88.394</v>
      </c>
      <c r="U214" s="273">
        <f>IF(AND(ISNUMBER(U210),ISNUMBER(U213)),U210+U213,"")</f>
        <v>92.9080000000001</v>
      </c>
      <c r="V214" s="273">
        <f>IF(AND(ISNUMBER(V210),ISNUMBER(V213)),V210+V213,"")</f>
        <v>356.091</v>
      </c>
      <c r="W214" s="273">
        <f>IF(AND(ISNUMBER(W210),ISNUMBER(W213)),W210+W213,"")</f>
        <v>71.829</v>
      </c>
      <c r="X214" s="273">
        <f>IF(AND(ISNUMBER(X210),ISNUMBER(X213)),X210+X213,"")</f>
        <v>117.407</v>
      </c>
      <c r="Y214" s="273">
        <f>IF(AND(ISNUMBER(Y210),ISNUMBER(Y213)),Y210+Y213,"")</f>
        <v>147.441</v>
      </c>
      <c r="Z214" s="273">
        <f>IF(AND(ISNUMBER(Z210),ISNUMBER(Z213)),Z210+Z213,"")</f>
        <v>138.857</v>
      </c>
      <c r="AA214" s="273">
        <f>IF(AND(ISNUMBER(AA210),ISNUMBER(AA213)),AA210+AA213,"")</f>
        <v>475.534</v>
      </c>
      <c r="AB214" s="273">
        <f>IF(AND(ISNUMBER(AB210),ISNUMBER(AB213)),AB210+AB213,"")</f>
        <v>147.943</v>
      </c>
      <c r="AC214" s="273">
        <f>IF(AND(ISNUMBER(AC210),ISNUMBER(AC213)),AC210+AC213,"")</f>
        <v>164.416</v>
      </c>
      <c r="AD214" s="273">
        <f>IF(AND(ISNUMBER(AD210),ISNUMBER(AD213)),AD210+AD213,"")</f>
        <v>160.676</v>
      </c>
      <c r="AE214" s="273">
        <f>IF(AND(ISNUMBER(AE210),ISNUMBER(AE213)),AE210+AE213,"")</f>
        <v>146.75</v>
      </c>
      <c r="AF214" s="273">
        <f>IF(AND(ISNUMBER(AF210),ISNUMBER(AF213)),AF210+AF213,"")</f>
        <v>619.785</v>
      </c>
      <c r="AG214" s="273">
        <f>IF(AND(ISNUMBER(AG210),ISNUMBER(AG213)),AG210+AG213,"")</f>
        <v>134.851</v>
      </c>
      <c r="AH214" s="273">
        <f>IF(AND(ISNUMBER(AH210),ISNUMBER(AH213)),AH210+AH213,"")</f>
        <v>164.027</v>
      </c>
      <c r="AI214" s="273">
        <f>IF(AND(ISNUMBER(AI210),ISNUMBER(AI213)),AI210+AI213,"")</f>
        <v>165.886</v>
      </c>
      <c r="AJ214" s="273">
        <f>IF(AND(ISNUMBER(AJ210),ISNUMBER(AJ213)),AJ210+AJ213,"")</f>
        <v>204.748</v>
      </c>
      <c r="AK214" s="273">
        <f>IF(AND(ISNUMBER(AK210),ISNUMBER(AK213)),AK210+AK213,"")</f>
        <v>669.511</v>
      </c>
      <c r="AL214" s="273">
        <f>IF(AND(ISNUMBER(AL210),ISNUMBER(AL213)),AL210+AL213,"")</f>
        <v>207.832</v>
      </c>
      <c r="AM214" s="273">
        <f>IF(AND(ISNUMBER(AM210),ISNUMBER(AM213)),AM210+AM213,"")</f>
        <v>215.468</v>
      </c>
      <c r="AN214" s="273">
        <f>IF(AND(ISNUMBER(AN210),ISNUMBER(AN213)),AN210+AN213,"")</f>
        <v>249.061</v>
      </c>
      <c r="AO214" s="273">
        <f>IF(AND(ISNUMBER(AO210),ISNUMBER(AO213)),AO210+AO213,"")</f>
        <v>241.139697901044</v>
      </c>
      <c r="AP214" s="273">
        <f>IF(AND(ISNUMBER(AP210),ISNUMBER(AP213)),AP210+AP213,"")</f>
        <v>913.500697901045</v>
      </c>
      <c r="AQ214" s="273">
        <f>IF(AND(ISNUMBER(AQ210),ISNUMBER(AQ213)),AQ210+AQ213,"")</f>
        <v>1024.78168593229</v>
      </c>
      <c r="AR214" s="273">
        <f>IF(AND(ISNUMBER(AR210),ISNUMBER(AR213)),AR210+AR213,"")</f>
        <v>1139.00368968135</v>
      </c>
      <c r="AS214" s="273">
        <f>IF(AND(ISNUMBER(AS210),ISNUMBER(AS213)),AS210+AS213,"")</f>
        <v>1246.76524418091</v>
      </c>
      <c r="AT214" s="273">
        <f>IF(AND(ISNUMBER(AT210),ISNUMBER(AT213)),AT210+AT213,"")</f>
        <v>1335.82737806403</v>
      </c>
      <c r="AU214" s="273">
        <f>IF(AND(ISNUMBER(AU210),ISNUMBER(AU213)),AU210+AU213,"")</f>
        <v>1422.75683089365</v>
      </c>
      <c r="AV214" s="153" t="inlineStr">
        <is>
          <t>Company definition (published from Q2 FY2018; = EBITDA before). Used for leverage (net debt / adjusted EBITDA) and EV / EBITDA.</t>
        </is>
      </c>
      <c r="AX214" s="20">
        <f>IFERROR((AU214/AP214)^(1/5)-1,"n/m")</f>
        <v>0.0926582751480176</v>
      </c>
      <c r="AY214" s="20">
        <f>IFERROR((AK214/L214)^(1/5)-1,"n/m")</f>
        <v>0.0713663171290457</v>
      </c>
      <c r="AZ214" s="20">
        <f>IFERROR((AK214/G214)^(1/10)-1,"n/m")</f>
        <v>0.0700265513362943</v>
      </c>
      <c r="BA214" s="20">
        <f>IFERROR((AK214/C214)^(1/14)-1,"n/m")</f>
        <v>0.0621547612980129</v>
      </c>
    </row>
    <row r="215" ht="15" customHeight="1" s="251">
      <c r="B215" s="25" t="inlineStr">
        <is>
          <t xml:space="preserve">  Adjusted EBITDA margin %</t>
        </is>
      </c>
      <c r="C215" s="215">
        <f>IF(AND(ISNUMBER(C214),ISNUMBER(C150)),IFERROR(C214/C150,""),"")</f>
        <v>0.168151348774495</v>
      </c>
      <c r="D215" s="215">
        <f>IF(AND(ISNUMBER(D214),ISNUMBER(D150)),IFERROR(D214/D150,""),"")</f>
        <v>0.156454103633792</v>
      </c>
      <c r="E215" s="215">
        <f>IF(AND(ISNUMBER(E214),ISNUMBER(E150)),IFERROR(E214/E150,""),"")</f>
        <v>0.155081467952082</v>
      </c>
      <c r="F215" s="215">
        <f>IF(AND(ISNUMBER(F214),ISNUMBER(F150)),IFERROR(F214/F150,""),"")</f>
        <v>0.163463652535428</v>
      </c>
      <c r="G215" s="215">
        <f>IF(AND(ISNUMBER(G214),ISNUMBER(G150)),IFERROR(G214/G150,""),"")</f>
        <v>0.166933473580719</v>
      </c>
      <c r="H215" s="215">
        <f>IF(AND(ISNUMBER(H214),ISNUMBER(H150)),IFERROR(H214/H150,""),"")</f>
        <v>0.158309763637388</v>
      </c>
      <c r="I215" s="215">
        <f>IF(AND(ISNUMBER(I214),ISNUMBER(I150)),IFERROR(I214/I150,""),"")</f>
        <v>0.171235321165396</v>
      </c>
      <c r="J215" s="215">
        <f>IF(AND(ISNUMBER(J214),ISNUMBER(J150)),IFERROR(J214/J150,""),"")</f>
        <v>0.182183635993883</v>
      </c>
      <c r="K215" s="215">
        <f>IF(AND(ISNUMBER(K214),ISNUMBER(K150)),IFERROR(K214/K150,""),"")</f>
        <v>0.187881719759037</v>
      </c>
      <c r="L215" s="215">
        <f>IF(AND(ISNUMBER(L214),ISNUMBER(L150)),IFERROR(L214/L150,""),"")</f>
        <v>0.190055957029489</v>
      </c>
      <c r="M215" s="215">
        <f>IF(AND(ISNUMBER(M214),ISNUMBER(M150)),IFERROR(M214/M150,""),"")</f>
        <v>0.165678668350635</v>
      </c>
      <c r="N215" s="215">
        <f>IF(AND(ISNUMBER(N214),ISNUMBER(N150)),IFERROR(N214/N150,""),"")</f>
        <v>0.204589202867263</v>
      </c>
      <c r="O215" s="215">
        <f>IF(AND(ISNUMBER(O214),ISNUMBER(O150)),IFERROR(O214/O150,""),"")</f>
        <v>0.177895540485921</v>
      </c>
      <c r="P215" s="215">
        <f>IF(AND(ISNUMBER(P214),ISNUMBER(P150)),IFERROR(P214/P150,""),"")</f>
        <v>0.186041454393678</v>
      </c>
      <c r="Q215" s="215">
        <f>IF(AND(ISNUMBER(Q214),ISNUMBER(Q150)),IFERROR(Q214/Q150,""),"")</f>
        <v>0.183948754848983</v>
      </c>
      <c r="R215" s="215">
        <f>IF(AND(ISNUMBER(R214),ISNUMBER(R150)),IFERROR(R214/R150,""),"")</f>
        <v>0.155310513934998</v>
      </c>
      <c r="S215" s="215">
        <f>IF(AND(ISNUMBER(S214),ISNUMBER(S150)),IFERROR(S214/S150,""),"")</f>
        <v>0.154514270523943</v>
      </c>
      <c r="T215" s="215">
        <f>IF(AND(ISNUMBER(T214),ISNUMBER(T150)),IFERROR(T214/T150,""),"")</f>
        <v>0.143886367631834</v>
      </c>
      <c r="U215" s="215">
        <f>IF(AND(ISNUMBER(U214),ISNUMBER(U150)),IFERROR(U214/U150,""),"")</f>
        <v>0.145161265122267</v>
      </c>
      <c r="V215" s="215">
        <f>IF(AND(ISNUMBER(V214),ISNUMBER(V150)),IFERROR(V214/V150,""),"")</f>
        <v>0.149442879985227</v>
      </c>
      <c r="W215" s="215">
        <f>IF(AND(ISNUMBER(W214),ISNUMBER(W150)),IFERROR(W214/W150,""),"")</f>
        <v>0.116111855600943</v>
      </c>
      <c r="X215" s="215">
        <f>IF(AND(ISNUMBER(X214),ISNUMBER(X150)),IFERROR(X214/X150,""),"")</f>
        <v>0.163470776119652</v>
      </c>
      <c r="Y215" s="215">
        <f>IF(AND(ISNUMBER(Y214),ISNUMBER(Y150)),IFERROR(Y214/Y150,""),"")</f>
        <v>0.184148636817238</v>
      </c>
      <c r="Z215" s="215">
        <f>IF(AND(ISNUMBER(Z214),ISNUMBER(Z150)),IFERROR(Z214/Z150,""),"")</f>
        <v>0.178693039237134</v>
      </c>
      <c r="AA215" s="215">
        <f>IF(AND(ISNUMBER(AA214),ISNUMBER(AA150)),IFERROR(AA214/AA150,""),"")</f>
        <v>0.163157739437021</v>
      </c>
      <c r="AB215" s="215">
        <f>IF(AND(ISNUMBER(AB214),ISNUMBER(AB150)),IFERROR(AB214/AB150,""),"")</f>
        <v>0.188047996135904</v>
      </c>
      <c r="AC215" s="215">
        <f>IF(AND(ISNUMBER(AC214),ISNUMBER(AC150)),IFERROR(AC214/AC150,""),"")</f>
        <v>0.196824537944294</v>
      </c>
      <c r="AD215" s="215">
        <f>IF(AND(ISNUMBER(AD214),ISNUMBER(AD150)),IFERROR(AD214/AD150,""),"")</f>
        <v>0.189546153773558</v>
      </c>
      <c r="AE215" s="215">
        <f>IF(AND(ISNUMBER(AE214),ISNUMBER(AE150)),IFERROR(AE214/AE150,""),"")</f>
        <v>0.17174027019689</v>
      </c>
      <c r="AF215" s="215">
        <f>IF(AND(ISNUMBER(AF214),ISNUMBER(AF150)),IFERROR(AF214/AF150,""),"")</f>
        <v>0.186443614783369</v>
      </c>
      <c r="AG215" s="215">
        <f>IF(AND(ISNUMBER(AG214),ISNUMBER(AG150)),IFERROR(AG214/AG150,""),"")</f>
        <v>0.174513572098742</v>
      </c>
      <c r="AH215" s="215">
        <f>IF(AND(ISNUMBER(AH214),ISNUMBER(AH150)),IFERROR(AH214/AH150,""),"")</f>
        <v>0.185628810281238</v>
      </c>
      <c r="AI215" s="215">
        <f>IF(AND(ISNUMBER(AI214),ISNUMBER(AI150)),IFERROR(AI214/AI150,""),"")</f>
        <v>0.181207848414871</v>
      </c>
      <c r="AJ215" s="215">
        <f>IF(AND(ISNUMBER(AJ214),ISNUMBER(AJ150)),IFERROR(AJ214/AJ150,""),"")</f>
        <v>0.205722300816668</v>
      </c>
      <c r="AK215" s="215">
        <f>IF(AND(ISNUMBER(AK214),ISNUMBER(AK150)),IFERROR(AK214/AK150,""),"")</f>
        <v>0.187692455195645</v>
      </c>
      <c r="AL215" s="215">
        <f>IF(AND(ISNUMBER(AL214),ISNUMBER(AL150)),IFERROR(AL214/AL150,""),"")</f>
        <v>0.208571594875428</v>
      </c>
      <c r="AM215" s="215">
        <f>IF(AND(ISNUMBER(AM214),ISNUMBER(AM150)),IFERROR(AM214/AM150,""),"")</f>
        <v>0.197574108171155</v>
      </c>
      <c r="AN215" s="215">
        <f>IF(AND(ISNUMBER(AN214),ISNUMBER(AN150)),IFERROR(AN214/AN150,""),"")</f>
        <v>0.224438927462704</v>
      </c>
      <c r="AO215" s="256">
        <f>IF(AND(ISNUMBER(AO214),ISNUMBER(AO150)),IFERROR(AO214/AO150,""),"")</f>
        <v>0.212036470935126</v>
      </c>
      <c r="AP215" s="256">
        <f>IF(AND(ISNUMBER(AP214),ISNUMBER(AP150)),IFERROR(AP214/AP150,""),"")</f>
        <v>0.210776264809379</v>
      </c>
      <c r="AQ215" s="256">
        <f>IF(AND(ISNUMBER(AQ214),ISNUMBER(AQ150)),IFERROR(AQ214/AQ150,""),"")</f>
        <v>0.217713124161004</v>
      </c>
      <c r="AR215" s="256">
        <f>IF(AND(ISNUMBER(AR214),ISNUMBER(AR150)),IFERROR(AR214/AR150,""),"")</f>
        <v>0.223263392683899</v>
      </c>
      <c r="AS215" s="256">
        <f>IF(AND(ISNUMBER(AS214),ISNUMBER(AS150)),IFERROR(AS214/AS150,""),"")</f>
        <v>0.228069044968112</v>
      </c>
      <c r="AT215" s="256">
        <f>IF(AND(ISNUMBER(AT214),ISNUMBER(AT150)),IFERROR(AT214/AT150,""),"")</f>
        <v>0.230462664625848</v>
      </c>
      <c r="AU215" s="256">
        <f>IF(AND(ISNUMBER(AU214),ISNUMBER(AU150)),IFERROR(AU214/AU150,""),"")</f>
        <v>0.232343211933169</v>
      </c>
      <c r="AV215" s="153" t="n"/>
      <c r="AX215" s="37">
        <f>IFERROR(AVERAGE(AQ215,AR215,AS215,AT215,AU215),"n/m")</f>
        <v>0.226370287674406</v>
      </c>
      <c r="AY215" s="37">
        <f>IFERROR(AVERAGE(Q215,V215,AA215,AF215,AK215),"n/m")</f>
        <v>0.174137088850049</v>
      </c>
      <c r="AZ215" s="37">
        <f>IFERROR(AVERAGE(H215,I215,J215,K215,L215,Q215,V215,AA215,AF215,AK215),"n/m")</f>
        <v>0.176035184183544</v>
      </c>
      <c r="BA215" s="37">
        <f>IFERROR(AVERAGE(C215,D215,E215,F215,G215,H215,I215,J215,K215,L215,Q215,V215,AA215,AF215,AK215),"n/m")</f>
        <v>0.17136239255413</v>
      </c>
    </row>
    <row r="216" ht="15" customHeight="1" s="251">
      <c r="B216" s="156" t="inlineStr">
        <is>
          <t xml:space="preserve">  Company-published adjusted EBITDA</t>
        </is>
      </c>
      <c r="C216" s="34" t="n"/>
      <c r="D216" s="34" t="n"/>
      <c r="E216" s="34" t="n"/>
      <c r="F216" s="34" t="n"/>
      <c r="G216" s="34" t="n"/>
      <c r="H216" s="34" t="n"/>
      <c r="I216" s="34" t="n"/>
      <c r="J216" s="253" t="n">
        <v>423.736</v>
      </c>
      <c r="K216" s="253" t="n">
        <v>544.894</v>
      </c>
      <c r="L216" s="253" t="n">
        <v>474.316</v>
      </c>
      <c r="M216" s="253" t="n">
        <v>89.072</v>
      </c>
      <c r="N216" s="253" t="n">
        <v>118.932</v>
      </c>
      <c r="O216" s="253" t="n">
        <v>99.03</v>
      </c>
      <c r="P216" s="253" t="n">
        <v>106.084</v>
      </c>
      <c r="Q216" s="253" t="n">
        <v>413.118</v>
      </c>
      <c r="R216" s="253" t="n">
        <v>84.114</v>
      </c>
      <c r="S216" s="253" t="n">
        <v>90.675</v>
      </c>
      <c r="T216" s="253" t="n">
        <v>88.39400000000001</v>
      </c>
      <c r="U216" s="253" t="n">
        <v>92.908</v>
      </c>
      <c r="V216" s="253" t="n">
        <v>356.091</v>
      </c>
      <c r="W216" s="253" t="n">
        <v>71.82899999999999</v>
      </c>
      <c r="X216" s="253" t="n">
        <v>117.407</v>
      </c>
      <c r="Y216" s="253" t="n">
        <v>147.441</v>
      </c>
      <c r="Z216" s="253" t="n">
        <v>138.857</v>
      </c>
      <c r="AA216" s="253" t="n">
        <v>475.534</v>
      </c>
      <c r="AB216" s="253" t="n">
        <v>147.943</v>
      </c>
      <c r="AC216" s="253" t="n">
        <v>164.416</v>
      </c>
      <c r="AD216" s="253" t="n">
        <v>160.676</v>
      </c>
      <c r="AE216" s="253" t="n">
        <v>146.75</v>
      </c>
      <c r="AF216" s="253" t="n">
        <v>619.785</v>
      </c>
      <c r="AG216" s="253" t="n">
        <v>134.851</v>
      </c>
      <c r="AH216" s="253" t="n">
        <v>164.027</v>
      </c>
      <c r="AI216" s="253" t="n">
        <v>165.886</v>
      </c>
      <c r="AJ216" s="253" t="n">
        <v>204.748</v>
      </c>
      <c r="AK216" s="253" t="n">
        <v>669.511</v>
      </c>
      <c r="AL216" s="253" t="n">
        <v>207.832</v>
      </c>
      <c r="AM216" s="253" t="n">
        <v>215.468</v>
      </c>
      <c r="AN216" s="253" t="n">
        <v>249.061</v>
      </c>
      <c r="AO216" s="153" t="n"/>
      <c r="AP216" s="153" t="n"/>
      <c r="AQ216" s="153" t="n"/>
      <c r="AR216" s="153" t="n"/>
      <c r="AS216" s="153" t="n"/>
      <c r="AT216" s="153" t="n"/>
      <c r="AU216" s="153" t="n"/>
      <c r="AV216" s="153" t="n"/>
    </row>
    <row r="217" ht="15" customHeight="1" s="251">
      <c r="B217" s="57" t="inlineStr">
        <is>
          <t xml:space="preserve">  Check: model vs company-published adjusted EBITDA (should be 0)</t>
        </is>
      </c>
      <c r="C217" s="263" t="str">
        <f>IF(AND(ISNUMBER(C216),ISNUMBER(C214)),IF(ABS(C214-C216)&lt;=0.15,0,ROUND(C214-C216,1)),"n/p")</f>
        <v>n/p</v>
      </c>
      <c r="D217" s="263" t="str">
        <f>IF(AND(ISNUMBER(D216),ISNUMBER(D214)),IF(ABS(D214-D216)&lt;=0.15,0,ROUND(D214-D216,1)),"n/p")</f>
        <v>n/p</v>
      </c>
      <c r="E217" s="263" t="str">
        <f>IF(AND(ISNUMBER(E216),ISNUMBER(E214)),IF(ABS(E214-E216)&lt;=0.15,0,ROUND(E214-E216,1)),"n/p")</f>
        <v>n/p</v>
      </c>
      <c r="F217" s="263" t="str">
        <f>IF(AND(ISNUMBER(F216),ISNUMBER(F214)),IF(ABS(F214-F216)&lt;=0.15,0,ROUND(F214-F216,1)),"n/p")</f>
        <v>n/p</v>
      </c>
      <c r="G217" s="263" t="str">
        <f>IF(AND(ISNUMBER(G216),ISNUMBER(G214)),IF(ABS(G214-G216)&lt;=0.15,0,ROUND(G214-G216,1)),"n/p")</f>
        <v>n/p</v>
      </c>
      <c r="H217" s="263" t="str">
        <f>IF(AND(ISNUMBER(H216),ISNUMBER(H214)),IF(ABS(H214-H216)&lt;=0.15,0,ROUND(H214-H216,1)),"n/p")</f>
        <v>n/p</v>
      </c>
      <c r="I217" s="263" t="str">
        <f>IF(AND(ISNUMBER(I216),ISNUMBER(I214)),IF(ABS(I214-I216)&lt;=0.15,0,ROUND(I214-I216,1)),"n/p")</f>
        <v>n/p</v>
      </c>
      <c r="J217" s="263">
        <f>IF(AND(ISNUMBER(J216),ISNUMBER(J214)),IF(ABS(J214-J216)&lt;=0.15,0,ROUND(J214-J216,1)),"n/p")</f>
        <v>0</v>
      </c>
      <c r="K217" s="263">
        <f>IF(AND(ISNUMBER(K216),ISNUMBER(K214)),IF(ABS(K214-K216)&lt;=0.15,0,ROUND(K214-K216,1)),"n/p")</f>
        <v>0</v>
      </c>
      <c r="L217" s="263">
        <f>IF(AND(ISNUMBER(L216),ISNUMBER(L214)),IF(ABS(L214-L216)&lt;=0.15,0,ROUND(L214-L216,1)),"n/p")</f>
        <v>0</v>
      </c>
      <c r="M217" s="263">
        <f>IF(AND(ISNUMBER(M216),ISNUMBER(M214)),IF(ABS(M214-M216)&lt;=0.15,0,ROUND(M214-M216,1)),"n/p")</f>
        <v>0</v>
      </c>
      <c r="N217" s="263">
        <f>IF(AND(ISNUMBER(N216),ISNUMBER(N214)),IF(ABS(N214-N216)&lt;=0.15,0,ROUND(N214-N216,1)),"n/p")</f>
        <v>0</v>
      </c>
      <c r="O217" s="263">
        <f>IF(AND(ISNUMBER(O216),ISNUMBER(O214)),IF(ABS(O214-O216)&lt;=0.15,0,ROUND(O214-O216,1)),"n/p")</f>
        <v>0</v>
      </c>
      <c r="P217" s="263">
        <f>IF(AND(ISNUMBER(P216),ISNUMBER(P214)),IF(ABS(P214-P216)&lt;=0.15,0,ROUND(P214-P216,1)),"n/p")</f>
        <v>0</v>
      </c>
      <c r="Q217" s="263">
        <f>IF(AND(ISNUMBER(Q216),ISNUMBER(Q214)),IF(ABS(Q214-Q216)&lt;=0.15,0,ROUND(Q214-Q216,1)),"n/p")</f>
        <v>0</v>
      </c>
      <c r="R217" s="263">
        <f>IF(AND(ISNUMBER(R216),ISNUMBER(R214)),IF(ABS(R214-R216)&lt;=0.15,0,ROUND(R214-R216,1)),"n/p")</f>
        <v>0</v>
      </c>
      <c r="S217" s="263">
        <f>IF(AND(ISNUMBER(S216),ISNUMBER(S214)),IF(ABS(S214-S216)&lt;=0.15,0,ROUND(S214-S216,1)),"n/p")</f>
        <v>0</v>
      </c>
      <c r="T217" s="263">
        <f>IF(AND(ISNUMBER(T216),ISNUMBER(T214)),IF(ABS(T214-T216)&lt;=0.15,0,ROUND(T214-T216,1)),"n/p")</f>
        <v>0</v>
      </c>
      <c r="U217" s="263">
        <f>IF(AND(ISNUMBER(U216),ISNUMBER(U214)),IF(ABS(U214-U216)&lt;=0.15,0,ROUND(U214-U216,1)),"n/p")</f>
        <v>0</v>
      </c>
      <c r="V217" s="263">
        <f>IF(AND(ISNUMBER(V216),ISNUMBER(V214)),IF(ABS(V214-V216)&lt;=0.15,0,ROUND(V214-V216,1)),"n/p")</f>
        <v>0</v>
      </c>
      <c r="W217" s="263">
        <f>IF(AND(ISNUMBER(W216),ISNUMBER(W214)),IF(ABS(W214-W216)&lt;=0.15,0,ROUND(W214-W216,1)),"n/p")</f>
        <v>0</v>
      </c>
      <c r="X217" s="263">
        <f>IF(AND(ISNUMBER(X216),ISNUMBER(X214)),IF(ABS(X214-X216)&lt;=0.15,0,ROUND(X214-X216,1)),"n/p")</f>
        <v>0</v>
      </c>
      <c r="Y217" s="263">
        <f>IF(AND(ISNUMBER(Y216),ISNUMBER(Y214)),IF(ABS(Y214-Y216)&lt;=0.15,0,ROUND(Y214-Y216,1)),"n/p")</f>
        <v>0</v>
      </c>
      <c r="Z217" s="263">
        <f>IF(AND(ISNUMBER(Z216),ISNUMBER(Z214)),IF(ABS(Z214-Z216)&lt;=0.15,0,ROUND(Z214-Z216,1)),"n/p")</f>
        <v>0</v>
      </c>
      <c r="AA217" s="263">
        <f>IF(AND(ISNUMBER(AA216),ISNUMBER(AA214)),IF(ABS(AA214-AA216)&lt;=0.15,0,ROUND(AA214-AA216,1)),"n/p")</f>
        <v>0</v>
      </c>
      <c r="AB217" s="263">
        <f>IF(AND(ISNUMBER(AB216),ISNUMBER(AB214)),IF(ABS(AB214-AB216)&lt;=0.15,0,ROUND(AB214-AB216,1)),"n/p")</f>
        <v>0</v>
      </c>
      <c r="AC217" s="263">
        <f>IF(AND(ISNUMBER(AC216),ISNUMBER(AC214)),IF(ABS(AC214-AC216)&lt;=0.15,0,ROUND(AC214-AC216,1)),"n/p")</f>
        <v>0</v>
      </c>
      <c r="AD217" s="263">
        <f>IF(AND(ISNUMBER(AD216),ISNUMBER(AD214)),IF(ABS(AD214-AD216)&lt;=0.15,0,ROUND(AD214-AD216,1)),"n/p")</f>
        <v>0</v>
      </c>
      <c r="AE217" s="263">
        <f>IF(AND(ISNUMBER(AE216),ISNUMBER(AE214)),IF(ABS(AE214-AE216)&lt;=0.15,0,ROUND(AE214-AE216,1)),"n/p")</f>
        <v>0</v>
      </c>
      <c r="AF217" s="263">
        <f>IF(AND(ISNUMBER(AF216),ISNUMBER(AF214)),IF(ABS(AF214-AF216)&lt;=0.15,0,ROUND(AF214-AF216,1)),"n/p")</f>
        <v>0</v>
      </c>
      <c r="AG217" s="263">
        <f>IF(AND(ISNUMBER(AG216),ISNUMBER(AG214)),IF(ABS(AG214-AG216)&lt;=0.15,0,ROUND(AG214-AG216,1)),"n/p")</f>
        <v>0</v>
      </c>
      <c r="AH217" s="263">
        <f>IF(AND(ISNUMBER(AH216),ISNUMBER(AH214)),IF(ABS(AH214-AH216)&lt;=0.15,0,ROUND(AH214-AH216,1)),"n/p")</f>
        <v>0</v>
      </c>
      <c r="AI217" s="263">
        <f>IF(AND(ISNUMBER(AI216),ISNUMBER(AI214)),IF(ABS(AI214-AI216)&lt;=0.15,0,ROUND(AI214-AI216,1)),"n/p")</f>
        <v>0</v>
      </c>
      <c r="AJ217" s="263">
        <f>IF(AND(ISNUMBER(AJ216),ISNUMBER(AJ214)),IF(ABS(AJ214-AJ216)&lt;=0.15,0,ROUND(AJ214-AJ216,1)),"n/p")</f>
        <v>0</v>
      </c>
      <c r="AK217" s="263">
        <f>IF(AND(ISNUMBER(AK216),ISNUMBER(AK214)),IF(ABS(AK214-AK216)&lt;=0.15,0,ROUND(AK214-AK216,1)),"n/p")</f>
        <v>0</v>
      </c>
      <c r="AL217" s="263">
        <f>IF(AND(ISNUMBER(AL216),ISNUMBER(AL214)),IF(ABS(AL214-AL216)&lt;=0.15,0,ROUND(AL214-AL216,1)),"n/p")</f>
        <v>0</v>
      </c>
      <c r="AM217" s="263">
        <f>IF(AND(ISNUMBER(AM216),ISNUMBER(AM214)),IF(ABS(AM214-AM216)&lt;=0.15,0,ROUND(AM214-AM216,1)),"n/p")</f>
        <v>0</v>
      </c>
      <c r="AN217" s="263">
        <f>IF(AND(ISNUMBER(AN216),ISNUMBER(AN214)),IF(ABS(AN214-AN216)&lt;=0.15,0,ROUND(AN214-AN216,1)),"n/p")</f>
        <v>0</v>
      </c>
      <c r="AO217" s="153" t="n"/>
      <c r="AP217" s="153" t="n"/>
      <c r="AQ217" s="153" t="n"/>
      <c r="AR217" s="153" t="n"/>
      <c r="AS217" s="153" t="n"/>
      <c r="AT217" s="153" t="n"/>
      <c r="AU217" s="153" t="n"/>
      <c r="AV217" s="153" t="n"/>
    </row>
    <row r="218" ht="15" customHeight="1" s="251">
      <c r="B218" s="25" t="inlineStr">
        <is>
          <t>To adjusted EBIT, full-cost (for NOPAT, ROIC and the DCF):</t>
        </is>
      </c>
      <c r="AV218" s="153" t="n"/>
    </row>
    <row r="219" ht="15" customHeight="1" s="251">
      <c r="B219" s="25" t="inlineStr">
        <is>
          <t xml:space="preserve">  (−) Depreciation &amp; amortization (total)</t>
        </is>
      </c>
      <c r="C219" s="263">
        <f>IF(ISNUMBER(C129),-C129,"")</f>
        <v>-75.393</v>
      </c>
      <c r="D219" s="263">
        <f>IF(ISNUMBER(D129),-D129,"")</f>
        <v>-68.617</v>
      </c>
      <c r="E219" s="263">
        <f>IF(ISNUMBER(E129),-E129,"")</f>
        <v>-74.233</v>
      </c>
      <c r="F219" s="263">
        <f>IF(ISNUMBER(F129),-F129,"")</f>
        <v>-77.353</v>
      </c>
      <c r="G219" s="263">
        <f>IF(ISNUMBER(G129),-G129,"")</f>
        <v>-75.235</v>
      </c>
      <c r="H219" s="263">
        <f>IF(ISNUMBER(H129),-H129,"")</f>
        <v>-69.036</v>
      </c>
      <c r="I219" s="263">
        <f>IF(ISNUMBER(I129),-I129,"")</f>
        <v>-80.917</v>
      </c>
      <c r="J219" s="263">
        <f>IF(ISNUMBER(J129),-J129,"")</f>
        <v>-116.131</v>
      </c>
      <c r="K219" s="263">
        <f>IF(ISNUMBER(K129),-K129,"")</f>
        <v>-142.004</v>
      </c>
      <c r="L219" s="263">
        <f>IF(ISNUMBER(L129),-L129,"")</f>
        <v>-131.158</v>
      </c>
      <c r="M219" s="263">
        <f>IF(ISNUMBER(M129),-M129,"")</f>
        <v>-33.077</v>
      </c>
      <c r="N219" s="263">
        <f>IF(ISNUMBER(N129),-N129,"")</f>
        <v>-32.479</v>
      </c>
      <c r="O219" s="263">
        <f>IF(ISNUMBER(O129),-O129,"")</f>
        <v>-32.243</v>
      </c>
      <c r="P219" s="263">
        <f>IF(ISNUMBER(P129),-P129,"")</f>
        <v>-31.725</v>
      </c>
      <c r="Q219" s="263">
        <f>IF(ISNUMBER(Q129),-Q129,"")</f>
        <v>-129.524</v>
      </c>
      <c r="R219" s="263">
        <f>IF(ISNUMBER(R129),-R129,"")</f>
        <v>-30.721</v>
      </c>
      <c r="S219" s="263">
        <f>IF(ISNUMBER(S129),-S129,"")</f>
        <v>-30.61</v>
      </c>
      <c r="T219" s="263">
        <f>IF(ISNUMBER(T129),-T129,"")</f>
        <v>-29.927</v>
      </c>
      <c r="U219" s="263">
        <f>IF(ISNUMBER(U129),-U129,"")</f>
        <v>-29.37</v>
      </c>
      <c r="V219" s="263">
        <f>IF(ISNUMBER(V129),-V129,"")</f>
        <v>-120.628</v>
      </c>
      <c r="W219" s="263">
        <f>IF(ISNUMBER(W129),-W129,"")</f>
        <v>-29.304</v>
      </c>
      <c r="X219" s="263">
        <f>IF(ISNUMBER(X129),-X129,"")</f>
        <v>-29.953</v>
      </c>
      <c r="Y219" s="263">
        <f>IF(ISNUMBER(Y129),-Y129,"")</f>
        <v>-30.044</v>
      </c>
      <c r="Z219" s="263">
        <f>IF(ISNUMBER(Z129),-Z129,"")</f>
        <v>-30.442</v>
      </c>
      <c r="AA219" s="263">
        <f>IF(ISNUMBER(AA129),-AA129,"")</f>
        <v>-119.743</v>
      </c>
      <c r="AB219" s="263">
        <f>IF(ISNUMBER(AB129),-AB129,"")</f>
        <v>-28.825</v>
      </c>
      <c r="AC219" s="263">
        <f>IF(ISNUMBER(AC129),-AC129,"")</f>
        <v>-29.225</v>
      </c>
      <c r="AD219" s="263">
        <f>IF(ISNUMBER(AD129),-AD129,"")</f>
        <v>-28.792</v>
      </c>
      <c r="AE219" s="263">
        <f>IF(ISNUMBER(AE129),-AE129,"")</f>
        <v>-29.328</v>
      </c>
      <c r="AF219" s="263">
        <f>IF(ISNUMBER(AF129),-AF129,"")</f>
        <v>-116.17</v>
      </c>
      <c r="AG219" s="263">
        <f>IF(ISNUMBER(AG129),-AG129,"")</f>
        <v>-27.876</v>
      </c>
      <c r="AH219" s="263">
        <f>IF(ISNUMBER(AH129),-AH129,"")</f>
        <v>-27.566</v>
      </c>
      <c r="AI219" s="263">
        <f>IF(ISNUMBER(AI129),-AI129,"")</f>
        <v>-28.654</v>
      </c>
      <c r="AJ219" s="263">
        <f>IF(ISNUMBER(AJ129),-AJ129,"")</f>
        <v>-29.182</v>
      </c>
      <c r="AK219" s="263">
        <f>IF(ISNUMBER(AK129),-AK129,"")</f>
        <v>-113.278</v>
      </c>
      <c r="AL219" s="263">
        <f>IF(ISNUMBER(AL129),-AL129,"")</f>
        <v>-29.038</v>
      </c>
      <c r="AM219" s="263">
        <f>IF(ISNUMBER(AM129),-AM129,"")</f>
        <v>-29.906</v>
      </c>
      <c r="AN219" s="263">
        <f>IF(ISNUMBER(AN129),-AN129,"")</f>
        <v>-32.069</v>
      </c>
      <c r="AO219" s="254">
        <f>IF(ISNUMBER(AO129),-AO129,"")</f>
        <v>-31.448</v>
      </c>
      <c r="AP219" s="254">
        <f>IF(ISNUMBER(AP129),-AP129,"")</f>
        <v>-122.461</v>
      </c>
      <c r="AQ219" s="254">
        <f>IF(ISNUMBER(AQ129),-AQ129,"")</f>
        <v>-142.052968304922</v>
      </c>
      <c r="AR219" s="254">
        <f>IF(ISNUMBER(AR129),-AR129,"")</f>
        <v>-163.649354465317</v>
      </c>
      <c r="AS219" s="254">
        <f>IF(ISNUMBER(AS129),-AS129,"")</f>
        <v>-180.002609005602</v>
      </c>
      <c r="AT219" s="254">
        <f>IF(ISNUMBER(AT129),-AT129,"")</f>
        <v>-191.2127537162</v>
      </c>
      <c r="AU219" s="254">
        <f>IF(ISNUMBER(AU129),-AU129,"")</f>
        <v>-201.211355027128</v>
      </c>
      <c r="AV219" s="19" t="n"/>
    </row>
    <row r="220" ht="15" customHeight="1" s="251">
      <c r="B220" s="55" t="inlineStr">
        <is>
          <t xml:space="preserve">  = Adjusted EBIT, full-cost (adjusted EBITDA − total D&amp;A; = adjusted EBIT except purchase-accounting amortization)</t>
        </is>
      </c>
      <c r="C220" s="273">
        <f>IF(ISNUMBER(C214),C214+C219,"")</f>
        <v>212.432</v>
      </c>
      <c r="D220" s="273">
        <f>IF(ISNUMBER(D214),D214+D219,"")</f>
        <v>223.268</v>
      </c>
      <c r="E220" s="273">
        <f>IF(ISNUMBER(E214),E214+E219,"")</f>
        <v>226.001</v>
      </c>
      <c r="F220" s="273">
        <f>IF(ISNUMBER(F214),F214+F219,"")</f>
        <v>249.777</v>
      </c>
      <c r="G220" s="273">
        <f>IF(ISNUMBER(G214),G214+G219,"")</f>
        <v>265.026</v>
      </c>
      <c r="H220" s="273">
        <f>IF(ISNUMBER(H214),H214+H219,"")</f>
        <v>251.237</v>
      </c>
      <c r="I220" s="273">
        <f>IF(ISNUMBER(I214),I214+I219,"")</f>
        <v>278.452</v>
      </c>
      <c r="J220" s="273">
        <f>IF(ISNUMBER(J214),J214+J219,"")</f>
        <v>307.605</v>
      </c>
      <c r="K220" s="273">
        <f>IF(ISNUMBER(K214),K214+K219,"")</f>
        <v>402.89</v>
      </c>
      <c r="L220" s="273">
        <f>IF(ISNUMBER(L214),L214+L219,"")</f>
        <v>343.158</v>
      </c>
      <c r="M220" s="273">
        <f>IF(ISNUMBER(M214),M214+M219,"")</f>
        <v>55.9950000000001</v>
      </c>
      <c r="N220" s="273">
        <f>IF(ISNUMBER(N214),N214+N219,"")</f>
        <v>86.4530000000001</v>
      </c>
      <c r="O220" s="273">
        <f>IF(ISNUMBER(O214),O214+O219,"")</f>
        <v>66.787</v>
      </c>
      <c r="P220" s="273">
        <f>IF(ISNUMBER(P214),P214+P219,"")</f>
        <v>74.3589999999999</v>
      </c>
      <c r="Q220" s="273">
        <f>IF(ISNUMBER(Q214),Q214+Q219,"")</f>
        <v>283.594</v>
      </c>
      <c r="R220" s="273">
        <f>IF(ISNUMBER(R214),R214+R219,"")</f>
        <v>53.393</v>
      </c>
      <c r="S220" s="273">
        <f>IF(ISNUMBER(S214),S214+S219,"")</f>
        <v>60.0650000000001</v>
      </c>
      <c r="T220" s="273">
        <f>IF(ISNUMBER(T214),T214+T219,"")</f>
        <v>58.467</v>
      </c>
      <c r="U220" s="273">
        <f>IF(ISNUMBER(U214),U214+U219,"")</f>
        <v>63.5380000000001</v>
      </c>
      <c r="V220" s="273">
        <f>IF(ISNUMBER(V214),V214+V219,"")</f>
        <v>235.463</v>
      </c>
      <c r="W220" s="273">
        <f>IF(ISNUMBER(W214),W214+W219,"")</f>
        <v>42.525</v>
      </c>
      <c r="X220" s="273">
        <f>IF(ISNUMBER(X214),X214+X219,"")</f>
        <v>87.4540000000001</v>
      </c>
      <c r="Y220" s="273">
        <f>IF(ISNUMBER(Y214),Y214+Y219,"")</f>
        <v>117.397</v>
      </c>
      <c r="Z220" s="273">
        <f>IF(ISNUMBER(Z214),Z214+Z219,"")</f>
        <v>108.415</v>
      </c>
      <c r="AA220" s="273">
        <f>IF(ISNUMBER(AA214),AA214+AA219,"")</f>
        <v>355.791</v>
      </c>
      <c r="AB220" s="273">
        <f>IF(ISNUMBER(AB214),AB214+AB219,"")</f>
        <v>119.118</v>
      </c>
      <c r="AC220" s="273">
        <f>IF(ISNUMBER(AC214),AC214+AC219,"")</f>
        <v>135.191</v>
      </c>
      <c r="AD220" s="273">
        <f>IF(ISNUMBER(AD214),AD214+AD219,"")</f>
        <v>131.884</v>
      </c>
      <c r="AE220" s="273">
        <f>IF(ISNUMBER(AE214),AE214+AE219,"")</f>
        <v>117.422</v>
      </c>
      <c r="AF220" s="273">
        <f>IF(ISNUMBER(AF214),AF214+AF219,"")</f>
        <v>503.615</v>
      </c>
      <c r="AG220" s="273">
        <f>IF(ISNUMBER(AG214),AG214+AG219,"")</f>
        <v>106.975</v>
      </c>
      <c r="AH220" s="273">
        <f>IF(ISNUMBER(AH214),AH214+AH219,"")</f>
        <v>136.461</v>
      </c>
      <c r="AI220" s="273">
        <f>IF(ISNUMBER(AI214),AI214+AI219,"")</f>
        <v>137.232</v>
      </c>
      <c r="AJ220" s="273">
        <f>IF(ISNUMBER(AJ214),AJ214+AJ219,"")</f>
        <v>175.566</v>
      </c>
      <c r="AK220" s="273">
        <f>IF(ISNUMBER(AK214),AK214+AK219,"")</f>
        <v>556.233</v>
      </c>
      <c r="AL220" s="273">
        <f>IF(ISNUMBER(AL214),AL214+AL219,"")</f>
        <v>178.794</v>
      </c>
      <c r="AM220" s="273">
        <f>IF(ISNUMBER(AM214),AM214+AM219,"")</f>
        <v>185.562</v>
      </c>
      <c r="AN220" s="273">
        <f>IF(ISNUMBER(AN214),AN214+AN219,"")</f>
        <v>216.992</v>
      </c>
      <c r="AO220" s="273">
        <f>IF(ISNUMBER(AO214),AO214+AO219,"")</f>
        <v>209.691697901044</v>
      </c>
      <c r="AP220" s="273">
        <f>IF(ISNUMBER(AP214),AP214+AP219,"")</f>
        <v>791.039697901045</v>
      </c>
      <c r="AQ220" s="273">
        <f>IF(ISNUMBER(AQ214),AQ214+AQ219,"")</f>
        <v>882.728717627371</v>
      </c>
      <c r="AR220" s="273">
        <f>IF(ISNUMBER(AR214),AR214+AR219,"")</f>
        <v>975.354335216035</v>
      </c>
      <c r="AS220" s="273">
        <f>IF(ISNUMBER(AS214),AS214+AS219,"")</f>
        <v>1066.76263517531</v>
      </c>
      <c r="AT220" s="273">
        <f>IF(ISNUMBER(AT214),AT214+AT219,"")</f>
        <v>1144.61462434783</v>
      </c>
      <c r="AU220" s="273">
        <f>IF(ISNUMBER(AU214),AU214+AU219,"")</f>
        <v>1221.54547586652</v>
      </c>
      <c r="AV220" s="153" t="inlineStr">
        <is>
          <t>Woodward does not adjust out amortization, so adjusted EBIT is already full-cost; this line also charges the FY2018–19 L'Orange backlog amortization.</t>
        </is>
      </c>
    </row>
    <row r="221" ht="15" customHeight="1" s="251">
      <c r="B221" s="25" t="inlineStr">
        <is>
          <t xml:space="preserve">  Adjusted EBIT (full-cost) margin %</t>
        </is>
      </c>
      <c r="C221" s="215">
        <f>IF(AND(ISNUMBER(C220),ISNUMBER(C150)),IFERROR(C220/C150,""),"")</f>
        <v>0.12410571466295</v>
      </c>
      <c r="D221" s="215">
        <f>IF(AND(ISNUMBER(D220),ISNUMBER(D150)),IFERROR(D220/D150,""),"")</f>
        <v>0.119674511571713</v>
      </c>
      <c r="E221" s="215">
        <f>IF(AND(ISNUMBER(E220),ISNUMBER(E150)),IFERROR(E220/E150,""),"")</f>
        <v>0.11673750087811</v>
      </c>
      <c r="F221" s="215">
        <f>IF(AND(ISNUMBER(F220),ISNUMBER(F150)),IFERROR(F220/F150,""),"")</f>
        <v>0.124811117107393</v>
      </c>
      <c r="G221" s="215">
        <f>IF(AND(ISNUMBER(G220),ISNUMBER(G150)),IFERROR(G220/G150,""),"")</f>
        <v>0.130022867061472</v>
      </c>
      <c r="H221" s="215">
        <f>IF(AND(ISNUMBER(H220),ISNUMBER(H150)),IFERROR(H220/H150,""),"")</f>
        <v>0.12418552324725</v>
      </c>
      <c r="I221" s="215">
        <f>IF(AND(ISNUMBER(I220),ISNUMBER(I150)),IFERROR(I220/I150,""),"")</f>
        <v>0.132679272973314</v>
      </c>
      <c r="J221" s="215">
        <f>IF(AND(ISNUMBER(J220),ISNUMBER(J150)),IFERROR(J220/J150,""),"")</f>
        <v>0.132253566725268</v>
      </c>
      <c r="K221" s="215">
        <f>IF(AND(ISNUMBER(K220),ISNUMBER(K150)),IFERROR(K220/K150,""),"")</f>
        <v>0.138918149353303</v>
      </c>
      <c r="L221" s="215">
        <f>IF(AND(ISNUMBER(L220),ISNUMBER(L150)),IFERROR(L220/L150,""),"")</f>
        <v>0.137501627822644</v>
      </c>
      <c r="M221" s="215">
        <f>IF(AND(ISNUMBER(M220),ISNUMBER(M150)),IFERROR(M220/M150,""),"")</f>
        <v>0.104153685044613</v>
      </c>
      <c r="N221" s="215">
        <f>IF(AND(ISNUMBER(N220),ISNUMBER(N150)),IFERROR(N220/N150,""),"")</f>
        <v>0.148718178080613</v>
      </c>
      <c r="O221" s="215">
        <f>IF(AND(ISNUMBER(O220),ISNUMBER(O150)),IFERROR(O220/O150,""),"")</f>
        <v>0.119974850675888</v>
      </c>
      <c r="P221" s="215">
        <f>IF(AND(ISNUMBER(P220),ISNUMBER(P150)),IFERROR(P220/P150,""),"")</f>
        <v>0.130404740651366</v>
      </c>
      <c r="Q221" s="215">
        <f>IF(AND(ISNUMBER(Q220),ISNUMBER(Q150)),IFERROR(Q220/Q150,""),"")</f>
        <v>0.126275696490209</v>
      </c>
      <c r="R221" s="215">
        <f>IF(AND(ISNUMBER(R220),ISNUMBER(R150)),IFERROR(R220/R150,""),"")</f>
        <v>0.0985863740938651</v>
      </c>
      <c r="S221" s="215">
        <f>IF(AND(ISNUMBER(S220),ISNUMBER(S150)),IFERROR(S220/S150,""),"")</f>
        <v>0.102353456399455</v>
      </c>
      <c r="T221" s="215">
        <f>IF(AND(ISNUMBER(T220),ISNUMBER(T150)),IFERROR(T220/T150,""),"")</f>
        <v>0.0951716661349237</v>
      </c>
      <c r="U221" s="215">
        <f>IF(AND(ISNUMBER(U220),ISNUMBER(U150)),IFERROR(U220/U150,""),"")</f>
        <v>0.0992730062356161</v>
      </c>
      <c r="V221" s="215">
        <f>IF(AND(ISNUMBER(V220),ISNUMBER(V150)),IFERROR(V220/V150,""),"")</f>
        <v>0.0988181921193223</v>
      </c>
      <c r="W221" s="215">
        <f>IF(AND(ISNUMBER(W220),ISNUMBER(W150)),IFERROR(W220/W150,""),"")</f>
        <v>0.0687418265523691</v>
      </c>
      <c r="X221" s="215">
        <f>IF(AND(ISNUMBER(X220),ISNUMBER(X150)),IFERROR(X220/X150,""),"")</f>
        <v>0.121765936058055</v>
      </c>
      <c r="Y221" s="215">
        <f>IF(AND(ISNUMBER(Y220),ISNUMBER(Y150)),IFERROR(Y220/Y150,""),"")</f>
        <v>0.146624734751075</v>
      </c>
      <c r="Z221" s="215">
        <f>IF(AND(ISNUMBER(Z220),ISNUMBER(Z150)),IFERROR(Z220/Z150,""),"")</f>
        <v>0.139517675370301</v>
      </c>
      <c r="AA221" s="215">
        <f>IF(AND(ISNUMBER(AA220),ISNUMBER(AA150)),IFERROR(AA220/AA150,""),"")</f>
        <v>0.122073406469436</v>
      </c>
      <c r="AB221" s="215">
        <f>IF(AND(ISNUMBER(AB220),ISNUMBER(AB150)),IFERROR(AB220/AB150,""),"")</f>
        <v>0.151408996733314</v>
      </c>
      <c r="AC221" s="215">
        <f>IF(AND(ISNUMBER(AC220),ISNUMBER(AC150)),IFERROR(AC220/AC150,""),"")</f>
        <v>0.161838909286365</v>
      </c>
      <c r="AD221" s="215">
        <f>IF(AND(ISNUMBER(AD220),ISNUMBER(AD150)),IFERROR(AD220/AD150,""),"")</f>
        <v>0.155580826908013</v>
      </c>
      <c r="AE221" s="215">
        <f>IF(AND(ISNUMBER(AE220),ISNUMBER(AE150)),IFERROR(AE220/AE150,""),"")</f>
        <v>0.137417962569398</v>
      </c>
      <c r="AF221" s="215">
        <f>IF(AND(ISNUMBER(AF220),ISNUMBER(AF150)),IFERROR(AF220/AF150,""),"")</f>
        <v>0.151497375798263</v>
      </c>
      <c r="AG221" s="215">
        <f>IF(AND(ISNUMBER(AG220),ISNUMBER(AG150)),IFERROR(AG220/AG150,""),"")</f>
        <v>0.138438642466596</v>
      </c>
      <c r="AH221" s="215">
        <f>IF(AND(ISNUMBER(AH220),ISNUMBER(AH150)),IFERROR(AH220/AH150,""),"")</f>
        <v>0.154432459776671</v>
      </c>
      <c r="AI221" s="215">
        <f>IF(AND(ISNUMBER(AI220),ISNUMBER(AI150)),IFERROR(AI220/AI150,""),"")</f>
        <v>0.149907258319988</v>
      </c>
      <c r="AJ221" s="215">
        <f>IF(AND(ISNUMBER(AJ220),ISNUMBER(AJ150)),IFERROR(AJ220/AJ150,""),"")</f>
        <v>0.176401437206611</v>
      </c>
      <c r="AK221" s="215">
        <f>IF(AND(ISNUMBER(AK220),ISNUMBER(AK150)),IFERROR(AK220/AK150,""),"")</f>
        <v>0.155935806029833</v>
      </c>
      <c r="AL221" s="215">
        <f>IF(AND(ISNUMBER(AL220),ISNUMBER(AL150)),IFERROR(AL220/AL150,""),"")</f>
        <v>0.179430259700899</v>
      </c>
      <c r="AM221" s="215">
        <f>IF(AND(ISNUMBER(AM220),ISNUMBER(AM150)),IFERROR(AM220/AM150,""),"")</f>
        <v>0.170151700765106</v>
      </c>
      <c r="AN221" s="215">
        <f>IF(AND(ISNUMBER(AN220),ISNUMBER(AN150)),IFERROR(AN220/AN150,""),"")</f>
        <v>0.195540256194214</v>
      </c>
      <c r="AO221" s="256">
        <f>IF(AND(ISNUMBER(AO220),ISNUMBER(AO150)),IFERROR(AO220/AO150,""),"")</f>
        <v>0.184383940074346</v>
      </c>
      <c r="AP221" s="256">
        <f>IF(AND(ISNUMBER(AP220),ISNUMBER(AP150)),IFERROR(AP220/AP150,""),"")</f>
        <v>0.182520268701079</v>
      </c>
      <c r="AQ221" s="256">
        <f>IF(AND(ISNUMBER(AQ220),ISNUMBER(AQ150)),IFERROR(AQ220/AQ150,""),"")</f>
        <v>0.187534212934782</v>
      </c>
      <c r="AR221" s="256">
        <f>IF(AND(ISNUMBER(AR220),ISNUMBER(AR150)),IFERROR(AR220/AR150,""),"")</f>
        <v>0.191185436818209</v>
      </c>
      <c r="AS221" s="256">
        <f>IF(AND(ISNUMBER(AS220),ISNUMBER(AS150)),IFERROR(AS220/AS150,""),"")</f>
        <v>0.195141416194945</v>
      </c>
      <c r="AT221" s="256">
        <f>IF(AND(ISNUMBER(AT220),ISNUMBER(AT150)),IFERROR(AT220/AT150,""),"")</f>
        <v>0.197473820815994</v>
      </c>
      <c r="AU221" s="256">
        <f>IF(AND(ISNUMBER(AU220),ISNUMBER(AU150)),IFERROR(AU220/AU150,""),"")</f>
        <v>0.199484404658939</v>
      </c>
      <c r="AV221" s="153" t="n"/>
      <c r="AX221" s="37">
        <f>IFERROR(AVERAGE(AQ221,AR221,AS221,AT221,AU221),"n/m")</f>
        <v>0.194163858284574</v>
      </c>
      <c r="AY221" s="37">
        <f>IFERROR(AVERAGE(Q221,V221,AA221,AF221,AK221),"n/m")</f>
        <v>0.130920095381413</v>
      </c>
      <c r="AZ221" s="37">
        <f>IFERROR(AVERAGE(H221,I221,J221,K221,L221,Q221,V221,AA221,AF221,AK221),"n/m")</f>
        <v>0.132013861702884</v>
      </c>
      <c r="BA221" s="37">
        <f>IFERROR(AVERAGE(C221,D221,E221,F221,G221,H221,I221,J221,K221,L221,Q221,V221,AA221,AF221,AK221),"n/m")</f>
        <v>0.129032688554032</v>
      </c>
    </row>
    <row r="222" collapsed="1" ht="15" customHeight="1" s="251">
      <c r="B222" s="156" t="inlineStr">
        <is>
          <t xml:space="preserve">  Memo: acquisition, integration &amp; restructuring costs (cash costs adjusted out; deducted in the DCF)</t>
        </is>
      </c>
      <c r="C222" s="263">
        <f>IF(ISNUMBER(C186),C186+C185,"")</f>
        <v>0</v>
      </c>
      <c r="D222" s="263">
        <f>IF(ISNUMBER(D186),D186+D185,"")</f>
        <v>0</v>
      </c>
      <c r="E222" s="263">
        <f>IF(ISNUMBER(E186),E186+E185,"")</f>
        <v>0</v>
      </c>
      <c r="F222" s="263">
        <f>IF(ISNUMBER(F186),F186+F185,"")</f>
        <v>0</v>
      </c>
      <c r="G222" s="263">
        <f>IF(ISNUMBER(G186),G186+G185,"")</f>
        <v>0</v>
      </c>
      <c r="H222" s="263">
        <f>IF(ISNUMBER(H186),H186+H185,"")</f>
        <v>0</v>
      </c>
      <c r="I222" s="263">
        <f>IF(ISNUMBER(I186),I186+I185,"")</f>
        <v>0</v>
      </c>
      <c r="J222" s="263">
        <f>IF(ISNUMBER(J186),J186+J185,"")</f>
        <v>36.064</v>
      </c>
      <c r="K222" s="263">
        <f>IF(ISNUMBER(K186),K186+K185,"")</f>
        <v>27.089</v>
      </c>
      <c r="L222" s="263">
        <f>IF(ISNUMBER(L186),L186+L185,"")</f>
        <v>38.571</v>
      </c>
      <c r="M222" s="263">
        <f>IF(ISNUMBER(M186),M186+M185,"")</f>
        <v>0</v>
      </c>
      <c r="N222" s="263">
        <f>IF(ISNUMBER(N186),N186+N185,"")</f>
        <v>0</v>
      </c>
      <c r="O222" s="263">
        <f>IF(ISNUMBER(O186),O186+O185,"")</f>
        <v>0</v>
      </c>
      <c r="P222" s="263">
        <f>IF(ISNUMBER(P186),P186+P185,"")</f>
        <v>5.008</v>
      </c>
      <c r="Q222" s="263">
        <f>IF(ISNUMBER(Q186),Q186+Q185,"")</f>
        <v>5.008</v>
      </c>
      <c r="R222" s="263">
        <f>IF(ISNUMBER(R186),R186+R185,"")</f>
        <v>2.982</v>
      </c>
      <c r="S222" s="263">
        <f>IF(ISNUMBER(S186),S186+S185,"")</f>
        <v>0</v>
      </c>
      <c r="T222" s="263">
        <f>IF(ISNUMBER(T186),T186+T185,"")</f>
        <v>0</v>
      </c>
      <c r="U222" s="263">
        <f>IF(ISNUMBER(U186),U186+U185,"")</f>
        <v>-3.42</v>
      </c>
      <c r="V222" s="263">
        <f>IF(ISNUMBER(V186),V186+V185,"")</f>
        <v>-0.438</v>
      </c>
      <c r="W222" s="263">
        <f>IF(ISNUMBER(W186),W186+W185,"")</f>
        <v>0</v>
      </c>
      <c r="X222" s="263">
        <f>IF(ISNUMBER(X186),X186+X185,"")</f>
        <v>7.38</v>
      </c>
      <c r="Y222" s="263">
        <f>IF(ISNUMBER(Y186),Y186+Y185,"")</f>
        <v>0</v>
      </c>
      <c r="Z222" s="263">
        <f>IF(ISNUMBER(Z186),Z186+Z185,"")</f>
        <v>0</v>
      </c>
      <c r="AA222" s="263">
        <f>IF(ISNUMBER(AA186),AA186+AA185,"")</f>
        <v>7.38</v>
      </c>
      <c r="AB222" s="263">
        <f>IF(ISNUMBER(AB186),AB186+AB185,"")</f>
        <v>4.238</v>
      </c>
      <c r="AC222" s="263">
        <f>IF(ISNUMBER(AC186),AC186+AC185,"")</f>
        <v>4.33</v>
      </c>
      <c r="AD222" s="263">
        <f>IF(ISNUMBER(AD186),AD186+AD185,"")</f>
        <v>0</v>
      </c>
      <c r="AE222" s="263">
        <f>IF(ISNUMBER(AE186),AE186+AE185,"")</f>
        <v>4.378</v>
      </c>
      <c r="AF222" s="263">
        <f>IF(ISNUMBER(AF186),AF186+AF185,"")</f>
        <v>12.946</v>
      </c>
      <c r="AG222" s="263">
        <f>IF(ISNUMBER(AG186),AG186+AG185,"")</f>
        <v>3.518</v>
      </c>
      <c r="AH222" s="263">
        <f>IF(ISNUMBER(AH186),AH186+AH185,"")</f>
        <v>3.793</v>
      </c>
      <c r="AI222" s="263">
        <f>IF(ISNUMBER(AI186),AI186+AI185,"")</f>
        <v>0</v>
      </c>
      <c r="AJ222" s="263">
        <f>IF(ISNUMBER(AJ186),AJ186+AJ185,"")</f>
        <v>0</v>
      </c>
      <c r="AK222" s="263">
        <f>IF(ISNUMBER(AK186),AK186+AK185,"")</f>
        <v>7.31</v>
      </c>
      <c r="AL222" s="263">
        <f>IF(ISNUMBER(AL186),AL186+AL185,"")</f>
        <v>0</v>
      </c>
      <c r="AM222" s="263">
        <f>IF(ISNUMBER(AM186),AM186+AM185,"")</f>
        <v>6.815</v>
      </c>
      <c r="AN222" s="263">
        <f>IF(ISNUMBER(AN186),AN186+AN185,"")</f>
        <v>9.264</v>
      </c>
      <c r="AO222" s="254">
        <f>IF(ISNUMBER(AO186),AO186+AO185,"")</f>
        <v>6</v>
      </c>
      <c r="AP222" s="254">
        <f>IF(ISNUMBER(AP186),AP186+AP185,"")</f>
        <v>22.079</v>
      </c>
      <c r="AQ222" s="254">
        <f>IF(ISNUMBER(AQ186),AQ186+AQ185,"")</f>
        <v>32</v>
      </c>
      <c r="AR222" s="254">
        <f>IF(ISNUMBER(AR186),AR186+AR185,"")</f>
        <v>17</v>
      </c>
      <c r="AS222" s="254">
        <f>IF(ISNUMBER(AS186),AS186+AS185,"")</f>
        <v>2</v>
      </c>
      <c r="AT222" s="254">
        <f>IF(ISNUMBER(AT186),AT186+AT185,"")</f>
        <v>2</v>
      </c>
      <c r="AU222" s="254">
        <f>IF(ISNUMBER(AU186),AU186+AU185,"")</f>
        <v>2</v>
      </c>
      <c r="AV222" s="153" t="n"/>
    </row>
    <row r="223" ht="15" customHeight="1" s="251">
      <c r="BD223" s="11" t="n"/>
      <c r="BE223" s="12" t="n"/>
      <c r="BF223" s="12" t="n"/>
      <c r="BG223" s="12" t="n"/>
      <c r="BH223" s="13" t="n"/>
    </row>
    <row r="224" ht="15" customHeight="1" s="251">
      <c r="B224" s="10" t="inlineStr">
        <is>
          <t>RECONCILIATION: NET EARNINGS / DILUTED EPS → ADJUSTED NET EARNINGS → ADJUSTED EPS (company definition)</t>
        </is>
      </c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inlineStr">
        <is>
          <t>ADJUSTED EPS — net earnings + pre-tax adjusting items − tax effect of the adjustments (incl. discrete tax items: US tax reform FY2018–19, German tax-rate change FY2025)</t>
        </is>
      </c>
    </row>
    <row r="225" ht="15" customHeight="1" s="251">
      <c r="B225" s="16" t="inlineStr">
        <is>
          <t>Net earnings (GAAP)</t>
        </is>
      </c>
      <c r="C225" s="261">
        <f>C167</f>
        <v>132.235</v>
      </c>
      <c r="D225" s="261">
        <f>D167</f>
        <v>141.589</v>
      </c>
      <c r="E225" s="261">
        <f>E167</f>
        <v>145.942</v>
      </c>
      <c r="F225" s="261">
        <f>F167</f>
        <v>165.844</v>
      </c>
      <c r="G225" s="261">
        <f>G167</f>
        <v>181.452</v>
      </c>
      <c r="H225" s="261">
        <f>H167</f>
        <v>180.838</v>
      </c>
      <c r="I225" s="261">
        <f>I167</f>
        <v>200.507</v>
      </c>
      <c r="J225" s="261">
        <f>J167</f>
        <v>180.378</v>
      </c>
      <c r="K225" s="261">
        <f>K167</f>
        <v>259.602</v>
      </c>
      <c r="L225" s="261">
        <f>L167</f>
        <v>240.395</v>
      </c>
      <c r="M225" s="261">
        <f>M167</f>
        <v>41.5700000000001</v>
      </c>
      <c r="N225" s="261">
        <f>N167</f>
        <v>68.3130000000001</v>
      </c>
      <c r="O225" s="261">
        <f>O167</f>
        <v>48.861</v>
      </c>
      <c r="P225" s="261">
        <f>P167</f>
        <v>49.905</v>
      </c>
      <c r="Q225" s="261">
        <f>Q167</f>
        <v>208.649</v>
      </c>
      <c r="R225" s="261">
        <f>R167</f>
        <v>30.305</v>
      </c>
      <c r="S225" s="261">
        <f>S167</f>
        <v>47.9060000000001</v>
      </c>
      <c r="T225" s="261">
        <f>T167</f>
        <v>39.446</v>
      </c>
      <c r="U225" s="261">
        <f>U167</f>
        <v>54.041</v>
      </c>
      <c r="V225" s="261">
        <f>V167</f>
        <v>171.698</v>
      </c>
      <c r="W225" s="261">
        <f>W167</f>
        <v>29.606</v>
      </c>
      <c r="X225" s="261">
        <f>X167</f>
        <v>35.5110000000001</v>
      </c>
      <c r="Y225" s="261">
        <f>Y167</f>
        <v>84.5990000000001</v>
      </c>
      <c r="Z225" s="261">
        <f>Z167</f>
        <v>82.6520000000001</v>
      </c>
      <c r="AA225" s="261">
        <f>AA167</f>
        <v>232.368</v>
      </c>
      <c r="AB225" s="261">
        <f>AB167</f>
        <v>90.044</v>
      </c>
      <c r="AC225" s="261">
        <f>AC167</f>
        <v>97.556</v>
      </c>
      <c r="AD225" s="261">
        <f>AD167</f>
        <v>102.075</v>
      </c>
      <c r="AE225" s="261">
        <f>AE167</f>
        <v>83.2960000000001</v>
      </c>
      <c r="AF225" s="261">
        <f>AF167</f>
        <v>372.971</v>
      </c>
      <c r="AG225" s="261">
        <f>AG167</f>
        <v>87.091</v>
      </c>
      <c r="AH225" s="261">
        <f>AH167</f>
        <v>108.949</v>
      </c>
      <c r="AI225" s="261">
        <f>AI167</f>
        <v>108.448</v>
      </c>
      <c r="AJ225" s="261">
        <f>AJ167</f>
        <v>137.623</v>
      </c>
      <c r="AK225" s="261">
        <f>AK167</f>
        <v>442.111</v>
      </c>
      <c r="AL225" s="261">
        <f>AL167</f>
        <v>133.719</v>
      </c>
      <c r="AM225" s="261">
        <f>AM167</f>
        <v>134.013</v>
      </c>
      <c r="AN225" s="261">
        <f>AN167</f>
        <v>146.675</v>
      </c>
      <c r="AO225" s="262">
        <f>AO167</f>
        <v>143.481690404794</v>
      </c>
      <c r="AP225" s="262">
        <f>AP167</f>
        <v>557.888690404794</v>
      </c>
      <c r="AQ225" s="262">
        <f>AQ167</f>
        <v>739.51514736545</v>
      </c>
      <c r="AR225" s="262">
        <f>AR167</f>
        <v>685.100788304822</v>
      </c>
      <c r="AS225" s="262">
        <f>AS167</f>
        <v>761.47328051506</v>
      </c>
      <c r="AT225" s="262">
        <f>AT167</f>
        <v>816.008784195457</v>
      </c>
      <c r="AU225" s="262">
        <f>AU167</f>
        <v>870.681814189077</v>
      </c>
      <c r="AV225" s="153" t="n"/>
    </row>
    <row r="226" ht="15" customHeight="1" s="251">
      <c r="B226" s="25" t="inlineStr">
        <is>
          <t xml:space="preserve">  (+) Adjusting items (pre-tax; bridge above)</t>
        </is>
      </c>
      <c r="C226" s="263">
        <f>C191</f>
        <v>0</v>
      </c>
      <c r="D226" s="263">
        <f>D191</f>
        <v>0</v>
      </c>
      <c r="E226" s="263">
        <f>E191</f>
        <v>0</v>
      </c>
      <c r="F226" s="263">
        <f>F191</f>
        <v>0</v>
      </c>
      <c r="G226" s="263">
        <f>G191</f>
        <v>0</v>
      </c>
      <c r="H226" s="263">
        <f>H191</f>
        <v>0</v>
      </c>
      <c r="I226" s="263">
        <f>I191</f>
        <v>0</v>
      </c>
      <c r="J226" s="263">
        <f>J191</f>
        <v>75.992</v>
      </c>
      <c r="K226" s="263">
        <f>K191</f>
        <v>60.79</v>
      </c>
      <c r="L226" s="263">
        <f>L191</f>
        <v>27.23</v>
      </c>
      <c r="M226" s="263">
        <f>M191</f>
        <v>0</v>
      </c>
      <c r="N226" s="263">
        <f>N191</f>
        <v>0</v>
      </c>
      <c r="O226" s="263">
        <f>O191</f>
        <v>0</v>
      </c>
      <c r="P226" s="263">
        <f>P191</f>
        <v>5.008</v>
      </c>
      <c r="Q226" s="263">
        <f>Q191</f>
        <v>5.008</v>
      </c>
      <c r="R226" s="263">
        <f>R191</f>
        <v>7.982</v>
      </c>
      <c r="S226" s="263">
        <f>S191</f>
        <v>-1.728</v>
      </c>
      <c r="T226" s="263">
        <f>T191</f>
        <v>0</v>
      </c>
      <c r="U226" s="263">
        <f>U191</f>
        <v>-3.42</v>
      </c>
      <c r="V226" s="263">
        <f>V191</f>
        <v>2.834</v>
      </c>
      <c r="W226" s="263">
        <f>W191</f>
        <v>0</v>
      </c>
      <c r="X226" s="263">
        <f>X191</f>
        <v>34.876</v>
      </c>
      <c r="Y226" s="263">
        <f>Y191</f>
        <v>0</v>
      </c>
      <c r="Z226" s="263">
        <f>Z191</f>
        <v>0</v>
      </c>
      <c r="AA226" s="263">
        <f>AA191</f>
        <v>34.876</v>
      </c>
      <c r="AB226" s="263">
        <f>AB191</f>
        <v>-0.565</v>
      </c>
      <c r="AC226" s="263">
        <f>AC191</f>
        <v>4.33</v>
      </c>
      <c r="AD226" s="263">
        <f>AD191</f>
        <v>0</v>
      </c>
      <c r="AE226" s="263">
        <f>AE191</f>
        <v>4.378</v>
      </c>
      <c r="AF226" s="263">
        <f>AF191</f>
        <v>8.143</v>
      </c>
      <c r="AG226" s="263">
        <f>AG191</f>
        <v>-5.843</v>
      </c>
      <c r="AH226" s="263">
        <f>AH191</f>
        <v>-7.37</v>
      </c>
      <c r="AI226" s="263">
        <f>AI191</f>
        <v>0</v>
      </c>
      <c r="AJ226" s="263">
        <f>AJ191</f>
        <v>6.536</v>
      </c>
      <c r="AK226" s="263">
        <f>AK191</f>
        <v>-6.678</v>
      </c>
      <c r="AL226" s="263">
        <f>AL191</f>
        <v>0</v>
      </c>
      <c r="AM226" s="263">
        <f>AM191</f>
        <v>6.815</v>
      </c>
      <c r="AN226" s="263">
        <f>AN191</f>
        <v>9.264</v>
      </c>
      <c r="AO226" s="254">
        <f>AO191</f>
        <v>6</v>
      </c>
      <c r="AP226" s="254">
        <f>AP191</f>
        <v>22.079</v>
      </c>
      <c r="AQ226" s="254">
        <f>AQ191</f>
        <v>-131.636</v>
      </c>
      <c r="AR226" s="254">
        <f>AR191</f>
        <v>17</v>
      </c>
      <c r="AS226" s="254">
        <f>AS191</f>
        <v>2</v>
      </c>
      <c r="AT226" s="254">
        <f>AT191</f>
        <v>2</v>
      </c>
      <c r="AU226" s="254">
        <f>AU191</f>
        <v>2</v>
      </c>
      <c r="AV226" s="19" t="n"/>
    </row>
    <row r="227" ht="15" customHeight="1" s="251">
      <c r="B227" s="25" t="inlineStr">
        <is>
          <t xml:space="preserve">  (−) Tax effect of the adjustments &amp; discrete tax items</t>
        </is>
      </c>
      <c r="C227" s="263">
        <f>IF(ISNUMBER(C229),C229-C225-C226,IF(ISNUMBER(C225),0,""))</f>
        <v>0</v>
      </c>
      <c r="D227" s="263">
        <f>IF(ISNUMBER(D229),D229-D225-D226,IF(ISNUMBER(D225),0,""))</f>
        <v>0</v>
      </c>
      <c r="E227" s="263">
        <f>IF(ISNUMBER(E229),E229-E225-E226,IF(ISNUMBER(E225),0,""))</f>
        <v>0</v>
      </c>
      <c r="F227" s="263">
        <f>IF(ISNUMBER(F229),F229-F225-F226,IF(ISNUMBER(F225),0,""))</f>
        <v>0</v>
      </c>
      <c r="G227" s="263">
        <f>IF(ISNUMBER(G229),G229-G225-G226,IF(ISNUMBER(G225),0,""))</f>
        <v>0</v>
      </c>
      <c r="H227" s="263">
        <f>IF(ISNUMBER(H229),H229-H225-H226,IF(ISNUMBER(H225),0,""))</f>
        <v>0</v>
      </c>
      <c r="I227" s="263">
        <f>IF(ISNUMBER(I229),I229-I225-I226,IF(ISNUMBER(I225),0,""))</f>
        <v>0</v>
      </c>
      <c r="J227" s="263">
        <f>IF(ISNUMBER(J229),J229-J225-J226,IF(ISNUMBER(J225),0,""))</f>
        <v>-10.4400000000001</v>
      </c>
      <c r="K227" s="263">
        <f>IF(ISNUMBER(K229),K229-K225-K226,IF(ISNUMBER(K225),0,""))</f>
        <v>-5.91600000000015</v>
      </c>
      <c r="L227" s="263">
        <f>IF(ISNUMBER(L229),L229-L225-L226,IF(ISNUMBER(L225),0,""))</f>
        <v>-13.5879999999999</v>
      </c>
      <c r="M227" s="263">
        <f>IF(ISNUMBER(M229),M229-M225-M226,IF(ISNUMBER(M225),0,""))</f>
        <v>0</v>
      </c>
      <c r="N227" s="263">
        <f>IF(ISNUMBER(N229),N229-N225-N226,IF(ISNUMBER(N225),0,""))</f>
        <v>0</v>
      </c>
      <c r="O227" s="263">
        <f>IF(ISNUMBER(O229),O229-O225-O226,IF(ISNUMBER(O225),0,""))</f>
        <v>0</v>
      </c>
      <c r="P227" s="263">
        <f>IF(ISNUMBER(P229),P229-P225-P226,IF(ISNUMBER(P225),0,""))</f>
        <v>-1.27199999999995</v>
      </c>
      <c r="Q227" s="263">
        <f>IF(ISNUMBER(Q229),Q229-Q225-Q226,IF(ISNUMBER(Q225),0,""))</f>
        <v>-1.27200000000004</v>
      </c>
      <c r="R227" s="263">
        <f>IF(ISNUMBER(R229),R229-R225-R226,IF(ISNUMBER(R225),0,""))</f>
        <v>-1.99600000000001</v>
      </c>
      <c r="S227" s="263">
        <f>IF(ISNUMBER(S229),S229-S225-S226,IF(ISNUMBER(S225),0,""))</f>
        <v>0.431999999999951</v>
      </c>
      <c r="T227" s="263">
        <f>IF(ISNUMBER(T229),T229-T225-T226,IF(ISNUMBER(T225),0,""))</f>
        <v>0</v>
      </c>
      <c r="U227" s="263">
        <f>IF(ISNUMBER(U229),U229-U225-U226,IF(ISNUMBER(U225),0,""))</f>
        <v>0.85499999999996</v>
      </c>
      <c r="V227" s="263">
        <f>IF(ISNUMBER(V229),V229-V225-V226,IF(ISNUMBER(V225),0,""))</f>
        <v>-0.709000000000057</v>
      </c>
      <c r="W227" s="263">
        <f>IF(ISNUMBER(W229),W229-W225-W226,IF(ISNUMBER(W225),0,""))</f>
        <v>0</v>
      </c>
      <c r="X227" s="263">
        <f>IF(ISNUMBER(X229),X229-X225-X226,IF(ISNUMBER(X225),0,""))</f>
        <v>-8.66800000000006</v>
      </c>
      <c r="Y227" s="263">
        <f>IF(ISNUMBER(Y229),Y229-Y225-Y226,IF(ISNUMBER(Y225),0,""))</f>
        <v>0</v>
      </c>
      <c r="Z227" s="263">
        <f>IF(ISNUMBER(Z229),Z229-Z225-Z226,IF(ISNUMBER(Z225),0,""))</f>
        <v>0</v>
      </c>
      <c r="AA227" s="263">
        <f>IF(ISNUMBER(AA229),AA229-AA225-AA226,IF(ISNUMBER(AA225),0,""))</f>
        <v>-8.6679999999995</v>
      </c>
      <c r="AB227" s="263">
        <f>IF(ISNUMBER(AB229),AB229-AB225-AB226,IF(ISNUMBER(AB225),0,""))</f>
        <v>0.331999999999967</v>
      </c>
      <c r="AC227" s="263">
        <f>IF(ISNUMBER(AC229),AC229-AC225-AC226,IF(ISNUMBER(AC225),0,""))</f>
        <v>-1.06099999999999</v>
      </c>
      <c r="AD227" s="263">
        <f>IF(ISNUMBER(AD229),AD229-AD225-AD226,IF(ISNUMBER(AD225),0,""))</f>
        <v>0</v>
      </c>
      <c r="AE227" s="263">
        <f>IF(ISNUMBER(AE229),AE229-AE225-AE226,IF(ISNUMBER(AE225),0,""))</f>
        <v>-1.24900000000012</v>
      </c>
      <c r="AF227" s="263">
        <f>IF(ISNUMBER(AF229),AF229-AF225-AF226,IF(ISNUMBER(AF225),0,""))</f>
        <v>-1.97799999999981</v>
      </c>
      <c r="AG227" s="263">
        <f>IF(ISNUMBER(AG229),AG229-AG225-AG226,IF(ISNUMBER(AG225),0,""))</f>
        <v>1.31899999999997</v>
      </c>
      <c r="AH227" s="263">
        <f>IF(ISNUMBER(AH229),AH229-AH225-AH226,IF(ISNUMBER(AH225),0,""))</f>
        <v>1.81099999999995</v>
      </c>
      <c r="AI227" s="263">
        <f>IF(ISNUMBER(AI229),AI229-AI225-AI226,IF(ISNUMBER(AI225),0,""))</f>
        <v>0</v>
      </c>
      <c r="AJ227" s="263">
        <f>IF(ISNUMBER(AJ229),AJ229-AJ225-AJ226,IF(ISNUMBER(AJ225),0,""))</f>
        <v>-15.01</v>
      </c>
      <c r="AK227" s="263">
        <f>IF(ISNUMBER(AK229),AK229-AK225-AK226,IF(ISNUMBER(AK225),0,""))</f>
        <v>-11.8799999999999</v>
      </c>
      <c r="AL227" s="263">
        <f>IF(ISNUMBER(AL229),AL229-AL225-AL226,IF(ISNUMBER(AL225),0,""))</f>
        <v>0</v>
      </c>
      <c r="AM227" s="263">
        <f>IF(ISNUMBER(AM229),AM229-AM225-AM226,IF(ISNUMBER(AM225),0,""))</f>
        <v>-1.70200000000003</v>
      </c>
      <c r="AN227" s="263">
        <f>IF(ISNUMBER(AN229),AN229-AN225-AN226,IF(ISNUMBER(AN225),0,""))</f>
        <v>-2.31099999999991</v>
      </c>
      <c r="AO227" s="254">
        <f>AO165-AO236</f>
        <v>-1.44</v>
      </c>
      <c r="AP227" s="254">
        <f>SUM(AL227:AO227)</f>
        <v>-5.45299999999995</v>
      </c>
      <c r="AQ227" s="254">
        <f>AQ165-AQ236</f>
        <v>29.6181</v>
      </c>
      <c r="AR227" s="254">
        <f>AR165-AR236</f>
        <v>-3.82499999999999</v>
      </c>
      <c r="AS227" s="254">
        <f>AS165-AS236</f>
        <v>-0.450000000000017</v>
      </c>
      <c r="AT227" s="254">
        <f>AT165-AT236</f>
        <v>-0.449999999999989</v>
      </c>
      <c r="AU227" s="254">
        <f>AU165-AU236</f>
        <v>-0.450000000000017</v>
      </c>
      <c r="AV227" s="19" t="inlineStr">
        <is>
          <t>Historical: published adjusted net earnings − net earnings − pre-tax items (FY2011–17: none published; adjusted = GAAP). Forecast: GAAP tax − adjusted tax.</t>
        </is>
      </c>
    </row>
    <row r="228" ht="15" customHeight="1" s="251">
      <c r="B228" s="55" t="inlineStr">
        <is>
          <t xml:space="preserve">  = Adjusted net earnings (model bridge)</t>
        </is>
      </c>
      <c r="C228" s="273">
        <f>IF(ISNUMBER(C227),C225+C226+C227,"")</f>
        <v>132.235</v>
      </c>
      <c r="D228" s="273">
        <f>IF(ISNUMBER(D227),D225+D226+D227,"")</f>
        <v>141.589</v>
      </c>
      <c r="E228" s="273">
        <f>IF(ISNUMBER(E227),E225+E226+E227,"")</f>
        <v>145.942</v>
      </c>
      <c r="F228" s="273">
        <f>IF(ISNUMBER(F227),F225+F226+F227,"")</f>
        <v>165.844</v>
      </c>
      <c r="G228" s="273">
        <f>IF(ISNUMBER(G227),G225+G226+G227,"")</f>
        <v>181.452</v>
      </c>
      <c r="H228" s="273">
        <f>IF(ISNUMBER(H227),H225+H226+H227,"")</f>
        <v>180.838</v>
      </c>
      <c r="I228" s="273">
        <f>IF(ISNUMBER(I227),I225+I226+I227,"")</f>
        <v>200.507</v>
      </c>
      <c r="J228" s="273">
        <f>IF(ISNUMBER(J227),J225+J226+J227,"")</f>
        <v>245.93</v>
      </c>
      <c r="K228" s="273">
        <f>IF(ISNUMBER(K227),K225+K226+K227,"")</f>
        <v>314.476</v>
      </c>
      <c r="L228" s="273">
        <f>IF(ISNUMBER(L227),L225+L226+L227,"")</f>
        <v>254.037</v>
      </c>
      <c r="M228" s="273">
        <f>IF(ISNUMBER(M227),M225+M226+M227,"")</f>
        <v>41.5700000000001</v>
      </c>
      <c r="N228" s="273">
        <f>IF(ISNUMBER(N227),N225+N226+N227,"")</f>
        <v>68.3130000000001</v>
      </c>
      <c r="O228" s="273">
        <f>IF(ISNUMBER(O227),O225+O226+O227,"")</f>
        <v>48.861</v>
      </c>
      <c r="P228" s="273">
        <f>IF(ISNUMBER(P227),P225+P226+P227,"")</f>
        <v>53.641</v>
      </c>
      <c r="Q228" s="273">
        <f>IF(ISNUMBER(Q227),Q225+Q226+Q227,"")</f>
        <v>212.385</v>
      </c>
      <c r="R228" s="273">
        <f>IF(ISNUMBER(R227),R225+R226+R227,"")</f>
        <v>36.291</v>
      </c>
      <c r="S228" s="273">
        <f>IF(ISNUMBER(S227),S225+S226+S227,"")</f>
        <v>46.61</v>
      </c>
      <c r="T228" s="273">
        <f>IF(ISNUMBER(T227),T225+T226+T227,"")</f>
        <v>39.446</v>
      </c>
      <c r="U228" s="273">
        <f>IF(ISNUMBER(U227),U225+U226+U227,"")</f>
        <v>51.476</v>
      </c>
      <c r="V228" s="273">
        <f>IF(ISNUMBER(V227),V225+V226+V227,"")</f>
        <v>173.823</v>
      </c>
      <c r="W228" s="273">
        <f>IF(ISNUMBER(W227),W225+W226+W227,"")</f>
        <v>29.606</v>
      </c>
      <c r="X228" s="273">
        <f>IF(ISNUMBER(X227),X225+X226+X227,"")</f>
        <v>61.719</v>
      </c>
      <c r="Y228" s="273">
        <f>IF(ISNUMBER(Y227),Y225+Y226+Y227,"")</f>
        <v>84.5990000000001</v>
      </c>
      <c r="Z228" s="273">
        <f>IF(ISNUMBER(Z227),Z225+Z226+Z227,"")</f>
        <v>82.6520000000001</v>
      </c>
      <c r="AA228" s="273">
        <f>IF(ISNUMBER(AA227),AA225+AA226+AA227,"")</f>
        <v>258.576</v>
      </c>
      <c r="AB228" s="273">
        <f>IF(ISNUMBER(AB227),AB225+AB226+AB227,"")</f>
        <v>89.811</v>
      </c>
      <c r="AC228" s="273">
        <f>IF(ISNUMBER(AC227),AC225+AC226+AC227,"")</f>
        <v>100.825</v>
      </c>
      <c r="AD228" s="273">
        <f>IF(ISNUMBER(AD227),AD225+AD226+AD227,"")</f>
        <v>102.075</v>
      </c>
      <c r="AE228" s="273">
        <f>IF(ISNUMBER(AE227),AE225+AE226+AE227,"")</f>
        <v>86.425</v>
      </c>
      <c r="AF228" s="273">
        <f>IF(ISNUMBER(AF227),AF225+AF226+AF227,"")</f>
        <v>379.136</v>
      </c>
      <c r="AG228" s="273">
        <f>IF(ISNUMBER(AG227),AG225+AG226+AG227,"")</f>
        <v>82.567</v>
      </c>
      <c r="AH228" s="273">
        <f>IF(ISNUMBER(AH227),AH225+AH226+AH227,"")</f>
        <v>103.39</v>
      </c>
      <c r="AI228" s="273">
        <f>IF(ISNUMBER(AI227),AI225+AI226+AI227,"")</f>
        <v>108.448</v>
      </c>
      <c r="AJ228" s="273">
        <f>IF(ISNUMBER(AJ227),AJ225+AJ226+AJ227,"")</f>
        <v>129.149</v>
      </c>
      <c r="AK228" s="273">
        <f>IF(ISNUMBER(AK227),AK225+AK226+AK227,"")</f>
        <v>423.553</v>
      </c>
      <c r="AL228" s="273">
        <f>IF(ISNUMBER(AL227),AL225+AL226+AL227,"")</f>
        <v>133.719</v>
      </c>
      <c r="AM228" s="273">
        <f>IF(ISNUMBER(AM227),AM225+AM226+AM227,"")</f>
        <v>139.126</v>
      </c>
      <c r="AN228" s="273">
        <f>IF(ISNUMBER(AN227),AN225+AN226+AN227,"")</f>
        <v>153.628</v>
      </c>
      <c r="AO228" s="273">
        <f>IF(ISNUMBER(AO227),AO225+AO226+AO227,"")</f>
        <v>148.041690404794</v>
      </c>
      <c r="AP228" s="273">
        <f>IF(ISNUMBER(AP227),AP225+AP226+AP227,"")</f>
        <v>574.514690404794</v>
      </c>
      <c r="AQ228" s="273">
        <f>IF(ISNUMBER(AQ227),AQ225+AQ226+AQ227,"")</f>
        <v>637.49724736545</v>
      </c>
      <c r="AR228" s="273">
        <f>IF(ISNUMBER(AR227),AR225+AR226+AR227,"")</f>
        <v>698.275788304822</v>
      </c>
      <c r="AS228" s="273">
        <f>IF(ISNUMBER(AS227),AS225+AS226+AS227,"")</f>
        <v>763.02328051506</v>
      </c>
      <c r="AT228" s="273">
        <f>IF(ISNUMBER(AT227),AT225+AT226+AT227,"")</f>
        <v>817.558784195457</v>
      </c>
      <c r="AU228" s="273">
        <f>IF(ISNUMBER(AU227),AU225+AU226+AU227,"")</f>
        <v>872.231814189077</v>
      </c>
      <c r="AV228" s="153" t="n"/>
      <c r="AX228" s="20">
        <f>IFERROR((AU228/AP228)^(1/5)-1,"n/m")</f>
        <v>0.0870916427710069</v>
      </c>
      <c r="AY228" s="20">
        <f>IFERROR((AK228/L228)^(1/5)-1,"n/m")</f>
        <v>0.107648993901498</v>
      </c>
      <c r="AZ228" s="20">
        <f>IFERROR((AK228/G228)^(1/10)-1,"n/m")</f>
        <v>0.0884653297588258</v>
      </c>
      <c r="BA228" s="20">
        <f>IFERROR((AK228/C228)^(1/14)-1,"n/m")</f>
        <v>0.0867046476607014</v>
      </c>
    </row>
    <row r="229" ht="15" customHeight="1" s="251">
      <c r="B229" s="156" t="inlineStr">
        <is>
          <t xml:space="preserve">  Company-published adjusted net earnings</t>
        </is>
      </c>
      <c r="C229" s="34" t="n"/>
      <c r="D229" s="34" t="n"/>
      <c r="E229" s="34" t="n"/>
      <c r="F229" s="34" t="n"/>
      <c r="G229" s="34" t="n"/>
      <c r="H229" s="34" t="n"/>
      <c r="I229" s="34" t="n"/>
      <c r="J229" s="253" t="n">
        <v>245.93</v>
      </c>
      <c r="K229" s="253" t="n">
        <v>314.476</v>
      </c>
      <c r="L229" s="253" t="n">
        <v>254.037</v>
      </c>
      <c r="M229" s="253" t="n">
        <v>41.57</v>
      </c>
      <c r="N229" s="253" t="n">
        <v>68.313</v>
      </c>
      <c r="O229" s="253" t="n">
        <v>48.861</v>
      </c>
      <c r="P229" s="253" t="n">
        <v>53.641</v>
      </c>
      <c r="Q229" s="253" t="n">
        <v>212.385</v>
      </c>
      <c r="R229" s="253" t="n">
        <v>36.291</v>
      </c>
      <c r="S229" s="253" t="n">
        <v>46.61</v>
      </c>
      <c r="T229" s="253" t="n">
        <v>39.446</v>
      </c>
      <c r="U229" s="253" t="n">
        <v>51.476</v>
      </c>
      <c r="V229" s="253" t="n">
        <v>173.823</v>
      </c>
      <c r="W229" s="253" t="n">
        <v>29.606</v>
      </c>
      <c r="X229" s="253" t="n">
        <v>61.719</v>
      </c>
      <c r="Y229" s="253" t="n">
        <v>84.599</v>
      </c>
      <c r="Z229" s="253" t="n">
        <v>82.652</v>
      </c>
      <c r="AA229" s="253" t="n">
        <v>258.576</v>
      </c>
      <c r="AB229" s="253" t="n">
        <v>89.81100000000001</v>
      </c>
      <c r="AC229" s="253" t="n">
        <v>100.825</v>
      </c>
      <c r="AD229" s="253" t="n">
        <v>102.075</v>
      </c>
      <c r="AE229" s="253" t="n">
        <v>86.425</v>
      </c>
      <c r="AF229" s="253" t="n">
        <v>379.136</v>
      </c>
      <c r="AG229" s="253" t="n">
        <v>82.56699999999999</v>
      </c>
      <c r="AH229" s="253" t="n">
        <v>103.39</v>
      </c>
      <c r="AI229" s="253" t="n">
        <v>108.448</v>
      </c>
      <c r="AJ229" s="253" t="n">
        <v>129.149</v>
      </c>
      <c r="AK229" s="253" t="n">
        <v>423.553</v>
      </c>
      <c r="AL229" s="253" t="n">
        <v>133.719</v>
      </c>
      <c r="AM229" s="253" t="n">
        <v>139.126</v>
      </c>
      <c r="AN229" s="253" t="n">
        <v>153.628</v>
      </c>
      <c r="AO229" s="153" t="n"/>
      <c r="AP229" s="153" t="n"/>
      <c r="AQ229" s="153" t="n"/>
      <c r="AR229" s="153" t="n"/>
      <c r="AS229" s="153" t="n"/>
      <c r="AT229" s="153" t="n"/>
      <c r="AU229" s="153" t="n"/>
      <c r="AV229" s="153" t="n"/>
    </row>
    <row r="230" ht="15" customHeight="1" s="251">
      <c r="B230" s="25" t="inlineStr">
        <is>
          <t xml:space="preserve">  Weighted-average diluted shares (m)</t>
        </is>
      </c>
      <c r="C230" s="263">
        <f>IF(ISNUMBER(C175),C175,"")</f>
        <v>70.14</v>
      </c>
      <c r="D230" s="263">
        <f>IF(ISNUMBER(D175),D175,"")</f>
        <v>70.307</v>
      </c>
      <c r="E230" s="263">
        <f>IF(ISNUMBER(E175),E175,"")</f>
        <v>69.602</v>
      </c>
      <c r="F230" s="263">
        <f>IF(ISNUMBER(F175),F175,"")</f>
        <v>67.776</v>
      </c>
      <c r="G230" s="263">
        <f>IF(ISNUMBER(G175),G175,"")</f>
        <v>66.056</v>
      </c>
      <c r="H230" s="263">
        <f>IF(ISNUMBER(H175),H175,"")</f>
        <v>63.556</v>
      </c>
      <c r="I230" s="263">
        <f>IF(ISNUMBER(I175),I175,"")</f>
        <v>63.512</v>
      </c>
      <c r="J230" s="263">
        <f>IF(ISNUMBER(J175),J175,"")</f>
        <v>63.876</v>
      </c>
      <c r="K230" s="263">
        <f>IF(ISNUMBER(K175),K175,"")</f>
        <v>64.498</v>
      </c>
      <c r="L230" s="263">
        <f>IF(ISNUMBER(L175),L175,"")</f>
        <v>64.209</v>
      </c>
      <c r="M230" s="263">
        <f>IF(ISNUMBER(M175),M175,"")</f>
        <v>64.892</v>
      </c>
      <c r="N230" s="263">
        <f>IF(ISNUMBER(N175),N175,"")</f>
        <v>65.654</v>
      </c>
      <c r="O230" s="263">
        <f>IF(ISNUMBER(O175),O175,"")</f>
        <v>65.91</v>
      </c>
      <c r="P230" s="263">
        <f>IF(ISNUMBER(P175),P175,"")</f>
        <v>65.711</v>
      </c>
      <c r="Q230" s="263">
        <f>IF(ISNUMBER(Q175),Q175,"")</f>
        <v>65.555</v>
      </c>
      <c r="R230" s="263">
        <f>IF(ISNUMBER(R175),R175,"")</f>
        <v>65.099</v>
      </c>
      <c r="S230" s="263">
        <f>IF(ISNUMBER(S175),S175,"")</f>
        <v>64.618</v>
      </c>
      <c r="T230" s="263">
        <f>IF(ISNUMBER(T175),T175,"")</f>
        <v>62.088</v>
      </c>
      <c r="U230" s="263">
        <f>IF(ISNUMBER(U175),U175,"")</f>
        <v>61.234</v>
      </c>
      <c r="V230" s="263">
        <f>IF(ISNUMBER(V175),V175,"")</f>
        <v>63.254</v>
      </c>
      <c r="W230" s="263">
        <f>IF(ISNUMBER(W175),W175,"")</f>
        <v>60.928</v>
      </c>
      <c r="X230" s="263">
        <f>IF(ISNUMBER(X175),X175,"")</f>
        <v>61.227</v>
      </c>
      <c r="Y230" s="263">
        <f>IF(ISNUMBER(Y175),Y175,"")</f>
        <v>61.591</v>
      </c>
      <c r="Z230" s="263">
        <f>IF(ISNUMBER(Z175),Z175,"")</f>
        <v>62.039</v>
      </c>
      <c r="AA230" s="263">
        <f>IF(ISNUMBER(AA175),AA175,"")</f>
        <v>61.482</v>
      </c>
      <c r="AB230" s="263">
        <f>IF(ISNUMBER(AB175),AB175,"")</f>
        <v>61.846</v>
      </c>
      <c r="AC230" s="263">
        <f>IF(ISNUMBER(AC175),AC175,"")</f>
        <v>62.365</v>
      </c>
      <c r="AD230" s="263">
        <f>IF(ISNUMBER(AD175),AD175,"")</f>
        <v>62.522</v>
      </c>
      <c r="AE230" s="263">
        <f>IF(ISNUMBER(AE175),AE175,"")</f>
        <v>61.385</v>
      </c>
      <c r="AF230" s="263">
        <f>IF(ISNUMBER(AF175),AF175,"")</f>
        <v>62.084</v>
      </c>
      <c r="AG230" s="263">
        <f>IF(ISNUMBER(AG175),AG175,"")</f>
        <v>61.141</v>
      </c>
      <c r="AH230" s="263">
        <f>IF(ISNUMBER(AH175),AH175,"")</f>
        <v>61.344</v>
      </c>
      <c r="AI230" s="263">
        <f>IF(ISNUMBER(AI175),AI175,"")</f>
        <v>61.488</v>
      </c>
      <c r="AJ230" s="263">
        <f>IF(ISNUMBER(AJ175),AJ175,"")</f>
        <v>61.72</v>
      </c>
      <c r="AK230" s="263">
        <f>IF(ISNUMBER(AK175),AK175,"")</f>
        <v>61.464</v>
      </c>
      <c r="AL230" s="263">
        <f>IF(ISNUMBER(AL175),AL175,"")</f>
        <v>61.59</v>
      </c>
      <c r="AM230" s="263">
        <f>IF(ISNUMBER(AM175),AM175,"")</f>
        <v>61.276</v>
      </c>
      <c r="AN230" s="263">
        <f>IF(ISNUMBER(AN175),AN175,"")</f>
        <v>61.018</v>
      </c>
      <c r="AO230" s="254">
        <f>IF(ISNUMBER(AO175),AO175,"")</f>
        <v>60.5903363424654</v>
      </c>
      <c r="AP230" s="254">
        <f>IF(ISNUMBER(AP175),AP175,"")</f>
        <v>61.1185840856164</v>
      </c>
      <c r="AQ230" s="254">
        <f>IF(ISNUMBER(AQ175),AQ175,"")</f>
        <v>59.7576129498637</v>
      </c>
      <c r="AR230" s="254">
        <f>IF(ISNUMBER(AR175),AR175,"")</f>
        <v>58.5104357524274</v>
      </c>
      <c r="AS230" s="254">
        <f>IF(ISNUMBER(AS175),AS175,"")</f>
        <v>57.4688399621696</v>
      </c>
      <c r="AT230" s="254">
        <f>IF(ISNUMBER(AT175),AT175,"")</f>
        <v>56.3948538054639</v>
      </c>
      <c r="AU230" s="254">
        <f>IF(ISNUMBER(AU175),AU175,"")</f>
        <v>55.3429880633979</v>
      </c>
      <c r="AV230" s="19" t="n"/>
    </row>
    <row r="231" ht="15" customHeight="1" s="251">
      <c r="B231" s="55" t="inlineStr">
        <is>
          <t>Adjusted EPS – diluted ($) (model bridge)</t>
        </is>
      </c>
      <c r="C231" s="278">
        <f>IF(AND(ISNUMBER(C228),ISNUMBER(C230)),IFERROR(C228/C230,""),"")</f>
        <v>1.88530082691759</v>
      </c>
      <c r="D231" s="278">
        <f>IF(AND(ISNUMBER(D228),ISNUMBER(D230)),IFERROR(D228/D230,""),"")</f>
        <v>2.013867751433</v>
      </c>
      <c r="E231" s="278">
        <f>IF(AND(ISNUMBER(E228),ISNUMBER(E230)),IFERROR(E228/E230,""),"")</f>
        <v>2.09680756300107</v>
      </c>
      <c r="F231" s="278">
        <f>IF(AND(ISNUMBER(F228),ISNUMBER(F230)),IFERROR(F228/F230,""),"")</f>
        <v>2.44694287063267</v>
      </c>
      <c r="G231" s="278">
        <f>IF(AND(ISNUMBER(G228),ISNUMBER(G230)),IFERROR(G228/G230,""),"")</f>
        <v>2.74694198861572</v>
      </c>
      <c r="H231" s="278">
        <f>IF(AND(ISNUMBER(H228),ISNUMBER(H230)),IFERROR(H228/H230,""),"")</f>
        <v>2.84533324941784</v>
      </c>
      <c r="I231" s="278">
        <f>IF(AND(ISNUMBER(I228),ISNUMBER(I230)),IFERROR(I228/I230,""),"")</f>
        <v>3.15699395389848</v>
      </c>
      <c r="J231" s="278">
        <f>IF(AND(ISNUMBER(J228),ISNUMBER(J230)),IFERROR(J228/J230,""),"")</f>
        <v>3.85011584945833</v>
      </c>
      <c r="K231" s="278">
        <f>IF(AND(ISNUMBER(K228),ISNUMBER(K230)),IFERROR(K228/K230,""),"")</f>
        <v>4.87574808521194</v>
      </c>
      <c r="L231" s="278">
        <f>IF(AND(ISNUMBER(L228),ISNUMBER(L230)),IFERROR(L228/L230,""),"")</f>
        <v>3.95640798018969</v>
      </c>
      <c r="M231" s="278">
        <f>IF(AND(ISNUMBER(M228),ISNUMBER(M230)),IFERROR(M228/M230,""),"")</f>
        <v>0.640602847808668</v>
      </c>
      <c r="N231" s="278">
        <f>IF(AND(ISNUMBER(N228),ISNUMBER(N230)),IFERROR(N228/N230,""),"")</f>
        <v>1.04050019800774</v>
      </c>
      <c r="O231" s="278">
        <f>IF(AND(ISNUMBER(O228),ISNUMBER(O230)),IFERROR(O228/O230,""),"")</f>
        <v>0.741329085116067</v>
      </c>
      <c r="P231" s="278">
        <f>IF(AND(ISNUMBER(P228),ISNUMBER(P230)),IFERROR(P228/P230,""),"")</f>
        <v>0.816316902801662</v>
      </c>
      <c r="Q231" s="278">
        <f>IF(AND(ISNUMBER(Q228),ISNUMBER(Q230)),IFERROR(Q228/Q230,""),"")</f>
        <v>3.23979864236138</v>
      </c>
      <c r="R231" s="278">
        <f>IF(AND(ISNUMBER(R228),ISNUMBER(R230)),IFERROR(R228/R230,""),"")</f>
        <v>0.55747400113673</v>
      </c>
      <c r="S231" s="278">
        <f>IF(AND(ISNUMBER(S228),ISNUMBER(S230)),IFERROR(S228/S230,""),"")</f>
        <v>0.72131604196973</v>
      </c>
      <c r="T231" s="278">
        <f>IF(AND(ISNUMBER(T228),ISNUMBER(T230)),IFERROR(T228/T230,""),"")</f>
        <v>0.635324056178327</v>
      </c>
      <c r="U231" s="278">
        <f>IF(AND(ISNUMBER(U228),ISNUMBER(U230)),IFERROR(U228/U230,""),"")</f>
        <v>0.840644086618545</v>
      </c>
      <c r="V231" s="278">
        <f>IF(AND(ISNUMBER(V228),ISNUMBER(V230)),IFERROR(V228/V230,""),"")</f>
        <v>2.7480159357511</v>
      </c>
      <c r="W231" s="278">
        <f>IF(AND(ISNUMBER(W228),ISNUMBER(W230)),IFERROR(W228/W230,""),"")</f>
        <v>0.485917804621849</v>
      </c>
      <c r="X231" s="278">
        <f>IF(AND(ISNUMBER(X228),ISNUMBER(X230)),IFERROR(X228/X230,""),"")</f>
        <v>1.00803567053751</v>
      </c>
      <c r="Y231" s="278">
        <f>IF(AND(ISNUMBER(Y228),ISNUMBER(Y230)),IFERROR(Y228/Y230,""),"")</f>
        <v>1.37356107223458</v>
      </c>
      <c r="Z231" s="278">
        <f>IF(AND(ISNUMBER(Z228),ISNUMBER(Z230)),IFERROR(Z228/Z230,""),"")</f>
        <v>1.33225874046971</v>
      </c>
      <c r="AA231" s="278">
        <f>IF(AND(ISNUMBER(AA228),ISNUMBER(AA230)),IFERROR(AA228/AA230,""),"")</f>
        <v>4.20571874695033</v>
      </c>
      <c r="AB231" s="278">
        <f>IF(AND(ISNUMBER(AB228),ISNUMBER(AB230)),IFERROR(AB228/AB230,""),"")</f>
        <v>1.45217152281473</v>
      </c>
      <c r="AC231" s="278">
        <f>IF(AND(ISNUMBER(AC228),ISNUMBER(AC230)),IFERROR(AC228/AC230,""),"")</f>
        <v>1.61669205483845</v>
      </c>
      <c r="AD231" s="278">
        <f>IF(AND(ISNUMBER(AD228),ISNUMBER(AD230)),IFERROR(AD228/AD230,""),"")</f>
        <v>1.63262531588881</v>
      </c>
      <c r="AE231" s="278">
        <f>IF(AND(ISNUMBER(AE228),ISNUMBER(AE230)),IFERROR(AE228/AE230,""),"")</f>
        <v>1.40791724362629</v>
      </c>
      <c r="AF231" s="278">
        <f>IF(AND(ISNUMBER(AF228),ISNUMBER(AF230)),IFERROR(AF228/AF230,""),"")</f>
        <v>6.10682301398106</v>
      </c>
      <c r="AG231" s="278">
        <f>IF(AND(ISNUMBER(AG228),ISNUMBER(AG230)),IFERROR(AG228/AG230,""),"")</f>
        <v>1.35043587772526</v>
      </c>
      <c r="AH231" s="278">
        <f>IF(AND(ISNUMBER(AH228),ISNUMBER(AH230)),IFERROR(AH228/AH230,""),"")</f>
        <v>1.68541340636411</v>
      </c>
      <c r="AI231" s="278">
        <f>IF(AND(ISNUMBER(AI228),ISNUMBER(AI230)),IFERROR(AI228/AI230,""),"")</f>
        <v>1.76372625552953</v>
      </c>
      <c r="AJ231" s="278">
        <f>IF(AND(ISNUMBER(AJ228),ISNUMBER(AJ230)),IFERROR(AJ228/AJ230,""),"")</f>
        <v>2.09249837977965</v>
      </c>
      <c r="AK231" s="278">
        <f>IF(AND(ISNUMBER(AK228),ISNUMBER(AK230)),IFERROR(AK228/AK230,""),"")</f>
        <v>6.8910744500846</v>
      </c>
      <c r="AL231" s="278">
        <f>IF(AND(ISNUMBER(AL228),ISNUMBER(AL230)),IFERROR(AL228/AL230,""),"")</f>
        <v>2.17111544081831</v>
      </c>
      <c r="AM231" s="278">
        <f>IF(AND(ISNUMBER(AM228),ISNUMBER(AM230)),IFERROR(AM228/AM230,""),"")</f>
        <v>2.2704811018996</v>
      </c>
      <c r="AN231" s="278">
        <f>IF(AND(ISNUMBER(AN228),ISNUMBER(AN230)),IFERROR(AN228/AN230,""),"")</f>
        <v>2.51774886099184</v>
      </c>
      <c r="AO231" s="278">
        <f>IF(AND(ISNUMBER(AO228),ISNUMBER(AO230)),IFERROR(AO228/AO230,""),"")</f>
        <v>2.44332181237682</v>
      </c>
      <c r="AP231" s="278">
        <f>IF(AND(ISNUMBER(AP228),ISNUMBER(AP230)),IFERROR(AP228/AP230,""),"")</f>
        <v>9.4</v>
      </c>
      <c r="AQ231" s="278">
        <f>IF(AND(ISNUMBER(AQ228),ISNUMBER(AQ230)),IFERROR(AQ228/AQ230,""),"")</f>
        <v>10.6680507452717</v>
      </c>
      <c r="AR231" s="278">
        <f>IF(AND(ISNUMBER(AR228),ISNUMBER(AR230)),IFERROR(AR228/AR230,""),"")</f>
        <v>11.9342093307834</v>
      </c>
      <c r="AS231" s="278">
        <f>IF(AND(ISNUMBER(AS228),ISNUMBER(AS230)),IFERROR(AS228/AS230,""),"")</f>
        <v>13.2771651736374</v>
      </c>
      <c r="AT231" s="278">
        <f>IF(AND(ISNUMBER(AT228),ISNUMBER(AT230)),IFERROR(AT228/AT230,""),"")</f>
        <v>14.497045900955</v>
      </c>
      <c r="AU231" s="278">
        <f>IF(AND(ISNUMBER(AU228),ISNUMBER(AU230)),IFERROR(AU228/AU230,""),"")</f>
        <v>15.7604756214084</v>
      </c>
      <c r="AV231" s="19" t="n"/>
      <c r="AX231" s="20">
        <f>IFERROR((AU231/AP231)^(1/5)-1,"n/m")</f>
        <v>0.108889556170964</v>
      </c>
      <c r="AY231" s="20">
        <f>IFERROR((AK231/L231)^(1/5)-1,"n/m")</f>
        <v>0.117370431338323</v>
      </c>
      <c r="AZ231" s="20">
        <f>IFERROR((AK231/G231)^(1/10)-1,"n/m")</f>
        <v>0.0963361774542368</v>
      </c>
      <c r="BA231" s="20">
        <f>IFERROR((AK231/C231)^(1/14)-1,"n/m")</f>
        <v>0.0970024353528338</v>
      </c>
    </row>
    <row r="232" ht="15" customHeight="1" s="251">
      <c r="B232" s="156" t="inlineStr">
        <is>
          <t xml:space="preserve">  Company-published adjusted EPS ($)</t>
        </is>
      </c>
      <c r="C232" s="27" t="n"/>
      <c r="D232" s="27" t="n"/>
      <c r="E232" s="27" t="n"/>
      <c r="F232" s="27" t="n"/>
      <c r="G232" s="27" t="n"/>
      <c r="H232" s="27" t="n"/>
      <c r="I232" s="27" t="n"/>
      <c r="J232" s="279" t="n">
        <v>3.85</v>
      </c>
      <c r="K232" s="279" t="n">
        <v>4.88</v>
      </c>
      <c r="L232" s="279" t="n">
        <v>3.96</v>
      </c>
      <c r="M232" s="279" t="n">
        <v>0.64</v>
      </c>
      <c r="N232" s="279" t="n">
        <v>1.04</v>
      </c>
      <c r="O232" s="279" t="n">
        <v>0.74</v>
      </c>
      <c r="P232" s="279" t="n">
        <v>0.82</v>
      </c>
      <c r="Q232" s="279" t="n">
        <v>3.24</v>
      </c>
      <c r="R232" s="279" t="n">
        <v>0.5600000000000001</v>
      </c>
      <c r="S232" s="279" t="n">
        <v>0.72</v>
      </c>
      <c r="T232" s="279" t="n">
        <v>0.64</v>
      </c>
      <c r="U232" s="279" t="n">
        <v>0.84</v>
      </c>
      <c r="V232" s="279" t="n">
        <v>2.75</v>
      </c>
      <c r="W232" s="279" t="n">
        <v>0.49</v>
      </c>
      <c r="X232" s="279" t="n">
        <v>1.01</v>
      </c>
      <c r="Y232" s="279" t="n">
        <v>1.37</v>
      </c>
      <c r="Z232" s="279" t="n">
        <v>1.33</v>
      </c>
      <c r="AA232" s="279" t="n">
        <v>4.21</v>
      </c>
      <c r="AB232" s="279" t="n">
        <v>1.45</v>
      </c>
      <c r="AC232" s="279" t="n">
        <v>1.62</v>
      </c>
      <c r="AD232" s="279" t="n">
        <v>1.63</v>
      </c>
      <c r="AE232" s="279" t="n">
        <v>1.41</v>
      </c>
      <c r="AF232" s="279" t="n">
        <v>6.11</v>
      </c>
      <c r="AG232" s="279" t="n">
        <v>1.35</v>
      </c>
      <c r="AH232" s="279" t="n">
        <v>1.69</v>
      </c>
      <c r="AI232" s="279" t="n">
        <v>1.76</v>
      </c>
      <c r="AJ232" s="279" t="n">
        <v>2.09</v>
      </c>
      <c r="AK232" s="279" t="n">
        <v>6.89</v>
      </c>
      <c r="AL232" s="279" t="n">
        <v>2.17</v>
      </c>
      <c r="AM232" s="279" t="n">
        <v>2.27</v>
      </c>
      <c r="AN232" s="279" t="n">
        <v>2.52</v>
      </c>
      <c r="AO232" s="153" t="n"/>
      <c r="AP232" s="153" t="n"/>
      <c r="AQ232" s="153" t="n"/>
      <c r="AR232" s="153" t="n"/>
      <c r="AS232" s="153" t="n"/>
      <c r="AT232" s="153" t="n"/>
      <c r="AU232" s="153" t="n"/>
      <c r="AV232" s="153" t="n"/>
    </row>
    <row r="233" ht="15" customHeight="1" s="251">
      <c r="B233" s="57" t="inlineStr">
        <is>
          <t xml:space="preserve">  Check: model vs company-published (should be 0.00; ±0.01 rounding)</t>
        </is>
      </c>
      <c r="C233" s="280" t="str">
        <f>IF(AND(ISNUMBER(C232),ISNUMBER(C231)),IF(ABS(C231-C232)&lt;=0.0101,0,ROUND(C231-C232,2)),"n/p")</f>
        <v>n/p</v>
      </c>
      <c r="D233" s="280" t="str">
        <f>IF(AND(ISNUMBER(D232),ISNUMBER(D231)),IF(ABS(D231-D232)&lt;=0.0101,0,ROUND(D231-D232,2)),"n/p")</f>
        <v>n/p</v>
      </c>
      <c r="E233" s="280" t="str">
        <f>IF(AND(ISNUMBER(E232),ISNUMBER(E231)),IF(ABS(E231-E232)&lt;=0.0101,0,ROUND(E231-E232,2)),"n/p")</f>
        <v>n/p</v>
      </c>
      <c r="F233" s="280" t="str">
        <f>IF(AND(ISNUMBER(F232),ISNUMBER(F231)),IF(ABS(F231-F232)&lt;=0.0101,0,ROUND(F231-F232,2)),"n/p")</f>
        <v>n/p</v>
      </c>
      <c r="G233" s="280" t="str">
        <f>IF(AND(ISNUMBER(G232),ISNUMBER(G231)),IF(ABS(G231-G232)&lt;=0.0101,0,ROUND(G231-G232,2)),"n/p")</f>
        <v>n/p</v>
      </c>
      <c r="H233" s="280" t="str">
        <f>IF(AND(ISNUMBER(H232),ISNUMBER(H231)),IF(ABS(H231-H232)&lt;=0.0101,0,ROUND(H231-H232,2)),"n/p")</f>
        <v>n/p</v>
      </c>
      <c r="I233" s="280" t="str">
        <f>IF(AND(ISNUMBER(I232),ISNUMBER(I231)),IF(ABS(I231-I232)&lt;=0.0101,0,ROUND(I231-I232,2)),"n/p")</f>
        <v>n/p</v>
      </c>
      <c r="J233" s="280">
        <f>IF(AND(ISNUMBER(J232),ISNUMBER(J231)),IF(ABS(J231-J232)&lt;=0.0101,0,ROUND(J231-J232,2)),"n/p")</f>
        <v>0</v>
      </c>
      <c r="K233" s="280">
        <f>IF(AND(ISNUMBER(K232),ISNUMBER(K231)),IF(ABS(K231-K232)&lt;=0.0101,0,ROUND(K231-K232,2)),"n/p")</f>
        <v>0</v>
      </c>
      <c r="L233" s="280">
        <f>IF(AND(ISNUMBER(L232),ISNUMBER(L231)),IF(ABS(L231-L232)&lt;=0.0101,0,ROUND(L231-L232,2)),"n/p")</f>
        <v>0</v>
      </c>
      <c r="M233" s="280">
        <f>IF(AND(ISNUMBER(M232),ISNUMBER(M231)),IF(ABS(M231-M232)&lt;=0.0101,0,ROUND(M231-M232,2)),"n/p")</f>
        <v>0</v>
      </c>
      <c r="N233" s="280">
        <f>IF(AND(ISNUMBER(N232),ISNUMBER(N231)),IF(ABS(N231-N232)&lt;=0.0101,0,ROUND(N231-N232,2)),"n/p")</f>
        <v>0</v>
      </c>
      <c r="O233" s="280">
        <f>IF(AND(ISNUMBER(O232),ISNUMBER(O231)),IF(ABS(O231-O232)&lt;=0.0101,0,ROUND(O231-O232,2)),"n/p")</f>
        <v>0</v>
      </c>
      <c r="P233" s="280">
        <f>IF(AND(ISNUMBER(P232),ISNUMBER(P231)),IF(ABS(P231-P232)&lt;=0.0101,0,ROUND(P231-P232,2)),"n/p")</f>
        <v>0</v>
      </c>
      <c r="Q233" s="280">
        <f>IF(AND(ISNUMBER(Q232),ISNUMBER(Q231)),IF(ABS(Q231-Q232)&lt;=0.0101,0,ROUND(Q231-Q232,2)),"n/p")</f>
        <v>0</v>
      </c>
      <c r="R233" s="280">
        <f>IF(AND(ISNUMBER(R232),ISNUMBER(R231)),IF(ABS(R231-R232)&lt;=0.0101,0,ROUND(R231-R232,2)),"n/p")</f>
        <v>0</v>
      </c>
      <c r="S233" s="280">
        <f>IF(AND(ISNUMBER(S232),ISNUMBER(S231)),IF(ABS(S231-S232)&lt;=0.0101,0,ROUND(S231-S232,2)),"n/p")</f>
        <v>0</v>
      </c>
      <c r="T233" s="280">
        <f>IF(AND(ISNUMBER(T232),ISNUMBER(T231)),IF(ABS(T231-T232)&lt;=0.0101,0,ROUND(T231-T232,2)),"n/p")</f>
        <v>0</v>
      </c>
      <c r="U233" s="280">
        <f>IF(AND(ISNUMBER(U232),ISNUMBER(U231)),IF(ABS(U231-U232)&lt;=0.0101,0,ROUND(U231-U232,2)),"n/p")</f>
        <v>0</v>
      </c>
      <c r="V233" s="280">
        <f>IF(AND(ISNUMBER(V232),ISNUMBER(V231)),IF(ABS(V231-V232)&lt;=0.0101,0,ROUND(V231-V232,2)),"n/p")</f>
        <v>0</v>
      </c>
      <c r="W233" s="280">
        <f>IF(AND(ISNUMBER(W232),ISNUMBER(W231)),IF(ABS(W231-W232)&lt;=0.0101,0,ROUND(W231-W232,2)),"n/p")</f>
        <v>0</v>
      </c>
      <c r="X233" s="280">
        <f>IF(AND(ISNUMBER(X232),ISNUMBER(X231)),IF(ABS(X231-X232)&lt;=0.0101,0,ROUND(X231-X232,2)),"n/p")</f>
        <v>0</v>
      </c>
      <c r="Y233" s="280">
        <f>IF(AND(ISNUMBER(Y232),ISNUMBER(Y231)),IF(ABS(Y231-Y232)&lt;=0.0101,0,ROUND(Y231-Y232,2)),"n/p")</f>
        <v>0</v>
      </c>
      <c r="Z233" s="280">
        <f>IF(AND(ISNUMBER(Z232),ISNUMBER(Z231)),IF(ABS(Z231-Z232)&lt;=0.0101,0,ROUND(Z231-Z232,2)),"n/p")</f>
        <v>0</v>
      </c>
      <c r="AA233" s="280">
        <f>IF(AND(ISNUMBER(AA232),ISNUMBER(AA231)),IF(ABS(AA231-AA232)&lt;=0.0101,0,ROUND(AA231-AA232,2)),"n/p")</f>
        <v>0</v>
      </c>
      <c r="AB233" s="280">
        <f>IF(AND(ISNUMBER(AB232),ISNUMBER(AB231)),IF(ABS(AB231-AB232)&lt;=0.0101,0,ROUND(AB231-AB232,2)),"n/p")</f>
        <v>0</v>
      </c>
      <c r="AC233" s="280">
        <f>IF(AND(ISNUMBER(AC232),ISNUMBER(AC231)),IF(ABS(AC231-AC232)&lt;=0.0101,0,ROUND(AC231-AC232,2)),"n/p")</f>
        <v>0</v>
      </c>
      <c r="AD233" s="280">
        <f>IF(AND(ISNUMBER(AD232),ISNUMBER(AD231)),IF(ABS(AD231-AD232)&lt;=0.0101,0,ROUND(AD231-AD232,2)),"n/p")</f>
        <v>0</v>
      </c>
      <c r="AE233" s="280">
        <f>IF(AND(ISNUMBER(AE232),ISNUMBER(AE231)),IF(ABS(AE231-AE232)&lt;=0.0101,0,ROUND(AE231-AE232,2)),"n/p")</f>
        <v>0</v>
      </c>
      <c r="AF233" s="280">
        <f>IF(AND(ISNUMBER(AF232),ISNUMBER(AF231)),IF(ABS(AF231-AF232)&lt;=0.0101,0,ROUND(AF231-AF232,2)),"n/p")</f>
        <v>0</v>
      </c>
      <c r="AG233" s="280">
        <f>IF(AND(ISNUMBER(AG232),ISNUMBER(AG231)),IF(ABS(AG231-AG232)&lt;=0.0101,0,ROUND(AG231-AG232,2)),"n/p")</f>
        <v>0</v>
      </c>
      <c r="AH233" s="280">
        <f>IF(AND(ISNUMBER(AH232),ISNUMBER(AH231)),IF(ABS(AH231-AH232)&lt;=0.0101,0,ROUND(AH231-AH232,2)),"n/p")</f>
        <v>0</v>
      </c>
      <c r="AI233" s="280">
        <f>IF(AND(ISNUMBER(AI232),ISNUMBER(AI231)),IF(ABS(AI231-AI232)&lt;=0.0101,0,ROUND(AI231-AI232,2)),"n/p")</f>
        <v>0</v>
      </c>
      <c r="AJ233" s="280">
        <f>IF(AND(ISNUMBER(AJ232),ISNUMBER(AJ231)),IF(ABS(AJ231-AJ232)&lt;=0.0101,0,ROUND(AJ231-AJ232,2)),"n/p")</f>
        <v>0</v>
      </c>
      <c r="AK233" s="280">
        <f>IF(AND(ISNUMBER(AK232),ISNUMBER(AK231)),IF(ABS(AK231-AK232)&lt;=0.0101,0,ROUND(AK231-AK232,2)),"n/p")</f>
        <v>0</v>
      </c>
      <c r="AL233" s="280">
        <f>IF(AND(ISNUMBER(AL232),ISNUMBER(AL231)),IF(ABS(AL231-AL232)&lt;=0.0101,0,ROUND(AL231-AL232,2)),"n/p")</f>
        <v>0</v>
      </c>
      <c r="AM233" s="280">
        <f>IF(AND(ISNUMBER(AM232),ISNUMBER(AM231)),IF(ABS(AM231-AM232)&lt;=0.0101,0,ROUND(AM231-AM232,2)),"n/p")</f>
        <v>0</v>
      </c>
      <c r="AN233" s="280">
        <f>IF(AND(ISNUMBER(AN232),ISNUMBER(AN231)),IF(ABS(AN231-AN232)&lt;=0.0101,0,ROUND(AN231-AN232,2)),"n/p")</f>
        <v>0</v>
      </c>
      <c r="AO233" s="153" t="n"/>
      <c r="AP233" s="153" t="n"/>
      <c r="AQ233" s="153" t="n"/>
      <c r="AR233" s="153" t="n"/>
      <c r="AS233" s="153" t="n"/>
      <c r="AT233" s="153" t="n"/>
      <c r="AU233" s="153" t="n"/>
      <c r="AV233" s="153" t="n"/>
    </row>
    <row r="234" ht="15" customHeight="1" s="251">
      <c r="B234" s="22" t="inlineStr">
        <is>
          <t xml:space="preserve">  Adjusted EPS y/y %</t>
        </is>
      </c>
      <c r="C234" s="23" t="n"/>
      <c r="D234" s="255">
        <f>IF(AND(ISNUMBER(D231),ISNUMBER(C231)),IFERROR(D231/C231-1,""),"")</f>
        <v>0.0681943818619173</v>
      </c>
      <c r="E234" s="255">
        <f>IF(AND(ISNUMBER(E231),ISNUMBER(D231)),IFERROR(E231/D231-1,""),"")</f>
        <v>0.0411843386980344</v>
      </c>
      <c r="F234" s="255">
        <f>IF(AND(ISNUMBER(F231),ISNUMBER(E231)),IFERROR(F231/E231-1,""),"")</f>
        <v>0.166984950746016</v>
      </c>
      <c r="G234" s="255">
        <f>IF(AND(ISNUMBER(G231),ISNUMBER(F231)),IFERROR(G231/F231-1,""),"")</f>
        <v>0.122601602834103</v>
      </c>
      <c r="H234" s="255">
        <f>IF(AND(ISNUMBER(H231),ISNUMBER(G231)),IFERROR(H231/G231-1,""),"")</f>
        <v>0.0358184705792419</v>
      </c>
      <c r="I234" s="255">
        <f>IF(AND(ISNUMBER(I231),ISNUMBER(H231)),IFERROR(I231/H231-1,""),"")</f>
        <v>0.109533990278434</v>
      </c>
      <c r="J234" s="255">
        <f>IF(AND(ISNUMBER(J231),ISNUMBER(I231)),IFERROR(J231/I231-1,""),"")</f>
        <v>0.219551226794063</v>
      </c>
      <c r="K234" s="255">
        <f>IF(AND(ISNUMBER(K231),ISNUMBER(J231)),IFERROR(K231/J231-1,""),"")</f>
        <v>0.266389967433815</v>
      </c>
      <c r="L234" s="255">
        <f>IF(AND(ISNUMBER(L231),ISNUMBER(K231)),IFERROR(L231/K231-1,""),"")</f>
        <v>-0.188553651451065</v>
      </c>
      <c r="M234" s="23" t="n"/>
      <c r="N234" s="23" t="n"/>
      <c r="O234" s="23" t="n"/>
      <c r="P234" s="23" t="n"/>
      <c r="Q234" s="255">
        <f>IF(AND(ISNUMBER(Q231),ISNUMBER(L231)),IFERROR(Q231/L231-1,""),"")</f>
        <v>-0.1811262492181</v>
      </c>
      <c r="R234" s="255">
        <f>IF(AND(ISNUMBER(R231),ISNUMBER(M231)),IFERROR(R231/M231-1,""),"")</f>
        <v>-0.129766589324882</v>
      </c>
      <c r="S234" s="255">
        <f>IF(AND(ISNUMBER(S231),ISNUMBER(N231)),IFERROR(S231/N231-1,""),"")</f>
        <v>-0.306760303024598</v>
      </c>
      <c r="T234" s="255">
        <f>IF(AND(ISNUMBER(T231),ISNUMBER(O231)),IFERROR(T231/O231-1,""),"")</f>
        <v>-0.142993214573718</v>
      </c>
      <c r="U234" s="255">
        <f>IF(AND(ISNUMBER(U231),ISNUMBER(P231)),IFERROR(U231/P231-1,""),"")</f>
        <v>0.0298011516524901</v>
      </c>
      <c r="V234" s="255">
        <f>IF(AND(ISNUMBER(V231),ISNUMBER(Q231)),IFERROR(V231/Q231-1,""),"")</f>
        <v>-0.151794219609844</v>
      </c>
      <c r="W234" s="255">
        <f>IF(AND(ISNUMBER(W231),ISNUMBER(R231)),IFERROR(W231/R231-1,""),"")</f>
        <v>-0.128357907936465</v>
      </c>
      <c r="X234" s="255">
        <f>IF(AND(ISNUMBER(X231),ISNUMBER(S231)),IFERROR(X231/S231-1,""),"")</f>
        <v>0.397495150371008</v>
      </c>
      <c r="Y234" s="255">
        <f>IF(AND(ISNUMBER(Y231),ISNUMBER(T231)),IFERROR(Y231/T231-1,""),"")</f>
        <v>1.16198498841202</v>
      </c>
      <c r="Z234" s="255">
        <f>IF(AND(ISNUMBER(Z231),ISNUMBER(U231)),IFERROR(Z231/U231-1,""),"")</f>
        <v>0.584807127863897</v>
      </c>
      <c r="AA234" s="255">
        <f>IF(AND(ISNUMBER(AA231),ISNUMBER(V231)),IFERROR(AA231/V231-1,""),"")</f>
        <v>0.530456462145953</v>
      </c>
      <c r="AB234" s="255">
        <f>IF(AND(ISNUMBER(AB231),ISNUMBER(W231)),IFERROR(AB231/W231-1,""),"")</f>
        <v>1.98851268466041</v>
      </c>
      <c r="AC234" s="255">
        <f>IF(AND(ISNUMBER(AC231),ISNUMBER(X231)),IFERROR(AC231/X231-1,""),"")</f>
        <v>0.603804410985172</v>
      </c>
      <c r="AD234" s="255">
        <f>IF(AND(ISNUMBER(AD231),ISNUMBER(Y231)),IFERROR(AD231/Y231-1,""),"")</f>
        <v>0.18860773568136</v>
      </c>
      <c r="AE234" s="255">
        <f>IF(AND(ISNUMBER(AE231),ISNUMBER(Z231)),IFERROR(AE231/Z231-1,""),"")</f>
        <v>0.0567896466792277</v>
      </c>
      <c r="AF234" s="255">
        <f>IF(AND(ISNUMBER(AF231),ISNUMBER(AA231)),IFERROR(AF231/AA231-1,""),"")</f>
        <v>0.452028388348429</v>
      </c>
      <c r="AG234" s="255">
        <f>IF(AND(ISNUMBER(AG231),ISNUMBER(AB231)),IFERROR(AG231/AB231-1,""),"")</f>
        <v>-0.0700575954638487</v>
      </c>
      <c r="AH234" s="255">
        <f>IF(AND(ISNUMBER(AH231),ISNUMBER(AC231)),IFERROR(AH231/AC231-1,""),"")</f>
        <v>0.0425073849531144</v>
      </c>
      <c r="AI234" s="255">
        <f>IF(AND(ISNUMBER(AI231),ISNUMBER(AD231)),IFERROR(AI231/AD231-1,""),"")</f>
        <v>0.0803006901613284</v>
      </c>
      <c r="AJ234" s="255">
        <f>IF(AND(ISNUMBER(AJ231),ISNUMBER(AE231)),IFERROR(AJ231/AE231-1,""),"")</f>
        <v>0.486236772262353</v>
      </c>
      <c r="AK234" s="255">
        <f>IF(AND(ISNUMBER(AK231),ISNUMBER(AF231)),IFERROR(AK231/AF231-1,""),"")</f>
        <v>0.128422165552869</v>
      </c>
      <c r="AL234" s="255">
        <f>IF(AND(ISNUMBER(AL231),ISNUMBER(AG231)),IFERROR(AL231/AG231-1,""),"")</f>
        <v>0.607714573220203</v>
      </c>
      <c r="AM234" s="255">
        <f>IF(AND(ISNUMBER(AM231),ISNUMBER(AH231)),IFERROR(AM231/AH231-1,""),"")</f>
        <v>0.347136016200108</v>
      </c>
      <c r="AN234" s="255">
        <f>IF(AND(ISNUMBER(AN231),ISNUMBER(AI231)),IFERROR(AN231/AI231-1,""),"")</f>
        <v>0.427516800352853</v>
      </c>
      <c r="AO234" s="256">
        <f>IF(AND(ISNUMBER(AO231),ISNUMBER(AJ231)),IFERROR(AO231/AJ231-1,""),"")</f>
        <v>0.167657684224403</v>
      </c>
      <c r="AP234" s="256">
        <f>IF(AND(ISNUMBER(AP231),ISNUMBER(AK231)),IFERROR(AP231/AK231-1,""),"")</f>
        <v>0.364083361468341</v>
      </c>
      <c r="AQ234" s="256">
        <f>IF(AND(ISNUMBER(AQ231),ISNUMBER(AP231)),IFERROR(AQ231/AP231-1,""),"")</f>
        <v>0.134899015454435</v>
      </c>
      <c r="AR234" s="256">
        <f>IF(AND(ISNUMBER(AR231),ISNUMBER(AQ231)),IFERROR(AR231/AQ231-1,""),"")</f>
        <v>0.11868696688314</v>
      </c>
      <c r="AS234" s="256">
        <f>IF(AND(ISNUMBER(AS231),ISNUMBER(AR231)),IFERROR(AS231/AR231-1,""),"")</f>
        <v>0.112529938568276</v>
      </c>
      <c r="AT234" s="256">
        <f>IF(AND(ISNUMBER(AT231),ISNUMBER(AS231)),IFERROR(AT231/AS231-1,""),"")</f>
        <v>0.091878101338962</v>
      </c>
      <c r="AU234" s="256">
        <f>IF(AND(ISNUMBER(AU231),ISNUMBER(AT231)),IFERROR(AU231/AT231-1,""),"")</f>
        <v>0.0871508394941445</v>
      </c>
      <c r="AV234" s="153" t="n"/>
    </row>
    <row r="235" ht="15" customHeight="1" s="251">
      <c r="B235" s="25" t="inlineStr">
        <is>
          <t xml:space="preserve">  Adjusted earnings before tax (adjusted EBIT − interest expense + interest income)</t>
        </is>
      </c>
      <c r="C235" s="263">
        <f>IF(ISNUMBER(C192),C192-N(C162)+N(C163),"")</f>
        <v>187.567</v>
      </c>
      <c r="D235" s="263">
        <f>IF(ISNUMBER(D192),D192-N(D162)+N(D163),"")</f>
        <v>197.807</v>
      </c>
      <c r="E235" s="263">
        <f>IF(ISNUMBER(E192),E192-N(E162)+N(E163),"")</f>
        <v>199.571</v>
      </c>
      <c r="F235" s="263">
        <f>IF(ISNUMBER(F192),F192-N(F162)+N(F163),"")</f>
        <v>227.244</v>
      </c>
      <c r="G235" s="263">
        <f>IF(ISNUMBER(G192),G192-N(G162)+N(G163),"")</f>
        <v>240.949</v>
      </c>
      <c r="H235" s="263">
        <f>IF(ISNUMBER(H192),H192-N(H162)+N(H163),"")</f>
        <v>226.486</v>
      </c>
      <c r="I235" s="263">
        <f>IF(ISNUMBER(I192),I192-N(I162)+N(I163),"")</f>
        <v>252.747</v>
      </c>
      <c r="J235" s="263">
        <f>IF(ISNUMBER(J192),J192-N(J162)+N(J163),"")</f>
        <v>295.57</v>
      </c>
      <c r="K235" s="263">
        <f>IF(ISNUMBER(K192),K192-N(K162)+N(K163),"")</f>
        <v>381.402</v>
      </c>
      <c r="L235" s="263">
        <f>IF(ISNUMBER(L192),L192-N(L162)+N(L163),"")</f>
        <v>309.111</v>
      </c>
      <c r="M235" s="263">
        <f>IF(ISNUMBER(M192),M192-N(M162)+N(M163),"")</f>
        <v>47.5840000000001</v>
      </c>
      <c r="N235" s="263">
        <f>IF(ISNUMBER(N192),N192-N(N162)+N(N163),"")</f>
        <v>78.487</v>
      </c>
      <c r="O235" s="263">
        <f>IF(ISNUMBER(O192),O192-N(O162)+N(O163),"")</f>
        <v>58.698</v>
      </c>
      <c r="P235" s="263">
        <f>IF(ISNUMBER(P192),P192-N(P162)+N(P163),"")</f>
        <v>66.038</v>
      </c>
      <c r="Q235" s="263">
        <f>IF(ISNUMBER(Q192),Q192-N(Q162)+N(Q163),"")</f>
        <v>250.807</v>
      </c>
      <c r="R235" s="263">
        <f>IF(ISNUMBER(R192),R192-N(R162)+N(R163),"")</f>
        <v>45.728</v>
      </c>
      <c r="S235" s="263">
        <f>IF(ISNUMBER(S192),S192-N(S162)+N(S163),"")</f>
        <v>52.3680000000001</v>
      </c>
      <c r="T235" s="263">
        <f>IF(ISNUMBER(T192),T192-N(T162)+N(T163),"")</f>
        <v>50.287</v>
      </c>
      <c r="U235" s="263">
        <f>IF(ISNUMBER(U192),U192-N(U162)+N(U163),"")</f>
        <v>54.349</v>
      </c>
      <c r="V235" s="263">
        <f>IF(ISNUMBER(V192),V192-N(V162)+N(V163),"")</f>
        <v>202.732</v>
      </c>
      <c r="W235" s="263">
        <f>IF(ISNUMBER(W192),W192-N(W162)+N(W163),"")</f>
        <v>31.749</v>
      </c>
      <c r="X235" s="263">
        <f>IF(ISNUMBER(X192),X192-N(X162)+N(X163),"")</f>
        <v>75.1170000000001</v>
      </c>
      <c r="Y235" s="263">
        <f>IF(ISNUMBER(Y192),Y192-N(Y162)+N(Y163),"")</f>
        <v>105.738</v>
      </c>
      <c r="Z235" s="263">
        <f>IF(ISNUMBER(Z192),Z192-N(Z162)+N(Z163),"")</f>
        <v>98.0400000000001</v>
      </c>
      <c r="AA235" s="263">
        <f>IF(ISNUMBER(AA192),AA192-N(AA162)+N(AA163),"")</f>
        <v>310.644</v>
      </c>
      <c r="AB235" s="263">
        <f>IF(ISNUMBER(AB192),AB192-N(AB162)+N(AB163),"")</f>
        <v>109.155</v>
      </c>
      <c r="AC235" s="263">
        <f>IF(ISNUMBER(AC192),AC192-N(AC162)+N(AC163),"")</f>
        <v>124.954</v>
      </c>
      <c r="AD235" s="263">
        <f>IF(ISNUMBER(AD192),AD192-N(AD162)+N(AD163),"")</f>
        <v>122.096</v>
      </c>
      <c r="AE235" s="263">
        <f>IF(ISNUMBER(AE192),AE192-N(AE162)+N(AE163),"")</f>
        <v>105.909</v>
      </c>
      <c r="AF235" s="263">
        <f>IF(ISNUMBER(AF192),AF192-N(AF162)+N(AF163),"")</f>
        <v>462.114</v>
      </c>
      <c r="AG235" s="263">
        <f>IF(ISNUMBER(AG192),AG192-N(AG162)+N(AG163),"")</f>
        <v>96.011</v>
      </c>
      <c r="AH235" s="263">
        <f>IF(ISNUMBER(AH192),AH192-N(AH162)+N(AH163),"")</f>
        <v>125.593</v>
      </c>
      <c r="AI235" s="263">
        <f>IF(ISNUMBER(AI192),AI192-N(AI162)+N(AI163),"")</f>
        <v>126.836</v>
      </c>
      <c r="AJ235" s="263">
        <f>IF(ISNUMBER(AJ192),AJ192-N(AJ162)+N(AJ163),"")</f>
        <v>166.294</v>
      </c>
      <c r="AK235" s="263">
        <f>IF(ISNUMBER(AK192),AK192-N(AK162)+N(AK163),"")</f>
        <v>514.733</v>
      </c>
      <c r="AL235" s="263">
        <f>IF(ISNUMBER(AL192),AL192-N(AL162)+N(AL163),"")</f>
        <v>169.151</v>
      </c>
      <c r="AM235" s="263">
        <f>IF(ISNUMBER(AM192),AM192-N(AM162)+N(AM163),"")</f>
        <v>174.242</v>
      </c>
      <c r="AN235" s="263">
        <f>IF(ISNUMBER(AN192),AN192-N(AN162)+N(AN163),"")</f>
        <v>202.776</v>
      </c>
      <c r="AO235" s="254">
        <f>IF(ISNUMBER(AO192),AO192-N(AO162)+N(AO163),"")</f>
        <v>194.791697901044</v>
      </c>
      <c r="AP235" s="254">
        <f>IF(ISNUMBER(AP192),AP192-N(AP162)+N(AP163),"")</f>
        <v>740.960697901045</v>
      </c>
      <c r="AQ235" s="254">
        <f>IF(ISNUMBER(AQ192),AQ192-N(AQ162)+N(AQ163),"")</f>
        <v>822.577093374775</v>
      </c>
      <c r="AR235" s="254">
        <f>IF(ISNUMBER(AR192),AR192-N(AR162)+N(AR163),"")</f>
        <v>901.001017167513</v>
      </c>
      <c r="AS235" s="254">
        <f>IF(ISNUMBER(AS192),AS192-N(AS162)+N(AS163),"")</f>
        <v>984.546168406529</v>
      </c>
      <c r="AT235" s="254">
        <f>IF(ISNUMBER(AT192),AT192-N(AT162)+N(AT163),"")</f>
        <v>1054.9145602522</v>
      </c>
      <c r="AU235" s="254">
        <f>IF(ISNUMBER(AU192),AU192-N(AU162)+N(AU163),"")</f>
        <v>1125.46040540526</v>
      </c>
      <c r="AV235" s="19" t="n"/>
    </row>
    <row r="236" ht="15" customHeight="1" s="251">
      <c r="B236" s="25" t="inlineStr">
        <is>
          <t xml:space="preserve">  Adjusted income tax (adjusted earnings before tax − adjusted net earnings)</t>
        </is>
      </c>
      <c r="C236" s="263">
        <f>IF(AND(ISNUMBER(C228),ISNUMBER(C235)),C235-C228,"")</f>
        <v>55.332</v>
      </c>
      <c r="D236" s="263">
        <f>IF(AND(ISNUMBER(D228),ISNUMBER(D235)),D235-D228,"")</f>
        <v>56.218</v>
      </c>
      <c r="E236" s="263">
        <f>IF(AND(ISNUMBER(E228),ISNUMBER(E235)),E235-E228,"")</f>
        <v>53.629</v>
      </c>
      <c r="F236" s="263">
        <f>IF(AND(ISNUMBER(F228),ISNUMBER(F235)),F235-F228,"")</f>
        <v>61.4</v>
      </c>
      <c r="G236" s="263">
        <f>IF(AND(ISNUMBER(G228),ISNUMBER(G235)),G235-G228,"")</f>
        <v>59.497</v>
      </c>
      <c r="H236" s="263">
        <f>IF(AND(ISNUMBER(H228),ISNUMBER(H235)),H235-H228,"")</f>
        <v>45.648</v>
      </c>
      <c r="I236" s="263">
        <f>IF(AND(ISNUMBER(I228),ISNUMBER(I235)),I235-I228,"")</f>
        <v>52.24</v>
      </c>
      <c r="J236" s="263">
        <f>IF(AND(ISNUMBER(J228),ISNUMBER(J235)),J235-J228,"")</f>
        <v>49.6400000000001</v>
      </c>
      <c r="K236" s="263">
        <f>IF(AND(ISNUMBER(K228),ISNUMBER(K235)),K235-K228,"")</f>
        <v>66.9260000000002</v>
      </c>
      <c r="L236" s="263">
        <f>IF(AND(ISNUMBER(L228),ISNUMBER(L235)),L235-L228,"")</f>
        <v>55.0739999999999</v>
      </c>
      <c r="M236" s="263">
        <f>IF(AND(ISNUMBER(M228),ISNUMBER(M235)),M235-M228,"")</f>
        <v>6.014</v>
      </c>
      <c r="N236" s="263">
        <f>IF(AND(ISNUMBER(N228),ISNUMBER(N235)),N235-N228,"")</f>
        <v>10.174</v>
      </c>
      <c r="O236" s="263">
        <f>IF(AND(ISNUMBER(O228),ISNUMBER(O235)),O235-O228,"")</f>
        <v>9.837</v>
      </c>
      <c r="P236" s="263">
        <f>IF(AND(ISNUMBER(P228),ISNUMBER(P235)),P235-P228,"")</f>
        <v>12.397</v>
      </c>
      <c r="Q236" s="263">
        <f>IF(AND(ISNUMBER(Q228),ISNUMBER(Q235)),Q235-Q228,"")</f>
        <v>38.422</v>
      </c>
      <c r="R236" s="263">
        <f>IF(AND(ISNUMBER(R228),ISNUMBER(R235)),R235-R228,"")</f>
        <v>9.43700000000001</v>
      </c>
      <c r="S236" s="263">
        <f>IF(AND(ISNUMBER(S228),ISNUMBER(S235)),S235-S228,"")</f>
        <v>5.75800000000005</v>
      </c>
      <c r="T236" s="263">
        <f>IF(AND(ISNUMBER(T228),ISNUMBER(T235)),T235-T228,"")</f>
        <v>10.841</v>
      </c>
      <c r="U236" s="263">
        <f>IF(AND(ISNUMBER(U228),ISNUMBER(U235)),U235-U228,"")</f>
        <v>2.87300000000004</v>
      </c>
      <c r="V236" s="263">
        <f>IF(AND(ISNUMBER(V228),ISNUMBER(V235)),V235-V228,"")</f>
        <v>28.9090000000001</v>
      </c>
      <c r="W236" s="263">
        <f>IF(AND(ISNUMBER(W228),ISNUMBER(W235)),W235-W228,"")</f>
        <v>2.143</v>
      </c>
      <c r="X236" s="263">
        <f>IF(AND(ISNUMBER(X228),ISNUMBER(X235)),X235-X228,"")</f>
        <v>13.3980000000001</v>
      </c>
      <c r="Y236" s="263">
        <f>IF(AND(ISNUMBER(Y228),ISNUMBER(Y235)),Y235-Y228,"")</f>
        <v>21.139</v>
      </c>
      <c r="Z236" s="263">
        <f>IF(AND(ISNUMBER(Z228),ISNUMBER(Z235)),Z235-Z228,"")</f>
        <v>15.388</v>
      </c>
      <c r="AA236" s="263">
        <f>IF(AND(ISNUMBER(AA228),ISNUMBER(AA235)),AA235-AA228,"")</f>
        <v>52.0679999999995</v>
      </c>
      <c r="AB236" s="263">
        <f>IF(AND(ISNUMBER(AB228),ISNUMBER(AB235)),AB235-AB228,"")</f>
        <v>19.344</v>
      </c>
      <c r="AC236" s="263">
        <f>IF(AND(ISNUMBER(AC228),ISNUMBER(AC235)),AC235-AC228,"")</f>
        <v>24.129</v>
      </c>
      <c r="AD236" s="263">
        <f>IF(AND(ISNUMBER(AD228),ISNUMBER(AD235)),AD235-AD228,"")</f>
        <v>20.021</v>
      </c>
      <c r="AE236" s="263">
        <f>IF(AND(ISNUMBER(AE228),ISNUMBER(AE235)),AE235-AE228,"")</f>
        <v>19.4840000000001</v>
      </c>
      <c r="AF236" s="263">
        <f>IF(AND(ISNUMBER(AF228),ISNUMBER(AF235)),AF235-AF228,"")</f>
        <v>82.9779999999998</v>
      </c>
      <c r="AG236" s="263">
        <f>IF(AND(ISNUMBER(AG228),ISNUMBER(AG235)),AG235-AG228,"")</f>
        <v>13.444</v>
      </c>
      <c r="AH236" s="263">
        <f>IF(AND(ISNUMBER(AH228),ISNUMBER(AH235)),AH235-AH228,"")</f>
        <v>22.2030000000001</v>
      </c>
      <c r="AI236" s="263">
        <f>IF(AND(ISNUMBER(AI228),ISNUMBER(AI235)),AI235-AI228,"")</f>
        <v>18.388</v>
      </c>
      <c r="AJ236" s="263">
        <f>IF(AND(ISNUMBER(AJ228),ISNUMBER(AJ235)),AJ235-AJ228,"")</f>
        <v>37.145</v>
      </c>
      <c r="AK236" s="263">
        <f>IF(AND(ISNUMBER(AK228),ISNUMBER(AK235)),AK235-AK228,"")</f>
        <v>91.18</v>
      </c>
      <c r="AL236" s="263">
        <f>IF(AND(ISNUMBER(AL228),ISNUMBER(AL235)),AL235-AL228,"")</f>
        <v>35.432</v>
      </c>
      <c r="AM236" s="263">
        <f>IF(AND(ISNUMBER(AM228),ISNUMBER(AM235)),AM235-AM228,"")</f>
        <v>35.116</v>
      </c>
      <c r="AN236" s="263">
        <f>IF(AND(ISNUMBER(AN228),ISNUMBER(AN235)),AN235-AN228,"")</f>
        <v>49.1479999999999</v>
      </c>
      <c r="AO236" s="254">
        <f>AO235*AO237</f>
        <v>46.7500074962507</v>
      </c>
      <c r="AP236" s="254">
        <f>SUM(AL236:AO236)</f>
        <v>166.446007496251</v>
      </c>
      <c r="AQ236" s="254">
        <f>AQ235*AQ237</f>
        <v>185.079846009324</v>
      </c>
      <c r="AR236" s="254">
        <f>AR235*AR237</f>
        <v>202.72522886269</v>
      </c>
      <c r="AS236" s="254">
        <f>AS235*AS237</f>
        <v>221.522887891469</v>
      </c>
      <c r="AT236" s="254">
        <f>AT235*AT237</f>
        <v>237.355776056746</v>
      </c>
      <c r="AU236" s="254">
        <f>AU235*AU237</f>
        <v>253.228591216184</v>
      </c>
      <c r="AV236" s="19" t="n"/>
    </row>
    <row r="237" ht="15" customHeight="1" s="251">
      <c r="B237" s="25" t="inlineStr">
        <is>
          <t xml:space="preserve">  Adjusted effective tax rate</t>
        </is>
      </c>
      <c r="C237" s="215">
        <f>IF(AND(ISNUMBER(C236),ISNUMBER(C235)),IFERROR(C236/C235,""),"")</f>
        <v>0.294998587171517</v>
      </c>
      <c r="D237" s="215">
        <f>IF(AND(ISNUMBER(D236),ISNUMBER(D235)),IFERROR(D236/D235,""),"")</f>
        <v>0.284206322324286</v>
      </c>
      <c r="E237" s="215">
        <f>IF(AND(ISNUMBER(E236),ISNUMBER(E235)),IFERROR(E236/E235,""),"")</f>
        <v>0.268721407418913</v>
      </c>
      <c r="F237" s="215">
        <f>IF(AND(ISNUMBER(F236),ISNUMBER(F235)),IFERROR(F236/F235,""),"")</f>
        <v>0.270194152540881</v>
      </c>
      <c r="G237" s="215">
        <f>IF(AND(ISNUMBER(G236),ISNUMBER(G235)),IFERROR(G236/G235,""),"")</f>
        <v>0.246927773097211</v>
      </c>
      <c r="H237" s="215">
        <f>IF(AND(ISNUMBER(H236),ISNUMBER(H235)),IFERROR(H236/H235,""),"")</f>
        <v>0.201548881608576</v>
      </c>
      <c r="I237" s="215">
        <f>IF(AND(ISNUMBER(I236),ISNUMBER(I235)),IFERROR(I236/I235,""),"")</f>
        <v>0.206688902341076</v>
      </c>
      <c r="J237" s="215">
        <f>IF(AND(ISNUMBER(J236),ISNUMBER(J235)),IFERROR(J236/J235,""),"")</f>
        <v>0.167946679297629</v>
      </c>
      <c r="K237" s="215">
        <f>IF(AND(ISNUMBER(K236),ISNUMBER(K235)),IFERROR(K236/K235,""),"")</f>
        <v>0.17547364722786</v>
      </c>
      <c r="L237" s="215">
        <f>IF(AND(ISNUMBER(L236),ISNUMBER(L235)),IFERROR(L236/L235,""),"")</f>
        <v>0.178169007249823</v>
      </c>
      <c r="M237" s="215">
        <f>IF(AND(ISNUMBER(M236),ISNUMBER(M235)),IFERROR(M236/M235,""),"")</f>
        <v>0.126387020847344</v>
      </c>
      <c r="N237" s="215">
        <f>IF(AND(ISNUMBER(N236),ISNUMBER(N235)),IFERROR(N236/N235,""),"")</f>
        <v>0.129626562360646</v>
      </c>
      <c r="O237" s="215">
        <f>IF(AND(ISNUMBER(O236),ISNUMBER(O235)),IFERROR(O236/O235,""),"")</f>
        <v>0.167586629868139</v>
      </c>
      <c r="P237" s="215">
        <f>IF(AND(ISNUMBER(P236),ISNUMBER(P235)),IFERROR(P236/P235,""),"")</f>
        <v>0.187725249099003</v>
      </c>
      <c r="Q237" s="215">
        <f>IF(AND(ISNUMBER(Q236),ISNUMBER(Q235)),IFERROR(Q236/Q235,""),"")</f>
        <v>0.15319349140973</v>
      </c>
      <c r="R237" s="215">
        <f>IF(AND(ISNUMBER(R236),ISNUMBER(R235)),IFERROR(R236/R235,""),"")</f>
        <v>0.206372463261022</v>
      </c>
      <c r="S237" s="215">
        <f>IF(AND(ISNUMBER(S236),ISNUMBER(S235)),IFERROR(S236/S235,""),"")</f>
        <v>0.10995264283532</v>
      </c>
      <c r="T237" s="215">
        <f>IF(AND(ISNUMBER(T236),ISNUMBER(T235)),IFERROR(T236/T235,""),"")</f>
        <v>0.215582556127826</v>
      </c>
      <c r="U237" s="215">
        <f>IF(AND(ISNUMBER(U236),ISNUMBER(U235)),IFERROR(U236/U235,""),"")</f>
        <v>0.052862058179544</v>
      </c>
      <c r="V237" s="215">
        <f>IF(AND(ISNUMBER(V236),ISNUMBER(V235)),IFERROR(V236/V235,""),"")</f>
        <v>0.14259712329578</v>
      </c>
      <c r="W237" s="215">
        <f>IF(AND(ISNUMBER(W236),ISNUMBER(W235)),IFERROR(W236/W235,""),"")</f>
        <v>0.067498188919336</v>
      </c>
      <c r="X237" s="215">
        <f>IF(AND(ISNUMBER(X236),ISNUMBER(X235)),IFERROR(X236/X235,""),"")</f>
        <v>0.178361755661169</v>
      </c>
      <c r="Y237" s="215">
        <f>IF(AND(ISNUMBER(Y236),ISNUMBER(Y235)),IFERROR(Y236/Y235,""),"")</f>
        <v>0.199918666893643</v>
      </c>
      <c r="Z237" s="215">
        <f>IF(AND(ISNUMBER(Z236),ISNUMBER(Z235)),IFERROR(Z236/Z235,""),"")</f>
        <v>0.156956344349245</v>
      </c>
      <c r="AA237" s="215">
        <f>IF(AND(ISNUMBER(AA236),ISNUMBER(AA235)),IFERROR(AA236/AA235,""),"")</f>
        <v>0.167613087650171</v>
      </c>
      <c r="AB237" s="215">
        <f>IF(AND(ISNUMBER(AB236),ISNUMBER(AB235)),IFERROR(AB236/AB235,""),"")</f>
        <v>0.177215885667171</v>
      </c>
      <c r="AC237" s="215">
        <f>IF(AND(ISNUMBER(AC236),ISNUMBER(AC235)),IFERROR(AC236/AC235,""),"")</f>
        <v>0.193103061926789</v>
      </c>
      <c r="AD237" s="215">
        <f>IF(AND(ISNUMBER(AD236),ISNUMBER(AD235)),IFERROR(AD236/AD235,""),"")</f>
        <v>0.163977525881274</v>
      </c>
      <c r="AE237" s="215">
        <f>IF(AND(ISNUMBER(AE236),ISNUMBER(AE235)),IFERROR(AE236/AE235,""),"")</f>
        <v>0.183969256625972</v>
      </c>
      <c r="AF237" s="215">
        <f>IF(AND(ISNUMBER(AF236),ISNUMBER(AF235)),IFERROR(AF236/AF235,""),"")</f>
        <v>0.179561753160475</v>
      </c>
      <c r="AG237" s="215">
        <f>IF(AND(ISNUMBER(AG236),ISNUMBER(AG235)),IFERROR(AG236/AG235,""),"")</f>
        <v>0.140025622064139</v>
      </c>
      <c r="AH237" s="215">
        <f>IF(AND(ISNUMBER(AH236),ISNUMBER(AH235)),IFERROR(AH236/AH235,""),"")</f>
        <v>0.176785330392618</v>
      </c>
      <c r="AI237" s="215">
        <f>IF(AND(ISNUMBER(AI236),ISNUMBER(AI235)),IFERROR(AI236/AI235,""),"")</f>
        <v>0.144974612885931</v>
      </c>
      <c r="AJ237" s="215">
        <f>IF(AND(ISNUMBER(AJ236),ISNUMBER(AJ235)),IFERROR(AJ236/AJ235,""),"")</f>
        <v>0.223369454099366</v>
      </c>
      <c r="AK237" s="215">
        <f>IF(AND(ISNUMBER(AK236),ISNUMBER(AK235)),IFERROR(AK236/AK235,""),"")</f>
        <v>0.177140381518185</v>
      </c>
      <c r="AL237" s="215">
        <f>IF(AND(ISNUMBER(AL236),ISNUMBER(AL235)),IFERROR(AL236/AL235,""),"")</f>
        <v>0.209469645464703</v>
      </c>
      <c r="AM237" s="215">
        <f>IF(AND(ISNUMBER(AM236),ISNUMBER(AM235)),IFERROR(AM236/AM235,""),"")</f>
        <v>0.201535795043675</v>
      </c>
      <c r="AN237" s="215">
        <f>IF(AND(ISNUMBER(AN236),ISNUMBER(AN235)),IFERROR(AN236/AN235,""),"")</f>
        <v>0.242375823568864</v>
      </c>
      <c r="AO237" s="256">
        <f>$BF$25</f>
        <v>0.24</v>
      </c>
      <c r="AP237" s="256">
        <f>IF(AND(ISNUMBER(AP236),ISNUMBER(AP235)),IFERROR(AP236/AP235,""),"")</f>
        <v>0.224635406395711</v>
      </c>
      <c r="AQ237" s="256">
        <f>AQ166</f>
        <v>0.225</v>
      </c>
      <c r="AR237" s="256">
        <f>AR166</f>
        <v>0.225</v>
      </c>
      <c r="AS237" s="256">
        <f>AS166</f>
        <v>0.225</v>
      </c>
      <c r="AT237" s="256">
        <f>AT166</f>
        <v>0.225</v>
      </c>
      <c r="AU237" s="256">
        <f>AU166</f>
        <v>0.225</v>
      </c>
      <c r="AV237" s="153" t="inlineStr">
        <is>
          <t>9M FY26 adjusted rate 21.9%; FY26 guidance ~22.5%. Forecast = GAAP effective tax rate.</t>
        </is>
      </c>
      <c r="AX237" s="37">
        <f>IFERROR(AVERAGE(AQ237,AR237,AS237,AT237,AU237),"n/m")</f>
        <v>0.225</v>
      </c>
      <c r="AY237" s="37">
        <f>IFERROR(AVERAGE(Q237,V237,AA237,AF237,AK237),"n/m")</f>
        <v>0.164021167406868</v>
      </c>
      <c r="AZ237" s="37">
        <f>IFERROR(AVERAGE(H237,I237,J237,K237,L237,Q237,V237,AA237,AF237,AK237),"n/m")</f>
        <v>0.17499329547593</v>
      </c>
      <c r="BA237" s="37">
        <f>IFERROR(AVERAGE(C237,D237,E237,F237,G237,H237,I237,J237,K237,L237,Q237,V237,AA237,AF237,AK237),"n/m")</f>
        <v>0.207665413154141</v>
      </c>
    </row>
    <row r="238" ht="15" customHeight="1" s="251">
      <c r="B238" s="158" t="inlineStr">
        <is>
          <t xml:space="preserve">  Definition / basis (company adjusted EPS definition)</t>
        </is>
      </c>
      <c r="C238" s="283" t="inlineStr">
        <is>
          <t>FY2011–17: no adjusted EPS published — adjusted = GAAP diluted EPS (flag)</t>
        </is>
      </c>
      <c r="J238" s="283" t="inlineStr">
        <is>
          <t>FY2018+: adjusted EPS = GAAP diluted EPS + items net of tax (company definition); FY2018–19 incl. US tax-reform transition impact</t>
        </is>
      </c>
      <c r="AG238" s="283" t="inlineStr">
        <is>
          <t>FY2025: product rationalization gains and German corporate tax-rate change adjusted out</t>
        </is>
      </c>
      <c r="AO238" s="153" t="n"/>
      <c r="AP238" s="153" t="n"/>
      <c r="AQ238" s="153" t="n"/>
      <c r="AR238" s="153" t="n"/>
      <c r="AS238" s="153" t="n"/>
      <c r="AT238" s="153" t="n"/>
      <c r="AU238" s="153" t="n"/>
      <c r="AV238" s="19" t="n"/>
    </row>
    <row r="239" ht="15" customHeight="1" s="251">
      <c r="BD239" s="11" t="n"/>
      <c r="BE239" s="12" t="n"/>
      <c r="BF239" s="12" t="n"/>
      <c r="BG239" s="12" t="n"/>
      <c r="BH239" s="13" t="n"/>
    </row>
    <row r="240" ht="15" customHeight="1" s="251">
      <c r="B240" s="10" t="inlineStr">
        <is>
          <t>GROWTH &amp; MARGINS</t>
        </is>
      </c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inlineStr">
        <is>
          <t>GROWTH &amp; MARGINS (consolidated) — forecast outputs</t>
        </is>
      </c>
    </row>
    <row r="241" ht="15" customHeight="1" s="251">
      <c r="B241" s="22" t="inlineStr">
        <is>
          <t xml:space="preserve">  Net sales y/y %</t>
        </is>
      </c>
      <c r="C241" s="23" t="n"/>
      <c r="D241" s="255">
        <f>IF(AND(ISNUMBER(D150),ISNUMBER(C150)),IFERROR(D150/C150-1,""),"")</f>
        <v>0.0899251154698657</v>
      </c>
      <c r="E241" s="255">
        <f>IF(AND(ISNUMBER(E150),ISNUMBER(D150)),IFERROR(E150/D150-1,""),"")</f>
        <v>0.0377079662762172</v>
      </c>
      <c r="F241" s="255">
        <f>IF(AND(ISNUMBER(F150),ISNUMBER(E150)),IFERROR(F150/E150-1,""),"")</f>
        <v>0.0337111617086161</v>
      </c>
      <c r="G241" s="255">
        <f>IF(AND(ISNUMBER(G150),ISNUMBER(F150)),IFERROR(G150/F150-1,""),"")</f>
        <v>0.0185200175890947</v>
      </c>
      <c r="H241" s="255">
        <f>IF(AND(ISNUMBER(H150),ISNUMBER(G150)),IFERROR(H150/G150-1,""),"")</f>
        <v>-0.00746944885034273</v>
      </c>
      <c r="I241" s="255">
        <f>IF(AND(ISNUMBER(I150),ISNUMBER(H150)),IFERROR(I150/H150-1,""),"")</f>
        <v>0.0373722614748417</v>
      </c>
      <c r="J241" s="255">
        <f>IF(AND(ISNUMBER(J150),ISNUMBER(I150)),IFERROR(J150/I150-1,""),"")</f>
        <v>0.108252548619731</v>
      </c>
      <c r="K241" s="255">
        <f>IF(AND(ISNUMBER(K150),ISNUMBER(J150)),IFERROR(K150/J150-1,""),"")</f>
        <v>0.246928357653234</v>
      </c>
      <c r="L241" s="255">
        <f>IF(AND(ISNUMBER(L150),ISNUMBER(K150)),IFERROR(L150/K150-1,""),"")</f>
        <v>-0.139484317789447</v>
      </c>
      <c r="M241" s="23" t="n"/>
      <c r="N241" s="23" t="n"/>
      <c r="O241" s="23" t="n"/>
      <c r="P241" s="23" t="n"/>
      <c r="Q241" s="255">
        <f>IF(AND(ISNUMBER(Q150),ISNUMBER(L150)),IFERROR(Q150/L150-1,""),"")</f>
        <v>-0.100106785165477</v>
      </c>
      <c r="R241" s="255">
        <f>IF(AND(ISNUMBER(R150),ISNUMBER(M150)),IFERROR(R150/M150-1,""),"")</f>
        <v>0.00737883147731022</v>
      </c>
      <c r="S241" s="255">
        <f>IF(AND(ISNUMBER(S150),ISNUMBER(N150)),IFERROR(S150/N150-1,""),"")</f>
        <v>0.0094921738591931</v>
      </c>
      <c r="T241" s="255">
        <f>IF(AND(ISNUMBER(T150),ISNUMBER(O150)),IFERROR(T150/O150-1,""),"")</f>
        <v>0.103573898594332</v>
      </c>
      <c r="U241" s="255">
        <f>IF(AND(ISNUMBER(U150),ISNUMBER(P150)),IFERROR(U150/P150-1,""),"")</f>
        <v>0.122437598317833</v>
      </c>
      <c r="V241" s="255">
        <f>IF(AND(ISNUMBER(V150),ISNUMBER(Q150)),IFERROR(V150/Q150-1,""),"")</f>
        <v>0.0609831901941018</v>
      </c>
      <c r="W241" s="255">
        <f>IF(AND(ISNUMBER(W150),ISNUMBER(R150)),IFERROR(W150/R150-1,""),"")</f>
        <v>0.142235951446308</v>
      </c>
      <c r="X241" s="255">
        <f>IF(AND(ISNUMBER(X150),ISNUMBER(S150)),IFERROR(X150/S150-1,""),"")</f>
        <v>0.223868897602239</v>
      </c>
      <c r="Y241" s="255">
        <f>IF(AND(ISNUMBER(Y150),ISNUMBER(T150)),IFERROR(Y150/T150-1,""),"")</f>
        <v>0.303306681077984</v>
      </c>
      <c r="Z241" s="255">
        <f>IF(AND(ISNUMBER(Z150),ISNUMBER(U150)),IFERROR(Z150/U150-1,""),"")</f>
        <v>0.214109272490637</v>
      </c>
      <c r="AA241" s="255">
        <f>IF(AND(ISNUMBER(AA150),ISNUMBER(V150)),IFERROR(AA150/V150-1,""),"")</f>
        <v>0.223173674557976</v>
      </c>
      <c r="AB241" s="255">
        <f>IF(AND(ISNUMBER(AB150),ISNUMBER(W150)),IFERROR(AB150/W150-1,""),"")</f>
        <v>0.271752080036339</v>
      </c>
      <c r="AC241" s="255">
        <f>IF(AND(ISNUMBER(AC150),ISNUMBER(X150)),IFERROR(AC150/X150-1,""),"")</f>
        <v>0.163083704856769</v>
      </c>
      <c r="AD241" s="255">
        <f>IF(AND(ISNUMBER(AD150),ISNUMBER(Y150)),IFERROR(AD150/Y150-1,""),"")</f>
        <v>0.0587325753781554</v>
      </c>
      <c r="AE241" s="255">
        <f>IF(AND(ISNUMBER(AE150),ISNUMBER(Z150)),IFERROR(AE150/Z150-1,""),"")</f>
        <v>0.0996280901334501</v>
      </c>
      <c r="AF241" s="255">
        <f>IF(AND(ISNUMBER(AF150),ISNUMBER(AA150)),IFERROR(AF150/AA150-1,""),"")</f>
        <v>0.140563981052411</v>
      </c>
      <c r="AG241" s="255">
        <f>IF(AND(ISNUMBER(AG150),ISNUMBER(AB150)),IFERROR(AG150/AB150-1,""),"")</f>
        <v>-0.0178015329274338</v>
      </c>
      <c r="AH241" s="255">
        <f>IF(AND(ISNUMBER(AH150),ISNUMBER(AC150)),IFERROR(AH150/AC150-1,""),"")</f>
        <v>0.0578038003550638</v>
      </c>
      <c r="AI241" s="255">
        <f>IF(AND(ISNUMBER(AI150),ISNUMBER(AD150)),IFERROR(AI150/AD150-1,""),"")</f>
        <v>0.0799327110918169</v>
      </c>
      <c r="AJ241" s="255">
        <f>IF(AND(ISNUMBER(AJ150),ISNUMBER(AE150)),IFERROR(AJ150/AE150-1,""),"")</f>
        <v>0.164748949078278</v>
      </c>
      <c r="AK241" s="255">
        <f>IF(AND(ISNUMBER(AK150),ISNUMBER(AF150)),IFERROR(AK150/AF150-1,""),"")</f>
        <v>0.07304356562941</v>
      </c>
      <c r="AL241" s="255">
        <f>IF(AND(ISNUMBER(AL150),ISNUMBER(AG150)),IFERROR(AL150/AG150-1,""),"")</f>
        <v>0.289532498624996</v>
      </c>
      <c r="AM241" s="255">
        <f>IF(AND(ISNUMBER(AM150),ISNUMBER(AH150)),IFERROR(AM150/AH150-1,""),"")</f>
        <v>0.234192177938931</v>
      </c>
      <c r="AN241" s="255">
        <f>IF(AND(ISNUMBER(AN150),ISNUMBER(AI150)),IFERROR(AN150/AI150-1,""),"")</f>
        <v>0.212201484303826</v>
      </c>
      <c r="AO241" s="256">
        <f>IF(AND(ISNUMBER(AO150),ISNUMBER(AJ150)),IFERROR(AO150/AJ150-1,""),"")</f>
        <v>0.14266743296251</v>
      </c>
      <c r="AP241" s="256">
        <f>IF(AND(ISNUMBER(AP150),ISNUMBER(AK150)),IFERROR(AP150/AK150-1,""),"")</f>
        <v>0.215</v>
      </c>
      <c r="AQ241" s="256">
        <f>IF(AND(ISNUMBER(AQ150),ISNUMBER(AP150)),IFERROR(AQ150/AP150-1,""),"")</f>
        <v>0.0860743727232485</v>
      </c>
      <c r="AR241" s="256">
        <f>IF(AND(ISNUMBER(AR150),ISNUMBER(AQ150)),IFERROR(AR150/AQ150-1,""),"")</f>
        <v>0.0838292451327303</v>
      </c>
      <c r="AS241" s="256">
        <f>IF(AND(ISNUMBER(AS150),ISNUMBER(AR150)),IFERROR(AS150/AR150-1,""),"")</f>
        <v>0.0715457844302676</v>
      </c>
      <c r="AT241" s="256">
        <f>IF(AND(ISNUMBER(AT150),ISNUMBER(AS150)),IFERROR(AT150/AS150-1,""),"")</f>
        <v>0.0603064863737057</v>
      </c>
      <c r="AU241" s="256">
        <f>IF(AND(ISNUMBER(AU150),ISNUMBER(AT150)),IFERROR(AU150/AT150-1,""),"")</f>
        <v>0.0564548211490277</v>
      </c>
      <c r="AV241" s="153" t="n"/>
      <c r="AX241" s="37">
        <f>IFERROR(AVERAGE(AQ241,AR241,AS241,AT241,AU241),"n/m")</f>
        <v>0.0716421419617959</v>
      </c>
      <c r="AY241" s="37">
        <f>IFERROR(AVERAGE(Q241,V241,AA241,AF241,AK241),"n/m")</f>
        <v>0.0795315252536843</v>
      </c>
      <c r="AZ241" s="37">
        <f>IFERROR(AVERAGE(H241,I241,J241,K241,L241,Q241,V241,AA241,AF241,AK241),"n/m")</f>
        <v>0.0643257027376439</v>
      </c>
      <c r="BA241" s="37">
        <f>IFERROR(AVERAGE(C241,D241,E241,F241,G241,H241,I241,J241,K241,L241,Q241,V241,AA241,AF241,AK241),"n/m")</f>
        <v>0.0587943777443023</v>
      </c>
    </row>
    <row r="242" ht="15" customHeight="1" s="251">
      <c r="B242" s="22" t="inlineStr">
        <is>
          <t xml:space="preserve">  Aerospace segment sales y/y %</t>
        </is>
      </c>
      <c r="C242" s="23" t="n"/>
      <c r="D242" s="255">
        <f>IF(AND(ISNUMBER(D23),ISNUMBER(C23)),IFERROR(D23/C23-1,""),"")</f>
        <v>0.0629288093453153</v>
      </c>
      <c r="E242" s="255">
        <f>IF(AND(ISNUMBER(E23),ISNUMBER(D23)),IFERROR(E23/D23-1,""),"")</f>
        <v>0.184574420003504</v>
      </c>
      <c r="F242" s="255">
        <f>IF(AND(ISNUMBER(F23),ISNUMBER(E23)),IFERROR(F23/E23-1,""),"")</f>
        <v>0.02124209945199</v>
      </c>
      <c r="G242" s="255">
        <f>IF(AND(ISNUMBER(G23),ISNUMBER(F23)),IFERROR(G23/F23-1,""),"")</f>
        <v>0.0709005788611885</v>
      </c>
      <c r="H242" s="255">
        <f>IF(AND(ISNUMBER(H23),ISNUMBER(G23)),IFERROR(H23/G23-1,""),"")</f>
        <v>0.0622741482130411</v>
      </c>
      <c r="I242" s="255">
        <f>IF(AND(ISNUMBER(I23),ISNUMBER(H23)),IFERROR(I23/H23-1,""),"")</f>
        <v>0.08852183305546</v>
      </c>
      <c r="J242" s="255">
        <f>IF(AND(ISNUMBER(J23),ISNUMBER(I23)),IFERROR(J23/I23-1,""),"")</f>
        <v>0.160651668468248</v>
      </c>
      <c r="K242" s="255">
        <f>IF(AND(ISNUMBER(K23),ISNUMBER(J23)),IFERROR(K23/J23-1,""),"")</f>
        <v>0.207018282554166</v>
      </c>
      <c r="L242" s="255">
        <f>IF(AND(ISNUMBER(L23),ISNUMBER(K23)),IFERROR(L23/K23-1,""),"")</f>
        <v>-0.153977091442792</v>
      </c>
      <c r="M242" s="23" t="n"/>
      <c r="N242" s="23" t="n"/>
      <c r="O242" s="23" t="n"/>
      <c r="P242" s="23" t="n"/>
      <c r="Q242" s="255">
        <f>IF(AND(ISNUMBER(Q23),ISNUMBER(L23)),IFERROR(Q23/L23-1,""),"")</f>
        <v>-0.117442077534173</v>
      </c>
      <c r="R242" s="255">
        <f>IF(AND(ISNUMBER(R23),ISNUMBER(M23)),IFERROR(R23/M23-1,""),"")</f>
        <v>0.0459108332530225</v>
      </c>
      <c r="S242" s="255">
        <f>IF(AND(ISNUMBER(S23),ISNUMBER(N23)),IFERROR(S23/N23-1,""),"")</f>
        <v>0.0220753154595756</v>
      </c>
      <c r="T242" s="255">
        <f>IF(AND(ISNUMBER(T23),ISNUMBER(O23)),IFERROR(T23/O23-1,""),"")</f>
        <v>0.178345144788098</v>
      </c>
      <c r="U242" s="255">
        <f>IF(AND(ISNUMBER(U23),ISNUMBER(P23)),IFERROR(U23/P23-1,""),"")</f>
        <v>0.0838198454483694</v>
      </c>
      <c r="V242" s="255">
        <f>IF(AND(ISNUMBER(V23),ISNUMBER(Q23)),IFERROR(V23/Q23-1,""),"")</f>
        <v>0.0820480059710125</v>
      </c>
      <c r="W242" s="255">
        <f>IF(AND(ISNUMBER(W23),ISNUMBER(R23)),IFERROR(W23/R23-1,""),"")</f>
        <v>0.176111284497749</v>
      </c>
      <c r="X242" s="255">
        <f>IF(AND(ISNUMBER(X23),ISNUMBER(S23)),IFERROR(X23/S23-1,""),"")</f>
        <v>0.172391128805093</v>
      </c>
      <c r="Y242" s="255">
        <f>IF(AND(ISNUMBER(Y23),ISNUMBER(T23)),IFERROR(Y23/T23-1,""),"")</f>
        <v>0.196207730911698</v>
      </c>
      <c r="Z242" s="255">
        <f>IF(AND(ISNUMBER(Z23),ISNUMBER(U23)),IFERROR(Z23/U23-1,""),"")</f>
        <v>0.113736417102087</v>
      </c>
      <c r="AA242" s="255">
        <f>IF(AND(ISNUMBER(AA23),ISNUMBER(V23)),IFERROR(AA23/V23-1,""),"")</f>
        <v>0.163744749302649</v>
      </c>
      <c r="AB242" s="255">
        <f>IF(AND(ISNUMBER(AB23),ISNUMBER(W23)),IFERROR(AB23/W23-1,""),"")</f>
        <v>0.164451520780419</v>
      </c>
      <c r="AC242" s="255">
        <f>IF(AND(ISNUMBER(AC23),ISNUMBER(X23)),IFERROR(AC23/X23-1,""),"")</f>
        <v>0.13842710924289</v>
      </c>
      <c r="AD242" s="255">
        <f>IF(AND(ISNUMBER(AD23),ISNUMBER(Y23)),IFERROR(AD23/Y23-1,""),"")</f>
        <v>0.0770585040299168</v>
      </c>
      <c r="AE242" s="255">
        <f>IF(AND(ISNUMBER(AE23),ISNUMBER(Z23)),IFERROR(AE23/Z23-1,""),"")</f>
        <v>0.215270297007936</v>
      </c>
      <c r="AF242" s="255">
        <f>IF(AND(ISNUMBER(AF23),ISNUMBER(AA23)),IFERROR(AF23/AA23-1,""),"")</f>
        <v>0.147341529311358</v>
      </c>
      <c r="AG242" s="255">
        <f>IF(AND(ISNUMBER(AG23),ISNUMBER(AB23)),IFERROR(AG23/AB23-1,""),"")</f>
        <v>0.0718948857963866</v>
      </c>
      <c r="AH242" s="255">
        <f>IF(AND(ISNUMBER(AH23),ISNUMBER(AC23)),IFERROR(AH23/AC23-1,""),"")</f>
        <v>0.12907628358713</v>
      </c>
      <c r="AI242" s="255">
        <f>IF(AND(ISNUMBER(AI23),ISNUMBER(AD23)),IFERROR(AI23/AD23-1,""),"")</f>
        <v>0.151537985933998</v>
      </c>
      <c r="AJ242" s="255">
        <f>IF(AND(ISNUMBER(AJ23),ISNUMBER(AE23)),IFERROR(AJ23/AE23-1,""),"")</f>
        <v>0.196123301796342</v>
      </c>
      <c r="AK242" s="255">
        <f>IF(AND(ISNUMBER(AK23),ISNUMBER(AF23)),IFERROR(AK23/AF23-1,""),"")</f>
        <v>0.140089459918033</v>
      </c>
      <c r="AL242" s="255">
        <f>IF(AND(ISNUMBER(AL23),ISNUMBER(AG23)),IFERROR(AL23/AG23-1,""),"")</f>
        <v>0.285523667596713</v>
      </c>
      <c r="AM242" s="255">
        <f>IF(AND(ISNUMBER(AM23),ISNUMBER(AH23)),IFERROR(AM23/AH23-1,""),"")</f>
        <v>0.252064607666686</v>
      </c>
      <c r="AN242" s="255">
        <f>IF(AND(ISNUMBER(AN23),ISNUMBER(AI23)),IFERROR(AN23/AI23-1,""),"")</f>
        <v>0.1890686085337</v>
      </c>
      <c r="AO242" s="256">
        <f>IF(AND(ISNUMBER(AO23),ISNUMBER(AJ23)),IFERROR(AO23/AJ23-1,""),"")</f>
        <v>0.142277446198354</v>
      </c>
      <c r="AP242" s="256">
        <f>IF(AND(ISNUMBER(AP23),ISNUMBER(AK23)),IFERROR(AP23/AK23-1,""),"")</f>
        <v>0.211589108128214</v>
      </c>
      <c r="AQ242" s="256">
        <f>IF(AND(ISNUMBER(AQ23),ISNUMBER(AP23)),IFERROR(AQ23/AP23-1,""),"")</f>
        <v>0.0977640504709325</v>
      </c>
      <c r="AR242" s="256">
        <f>IF(AND(ISNUMBER(AR23),ISNUMBER(AQ23)),IFERROR(AR23/AQ23-1,""),"")</f>
        <v>0.0830280713510911</v>
      </c>
      <c r="AS242" s="256">
        <f>IF(AND(ISNUMBER(AS23),ISNUMBER(AR23)),IFERROR(AS23/AR23-1,""),"")</f>
        <v>0.0701251883610861</v>
      </c>
      <c r="AT242" s="256">
        <f>IF(AND(ISNUMBER(AT23),ISNUMBER(AS23)),IFERROR(AT23/AS23-1,""),"")</f>
        <v>0.0597908861908603</v>
      </c>
      <c r="AU242" s="256">
        <f>IF(AND(ISNUMBER(AU23),ISNUMBER(AT23)),IFERROR(AU23/AT23-1,""),"")</f>
        <v>0.0564682041644318</v>
      </c>
      <c r="AV242" s="153" t="n"/>
      <c r="AX242" s="37">
        <f>IFERROR(AVERAGE(AQ242,AR242,AS242,AT242,AU242),"n/m")</f>
        <v>0.0734352801076803</v>
      </c>
      <c r="AY242" s="37">
        <f>IFERROR(AVERAGE(Q242,V242,AA242,AF242,AK242),"n/m")</f>
        <v>0.083156333393776</v>
      </c>
      <c r="AZ242" s="37">
        <f>IFERROR(AVERAGE(H242,I242,J242,K242,L242,Q242,V242,AA242,AF242,AK242),"n/m")</f>
        <v>0.0780270507817003</v>
      </c>
      <c r="BA242" s="37">
        <f>IFERROR(AVERAGE(C242,D242,E242,F242,G242,H242,I242,J242,K242,L242,Q242,V242,AA242,AF242,AK242),"n/m")</f>
        <v>0.0799940296770715</v>
      </c>
    </row>
    <row r="243" ht="15" customHeight="1" s="251">
      <c r="B243" s="22" t="inlineStr">
        <is>
          <t xml:space="preserve">  Industrial segment sales y/y %</t>
        </is>
      </c>
      <c r="C243" s="23" t="n"/>
      <c r="D243" s="255">
        <f>IF(AND(ISNUMBER(D45),ISNUMBER(C45)),IFERROR(D45/C45-1,""),"")</f>
        <v>0.116124650327512</v>
      </c>
      <c r="E243" s="255">
        <f>IF(AND(ISNUMBER(E45),ISNUMBER(D45)),IFERROR(E45/D45-1,""),"")</f>
        <v>-0.0980306205803965</v>
      </c>
      <c r="F243" s="255">
        <f>IF(AND(ISNUMBER(F45),ISNUMBER(E45)),IFERROR(F45/E45-1,""),"")</f>
        <v>0.0488462536835377</v>
      </c>
      <c r="G243" s="255">
        <f>IF(AND(ISNUMBER(G45),ISNUMBER(F45)),IFERROR(G45/F45-1,""),"")</f>
        <v>-0.0433867740933152</v>
      </c>
      <c r="H243" s="255">
        <f>IF(AND(ISNUMBER(H45),ISNUMBER(G45)),IFERROR(H45/G45-1,""),"")</f>
        <v>-0.099744706070069</v>
      </c>
      <c r="I243" s="255">
        <f>IF(AND(ISNUMBER(I45),ISNUMBER(H45)),IFERROR(I45/H45-1,""),"")</f>
        <v>-0.0424812191892159</v>
      </c>
      <c r="J243" s="255">
        <f>IF(AND(ISNUMBER(J45),ISNUMBER(I45)),IFERROR(J45/I45-1,""),"")</f>
        <v>0.0152562451576395</v>
      </c>
      <c r="K243" s="255">
        <f>IF(AND(ISNUMBER(K45),ISNUMBER(J45)),IFERROR(K45/J45-1,""),"")</f>
        <v>0.327903266765206</v>
      </c>
      <c r="L243" s="255">
        <f>IF(AND(ISNUMBER(L45),ISNUMBER(K45)),IFERROR(L45/K45-1,""),"")</f>
        <v>-0.112756294395186</v>
      </c>
      <c r="M243" s="23" t="n"/>
      <c r="N243" s="23" t="n"/>
      <c r="O243" s="23" t="n"/>
      <c r="P243" s="23" t="n"/>
      <c r="Q243" s="255">
        <f>IF(AND(ISNUMBER(Q45),ISNUMBER(L45)),IFERROR(Q45/L45-1,""),"")</f>
        <v>-0.0696218202236759</v>
      </c>
      <c r="R243" s="255">
        <f>IF(AND(ISNUMBER(R45),ISNUMBER(M45)),IFERROR(R45/M45-1,""),"")</f>
        <v>-0.0500157442394605</v>
      </c>
      <c r="S243" s="255">
        <f>IF(AND(ISNUMBER(S45),ISNUMBER(N45)),IFERROR(S45/N45-1,""),"")</f>
        <v>-0.0116935576945272</v>
      </c>
      <c r="T243" s="255">
        <f>IF(AND(ISNUMBER(T45),ISNUMBER(O45)),IFERROR(T45/O45-1,""),"")</f>
        <v>-0.0145669090622581</v>
      </c>
      <c r="U243" s="255">
        <f>IF(AND(ISNUMBER(U45),ISNUMBER(P45)),IFERROR(U45/P45-1,""),"")</f>
        <v>0.197688548749903</v>
      </c>
      <c r="V243" s="255">
        <f>IF(AND(ISNUMBER(V45),ISNUMBER(Q45)),IFERROR(V45/Q45-1,""),"")</f>
        <v>0.0258436644232314</v>
      </c>
      <c r="W243" s="255">
        <f>IF(AND(ISNUMBER(W45),ISNUMBER(R45)),IFERROR(W45/R45-1,""),"")</f>
        <v>0.0866824924080312</v>
      </c>
      <c r="X243" s="255">
        <f>IF(AND(ISNUMBER(X45),ISNUMBER(S45)),IFERROR(X45/S45-1,""),"")</f>
        <v>0.313501368634449</v>
      </c>
      <c r="Y243" s="255">
        <f>IF(AND(ISNUMBER(Y45),ISNUMBER(T45)),IFERROR(Y45/T45-1,""),"")</f>
        <v>0.50565327814881</v>
      </c>
      <c r="Z243" s="255">
        <f>IF(AND(ISNUMBER(Z45),ISNUMBER(U45)),IFERROR(Z45/U45-1,""),"")</f>
        <v>0.391101612589858</v>
      </c>
      <c r="AA243" s="255">
        <f>IF(AND(ISNUMBER(AA45),ISNUMBER(V45)),IFERROR(AA45/V45-1,""),"")</f>
        <v>0.327742313554179</v>
      </c>
      <c r="AB243" s="255">
        <f>IF(AND(ISNUMBER(AB45),ISNUMBER(W45)),IFERROR(AB45/W45-1,""),"")</f>
        <v>0.462199574762037</v>
      </c>
      <c r="AC243" s="255">
        <f>IF(AND(ISNUMBER(AC45),ISNUMBER(X45)),IFERROR(AC45/X45-1,""),"")</f>
        <v>0.201403286663798</v>
      </c>
      <c r="AD243" s="255">
        <f>IF(AND(ISNUMBER(AD45),ISNUMBER(Y45)),IFERROR(AD45/Y45-1,""),"")</f>
        <v>0.0312246198443142</v>
      </c>
      <c r="AE243" s="255">
        <f>IF(AND(ISNUMBER(AE45),ISNUMBER(Z45)),IFERROR(AE45/Z45-1,""),"")</f>
        <v>-0.0636312849162013</v>
      </c>
      <c r="AF243" s="255">
        <f>IF(AND(ISNUMBER(AF45),ISNUMBER(AA45)),IFERROR(AF45/AA45-1,""),"")</f>
        <v>0.130111482010322</v>
      </c>
      <c r="AG243" s="255">
        <f>IF(AND(ISNUMBER(AG45),ISNUMBER(AB45)),IFERROR(AG45/AB45-1,""),"")</f>
        <v>-0.14458515096296</v>
      </c>
      <c r="AH243" s="255">
        <f>IF(AND(ISNUMBER(AH45),ISNUMBER(AC45)),IFERROR(AH45/AC45-1,""),"")</f>
        <v>-0.0471567144519005</v>
      </c>
      <c r="AI243" s="255">
        <f>IF(AND(ISNUMBER(AI45),ISNUMBER(AD45)),IFERROR(AI45/AD45-1,""),"")</f>
        <v>-0.0323268550380459</v>
      </c>
      <c r="AJ243" s="255">
        <f>IF(AND(ISNUMBER(AJ45),ISNUMBER(AE45)),IFERROR(AJ45/AE45-1,""),"")</f>
        <v>0.107262892031104</v>
      </c>
      <c r="AK243" s="255">
        <f>IF(AND(ISNUMBER(AK45),ISNUMBER(AF45)),IFERROR(AK45/AF45-1,""),"")</f>
        <v>-0.0319327030612884</v>
      </c>
      <c r="AL243" s="255">
        <f>IF(AND(ISNUMBER(AL45),ISNUMBER(AG45)),IFERROR(AL45/AG45-1,""),"")</f>
        <v>0.296632872261452</v>
      </c>
      <c r="AM243" s="255">
        <f>IF(AND(ISNUMBER(AM45),ISNUMBER(AH45)),IFERROR(AM45/AH45-1,""),"")</f>
        <v>0.20300403852128</v>
      </c>
      <c r="AN243" s="255">
        <f>IF(AND(ISNUMBER(AN45),ISNUMBER(AI45)),IFERROR(AN45/AI45-1,""),"")</f>
        <v>0.255359110487829</v>
      </c>
      <c r="AO243" s="256">
        <f>IF(AND(ISNUMBER(AO45),ISNUMBER(AJ45)),IFERROR(AO45/AJ45-1,""),"")</f>
        <v>0.14343933612451</v>
      </c>
      <c r="AP243" s="256">
        <f>IF(AND(ISNUMBER(AP45),ISNUMBER(AK45)),IFERROR(AP45/AK45-1,""),"")</f>
        <v>0.221289560191299</v>
      </c>
      <c r="AQ243" s="256">
        <f>IF(AND(ISNUMBER(AQ45),ISNUMBER(AP45)),IFERROR(AQ45/AP45-1,""),"")</f>
        <v>0.053809883998738</v>
      </c>
      <c r="AR243" s="256">
        <f>IF(AND(ISNUMBER(AR45),ISNUMBER(AQ45)),IFERROR(AR45/AQ45-1,""),"")</f>
        <v>0.0645394493461213</v>
      </c>
      <c r="AS243" s="256">
        <f>IF(AND(ISNUMBER(AS45),ISNUMBER(AR45)),IFERROR(AS45/AR45-1,""),"")</f>
        <v>0.0550651225404482</v>
      </c>
      <c r="AT243" s="256">
        <f>IF(AND(ISNUMBER(AT45),ISNUMBER(AS45)),IFERROR(AT45/AS45-1,""),"")</f>
        <v>0.0429780735585628</v>
      </c>
      <c r="AU243" s="256">
        <f>IF(AND(ISNUMBER(AU45),ISNUMBER(AT45)),IFERROR(AU45/AT45-1,""),"")</f>
        <v>0.0387932548285441</v>
      </c>
      <c r="AV243" s="153" t="n"/>
      <c r="AX243" s="37">
        <f>IFERROR(AVERAGE(AQ243,AR243,AS243,AT243,AU243),"n/m")</f>
        <v>0.0510371568544829</v>
      </c>
      <c r="AY243" s="37">
        <f>IFERROR(AVERAGE(Q243,V243,AA243,AF243,AK243),"n/m")</f>
        <v>0.0764285873405537</v>
      </c>
      <c r="AZ243" s="37">
        <f>IFERROR(AVERAGE(H243,I243,J243,K243,L243,Q243,V243,AA243,AF243,AK243),"n/m")</f>
        <v>0.0470320228971143</v>
      </c>
      <c r="BA243" s="37">
        <f>IFERROR(AVERAGE(C243,D243,E243,F243,G243,H243,I243,J243,K243,L243,Q243,V243,AA243,AF243,AK243),"n/m")</f>
        <v>0.0352766955934629</v>
      </c>
    </row>
    <row r="244" ht="15" customHeight="1" s="251">
      <c r="B244" s="22" t="inlineStr">
        <is>
          <t xml:space="preserve">  Adjusted EBIT y/y %</t>
        </is>
      </c>
      <c r="C244" s="23" t="n"/>
      <c r="D244" s="255">
        <f>IF(AND(ISNUMBER(D192),ISNUMBER(C192)),IFERROR(D192/C192-1,""),"")</f>
        <v>0.0510092641409954</v>
      </c>
      <c r="E244" s="255">
        <f>IF(AND(ISNUMBER(E192),ISNUMBER(D192)),IFERROR(E192/D192-1,""),"")</f>
        <v>0.0122408943511847</v>
      </c>
      <c r="F244" s="255">
        <f>IF(AND(ISNUMBER(F192),ISNUMBER(E192)),IFERROR(F192/E192-1,""),"")</f>
        <v>0.10520307432268</v>
      </c>
      <c r="G244" s="255">
        <f>IF(AND(ISNUMBER(G192),ISNUMBER(F192)),IFERROR(G192/F192-1,""),"")</f>
        <v>0.0610504570076504</v>
      </c>
      <c r="H244" s="255">
        <f>IF(AND(ISNUMBER(H192),ISNUMBER(G192)),IFERROR(H192/G192-1,""),"")</f>
        <v>-0.0520288575460521</v>
      </c>
      <c r="I244" s="255">
        <f>IF(AND(ISNUMBER(I192),ISNUMBER(H192)),IFERROR(I192/H192-1,""),"")</f>
        <v>0.108324012784741</v>
      </c>
      <c r="J244" s="255">
        <f>IF(AND(ISNUMBER(J192),ISNUMBER(I192)),IFERROR(J192/I192-1,""),"")</f>
        <v>0.169558846767127</v>
      </c>
      <c r="K244" s="255">
        <f>IF(AND(ISNUMBER(K192),ISNUMBER(J192)),IFERROR(K192/J192-1,""),"")</f>
        <v>0.301916687649309</v>
      </c>
      <c r="L244" s="255">
        <f>IF(AND(ISNUMBER(L192),ISNUMBER(K192)),IFERROR(L192/K192-1,""),"")</f>
        <v>-0.190646005802024</v>
      </c>
      <c r="M244" s="23" t="n"/>
      <c r="N244" s="23" t="n"/>
      <c r="O244" s="23" t="n"/>
      <c r="P244" s="23" t="n"/>
      <c r="Q244" s="255">
        <f>IF(AND(ISNUMBER(Q192),ISNUMBER(L192)),IFERROR(Q192/L192-1,""),"")</f>
        <v>-0.173576020375454</v>
      </c>
      <c r="R244" s="255">
        <f>IF(AND(ISNUMBER(R192),ISNUMBER(M192)),IFERROR(R192/M192-1,""),"")</f>
        <v>-0.0464684346816688</v>
      </c>
      <c r="S244" s="255">
        <f>IF(AND(ISNUMBER(S192),ISNUMBER(N192)),IFERROR(S192/N192-1,""),"")</f>
        <v>-0.305229431020323</v>
      </c>
      <c r="T244" s="255">
        <f>IF(AND(ISNUMBER(T192),ISNUMBER(O192)),IFERROR(T192/O192-1,""),"")</f>
        <v>-0.124575141868927</v>
      </c>
      <c r="U244" s="255">
        <f>IF(AND(ISNUMBER(U192),ISNUMBER(P192)),IFERROR(U192/P192-1,""),"")</f>
        <v>-0.145523742922846</v>
      </c>
      <c r="V244" s="255">
        <f>IF(AND(ISNUMBER(V192),ISNUMBER(Q192)),IFERROR(V192/Q192-1,""),"")</f>
        <v>-0.169717977108119</v>
      </c>
      <c r="W244" s="255">
        <f>IF(AND(ISNUMBER(W192),ISNUMBER(R192)),IFERROR(W192/R192-1,""),"")</f>
        <v>-0.203547281478845</v>
      </c>
      <c r="X244" s="255">
        <f>IF(AND(ISNUMBER(X192),ISNUMBER(S192)),IFERROR(X192/S192-1,""),"")</f>
        <v>0.455989344876384</v>
      </c>
      <c r="Y244" s="255">
        <f>IF(AND(ISNUMBER(Y192),ISNUMBER(T192)),IFERROR(Y192/T192-1,""),"")</f>
        <v>1.00791899704107</v>
      </c>
      <c r="Z244" s="255">
        <f>IF(AND(ISNUMBER(Z192),ISNUMBER(U192)),IFERROR(Z192/U192-1,""),"")</f>
        <v>0.70630174069061</v>
      </c>
      <c r="AA244" s="255">
        <f>IF(AND(ISNUMBER(AA192),ISNUMBER(V192)),IFERROR(AA192/V192-1,""),"")</f>
        <v>0.511027210219863</v>
      </c>
      <c r="AB244" s="255">
        <f>IF(AND(ISNUMBER(AB192),ISNUMBER(W192)),IFERROR(AB192/W192-1,""),"")</f>
        <v>1.80112874779541</v>
      </c>
      <c r="AC244" s="255">
        <f>IF(AND(ISNUMBER(AC192),ISNUMBER(X192)),IFERROR(AC192/X192-1,""),"")</f>
        <v>0.545852676835821</v>
      </c>
      <c r="AD244" s="255">
        <f>IF(AND(ISNUMBER(AD192),ISNUMBER(Y192)),IFERROR(AD192/Y192-1,""),"")</f>
        <v>0.123401790505719</v>
      </c>
      <c r="AE244" s="255">
        <f>IF(AND(ISNUMBER(AE192),ISNUMBER(Z192)),IFERROR(AE192/Z192-1,""),"")</f>
        <v>0.083078909744962</v>
      </c>
      <c r="AF244" s="255">
        <f>IF(AND(ISNUMBER(AF192),ISNUMBER(AA192)),IFERROR(AF192/AA192-1,""),"")</f>
        <v>0.415479874420658</v>
      </c>
      <c r="AG244" s="255">
        <f>IF(AND(ISNUMBER(AG192),ISNUMBER(AB192)),IFERROR(AG192/AB192-1,""),"")</f>
        <v>-0.101940932520694</v>
      </c>
      <c r="AH244" s="255">
        <f>IF(AND(ISNUMBER(AH192),ISNUMBER(AC192)),IFERROR(AH192/AC192-1,""),"")</f>
        <v>0.00939411647225086</v>
      </c>
      <c r="AI244" s="255">
        <f>IF(AND(ISNUMBER(AI192),ISNUMBER(AD192)),IFERROR(AI192/AD192-1,""),"")</f>
        <v>0.0405507870552913</v>
      </c>
      <c r="AJ244" s="255">
        <f>IF(AND(ISNUMBER(AJ192),ISNUMBER(AE192)),IFERROR(AJ192/AE192-1,""),"")</f>
        <v>0.495171262625401</v>
      </c>
      <c r="AK244" s="255">
        <f>IF(AND(ISNUMBER(AK192),ISNUMBER(AF192)),IFERROR(AK192/AF192-1,""),"")</f>
        <v>0.104480605224229</v>
      </c>
      <c r="AL244" s="255">
        <f>IF(AND(ISNUMBER(AL192),ISNUMBER(AG192)),IFERROR(AL192/AG192-1,""),"")</f>
        <v>0.671362467866323</v>
      </c>
      <c r="AM244" s="255">
        <f>IF(AND(ISNUMBER(AM192),ISNUMBER(AH192)),IFERROR(AM192/AH192-1,""),"")</f>
        <v>0.359817090597313</v>
      </c>
      <c r="AN244" s="255">
        <f>IF(AND(ISNUMBER(AN192),ISNUMBER(AI192)),IFERROR(AN192/AI192-1,""),"")</f>
        <v>0.581205549726011</v>
      </c>
      <c r="AO244" s="256">
        <f>IF(AND(ISNUMBER(AO192),ISNUMBER(AJ192)),IFERROR(AO192/AJ192-1,""),"")</f>
        <v>0.194375322676626</v>
      </c>
      <c r="AP244" s="256">
        <f>IF(AND(ISNUMBER(AP192),ISNUMBER(AK192)),IFERROR(AP192/AK192-1,""),"")</f>
        <v>0.422137301995827</v>
      </c>
      <c r="AQ244" s="256">
        <f>IF(AND(ISNUMBER(AQ192),ISNUMBER(AP192)),IFERROR(AQ192/AP192-1,""),"")</f>
        <v>0.11590950488277</v>
      </c>
      <c r="AR244" s="256">
        <f>IF(AND(ISNUMBER(AR192),ISNUMBER(AQ192)),IFERROR(AR192/AQ192-1,""),"")</f>
        <v>0.104931011916806</v>
      </c>
      <c r="AS244" s="256">
        <f>IF(AND(ISNUMBER(AS192),ISNUMBER(AR192)),IFERROR(AS192/AR192-1,""),"")</f>
        <v>0.0937180434421583</v>
      </c>
      <c r="AT244" s="256">
        <f>IF(AND(ISNUMBER(AT192),ISNUMBER(AS192)),IFERROR(AT192/AS192-1,""),"")</f>
        <v>0.0729796738331845</v>
      </c>
      <c r="AU244" s="256">
        <f>IF(AND(ISNUMBER(AU192),ISNUMBER(AT192)),IFERROR(AU192/AT192-1,""),"")</f>
        <v>0.0672111380391669</v>
      </c>
      <c r="AV244" s="153" t="n"/>
    </row>
    <row r="245" ht="15" customHeight="1" s="251">
      <c r="B245" s="22" t="inlineStr">
        <is>
          <t xml:space="preserve">  Adjusted EBITDA y/y %</t>
        </is>
      </c>
      <c r="C245" s="23" t="n"/>
      <c r="D245" s="255">
        <f>IF(AND(ISNUMBER(D214),ISNUMBER(C214)),IFERROR(D214/C214-1,""),"")</f>
        <v>0.0141057934508817</v>
      </c>
      <c r="E245" s="255">
        <f>IF(AND(ISNUMBER(E214),ISNUMBER(D214)),IFERROR(E214/D214-1,""),"")</f>
        <v>0.0286037309214253</v>
      </c>
      <c r="F245" s="255">
        <f>IF(AND(ISNUMBER(F214),ISNUMBER(E214)),IFERROR(F214/E214-1,""),"")</f>
        <v>0.089583458235909</v>
      </c>
      <c r="G245" s="255">
        <f>IF(AND(ISNUMBER(G214),ISNUMBER(F214)),IFERROR(G214/F214-1,""),"")</f>
        <v>0.0401400055023993</v>
      </c>
      <c r="H245" s="255">
        <f>IF(AND(ISNUMBER(H214),ISNUMBER(G214)),IFERROR(H214/G214-1,""),"")</f>
        <v>-0.0587431412944769</v>
      </c>
      <c r="I245" s="255">
        <f>IF(AND(ISNUMBER(I214),ISNUMBER(H214)),IFERROR(I214/H214-1,""),"")</f>
        <v>0.122070858299013</v>
      </c>
      <c r="J245" s="255">
        <f>IF(AND(ISNUMBER(J214),ISNUMBER(I214)),IFERROR(J214/I214-1,""),"")</f>
        <v>0.179111164290744</v>
      </c>
      <c r="K245" s="255">
        <f>IF(AND(ISNUMBER(K214),ISNUMBER(J214)),IFERROR(K214/J214-1,""),"")</f>
        <v>0.2859280306606</v>
      </c>
      <c r="L245" s="255">
        <f>IF(AND(ISNUMBER(L214),ISNUMBER(K214)),IFERROR(L214/K214-1,""),"")</f>
        <v>-0.129526109665366</v>
      </c>
      <c r="M245" s="23" t="n"/>
      <c r="N245" s="23" t="n"/>
      <c r="O245" s="23" t="n"/>
      <c r="P245" s="23" t="n"/>
      <c r="Q245" s="255">
        <f>IF(AND(ISNUMBER(Q214),ISNUMBER(L214)),IFERROR(Q214/L214-1,""),"")</f>
        <v>-0.129023688848784</v>
      </c>
      <c r="R245" s="255">
        <f>IF(AND(ISNUMBER(R214),ISNUMBER(M214)),IFERROR(R214/M214-1,""),"")</f>
        <v>-0.055662834560805</v>
      </c>
      <c r="S245" s="255">
        <f>IF(AND(ISNUMBER(S214),ISNUMBER(N214)),IFERROR(S214/N214-1,""),"")</f>
        <v>-0.237589546968015</v>
      </c>
      <c r="T245" s="255">
        <f>IF(AND(ISNUMBER(T214),ISNUMBER(O214)),IFERROR(T214/O214-1,""),"")</f>
        <v>-0.107401797435121</v>
      </c>
      <c r="U245" s="255">
        <f>IF(AND(ISNUMBER(U214),ISNUMBER(P214)),IFERROR(U214/P214-1,""),"")</f>
        <v>-0.12420346140794</v>
      </c>
      <c r="V245" s="255">
        <f>IF(AND(ISNUMBER(V214),ISNUMBER(Q214)),IFERROR(V214/Q214-1,""),"")</f>
        <v>-0.13804046301541</v>
      </c>
      <c r="W245" s="255">
        <f>IF(AND(ISNUMBER(W214),ISNUMBER(R214)),IFERROR(W214/R214-1,""),"")</f>
        <v>-0.146051786860689</v>
      </c>
      <c r="X245" s="255">
        <f>IF(AND(ISNUMBER(X214),ISNUMBER(S214)),IFERROR(X214/S214-1,""),"")</f>
        <v>0.294811138682106</v>
      </c>
      <c r="Y245" s="255">
        <f>IF(AND(ISNUMBER(Y214),ISNUMBER(T214)),IFERROR(Y214/T214-1,""),"")</f>
        <v>0.667997827906873</v>
      </c>
      <c r="Z245" s="255">
        <f>IF(AND(ISNUMBER(Z214),ISNUMBER(U214)),IFERROR(Z214/U214-1,""),"")</f>
        <v>0.494564515434623</v>
      </c>
      <c r="AA245" s="255">
        <f>IF(AND(ISNUMBER(AA214),ISNUMBER(V214)),IFERROR(AA214/V214-1,""),"")</f>
        <v>0.335428303439288</v>
      </c>
      <c r="AB245" s="255">
        <f>IF(AND(ISNUMBER(AB214),ISNUMBER(W214)),IFERROR(AB214/W214-1,""),"")</f>
        <v>1.0596555708697</v>
      </c>
      <c r="AC245" s="255">
        <f>IF(AND(ISNUMBER(AC214),ISNUMBER(X214)),IFERROR(AC214/X214-1,""),"")</f>
        <v>0.400393502942754</v>
      </c>
      <c r="AD245" s="255">
        <f>IF(AND(ISNUMBER(AD214),ISNUMBER(Y214)),IFERROR(AD214/Y214-1,""),"")</f>
        <v>0.0897647194471001</v>
      </c>
      <c r="AE245" s="255">
        <f>IF(AND(ISNUMBER(AE214),ISNUMBER(Z214)),IFERROR(AE214/Z214-1,""),"")</f>
        <v>0.0568426510726867</v>
      </c>
      <c r="AF245" s="255">
        <f>IF(AND(ISNUMBER(AF214),ISNUMBER(AA214)),IFERROR(AF214/AA214-1,""),"")</f>
        <v>0.303345291819303</v>
      </c>
      <c r="AG245" s="255">
        <f>IF(AND(ISNUMBER(AG214),ISNUMBER(AB214)),IFERROR(AG214/AB214-1,""),"")</f>
        <v>-0.0884935414314974</v>
      </c>
      <c r="AH245" s="255">
        <f>IF(AND(ISNUMBER(AH214),ISNUMBER(AC214)),IFERROR(AH214/AC214-1,""),"")</f>
        <v>-0.00236594978590843</v>
      </c>
      <c r="AI245" s="255">
        <f>IF(AND(ISNUMBER(AI214),ISNUMBER(AD214)),IFERROR(AI214/AD214-1,""),"")</f>
        <v>0.0324255022529816</v>
      </c>
      <c r="AJ245" s="255">
        <f>IF(AND(ISNUMBER(AJ214),ISNUMBER(AE214)),IFERROR(AJ214/AE214-1,""),"")</f>
        <v>0.395216354344122</v>
      </c>
      <c r="AK245" s="255">
        <f>IF(AND(ISNUMBER(AK214),ISNUMBER(AF214)),IFERROR(AK214/AF214-1,""),"")</f>
        <v>0.0802310478633721</v>
      </c>
      <c r="AL245" s="255">
        <f>IF(AND(ISNUMBER(AL214),ISNUMBER(AG214)),IFERROR(AL214/AG214-1,""),"")</f>
        <v>0.541197321488161</v>
      </c>
      <c r="AM245" s="255">
        <f>IF(AND(ISNUMBER(AM214),ISNUMBER(AH214)),IFERROR(AM214/AH214-1,""),"")</f>
        <v>0.313613002737354</v>
      </c>
      <c r="AN245" s="255">
        <f>IF(AND(ISNUMBER(AN214),ISNUMBER(AI214)),IFERROR(AN214/AI214-1,""),"")</f>
        <v>0.501398550812003</v>
      </c>
      <c r="AO245" s="256">
        <f>IF(AND(ISNUMBER(AO214),ISNUMBER(AJ214)),IFERROR(AO214/AJ214-1,""),"")</f>
        <v>0.177738966441892</v>
      </c>
      <c r="AP245" s="256">
        <f>IF(AND(ISNUMBER(AP214),ISNUMBER(AK214)),IFERROR(AP214/AK214-1,""),"")</f>
        <v>0.364429707504499</v>
      </c>
      <c r="AQ245" s="256">
        <f>IF(AND(ISNUMBER(AQ214),ISNUMBER(AP214)),IFERROR(AQ214/AP214-1,""),"")</f>
        <v>0.121818175166082</v>
      </c>
      <c r="AR245" s="256">
        <f>IF(AND(ISNUMBER(AR214),ISNUMBER(AQ214)),IFERROR(AR214/AQ214-1,""),"")</f>
        <v>0.111459840975931</v>
      </c>
      <c r="AS245" s="256">
        <f>IF(AND(ISNUMBER(AS214),ISNUMBER(AR214)),IFERROR(AS214/AR214-1,""),"")</f>
        <v>0.0946103647212113</v>
      </c>
      <c r="AT245" s="256">
        <f>IF(AND(ISNUMBER(AT214),ISNUMBER(AS214)),IFERROR(AT214/AS214-1,""),"")</f>
        <v>0.0714345658084428</v>
      </c>
      <c r="AU245" s="256">
        <f>IF(AND(ISNUMBER(AU214),ISNUMBER(AT214)),IFERROR(AU214/AT214-1,""),"")</f>
        <v>0.0650753639707573</v>
      </c>
      <c r="AV245" s="153" t="n"/>
    </row>
    <row r="246" ht="15" customHeight="1" s="251">
      <c r="B246" s="22" t="inlineStr">
        <is>
          <t xml:space="preserve">  EBIT (GAAP) y/y %</t>
        </is>
      </c>
      <c r="C246" s="23" t="n"/>
      <c r="D246" s="255">
        <f>IF(AND(ISNUMBER(D160),ISNUMBER(C160)),IFERROR(D160/C160-1,""),"")</f>
        <v>0.0510092641409954</v>
      </c>
      <c r="E246" s="255">
        <f>IF(AND(ISNUMBER(E160),ISNUMBER(D160)),IFERROR(E160/D160-1,""),"")</f>
        <v>0.0122408943511847</v>
      </c>
      <c r="F246" s="255">
        <f>IF(AND(ISNUMBER(F160),ISNUMBER(E160)),IFERROR(F160/E160-1,""),"")</f>
        <v>0.10520307432268</v>
      </c>
      <c r="G246" s="255">
        <f>IF(AND(ISNUMBER(G160),ISNUMBER(F160)),IFERROR(G160/F160-1,""),"")</f>
        <v>0.0610504570076504</v>
      </c>
      <c r="H246" s="255">
        <f>IF(AND(ISNUMBER(H160),ISNUMBER(G160)),IFERROR(H160/G160-1,""),"")</f>
        <v>-0.0520288575460521</v>
      </c>
      <c r="I246" s="255">
        <f>IF(AND(ISNUMBER(I160),ISNUMBER(H160)),IFERROR(I160/H160-1,""),"")</f>
        <v>0.108324012784741</v>
      </c>
      <c r="J246" s="255">
        <f>IF(AND(ISNUMBER(J160),ISNUMBER(I160)),IFERROR(J160/I160-1,""),"")</f>
        <v>-0.103349949003777</v>
      </c>
      <c r="K246" s="255">
        <f>IF(AND(ISNUMBER(K160),ISNUMBER(J160)),IFERROR(K160/J160-1,""),"")</f>
        <v>0.454696924789926</v>
      </c>
      <c r="L246" s="255">
        <f>IF(AND(ISNUMBER(L160),ISNUMBER(K160)),IFERROR(L160/K160-1,""),"")</f>
        <v>-0.130154185022027</v>
      </c>
      <c r="M246" s="23" t="n"/>
      <c r="N246" s="23" t="n"/>
      <c r="O246" s="23" t="n"/>
      <c r="P246" s="23" t="n"/>
      <c r="Q246" s="255">
        <f>IF(AND(ISNUMBER(Q160),ISNUMBER(L160)),IFERROR(Q160/L160-1,""),"")</f>
        <v>-0.118197817224177</v>
      </c>
      <c r="R246" s="255">
        <f>IF(AND(ISNUMBER(R160),ISNUMBER(M160)),IFERROR(R160/M160-1,""),"")</f>
        <v>-0.189016876506832</v>
      </c>
      <c r="S246" s="255">
        <f>IF(AND(ISNUMBER(S160),ISNUMBER(N160)),IFERROR(S160/N160-1,""),"")</f>
        <v>-0.285241692017628</v>
      </c>
      <c r="T246" s="255">
        <f>IF(AND(ISNUMBER(T160),ISNUMBER(O160)),IFERROR(T160/O160-1,""),"")</f>
        <v>-0.124575141868927</v>
      </c>
      <c r="U246" s="255">
        <f>IF(AND(ISNUMBER(U160),ISNUMBER(P160)),IFERROR(U160/P160-1,""),"")</f>
        <v>-0.034505630776772</v>
      </c>
      <c r="V246" s="255">
        <f>IF(AND(ISNUMBER(V160),ISNUMBER(Q160)),IFERROR(V160/Q160-1,""),"")</f>
        <v>-0.164965217204023</v>
      </c>
      <c r="W246" s="255">
        <f>IF(AND(ISNUMBER(W160),ISNUMBER(R160)),IFERROR(W160/R160-1,""),"")</f>
        <v>-0.0635528836625484</v>
      </c>
      <c r="X246" s="255">
        <f>IF(AND(ISNUMBER(X160),ISNUMBER(S160)),IFERROR(X160/S160-1,""),"")</f>
        <v>-0.149126923761591</v>
      </c>
      <c r="Y246" s="255">
        <f>IF(AND(ISNUMBER(Y160),ISNUMBER(T160)),IFERROR(Y160/T160-1,""),"")</f>
        <v>1.00791899704107</v>
      </c>
      <c r="Z246" s="255">
        <f>IF(AND(ISNUMBER(Z160),ISNUMBER(U160)),IFERROR(Z160/U160-1,""),"")</f>
        <v>0.619149317482601</v>
      </c>
      <c r="AA246" s="255">
        <f>IF(AND(ISNUMBER(AA160),ISNUMBER(V160)),IFERROR(AA160/V160-1,""),"")</f>
        <v>0.379514162034826</v>
      </c>
      <c r="AB246" s="255">
        <f>IF(AND(ISNUMBER(AB160),ISNUMBER(W160)),IFERROR(AB160/W160-1,""),"")</f>
        <v>1.81441504997061</v>
      </c>
      <c r="AC246" s="255">
        <f>IF(AND(ISNUMBER(AC160),ISNUMBER(X160)),IFERROR(AC160/X160-1,""),"")</f>
        <v>1.48889269276123</v>
      </c>
      <c r="AD246" s="255">
        <f>IF(AND(ISNUMBER(AD160),ISNUMBER(Y160)),IFERROR(AD160/Y160-1,""),"")</f>
        <v>0.123401790505719</v>
      </c>
      <c r="AE246" s="255">
        <f>IF(AND(ISNUMBER(AE160),ISNUMBER(Z160)),IFERROR(AE160/Z160-1,""),"")</f>
        <v>0.0426970437670069</v>
      </c>
      <c r="AF246" s="255">
        <f>IF(AND(ISNUMBER(AF160),ISNUMBER(AA160)),IFERROR(AF160/AA160-1,""),"")</f>
        <v>0.543935309973047</v>
      </c>
      <c r="AG246" s="255">
        <f>IF(AND(ISNUMBER(AG160),ISNUMBER(AB160)),IFERROR(AG160/AB160-1,""),"")</f>
        <v>-0.0573598589607548</v>
      </c>
      <c r="AH246" s="255">
        <f>IF(AND(ISNUMBER(AH160),ISNUMBER(AC160)),IFERROR(AH160/AC160-1,""),"")</f>
        <v>0.0991127990768839</v>
      </c>
      <c r="AI246" s="255">
        <f>IF(AND(ISNUMBER(AI160),ISNUMBER(AD160)),IFERROR(AI160/AD160-1,""),"")</f>
        <v>0.0405507870552913</v>
      </c>
      <c r="AJ246" s="255">
        <f>IF(AND(ISNUMBER(AJ160),ISNUMBER(AE160)),IFERROR(AJ160/AE160-1,""),"")</f>
        <v>0.495258483422382</v>
      </c>
      <c r="AK246" s="255">
        <f>IF(AND(ISNUMBER(AK160),ISNUMBER(AF160)),IFERROR(AK160/AF160-1,""),"")</f>
        <v>0.136110617754384</v>
      </c>
      <c r="AL246" s="255">
        <f>IF(AND(ISNUMBER(AL160),ISNUMBER(AG160)),IFERROR(AL160/AG160-1,""),"")</f>
        <v>0.584800297824814</v>
      </c>
      <c r="AM246" s="255">
        <f>IF(AND(ISNUMBER(AM160),ISNUMBER(AH160)),IFERROR(AM160/AH160-1,""),"")</f>
        <v>0.242757124681049</v>
      </c>
      <c r="AN246" s="255">
        <f>IF(AND(ISNUMBER(AN160),ISNUMBER(AI160)),IFERROR(AN160/AI160-1,""),"")</f>
        <v>0.513699428704675</v>
      </c>
      <c r="AO246" s="256">
        <f>IF(AND(ISNUMBER(AO160),ISNUMBER(AJ160)),IFERROR(AO160/AJ160-1,""),"")</f>
        <v>0.205062402538274</v>
      </c>
      <c r="AP246" s="256">
        <f>IF(AND(ISNUMBER(AP160),ISNUMBER(AK160)),IFERROR(AP160/AK160-1,""),"")</f>
        <v>0.366043118541021</v>
      </c>
      <c r="AQ246" s="256">
        <f>IF(AND(ISNUMBER(AQ160),ISNUMBER(AP160)),IFERROR(AQ160/AP160-1,""),"")</f>
        <v>0.319137272420009</v>
      </c>
      <c r="AR246" s="256">
        <f>IF(AND(ISNUMBER(AR160),ISNUMBER(AQ160)),IFERROR(AR160/AQ160-1,""),"")</f>
        <v>-0.0552172028837377</v>
      </c>
      <c r="AS246" s="256">
        <f>IF(AND(ISNUMBER(AS160),ISNUMBER(AR160)),IFERROR(AS160/AR160-1,""),"")</f>
        <v>0.111032314509525</v>
      </c>
      <c r="AT246" s="256">
        <f>IF(AND(ISNUMBER(AT160),ISNUMBER(AS160)),IFERROR(AT160/AS160-1,""),"")</f>
        <v>0.0731167554162946</v>
      </c>
      <c r="AU246" s="256">
        <f>IF(AND(ISNUMBER(AU160),ISNUMBER(AT160)),IFERROR(AU160/AT160-1,""),"")</f>
        <v>0.0673287824953239</v>
      </c>
      <c r="AV246" s="153" t="n"/>
    </row>
    <row r="247" ht="15" customHeight="1" s="251">
      <c r="B247" s="22" t="inlineStr">
        <is>
          <t xml:space="preserve">  Net earnings y/y %</t>
        </is>
      </c>
      <c r="C247" s="23" t="n"/>
      <c r="D247" s="255">
        <f>IF(AND(ISNUMBER(D167),ISNUMBER(C167)),IFERROR(D167/C167-1,""),"")</f>
        <v>0.0707377018187314</v>
      </c>
      <c r="E247" s="255">
        <f>IF(AND(ISNUMBER(E167),ISNUMBER(D167)),IFERROR(E167/D167-1,""),"")</f>
        <v>0.030743913722113</v>
      </c>
      <c r="F247" s="255">
        <f>IF(AND(ISNUMBER(F167),ISNUMBER(E167)),IFERROR(F167/E167-1,""),"")</f>
        <v>0.136369242575817</v>
      </c>
      <c r="G247" s="255">
        <f>IF(AND(ISNUMBER(G167),ISNUMBER(F167)),IFERROR(G167/F167-1,""),"")</f>
        <v>0.0941125394949465</v>
      </c>
      <c r="H247" s="255">
        <f>IF(AND(ISNUMBER(H167),ISNUMBER(G167)),IFERROR(H167/G167-1,""),"")</f>
        <v>-0.00338381500341689</v>
      </c>
      <c r="I247" s="255">
        <f>IF(AND(ISNUMBER(I167),ISNUMBER(H167)),IFERROR(I167/H167-1,""),"")</f>
        <v>0.108765856733651</v>
      </c>
      <c r="J247" s="255">
        <f>IF(AND(ISNUMBER(J167),ISNUMBER(I167)),IFERROR(J167/I167-1,""),"")</f>
        <v>-0.100390510057005</v>
      </c>
      <c r="K247" s="255">
        <f>IF(AND(ISNUMBER(K167),ISNUMBER(J167)),IFERROR(K167/J167-1,""),"")</f>
        <v>0.4392109902538</v>
      </c>
      <c r="L247" s="255">
        <f>IF(AND(ISNUMBER(L167),ISNUMBER(K167)),IFERROR(L167/K167-1,""),"")</f>
        <v>-0.0739863329250168</v>
      </c>
      <c r="M247" s="23" t="n"/>
      <c r="N247" s="23" t="n"/>
      <c r="O247" s="23" t="n"/>
      <c r="P247" s="23" t="n"/>
      <c r="Q247" s="255">
        <f>IF(AND(ISNUMBER(Q167),ISNUMBER(L167)),IFERROR(Q167/L167-1,""),"")</f>
        <v>-0.132057655109299</v>
      </c>
      <c r="R247" s="255">
        <f>IF(AND(ISNUMBER(R167),ISNUMBER(M167)),IFERROR(R167/M167-1,""),"")</f>
        <v>-0.270988693769546</v>
      </c>
      <c r="S247" s="255">
        <f>IF(AND(ISNUMBER(S167),ISNUMBER(N167)),IFERROR(S167/N167-1,""),"")</f>
        <v>-0.298727914159823</v>
      </c>
      <c r="T247" s="255">
        <f>IF(AND(ISNUMBER(T167),ISNUMBER(O167)),IFERROR(T167/O167-1,""),"")</f>
        <v>-0.192689466036307</v>
      </c>
      <c r="U247" s="255">
        <f>IF(AND(ISNUMBER(U167),ISNUMBER(P167)),IFERROR(U167/P167-1,""),"")</f>
        <v>0.0828774671876584</v>
      </c>
      <c r="V247" s="255">
        <f>IF(AND(ISNUMBER(V167),ISNUMBER(Q167)),IFERROR(V167/Q167-1,""),"")</f>
        <v>-0.177096463438598</v>
      </c>
      <c r="W247" s="255">
        <f>IF(AND(ISNUMBER(W167),ISNUMBER(R167)),IFERROR(W167/R167-1,""),"")</f>
        <v>-0.0230655007424514</v>
      </c>
      <c r="X247" s="255">
        <f>IF(AND(ISNUMBER(X167),ISNUMBER(S167)),IFERROR(X167/S167-1,""),"")</f>
        <v>-0.258735857721371</v>
      </c>
      <c r="Y247" s="255">
        <f>IF(AND(ISNUMBER(Y167),ISNUMBER(T167)),IFERROR(Y167/T167-1,""),"")</f>
        <v>1.14467880139938</v>
      </c>
      <c r="Z247" s="255">
        <f>IF(AND(ISNUMBER(Z167),ISNUMBER(U167)),IFERROR(Z167/U167-1,""),"")</f>
        <v>0.529431357672878</v>
      </c>
      <c r="AA247" s="255">
        <f>IF(AND(ISNUMBER(AA167),ISNUMBER(V167)),IFERROR(AA167/V167-1,""),"")</f>
        <v>0.353352980232731</v>
      </c>
      <c r="AB247" s="255">
        <f>IF(AND(ISNUMBER(AB167),ISNUMBER(W167)),IFERROR(AB167/W167-1,""),"")</f>
        <v>2.0414105248936</v>
      </c>
      <c r="AC247" s="255">
        <f>IF(AND(ISNUMBER(AC167),ISNUMBER(X167)),IFERROR(AC167/X167-1,""),"")</f>
        <v>1.74720509138013</v>
      </c>
      <c r="AD247" s="255">
        <f>IF(AND(ISNUMBER(AD167),ISNUMBER(Y167)),IFERROR(AD167/Y167-1,""),"")</f>
        <v>0.206574545798413</v>
      </c>
      <c r="AE247" s="255">
        <f>IF(AND(ISNUMBER(AE167),ISNUMBER(Z167)),IFERROR(AE167/Z167-1,""),"")</f>
        <v>0.00779170497991655</v>
      </c>
      <c r="AF247" s="255">
        <f>IF(AND(ISNUMBER(AF167),ISNUMBER(AA167)),IFERROR(AF167/AA167-1,""),"")</f>
        <v>0.605087619637819</v>
      </c>
      <c r="AG247" s="255">
        <f>IF(AND(ISNUMBER(AG167),ISNUMBER(AB167)),IFERROR(AG167/AB167-1,""),"")</f>
        <v>-0.0327950779618855</v>
      </c>
      <c r="AH247" s="255">
        <f>IF(AND(ISNUMBER(AH167),ISNUMBER(AC167)),IFERROR(AH167/AC167-1,""),"")</f>
        <v>0.116784205994506</v>
      </c>
      <c r="AI247" s="255">
        <f>IF(AND(ISNUMBER(AI167),ISNUMBER(AD167)),IFERROR(AI167/AD167-1,""),"")</f>
        <v>0.0624344844477105</v>
      </c>
      <c r="AJ247" s="255">
        <f>IF(AND(ISNUMBER(AJ167),ISNUMBER(AE167)),IFERROR(AJ167/AE167-1,""),"")</f>
        <v>0.652216192854396</v>
      </c>
      <c r="AK247" s="255">
        <f>IF(AND(ISNUMBER(AK167),ISNUMBER(AF167)),IFERROR(AK167/AF167-1,""),"")</f>
        <v>0.185376342932829</v>
      </c>
      <c r="AL247" s="255">
        <f>IF(AND(ISNUMBER(AL167),ISNUMBER(AG167)),IFERROR(AL167/AG167-1,""),"")</f>
        <v>0.535394013158649</v>
      </c>
      <c r="AM247" s="255">
        <f>IF(AND(ISNUMBER(AM167),ISNUMBER(AH167)),IFERROR(AM167/AH167-1,""),"")</f>
        <v>0.230052593415267</v>
      </c>
      <c r="AN247" s="255">
        <f>IF(AND(ISNUMBER(AN167),ISNUMBER(AI167)),IFERROR(AN167/AI167-1,""),"")</f>
        <v>0.352491516671584</v>
      </c>
      <c r="AO247" s="256">
        <f>IF(AND(ISNUMBER(AO167),ISNUMBER(AJ167)),IFERROR(AO167/AJ167-1,""),"")</f>
        <v>0.0425705761739954</v>
      </c>
      <c r="AP247" s="256">
        <f>IF(AND(ISNUMBER(AP167),ISNUMBER(AK167)),IFERROR(AP167/AK167-1,""),"")</f>
        <v>0.261874711112806</v>
      </c>
      <c r="AQ247" s="256">
        <f>IF(AND(ISNUMBER(AQ167),ISNUMBER(AP167)),IFERROR(AQ167/AP167-1,""),"")</f>
        <v>0.325560385224643</v>
      </c>
      <c r="AR247" s="256">
        <f>IF(AND(ISNUMBER(AR167),ISNUMBER(AQ167)),IFERROR(AR167/AQ167-1,""),"")</f>
        <v>-0.0735811284656998</v>
      </c>
      <c r="AS247" s="256">
        <f>IF(AND(ISNUMBER(AS167),ISNUMBER(AR167)),IFERROR(AS167/AR167-1,""),"")</f>
        <v>0.111476287159456</v>
      </c>
      <c r="AT247" s="256">
        <f>IF(AND(ISNUMBER(AT167),ISNUMBER(AS167)),IFERROR(AT167/AS167-1,""),"")</f>
        <v>0.0716184074686233</v>
      </c>
      <c r="AU247" s="256">
        <f>IF(AND(ISNUMBER(AU167),ISNUMBER(AT167)),IFERROR(AU167/AT167-1,""),"")</f>
        <v>0.0670005409899168</v>
      </c>
      <c r="AV247" s="153" t="n"/>
    </row>
    <row r="248" ht="15" customHeight="1" s="251">
      <c r="B248" s="22" t="inlineStr">
        <is>
          <t xml:space="preserve">  Adjusted EPS y/y %</t>
        </is>
      </c>
      <c r="C248" s="23" t="n"/>
      <c r="D248" s="255">
        <f>IF(AND(ISNUMBER(D231),ISNUMBER(C231)),IFERROR(D231/C231-1,""),"")</f>
        <v>0.0681943818619173</v>
      </c>
      <c r="E248" s="255">
        <f>IF(AND(ISNUMBER(E231),ISNUMBER(D231)),IFERROR(E231/D231-1,""),"")</f>
        <v>0.0411843386980344</v>
      </c>
      <c r="F248" s="255">
        <f>IF(AND(ISNUMBER(F231),ISNUMBER(E231)),IFERROR(F231/E231-1,""),"")</f>
        <v>0.166984950746016</v>
      </c>
      <c r="G248" s="255">
        <f>IF(AND(ISNUMBER(G231),ISNUMBER(F231)),IFERROR(G231/F231-1,""),"")</f>
        <v>0.122601602834103</v>
      </c>
      <c r="H248" s="255">
        <f>IF(AND(ISNUMBER(H231),ISNUMBER(G231)),IFERROR(H231/G231-1,""),"")</f>
        <v>0.0358184705792419</v>
      </c>
      <c r="I248" s="255">
        <f>IF(AND(ISNUMBER(I231),ISNUMBER(H231)),IFERROR(I231/H231-1,""),"")</f>
        <v>0.109533990278434</v>
      </c>
      <c r="J248" s="255">
        <f>IF(AND(ISNUMBER(J231),ISNUMBER(I231)),IFERROR(J231/I231-1,""),"")</f>
        <v>0.219551226794063</v>
      </c>
      <c r="K248" s="255">
        <f>IF(AND(ISNUMBER(K231),ISNUMBER(J231)),IFERROR(K231/J231-1,""),"")</f>
        <v>0.266389967433815</v>
      </c>
      <c r="L248" s="255">
        <f>IF(AND(ISNUMBER(L231),ISNUMBER(K231)),IFERROR(L231/K231-1,""),"")</f>
        <v>-0.188553651451065</v>
      </c>
      <c r="M248" s="23" t="n"/>
      <c r="N248" s="23" t="n"/>
      <c r="O248" s="23" t="n"/>
      <c r="P248" s="23" t="n"/>
      <c r="Q248" s="255">
        <f>IF(AND(ISNUMBER(Q231),ISNUMBER(L231)),IFERROR(Q231/L231-1,""),"")</f>
        <v>-0.1811262492181</v>
      </c>
      <c r="R248" s="255">
        <f>IF(AND(ISNUMBER(R231),ISNUMBER(M231)),IFERROR(R231/M231-1,""),"")</f>
        <v>-0.129766589324882</v>
      </c>
      <c r="S248" s="255">
        <f>IF(AND(ISNUMBER(S231),ISNUMBER(N231)),IFERROR(S231/N231-1,""),"")</f>
        <v>-0.306760303024598</v>
      </c>
      <c r="T248" s="255">
        <f>IF(AND(ISNUMBER(T231),ISNUMBER(O231)),IFERROR(T231/O231-1,""),"")</f>
        <v>-0.142993214573718</v>
      </c>
      <c r="U248" s="255">
        <f>IF(AND(ISNUMBER(U231),ISNUMBER(P231)),IFERROR(U231/P231-1,""),"")</f>
        <v>0.0298011516524901</v>
      </c>
      <c r="V248" s="255">
        <f>IF(AND(ISNUMBER(V231),ISNUMBER(Q231)),IFERROR(V231/Q231-1,""),"")</f>
        <v>-0.151794219609844</v>
      </c>
      <c r="W248" s="255">
        <f>IF(AND(ISNUMBER(W231),ISNUMBER(R231)),IFERROR(W231/R231-1,""),"")</f>
        <v>-0.128357907936465</v>
      </c>
      <c r="X248" s="255">
        <f>IF(AND(ISNUMBER(X231),ISNUMBER(S231)),IFERROR(X231/S231-1,""),"")</f>
        <v>0.397495150371008</v>
      </c>
      <c r="Y248" s="255">
        <f>IF(AND(ISNUMBER(Y231),ISNUMBER(T231)),IFERROR(Y231/T231-1,""),"")</f>
        <v>1.16198498841202</v>
      </c>
      <c r="Z248" s="255">
        <f>IF(AND(ISNUMBER(Z231),ISNUMBER(U231)),IFERROR(Z231/U231-1,""),"")</f>
        <v>0.584807127863897</v>
      </c>
      <c r="AA248" s="255">
        <f>IF(AND(ISNUMBER(AA231),ISNUMBER(V231)),IFERROR(AA231/V231-1,""),"")</f>
        <v>0.530456462145953</v>
      </c>
      <c r="AB248" s="255">
        <f>IF(AND(ISNUMBER(AB231),ISNUMBER(W231)),IFERROR(AB231/W231-1,""),"")</f>
        <v>1.98851268466041</v>
      </c>
      <c r="AC248" s="255">
        <f>IF(AND(ISNUMBER(AC231),ISNUMBER(X231)),IFERROR(AC231/X231-1,""),"")</f>
        <v>0.603804410985172</v>
      </c>
      <c r="AD248" s="255">
        <f>IF(AND(ISNUMBER(AD231),ISNUMBER(Y231)),IFERROR(AD231/Y231-1,""),"")</f>
        <v>0.18860773568136</v>
      </c>
      <c r="AE248" s="255">
        <f>IF(AND(ISNUMBER(AE231),ISNUMBER(Z231)),IFERROR(AE231/Z231-1,""),"")</f>
        <v>0.0567896466792277</v>
      </c>
      <c r="AF248" s="255">
        <f>IF(AND(ISNUMBER(AF231),ISNUMBER(AA231)),IFERROR(AF231/AA231-1,""),"")</f>
        <v>0.452028388348429</v>
      </c>
      <c r="AG248" s="255">
        <f>IF(AND(ISNUMBER(AG231),ISNUMBER(AB231)),IFERROR(AG231/AB231-1,""),"")</f>
        <v>-0.0700575954638487</v>
      </c>
      <c r="AH248" s="255">
        <f>IF(AND(ISNUMBER(AH231),ISNUMBER(AC231)),IFERROR(AH231/AC231-1,""),"")</f>
        <v>0.0425073849531144</v>
      </c>
      <c r="AI248" s="255">
        <f>IF(AND(ISNUMBER(AI231),ISNUMBER(AD231)),IFERROR(AI231/AD231-1,""),"")</f>
        <v>0.0803006901613284</v>
      </c>
      <c r="AJ248" s="255">
        <f>IF(AND(ISNUMBER(AJ231),ISNUMBER(AE231)),IFERROR(AJ231/AE231-1,""),"")</f>
        <v>0.486236772262353</v>
      </c>
      <c r="AK248" s="255">
        <f>IF(AND(ISNUMBER(AK231),ISNUMBER(AF231)),IFERROR(AK231/AF231-1,""),"")</f>
        <v>0.128422165552869</v>
      </c>
      <c r="AL248" s="255">
        <f>IF(AND(ISNUMBER(AL231),ISNUMBER(AG231)),IFERROR(AL231/AG231-1,""),"")</f>
        <v>0.607714573220203</v>
      </c>
      <c r="AM248" s="255">
        <f>IF(AND(ISNUMBER(AM231),ISNUMBER(AH231)),IFERROR(AM231/AH231-1,""),"")</f>
        <v>0.347136016200108</v>
      </c>
      <c r="AN248" s="255">
        <f>IF(AND(ISNUMBER(AN231),ISNUMBER(AI231)),IFERROR(AN231/AI231-1,""),"")</f>
        <v>0.427516800352853</v>
      </c>
      <c r="AO248" s="256">
        <f>IF(AND(ISNUMBER(AO231),ISNUMBER(AJ231)),IFERROR(AO231/AJ231-1,""),"")</f>
        <v>0.167657684224403</v>
      </c>
      <c r="AP248" s="256">
        <f>IF(AND(ISNUMBER(AP231),ISNUMBER(AK231)),IFERROR(AP231/AK231-1,""),"")</f>
        <v>0.364083361468341</v>
      </c>
      <c r="AQ248" s="256">
        <f>IF(AND(ISNUMBER(AQ231),ISNUMBER(AP231)),IFERROR(AQ231/AP231-1,""),"")</f>
        <v>0.134899015454435</v>
      </c>
      <c r="AR248" s="256">
        <f>IF(AND(ISNUMBER(AR231),ISNUMBER(AQ231)),IFERROR(AR231/AQ231-1,""),"")</f>
        <v>0.11868696688314</v>
      </c>
      <c r="AS248" s="256">
        <f>IF(AND(ISNUMBER(AS231),ISNUMBER(AR231)),IFERROR(AS231/AR231-1,""),"")</f>
        <v>0.112529938568276</v>
      </c>
      <c r="AT248" s="256">
        <f>IF(AND(ISNUMBER(AT231),ISNUMBER(AS231)),IFERROR(AT231/AS231-1,""),"")</f>
        <v>0.091878101338962</v>
      </c>
      <c r="AU248" s="256">
        <f>IF(AND(ISNUMBER(AU231),ISNUMBER(AT231)),IFERROR(AU231/AT231-1,""),"")</f>
        <v>0.0871508394941445</v>
      </c>
      <c r="AV248" s="153" t="n"/>
    </row>
    <row r="249" ht="15" customHeight="1" s="251">
      <c r="B249" s="25" t="inlineStr">
        <is>
          <t xml:space="preserve">  Gross margin %</t>
        </is>
      </c>
      <c r="C249" s="215">
        <f>IF(AND(ISNUMBER(C152),ISNUMBER(C150)),IFERROR(C152/C150,""),"")</f>
        <v>0.300022433811493</v>
      </c>
      <c r="D249" s="215">
        <f>IF(AND(ISNUMBER(D152),ISNUMBER(D150)),IFERROR(D152/D150,""),"")</f>
        <v>0.301390899681448</v>
      </c>
      <c r="E249" s="215">
        <f>IF(AND(ISNUMBER(E152),ISNUMBER(E150)),IFERROR(E152/E150,""),"")</f>
        <v>0.289107406290161</v>
      </c>
      <c r="F249" s="215">
        <f>IF(AND(ISNUMBER(F152),ISNUMBER(F150)),IFERROR(F152/F150,""),"")</f>
        <v>0.287522236213548</v>
      </c>
      <c r="G249" s="215">
        <f>IF(AND(ISNUMBER(G152),ISNUMBER(G150)),IFERROR(G152/G150,""),"")</f>
        <v>0.2867998526225</v>
      </c>
      <c r="H249" s="215">
        <f>IF(AND(ISNUMBER(H152),ISNUMBER(H150)),IFERROR(H152/H150,""),"")</f>
        <v>0.270646015625695</v>
      </c>
      <c r="I249" s="215">
        <f>IF(AND(ISNUMBER(I152),ISNUMBER(I150)),IFERROR(I152/I150,""),"")</f>
        <v>0.272817978877249</v>
      </c>
      <c r="J249" s="215">
        <f>IF(AND(ISNUMBER(J152),ISNUMBER(J150)),IFERROR(J152/J150,""),"")</f>
        <v>0.260632459295929</v>
      </c>
      <c r="K249" s="215">
        <f>IF(AND(ISNUMBER(K152),ISNUMBER(K150)),IFERROR(K152/K150,""),"")</f>
        <v>0.24396377211617</v>
      </c>
      <c r="L249" s="215">
        <f>IF(AND(ISNUMBER(L152),ISNUMBER(L150)),IFERROR(L152/L150,""),"")</f>
        <v>0.25654204390413</v>
      </c>
      <c r="M249" s="215">
        <f>IF(AND(ISNUMBER(M152),ISNUMBER(M150)),IFERROR(M152/M150,""),"")</f>
        <v>0.252928188921895</v>
      </c>
      <c r="N249" s="215">
        <f>IF(AND(ISNUMBER(N152),ISNUMBER(N150)),IFERROR(N152/N150,""),"")</f>
        <v>0.253006514473071</v>
      </c>
      <c r="O249" s="215">
        <f>IF(AND(ISNUMBER(O152),ISNUMBER(O150)),IFERROR(O152/O150,""),"")</f>
        <v>0.241106570260924</v>
      </c>
      <c r="P249" s="215">
        <f>IF(AND(ISNUMBER(P152),ISNUMBER(P150)),IFERROR(P152/P150,""),"")</f>
        <v>0.234617698174555</v>
      </c>
      <c r="Q249" s="215">
        <f>IF(AND(ISNUMBER(Q152),ISNUMBER(Q150)),IFERROR(Q152/Q150,""),"")</f>
        <v>0.245369199477076</v>
      </c>
      <c r="R249" s="215">
        <f>IF(AND(ISNUMBER(R152),ISNUMBER(R150)),IFERROR(R152/R150,""),"")</f>
        <v>0.226067512823448</v>
      </c>
      <c r="S249" s="215">
        <f>IF(AND(ISNUMBER(S152),ISNUMBER(S150)),IFERROR(S152/S150,""),"")</f>
        <v>0.227343445135719</v>
      </c>
      <c r="T249" s="215">
        <f>IF(AND(ISNUMBER(T152),ISNUMBER(T150)),IFERROR(T152/T150,""),"")</f>
        <v>0.218007526874719</v>
      </c>
      <c r="U249" s="215">
        <f>IF(AND(ISNUMBER(U152),ISNUMBER(U150)),IFERROR(U152/U150,""),"")</f>
        <v>0.211750019139638</v>
      </c>
      <c r="V249" s="215">
        <f>IF(AND(ISNUMBER(V152),ISNUMBER(V150)),IFERROR(V152/V150,""),"")</f>
        <v>0.220457950553763</v>
      </c>
      <c r="W249" s="215">
        <f>IF(AND(ISNUMBER(W152),ISNUMBER(W150)),IFERROR(W152/W150,""),"")</f>
        <v>0.203608359911351</v>
      </c>
      <c r="X249" s="215">
        <f>IF(AND(ISNUMBER(X152),ISNUMBER(X150)),IFERROR(X152/X150,""),"")</f>
        <v>0.221472987159816</v>
      </c>
      <c r="Y249" s="215">
        <f>IF(AND(ISNUMBER(Y152),ISNUMBER(Y150)),IFERROR(Y152/Y150,""),"")</f>
        <v>0.255303417292919</v>
      </c>
      <c r="Z249" s="215">
        <f>IF(AND(ISNUMBER(Z152),ISNUMBER(Z150)),IFERROR(Z152/Z150,""),"")</f>
        <v>0.24394198720836</v>
      </c>
      <c r="AA249" s="215">
        <f>IF(AND(ISNUMBER(AA152),ISNUMBER(AA150)),IFERROR(AA152/AA150,""),"")</f>
        <v>0.232481611327381</v>
      </c>
      <c r="AB249" s="215">
        <f>IF(AND(ISNUMBER(AB152),ISNUMBER(AB150)),IFERROR(AB152/AB150,""),"")</f>
        <v>0.259744766311187</v>
      </c>
      <c r="AC249" s="215">
        <f>IF(AND(ISNUMBER(AC152),ISNUMBER(AC150)),IFERROR(AC152/AC150,""),"")</f>
        <v>0.280590128845277</v>
      </c>
      <c r="AD249" s="215">
        <f>IF(AND(ISNUMBER(AD152),ISNUMBER(AD150)),IFERROR(AD152/AD150,""),"")</f>
        <v>0.271309727163768</v>
      </c>
      <c r="AE249" s="215">
        <f>IF(AND(ISNUMBER(AE152),ISNUMBER(AE150)),IFERROR(AE152/AE150,""),"")</f>
        <v>0.243133900066473</v>
      </c>
      <c r="AF249" s="215">
        <f>IF(AND(ISNUMBER(AF152),ISNUMBER(AF150)),IFERROR(AF152/AF150,""),"")</f>
        <v>0.263662258753782</v>
      </c>
      <c r="AG249" s="215">
        <f>IF(AND(ISNUMBER(AG152),ISNUMBER(AG150)),IFERROR(AG152/AG150,""),"")</f>
        <v>0.245409427674787</v>
      </c>
      <c r="AH249" s="215">
        <f>IF(AND(ISNUMBER(AH152),ISNUMBER(AH150)),IFERROR(AH152/AH150,""),"")</f>
        <v>0.271719239635639</v>
      </c>
      <c r="AI249" s="215">
        <f>IF(AND(ISNUMBER(AI152),ISNUMBER(AI150)),IFERROR(AI152/AI150,""),"")</f>
        <v>0.272172252650621</v>
      </c>
      <c r="AJ249" s="215">
        <f>IF(AND(ISNUMBER(AJ152),ISNUMBER(AJ150)),IFERROR(AJ152/AJ150,""),"")</f>
        <v>0.278720018005273</v>
      </c>
      <c r="AK249" s="215">
        <f>IF(AND(ISNUMBER(AK152),ISNUMBER(AK150)),IFERROR(AK152/AK150,""),"")</f>
        <v>0.268089386677671</v>
      </c>
      <c r="AL249" s="215">
        <f>IF(AND(ISNUMBER(AL152),ISNUMBER(AL150)),IFERROR(AL152/AL150,""),"")</f>
        <v>0.293200689645483</v>
      </c>
      <c r="AM249" s="215">
        <f>IF(AND(ISNUMBER(AM152),ISNUMBER(AM150)),IFERROR(AM152/AM150,""),"")</f>
        <v>0.289672904394774</v>
      </c>
      <c r="AN249" s="215">
        <f>IF(AND(ISNUMBER(AN152),ISNUMBER(AN150)),IFERROR(AN152/AN150,""),"")</f>
        <v>0.315314430411686</v>
      </c>
      <c r="AO249" s="256">
        <f>IF(AND(ISNUMBER(AO152),ISNUMBER(AO150)),IFERROR(AO152/AO150,""),"")</f>
        <v>0.297284452815795</v>
      </c>
      <c r="AP249" s="256">
        <f>IF(AND(ISNUMBER(AP152),ISNUMBER(AP150)),IFERROR(AP152/AP150,""),"")</f>
        <v>0.299046749397594</v>
      </c>
      <c r="AQ249" s="256">
        <f>IF(AND(ISNUMBER(AQ152),ISNUMBER(AQ150)),IFERROR(AQ152/AQ150,""),"")</f>
        <v>0.304113452565747</v>
      </c>
      <c r="AR249" s="256">
        <f>IF(AND(ISNUMBER(AR152),ISNUMBER(AR150)),IFERROR(AR152/AR150,""),"")</f>
        <v>0.308112092749234</v>
      </c>
      <c r="AS249" s="256">
        <f>IF(AND(ISNUMBER(AS152),ISNUMBER(AS150)),IFERROR(AS152/AS150,""),"")</f>
        <v>0.312141269395319</v>
      </c>
      <c r="AT249" s="256">
        <f>IF(AND(ISNUMBER(AT152),ISNUMBER(AT150)),IFERROR(AT152/AT150,""),"")</f>
        <v>0.31432682936362</v>
      </c>
      <c r="AU249" s="256">
        <f>IF(AND(ISNUMBER(AU152),ISNUMBER(AU150)),IFERROR(AU152/AU150,""),"")</f>
        <v>0.317093399980681</v>
      </c>
      <c r="AV249" s="153" t="n"/>
      <c r="AX249" s="37">
        <f>IFERROR(AVERAGE(AQ249,AR249,AS249,AT249,AU249),"n/m")</f>
        <v>0.31115740881092</v>
      </c>
      <c r="AY249" s="37">
        <f>IFERROR(AVERAGE(Q249,V249,AA249,AF249,AK249),"n/m")</f>
        <v>0.246012081357934</v>
      </c>
      <c r="AZ249" s="37">
        <f>IFERROR(AVERAGE(H249,I249,J249,K249,L249,Q249,V249,AA249,AF249,AK249),"n/m")</f>
        <v>0.253466267660885</v>
      </c>
      <c r="BA249" s="37">
        <f>IFERROR(AVERAGE(C249,D249,E249,F249,G249,H249,I249,J249,K249,L249,Q249,V249,AA249,AF249,AK249),"n/m")</f>
        <v>0.266633700348533</v>
      </c>
    </row>
    <row r="250" ht="15" customHeight="1" s="251">
      <c r="B250" s="25" t="inlineStr">
        <is>
          <t xml:space="preserve">  Adjusted EBIT margin %</t>
        </is>
      </c>
      <c r="C250" s="215">
        <f>IF(AND(ISNUMBER(C192),ISNUMBER(C150)),IFERROR(C192/C150,""),"")</f>
        <v>0.12410571466295</v>
      </c>
      <c r="D250" s="215">
        <f>IF(AND(ISNUMBER(D192),ISNUMBER(D150)),IFERROR(D192/D150,""),"")</f>
        <v>0.119674511571713</v>
      </c>
      <c r="E250" s="215">
        <f>IF(AND(ISNUMBER(E192),ISNUMBER(E150)),IFERROR(E192/E150,""),"")</f>
        <v>0.11673750087811</v>
      </c>
      <c r="F250" s="215">
        <f>IF(AND(ISNUMBER(F192),ISNUMBER(F150)),IFERROR(F192/F150,""),"")</f>
        <v>0.124811117107393</v>
      </c>
      <c r="G250" s="215">
        <f>IF(AND(ISNUMBER(G192),ISNUMBER(G150)),IFERROR(G192/G150,""),"")</f>
        <v>0.130022867061472</v>
      </c>
      <c r="H250" s="215">
        <f>IF(AND(ISNUMBER(H192),ISNUMBER(H150)),IFERROR(H192/H150,""),"")</f>
        <v>0.12418552324725</v>
      </c>
      <c r="I250" s="215">
        <f>IF(AND(ISNUMBER(I192),ISNUMBER(I150)),IFERROR(I192/I150,""),"")</f>
        <v>0.132679272973314</v>
      </c>
      <c r="J250" s="215">
        <f>IF(AND(ISNUMBER(J192),ISNUMBER(J150)),IFERROR(J192/J150,""),"")</f>
        <v>0.140018823039779</v>
      </c>
      <c r="K250" s="215">
        <f>IF(AND(ISNUMBER(K192),ISNUMBER(K150)),IFERROR(K192/K150,""),"")</f>
        <v>0.146193517199004</v>
      </c>
      <c r="L250" s="215">
        <f>IF(AND(ISNUMBER(L192),ISNUMBER(L150)),IFERROR(L192/L150,""),"")</f>
        <v>0.137501627822644</v>
      </c>
      <c r="M250" s="215">
        <f>IF(AND(ISNUMBER(M192),ISNUMBER(M150)),IFERROR(M192/M150,""),"")</f>
        <v>0.104153685044613</v>
      </c>
      <c r="N250" s="215">
        <f>IF(AND(ISNUMBER(N192),ISNUMBER(N150)),IFERROR(N192/N150,""),"")</f>
        <v>0.148718178080613</v>
      </c>
      <c r="O250" s="215">
        <f>IF(AND(ISNUMBER(O192),ISNUMBER(O150)),IFERROR(O192/O150,""),"")</f>
        <v>0.119974850675888</v>
      </c>
      <c r="P250" s="215">
        <f>IF(AND(ISNUMBER(P192),ISNUMBER(P150)),IFERROR(P192/P150,""),"")</f>
        <v>0.130404740651366</v>
      </c>
      <c r="Q250" s="215">
        <f>IF(AND(ISNUMBER(Q192),ISNUMBER(Q150)),IFERROR(Q192/Q150,""),"")</f>
        <v>0.126275696490209</v>
      </c>
      <c r="R250" s="215">
        <f>IF(AND(ISNUMBER(R192),ISNUMBER(R150)),IFERROR(R192/R150,""),"")</f>
        <v>0.0985863740938651</v>
      </c>
      <c r="S250" s="215">
        <f>IF(AND(ISNUMBER(S192),ISNUMBER(S150)),IFERROR(S192/S150,""),"")</f>
        <v>0.102353456399455</v>
      </c>
      <c r="T250" s="215">
        <f>IF(AND(ISNUMBER(T192),ISNUMBER(T150)),IFERROR(T192/T150,""),"")</f>
        <v>0.0951716661349237</v>
      </c>
      <c r="U250" s="215">
        <f>IF(AND(ISNUMBER(U192),ISNUMBER(U150)),IFERROR(U192/U150,""),"")</f>
        <v>0.099273006235616</v>
      </c>
      <c r="V250" s="215">
        <f>IF(AND(ISNUMBER(V192),ISNUMBER(V150)),IFERROR(V192/V150,""),"")</f>
        <v>0.0988181921193223</v>
      </c>
      <c r="W250" s="215">
        <f>IF(AND(ISNUMBER(W192),ISNUMBER(W150)),IFERROR(W192/W150,""),"")</f>
        <v>0.0687418265523691</v>
      </c>
      <c r="X250" s="215">
        <f>IF(AND(ISNUMBER(X192),ISNUMBER(X150)),IFERROR(X192/X150,""),"")</f>
        <v>0.121765936058055</v>
      </c>
      <c r="Y250" s="215">
        <f>IF(AND(ISNUMBER(Y192),ISNUMBER(Y150)),IFERROR(Y192/Y150,""),"")</f>
        <v>0.146624734751075</v>
      </c>
      <c r="Z250" s="215">
        <f>IF(AND(ISNUMBER(Z192),ISNUMBER(Z150)),IFERROR(Z192/Z150,""),"")</f>
        <v>0.139517675370301</v>
      </c>
      <c r="AA250" s="215">
        <f>IF(AND(ISNUMBER(AA192),ISNUMBER(AA150)),IFERROR(AA192/AA150,""),"")</f>
        <v>0.122073406469436</v>
      </c>
      <c r="AB250" s="215">
        <f>IF(AND(ISNUMBER(AB192),ISNUMBER(AB150)),IFERROR(AB192/AB150,""),"")</f>
        <v>0.151408996733314</v>
      </c>
      <c r="AC250" s="215">
        <f>IF(AND(ISNUMBER(AC192),ISNUMBER(AC150)),IFERROR(AC192/AC150,""),"")</f>
        <v>0.161838909286365</v>
      </c>
      <c r="AD250" s="215">
        <f>IF(AND(ISNUMBER(AD192),ISNUMBER(AD150)),IFERROR(AD192/AD150,""),"")</f>
        <v>0.155580826908013</v>
      </c>
      <c r="AE250" s="215">
        <f>IF(AND(ISNUMBER(AE192),ISNUMBER(AE150)),IFERROR(AE192/AE150,""),"")</f>
        <v>0.137417962569398</v>
      </c>
      <c r="AF250" s="215">
        <f>IF(AND(ISNUMBER(AF192),ISNUMBER(AF150)),IFERROR(AF192/AF150,""),"")</f>
        <v>0.151497375798263</v>
      </c>
      <c r="AG250" s="215">
        <f>IF(AND(ISNUMBER(AG192),ISNUMBER(AG150)),IFERROR(AG192/AG150,""),"")</f>
        <v>0.138438642466596</v>
      </c>
      <c r="AH250" s="215">
        <f>IF(AND(ISNUMBER(AH192),ISNUMBER(AH150)),IFERROR(AH192/AH150,""),"")</f>
        <v>0.154432459776671</v>
      </c>
      <c r="AI250" s="215">
        <f>IF(AND(ISNUMBER(AI192),ISNUMBER(AI150)),IFERROR(AI192/AI150,""),"")</f>
        <v>0.149907258319988</v>
      </c>
      <c r="AJ250" s="215">
        <f>IF(AND(ISNUMBER(AJ192),ISNUMBER(AJ150)),IFERROR(AJ192/AJ150,""),"")</f>
        <v>0.17640143720661</v>
      </c>
      <c r="AK250" s="215">
        <f>IF(AND(ISNUMBER(AK192),ISNUMBER(AK150)),IFERROR(AK192/AK150,""),"")</f>
        <v>0.155935806029833</v>
      </c>
      <c r="AL250" s="215">
        <f>IF(AND(ISNUMBER(AL192),ISNUMBER(AL150)),IFERROR(AL192/AL150,""),"")</f>
        <v>0.179430259700899</v>
      </c>
      <c r="AM250" s="215">
        <f>IF(AND(ISNUMBER(AM192),ISNUMBER(AM150)),IFERROR(AM192/AM150,""),"")</f>
        <v>0.170151700765106</v>
      </c>
      <c r="AN250" s="215">
        <f>IF(AND(ISNUMBER(AN192),ISNUMBER(AN150)),IFERROR(AN192/AN150,""),"")</f>
        <v>0.195540256194214</v>
      </c>
      <c r="AO250" s="256">
        <f>IF(AND(ISNUMBER(AO192),ISNUMBER(AO150)),IFERROR(AO192/AO150,""),"")</f>
        <v>0.184383940074346</v>
      </c>
      <c r="AP250" s="256">
        <f>IF(AND(ISNUMBER(AP192),ISNUMBER(AP150)),IFERROR(AP192/AP150,""),"")</f>
        <v>0.182520268701079</v>
      </c>
      <c r="AQ250" s="256">
        <f>IF(AND(ISNUMBER(AQ192),ISNUMBER(AQ150)),IFERROR(AQ192/AQ150,""),"")</f>
        <v>0.187534212934782</v>
      </c>
      <c r="AR250" s="256">
        <f>IF(AND(ISNUMBER(AR192),ISNUMBER(AR150)),IFERROR(AR192/AR150,""),"")</f>
        <v>0.191185436818209</v>
      </c>
      <c r="AS250" s="256">
        <f>IF(AND(ISNUMBER(AS192),ISNUMBER(AS150)),IFERROR(AS192/AS150,""),"")</f>
        <v>0.195141416194945</v>
      </c>
      <c r="AT250" s="256">
        <f>IF(AND(ISNUMBER(AT192),ISNUMBER(AT150)),IFERROR(AT192/AT150,""),"")</f>
        <v>0.197473820815994</v>
      </c>
      <c r="AU250" s="256">
        <f>IF(AND(ISNUMBER(AU192),ISNUMBER(AU150)),IFERROR(AU192/AU150,""),"")</f>
        <v>0.199484404658939</v>
      </c>
      <c r="AV250" s="153" t="n"/>
      <c r="AX250" s="37">
        <f>IFERROR(AVERAGE(AQ250,AR250,AS250,AT250,AU250),"n/m")</f>
        <v>0.194163858284574</v>
      </c>
      <c r="AY250" s="37">
        <f>IFERROR(AVERAGE(Q250,V250,AA250,AF250,AK250),"n/m")</f>
        <v>0.130920095381413</v>
      </c>
      <c r="AZ250" s="37">
        <f>IFERROR(AVERAGE(H250,I250,J250,K250,L250,Q250,V250,AA250,AF250,AK250),"n/m")</f>
        <v>0.133517924118906</v>
      </c>
      <c r="BA250" s="37">
        <f>IFERROR(AVERAGE(C250,D250,E250,F250,G250,H250,I250,J250,K250,L250,Q250,V250,AA250,AF250,AK250),"n/m")</f>
        <v>0.13003539683138</v>
      </c>
    </row>
    <row r="251" ht="15" customHeight="1" s="251">
      <c r="B251" s="25" t="inlineStr">
        <is>
          <t xml:space="preserve">  Incremental adjusted EBIT margin (Δ adjusted EBIT / Δ net sales)</t>
        </is>
      </c>
      <c r="C251" s="36" t="n"/>
      <c r="D251" s="215">
        <f>IFERROR((D192-C192)/(D150-C150),"")</f>
        <v>0.0703979210654535</v>
      </c>
      <c r="E251" s="215">
        <f>IFERROR((E192-D192)/(E150-D150),"")</f>
        <v>0.0388491662994539</v>
      </c>
      <c r="F251" s="215">
        <f>IFERROR((F192-E192)/(F150-E150),"")</f>
        <v>0.364304976709977</v>
      </c>
      <c r="G251" s="215">
        <f>IFERROR((G192-F192)/(G150-F150),"")</f>
        <v>0.411434584356363</v>
      </c>
      <c r="H251" s="215">
        <f>IFERROR((H192-G192)/(H150-G150),"")</f>
        <v>0.905681444991783</v>
      </c>
      <c r="I251" s="215">
        <f>IFERROR((I192-H192)/(I150-H150),"")</f>
        <v>0.359953443464229</v>
      </c>
      <c r="J251" s="215">
        <f>IFERROR((J192-I192)/(J150-I150),"")</f>
        <v>0.207819074951142</v>
      </c>
      <c r="K251" s="215">
        <f>IFERROR((K192-J192)/(K150-J150),"")</f>
        <v>0.1711995319715</v>
      </c>
      <c r="L251" s="215">
        <f>IFERROR((L192-K192)/(L150-K150),"")</f>
        <v>0.199816083770876</v>
      </c>
      <c r="M251" s="36" t="n"/>
      <c r="N251" s="36" t="n"/>
      <c r="O251" s="36" t="n"/>
      <c r="P251" s="36" t="n"/>
      <c r="Q251" s="215">
        <f>IFERROR((Q192-L192)/(Q150-L150),"")</f>
        <v>0.238415261394611</v>
      </c>
      <c r="R251" s="215">
        <f>IFERROR((R192-M192)/(R150-M150),"")</f>
        <v>-0.65591126796069</v>
      </c>
      <c r="S251" s="215">
        <f>IFERROR((S192-N192)/(S150-N150),"")</f>
        <v>-4.78216745197533</v>
      </c>
      <c r="T251" s="215">
        <f>IFERROR((T192-O192)/(T150-O150),"")</f>
        <v>-0.144301645940649</v>
      </c>
      <c r="U251" s="215">
        <f>IFERROR((U192-P192)/(U150-P150),"")</f>
        <v>-0.154993124785148</v>
      </c>
      <c r="V251" s="215">
        <f>IFERROR((V192-Q192)/(V150-Q150),"")</f>
        <v>-0.351428905211816</v>
      </c>
      <c r="W251" s="215">
        <f>IFERROR((W192-R192)/(W150-R150),"")</f>
        <v>-0.141082393260031</v>
      </c>
      <c r="X251" s="215">
        <f>IFERROR((X192-S192)/(X150-S150),"")</f>
        <v>0.208479543292103</v>
      </c>
      <c r="Y251" s="215">
        <f>IFERROR((Y192-T192)/(Y150-T150),"")</f>
        <v>0.316265141066168</v>
      </c>
      <c r="Z251" s="215">
        <f>IFERROR((Z192-U192)/(Z150-U150),"")</f>
        <v>0.327480899319162</v>
      </c>
      <c r="AA251" s="215">
        <f>IFERROR((AA192-V192)/(AA150-V150),"")</f>
        <v>0.226275725117342</v>
      </c>
      <c r="AB251" s="215">
        <f>IFERROR((AB192-W192)/(AB150-W150),"")</f>
        <v>0.455609686457162</v>
      </c>
      <c r="AC251" s="215">
        <f>IFERROR((AC192-X192)/(AC150-X150),"")</f>
        <v>0.407559186879423</v>
      </c>
      <c r="AD251" s="215">
        <f>IFERROR((AD192-Y192)/(AD150-Y150),"")</f>
        <v>0.308070175438595</v>
      </c>
      <c r="AE251" s="215">
        <f>IFERROR((AE192-Z192)/(AE150-Z150),"")</f>
        <v>0.116342452659589</v>
      </c>
      <c r="AF251" s="215">
        <f>IFERROR((AF192-AA192)/(AF150-AA150),"")</f>
        <v>0.360825321040903</v>
      </c>
      <c r="AG251" s="215">
        <f>IFERROR((AG192-AB192)/(AG150-AB150),"")</f>
        <v>0.867047483041773</v>
      </c>
      <c r="AH251" s="215">
        <f>IFERROR((AH192-AC192)/(AH150-AC150),"")</f>
        <v>0.0263016195170456</v>
      </c>
      <c r="AI251" s="215">
        <f>IFERROR((AI192-AD192)/(AI150-AD150),"")</f>
        <v>0.0789279494672222</v>
      </c>
      <c r="AJ251" s="215">
        <f>IFERROR((AJ192-AE192)/(AJ150-AE150),"")</f>
        <v>0.413024947434221</v>
      </c>
      <c r="AK251" s="215">
        <f>IFERROR((AK192-AF192)/(AK150-AF150),"")</f>
        <v>0.216699956757203</v>
      </c>
      <c r="AL251" s="215">
        <f>IFERROR((AL192-AG192)/(AL150-AG150),"")</f>
        <v>0.32100889915925</v>
      </c>
      <c r="AM251" s="215">
        <f>IFERROR((AM192-AH192)/(AM150-AH150),"")</f>
        <v>0.237272819526527</v>
      </c>
      <c r="AN251" s="215">
        <f>IFERROR((AN192-AI192)/(AN150-AI150),"")</f>
        <v>0.410585867321462</v>
      </c>
      <c r="AO251" s="256">
        <f>IFERROR((AO192-AJ192)/(AO150-AJ150),"")</f>
        <v>0.240335762448782</v>
      </c>
      <c r="AP251" s="256">
        <f>IFERROR((AP192-AK192)/(AP150-AK150),"")</f>
        <v>0.306168932288271</v>
      </c>
      <c r="AQ251" s="256">
        <f>IFERROR((AQ192-AP192)/(AQ150-AP150),"")</f>
        <v>0.245785514397343</v>
      </c>
      <c r="AR251" s="256">
        <f>IFERROR((AR192-AQ192)/(AR150-AQ150),"")</f>
        <v>0.234740927239785</v>
      </c>
      <c r="AS251" s="256">
        <f>IFERROR((AS192-AR192)/(AS150-AR150),"")</f>
        <v>0.250434392688786</v>
      </c>
      <c r="AT251" s="256">
        <f>IFERROR((AT192-AS192)/(AT150-AS150),"")</f>
        <v>0.23614967081654</v>
      </c>
      <c r="AU251" s="256">
        <f>IFERROR((AU192-AT192)/(AU150-AT150),"")</f>
        <v>0.235098437296424</v>
      </c>
      <c r="AV251" s="153" t="n"/>
    </row>
    <row r="252" ht="15" customHeight="1" s="251">
      <c r="B252" s="25" t="inlineStr">
        <is>
          <t xml:space="preserve">  Adjusted EBITDA margin %</t>
        </is>
      </c>
      <c r="C252" s="215">
        <f>IF(AND(ISNUMBER(C214),ISNUMBER(C150)),IFERROR(C214/C150,""),"")</f>
        <v>0.168151348774495</v>
      </c>
      <c r="D252" s="215">
        <f>IF(AND(ISNUMBER(D214),ISNUMBER(D150)),IFERROR(D214/D150,""),"")</f>
        <v>0.156454103633792</v>
      </c>
      <c r="E252" s="215">
        <f>IF(AND(ISNUMBER(E214),ISNUMBER(E150)),IFERROR(E214/E150,""),"")</f>
        <v>0.155081467952082</v>
      </c>
      <c r="F252" s="215">
        <f>IF(AND(ISNUMBER(F214),ISNUMBER(F150)),IFERROR(F214/F150,""),"")</f>
        <v>0.163463652535428</v>
      </c>
      <c r="G252" s="215">
        <f>IF(AND(ISNUMBER(G214),ISNUMBER(G150)),IFERROR(G214/G150,""),"")</f>
        <v>0.166933473580719</v>
      </c>
      <c r="H252" s="215">
        <f>IF(AND(ISNUMBER(H214),ISNUMBER(H150)),IFERROR(H214/H150,""),"")</f>
        <v>0.158309763637388</v>
      </c>
      <c r="I252" s="215">
        <f>IF(AND(ISNUMBER(I214),ISNUMBER(I150)),IFERROR(I214/I150,""),"")</f>
        <v>0.171235321165396</v>
      </c>
      <c r="J252" s="215">
        <f>IF(AND(ISNUMBER(J214),ISNUMBER(J150)),IFERROR(J214/J150,""),"")</f>
        <v>0.182183635993883</v>
      </c>
      <c r="K252" s="215">
        <f>IF(AND(ISNUMBER(K214),ISNUMBER(K150)),IFERROR(K214/K150,""),"")</f>
        <v>0.187881719759037</v>
      </c>
      <c r="L252" s="215">
        <f>IF(AND(ISNUMBER(L214),ISNUMBER(L150)),IFERROR(L214/L150,""),"")</f>
        <v>0.190055957029489</v>
      </c>
      <c r="M252" s="215">
        <f>IF(AND(ISNUMBER(M214),ISNUMBER(M150)),IFERROR(M214/M150,""),"")</f>
        <v>0.165678668350635</v>
      </c>
      <c r="N252" s="215">
        <f>IF(AND(ISNUMBER(N214),ISNUMBER(N150)),IFERROR(N214/N150,""),"")</f>
        <v>0.204589202867263</v>
      </c>
      <c r="O252" s="215">
        <f>IF(AND(ISNUMBER(O214),ISNUMBER(O150)),IFERROR(O214/O150,""),"")</f>
        <v>0.177895540485921</v>
      </c>
      <c r="P252" s="215">
        <f>IF(AND(ISNUMBER(P214),ISNUMBER(P150)),IFERROR(P214/P150,""),"")</f>
        <v>0.186041454393678</v>
      </c>
      <c r="Q252" s="215">
        <f>IF(AND(ISNUMBER(Q214),ISNUMBER(Q150)),IFERROR(Q214/Q150,""),"")</f>
        <v>0.183948754848983</v>
      </c>
      <c r="R252" s="215">
        <f>IF(AND(ISNUMBER(R214),ISNUMBER(R150)),IFERROR(R214/R150,""),"")</f>
        <v>0.155310513934998</v>
      </c>
      <c r="S252" s="215">
        <f>IF(AND(ISNUMBER(S214),ISNUMBER(S150)),IFERROR(S214/S150,""),"")</f>
        <v>0.154514270523943</v>
      </c>
      <c r="T252" s="215">
        <f>IF(AND(ISNUMBER(T214),ISNUMBER(T150)),IFERROR(T214/T150,""),"")</f>
        <v>0.143886367631834</v>
      </c>
      <c r="U252" s="215">
        <f>IF(AND(ISNUMBER(U214),ISNUMBER(U150)),IFERROR(U214/U150,""),"")</f>
        <v>0.145161265122267</v>
      </c>
      <c r="V252" s="215">
        <f>IF(AND(ISNUMBER(V214),ISNUMBER(V150)),IFERROR(V214/V150,""),"")</f>
        <v>0.149442879985227</v>
      </c>
      <c r="W252" s="215">
        <f>IF(AND(ISNUMBER(W214),ISNUMBER(W150)),IFERROR(W214/W150,""),"")</f>
        <v>0.116111855600943</v>
      </c>
      <c r="X252" s="215">
        <f>IF(AND(ISNUMBER(X214),ISNUMBER(X150)),IFERROR(X214/X150,""),"")</f>
        <v>0.163470776119652</v>
      </c>
      <c r="Y252" s="215">
        <f>IF(AND(ISNUMBER(Y214),ISNUMBER(Y150)),IFERROR(Y214/Y150,""),"")</f>
        <v>0.184148636817238</v>
      </c>
      <c r="Z252" s="215">
        <f>IF(AND(ISNUMBER(Z214),ISNUMBER(Z150)),IFERROR(Z214/Z150,""),"")</f>
        <v>0.178693039237134</v>
      </c>
      <c r="AA252" s="215">
        <f>IF(AND(ISNUMBER(AA214),ISNUMBER(AA150)),IFERROR(AA214/AA150,""),"")</f>
        <v>0.163157739437021</v>
      </c>
      <c r="AB252" s="215">
        <f>IF(AND(ISNUMBER(AB214),ISNUMBER(AB150)),IFERROR(AB214/AB150,""),"")</f>
        <v>0.188047996135904</v>
      </c>
      <c r="AC252" s="215">
        <f>IF(AND(ISNUMBER(AC214),ISNUMBER(AC150)),IFERROR(AC214/AC150,""),"")</f>
        <v>0.196824537944294</v>
      </c>
      <c r="AD252" s="215">
        <f>IF(AND(ISNUMBER(AD214),ISNUMBER(AD150)),IFERROR(AD214/AD150,""),"")</f>
        <v>0.189546153773558</v>
      </c>
      <c r="AE252" s="215">
        <f>IF(AND(ISNUMBER(AE214),ISNUMBER(AE150)),IFERROR(AE214/AE150,""),"")</f>
        <v>0.17174027019689</v>
      </c>
      <c r="AF252" s="215">
        <f>IF(AND(ISNUMBER(AF214),ISNUMBER(AF150)),IFERROR(AF214/AF150,""),"")</f>
        <v>0.186443614783369</v>
      </c>
      <c r="AG252" s="215">
        <f>IF(AND(ISNUMBER(AG214),ISNUMBER(AG150)),IFERROR(AG214/AG150,""),"")</f>
        <v>0.174513572098742</v>
      </c>
      <c r="AH252" s="215">
        <f>IF(AND(ISNUMBER(AH214),ISNUMBER(AH150)),IFERROR(AH214/AH150,""),"")</f>
        <v>0.185628810281238</v>
      </c>
      <c r="AI252" s="215">
        <f>IF(AND(ISNUMBER(AI214),ISNUMBER(AI150)),IFERROR(AI214/AI150,""),"")</f>
        <v>0.181207848414871</v>
      </c>
      <c r="AJ252" s="215">
        <f>IF(AND(ISNUMBER(AJ214),ISNUMBER(AJ150)),IFERROR(AJ214/AJ150,""),"")</f>
        <v>0.205722300816668</v>
      </c>
      <c r="AK252" s="215">
        <f>IF(AND(ISNUMBER(AK214),ISNUMBER(AK150)),IFERROR(AK214/AK150,""),"")</f>
        <v>0.187692455195645</v>
      </c>
      <c r="AL252" s="215">
        <f>IF(AND(ISNUMBER(AL214),ISNUMBER(AL150)),IFERROR(AL214/AL150,""),"")</f>
        <v>0.208571594875428</v>
      </c>
      <c r="AM252" s="215">
        <f>IF(AND(ISNUMBER(AM214),ISNUMBER(AM150)),IFERROR(AM214/AM150,""),"")</f>
        <v>0.197574108171155</v>
      </c>
      <c r="AN252" s="215">
        <f>IF(AND(ISNUMBER(AN214),ISNUMBER(AN150)),IFERROR(AN214/AN150,""),"")</f>
        <v>0.224438927462704</v>
      </c>
      <c r="AO252" s="256">
        <f>IF(AND(ISNUMBER(AO214),ISNUMBER(AO150)),IFERROR(AO214/AO150,""),"")</f>
        <v>0.212036470935126</v>
      </c>
      <c r="AP252" s="256">
        <f>IF(AND(ISNUMBER(AP214),ISNUMBER(AP150)),IFERROR(AP214/AP150,""),"")</f>
        <v>0.210776264809379</v>
      </c>
      <c r="AQ252" s="256">
        <f>IF(AND(ISNUMBER(AQ214),ISNUMBER(AQ150)),IFERROR(AQ214/AQ150,""),"")</f>
        <v>0.217713124161004</v>
      </c>
      <c r="AR252" s="256">
        <f>IF(AND(ISNUMBER(AR214),ISNUMBER(AR150)),IFERROR(AR214/AR150,""),"")</f>
        <v>0.223263392683899</v>
      </c>
      <c r="AS252" s="256">
        <f>IF(AND(ISNUMBER(AS214),ISNUMBER(AS150)),IFERROR(AS214/AS150,""),"")</f>
        <v>0.228069044968112</v>
      </c>
      <c r="AT252" s="256">
        <f>IF(AND(ISNUMBER(AT214),ISNUMBER(AT150)),IFERROR(AT214/AT150,""),"")</f>
        <v>0.230462664625848</v>
      </c>
      <c r="AU252" s="256">
        <f>IF(AND(ISNUMBER(AU214),ISNUMBER(AU150)),IFERROR(AU214/AU150,""),"")</f>
        <v>0.232343211933169</v>
      </c>
      <c r="AV252" s="153" t="n"/>
      <c r="AX252" s="37">
        <f>IFERROR(AVERAGE(AQ252,AR252,AS252,AT252,AU252),"n/m")</f>
        <v>0.226370287674406</v>
      </c>
      <c r="AY252" s="37">
        <f>IFERROR(AVERAGE(Q252,V252,AA252,AF252,AK252),"n/m")</f>
        <v>0.174137088850049</v>
      </c>
      <c r="AZ252" s="37">
        <f>IFERROR(AVERAGE(H252,I252,J252,K252,L252,Q252,V252,AA252,AF252,AK252),"n/m")</f>
        <v>0.176035184183544</v>
      </c>
      <c r="BA252" s="37">
        <f>IFERROR(AVERAGE(C252,D252,E252,F252,G252,H252,I252,J252,K252,L252,Q252,V252,AA252,AF252,AK252),"n/m")</f>
        <v>0.17136239255413</v>
      </c>
    </row>
    <row r="253" ht="15" customHeight="1" s="251">
      <c r="B253" s="25" t="inlineStr">
        <is>
          <t xml:space="preserve">  EBIT margin (GAAP) %</t>
        </is>
      </c>
      <c r="C253" s="215">
        <f>IF(AND(ISNUMBER(C160),ISNUMBER(C150)),IFERROR(C160/C150,""),"")</f>
        <v>0.12410571466295</v>
      </c>
      <c r="D253" s="215">
        <f>IF(AND(ISNUMBER(D160),ISNUMBER(D150)),IFERROR(D160/D150,""),"")</f>
        <v>0.119674511571713</v>
      </c>
      <c r="E253" s="215">
        <f>IF(AND(ISNUMBER(E160),ISNUMBER(E150)),IFERROR(E160/E150,""),"")</f>
        <v>0.11673750087811</v>
      </c>
      <c r="F253" s="215">
        <f>IF(AND(ISNUMBER(F160),ISNUMBER(F150)),IFERROR(F160/F150,""),"")</f>
        <v>0.124811117107393</v>
      </c>
      <c r="G253" s="215">
        <f>IF(AND(ISNUMBER(G160),ISNUMBER(G150)),IFERROR(G160/G150,""),"")</f>
        <v>0.130022867061472</v>
      </c>
      <c r="H253" s="215">
        <f>IF(AND(ISNUMBER(H160),ISNUMBER(H150)),IFERROR(H160/H150,""),"")</f>
        <v>0.12418552324725</v>
      </c>
      <c r="I253" s="215">
        <f>IF(AND(ISNUMBER(I160),ISNUMBER(I150)),IFERROR(I160/I150,""),"")</f>
        <v>0.132679272973314</v>
      </c>
      <c r="J253" s="215">
        <f>IF(AND(ISNUMBER(J160),ISNUMBER(J150)),IFERROR(J160/J150,""),"")</f>
        <v>0.10734635983994</v>
      </c>
      <c r="K253" s="215">
        <f>IF(AND(ISNUMBER(K160),ISNUMBER(K150)),IFERROR(K160/K150,""),"")</f>
        <v>0.125232872111791</v>
      </c>
      <c r="L253" s="215">
        <f>IF(AND(ISNUMBER(L160),ISNUMBER(L150)),IFERROR(L160/L150,""),"")</f>
        <v>0.126590708288172</v>
      </c>
      <c r="M253" s="215">
        <f>IF(AND(ISNUMBER(M160),ISNUMBER(M150)),IFERROR(M160/M150,""),"")</f>
        <v>0.104153685044613</v>
      </c>
      <c r="N253" s="215">
        <f>IF(AND(ISNUMBER(N160),ISNUMBER(N150)),IFERROR(N160/N150,""),"")</f>
        <v>0.148718178080613</v>
      </c>
      <c r="O253" s="215">
        <f>IF(AND(ISNUMBER(O160),ISNUMBER(O150)),IFERROR(O160/O150,""),"")</f>
        <v>0.119974850675888</v>
      </c>
      <c r="P253" s="215">
        <f>IF(AND(ISNUMBER(P160),ISNUMBER(P150)),IFERROR(P160/P150,""),"")</f>
        <v>0.121622119298442</v>
      </c>
      <c r="Q253" s="215">
        <f>IF(AND(ISNUMBER(Q160),ISNUMBER(Q150)),IFERROR(Q160/Q150,""),"")</f>
        <v>0.124045787930709</v>
      </c>
      <c r="R253" s="215">
        <f>IF(AND(ISNUMBER(R160),ISNUMBER(R150)),IFERROR(R160/R150,""),"")</f>
        <v>0.0838481792365386</v>
      </c>
      <c r="S253" s="215">
        <f>IF(AND(ISNUMBER(S160),ISNUMBER(S150)),IFERROR(S160/S150,""),"")</f>
        <v>0.105298045971723</v>
      </c>
      <c r="T253" s="215">
        <f>IF(AND(ISNUMBER(T160),ISNUMBER(T150)),IFERROR(T160/T150,""),"")</f>
        <v>0.0951716661349237</v>
      </c>
      <c r="U253" s="215">
        <f>IF(AND(ISNUMBER(U160),ISNUMBER(U150)),IFERROR(U160/U150,""),"")</f>
        <v>0.104616480712713</v>
      </c>
      <c r="V253" s="215">
        <f>IF(AND(ISNUMBER(V160),ISNUMBER(V150)),IFERROR(V160/V150,""),"")</f>
        <v>0.0976288300689528</v>
      </c>
      <c r="W253" s="215">
        <f>IF(AND(ISNUMBER(W160),ISNUMBER(W150)),IFERROR(W160/W150,""),"")</f>
        <v>0.0687418265523691</v>
      </c>
      <c r="X253" s="215">
        <f>IF(AND(ISNUMBER(X160),ISNUMBER(X150)),IFERROR(X160/X150,""),"")</f>
        <v>0.0732065930210217</v>
      </c>
      <c r="Y253" s="215">
        <f>IF(AND(ISNUMBER(Y160),ISNUMBER(Y150)),IFERROR(Y160/Y150,""),"")</f>
        <v>0.146624734751075</v>
      </c>
      <c r="Z253" s="215">
        <f>IF(AND(ISNUMBER(Z160),ISNUMBER(Z150)),IFERROR(Z160/Z150,""),"")</f>
        <v>0.139517675370301</v>
      </c>
      <c r="AA253" s="215">
        <f>IF(AND(ISNUMBER(AA160),ISNUMBER(AA150)),IFERROR(AA160/AA150,""),"")</f>
        <v>0.110107302425129</v>
      </c>
      <c r="AB253" s="215">
        <f>IF(AND(ISNUMBER(AB160),ISNUMBER(AB150)),IFERROR(AB160/AB150,""),"")</f>
        <v>0.152127159254128</v>
      </c>
      <c r="AC253" s="215">
        <f>IF(AND(ISNUMBER(AC160),ISNUMBER(AC150)),IFERROR(AC160/AC150,""),"")</f>
        <v>0.156655409813693</v>
      </c>
      <c r="AD253" s="215">
        <f>IF(AND(ISNUMBER(AD160),ISNUMBER(AD150)),IFERROR(AD160/AD150,""),"")</f>
        <v>0.155580826908013</v>
      </c>
      <c r="AE253" s="215">
        <f>IF(AND(ISNUMBER(AE160),ISNUMBER(AE150)),IFERROR(AE160/AE150,""),"")</f>
        <v>0.132294426604002</v>
      </c>
      <c r="AF253" s="215">
        <f>IF(AND(ISNUMBER(AF160),ISNUMBER(AF150)),IFERROR(AF160/AF150,""),"")</f>
        <v>0.149047799969256</v>
      </c>
      <c r="AG253" s="215">
        <f>IF(AND(ISNUMBER(AG160),ISNUMBER(AG150)),IFERROR(AG160/AG150,""),"")</f>
        <v>0.146000194118218</v>
      </c>
      <c r="AH253" s="215">
        <f>IF(AND(ISNUMBER(AH160),ISNUMBER(AH150)),IFERROR(AH160/AH150,""),"")</f>
        <v>0.162773064261132</v>
      </c>
      <c r="AI253" s="215">
        <f>IF(AND(ISNUMBER(AI160),ISNUMBER(AI150)),IFERROR(AI160/AI150,""),"")</f>
        <v>0.149907258319988</v>
      </c>
      <c r="AJ253" s="215">
        <f>IF(AND(ISNUMBER(AJ160),ISNUMBER(AJ150)),IFERROR(AJ160/AJ150,""),"")</f>
        <v>0.169834335412514</v>
      </c>
      <c r="AK253" s="215">
        <f>IF(AND(ISNUMBER(AK160),ISNUMBER(AK150)),IFERROR(AK160/AK150,""),"")</f>
        <v>0.157807933919885</v>
      </c>
      <c r="AL253" s="215">
        <f>IF(AND(ISNUMBER(AL160),ISNUMBER(AL150)),IFERROR(AL160/AL150,""),"")</f>
        <v>0.179430259700899</v>
      </c>
      <c r="AM253" s="215">
        <f>IF(AND(ISNUMBER(AM160),ISNUMBER(AM150)),IFERROR(AM160/AM150,""),"")</f>
        <v>0.163902663566142</v>
      </c>
      <c r="AN253" s="215">
        <f>IF(AND(ISNUMBER(AN160),ISNUMBER(AN150)),IFERROR(AN160/AN150,""),"")</f>
        <v>0.18719209159191</v>
      </c>
      <c r="AO253" s="256">
        <f>IF(AND(ISNUMBER(AO160),ISNUMBER(AO150)),IFERROR(AO160/AO150,""),"")</f>
        <v>0.179108081985924</v>
      </c>
      <c r="AP253" s="256">
        <f>IF(AND(ISNUMBER(AP160),ISNUMBER(AP150)),IFERROR(AP160/AP150,""),"")</f>
        <v>0.177425878339453</v>
      </c>
      <c r="AQ253" s="256">
        <f>IF(AND(ISNUMBER(AQ160),ISNUMBER(AQ150)),IFERROR(AQ160/AQ150,""),"")</f>
        <v>0.21550005698281</v>
      </c>
      <c r="AR253" s="256">
        <f>IF(AND(ISNUMBER(AR160),ISNUMBER(AR150)),IFERROR(AR160/AR150,""),"")</f>
        <v>0.187853158169763</v>
      </c>
      <c r="AS253" s="256">
        <f>IF(AND(ISNUMBER(AS160),ISNUMBER(AS150)),IFERROR(AS160/AS150,""),"")</f>
        <v>0.19477555895593</v>
      </c>
      <c r="AT253" s="256">
        <f>IF(AND(ISNUMBER(AT160),ISNUMBER(AT150)),IFERROR(AT160/AT150,""),"")</f>
        <v>0.197128772243985</v>
      </c>
      <c r="AU253" s="256">
        <f>IF(AND(ISNUMBER(AU160),ISNUMBER(AU150)),IFERROR(AU160/AU150,""),"")</f>
        <v>0.199157794788738</v>
      </c>
      <c r="AV253" s="153" t="n"/>
      <c r="AX253" s="37">
        <f>IFERROR(AVERAGE(AQ253,AR253,AS253,AT253,AU253),"n/m")</f>
        <v>0.198883068228245</v>
      </c>
      <c r="AY253" s="37">
        <f>IFERROR(AVERAGE(Q253,V253,AA253,AF253,AK253),"n/m")</f>
        <v>0.127727530862786</v>
      </c>
      <c r="AZ253" s="37">
        <f>IFERROR(AVERAGE(H253,I253,J253,K253,L253,Q253,V253,AA253,AF253,AK253),"n/m")</f>
        <v>0.12546723907744</v>
      </c>
      <c r="BA253" s="37">
        <f>IFERROR(AVERAGE(C253,D253,E253,F253,G253,H253,I253,J253,K253,L253,Q253,V253,AA253,AF253,AK253),"n/m")</f>
        <v>0.124668273470402</v>
      </c>
    </row>
    <row r="254" ht="15" customHeight="1" s="251">
      <c r="B254" s="25" t="inlineStr">
        <is>
          <t xml:space="preserve">  Net margin %</t>
        </is>
      </c>
      <c r="C254" s="215">
        <f>IF(AND(ISNUMBER(C167),ISNUMBER(C150)),IFERROR(C167/C150,""),"")</f>
        <v>0.0772535172594295</v>
      </c>
      <c r="D254" s="215">
        <f>IF(AND(ISNUMBER(D167),ISNUMBER(D150)),IFERROR(D167/D150,""),"")</f>
        <v>0.0758935199801461</v>
      </c>
      <c r="E254" s="215">
        <f>IF(AND(ISNUMBER(E167),ISNUMBER(E150)),IFERROR(E167/E150,""),"")</f>
        <v>0.0753841989776734</v>
      </c>
      <c r="F254" s="215">
        <f>IF(AND(ISNUMBER(F167),ISNUMBER(F150)),IFERROR(F167/F150,""),"")</f>
        <v>0.0828706202154665</v>
      </c>
      <c r="G254" s="215">
        <f>IF(AND(ISNUMBER(G167),ISNUMBER(G150)),IFERROR(G167/G150,""),"")</f>
        <v>0.0890211121702711</v>
      </c>
      <c r="H254" s="215">
        <f>IF(AND(ISNUMBER(H167),ISNUMBER(H150)),IFERROR(H167/H150,""),"")</f>
        <v>0.0893875569800077</v>
      </c>
      <c r="I254" s="215">
        <f>IF(AND(ISNUMBER(I167),ISNUMBER(I150)),IFERROR(I167/I150,""),"")</f>
        <v>0.09553934964037</v>
      </c>
      <c r="J254" s="215">
        <f>IF(AND(ISNUMBER(J167),ISNUMBER(J150)),IFERROR(J167/J150,""),"")</f>
        <v>0.0775528156524454</v>
      </c>
      <c r="K254" s="215">
        <f>IF(AND(ISNUMBER(K167),ISNUMBER(K150)),IFERROR(K167/K150,""),"")</f>
        <v>0.0895118504018865</v>
      </c>
      <c r="L254" s="215">
        <f>IF(AND(ISNUMBER(L167),ISNUMBER(L150)),IFERROR(L167/L150,""),"")</f>
        <v>0.0963250275978547</v>
      </c>
      <c r="M254" s="215">
        <f>IF(AND(ISNUMBER(M167),ISNUMBER(M150)),IFERROR(M167/M150,""),"")</f>
        <v>0.0773224160604444</v>
      </c>
      <c r="N254" s="215">
        <f>IF(AND(ISNUMBER(N167),ISNUMBER(N150)),IFERROR(N167/N150,""),"")</f>
        <v>0.117513387612008</v>
      </c>
      <c r="O254" s="215">
        <f>IF(AND(ISNUMBER(O167),ISNUMBER(O150)),IFERROR(O167/O150,""),"")</f>
        <v>0.0877729375308752</v>
      </c>
      <c r="P254" s="215">
        <f>IF(AND(ISNUMBER(P167),ISNUMBER(P150)),IFERROR(P167/P150,""),"")</f>
        <v>0.0875193128230129</v>
      </c>
      <c r="Q254" s="215">
        <f>IF(AND(ISNUMBER(Q167),ISNUMBER(Q150)),IFERROR(Q167/Q150,""),"")</f>
        <v>0.0929049902218866</v>
      </c>
      <c r="R254" s="215">
        <f>IF(AND(ISNUMBER(R167),ISNUMBER(R150)),IFERROR(R167/R150,""),"")</f>
        <v>0.0559560254511749</v>
      </c>
      <c r="S254" s="215">
        <f>IF(AND(ISNUMBER(S167),ISNUMBER(S150)),IFERROR(S167/S150,""),"")</f>
        <v>0.081633974565426</v>
      </c>
      <c r="T254" s="215">
        <f>IF(AND(ISNUMBER(T167),ISNUMBER(T150)),IFERROR(T167/T150,""),"")</f>
        <v>0.0642095804874237</v>
      </c>
      <c r="U254" s="215">
        <f>IF(AND(ISNUMBER(U167),ISNUMBER(U150)),IFERROR(U167/U150,""),"")</f>
        <v>0.0844347088353257</v>
      </c>
      <c r="V254" s="215">
        <f>IF(AND(ISNUMBER(V167),ISNUMBER(V150)),IFERROR(V167/V150,""),"")</f>
        <v>0.072057545986008</v>
      </c>
      <c r="W254" s="215">
        <f>IF(AND(ISNUMBER(W167),ISNUMBER(W150)),IFERROR(W167/W150,""),"")</f>
        <v>0.0478582132136259</v>
      </c>
      <c r="X254" s="215">
        <f>IF(AND(ISNUMBER(X167),ISNUMBER(X150)),IFERROR(X167/X150,""),"")</f>
        <v>0.0494434806339058</v>
      </c>
      <c r="Y254" s="215">
        <f>IF(AND(ISNUMBER(Y167),ISNUMBER(Y150)),IFERROR(Y167/Y150,""),"")</f>
        <v>0.105661183294345</v>
      </c>
      <c r="Z254" s="215">
        <f>IF(AND(ISNUMBER(Z167),ISNUMBER(Z150)),IFERROR(Z167/Z150,""),"")</f>
        <v>0.106363648062594</v>
      </c>
      <c r="AA254" s="215">
        <f>IF(AND(ISNUMBER(AA167),ISNUMBER(AA150)),IFERROR(AA167/AA150,""),"")</f>
        <v>0.0797264498385007</v>
      </c>
      <c r="AB254" s="215">
        <f>IF(AND(ISNUMBER(AB167),ISNUMBER(AB150)),IFERROR(AB167/AB150,""),"")</f>
        <v>0.114453497387922</v>
      </c>
      <c r="AC254" s="215">
        <f>IF(AND(ISNUMBER(AC167),ISNUMBER(AC150)),IFERROR(AC167/AC150,""),"")</f>
        <v>0.11678555994364</v>
      </c>
      <c r="AD254" s="215">
        <f>IF(AND(ISNUMBER(AD167),ISNUMBER(AD150)),IFERROR(AD167/AD150,""),"")</f>
        <v>0.120415766178122</v>
      </c>
      <c r="AE254" s="215">
        <f>IF(AND(ISNUMBER(AE167),ISNUMBER(AE150)),IFERROR(AE167/AE150,""),"")</f>
        <v>0.0974805965677694</v>
      </c>
      <c r="AF254" s="215">
        <f>IF(AND(ISNUMBER(AF167),ISNUMBER(AF150)),IFERROR(AF167/AF150,""),"")</f>
        <v>0.112197070676715</v>
      </c>
      <c r="AG254" s="215">
        <f>IF(AND(ISNUMBER(AG167),ISNUMBER(AG150)),IFERROR(AG167/AG150,""),"")</f>
        <v>0.11270633148921</v>
      </c>
      <c r="AH254" s="215">
        <f>IF(AND(ISNUMBER(AH167),ISNUMBER(AH150)),IFERROR(AH167/AH150,""),"")</f>
        <v>0.123297220892479</v>
      </c>
      <c r="AI254" s="215">
        <f>IF(AND(ISNUMBER(AI167),ISNUMBER(AI150)),IFERROR(AI167/AI150,""),"")</f>
        <v>0.118464660941224</v>
      </c>
      <c r="AJ254" s="215">
        <f>IF(AND(ISNUMBER(AJ167),ISNUMBER(AJ150)),IFERROR(AJ167/AJ150,""),"")</f>
        <v>0.138277884058903</v>
      </c>
      <c r="AK254" s="215">
        <f>IF(AND(ISNUMBER(AK167),ISNUMBER(AK150)),IFERROR(AK167/AK150,""),"")</f>
        <v>0.123942547708704</v>
      </c>
      <c r="AL254" s="215">
        <f>IF(AND(ISNUMBER(AL167),ISNUMBER(AL150)),IFERROR(AL167/AL150,""),"")</f>
        <v>0.134194854955673</v>
      </c>
      <c r="AM254" s="215">
        <f>IF(AND(ISNUMBER(AM167),ISNUMBER(AM150)),IFERROR(AM167/AM150,""),"")</f>
        <v>0.122883671627996</v>
      </c>
      <c r="AN254" s="215">
        <f>IF(AND(ISNUMBER(AN167),ISNUMBER(AN150)),IFERROR(AN167/AN150,""),"")</f>
        <v>0.132174767167851</v>
      </c>
      <c r="AO254" s="256">
        <f>IF(AND(ISNUMBER(AO167),ISNUMBER(AO150)),IFERROR(AO167/AO150,""),"")</f>
        <v>0.126164839477088</v>
      </c>
      <c r="AP254" s="256">
        <f>IF(AND(ISNUMBER(AP167),ISNUMBER(AP150)),IFERROR(AP167/AP150,""),"")</f>
        <v>0.128724252332927</v>
      </c>
      <c r="AQ254" s="256">
        <f>IF(AND(ISNUMBER(AQ167),ISNUMBER(AQ150)),IFERROR(AQ167/AQ150,""),"")</f>
        <v>0.157108733799088</v>
      </c>
      <c r="AR254" s="256">
        <f>IF(AND(ISNUMBER(AR167),ISNUMBER(AR150)),IFERROR(AR167/AR150,""),"")</f>
        <v>0.134290984053036</v>
      </c>
      <c r="AS254" s="256">
        <f>IF(AND(ISNUMBER(AS167),ISNUMBER(AS150)),IFERROR(AS167/AS150,""),"")</f>
        <v>0.139295255996569</v>
      </c>
      <c r="AT254" s="256">
        <f>IF(AND(ISNUMBER(AT167),ISNUMBER(AT150)),IFERROR(AT167/AT150,""),"")</f>
        <v>0.140781332866775</v>
      </c>
      <c r="AU254" s="256">
        <f>IF(AND(ISNUMBER(AU167),ISNUMBER(AU150)),IFERROR(AU167/AU150,""),"")</f>
        <v>0.142186637159509</v>
      </c>
      <c r="AV254" s="153" t="n"/>
      <c r="AX254" s="37">
        <f>IFERROR(AVERAGE(AQ254,AR254,AS254,AT254,AU254),"n/m")</f>
        <v>0.142732588774996</v>
      </c>
      <c r="AY254" s="37">
        <f>IFERROR(AVERAGE(Q254,V254,AA254,AF254,AK254),"n/m")</f>
        <v>0.0961657208863629</v>
      </c>
      <c r="AZ254" s="37">
        <f>IFERROR(AVERAGE(H254,I254,J254,K254,L254,Q254,V254,AA254,AF254,AK254),"n/m")</f>
        <v>0.0929145204704379</v>
      </c>
      <c r="BA254" s="37">
        <f>IFERROR(AVERAGE(C254,D254,E254,F254,G254,H254,I254,J254,K254,L254,Q254,V254,AA254,AF254,AK254),"n/m")</f>
        <v>0.088637878220491</v>
      </c>
    </row>
    <row r="255" ht="15" customHeight="1" s="251">
      <c r="B255" s="25" t="inlineStr">
        <is>
          <t xml:space="preserve">  SG&amp;A % of net sales</t>
        </is>
      </c>
      <c r="C255" s="215">
        <f>IF(AND(ISNUMBER(C154),ISNUMBER(C150)),IFERROR(C154/C150,""),"")</f>
        <v>0.0869911935605614</v>
      </c>
      <c r="D255" s="215">
        <f>IF(AND(ISNUMBER(D154),ISNUMBER(D150)),IFERROR(D154/D150,""),"")</f>
        <v>0.0881805419840086</v>
      </c>
      <c r="E255" s="215">
        <f>IF(AND(ISNUMBER(E154),ISNUMBER(E150)),IFERROR(E154/E150,""),"")</f>
        <v>0.0868280391905685</v>
      </c>
      <c r="F255" s="215">
        <f>IF(AND(ISNUMBER(F154),ISNUMBER(F150)),IFERROR(F154/F150,""),"")</f>
        <v>0.0776213747476565</v>
      </c>
      <c r="G255" s="215">
        <f>IF(AND(ISNUMBER(G154),ISNUMBER(G150)),IFERROR(G154/G150,""),"")</f>
        <v>0.0770224054029259</v>
      </c>
      <c r="H255" s="215">
        <f>IF(AND(ISNUMBER(H154),ISNUMBER(H150)),IFERROR(H154/H150,""),"")</f>
        <v>0.0765917082781781</v>
      </c>
      <c r="I255" s="215">
        <f>IF(AND(ISNUMBER(I154),ISNUMBER(I150)),IFERROR(I154/I150,""),"")</f>
        <v>0.0841636548600672</v>
      </c>
      <c r="J255" s="215">
        <f>IF(AND(ISNUMBER(J154),ISNUMBER(J150)),IFERROR(J154/J150,""),"")</f>
        <v>0.0828751182889178</v>
      </c>
      <c r="K255" s="215">
        <f>IF(AND(ISNUMBER(K154),ISNUMBER(K150)),IFERROR(K154/K150,""),"")</f>
        <v>0.0728243633104924</v>
      </c>
      <c r="L255" s="215">
        <f>IF(AND(ISNUMBER(L154),ISNUMBER(L150)),IFERROR(L154/L150,""),"")</f>
        <v>0.0872352659511593</v>
      </c>
      <c r="M255" s="215">
        <f>IF(AND(ISNUMBER(M154),ISNUMBER(M150)),IFERROR(M154/M150,""),"")</f>
        <v>0.104369451228472</v>
      </c>
      <c r="N255" s="215">
        <f>IF(AND(ISNUMBER(N154),ISNUMBER(N150)),IFERROR(N154/N150,""),"")</f>
        <v>0.0762556315701652</v>
      </c>
      <c r="O255" s="215">
        <f>IF(AND(ISNUMBER(O154),ISNUMBER(O150)),IFERROR(O154/O150,""),"")</f>
        <v>0.0862639780841604</v>
      </c>
      <c r="P255" s="215">
        <f>IF(AND(ISNUMBER(P154),ISNUMBER(P150)),IFERROR(P154/P150,""),"")</f>
        <v>0.0673515521284002</v>
      </c>
      <c r="Q255" s="215">
        <f>IF(AND(ISNUMBER(Q154),ISNUMBER(Q150)),IFERROR(Q154/Q150,""),"")</f>
        <v>0.0832056894727656</v>
      </c>
      <c r="R255" s="215">
        <f>IF(AND(ISNUMBER(R154),ISNUMBER(R150)),IFERROR(R154/R150,""),"")</f>
        <v>0.115043594184488</v>
      </c>
      <c r="S255" s="215">
        <f>IF(AND(ISNUMBER(S154),ISNUMBER(S150)),IFERROR(S154/S150,""),"")</f>
        <v>0.0751892767863077</v>
      </c>
      <c r="T255" s="215">
        <f>IF(AND(ISNUMBER(T154),ISNUMBER(T150)),IFERROR(T154/T150,""),"")</f>
        <v>0.0756756932733441</v>
      </c>
      <c r="U255" s="215">
        <f>IF(AND(ISNUMBER(U154),ISNUMBER(U150)),IFERROR(U154/U150,""),"")</f>
        <v>0.0782537775395956</v>
      </c>
      <c r="V255" s="215">
        <f>IF(AND(ISNUMBER(V154),ISNUMBER(V150)),IFERROR(V154/V150,""),"")</f>
        <v>0.0851963454605735</v>
      </c>
      <c r="W255" s="215">
        <f>IF(AND(ISNUMBER(W154),ISNUMBER(W150)),IFERROR(W154/W150,""),"")</f>
        <v>0.102142029261953</v>
      </c>
      <c r="X255" s="215">
        <f>IF(AND(ISNUMBER(X154),ISNUMBER(X150)),IFERROR(X154/X150,""),"")</f>
        <v>0.105230474482536</v>
      </c>
      <c r="Y255" s="215">
        <f>IF(AND(ISNUMBER(Y154),ISNUMBER(Y150)),IFERROR(Y154/Y150,""),"")</f>
        <v>0.0811614874173029</v>
      </c>
      <c r="Z255" s="215">
        <f>IF(AND(ISNUMBER(Z154),ISNUMBER(Z150)),IFERROR(Z154/Z150,""),"")</f>
        <v>0.0848623676116695</v>
      </c>
      <c r="AA255" s="215">
        <f>IF(AND(ISNUMBER(AA154),ISNUMBER(AA150)),IFERROR(AA154/AA150,""),"")</f>
        <v>0.0925324731023418</v>
      </c>
      <c r="AB255" s="215">
        <f>IF(AND(ISNUMBER(AB154),ISNUMBER(AB150)),IFERROR(AB154/AB150,""),"")</f>
        <v>0.0947097479440215</v>
      </c>
      <c r="AC255" s="215">
        <f>IF(AND(ISNUMBER(AC154),ISNUMBER(AC150)),IFERROR(AC154/AC150,""),"")</f>
        <v>0.0975012659470421</v>
      </c>
      <c r="AD255" s="215">
        <f>IF(AND(ISNUMBER(AD154),ISNUMBER(AD150)),IFERROR(AD154/AD150,""),"")</f>
        <v>0.0870744896707279</v>
      </c>
      <c r="AE255" s="215">
        <f>IF(AND(ISNUMBER(AE154),ISNUMBER(AE150)),IFERROR(AE154/AE150,""),"")</f>
        <v>0.0909655840690566</v>
      </c>
      <c r="AF255" s="215">
        <f>IF(AND(ISNUMBER(AF154),ISNUMBER(AF150)),IFERROR(AF154/AF150,""),"")</f>
        <v>0.0925017951423013</v>
      </c>
      <c r="AG255" s="215">
        <f>IF(AND(ISNUMBER(AG154),ISNUMBER(AG150)),IFERROR(AG154/AG150,""),"")</f>
        <v>0.0901950888090847</v>
      </c>
      <c r="AH255" s="215">
        <f>IF(AND(ISNUMBER(AH154),ISNUMBER(AH150)),IFERROR(AH154/AH150,""),"")</f>
        <v>0.0948837125083038</v>
      </c>
      <c r="AI255" s="215">
        <f>IF(AND(ISNUMBER(AI154),ISNUMBER(AI150)),IFERROR(AI154/AI150,""),"")</f>
        <v>0.0968959392470992</v>
      </c>
      <c r="AJ255" s="215">
        <f>IF(AND(ISNUMBER(AJ154),ISNUMBER(AJ150)),IFERROR(AJ154/AJ150,""),"")</f>
        <v>0.0879987621374831</v>
      </c>
      <c r="AK255" s="215">
        <f>IF(AND(ISNUMBER(AK154),ISNUMBER(AK150)),IFERROR(AK154/AK150,""),"")</f>
        <v>0.0924634377179664</v>
      </c>
      <c r="AL255" s="215">
        <f>IF(AND(ISNUMBER(AL154),ISNUMBER(AL150)),IFERROR(AL154/AL150,""),"")</f>
        <v>0.0953230154126533</v>
      </c>
      <c r="AM255" s="215">
        <f>IF(AND(ISNUMBER(AM154),ISNUMBER(AM150)),IFERROR(AM154/AM150,""),"")</f>
        <v>0.0937905751865083</v>
      </c>
      <c r="AN255" s="215">
        <f>IF(AND(ISNUMBER(AN154),ISNUMBER(AN150)),IFERROR(AN154/AN150,""),"")</f>
        <v>0.0959399119585836</v>
      </c>
      <c r="AO255" s="256">
        <f>IF(AND(ISNUMBER(AO154),ISNUMBER(AO150)),IFERROR(AO154/AO150,""),"")</f>
        <v>0.0888219035884265</v>
      </c>
      <c r="AP255" s="256">
        <f>IF(AND(ISNUMBER(AP154),ISNUMBER(AP150)),IFERROR(AP154/AP150,""),"")</f>
        <v>0.0933894396640615</v>
      </c>
      <c r="AQ255" s="256">
        <f>IF(AND(ISNUMBER(AQ154),ISNUMBER(AQ150)),IFERROR(AQ154/AQ150,""),"")</f>
        <v>0.093</v>
      </c>
      <c r="AR255" s="256">
        <f>IF(AND(ISNUMBER(AR154),ISNUMBER(AR150)),IFERROR(AR154/AR150,""),"")</f>
        <v>0.092</v>
      </c>
      <c r="AS255" s="256">
        <f>IF(AND(ISNUMBER(AS154),ISNUMBER(AS150)),IFERROR(AS154/AS150,""),"")</f>
        <v>0.091</v>
      </c>
      <c r="AT255" s="256">
        <f>IF(AND(ISNUMBER(AT154),ISNUMBER(AT150)),IFERROR(AT154/AT150,""),"")</f>
        <v>0.09</v>
      </c>
      <c r="AU255" s="256">
        <f>IF(AND(ISNUMBER(AU154),ISNUMBER(AU150)),IFERROR(AU154/AU150,""),"")</f>
        <v>0.09</v>
      </c>
      <c r="AV255" s="153" t="n"/>
      <c r="AX255" s="37">
        <f>IFERROR(AVERAGE(AQ255,AR255,AS255,AT255,AU255),"n/m")</f>
        <v>0.0912</v>
      </c>
      <c r="AY255" s="37">
        <f>IFERROR(AVERAGE(Q255,V255,AA255,AF255,AK255),"n/m")</f>
        <v>0.0891799481791897</v>
      </c>
      <c r="AZ255" s="37">
        <f>IFERROR(AVERAGE(H255,I255,J255,K255,L255,Q255,V255,AA255,AF255,AK255),"n/m")</f>
        <v>0.0849589851584763</v>
      </c>
      <c r="BA255" s="37">
        <f>IFERROR(AVERAGE(C255,D255,E255,F255,G255,H255,I255,J255,K255,L255,Q255,V255,AA255,AF255,AK255),"n/m")</f>
        <v>0.0844155604313656</v>
      </c>
    </row>
    <row r="256" ht="15" customHeight="1" s="251">
      <c r="B256" s="25" t="inlineStr">
        <is>
          <t xml:space="preserve">  R&amp;D % of net sales</t>
        </is>
      </c>
      <c r="C256" s="215">
        <f>IF(AND(ISNUMBER(C155),ISNUMBER(C150)),IFERROR(C155/C150,""),"")</f>
        <v>0.0675543990718011</v>
      </c>
      <c r="D256" s="215">
        <f>IF(AND(ISNUMBER(D155),ISNUMBER(D150)),IFERROR(D155/D150,""),"")</f>
        <v>0.0767967015914757</v>
      </c>
      <c r="E256" s="215">
        <f>IF(AND(ISNUMBER(E155),ISNUMBER(E150)),IFERROR(E155/E150,""),"")</f>
        <v>0.0672787265957842</v>
      </c>
      <c r="F256" s="215">
        <f>IF(AND(ISNUMBER(F155),ISNUMBER(F150)),IFERROR(F155/F150,""),"")</f>
        <v>0.068959744958126</v>
      </c>
      <c r="G256" s="215">
        <f>IF(AND(ISNUMBER(G155),ISNUMBER(G150)),IFERROR(G155/G150,""),"")</f>
        <v>0.0659789050008757</v>
      </c>
      <c r="H256" s="215">
        <f>IF(AND(ISNUMBER(H155),ISNUMBER(H150)),IFERROR(H155/H150,""),"")</f>
        <v>0.06236536604125</v>
      </c>
      <c r="I256" s="215">
        <f>IF(AND(ISNUMBER(I155),ISNUMBER(I150)),IFERROR(I155/I150,""),"")</f>
        <v>0.060284892682799</v>
      </c>
      <c r="J256" s="215">
        <f>IF(AND(ISNUMBER(J155),ISNUMBER(J150)),IFERROR(J155/J150,""),"")</f>
        <v>0.0637519761397118</v>
      </c>
      <c r="K256" s="215">
        <f>IF(AND(ISNUMBER(K155),ISNUMBER(K150)),IFERROR(K155/K150,""),"")</f>
        <v>0.0548607560107124</v>
      </c>
      <c r="L256" s="215">
        <f>IF(AND(ISNUMBER(L155),ISNUMBER(L150)),IFERROR(L155/L150,""),"")</f>
        <v>0.0533461021411127</v>
      </c>
      <c r="M256" s="215">
        <f>IF(AND(ISNUMBER(M155),ISNUMBER(M150)),IFERROR(M155/M150,""),"")</f>
        <v>0.0595142656788544</v>
      </c>
      <c r="N256" s="215">
        <f>IF(AND(ISNUMBER(N155),ISNUMBER(N150)),IFERROR(N155/N150,""),"")</f>
        <v>0.0475245174352896</v>
      </c>
      <c r="O256" s="215">
        <f>IF(AND(ISNUMBER(O155),ISNUMBER(O150)),IFERROR(O155/O150,""),"")</f>
        <v>0.0534692594422239</v>
      </c>
      <c r="P256" s="215">
        <f>IF(AND(ISNUMBER(P155),ISNUMBER(P150)),IFERROR(P155/P150,""),"")</f>
        <v>0.0485832586541615</v>
      </c>
      <c r="Q256" s="215">
        <f>IF(AND(ISNUMBER(Q155),ISNUMBER(Q150)),IFERROR(Q155/Q150,""),"")</f>
        <v>0.0521370253874733</v>
      </c>
      <c r="R256" s="215">
        <f>IF(AND(ISNUMBER(R155),ISNUMBER(R150)),IFERROR(R155/R150,""),"")</f>
        <v>0.0468845206486135</v>
      </c>
      <c r="S256" s="215">
        <f>IF(AND(ISNUMBER(S155),ISNUMBER(S150)),IFERROR(S155/S150,""),"")</f>
        <v>0.0551837897617575</v>
      </c>
      <c r="T256" s="215">
        <f>IF(AND(ISNUMBER(T155),ISNUMBER(T150)),IFERROR(T155/T150,""),"")</f>
        <v>0.0524537220916377</v>
      </c>
      <c r="U256" s="215">
        <f>IF(AND(ISNUMBER(U155),ISNUMBER(U150)),IFERROR(U155/U150,""),"")</f>
        <v>0.0465319756950032</v>
      </c>
      <c r="V256" s="215">
        <f>IF(AND(ISNUMBER(V155),ISNUMBER(V150)),IFERROR(V155/V150,""),"")</f>
        <v>0.050269641890389</v>
      </c>
      <c r="W256" s="215">
        <f>IF(AND(ISNUMBER(W155),ISNUMBER(W150)),IFERROR(W155/W150,""),"")</f>
        <v>0.0462869714638574</v>
      </c>
      <c r="X256" s="215">
        <f>IF(AND(ISNUMBER(X155),ISNUMBER(X150)),IFERROR(X155/X150,""),"")</f>
        <v>0.052598529129201</v>
      </c>
      <c r="Y256" s="215">
        <f>IF(AND(ISNUMBER(Y155),ISNUMBER(Y150)),IFERROR(Y155/Y150,""),"")</f>
        <v>0.0437549880536505</v>
      </c>
      <c r="Z256" s="215">
        <f>IF(AND(ISNUMBER(Z155),ISNUMBER(Z150)),IFERROR(Z155/Z150,""),"")</f>
        <v>0.0412588312507239</v>
      </c>
      <c r="AA256" s="215">
        <f>IF(AND(ISNUMBER(AA155),ISNUMBER(AA150)),IFERROR(AA155/AA150,""),"")</f>
        <v>0.0453223567419643</v>
      </c>
      <c r="AB256" s="215">
        <f>IF(AND(ISNUMBER(AB155),ISNUMBER(AB150)),IFERROR(AB155/AB150,""),"")</f>
        <v>0.0391417640105246</v>
      </c>
      <c r="AC256" s="215">
        <f>IF(AND(ISNUMBER(AC155),ISNUMBER(AC150)),IFERROR(AC155/AC150,""),"")</f>
        <v>0.0436527270833658</v>
      </c>
      <c r="AD256" s="215">
        <f>IF(AND(ISNUMBER(AD155),ISNUMBER(AD150)),IFERROR(AD155/AD150,""),"")</f>
        <v>0.0456866205490699</v>
      </c>
      <c r="AE256" s="215">
        <f>IF(AND(ISNUMBER(AE155),ISNUMBER(AE150)),IFERROR(AE155/AE150,""),"")</f>
        <v>0.0405962400876314</v>
      </c>
      <c r="AF256" s="215">
        <f>IF(AND(ISNUMBER(AF155),ISNUMBER(AF150)),IFERROR(AF155/AF150,""),"")</f>
        <v>0.0423181295985951</v>
      </c>
      <c r="AG256" s="215">
        <f>IF(AND(ISNUMBER(AG155),ISNUMBER(AG150)),IFERROR(AG155/AG150,""),"")</f>
        <v>0.0390915267397845</v>
      </c>
      <c r="AH256" s="215">
        <f>IF(AND(ISNUMBER(AH155),ISNUMBER(AH150)),IFERROR(AH155/AH150,""),"")</f>
        <v>0.0421330671582757</v>
      </c>
      <c r="AI256" s="215">
        <f>IF(AND(ISNUMBER(AI155),ISNUMBER(AI150)),IFERROR(AI155/AI150,""),"")</f>
        <v>0.0448830406162679</v>
      </c>
      <c r="AJ256" s="215">
        <f>IF(AND(ISNUMBER(AJ155),ISNUMBER(AJ150)),IFERROR(AJ155/AJ150,""),"")</f>
        <v>0.0392287875377789</v>
      </c>
      <c r="AK256" s="215">
        <f>IF(AND(ISNUMBER(AK155),ISNUMBER(AK150)),IFERROR(AK155/AK150,""),"")</f>
        <v>0.0413695969570493</v>
      </c>
      <c r="AL256" s="215">
        <f>IF(AND(ISNUMBER(AL155),ISNUMBER(AL150)),IFERROR(AL155/AL150,""),"")</f>
        <v>0.037890359213772</v>
      </c>
      <c r="AM256" s="215">
        <f>IF(AND(ISNUMBER(AM155),ISNUMBER(AM150)),IFERROR(AM155/AM150,""),"")</f>
        <v>0.0422889723520221</v>
      </c>
      <c r="AN256" s="215">
        <f>IF(AND(ISNUMBER(AN155),ISNUMBER(AN150)),IFERROR(AN155/AN150,""),"")</f>
        <v>0.0444406396294511</v>
      </c>
      <c r="AO256" s="256">
        <f>IF(AND(ISNUMBER(AO155),ISNUMBER(AO150)),IFERROR(AO155/AO150,""),"")</f>
        <v>0.0416648027810945</v>
      </c>
      <c r="AP256" s="256">
        <f>IF(AND(ISNUMBER(AP155),ISNUMBER(AP150)),IFERROR(AP155/AP150,""),"")</f>
        <v>0.0416648027810945</v>
      </c>
      <c r="AQ256" s="256">
        <f>IF(AND(ISNUMBER(AQ155),ISNUMBER(AQ150)),IFERROR(AQ155/AQ150,""),"")</f>
        <v>0.041</v>
      </c>
      <c r="AR256" s="256">
        <f>IF(AND(ISNUMBER(AR155),ISNUMBER(AR150)),IFERROR(AR155/AR150,""),"")</f>
        <v>0.041</v>
      </c>
      <c r="AS256" s="256">
        <f>IF(AND(ISNUMBER(AS155),ISNUMBER(AS150)),IFERROR(AS155/AS150,""),"")</f>
        <v>0.041</v>
      </c>
      <c r="AT256" s="256">
        <f>IF(AND(ISNUMBER(AT155),ISNUMBER(AT150)),IFERROR(AT155/AT150,""),"")</f>
        <v>0.041</v>
      </c>
      <c r="AU256" s="256">
        <f>IF(AND(ISNUMBER(AU155),ISNUMBER(AU150)),IFERROR(AU155/AU150,""),"")</f>
        <v>0.041</v>
      </c>
      <c r="AV256" s="153" t="n"/>
      <c r="AX256" s="37">
        <f>IFERROR(AVERAGE(AQ256,AR256,AS256,AT256,AU256),"n/m")</f>
        <v>0.041</v>
      </c>
      <c r="AY256" s="37">
        <f>IFERROR(AVERAGE(Q256,V256,AA256,AF256,AK256),"n/m")</f>
        <v>0.0462833501150942</v>
      </c>
      <c r="AZ256" s="37">
        <f>IFERROR(AVERAGE(H256,I256,J256,K256,L256,Q256,V256,AA256,AF256,AK256),"n/m")</f>
        <v>0.0526025843591057</v>
      </c>
      <c r="BA256" s="37">
        <f>IFERROR(AVERAGE(C256,D256,E256,F256,G256,H256,I256,J256,K256,L256,Q256,V256,AA256,AF256,AK256),"n/m")</f>
        <v>0.058172954720608</v>
      </c>
    </row>
    <row r="257" ht="15" customHeight="1" s="251">
      <c r="BD257" s="11" t="n"/>
      <c r="BE257" s="12" t="n"/>
      <c r="BF257" s="12" t="n"/>
      <c r="BG257" s="12" t="n"/>
      <c r="BH257" s="13" t="n"/>
    </row>
    <row r="258" ht="15" customHeight="1" s="251">
      <c r="B258" s="10" t="inlineStr">
        <is>
          <t>CONSOLIDATED STATEMENT OF CASH FLOWS</t>
        </is>
      </c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inlineStr">
        <is>
          <t>CASH FLOW — forecast logic (annual; 2026E = 9M FY26 actual + Q4 estimate; quarters = discrete, derived from year-to-date statements)</t>
        </is>
      </c>
    </row>
    <row r="259" ht="15" customHeight="1" s="251">
      <c r="B259" s="25" t="inlineStr">
        <is>
          <t>Net earnings</t>
        </is>
      </c>
      <c r="C259" s="253" t="n">
        <v>132.235</v>
      </c>
      <c r="D259" s="253" t="n">
        <v>141.589</v>
      </c>
      <c r="E259" s="253" t="n">
        <v>145.942</v>
      </c>
      <c r="F259" s="253" t="n">
        <v>165.844</v>
      </c>
      <c r="G259" s="253" t="n">
        <v>181.452</v>
      </c>
      <c r="H259" s="253" t="n">
        <v>180.838</v>
      </c>
      <c r="I259" s="253" t="n">
        <v>200.507</v>
      </c>
      <c r="J259" s="253" t="n">
        <v>180.378</v>
      </c>
      <c r="K259" s="253" t="n">
        <v>259.602</v>
      </c>
      <c r="L259" s="253" t="n">
        <v>240.395</v>
      </c>
      <c r="M259" s="253" t="n">
        <v>41.57</v>
      </c>
      <c r="N259" s="253" t="n">
        <v>68.313</v>
      </c>
      <c r="O259" s="253" t="n">
        <v>48.861</v>
      </c>
      <c r="P259" s="253" t="n">
        <v>49.905</v>
      </c>
      <c r="Q259" s="253" t="n">
        <v>208.649</v>
      </c>
      <c r="R259" s="253" t="n">
        <v>30.305</v>
      </c>
      <c r="S259" s="253" t="n">
        <v>47.906</v>
      </c>
      <c r="T259" s="253" t="n">
        <v>39.446</v>
      </c>
      <c r="U259" s="253" t="n">
        <v>54.041</v>
      </c>
      <c r="V259" s="253" t="n">
        <v>171.698</v>
      </c>
      <c r="W259" s="253" t="n">
        <v>29.606</v>
      </c>
      <c r="X259" s="253" t="n">
        <v>35.511</v>
      </c>
      <c r="Y259" s="253" t="n">
        <v>84.599</v>
      </c>
      <c r="Z259" s="253" t="n">
        <v>82.652</v>
      </c>
      <c r="AA259" s="253" t="n">
        <v>232.368</v>
      </c>
      <c r="AB259" s="253" t="n">
        <v>90.044</v>
      </c>
      <c r="AC259" s="253" t="n">
        <v>97.556</v>
      </c>
      <c r="AD259" s="253" t="n">
        <v>102.075</v>
      </c>
      <c r="AE259" s="253" t="n">
        <v>83.29600000000001</v>
      </c>
      <c r="AF259" s="253" t="n">
        <v>372.971</v>
      </c>
      <c r="AG259" s="253" t="n">
        <v>87.09099999999999</v>
      </c>
      <c r="AH259" s="253" t="n">
        <v>108.949</v>
      </c>
      <c r="AI259" s="253" t="n">
        <v>108.448</v>
      </c>
      <c r="AJ259" s="253" t="n">
        <v>137.623</v>
      </c>
      <c r="AK259" s="253" t="n">
        <v>442.111</v>
      </c>
      <c r="AL259" s="253" t="n">
        <v>133.719</v>
      </c>
      <c r="AM259" s="253" t="n">
        <v>134.013</v>
      </c>
      <c r="AN259" s="253" t="n">
        <v>146.675</v>
      </c>
      <c r="AO259" s="35" t="n"/>
      <c r="AP259" s="254">
        <f>SUM(AL259:AN259)+AO167</f>
        <v>557.888690404794</v>
      </c>
      <c r="AQ259" s="254">
        <f>AQ167</f>
        <v>739.51514736545</v>
      </c>
      <c r="AR259" s="254">
        <f>AR167</f>
        <v>685.100788304822</v>
      </c>
      <c r="AS259" s="254">
        <f>AS167</f>
        <v>761.47328051506</v>
      </c>
      <c r="AT259" s="254">
        <f>AT167</f>
        <v>816.008784195457</v>
      </c>
      <c r="AU259" s="254">
        <f>AU167</f>
        <v>870.681814189077</v>
      </c>
      <c r="AV259" s="19" t="n"/>
    </row>
    <row r="260" ht="15" customHeight="1" s="251">
      <c r="B260" s="25" t="inlineStr">
        <is>
          <t>Non-cash items:</t>
        </is>
      </c>
      <c r="AV260" s="153" t="n"/>
    </row>
    <row r="261" ht="15" customHeight="1" s="251">
      <c r="B261" s="25" t="inlineStr">
        <is>
          <t xml:space="preserve">  Depreciation &amp; amortization</t>
        </is>
      </c>
      <c r="C261" s="253" t="n">
        <v>75.393</v>
      </c>
      <c r="D261" s="253" t="n">
        <v>68.617</v>
      </c>
      <c r="E261" s="253" t="n">
        <v>74.233</v>
      </c>
      <c r="F261" s="253" t="n">
        <v>77.35299999999999</v>
      </c>
      <c r="G261" s="253" t="n">
        <v>75.235</v>
      </c>
      <c r="H261" s="253" t="n">
        <v>69.036</v>
      </c>
      <c r="I261" s="253" t="n">
        <v>80.917</v>
      </c>
      <c r="J261" s="253" t="n">
        <v>116.131</v>
      </c>
      <c r="K261" s="253" t="n">
        <v>142.004</v>
      </c>
      <c r="L261" s="253" t="n">
        <v>131.158</v>
      </c>
      <c r="M261" s="253" t="n">
        <v>33.077</v>
      </c>
      <c r="N261" s="253" t="n">
        <v>32.479</v>
      </c>
      <c r="O261" s="253" t="n">
        <v>32.243</v>
      </c>
      <c r="P261" s="253" t="n">
        <v>31.725</v>
      </c>
      <c r="Q261" s="253" t="n">
        <v>129.524</v>
      </c>
      <c r="R261" s="253" t="n">
        <v>30.721</v>
      </c>
      <c r="S261" s="253" t="n">
        <v>30.61</v>
      </c>
      <c r="T261" s="253" t="n">
        <v>29.927</v>
      </c>
      <c r="U261" s="253" t="n">
        <v>29.37</v>
      </c>
      <c r="V261" s="253" t="n">
        <v>120.628</v>
      </c>
      <c r="W261" s="253" t="n">
        <v>29.304</v>
      </c>
      <c r="X261" s="253" t="n">
        <v>29.953</v>
      </c>
      <c r="Y261" s="253" t="n">
        <v>30.044</v>
      </c>
      <c r="Z261" s="253" t="n">
        <v>30.442</v>
      </c>
      <c r="AA261" s="253" t="n">
        <v>119.743</v>
      </c>
      <c r="AB261" s="253" t="n">
        <v>28.825</v>
      </c>
      <c r="AC261" s="253" t="n">
        <v>29.225</v>
      </c>
      <c r="AD261" s="253" t="n">
        <v>28.792</v>
      </c>
      <c r="AE261" s="253" t="n">
        <v>29.328</v>
      </c>
      <c r="AF261" s="253" t="n">
        <v>116.17</v>
      </c>
      <c r="AG261" s="253" t="n">
        <v>27.876</v>
      </c>
      <c r="AH261" s="253" t="n">
        <v>27.566</v>
      </c>
      <c r="AI261" s="253" t="n">
        <v>28.654</v>
      </c>
      <c r="AJ261" s="253" t="n">
        <v>29.182</v>
      </c>
      <c r="AK261" s="253" t="n">
        <v>113.278</v>
      </c>
      <c r="AL261" s="253" t="n">
        <v>29.038</v>
      </c>
      <c r="AM261" s="253" t="n">
        <v>29.906</v>
      </c>
      <c r="AN261" s="253" t="n">
        <v>32.069</v>
      </c>
      <c r="AO261" s="35" t="n"/>
      <c r="AP261" s="254">
        <f>SUM(AL261:AN261)+AO171</f>
        <v>122.461</v>
      </c>
      <c r="AQ261" s="254">
        <f>AQ171</f>
        <v>142.052968304922</v>
      </c>
      <c r="AR261" s="254">
        <f>AR171</f>
        <v>163.649354465317</v>
      </c>
      <c r="AS261" s="254">
        <f>AS171</f>
        <v>180.002609005602</v>
      </c>
      <c r="AT261" s="254">
        <f>AT171</f>
        <v>191.2127537162</v>
      </c>
      <c r="AU261" s="254">
        <f>AU171</f>
        <v>201.211355027128</v>
      </c>
      <c r="AV261" s="19" t="n"/>
    </row>
    <row r="262" ht="15" customHeight="1" s="251">
      <c r="B262" s="25" t="inlineStr">
        <is>
          <t xml:space="preserve">  Share-based compensation</t>
        </is>
      </c>
      <c r="C262" s="253" t="n">
        <v>6.59</v>
      </c>
      <c r="D262" s="253" t="n">
        <v>8.628</v>
      </c>
      <c r="E262" s="253" t="n">
        <v>9.414</v>
      </c>
      <c r="F262" s="253" t="n">
        <v>11.241</v>
      </c>
      <c r="G262" s="253" t="n">
        <v>14.255</v>
      </c>
      <c r="H262" s="253" t="n">
        <v>15.122</v>
      </c>
      <c r="I262" s="253" t="n">
        <v>17.282</v>
      </c>
      <c r="J262" s="253" t="n">
        <v>18.229</v>
      </c>
      <c r="K262" s="253" t="n">
        <v>18.146</v>
      </c>
      <c r="L262" s="253" t="n">
        <v>22.902</v>
      </c>
      <c r="M262" s="253" t="n">
        <v>13.469</v>
      </c>
      <c r="N262" s="253" t="n">
        <v>2.969</v>
      </c>
      <c r="O262" s="253" t="n">
        <v>2.615</v>
      </c>
      <c r="P262" s="253" t="n">
        <v>2.422</v>
      </c>
      <c r="Q262" s="253" t="n">
        <v>21.475</v>
      </c>
      <c r="R262" s="253" t="n">
        <v>11.892</v>
      </c>
      <c r="S262" s="253" t="n">
        <v>2.065</v>
      </c>
      <c r="T262" s="253" t="n">
        <v>3.179</v>
      </c>
      <c r="U262" s="253" t="n">
        <v>2.973</v>
      </c>
      <c r="V262" s="253" t="n">
        <v>20.109</v>
      </c>
      <c r="W262" s="253" t="n">
        <v>11.316</v>
      </c>
      <c r="X262" s="253" t="n">
        <v>4.222</v>
      </c>
      <c r="Y262" s="253" t="n">
        <v>3.831</v>
      </c>
      <c r="Z262" s="253" t="n">
        <v>4.014</v>
      </c>
      <c r="AA262" s="253" t="n">
        <v>23.383</v>
      </c>
      <c r="AB262" s="253" t="n">
        <v>4.937</v>
      </c>
      <c r="AC262" s="253" t="n">
        <v>14.966</v>
      </c>
      <c r="AD262" s="253" t="n">
        <v>8.023</v>
      </c>
      <c r="AE262" s="253" t="n">
        <v>5.126</v>
      </c>
      <c r="AF262" s="253" t="n">
        <v>33.052</v>
      </c>
      <c r="AG262" s="253" t="n">
        <v>6.666</v>
      </c>
      <c r="AH262" s="253" t="n">
        <v>12.71</v>
      </c>
      <c r="AI262" s="253" t="n">
        <v>6.114</v>
      </c>
      <c r="AJ262" s="253" t="n">
        <v>6.184</v>
      </c>
      <c r="AK262" s="253" t="n">
        <v>31.674</v>
      </c>
      <c r="AL262" s="253" t="n">
        <v>7.03</v>
      </c>
      <c r="AM262" s="253" t="n">
        <v>14.093</v>
      </c>
      <c r="AN262" s="253" t="n">
        <v>7.53</v>
      </c>
      <c r="AO262" s="35" t="n"/>
      <c r="AP262" s="254">
        <f>SUM(AL262:AN262)+AO172</f>
        <v>35.6043594350726</v>
      </c>
      <c r="AQ262" s="254">
        <f>AQ172</f>
        <v>40.0097346634132</v>
      </c>
      <c r="AR262" s="254">
        <f>AR172</f>
        <v>43.3637205182079</v>
      </c>
      <c r="AS262" s="254">
        <f>AS172</f>
        <v>46.466211918498</v>
      </c>
      <c r="AT262" s="254">
        <f>AT172</f>
        <v>49.2684258943986</v>
      </c>
      <c r="AU262" s="254">
        <f>AU172</f>
        <v>52.049866066561</v>
      </c>
      <c r="AV262" s="19" t="n"/>
    </row>
    <row r="263" ht="15" customHeight="1" s="251">
      <c r="B263" s="25" t="inlineStr">
        <is>
          <t xml:space="preserve">  Deferred income taxes</t>
        </is>
      </c>
      <c r="C263" s="253" t="n">
        <v>-10.321</v>
      </c>
      <c r="D263" s="253" t="n">
        <v>-3.73</v>
      </c>
      <c r="E263" s="253" t="n">
        <v>8.348000000000001</v>
      </c>
      <c r="F263" s="253" t="n">
        <v>-6.704</v>
      </c>
      <c r="G263" s="253" t="n">
        <v>15.504</v>
      </c>
      <c r="H263" s="253" t="n">
        <v>-52.744</v>
      </c>
      <c r="I263" s="253" t="n">
        <v>22.772</v>
      </c>
      <c r="J263" s="253" t="n">
        <v>-30.177</v>
      </c>
      <c r="K263" s="253" t="n">
        <v>-10.065</v>
      </c>
      <c r="L263" s="253" t="n">
        <v>1.311</v>
      </c>
      <c r="M263" s="253" t="n">
        <v>1.332</v>
      </c>
      <c r="N263" s="253" t="n">
        <v>0.29</v>
      </c>
      <c r="O263" s="253" t="n">
        <v>-1.485</v>
      </c>
      <c r="P263" s="253" t="n">
        <v>-12.101</v>
      </c>
      <c r="Q263" s="253" t="n">
        <v>-11.964</v>
      </c>
      <c r="R263" s="253" t="n">
        <v>0</v>
      </c>
      <c r="S263" s="253" t="n">
        <v>-0.055</v>
      </c>
      <c r="T263" s="253" t="n">
        <v>-0.001</v>
      </c>
      <c r="U263" s="253" t="n">
        <v>-23.17</v>
      </c>
      <c r="V263" s="253" t="n">
        <v>-23.226</v>
      </c>
      <c r="W263" s="253" t="n">
        <v>0</v>
      </c>
      <c r="X263" s="253" t="n">
        <v>0.545</v>
      </c>
      <c r="Y263" s="253" t="n">
        <v>0</v>
      </c>
      <c r="Z263" s="253" t="n">
        <v>-40.7</v>
      </c>
      <c r="AA263" s="253" t="n">
        <v>-40.155</v>
      </c>
      <c r="AB263" s="253" t="n">
        <v>0.044</v>
      </c>
      <c r="AC263" s="253" t="n">
        <v>-0.001</v>
      </c>
      <c r="AD263" s="253" t="n">
        <v>0.001</v>
      </c>
      <c r="AE263" s="253" t="n">
        <v>-44.65</v>
      </c>
      <c r="AF263" s="253" t="n">
        <v>-44.606</v>
      </c>
      <c r="AG263" s="253" t="n">
        <v>-1.504</v>
      </c>
      <c r="AH263" s="253" t="n">
        <v>0.001</v>
      </c>
      <c r="AI263" s="253" t="n">
        <v>-0.001</v>
      </c>
      <c r="AJ263" s="253" t="n">
        <v>-50.854</v>
      </c>
      <c r="AK263" s="253" t="n">
        <v>-52.358</v>
      </c>
      <c r="AL263" s="253" t="n">
        <v>75.58199999999999</v>
      </c>
      <c r="AM263" s="253" t="n">
        <v>-0.001</v>
      </c>
      <c r="AN263" s="253" t="n">
        <v>0.001</v>
      </c>
      <c r="AO263" s="35" t="n"/>
      <c r="AP263" s="254">
        <f>SUM(AL263:AN263)+0.0</f>
        <v>75.582</v>
      </c>
      <c r="AQ263" s="272" t="n">
        <v>-20</v>
      </c>
      <c r="AR263" s="272" t="n">
        <v>-20</v>
      </c>
      <c r="AS263" s="272" t="n">
        <v>-20</v>
      </c>
      <c r="AT263" s="272" t="n">
        <v>-20</v>
      </c>
      <c r="AU263" s="272" t="n">
        <v>-20</v>
      </c>
      <c r="AV263" s="19" t="inlineStr">
        <is>
          <t>XBRL (10-K / 10-Q cash-flow statements). Forecast input.</t>
        </is>
      </c>
    </row>
    <row r="264" ht="15" customHeight="1" s="251">
      <c r="B264" s="25" t="inlineStr">
        <is>
          <t xml:space="preserve">  Divestiture gain &amp; net assets sold (reclassified to investing proceeds; forecast)</t>
        </is>
      </c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5" t="n"/>
      <c r="AP264" s="272" t="n">
        <v>0</v>
      </c>
      <c r="AQ264" s="254">
        <f>-AQ95-IF(AQ93&gt;0,AQ94,0)</f>
        <v>-180</v>
      </c>
      <c r="AR264" s="254">
        <f>-AR95-IF(AR93&gt;0,AR94,0)</f>
        <v>0</v>
      </c>
      <c r="AS264" s="254">
        <f>-AS95-IF(AS93&gt;0,AS94,0)</f>
        <v>0</v>
      </c>
      <c r="AT264" s="254">
        <f>-AT95-IF(AT93&gt;0,AT94,0)</f>
        <v>0</v>
      </c>
      <c r="AU264" s="254">
        <f>-AU95-IF(AU93&gt;0,AU94,0)</f>
        <v>0</v>
      </c>
      <c r="AV264" s="19" t="n"/>
    </row>
    <row r="265" ht="15" customHeight="1" s="251">
      <c r="B265" s="25" t="inlineStr">
        <is>
          <t xml:space="preserve">  Working capital &amp; other operating items, net (derived)</t>
        </is>
      </c>
      <c r="C265" s="253" t="n">
        <v>-89.274</v>
      </c>
      <c r="D265" s="253" t="n">
        <v>-70.991</v>
      </c>
      <c r="E265" s="253" t="n">
        <v>-15.345</v>
      </c>
      <c r="F265" s="253" t="n">
        <v>20.349</v>
      </c>
      <c r="G265" s="253" t="n">
        <v>0.983</v>
      </c>
      <c r="H265" s="253" t="n">
        <v>223.127</v>
      </c>
      <c r="I265" s="253" t="n">
        <v>-13.941</v>
      </c>
      <c r="J265" s="253" t="n">
        <v>14.731</v>
      </c>
      <c r="K265" s="253" t="n">
        <v>-19.079</v>
      </c>
      <c r="L265" s="253" t="n">
        <v>-46.275</v>
      </c>
      <c r="M265" s="253" t="n">
        <v>57.277</v>
      </c>
      <c r="N265" s="253" t="n">
        <v>-31.779</v>
      </c>
      <c r="O265" s="253" t="n">
        <v>16.684</v>
      </c>
      <c r="P265" s="253" t="n">
        <v>74.803</v>
      </c>
      <c r="Q265" s="253" t="n">
        <v>116.985</v>
      </c>
      <c r="R265" s="253" t="n">
        <v>-33.628</v>
      </c>
      <c r="S265" s="253" t="n">
        <v>-69.708</v>
      </c>
      <c r="T265" s="253" t="n">
        <v>-36.643</v>
      </c>
      <c r="U265" s="253" t="n">
        <v>44.408</v>
      </c>
      <c r="V265" s="253" t="n">
        <v>-95.571</v>
      </c>
      <c r="W265" s="253" t="n">
        <v>-64.824</v>
      </c>
      <c r="X265" s="253" t="n">
        <v>-35.483</v>
      </c>
      <c r="Y265" s="253" t="n">
        <v>-2.994</v>
      </c>
      <c r="Z265" s="253" t="n">
        <v>76.505</v>
      </c>
      <c r="AA265" s="253" t="n">
        <v>-26.796</v>
      </c>
      <c r="AB265" s="253" t="n">
        <v>-77.06100000000001</v>
      </c>
      <c r="AC265" s="253" t="n">
        <v>-44.417</v>
      </c>
      <c r="AD265" s="253" t="n">
        <v>14.32</v>
      </c>
      <c r="AE265" s="253" t="n">
        <v>68.66</v>
      </c>
      <c r="AF265" s="253" t="n">
        <v>-38.498</v>
      </c>
      <c r="AG265" s="253" t="n">
        <v>-85.613</v>
      </c>
      <c r="AH265" s="253" t="n">
        <v>-71.401</v>
      </c>
      <c r="AI265" s="253" t="n">
        <v>-17.58</v>
      </c>
      <c r="AJ265" s="253" t="n">
        <v>111.183</v>
      </c>
      <c r="AK265" s="253" t="n">
        <v>-63.411</v>
      </c>
      <c r="AL265" s="253" t="n">
        <v>-130.932</v>
      </c>
      <c r="AM265" s="253" t="n">
        <v>-87.184</v>
      </c>
      <c r="AN265" s="253" t="n">
        <v>-39.602</v>
      </c>
      <c r="AO265" s="35" t="n"/>
      <c r="AP265" s="254">
        <f>SUM(AL265:AN265)-(AP310-AN310)-(AP311-AN311)-(AP312-AN312)+(AP320-AN320)+(AP322-AN322)</f>
        <v>-208.779911839981</v>
      </c>
      <c r="AQ265" s="254">
        <f>-(AQ310-AP310)-(AQ311-AP311)-(AQ312-AP312)+(AQ320-AP320)+(AQ322-AP322)</f>
        <v>-65.5680540708907</v>
      </c>
      <c r="AR265" s="254">
        <f>-(AR310-AQ310)-(AR311-AQ311)-(AR312-AQ312)+(AR320-AQ320)+(AR322-AQ322)</f>
        <v>-87.0661002789432</v>
      </c>
      <c r="AS265" s="254">
        <f>-(AS310-AR310)-(AS311-AR311)-(AS312-AR312)+(AS320-AR320)+(AS322-AR322)</f>
        <v>-79.8799974852814</v>
      </c>
      <c r="AT265" s="254">
        <f>-(AT310-AS310)-(AT311-AS311)-(AT312-AS312)+(AT320-AS320)+(AT322-AS322)</f>
        <v>-72.9889619258244</v>
      </c>
      <c r="AU265" s="254">
        <f>-(AU310-AT310)-(AU311-AT311)-(AU312-AT312)+(AU320-AT320)+(AU322-AT322)</f>
        <v>-71.7238445856349</v>
      </c>
      <c r="AV265" s="19" t="inlineStr">
        <is>
          <t>History: net cash from operations − net earnings − D&amp;A − share-based compensation − deferred taxes (the releases show operating cash flow as one line). Forecast linked to the balance sheet: −Δ(receivables, inventories, other current assets) + Δ(payables, other current liabilities).</t>
        </is>
      </c>
    </row>
    <row r="266" ht="15" customHeight="1" s="251">
      <c r="B266" s="16" t="inlineStr">
        <is>
          <t>Net cash provided by operating activities</t>
        </is>
      </c>
      <c r="C266" s="284" t="n">
        <v>114.623</v>
      </c>
      <c r="D266" s="284" t="n">
        <v>144.113</v>
      </c>
      <c r="E266" s="284" t="n">
        <v>222.592</v>
      </c>
      <c r="F266" s="284" t="n">
        <v>268.083</v>
      </c>
      <c r="G266" s="284" t="n">
        <v>287.429</v>
      </c>
      <c r="H266" s="284" t="n">
        <v>435.379</v>
      </c>
      <c r="I266" s="284" t="n">
        <v>307.537</v>
      </c>
      <c r="J266" s="284" t="n">
        <v>299.292</v>
      </c>
      <c r="K266" s="284" t="n">
        <v>390.608</v>
      </c>
      <c r="L266" s="284" t="n">
        <v>349.491</v>
      </c>
      <c r="M266" s="284" t="n">
        <v>146.725</v>
      </c>
      <c r="N266" s="284" t="n">
        <v>72.27200000000001</v>
      </c>
      <c r="O266" s="284" t="n">
        <v>98.91800000000001</v>
      </c>
      <c r="P266" s="284" t="n">
        <v>146.754</v>
      </c>
      <c r="Q266" s="284" t="n">
        <v>464.669</v>
      </c>
      <c r="R266" s="284" t="n">
        <v>39.29</v>
      </c>
      <c r="S266" s="284" t="n">
        <v>10.818</v>
      </c>
      <c r="T266" s="284" t="n">
        <v>35.908</v>
      </c>
      <c r="U266" s="284" t="n">
        <v>107.622</v>
      </c>
      <c r="V266" s="284" t="n">
        <v>193.638</v>
      </c>
      <c r="W266" s="284" t="n">
        <v>5.402</v>
      </c>
      <c r="X266" s="284" t="n">
        <v>34.748</v>
      </c>
      <c r="Y266" s="284" t="n">
        <v>115.48</v>
      </c>
      <c r="Z266" s="284" t="n">
        <v>152.913</v>
      </c>
      <c r="AA266" s="284" t="n">
        <v>308.543</v>
      </c>
      <c r="AB266" s="284" t="n">
        <v>46.789</v>
      </c>
      <c r="AC266" s="284" t="n">
        <v>97.32899999999999</v>
      </c>
      <c r="AD266" s="284" t="n">
        <v>153.211</v>
      </c>
      <c r="AE266" s="284" t="n">
        <v>141.76</v>
      </c>
      <c r="AF266" s="284" t="n">
        <v>439.089</v>
      </c>
      <c r="AG266" s="284" t="n">
        <v>34.516</v>
      </c>
      <c r="AH266" s="284" t="n">
        <v>77.825</v>
      </c>
      <c r="AI266" s="284" t="n">
        <v>125.635</v>
      </c>
      <c r="AJ266" s="284" t="n">
        <v>233.318</v>
      </c>
      <c r="AK266" s="284" t="n">
        <v>471.294</v>
      </c>
      <c r="AL266" s="284" t="n">
        <v>114.437</v>
      </c>
      <c r="AM266" s="284" t="n">
        <v>90.827</v>
      </c>
      <c r="AN266" s="284" t="n">
        <v>146.673</v>
      </c>
      <c r="AO266" s="32" t="n"/>
      <c r="AP266" s="262">
        <f>SUM(AP259:AP265)</f>
        <v>582.756137999885</v>
      </c>
      <c r="AQ266" s="262">
        <f>SUM(AQ259:AQ265)</f>
        <v>656.009796262895</v>
      </c>
      <c r="AR266" s="262">
        <f>SUM(AR259:AR265)</f>
        <v>785.047763009404</v>
      </c>
      <c r="AS266" s="262">
        <f>SUM(AS259:AS265)</f>
        <v>888.062103953879</v>
      </c>
      <c r="AT266" s="262">
        <f>SUM(AT259:AT265)</f>
        <v>963.501001880231</v>
      </c>
      <c r="AU266" s="262">
        <f>SUM(AU259:AU265)</f>
        <v>1032.21919069713</v>
      </c>
      <c r="AV266" s="153" t="n"/>
      <c r="AX266" s="20">
        <f>IFERROR((AU266/AP266)^(1/5)-1,"n/m")</f>
        <v>0.121132686373372</v>
      </c>
      <c r="AY266" s="20">
        <f>IFERROR((AK266/L266)^(1/5)-1,"n/m")</f>
        <v>0.0616251119471687</v>
      </c>
      <c r="AZ266" s="20">
        <f>IFERROR((AK266/G266)^(1/10)-1,"n/m")</f>
        <v>0.0506937108187306</v>
      </c>
      <c r="BA266" s="20">
        <f>IFERROR((AK266/C266)^(1/14)-1,"n/m")</f>
        <v>0.106263494603405</v>
      </c>
    </row>
    <row r="267" ht="15" customHeight="1" s="251">
      <c r="B267" s="25" t="inlineStr">
        <is>
          <t>Payments for property, plant &amp; equipment</t>
        </is>
      </c>
      <c r="C267" s="253" t="n">
        <v>-48.255</v>
      </c>
      <c r="D267" s="253" t="n">
        <v>-64.90000000000001</v>
      </c>
      <c r="E267" s="253" t="n">
        <v>-141.6</v>
      </c>
      <c r="F267" s="253" t="n">
        <v>-207.106</v>
      </c>
      <c r="G267" s="253" t="n">
        <v>-286.612</v>
      </c>
      <c r="H267" s="253" t="n">
        <v>-175.692</v>
      </c>
      <c r="I267" s="253" t="n">
        <v>-92.336</v>
      </c>
      <c r="J267" s="253" t="n">
        <v>-127.14</v>
      </c>
      <c r="K267" s="253" t="n">
        <v>-99.066</v>
      </c>
      <c r="L267" s="253" t="n">
        <v>-47.087</v>
      </c>
      <c r="M267" s="253" t="n">
        <v>-7.263</v>
      </c>
      <c r="N267" s="253" t="n">
        <v>-6.05</v>
      </c>
      <c r="O267" s="253" t="n">
        <v>-8.034000000000001</v>
      </c>
      <c r="P267" s="253" t="n">
        <v>-16.342</v>
      </c>
      <c r="Q267" s="253" t="n">
        <v>-37.689</v>
      </c>
      <c r="R267" s="253" t="n">
        <v>-13.123</v>
      </c>
      <c r="S267" s="253" t="n">
        <v>-11.027</v>
      </c>
      <c r="T267" s="253" t="n">
        <v>-12.955</v>
      </c>
      <c r="U267" s="253" t="n">
        <v>-15.763</v>
      </c>
      <c r="V267" s="253" t="n">
        <v>-52.868</v>
      </c>
      <c r="W267" s="253" t="n">
        <v>-24.39</v>
      </c>
      <c r="X267" s="253" t="n">
        <v>-19.656</v>
      </c>
      <c r="Y267" s="253" t="n">
        <v>-13.096</v>
      </c>
      <c r="Z267" s="253" t="n">
        <v>-19.358</v>
      </c>
      <c r="AA267" s="253" t="n">
        <v>-76.5</v>
      </c>
      <c r="AB267" s="253" t="n">
        <v>-41.812</v>
      </c>
      <c r="AC267" s="253" t="n">
        <v>-14.489</v>
      </c>
      <c r="AD267" s="253" t="n">
        <v>-15.892</v>
      </c>
      <c r="AE267" s="253" t="n">
        <v>-24.087</v>
      </c>
      <c r="AF267" s="253" t="n">
        <v>-96.28</v>
      </c>
      <c r="AG267" s="253" t="n">
        <v>-33.574</v>
      </c>
      <c r="AH267" s="253" t="n">
        <v>-18.416</v>
      </c>
      <c r="AI267" s="253" t="n">
        <v>-26.547</v>
      </c>
      <c r="AJ267" s="253" t="n">
        <v>-52.391</v>
      </c>
      <c r="AK267" s="253" t="n">
        <v>-130.928</v>
      </c>
      <c r="AL267" s="253" t="n">
        <v>-44.129</v>
      </c>
      <c r="AM267" s="253" t="n">
        <v>-52.591</v>
      </c>
      <c r="AN267" s="253" t="n">
        <v>-59.617</v>
      </c>
      <c r="AO267" s="35" t="n"/>
      <c r="AP267" s="254">
        <f>-$BF$26</f>
        <v>-290</v>
      </c>
      <c r="AQ267" s="254">
        <f>-AQ150*AQ294</f>
        <v>-235.351380373019</v>
      </c>
      <c r="AR267" s="254">
        <f>-AR150*AR294</f>
        <v>-178.556496251444</v>
      </c>
      <c r="AS267" s="254">
        <f>-AS150*AS294</f>
        <v>-174.931621340228</v>
      </c>
      <c r="AT267" s="254">
        <f>-AT150*AT294</f>
        <v>-173.88856198023</v>
      </c>
      <c r="AU267" s="254">
        <f>-AU150*AU294</f>
        <v>-183.705409646686</v>
      </c>
      <c r="AV267" s="19" t="inlineStr">
        <is>
          <t>2026E: FY26 guidance ~$290m (Spartanburg, SC aerospace campus). 2027E+: net sales × capex %.</t>
        </is>
      </c>
    </row>
    <row r="268" ht="15" customHeight="1" s="251">
      <c r="B268" s="25" t="inlineStr">
        <is>
          <t>Business acquisitions, net of cash acquired</t>
        </is>
      </c>
      <c r="C268" s="253" t="n">
        <v>-47.161</v>
      </c>
      <c r="D268" s="253" t="n">
        <v>0</v>
      </c>
      <c r="E268" s="253" t="n">
        <v>-198.86</v>
      </c>
      <c r="F268" s="253" t="n">
        <v>0</v>
      </c>
      <c r="G268" s="253" t="n">
        <v>0</v>
      </c>
      <c r="H268" s="253" t="n">
        <v>0</v>
      </c>
      <c r="I268" s="253" t="n">
        <v>0</v>
      </c>
      <c r="J268" s="253" t="n">
        <v>-771.115</v>
      </c>
      <c r="K268" s="253" t="n">
        <v>0</v>
      </c>
      <c r="L268" s="253" t="n">
        <v>0</v>
      </c>
      <c r="M268" s="253" t="n">
        <v>0</v>
      </c>
      <c r="N268" s="253" t="n">
        <v>0</v>
      </c>
      <c r="O268" s="253" t="n">
        <v>0</v>
      </c>
      <c r="P268" s="253" t="n">
        <v>0</v>
      </c>
      <c r="Q268" s="253" t="n">
        <v>0</v>
      </c>
      <c r="R268" s="253" t="n">
        <v>0</v>
      </c>
      <c r="S268" s="253" t="n">
        <v>0</v>
      </c>
      <c r="T268" s="253" t="n">
        <v>0</v>
      </c>
      <c r="U268" s="253" t="n">
        <v>0</v>
      </c>
      <c r="V268" s="253" t="n">
        <v>0</v>
      </c>
      <c r="W268" s="253" t="n">
        <v>0</v>
      </c>
      <c r="X268" s="253" t="n">
        <v>0</v>
      </c>
      <c r="Y268" s="253" t="n">
        <v>0</v>
      </c>
      <c r="Z268" s="253" t="n">
        <v>0</v>
      </c>
      <c r="AA268" s="253" t="n">
        <v>0</v>
      </c>
      <c r="AB268" s="253" t="n">
        <v>0</v>
      </c>
      <c r="AC268" s="253" t="n">
        <v>0</v>
      </c>
      <c r="AD268" s="253" t="n">
        <v>0</v>
      </c>
      <c r="AE268" s="253" t="n">
        <v>0</v>
      </c>
      <c r="AF268" s="253" t="n">
        <v>0</v>
      </c>
      <c r="AG268" s="253" t="n">
        <v>0</v>
      </c>
      <c r="AH268" s="253" t="n">
        <v>0</v>
      </c>
      <c r="AI268" s="253" t="n">
        <v>0</v>
      </c>
      <c r="AJ268" s="253" t="n">
        <v>0</v>
      </c>
      <c r="AK268" s="253" t="n">
        <v>0</v>
      </c>
      <c r="AL268" s="253" t="n">
        <v>0</v>
      </c>
      <c r="AM268" s="253" t="n">
        <v>-2.808</v>
      </c>
      <c r="AN268" s="253" t="n">
        <v>-128.97</v>
      </c>
      <c r="AO268" s="35" t="n"/>
      <c r="AP268" s="254">
        <f>SUM(AL268:AN268)</f>
        <v>-131.778</v>
      </c>
      <c r="AQ268" s="254">
        <f>-AQ78</f>
        <v>-100</v>
      </c>
      <c r="AR268" s="254">
        <f>-AR78</f>
        <v>-100</v>
      </c>
      <c r="AS268" s="254">
        <f>-AS78</f>
        <v>-100</v>
      </c>
      <c r="AT268" s="254">
        <f>-AT78</f>
        <v>-100</v>
      </c>
      <c r="AU268" s="254">
        <f>-AU78</f>
        <v>-100</v>
      </c>
      <c r="AV268" s="19" t="inlineStr">
        <is>
          <t>2026E = 9M actual (Valve Research $120.7m, Apr-2026, and Safran EMA working-capital settlement). 2027E+: M&amp;A lever.</t>
        </is>
      </c>
    </row>
    <row r="269" ht="15" customHeight="1" s="251">
      <c r="B269" s="25" t="inlineStr">
        <is>
          <t>Proceeds from business divestitures</t>
        </is>
      </c>
      <c r="C269" s="253" t="n">
        <v>0</v>
      </c>
      <c r="D269" s="253" t="n">
        <v>0</v>
      </c>
      <c r="E269" s="253" t="n">
        <v>0</v>
      </c>
      <c r="F269" s="253" t="n">
        <v>0</v>
      </c>
      <c r="G269" s="253" t="n">
        <v>0</v>
      </c>
      <c r="H269" s="253" t="n">
        <v>0</v>
      </c>
      <c r="I269" s="253" t="n">
        <v>0</v>
      </c>
      <c r="J269" s="253" t="n">
        <v>0</v>
      </c>
      <c r="K269" s="253" t="n">
        <v>0</v>
      </c>
      <c r="L269" s="253" t="n">
        <v>10.443</v>
      </c>
      <c r="M269" s="253" t="n">
        <v>0</v>
      </c>
      <c r="N269" s="253" t="n">
        <v>0</v>
      </c>
      <c r="O269" s="253" t="n">
        <v>0</v>
      </c>
      <c r="P269" s="253" t="n">
        <v>0</v>
      </c>
      <c r="Q269" s="253" t="n">
        <v>0</v>
      </c>
      <c r="R269" s="253" t="n">
        <v>0</v>
      </c>
      <c r="S269" s="253" t="n">
        <v>0</v>
      </c>
      <c r="T269" s="253" t="n">
        <v>6</v>
      </c>
      <c r="U269" s="253" t="n">
        <v>0</v>
      </c>
      <c r="V269" s="253" t="n">
        <v>6</v>
      </c>
      <c r="W269" s="253" t="n">
        <v>0</v>
      </c>
      <c r="X269" s="253" t="n">
        <v>0</v>
      </c>
      <c r="Y269" s="253" t="n">
        <v>0</v>
      </c>
      <c r="Z269" s="253" t="n">
        <v>0</v>
      </c>
      <c r="AA269" s="253" t="n">
        <v>0</v>
      </c>
      <c r="AB269" s="253" t="n">
        <v>0</v>
      </c>
      <c r="AC269" s="253" t="n">
        <v>0.6</v>
      </c>
      <c r="AD269" s="253" t="n">
        <v>0.3</v>
      </c>
      <c r="AE269" s="253" t="n">
        <v>0.9</v>
      </c>
      <c r="AF269" s="253" t="n">
        <v>1.8</v>
      </c>
      <c r="AG269" s="253" t="n">
        <v>1.438</v>
      </c>
      <c r="AH269" s="253" t="n">
        <v>43.458</v>
      </c>
      <c r="AI269" s="253" t="n">
        <v>3.147</v>
      </c>
      <c r="AJ269" s="253" t="n">
        <v>2.025</v>
      </c>
      <c r="AK269" s="253" t="n">
        <v>50.068</v>
      </c>
      <c r="AL269" s="253" t="n">
        <v>0</v>
      </c>
      <c r="AM269" s="253" t="n">
        <v>0</v>
      </c>
      <c r="AN269" s="253" t="n">
        <v>1.239</v>
      </c>
      <c r="AO269" s="35" t="n"/>
      <c r="AP269" s="254">
        <f>SUM(AL269:AN269)</f>
        <v>1.239</v>
      </c>
      <c r="AQ269" s="254">
        <f>AQ93</f>
        <v>180</v>
      </c>
      <c r="AR269" s="254">
        <f>AR93</f>
        <v>0</v>
      </c>
      <c r="AS269" s="254">
        <f>AS93</f>
        <v>0</v>
      </c>
      <c r="AT269" s="254">
        <f>AT93</f>
        <v>0</v>
      </c>
      <c r="AU269" s="254">
        <f>AU93</f>
        <v>0</v>
      </c>
      <c r="AV269" s="19" t="inlineStr">
        <is>
          <t>FY2016: GE joint venture formation ($250m); FY2020: renewable power systems; FY2025: product rationalization ($48.0m). 2027E: pilot controls (ONTIC, $180m).</t>
        </is>
      </c>
    </row>
    <row r="270" ht="15" customHeight="1" s="251">
      <c r="B270" s="25" t="inlineStr">
        <is>
          <t>Other investing activities, net (asset sales, investments; derived)</t>
        </is>
      </c>
      <c r="C270" s="253" t="n">
        <v>8.276</v>
      </c>
      <c r="D270" s="253" t="n">
        <v>0.283</v>
      </c>
      <c r="E270" s="253" t="n">
        <v>0.418</v>
      </c>
      <c r="F270" s="253" t="n">
        <v>1.277</v>
      </c>
      <c r="G270" s="253" t="n">
        <v>2.529</v>
      </c>
      <c r="H270" s="253" t="n">
        <v>1.746</v>
      </c>
      <c r="I270" s="253" t="n">
        <v>0.47</v>
      </c>
      <c r="J270" s="253" t="n">
        <v>1.688</v>
      </c>
      <c r="K270" s="253" t="n">
        <v>-3.461</v>
      </c>
      <c r="L270" s="253" t="n">
        <v>29.764</v>
      </c>
      <c r="M270" s="253" t="n">
        <v>-2.692</v>
      </c>
      <c r="N270" s="253" t="n">
        <v>16.594</v>
      </c>
      <c r="O270" s="253" t="n">
        <v>-11.521</v>
      </c>
      <c r="P270" s="253" t="n">
        <v>0.011</v>
      </c>
      <c r="Q270" s="253" t="n">
        <v>2.392</v>
      </c>
      <c r="R270" s="253" t="n">
        <v>0.008</v>
      </c>
      <c r="S270" s="253" t="n">
        <v>11.294</v>
      </c>
      <c r="T270" s="253" t="n">
        <v>-9.612</v>
      </c>
      <c r="U270" s="253" t="n">
        <v>-20.271</v>
      </c>
      <c r="V270" s="253" t="n">
        <v>-18.581</v>
      </c>
      <c r="W270" s="253" t="n">
        <v>0.915</v>
      </c>
      <c r="X270" s="253" t="n">
        <v>7.895</v>
      </c>
      <c r="Y270" s="253" t="n">
        <v>-5.872</v>
      </c>
      <c r="Z270" s="253" t="n">
        <v>0.011</v>
      </c>
      <c r="AA270" s="253" t="n">
        <v>2.949</v>
      </c>
      <c r="AB270" s="253" t="n">
        <v>0.036</v>
      </c>
      <c r="AC270" s="253" t="n">
        <v>6.024</v>
      </c>
      <c r="AD270" s="253" t="n">
        <v>-3.006</v>
      </c>
      <c r="AE270" s="253" t="n">
        <v>2.209</v>
      </c>
      <c r="AF270" s="253" t="n">
        <v>5.263</v>
      </c>
      <c r="AG270" s="253" t="n">
        <v>0.036</v>
      </c>
      <c r="AH270" s="253" t="n">
        <v>2.92</v>
      </c>
      <c r="AI270" s="253" t="n">
        <v>0.02</v>
      </c>
      <c r="AJ270" s="253" t="n">
        <v>-41.669</v>
      </c>
      <c r="AK270" s="253" t="n">
        <v>-38.693</v>
      </c>
      <c r="AL270" s="253" t="n">
        <v>-4.2</v>
      </c>
      <c r="AM270" s="253" t="n">
        <v>4.265</v>
      </c>
      <c r="AN270" s="253" t="n">
        <v>0.016</v>
      </c>
      <c r="AO270" s="35" t="n"/>
      <c r="AP270" s="254">
        <f>SUM(AL270:AN270)</f>
        <v>0.0809999999999995</v>
      </c>
      <c r="AQ270" s="272" t="n">
        <v>0</v>
      </c>
      <c r="AR270" s="272" t="n">
        <v>0</v>
      </c>
      <c r="AS270" s="272" t="n">
        <v>0</v>
      </c>
      <c r="AT270" s="272" t="n">
        <v>0</v>
      </c>
      <c r="AU270" s="272" t="n">
        <v>0</v>
      </c>
      <c r="AV270" s="19" t="n"/>
    </row>
    <row r="271" ht="15" customHeight="1" s="251">
      <c r="B271" s="16" t="inlineStr">
        <is>
          <t>Net cash used in investing activities</t>
        </is>
      </c>
      <c r="C271" s="284" t="n">
        <v>-87.14</v>
      </c>
      <c r="D271" s="284" t="n">
        <v>-64.617</v>
      </c>
      <c r="E271" s="284" t="n">
        <v>-340.042</v>
      </c>
      <c r="F271" s="284" t="n">
        <v>-205.829</v>
      </c>
      <c r="G271" s="284" t="n">
        <v>-284.083</v>
      </c>
      <c r="H271" s="284" t="n">
        <v>-173.946</v>
      </c>
      <c r="I271" s="284" t="n">
        <v>-91.866</v>
      </c>
      <c r="J271" s="284" t="n">
        <v>-896.567</v>
      </c>
      <c r="K271" s="284" t="n">
        <v>-102.527</v>
      </c>
      <c r="L271" s="284" t="n">
        <v>-6.88</v>
      </c>
      <c r="M271" s="284" t="n">
        <v>-9.955</v>
      </c>
      <c r="N271" s="284" t="n">
        <v>10.544</v>
      </c>
      <c r="O271" s="284" t="n">
        <v>-19.555</v>
      </c>
      <c r="P271" s="284" t="n">
        <v>-16.331</v>
      </c>
      <c r="Q271" s="284" t="n">
        <v>-35.297</v>
      </c>
      <c r="R271" s="284" t="n">
        <v>-13.115</v>
      </c>
      <c r="S271" s="284" t="n">
        <v>0.267</v>
      </c>
      <c r="T271" s="284" t="n">
        <v>-16.567</v>
      </c>
      <c r="U271" s="284" t="n">
        <v>-36.034</v>
      </c>
      <c r="V271" s="284" t="n">
        <v>-65.449</v>
      </c>
      <c r="W271" s="284" t="n">
        <v>-23.475</v>
      </c>
      <c r="X271" s="284" t="n">
        <v>-11.761</v>
      </c>
      <c r="Y271" s="284" t="n">
        <v>-18.968</v>
      </c>
      <c r="Z271" s="284" t="n">
        <v>-19.347</v>
      </c>
      <c r="AA271" s="284" t="n">
        <v>-73.551</v>
      </c>
      <c r="AB271" s="284" t="n">
        <v>-41.776</v>
      </c>
      <c r="AC271" s="284" t="n">
        <v>-7.865</v>
      </c>
      <c r="AD271" s="284" t="n">
        <v>-18.598</v>
      </c>
      <c r="AE271" s="284" t="n">
        <v>-20.978</v>
      </c>
      <c r="AF271" s="284" t="n">
        <v>-89.217</v>
      </c>
      <c r="AG271" s="284" t="n">
        <v>-32.1</v>
      </c>
      <c r="AH271" s="284" t="n">
        <v>27.962</v>
      </c>
      <c r="AI271" s="284" t="n">
        <v>-23.38</v>
      </c>
      <c r="AJ271" s="284" t="n">
        <v>-92.035</v>
      </c>
      <c r="AK271" s="284" t="n">
        <v>-119.553</v>
      </c>
      <c r="AL271" s="284" t="n">
        <v>-48.329</v>
      </c>
      <c r="AM271" s="284" t="n">
        <v>-51.134</v>
      </c>
      <c r="AN271" s="284" t="n">
        <v>-187.332</v>
      </c>
      <c r="AO271" s="32" t="n"/>
      <c r="AP271" s="262">
        <f>SUM(AP267:AP270)</f>
        <v>-420.458</v>
      </c>
      <c r="AQ271" s="262">
        <f>SUM(AQ267:AQ270)</f>
        <v>-155.351380373019</v>
      </c>
      <c r="AR271" s="262">
        <f>SUM(AR267:AR270)</f>
        <v>-278.556496251444</v>
      </c>
      <c r="AS271" s="262">
        <f>SUM(AS267:AS270)</f>
        <v>-274.931621340228</v>
      </c>
      <c r="AT271" s="262">
        <f>SUM(AT267:AT270)</f>
        <v>-273.88856198023</v>
      </c>
      <c r="AU271" s="262">
        <f>SUM(AU267:AU270)</f>
        <v>-283.705409646686</v>
      </c>
      <c r="AV271" s="153" t="n"/>
    </row>
    <row r="272" ht="15" customHeight="1" s="251">
      <c r="B272" s="25" t="inlineStr">
        <is>
          <t>Payments for repurchases of common stock</t>
        </is>
      </c>
      <c r="C272" s="253" t="n">
        <v>-6.837</v>
      </c>
      <c r="D272" s="253" t="n">
        <v>-44.11</v>
      </c>
      <c r="E272" s="253" t="n">
        <v>-45.754</v>
      </c>
      <c r="F272" s="253" t="n">
        <v>-141.488</v>
      </c>
      <c r="G272" s="253" t="n">
        <v>-157.16</v>
      </c>
      <c r="H272" s="253" t="n">
        <v>-125.541</v>
      </c>
      <c r="I272" s="253" t="n">
        <v>-71.751</v>
      </c>
      <c r="J272" s="253" t="n">
        <v>0</v>
      </c>
      <c r="K272" s="253" t="n">
        <v>-110.311</v>
      </c>
      <c r="L272" s="253" t="n">
        <v>-13.346</v>
      </c>
      <c r="M272" s="253" t="n">
        <v>0</v>
      </c>
      <c r="N272" s="253" t="n">
        <v>0</v>
      </c>
      <c r="O272" s="253" t="n">
        <v>0</v>
      </c>
      <c r="P272" s="253" t="n">
        <v>-33.344</v>
      </c>
      <c r="Q272" s="253" t="n">
        <v>-33.344</v>
      </c>
      <c r="R272" s="253" t="n">
        <v>0</v>
      </c>
      <c r="S272" s="253" t="n">
        <v>0</v>
      </c>
      <c r="T272" s="253" t="n">
        <v>0</v>
      </c>
      <c r="U272" s="253" t="n">
        <v>-485.3</v>
      </c>
      <c r="V272" s="253" t="n">
        <v>-485.3</v>
      </c>
      <c r="W272" s="253" t="n">
        <v>-26.369</v>
      </c>
      <c r="X272" s="253" t="n">
        <v>0</v>
      </c>
      <c r="Y272" s="253" t="n">
        <v>0</v>
      </c>
      <c r="Z272" s="253" t="n">
        <v>-100.011</v>
      </c>
      <c r="AA272" s="253" t="n">
        <v>-126.38</v>
      </c>
      <c r="AB272" s="253" t="n">
        <v>0</v>
      </c>
      <c r="AC272" s="253" t="n">
        <v>0</v>
      </c>
      <c r="AD272" s="253" t="n">
        <v>-304.811</v>
      </c>
      <c r="AE272" s="253" t="n">
        <v>-86.008</v>
      </c>
      <c r="AF272" s="253" t="n">
        <v>-390.819</v>
      </c>
      <c r="AG272" s="253" t="n">
        <v>-35.473</v>
      </c>
      <c r="AH272" s="253" t="n">
        <v>-44.02</v>
      </c>
      <c r="AI272" s="253" t="n">
        <v>-44.783</v>
      </c>
      <c r="AJ272" s="253" t="n">
        <v>-48.581</v>
      </c>
      <c r="AK272" s="253" t="n">
        <v>-172.857</v>
      </c>
      <c r="AL272" s="253" t="n">
        <v>-129.387</v>
      </c>
      <c r="AM272" s="253" t="n">
        <v>-225.91</v>
      </c>
      <c r="AN272" s="253" t="n">
        <v>-198.141</v>
      </c>
      <c r="AO272" s="35" t="n"/>
      <c r="AP272" s="254">
        <f>SUM(AL272:AN272)-CHOOSE(MATCH($AV$2,{"Bull","Base","Bear"},0),$BE$17,$BF$17,$BG$17)</f>
        <v>-753.438</v>
      </c>
      <c r="AQ272" s="254">
        <f>-AQ383</f>
        <v>-782.611176133293</v>
      </c>
      <c r="AR272" s="254">
        <f>-AR383</f>
        <v>-623.281517800804</v>
      </c>
      <c r="AS272" s="254">
        <f>-AS383</f>
        <v>-714.893973579455</v>
      </c>
      <c r="AT272" s="254">
        <f>-AT383</f>
        <v>-760.67753132865</v>
      </c>
      <c r="AU272" s="254">
        <f>-AU383</f>
        <v>-809.009640279696</v>
      </c>
      <c r="AV272" s="19" t="inlineStr">
        <is>
          <t>2026E: 9M actual + Q4 scenario input ($1.8bn 2026 Authorization, Nov-2025; $1,286m remaining at 30-Jun-2026). 2027E+ = leverage plug (surplus cash returned until net debt / adjusted EBITDA reaches the target).</t>
        </is>
      </c>
    </row>
    <row r="273" ht="15" customHeight="1" s="251">
      <c r="B273" s="25" t="inlineStr">
        <is>
          <t>Cash dividends paid</t>
        </is>
      </c>
      <c r="C273" s="253" t="n">
        <v>-18.581</v>
      </c>
      <c r="D273" s="253" t="n">
        <v>-21.351</v>
      </c>
      <c r="E273" s="253" t="n">
        <v>-21.866</v>
      </c>
      <c r="F273" s="253" t="n">
        <v>-21.263</v>
      </c>
      <c r="G273" s="253" t="n">
        <v>-24.646</v>
      </c>
      <c r="H273" s="253" t="n">
        <v>-26.606</v>
      </c>
      <c r="I273" s="253" t="n">
        <v>-29.745</v>
      </c>
      <c r="J273" s="253" t="n">
        <v>-34.003</v>
      </c>
      <c r="K273" s="253" t="n">
        <v>-39.066</v>
      </c>
      <c r="L273" s="253" t="n">
        <v>-37.664</v>
      </c>
      <c r="M273" s="253" t="n">
        <v>-5.102</v>
      </c>
      <c r="N273" s="253" t="n">
        <v>-10.302</v>
      </c>
      <c r="O273" s="253" t="n">
        <v>-10.33</v>
      </c>
      <c r="P273" s="253" t="n">
        <v>-10.307</v>
      </c>
      <c r="Q273" s="253" t="n">
        <v>-36.041</v>
      </c>
      <c r="R273" s="253" t="n">
        <v>-10.247</v>
      </c>
      <c r="S273" s="253" t="n">
        <v>-11.887</v>
      </c>
      <c r="T273" s="253" t="n">
        <v>-11.438</v>
      </c>
      <c r="U273" s="253" t="n">
        <v>-11.406</v>
      </c>
      <c r="V273" s="253" t="n">
        <v>-44.978</v>
      </c>
      <c r="W273" s="253" t="n">
        <v>-11.355</v>
      </c>
      <c r="X273" s="253" t="n">
        <v>-13.182</v>
      </c>
      <c r="Y273" s="253" t="n">
        <v>-13.225</v>
      </c>
      <c r="Z273" s="253" t="n">
        <v>-13.265</v>
      </c>
      <c r="AA273" s="253" t="n">
        <v>-51.027</v>
      </c>
      <c r="AB273" s="253" t="n">
        <v>-13.209</v>
      </c>
      <c r="AC273" s="253" t="n">
        <v>-15.118</v>
      </c>
      <c r="AD273" s="253" t="n">
        <v>-15.13</v>
      </c>
      <c r="AE273" s="253" t="n">
        <v>-14.829</v>
      </c>
      <c r="AF273" s="253" t="n">
        <v>-58.286</v>
      </c>
      <c r="AG273" s="253" t="n">
        <v>-14.781</v>
      </c>
      <c r="AH273" s="253" t="n">
        <v>-16.672</v>
      </c>
      <c r="AI273" s="253" t="n">
        <v>-16.742</v>
      </c>
      <c r="AJ273" s="253" t="n">
        <v>-16.78</v>
      </c>
      <c r="AK273" s="253" t="n">
        <v>-64.97499999999999</v>
      </c>
      <c r="AL273" s="253" t="n">
        <v>-16.764</v>
      </c>
      <c r="AM273" s="253" t="n">
        <v>-19.089</v>
      </c>
      <c r="AN273" s="253" t="n">
        <v>-19.049</v>
      </c>
      <c r="AO273" s="35" t="n"/>
      <c r="AP273" s="254">
        <f>SUM(AL273:AN273)-AO180*AO174</f>
        <v>-73.7875476295889</v>
      </c>
      <c r="AQ273" s="254">
        <f>-AQ180*AQ302</f>
        <v>-80.2109375422456</v>
      </c>
      <c r="AR273" s="254">
        <f>-AR180*AR302</f>
        <v>-85.9872536434808</v>
      </c>
      <c r="AS273" s="254">
        <f>-AS180*AS302</f>
        <v>-92.9384521586437</v>
      </c>
      <c r="AT273" s="254">
        <f>-AT180*AT302</f>
        <v>-100.262575925251</v>
      </c>
      <c r="AU273" s="254">
        <f>-AU180*AU302</f>
        <v>-108.165956807773</v>
      </c>
      <c r="AV273" s="19" t="n"/>
    </row>
    <row r="274" ht="15" customHeight="1" s="251">
      <c r="B274" s="25" t="inlineStr">
        <is>
          <t>Proceeds from sales of treasury stock (equity plans)</t>
        </is>
      </c>
      <c r="C274" s="253" t="n">
        <v>2.482</v>
      </c>
      <c r="D274" s="253" t="n">
        <v>6.286</v>
      </c>
      <c r="E274" s="253" t="n">
        <v>8.369999999999999</v>
      </c>
      <c r="F274" s="253" t="n">
        <v>9.772</v>
      </c>
      <c r="G274" s="253" t="n">
        <v>8.4</v>
      </c>
      <c r="H274" s="253" t="n">
        <v>15.892</v>
      </c>
      <c r="I274" s="253" t="n">
        <v>14.195</v>
      </c>
      <c r="J274" s="253" t="n">
        <v>9.132</v>
      </c>
      <c r="K274" s="253" t="n">
        <v>36.044</v>
      </c>
      <c r="L274" s="253" t="n">
        <v>24.969</v>
      </c>
      <c r="M274" s="253" t="n">
        <v>10.855</v>
      </c>
      <c r="N274" s="253" t="n">
        <v>17.599</v>
      </c>
      <c r="O274" s="253" t="n">
        <v>3.765</v>
      </c>
      <c r="P274" s="253" t="n">
        <v>2.487</v>
      </c>
      <c r="Q274" s="253" t="n">
        <v>34.706</v>
      </c>
      <c r="R274" s="253" t="n">
        <v>3.198</v>
      </c>
      <c r="S274" s="253" t="n">
        <v>16.201</v>
      </c>
      <c r="T274" s="253" t="n">
        <v>0.884</v>
      </c>
      <c r="U274" s="253" t="n">
        <v>1.614</v>
      </c>
      <c r="V274" s="253" t="n">
        <v>21.897</v>
      </c>
      <c r="W274" s="253" t="n">
        <v>1.199</v>
      </c>
      <c r="X274" s="253" t="n">
        <v>12.868</v>
      </c>
      <c r="Y274" s="253" t="n">
        <v>12.821</v>
      </c>
      <c r="Z274" s="253" t="n">
        <v>23.861</v>
      </c>
      <c r="AA274" s="253" t="n">
        <v>50.749</v>
      </c>
      <c r="AB274" s="253" t="n">
        <v>15.267</v>
      </c>
      <c r="AC274" s="253" t="n">
        <v>27.82</v>
      </c>
      <c r="AD274" s="253" t="n">
        <v>47.055</v>
      </c>
      <c r="AE274" s="253" t="n">
        <v>-0.267</v>
      </c>
      <c r="AF274" s="253" t="n">
        <v>89.875</v>
      </c>
      <c r="AG274" s="253" t="n">
        <v>28.876</v>
      </c>
      <c r="AH274" s="253" t="n">
        <v>20.841</v>
      </c>
      <c r="AI274" s="253" t="n">
        <v>46.347</v>
      </c>
      <c r="AJ274" s="253" t="n">
        <v>8.513999999999999</v>
      </c>
      <c r="AK274" s="253" t="n">
        <v>104.578</v>
      </c>
      <c r="AL274" s="253" t="n">
        <v>20.859</v>
      </c>
      <c r="AM274" s="253" t="n">
        <v>19.529</v>
      </c>
      <c r="AN274" s="253" t="n">
        <v>14.682</v>
      </c>
      <c r="AO274" s="35" t="n"/>
      <c r="AP274" s="254">
        <f>SUM(AL274:AN274)+10.0</f>
        <v>65.07</v>
      </c>
      <c r="AQ274" s="272" t="n">
        <v>60</v>
      </c>
      <c r="AR274" s="272" t="n">
        <v>60</v>
      </c>
      <c r="AS274" s="272" t="n">
        <v>60</v>
      </c>
      <c r="AT274" s="272" t="n">
        <v>60</v>
      </c>
      <c r="AU274" s="272" t="n">
        <v>60</v>
      </c>
      <c r="AV274" s="19" t="n"/>
    </row>
    <row r="275" ht="15" customHeight="1" s="251">
      <c r="B275" s="25" t="inlineStr">
        <is>
          <t>Net debt issuance / (repayment) (forecast; included in other financing historically)</t>
        </is>
      </c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5" t="n"/>
      <c r="AP275" s="254">
        <f>AP365-AN365</f>
        <v>-63.1215903702964</v>
      </c>
      <c r="AQ275" s="254">
        <f>AQ374</f>
        <v>302.163697785662</v>
      </c>
      <c r="AR275" s="254">
        <f>AR374</f>
        <v>142.777504686325</v>
      </c>
      <c r="AS275" s="254">
        <f>AS374</f>
        <v>134.701943124448</v>
      </c>
      <c r="AT275" s="254">
        <f>AT374</f>
        <v>111.3276673539</v>
      </c>
      <c r="AU275" s="254">
        <f>AU374</f>
        <v>108.661816037024</v>
      </c>
      <c r="AV275" s="19" t="inlineStr">
        <is>
          <t>Per the debt schedule: notes repaid at maturity, $450m Series U/V/W notes issued 30-Sep-2026; revolver drawn or repaid to the minimum cash balance.</t>
        </is>
      </c>
    </row>
    <row r="276" ht="15" customHeight="1" s="251">
      <c r="B276" s="25" t="inlineStr">
        <is>
          <t>Debt &amp; other financing, net (derived historically)</t>
        </is>
      </c>
      <c r="C276" s="253" t="n">
        <v>-33.043</v>
      </c>
      <c r="D276" s="253" t="n">
        <v>-31.286</v>
      </c>
      <c r="E276" s="253" t="n">
        <v>161.723</v>
      </c>
      <c r="F276" s="253" t="n">
        <v>162.456</v>
      </c>
      <c r="G276" s="253" t="n">
        <v>147.961</v>
      </c>
      <c r="H276" s="253" t="n">
        <v>-124.738</v>
      </c>
      <c r="I276" s="253" t="n">
        <v>-124.512</v>
      </c>
      <c r="J276" s="253" t="n">
        <v>630.869</v>
      </c>
      <c r="K276" s="253" t="n">
        <v>-152.266</v>
      </c>
      <c r="L276" s="253" t="n">
        <v>-264.201</v>
      </c>
      <c r="M276" s="253" t="n">
        <v>-100.395</v>
      </c>
      <c r="N276" s="253" t="n">
        <v>-0.44</v>
      </c>
      <c r="O276" s="253" t="n">
        <v>-0.379</v>
      </c>
      <c r="P276" s="253" t="n">
        <v>-0.425</v>
      </c>
      <c r="Q276" s="253" t="n">
        <v>-101.639</v>
      </c>
      <c r="R276" s="253" t="n">
        <v>-39.639</v>
      </c>
      <c r="S276" s="253" t="n">
        <v>-234.46</v>
      </c>
      <c r="T276" s="253" t="n">
        <v>-117.578</v>
      </c>
      <c r="U276" s="253" t="n">
        <v>457.68</v>
      </c>
      <c r="V276" s="253" t="n">
        <v>66.003</v>
      </c>
      <c r="W276" s="253" t="n">
        <v>42.402</v>
      </c>
      <c r="X276" s="253" t="n">
        <v>18.774</v>
      </c>
      <c r="Y276" s="253" t="n">
        <v>-107.248</v>
      </c>
      <c r="Z276" s="253" t="n">
        <v>-23.743</v>
      </c>
      <c r="AA276" s="253" t="n">
        <v>-69.815</v>
      </c>
      <c r="AB276" s="253" t="n">
        <v>-10.149</v>
      </c>
      <c r="AC276" s="253" t="n">
        <v>75.977</v>
      </c>
      <c r="AD276" s="253" t="n">
        <v>133.328</v>
      </c>
      <c r="AE276" s="253" t="n">
        <v>-57.973</v>
      </c>
      <c r="AF276" s="253" t="n">
        <v>141.183</v>
      </c>
      <c r="AG276" s="253" t="n">
        <v>40.764</v>
      </c>
      <c r="AH276" s="253" t="n">
        <v>2.863</v>
      </c>
      <c r="AI276" s="253" t="n">
        <v>6.654</v>
      </c>
      <c r="AJ276" s="253" t="n">
        <v>-230.953</v>
      </c>
      <c r="AK276" s="253" t="n">
        <v>-180.672</v>
      </c>
      <c r="AL276" s="253" t="n">
        <v>185.448</v>
      </c>
      <c r="AM276" s="253" t="n">
        <v>239.745</v>
      </c>
      <c r="AN276" s="253" t="n">
        <v>216.846</v>
      </c>
      <c r="AO276" s="35" t="n"/>
      <c r="AP276" s="254">
        <f>SUM(AL276:AN276)</f>
        <v>642.039</v>
      </c>
      <c r="AQ276" s="272" t="n">
        <v>0</v>
      </c>
      <c r="AR276" s="272" t="n">
        <v>0</v>
      </c>
      <c r="AS276" s="272" t="n">
        <v>0</v>
      </c>
      <c r="AT276" s="272" t="n">
        <v>0</v>
      </c>
      <c r="AU276" s="272" t="n">
        <v>0</v>
      </c>
      <c r="AV276" s="19" t="n"/>
    </row>
    <row r="277" ht="15" customHeight="1" s="251">
      <c r="B277" s="16" t="inlineStr">
        <is>
          <t>Net cash provided by (used in) financing activities</t>
        </is>
      </c>
      <c r="C277" s="284" t="n">
        <v>-55.979</v>
      </c>
      <c r="D277" s="284" t="n">
        <v>-90.461</v>
      </c>
      <c r="E277" s="284" t="n">
        <v>102.473</v>
      </c>
      <c r="F277" s="284" t="n">
        <v>9.477</v>
      </c>
      <c r="G277" s="284" t="n">
        <v>-25.445</v>
      </c>
      <c r="H277" s="284" t="n">
        <v>-260.993</v>
      </c>
      <c r="I277" s="284" t="n">
        <v>-211.813</v>
      </c>
      <c r="J277" s="284" t="n">
        <v>605.998</v>
      </c>
      <c r="K277" s="284" t="n">
        <v>-265.599</v>
      </c>
      <c r="L277" s="284" t="n">
        <v>-290.242</v>
      </c>
      <c r="M277" s="284" t="n">
        <v>-94.642</v>
      </c>
      <c r="N277" s="284" t="n">
        <v>6.857</v>
      </c>
      <c r="O277" s="284" t="n">
        <v>-6.944</v>
      </c>
      <c r="P277" s="284" t="n">
        <v>-41.589</v>
      </c>
      <c r="Q277" s="284" t="n">
        <v>-136.318</v>
      </c>
      <c r="R277" s="284" t="n">
        <v>-46.688</v>
      </c>
      <c r="S277" s="284" t="n">
        <v>-230.146</v>
      </c>
      <c r="T277" s="284" t="n">
        <v>-128.132</v>
      </c>
      <c r="U277" s="284" t="n">
        <v>-37.412</v>
      </c>
      <c r="V277" s="284" t="n">
        <v>-442.378</v>
      </c>
      <c r="W277" s="284" t="n">
        <v>5.877</v>
      </c>
      <c r="X277" s="284" t="n">
        <v>18.46</v>
      </c>
      <c r="Y277" s="284" t="n">
        <v>-107.652</v>
      </c>
      <c r="Z277" s="284" t="n">
        <v>-113.158</v>
      </c>
      <c r="AA277" s="284" t="n">
        <v>-196.473</v>
      </c>
      <c r="AB277" s="284" t="n">
        <v>-8.090999999999999</v>
      </c>
      <c r="AC277" s="284" t="n">
        <v>88.679</v>
      </c>
      <c r="AD277" s="284" t="n">
        <v>-139.558</v>
      </c>
      <c r="AE277" s="284" t="n">
        <v>-159.077</v>
      </c>
      <c r="AF277" s="284" t="n">
        <v>-218.047</v>
      </c>
      <c r="AG277" s="284" t="n">
        <v>19.386</v>
      </c>
      <c r="AH277" s="284" t="n">
        <v>-36.988</v>
      </c>
      <c r="AI277" s="284" t="n">
        <v>-8.523999999999999</v>
      </c>
      <c r="AJ277" s="284" t="n">
        <v>-287.8</v>
      </c>
      <c r="AK277" s="284" t="n">
        <v>-313.926</v>
      </c>
      <c r="AL277" s="284" t="n">
        <v>60.156</v>
      </c>
      <c r="AM277" s="284" t="n">
        <v>14.275</v>
      </c>
      <c r="AN277" s="284" t="n">
        <v>14.338</v>
      </c>
      <c r="AO277" s="32" t="n"/>
      <c r="AP277" s="262">
        <f>SUM(AP272:AP276)</f>
        <v>-183.238137999885</v>
      </c>
      <c r="AQ277" s="262">
        <f>SUM(AQ272:AQ276)</f>
        <v>-500.658415889876</v>
      </c>
      <c r="AR277" s="262">
        <f>SUM(AR272:AR276)</f>
        <v>-506.49126675796</v>
      </c>
      <c r="AS277" s="262">
        <f>SUM(AS272:AS276)</f>
        <v>-613.130482613651</v>
      </c>
      <c r="AT277" s="262">
        <f>SUM(AT272:AT276)</f>
        <v>-689.6124399</v>
      </c>
      <c r="AU277" s="262">
        <f>SUM(AU272:AU276)</f>
        <v>-748.513781050445</v>
      </c>
      <c r="AV277" s="153" t="n"/>
    </row>
    <row r="278" ht="15" customHeight="1" s="251">
      <c r="B278" s="25" t="inlineStr">
        <is>
          <t>Effect of exchange rate changes on cash</t>
        </is>
      </c>
      <c r="C278" s="253" t="n">
        <v>-2.544</v>
      </c>
      <c r="D278" s="253" t="n">
        <v>-1.745</v>
      </c>
      <c r="E278" s="253" t="n">
        <v>1.704</v>
      </c>
      <c r="F278" s="253" t="n">
        <v>-5</v>
      </c>
      <c r="G278" s="253" t="n">
        <v>-10.986</v>
      </c>
      <c r="H278" s="253" t="n">
        <v>-1.552</v>
      </c>
      <c r="I278" s="253" t="n">
        <v>2.604</v>
      </c>
      <c r="J278" s="253" t="n">
        <v>-12.681</v>
      </c>
      <c r="K278" s="253" t="n">
        <v>-7.003</v>
      </c>
      <c r="L278" s="253" t="n">
        <v>1.828</v>
      </c>
      <c r="M278" s="253" t="n">
        <v>6.483</v>
      </c>
      <c r="N278" s="253" t="n">
        <v>-3.959</v>
      </c>
      <c r="O278" s="253" t="n">
        <v>1.993</v>
      </c>
      <c r="P278" s="253" t="n">
        <v>-2.379</v>
      </c>
      <c r="Q278" s="253" t="n">
        <v>2.138</v>
      </c>
      <c r="R278" s="253" t="n">
        <v>-0.967</v>
      </c>
      <c r="S278" s="253" t="n">
        <v>0.434</v>
      </c>
      <c r="T278" s="253" t="n">
        <v>0.137</v>
      </c>
      <c r="U278" s="253" t="n">
        <v>-26.033</v>
      </c>
      <c r="V278" s="253" t="n">
        <v>-26.429</v>
      </c>
      <c r="W278" s="253" t="n">
        <v>3.687</v>
      </c>
      <c r="X278" s="253" t="n">
        <v>-11.355</v>
      </c>
      <c r="Y278" s="253" t="n">
        <v>-4.18</v>
      </c>
      <c r="Z278" s="253" t="n">
        <v>2.932</v>
      </c>
      <c r="AA278" s="253" t="n">
        <v>-8.916</v>
      </c>
      <c r="AB278" s="253" t="n">
        <v>9.978999999999999</v>
      </c>
      <c r="AC278" s="253" t="n">
        <v>-5.559</v>
      </c>
      <c r="AD278" s="253" t="n">
        <v>-3.655</v>
      </c>
      <c r="AE278" s="253" t="n">
        <v>12.233</v>
      </c>
      <c r="AF278" s="253" t="n">
        <v>12.998</v>
      </c>
      <c r="AG278" s="253" t="n">
        <v>-20.346</v>
      </c>
      <c r="AH278" s="253" t="n">
        <v>11.616</v>
      </c>
      <c r="AI278" s="253" t="n">
        <v>15.287</v>
      </c>
      <c r="AJ278" s="253" t="n">
        <v>0.789</v>
      </c>
      <c r="AK278" s="253" t="n">
        <v>7.346</v>
      </c>
      <c r="AL278" s="253" t="n">
        <v>0.55</v>
      </c>
      <c r="AM278" s="253" t="n">
        <v>-7.044</v>
      </c>
      <c r="AN278" s="253" t="n">
        <v>0.003</v>
      </c>
      <c r="AO278" s="35" t="n"/>
      <c r="AP278" s="254">
        <f>SUM(AL278:AN278)</f>
        <v>-6.491</v>
      </c>
      <c r="AQ278" s="272" t="n">
        <v>0</v>
      </c>
      <c r="AR278" s="272" t="n">
        <v>0</v>
      </c>
      <c r="AS278" s="272" t="n">
        <v>0</v>
      </c>
      <c r="AT278" s="272" t="n">
        <v>0</v>
      </c>
      <c r="AU278" s="272" t="n">
        <v>0</v>
      </c>
      <c r="AV278" s="19" t="n"/>
    </row>
    <row r="279" ht="15" customHeight="1" s="251">
      <c r="B279" s="25" t="inlineStr">
        <is>
          <t>Net change in cash and cash equivalents</t>
        </is>
      </c>
      <c r="C279" s="253" t="n">
        <v>-31.04</v>
      </c>
      <c r="D279" s="253" t="n">
        <v>-12.71</v>
      </c>
      <c r="E279" s="253" t="n">
        <v>-13.273</v>
      </c>
      <c r="F279" s="253" t="n">
        <v>66.73099999999999</v>
      </c>
      <c r="G279" s="253" t="n">
        <v>-33.085</v>
      </c>
      <c r="H279" s="253" t="n">
        <v>-1.112</v>
      </c>
      <c r="I279" s="253" t="n">
        <v>6.462</v>
      </c>
      <c r="J279" s="253" t="n">
        <v>-3.958</v>
      </c>
      <c r="K279" s="253" t="n">
        <v>15.479</v>
      </c>
      <c r="L279" s="253" t="n">
        <v>54.197</v>
      </c>
      <c r="M279" s="253" t="n">
        <v>48.611</v>
      </c>
      <c r="N279" s="253" t="n">
        <v>85.714</v>
      </c>
      <c r="O279" s="253" t="n">
        <v>74.41200000000001</v>
      </c>
      <c r="P279" s="253" t="n">
        <v>86.455</v>
      </c>
      <c r="Q279" s="253" t="n">
        <v>295.192</v>
      </c>
      <c r="R279" s="253" t="n">
        <v>-21.48</v>
      </c>
      <c r="S279" s="253" t="n">
        <v>-218.627</v>
      </c>
      <c r="T279" s="253" t="n">
        <v>-108.654</v>
      </c>
      <c r="U279" s="253" t="n">
        <v>8.143000000000001</v>
      </c>
      <c r="V279" s="253" t="n">
        <v>-340.618</v>
      </c>
      <c r="W279" s="253" t="n">
        <v>-8.509</v>
      </c>
      <c r="X279" s="253" t="n">
        <v>30.092</v>
      </c>
      <c r="Y279" s="253" t="n">
        <v>-15.32</v>
      </c>
      <c r="Z279" s="253" t="n">
        <v>23.34</v>
      </c>
      <c r="AA279" s="253" t="n">
        <v>29.603</v>
      </c>
      <c r="AB279" s="253" t="n">
        <v>6.901</v>
      </c>
      <c r="AC279" s="253" t="n">
        <v>172.584</v>
      </c>
      <c r="AD279" s="253" t="n">
        <v>-8.6</v>
      </c>
      <c r="AE279" s="253" t="n">
        <v>-26.062</v>
      </c>
      <c r="AF279" s="253" t="n">
        <v>144.823</v>
      </c>
      <c r="AG279" s="253" t="n">
        <v>1.456</v>
      </c>
      <c r="AH279" s="253" t="n">
        <v>80.41500000000001</v>
      </c>
      <c r="AI279" s="253" t="n">
        <v>109.018</v>
      </c>
      <c r="AJ279" s="253" t="n">
        <v>-145.728</v>
      </c>
      <c r="AK279" s="253" t="n">
        <v>45.161</v>
      </c>
      <c r="AL279" s="253" t="n">
        <v>126.814</v>
      </c>
      <c r="AM279" s="253" t="n">
        <v>46.924</v>
      </c>
      <c r="AN279" s="253" t="n">
        <v>-26.318</v>
      </c>
      <c r="AO279" s="35" t="n"/>
      <c r="AP279" s="254">
        <f>AP266+AP271+AP277+AP278</f>
        <v>-27.4309999999999</v>
      </c>
      <c r="AQ279" s="254">
        <f>AQ266+AQ271+AQ277+AQ278</f>
        <v>0</v>
      </c>
      <c r="AR279" s="254">
        <f>AR266+AR271+AR277+AR278</f>
        <v>0</v>
      </c>
      <c r="AS279" s="254">
        <f>AS266+AS271+AS277+AS278</f>
        <v>0</v>
      </c>
      <c r="AT279" s="254">
        <f>AT266+AT271+AT277+AT278</f>
        <v>0</v>
      </c>
      <c r="AU279" s="254">
        <f>AU266+AU271+AU277+AU278</f>
        <v>0</v>
      </c>
      <c r="AV279" s="19" t="n"/>
    </row>
    <row r="280" ht="15" customHeight="1" s="251">
      <c r="B280" s="25" t="inlineStr">
        <is>
          <t>Cash — beginning of period</t>
        </is>
      </c>
      <c r="C280" s="253" t="n">
        <v>105.579</v>
      </c>
      <c r="D280" s="253" t="n">
        <v>74.539</v>
      </c>
      <c r="E280" s="253" t="n">
        <v>61.829</v>
      </c>
      <c r="F280" s="253" t="n">
        <v>48.556</v>
      </c>
      <c r="G280" s="253" t="n">
        <v>115.287</v>
      </c>
      <c r="H280" s="253" t="n">
        <v>82.202</v>
      </c>
      <c r="I280" s="253" t="n">
        <v>81.09</v>
      </c>
      <c r="J280" s="253" t="n">
        <v>87.55200000000001</v>
      </c>
      <c r="K280" s="253" t="n">
        <v>83.59399999999999</v>
      </c>
      <c r="L280" s="253" t="n">
        <v>99.07299999999999</v>
      </c>
      <c r="M280" s="253" t="n">
        <v>153.27</v>
      </c>
      <c r="N280" s="253" t="n">
        <v>201.881</v>
      </c>
      <c r="O280" s="253" t="n">
        <v>287.595</v>
      </c>
      <c r="P280" s="253" t="n">
        <v>362.007</v>
      </c>
      <c r="Q280" s="253" t="n">
        <v>153.27</v>
      </c>
      <c r="R280" s="253" t="n">
        <v>448.462</v>
      </c>
      <c r="S280" s="253" t="n">
        <v>426.982</v>
      </c>
      <c r="T280" s="253" t="n">
        <v>208.355</v>
      </c>
      <c r="U280" s="253" t="n">
        <v>99.70099999999999</v>
      </c>
      <c r="V280" s="253" t="n">
        <v>448.462</v>
      </c>
      <c r="W280" s="253" t="n">
        <v>107.844</v>
      </c>
      <c r="X280" s="253" t="n">
        <v>99.33499999999999</v>
      </c>
      <c r="Y280" s="253" t="n">
        <v>129.427</v>
      </c>
      <c r="Z280" s="253" t="n">
        <v>114.107</v>
      </c>
      <c r="AA280" s="253" t="n">
        <v>107.844</v>
      </c>
      <c r="AB280" s="253" t="n">
        <v>137.447</v>
      </c>
      <c r="AC280" s="253" t="n">
        <v>144.348</v>
      </c>
      <c r="AD280" s="253" t="n">
        <v>316.932</v>
      </c>
      <c r="AE280" s="253" t="n">
        <v>308.332</v>
      </c>
      <c r="AF280" s="253" t="n">
        <v>137.447</v>
      </c>
      <c r="AG280" s="253" t="n">
        <v>282.27</v>
      </c>
      <c r="AH280" s="253" t="n">
        <v>283.726</v>
      </c>
      <c r="AI280" s="253" t="n">
        <v>364.141</v>
      </c>
      <c r="AJ280" s="253" t="n">
        <v>473.159</v>
      </c>
      <c r="AK280" s="253" t="n">
        <v>282.27</v>
      </c>
      <c r="AL280" s="253" t="n">
        <v>327.431</v>
      </c>
      <c r="AM280" s="253" t="n">
        <v>454.245</v>
      </c>
      <c r="AN280" s="253" t="n">
        <v>501.169</v>
      </c>
      <c r="AO280" s="35" t="n"/>
      <c r="AP280" s="254">
        <f>AK281</f>
        <v>327.431</v>
      </c>
      <c r="AQ280" s="254">
        <f>AP281</f>
        <v>300</v>
      </c>
      <c r="AR280" s="254">
        <f>AQ281</f>
        <v>300</v>
      </c>
      <c r="AS280" s="254">
        <f>AR281</f>
        <v>300</v>
      </c>
      <c r="AT280" s="254">
        <f>AS281</f>
        <v>300</v>
      </c>
      <c r="AU280" s="254">
        <f>AT281</f>
        <v>300</v>
      </c>
      <c r="AV280" s="19" t="n"/>
    </row>
    <row r="281" ht="15" customHeight="1" s="251">
      <c r="B281" s="16" t="inlineStr">
        <is>
          <t>Cash — end of period</t>
        </is>
      </c>
      <c r="C281" s="284" t="n">
        <v>74.539</v>
      </c>
      <c r="D281" s="284" t="n">
        <v>61.829</v>
      </c>
      <c r="E281" s="284" t="n">
        <v>48.556</v>
      </c>
      <c r="F281" s="284" t="n">
        <v>115.287</v>
      </c>
      <c r="G281" s="284" t="n">
        <v>82.202</v>
      </c>
      <c r="H281" s="284" t="n">
        <v>81.09</v>
      </c>
      <c r="I281" s="284" t="n">
        <v>87.55200000000001</v>
      </c>
      <c r="J281" s="284" t="n">
        <v>83.59399999999999</v>
      </c>
      <c r="K281" s="284" t="n">
        <v>99.07299999999999</v>
      </c>
      <c r="L281" s="284" t="n">
        <v>153.27</v>
      </c>
      <c r="M281" s="284" t="n">
        <v>201.881</v>
      </c>
      <c r="N281" s="284" t="n">
        <v>287.595</v>
      </c>
      <c r="O281" s="284" t="n">
        <v>362.007</v>
      </c>
      <c r="P281" s="284" t="n">
        <v>448.462</v>
      </c>
      <c r="Q281" s="284" t="n">
        <v>448.462</v>
      </c>
      <c r="R281" s="284" t="n">
        <v>426.982</v>
      </c>
      <c r="S281" s="284" t="n">
        <v>208.355</v>
      </c>
      <c r="T281" s="284" t="n">
        <v>99.70099999999999</v>
      </c>
      <c r="U281" s="284" t="n">
        <v>107.844</v>
      </c>
      <c r="V281" s="284" t="n">
        <v>107.844</v>
      </c>
      <c r="W281" s="284" t="n">
        <v>99.33499999999999</v>
      </c>
      <c r="X281" s="284" t="n">
        <v>129.427</v>
      </c>
      <c r="Y281" s="284" t="n">
        <v>114.107</v>
      </c>
      <c r="Z281" s="284" t="n">
        <v>137.447</v>
      </c>
      <c r="AA281" s="284" t="n">
        <v>137.447</v>
      </c>
      <c r="AB281" s="284" t="n">
        <v>144.348</v>
      </c>
      <c r="AC281" s="284" t="n">
        <v>316.932</v>
      </c>
      <c r="AD281" s="284" t="n">
        <v>308.332</v>
      </c>
      <c r="AE281" s="284" t="n">
        <v>282.27</v>
      </c>
      <c r="AF281" s="284" t="n">
        <v>282.27</v>
      </c>
      <c r="AG281" s="284" t="n">
        <v>283.726</v>
      </c>
      <c r="AH281" s="284" t="n">
        <v>364.141</v>
      </c>
      <c r="AI281" s="284" t="n">
        <v>473.159</v>
      </c>
      <c r="AJ281" s="284" t="n">
        <v>327.431</v>
      </c>
      <c r="AK281" s="284" t="n">
        <v>327.431</v>
      </c>
      <c r="AL281" s="284" t="n">
        <v>454.245</v>
      </c>
      <c r="AM281" s="284" t="n">
        <v>501.169</v>
      </c>
      <c r="AN281" s="284" t="n">
        <v>474.851</v>
      </c>
      <c r="AO281" s="32" t="n"/>
      <c r="AP281" s="262">
        <f>AP280+AP279</f>
        <v>300</v>
      </c>
      <c r="AQ281" s="262">
        <f>AQ280+AQ279</f>
        <v>300</v>
      </c>
      <c r="AR281" s="262">
        <f>AR280+AR279</f>
        <v>300</v>
      </c>
      <c r="AS281" s="262">
        <f>AS280+AS279</f>
        <v>300</v>
      </c>
      <c r="AT281" s="262">
        <f>AT280+AT279</f>
        <v>300</v>
      </c>
      <c r="AU281" s="262">
        <f>AU280+AU279</f>
        <v>300</v>
      </c>
      <c r="AV281" s="153" t="n"/>
    </row>
    <row r="282" ht="15" customHeight="1" s="251">
      <c r="B282" s="57" t="inlineStr">
        <is>
          <t xml:space="preserve">  Check: CFO + CFI + CFF + FX = change in cash (should be 0)</t>
        </is>
      </c>
      <c r="C282" s="263">
        <f>IF(AND(ISNUMBER(C280),ISNUMBER(C266)),IF(ABS(C280+C279-C281)&lt;=0.15,0,ROUND(C280+C279-C281,1)),"")</f>
        <v>0</v>
      </c>
      <c r="D282" s="263">
        <f>IF(AND(ISNUMBER(D280),ISNUMBER(D266)),IF(ABS(D280+D279-D281)&lt;=0.15,0,ROUND(D280+D279-D281,1)),"")</f>
        <v>0</v>
      </c>
      <c r="E282" s="263">
        <f>IF(AND(ISNUMBER(E280),ISNUMBER(E266)),IF(ABS(E280+E279-E281)&lt;=0.15,0,ROUND(E280+E279-E281,1)),"")</f>
        <v>0</v>
      </c>
      <c r="F282" s="263">
        <f>IF(AND(ISNUMBER(F280),ISNUMBER(F266)),IF(ABS(F280+F279-F281)&lt;=0.15,0,ROUND(F280+F279-F281,1)),"")</f>
        <v>0</v>
      </c>
      <c r="G282" s="263">
        <f>IF(AND(ISNUMBER(G280),ISNUMBER(G266)),IF(ABS(G280+G279-G281)&lt;=0.15,0,ROUND(G280+G279-G281,1)),"")</f>
        <v>0</v>
      </c>
      <c r="H282" s="263">
        <f>IF(AND(ISNUMBER(H280),ISNUMBER(H266)),IF(ABS(H280+H279-H281)&lt;=0.15,0,ROUND(H280+H279-H281,1)),"")</f>
        <v>0</v>
      </c>
      <c r="I282" s="263">
        <f>IF(AND(ISNUMBER(I280),ISNUMBER(I266)),IF(ABS(I280+I279-I281)&lt;=0.15,0,ROUND(I280+I279-I281,1)),"")</f>
        <v>0</v>
      </c>
      <c r="J282" s="263">
        <f>IF(AND(ISNUMBER(J280),ISNUMBER(J266)),IF(ABS(J280+J279-J281)&lt;=0.15,0,ROUND(J280+J279-J281,1)),"")</f>
        <v>0</v>
      </c>
      <c r="K282" s="263">
        <f>IF(AND(ISNUMBER(K280),ISNUMBER(K266)),IF(ABS(K280+K279-K281)&lt;=0.15,0,ROUND(K280+K279-K281,1)),"")</f>
        <v>0</v>
      </c>
      <c r="L282" s="263">
        <f>IF(AND(ISNUMBER(L280),ISNUMBER(L266)),IF(ABS(L280+L279-L281)&lt;=0.15,0,ROUND(L280+L279-L281,1)),"")</f>
        <v>0</v>
      </c>
      <c r="M282" s="263">
        <f>IF(AND(ISNUMBER(M280),ISNUMBER(M266)),IF(ABS(M280+M279-M281)&lt;=0.15,0,ROUND(M280+M279-M281,1)),"")</f>
        <v>0</v>
      </c>
      <c r="N282" s="263">
        <f>IF(AND(ISNUMBER(N280),ISNUMBER(N266)),IF(ABS(N280+N279-N281)&lt;=0.15,0,ROUND(N280+N279-N281,1)),"")</f>
        <v>0</v>
      </c>
      <c r="O282" s="263">
        <f>IF(AND(ISNUMBER(O280),ISNUMBER(O266)),IF(ABS(O280+O279-O281)&lt;=0.15,0,ROUND(O280+O279-O281,1)),"")</f>
        <v>0</v>
      </c>
      <c r="P282" s="263">
        <f>IF(AND(ISNUMBER(P280),ISNUMBER(P266)),IF(ABS(P280+P279-P281)&lt;=0.15,0,ROUND(P280+P279-P281,1)),"")</f>
        <v>0</v>
      </c>
      <c r="Q282" s="263">
        <f>IF(AND(ISNUMBER(Q280),ISNUMBER(Q266)),IF(ABS(Q280+Q279-Q281)&lt;=0.15,0,ROUND(Q280+Q279-Q281,1)),"")</f>
        <v>0</v>
      </c>
      <c r="R282" s="263">
        <f>IF(AND(ISNUMBER(R280),ISNUMBER(R266)),IF(ABS(R280+R279-R281)&lt;=0.15,0,ROUND(R280+R279-R281,1)),"")</f>
        <v>0</v>
      </c>
      <c r="S282" s="263">
        <f>IF(AND(ISNUMBER(S280),ISNUMBER(S266)),IF(ABS(S280+S279-S281)&lt;=0.15,0,ROUND(S280+S279-S281,1)),"")</f>
        <v>0</v>
      </c>
      <c r="T282" s="263">
        <f>IF(AND(ISNUMBER(T280),ISNUMBER(T266)),IF(ABS(T280+T279-T281)&lt;=0.15,0,ROUND(T280+T279-T281,1)),"")</f>
        <v>0</v>
      </c>
      <c r="U282" s="263">
        <f>IF(AND(ISNUMBER(U280),ISNUMBER(U266)),IF(ABS(U280+U279-U281)&lt;=0.15,0,ROUND(U280+U279-U281,1)),"")</f>
        <v>0</v>
      </c>
      <c r="V282" s="263">
        <f>IF(AND(ISNUMBER(V280),ISNUMBER(V266)),IF(ABS(V280+V279-V281)&lt;=0.15,0,ROUND(V280+V279-V281,1)),"")</f>
        <v>0</v>
      </c>
      <c r="W282" s="263">
        <f>IF(AND(ISNUMBER(W280),ISNUMBER(W266)),IF(ABS(W280+W279-W281)&lt;=0.15,0,ROUND(W280+W279-W281,1)),"")</f>
        <v>0</v>
      </c>
      <c r="X282" s="263">
        <f>IF(AND(ISNUMBER(X280),ISNUMBER(X266)),IF(ABS(X280+X279-X281)&lt;=0.15,0,ROUND(X280+X279-X281,1)),"")</f>
        <v>0</v>
      </c>
      <c r="Y282" s="263">
        <f>IF(AND(ISNUMBER(Y280),ISNUMBER(Y266)),IF(ABS(Y280+Y279-Y281)&lt;=0.15,0,ROUND(Y280+Y279-Y281,1)),"")</f>
        <v>0</v>
      </c>
      <c r="Z282" s="263">
        <f>IF(AND(ISNUMBER(Z280),ISNUMBER(Z266)),IF(ABS(Z280+Z279-Z281)&lt;=0.15,0,ROUND(Z280+Z279-Z281,1)),"")</f>
        <v>0</v>
      </c>
      <c r="AA282" s="263">
        <f>IF(AND(ISNUMBER(AA280),ISNUMBER(AA266)),IF(ABS(AA280+AA279-AA281)&lt;=0.15,0,ROUND(AA280+AA279-AA281,1)),"")</f>
        <v>0</v>
      </c>
      <c r="AB282" s="263">
        <f>IF(AND(ISNUMBER(AB280),ISNUMBER(AB266)),IF(ABS(AB280+AB279-AB281)&lt;=0.15,0,ROUND(AB280+AB279-AB281,1)),"")</f>
        <v>0</v>
      </c>
      <c r="AC282" s="263">
        <f>IF(AND(ISNUMBER(AC280),ISNUMBER(AC266)),IF(ABS(AC280+AC279-AC281)&lt;=0.15,0,ROUND(AC280+AC279-AC281,1)),"")</f>
        <v>0</v>
      </c>
      <c r="AD282" s="263">
        <f>IF(AND(ISNUMBER(AD280),ISNUMBER(AD266)),IF(ABS(AD280+AD279-AD281)&lt;=0.15,0,ROUND(AD280+AD279-AD281,1)),"")</f>
        <v>0</v>
      </c>
      <c r="AE282" s="263">
        <f>IF(AND(ISNUMBER(AE280),ISNUMBER(AE266)),IF(ABS(AE280+AE279-AE281)&lt;=0.15,0,ROUND(AE280+AE279-AE281,1)),"")</f>
        <v>0</v>
      </c>
      <c r="AF282" s="263">
        <f>IF(AND(ISNUMBER(AF280),ISNUMBER(AF266)),IF(ABS(AF280+AF279-AF281)&lt;=0.15,0,ROUND(AF280+AF279-AF281,1)),"")</f>
        <v>0</v>
      </c>
      <c r="AG282" s="263">
        <f>IF(AND(ISNUMBER(AG280),ISNUMBER(AG266)),IF(ABS(AG280+AG279-AG281)&lt;=0.15,0,ROUND(AG280+AG279-AG281,1)),"")</f>
        <v>0</v>
      </c>
      <c r="AH282" s="263">
        <f>IF(AND(ISNUMBER(AH280),ISNUMBER(AH266)),IF(ABS(AH280+AH279-AH281)&lt;=0.15,0,ROUND(AH280+AH279-AH281,1)),"")</f>
        <v>0</v>
      </c>
      <c r="AI282" s="263">
        <f>IF(AND(ISNUMBER(AI280),ISNUMBER(AI266)),IF(ABS(AI280+AI279-AI281)&lt;=0.15,0,ROUND(AI280+AI279-AI281,1)),"")</f>
        <v>0</v>
      </c>
      <c r="AJ282" s="263">
        <f>IF(AND(ISNUMBER(AJ280),ISNUMBER(AJ266)),IF(ABS(AJ280+AJ279-AJ281)&lt;=0.15,0,ROUND(AJ280+AJ279-AJ281,1)),"")</f>
        <v>0</v>
      </c>
      <c r="AK282" s="263">
        <f>IF(AND(ISNUMBER(AK280),ISNUMBER(AK266)),IF(ABS(AK280+AK279-AK281)&lt;=0.15,0,ROUND(AK280+AK279-AK281,1)),"")</f>
        <v>0</v>
      </c>
      <c r="AL282" s="263">
        <f>IF(AND(ISNUMBER(AL280),ISNUMBER(AL266)),IF(ABS(AL280+AL279-AL281)&lt;=0.15,0,ROUND(AL280+AL279-AL281,1)),"")</f>
        <v>0</v>
      </c>
      <c r="AM282" s="263">
        <f>IF(AND(ISNUMBER(AM280),ISNUMBER(AM266)),IF(ABS(AM280+AM279-AM281)&lt;=0.15,0,ROUND(AM280+AM279-AM281,1)),"")</f>
        <v>0</v>
      </c>
      <c r="AN282" s="263">
        <f>IF(AND(ISNUMBER(AN280),ISNUMBER(AN266)),IF(ABS(AN280+AN279-AN281)&lt;=0.15,0,ROUND(AN280+AN279-AN281,1)),"")</f>
        <v>0</v>
      </c>
      <c r="AO282" s="153" t="n"/>
      <c r="AP282" s="274">
        <f>IF(AND(ISNUMBER(AP280),ISNUMBER(AP266)),IF(ABS(AP280+AP279-AP281)&lt;=0.15,0,ROUND(AP280+AP279-AP281,1)),"")</f>
        <v>0</v>
      </c>
      <c r="AQ282" s="274">
        <f>IF(AND(ISNUMBER(AQ280),ISNUMBER(AQ266)),IF(ABS(AQ280+AQ279-AQ281)&lt;=0.15,0,ROUND(AQ280+AQ279-AQ281,1)),"")</f>
        <v>0</v>
      </c>
      <c r="AR282" s="274">
        <f>IF(AND(ISNUMBER(AR280),ISNUMBER(AR266)),IF(ABS(AR280+AR279-AR281)&lt;=0.15,0,ROUND(AR280+AR279-AR281,1)),"")</f>
        <v>0</v>
      </c>
      <c r="AS282" s="274">
        <f>IF(AND(ISNUMBER(AS280),ISNUMBER(AS266)),IF(ABS(AS280+AS279-AS281)&lt;=0.15,0,ROUND(AS280+AS279-AS281,1)),"")</f>
        <v>0</v>
      </c>
      <c r="AT282" s="274">
        <f>IF(AND(ISNUMBER(AT280),ISNUMBER(AT266)),IF(ABS(AT280+AT279-AT281)&lt;=0.15,0,ROUND(AT280+AT279-AT281,1)),"")</f>
        <v>0</v>
      </c>
      <c r="AU282" s="274">
        <f>IF(AND(ISNUMBER(AU280),ISNUMBER(AU266)),IF(ABS(AU280+AU279-AU281)&lt;=0.15,0,ROUND(AU280+AU279-AU281,1)),"")</f>
        <v>0</v>
      </c>
      <c r="AV282" s="153" t="n"/>
    </row>
    <row r="283" ht="15" customHeight="1" s="251">
      <c r="B283" s="57" t="inlineStr">
        <is>
          <t xml:space="preserve">  Check: CFO = sum of operating lines (should be 0)</t>
        </is>
      </c>
      <c r="C283" s="263">
        <f>IF(ISNUMBER(C259),IF(ABS(SUM(C259:C265)-C266)&lt;=0.15,0,ROUND(SUM(C259:C265)-C266,1)),"")</f>
        <v>0</v>
      </c>
      <c r="D283" s="263">
        <f>IF(ISNUMBER(D259),IF(ABS(SUM(D259:D265)-D266)&lt;=0.15,0,ROUND(SUM(D259:D265)-D266,1)),"")</f>
        <v>0</v>
      </c>
      <c r="E283" s="263">
        <f>IF(ISNUMBER(E259),IF(ABS(SUM(E259:E265)-E266)&lt;=0.15,0,ROUND(SUM(E259:E265)-E266,1)),"")</f>
        <v>0</v>
      </c>
      <c r="F283" s="263">
        <f>IF(ISNUMBER(F259),IF(ABS(SUM(F259:F265)-F266)&lt;=0.15,0,ROUND(SUM(F259:F265)-F266,1)),"")</f>
        <v>0</v>
      </c>
      <c r="G283" s="263">
        <f>IF(ISNUMBER(G259),IF(ABS(SUM(G259:G265)-G266)&lt;=0.15,0,ROUND(SUM(G259:G265)-G266,1)),"")</f>
        <v>0</v>
      </c>
      <c r="H283" s="263">
        <f>IF(ISNUMBER(H259),IF(ABS(SUM(H259:H265)-H266)&lt;=0.15,0,ROUND(SUM(H259:H265)-H266,1)),"")</f>
        <v>0</v>
      </c>
      <c r="I283" s="263">
        <f>IF(ISNUMBER(I259),IF(ABS(SUM(I259:I265)-I266)&lt;=0.15,0,ROUND(SUM(I259:I265)-I266,1)),"")</f>
        <v>0</v>
      </c>
      <c r="J283" s="263">
        <f>IF(ISNUMBER(J259),IF(ABS(SUM(J259:J265)-J266)&lt;=0.15,0,ROUND(SUM(J259:J265)-J266,1)),"")</f>
        <v>0</v>
      </c>
      <c r="K283" s="263">
        <f>IF(ISNUMBER(K259),IF(ABS(SUM(K259:K265)-K266)&lt;=0.15,0,ROUND(SUM(K259:K265)-K266,1)),"")</f>
        <v>0</v>
      </c>
      <c r="L283" s="263">
        <f>IF(ISNUMBER(L259),IF(ABS(SUM(L259:L265)-L266)&lt;=0.15,0,ROUND(SUM(L259:L265)-L266,1)),"")</f>
        <v>0</v>
      </c>
      <c r="M283" s="263">
        <f>IF(ISNUMBER(M259),IF(ABS(SUM(M259:M265)-M266)&lt;=0.15,0,ROUND(SUM(M259:M265)-M266,1)),"")</f>
        <v>0</v>
      </c>
      <c r="N283" s="263">
        <f>IF(ISNUMBER(N259),IF(ABS(SUM(N259:N265)-N266)&lt;=0.15,0,ROUND(SUM(N259:N265)-N266,1)),"")</f>
        <v>0</v>
      </c>
      <c r="O283" s="263">
        <f>IF(ISNUMBER(O259),IF(ABS(SUM(O259:O265)-O266)&lt;=0.15,0,ROUND(SUM(O259:O265)-O266,1)),"")</f>
        <v>0</v>
      </c>
      <c r="P283" s="263">
        <f>IF(ISNUMBER(P259),IF(ABS(SUM(P259:P265)-P266)&lt;=0.15,0,ROUND(SUM(P259:P265)-P266,1)),"")</f>
        <v>0</v>
      </c>
      <c r="Q283" s="263">
        <f>IF(ISNUMBER(Q259),IF(ABS(SUM(Q259:Q265)-Q266)&lt;=0.15,0,ROUND(SUM(Q259:Q265)-Q266,1)),"")</f>
        <v>0</v>
      </c>
      <c r="R283" s="263">
        <f>IF(ISNUMBER(R259),IF(ABS(SUM(R259:R265)-R266)&lt;=0.15,0,ROUND(SUM(R259:R265)-R266,1)),"")</f>
        <v>0</v>
      </c>
      <c r="S283" s="263">
        <f>IF(ISNUMBER(S259),IF(ABS(SUM(S259:S265)-S266)&lt;=0.15,0,ROUND(SUM(S259:S265)-S266,1)),"")</f>
        <v>0</v>
      </c>
      <c r="T283" s="263">
        <f>IF(ISNUMBER(T259),IF(ABS(SUM(T259:T265)-T266)&lt;=0.15,0,ROUND(SUM(T259:T265)-T266,1)),"")</f>
        <v>0</v>
      </c>
      <c r="U283" s="263">
        <f>IF(ISNUMBER(U259),IF(ABS(SUM(U259:U265)-U266)&lt;=0.15,0,ROUND(SUM(U259:U265)-U266,1)),"")</f>
        <v>0</v>
      </c>
      <c r="V283" s="263">
        <f>IF(ISNUMBER(V259),IF(ABS(SUM(V259:V265)-V266)&lt;=0.15,0,ROUND(SUM(V259:V265)-V266,1)),"")</f>
        <v>0</v>
      </c>
      <c r="W283" s="263">
        <f>IF(ISNUMBER(W259),IF(ABS(SUM(W259:W265)-W266)&lt;=0.15,0,ROUND(SUM(W259:W265)-W266,1)),"")</f>
        <v>0</v>
      </c>
      <c r="X283" s="263">
        <f>IF(ISNUMBER(X259),IF(ABS(SUM(X259:X265)-X266)&lt;=0.15,0,ROUND(SUM(X259:X265)-X266,1)),"")</f>
        <v>0</v>
      </c>
      <c r="Y283" s="263">
        <f>IF(ISNUMBER(Y259),IF(ABS(SUM(Y259:Y265)-Y266)&lt;=0.15,0,ROUND(SUM(Y259:Y265)-Y266,1)),"")</f>
        <v>0</v>
      </c>
      <c r="Z283" s="263">
        <f>IF(ISNUMBER(Z259),IF(ABS(SUM(Z259:Z265)-Z266)&lt;=0.15,0,ROUND(SUM(Z259:Z265)-Z266,1)),"")</f>
        <v>0</v>
      </c>
      <c r="AA283" s="263">
        <f>IF(ISNUMBER(AA259),IF(ABS(SUM(AA259:AA265)-AA266)&lt;=0.15,0,ROUND(SUM(AA259:AA265)-AA266,1)),"")</f>
        <v>0</v>
      </c>
      <c r="AB283" s="263">
        <f>IF(ISNUMBER(AB259),IF(ABS(SUM(AB259:AB265)-AB266)&lt;=0.15,0,ROUND(SUM(AB259:AB265)-AB266,1)),"")</f>
        <v>0</v>
      </c>
      <c r="AC283" s="263">
        <f>IF(ISNUMBER(AC259),IF(ABS(SUM(AC259:AC265)-AC266)&lt;=0.15,0,ROUND(SUM(AC259:AC265)-AC266,1)),"")</f>
        <v>0</v>
      </c>
      <c r="AD283" s="263">
        <f>IF(ISNUMBER(AD259),IF(ABS(SUM(AD259:AD265)-AD266)&lt;=0.15,0,ROUND(SUM(AD259:AD265)-AD266,1)),"")</f>
        <v>0</v>
      </c>
      <c r="AE283" s="263">
        <f>IF(ISNUMBER(AE259),IF(ABS(SUM(AE259:AE265)-AE266)&lt;=0.15,0,ROUND(SUM(AE259:AE265)-AE266,1)),"")</f>
        <v>0</v>
      </c>
      <c r="AF283" s="263">
        <f>IF(ISNUMBER(AF259),IF(ABS(SUM(AF259:AF265)-AF266)&lt;=0.15,0,ROUND(SUM(AF259:AF265)-AF266,1)),"")</f>
        <v>0</v>
      </c>
      <c r="AG283" s="263">
        <f>IF(ISNUMBER(AG259),IF(ABS(SUM(AG259:AG265)-AG266)&lt;=0.15,0,ROUND(SUM(AG259:AG265)-AG266,1)),"")</f>
        <v>0</v>
      </c>
      <c r="AH283" s="263">
        <f>IF(ISNUMBER(AH259),IF(ABS(SUM(AH259:AH265)-AH266)&lt;=0.15,0,ROUND(SUM(AH259:AH265)-AH266,1)),"")</f>
        <v>0</v>
      </c>
      <c r="AI283" s="263">
        <f>IF(ISNUMBER(AI259),IF(ABS(SUM(AI259:AI265)-AI266)&lt;=0.15,0,ROUND(SUM(AI259:AI265)-AI266,1)),"")</f>
        <v>0</v>
      </c>
      <c r="AJ283" s="263">
        <f>IF(ISNUMBER(AJ259),IF(ABS(SUM(AJ259:AJ265)-AJ266)&lt;=0.15,0,ROUND(SUM(AJ259:AJ265)-AJ266,1)),"")</f>
        <v>0</v>
      </c>
      <c r="AK283" s="263">
        <f>IF(ISNUMBER(AK259),IF(ABS(SUM(AK259:AK265)-AK266)&lt;=0.15,0,ROUND(SUM(AK259:AK265)-AK266,1)),"")</f>
        <v>0</v>
      </c>
      <c r="AL283" s="263">
        <f>IF(ISNUMBER(AL259),IF(ABS(SUM(AL259:AL265)-AL266)&lt;=0.15,0,ROUND(SUM(AL259:AL265)-AL266,1)),"")</f>
        <v>0</v>
      </c>
      <c r="AM283" s="263">
        <f>IF(ISNUMBER(AM259),IF(ABS(SUM(AM259:AM265)-AM266)&lt;=0.15,0,ROUND(SUM(AM259:AM265)-AM266,1)),"")</f>
        <v>0</v>
      </c>
      <c r="AN283" s="263">
        <f>IF(ISNUMBER(AN259),IF(ABS(SUM(AN259:AN265)-AN266)&lt;=0.15,0,ROUND(SUM(AN259:AN265)-AN266,1)),"")</f>
        <v>0</v>
      </c>
      <c r="AO283" s="153" t="n"/>
      <c r="AP283" s="274">
        <f>IF(ISNUMBER(AP259),IF(ABS(SUM(AP259:AP265)-AP266)&lt;=0.15,0,ROUND(SUM(AP259:AP265)-AP266,1)),"")</f>
        <v>0</v>
      </c>
      <c r="AQ283" s="274">
        <f>IF(ISNUMBER(AQ259),IF(ABS(SUM(AQ259:AQ265)-AQ266)&lt;=0.15,0,ROUND(SUM(AQ259:AQ265)-AQ266,1)),"")</f>
        <v>0</v>
      </c>
      <c r="AR283" s="274">
        <f>IF(ISNUMBER(AR259),IF(ABS(SUM(AR259:AR265)-AR266)&lt;=0.15,0,ROUND(SUM(AR259:AR265)-AR266,1)),"")</f>
        <v>0</v>
      </c>
      <c r="AS283" s="274">
        <f>IF(ISNUMBER(AS259),IF(ABS(SUM(AS259:AS265)-AS266)&lt;=0.15,0,ROUND(SUM(AS259:AS265)-AS266,1)),"")</f>
        <v>0</v>
      </c>
      <c r="AT283" s="274">
        <f>IF(ISNUMBER(AT259),IF(ABS(SUM(AT259:AT265)-AT266)&lt;=0.15,0,ROUND(SUM(AT259:AT265)-AT266,1)),"")</f>
        <v>0</v>
      </c>
      <c r="AU283" s="274">
        <f>IF(ISNUMBER(AU259),IF(ABS(SUM(AU259:AU265)-AU266)&lt;=0.15,0,ROUND(SUM(AU259:AU265)-AU266,1)),"")</f>
        <v>0</v>
      </c>
      <c r="AV283" s="153" t="n"/>
    </row>
    <row r="284" ht="15" customHeight="1" s="251">
      <c r="B284" s="25" t="inlineStr">
        <is>
          <t>(Memo)</t>
        </is>
      </c>
      <c r="AV284" s="153" t="n"/>
    </row>
    <row r="285" ht="15" customHeight="1" s="251">
      <c r="B285" s="55" t="inlineStr">
        <is>
          <t>Free cash flow (company definition: CFO − payments for PP&amp;E)</t>
        </is>
      </c>
      <c r="C285" s="273">
        <f>IF(AND(ISNUMBER(C266),ISNUMBER(C267)),C266+C267,"")</f>
        <v>66.368</v>
      </c>
      <c r="D285" s="273">
        <f>IF(AND(ISNUMBER(D266),ISNUMBER(D267)),D266+D267,"")</f>
        <v>79.213</v>
      </c>
      <c r="E285" s="273">
        <f>IF(AND(ISNUMBER(E266),ISNUMBER(E267)),E266+E267,"")</f>
        <v>80.992</v>
      </c>
      <c r="F285" s="273">
        <f>IF(AND(ISNUMBER(F266),ISNUMBER(F267)),F266+F267,"")</f>
        <v>60.977</v>
      </c>
      <c r="G285" s="273">
        <f>IF(AND(ISNUMBER(G266),ISNUMBER(G267)),G266+G267,"")</f>
        <v>0.81699999999995</v>
      </c>
      <c r="H285" s="273">
        <f>IF(AND(ISNUMBER(H266),ISNUMBER(H267)),H266+H267,"")</f>
        <v>259.687</v>
      </c>
      <c r="I285" s="273">
        <f>IF(AND(ISNUMBER(I266),ISNUMBER(I267)),I266+I267,"")</f>
        <v>215.201</v>
      </c>
      <c r="J285" s="273">
        <f>IF(AND(ISNUMBER(J266),ISNUMBER(J267)),J266+J267,"")</f>
        <v>172.152</v>
      </c>
      <c r="K285" s="273">
        <f>IF(AND(ISNUMBER(K266),ISNUMBER(K267)),K266+K267,"")</f>
        <v>291.542</v>
      </c>
      <c r="L285" s="273">
        <f>IF(AND(ISNUMBER(L266),ISNUMBER(L267)),L266+L267,"")</f>
        <v>302.404</v>
      </c>
      <c r="M285" s="273">
        <f>IF(AND(ISNUMBER(M266),ISNUMBER(M267)),M266+M267,"")</f>
        <v>139.462</v>
      </c>
      <c r="N285" s="273">
        <f>IF(AND(ISNUMBER(N266),ISNUMBER(N267)),N266+N267,"")</f>
        <v>66.222</v>
      </c>
      <c r="O285" s="273">
        <f>IF(AND(ISNUMBER(O266),ISNUMBER(O267)),O266+O267,"")</f>
        <v>90.884</v>
      </c>
      <c r="P285" s="273">
        <f>IF(AND(ISNUMBER(P266),ISNUMBER(P267)),P266+P267,"")</f>
        <v>130.412</v>
      </c>
      <c r="Q285" s="273">
        <f>IF(AND(ISNUMBER(Q266),ISNUMBER(Q267)),Q266+Q267,"")</f>
        <v>426.98</v>
      </c>
      <c r="R285" s="273">
        <f>IF(AND(ISNUMBER(R266),ISNUMBER(R267)),R266+R267,"")</f>
        <v>26.167</v>
      </c>
      <c r="S285" s="273">
        <f>IF(AND(ISNUMBER(S266),ISNUMBER(S267)),S266+S267,"")</f>
        <v>-0.209</v>
      </c>
      <c r="T285" s="273">
        <f>IF(AND(ISNUMBER(T266),ISNUMBER(T267)),T266+T267,"")</f>
        <v>22.953</v>
      </c>
      <c r="U285" s="273">
        <f>IF(AND(ISNUMBER(U266),ISNUMBER(U267)),U266+U267,"")</f>
        <v>91.859</v>
      </c>
      <c r="V285" s="273">
        <f>IF(AND(ISNUMBER(V266),ISNUMBER(V267)),V266+V267,"")</f>
        <v>140.77</v>
      </c>
      <c r="W285" s="273">
        <f>IF(AND(ISNUMBER(W266),ISNUMBER(W267)),W266+W267,"")</f>
        <v>-18.988</v>
      </c>
      <c r="X285" s="273">
        <f>IF(AND(ISNUMBER(X266),ISNUMBER(X267)),X266+X267,"")</f>
        <v>15.092</v>
      </c>
      <c r="Y285" s="273">
        <f>IF(AND(ISNUMBER(Y266),ISNUMBER(Y267)),Y266+Y267,"")</f>
        <v>102.384</v>
      </c>
      <c r="Z285" s="273">
        <f>IF(AND(ISNUMBER(Z266),ISNUMBER(Z267)),Z266+Z267,"")</f>
        <v>133.555</v>
      </c>
      <c r="AA285" s="273">
        <f>IF(AND(ISNUMBER(AA266),ISNUMBER(AA267)),AA266+AA267,"")</f>
        <v>232.043</v>
      </c>
      <c r="AB285" s="273">
        <f>IF(AND(ISNUMBER(AB266),ISNUMBER(AB267)),AB266+AB267,"")</f>
        <v>4.977</v>
      </c>
      <c r="AC285" s="273">
        <f>IF(AND(ISNUMBER(AC266),ISNUMBER(AC267)),AC266+AC267,"")</f>
        <v>82.84</v>
      </c>
      <c r="AD285" s="273">
        <f>IF(AND(ISNUMBER(AD266),ISNUMBER(AD267)),AD266+AD267,"")</f>
        <v>137.319</v>
      </c>
      <c r="AE285" s="273">
        <f>IF(AND(ISNUMBER(AE266),ISNUMBER(AE267)),AE266+AE267,"")</f>
        <v>117.673</v>
      </c>
      <c r="AF285" s="273">
        <f>IF(AND(ISNUMBER(AF266),ISNUMBER(AF267)),AF266+AF267,"")</f>
        <v>342.809</v>
      </c>
      <c r="AG285" s="273">
        <f>IF(AND(ISNUMBER(AG266),ISNUMBER(AG267)),AG266+AG267,"")</f>
        <v>0.942</v>
      </c>
      <c r="AH285" s="273">
        <f>IF(AND(ISNUMBER(AH266),ISNUMBER(AH267)),AH266+AH267,"")</f>
        <v>59.409</v>
      </c>
      <c r="AI285" s="273">
        <f>IF(AND(ISNUMBER(AI266),ISNUMBER(AI267)),AI266+AI267,"")</f>
        <v>99.088</v>
      </c>
      <c r="AJ285" s="273">
        <f>IF(AND(ISNUMBER(AJ266),ISNUMBER(AJ267)),AJ266+AJ267,"")</f>
        <v>180.927</v>
      </c>
      <c r="AK285" s="273">
        <f>IF(AND(ISNUMBER(AK266),ISNUMBER(AK267)),AK266+AK267,"")</f>
        <v>340.366</v>
      </c>
      <c r="AL285" s="273">
        <f>IF(AND(ISNUMBER(AL266),ISNUMBER(AL267)),AL266+AL267,"")</f>
        <v>70.308</v>
      </c>
      <c r="AM285" s="273">
        <f>IF(AND(ISNUMBER(AM266),ISNUMBER(AM267)),AM266+AM267,"")</f>
        <v>38.236</v>
      </c>
      <c r="AN285" s="273">
        <f>IF(AND(ISNUMBER(AN266),ISNUMBER(AN267)),AN266+AN267,"")</f>
        <v>87.056</v>
      </c>
      <c r="AO285" s="56" t="n"/>
      <c r="AP285" s="273">
        <f>IF(AND(ISNUMBER(AP266),ISNUMBER(AP267)),AP266+AP267,"")</f>
        <v>292.756137999885</v>
      </c>
      <c r="AQ285" s="273">
        <f>IF(AND(ISNUMBER(AQ266),ISNUMBER(AQ267)),AQ266+AQ267,"")</f>
        <v>420.658415889876</v>
      </c>
      <c r="AR285" s="273">
        <f>IF(AND(ISNUMBER(AR266),ISNUMBER(AR267)),AR266+AR267,"")</f>
        <v>606.49126675796</v>
      </c>
      <c r="AS285" s="273">
        <f>IF(AND(ISNUMBER(AS266),ISNUMBER(AS267)),AS266+AS267,"")</f>
        <v>713.130482613651</v>
      </c>
      <c r="AT285" s="273">
        <f>IF(AND(ISNUMBER(AT266),ISNUMBER(AT267)),AT266+AT267,"")</f>
        <v>789.6124399</v>
      </c>
      <c r="AU285" s="273">
        <f>IF(AND(ISNUMBER(AU266),ISNUMBER(AU267)),AU266+AU267,"")</f>
        <v>848.513781050445</v>
      </c>
      <c r="AV285" s="153" t="n"/>
      <c r="AX285" s="20">
        <f>IFERROR((AU285/AP285)^(1/5)-1,"n/m")</f>
        <v>0.237173412389536</v>
      </c>
      <c r="AY285" s="20">
        <f>IFERROR((AK285/L285)^(1/5)-1,"n/m")</f>
        <v>0.023933443064571</v>
      </c>
      <c r="AZ285" s="20">
        <f>IFERROR((AK285/G285)^(1/10)-1,"n/m")</f>
        <v>0.827984089709671</v>
      </c>
      <c r="BA285" s="20">
        <f>IFERROR((AK285/C285)^(1/14)-1,"n/m")</f>
        <v>0.123863038990611</v>
      </c>
    </row>
    <row r="286" ht="15" customHeight="1" s="251">
      <c r="B286" s="156" t="inlineStr">
        <is>
          <t xml:space="preserve">  Company-published free cash flow</t>
        </is>
      </c>
      <c r="C286" s="253" t="n">
        <v>66.36799999999999</v>
      </c>
      <c r="D286" s="253" t="n">
        <v>79.21299999999999</v>
      </c>
      <c r="E286" s="253" t="n">
        <v>80.992</v>
      </c>
      <c r="F286" s="253" t="n">
        <v>60.977</v>
      </c>
      <c r="G286" s="253" t="n">
        <v>0.8169999999999999</v>
      </c>
      <c r="H286" s="253" t="n">
        <v>259.687</v>
      </c>
      <c r="I286" s="253" t="n">
        <v>215.201</v>
      </c>
      <c r="J286" s="253" t="n">
        <v>172.152</v>
      </c>
      <c r="K286" s="253" t="n">
        <v>291.542</v>
      </c>
      <c r="L286" s="253" t="n">
        <v>302.404</v>
      </c>
      <c r="M286" s="253" t="n">
        <v>139.462</v>
      </c>
      <c r="N286" s="34" t="n"/>
      <c r="O286" s="34" t="n"/>
      <c r="P286" s="34" t="n"/>
      <c r="Q286" s="253" t="n">
        <v>426.98</v>
      </c>
      <c r="R286" s="253" t="n">
        <v>26.167</v>
      </c>
      <c r="S286" s="34" t="n"/>
      <c r="T286" s="34" t="n"/>
      <c r="U286" s="34" t="n"/>
      <c r="V286" s="253" t="n">
        <v>140.77</v>
      </c>
      <c r="W286" s="253" t="n">
        <v>-18.988</v>
      </c>
      <c r="X286" s="34" t="n"/>
      <c r="Y286" s="34" t="n"/>
      <c r="Z286" s="34" t="n"/>
      <c r="AA286" s="253" t="n">
        <v>232.043</v>
      </c>
      <c r="AB286" s="253" t="n">
        <v>4.977</v>
      </c>
      <c r="AC286" s="34" t="n"/>
      <c r="AD286" s="34" t="n"/>
      <c r="AE286" s="253" t="n">
        <v>117.673</v>
      </c>
      <c r="AF286" s="253" t="n">
        <v>342.809</v>
      </c>
      <c r="AG286" s="253" t="n">
        <v>0.9419999999999999</v>
      </c>
      <c r="AH286" s="34" t="n"/>
      <c r="AI286" s="34" t="n"/>
      <c r="AJ286" s="253" t="n">
        <v>180.927</v>
      </c>
      <c r="AK286" s="253" t="n">
        <v>340.366</v>
      </c>
      <c r="AL286" s="253" t="n">
        <v>70.30800000000001</v>
      </c>
      <c r="AM286" s="253" t="n">
        <v>38.236</v>
      </c>
      <c r="AN286" s="253" t="n">
        <v>87.056</v>
      </c>
      <c r="AO286" s="153" t="n"/>
      <c r="AP286" s="153" t="n"/>
      <c r="AQ286" s="153" t="n"/>
      <c r="AR286" s="153" t="n"/>
      <c r="AS286" s="153" t="n"/>
      <c r="AT286" s="153" t="n"/>
      <c r="AU286" s="153" t="n"/>
      <c r="AV286" s="153" t="n"/>
    </row>
    <row r="287" ht="15" customHeight="1" s="251">
      <c r="B287" s="57" t="inlineStr">
        <is>
          <t xml:space="preserve">  Check: model vs company-published free cash flow (should be 0)</t>
        </is>
      </c>
      <c r="C287" s="263">
        <f>IF(ISNUMBER(C286),IF(ABS(C285-C286)&lt;=0.15,0,ROUND(C285-C286,1)),"n/p")</f>
        <v>0</v>
      </c>
      <c r="D287" s="263">
        <f>IF(ISNUMBER(D286),IF(ABS(D285-D286)&lt;=0.15,0,ROUND(D285-D286,1)),"n/p")</f>
        <v>0</v>
      </c>
      <c r="E287" s="263">
        <f>IF(ISNUMBER(E286),IF(ABS(E285-E286)&lt;=0.15,0,ROUND(E285-E286,1)),"n/p")</f>
        <v>0</v>
      </c>
      <c r="F287" s="263">
        <f>IF(ISNUMBER(F286),IF(ABS(F285-F286)&lt;=0.15,0,ROUND(F285-F286,1)),"n/p")</f>
        <v>0</v>
      </c>
      <c r="G287" s="263">
        <f>IF(ISNUMBER(G286),IF(ABS(G285-G286)&lt;=0.15,0,ROUND(G285-G286,1)),"n/p")</f>
        <v>0</v>
      </c>
      <c r="H287" s="263">
        <f>IF(ISNUMBER(H286),IF(ABS(H285-H286)&lt;=0.15,0,ROUND(H285-H286,1)),"n/p")</f>
        <v>0</v>
      </c>
      <c r="I287" s="263">
        <f>IF(ISNUMBER(I286),IF(ABS(I285-I286)&lt;=0.15,0,ROUND(I285-I286,1)),"n/p")</f>
        <v>0</v>
      </c>
      <c r="J287" s="263">
        <f>IF(ISNUMBER(J286),IF(ABS(J285-J286)&lt;=0.15,0,ROUND(J285-J286,1)),"n/p")</f>
        <v>0</v>
      </c>
      <c r="K287" s="263">
        <f>IF(ISNUMBER(K286),IF(ABS(K285-K286)&lt;=0.15,0,ROUND(K285-K286,1)),"n/p")</f>
        <v>0</v>
      </c>
      <c r="L287" s="263">
        <f>IF(ISNUMBER(L286),IF(ABS(L285-L286)&lt;=0.15,0,ROUND(L285-L286,1)),"n/p")</f>
        <v>0</v>
      </c>
      <c r="M287" s="263">
        <f>IF(ISNUMBER(M286),IF(ABS(M285-M286)&lt;=0.15,0,ROUND(M285-M286,1)),"n/p")</f>
        <v>0</v>
      </c>
      <c r="N287" s="263" t="str">
        <f>IF(ISNUMBER(N286),IF(ABS(N285-N286)&lt;=0.15,0,ROUND(N285-N286,1)),"n/p")</f>
        <v>n/p</v>
      </c>
      <c r="O287" s="263" t="str">
        <f>IF(ISNUMBER(O286),IF(ABS(O285-O286)&lt;=0.15,0,ROUND(O285-O286,1)),"n/p")</f>
        <v>n/p</v>
      </c>
      <c r="P287" s="263" t="str">
        <f>IF(ISNUMBER(P286),IF(ABS(P285-P286)&lt;=0.15,0,ROUND(P285-P286,1)),"n/p")</f>
        <v>n/p</v>
      </c>
      <c r="Q287" s="263">
        <f>IF(ISNUMBER(Q286),IF(ABS(Q285-Q286)&lt;=0.15,0,ROUND(Q285-Q286,1)),"n/p")</f>
        <v>0</v>
      </c>
      <c r="R287" s="263">
        <f>IF(ISNUMBER(R286),IF(ABS(R285-R286)&lt;=0.15,0,ROUND(R285-R286,1)),"n/p")</f>
        <v>0</v>
      </c>
      <c r="S287" s="263" t="str">
        <f>IF(ISNUMBER(S286),IF(ABS(S285-S286)&lt;=0.15,0,ROUND(S285-S286,1)),"n/p")</f>
        <v>n/p</v>
      </c>
      <c r="T287" s="263" t="str">
        <f>IF(ISNUMBER(T286),IF(ABS(T285-T286)&lt;=0.15,0,ROUND(T285-T286,1)),"n/p")</f>
        <v>n/p</v>
      </c>
      <c r="U287" s="263" t="str">
        <f>IF(ISNUMBER(U286),IF(ABS(U285-U286)&lt;=0.15,0,ROUND(U285-U286,1)),"n/p")</f>
        <v>n/p</v>
      </c>
      <c r="V287" s="263">
        <f>IF(ISNUMBER(V286),IF(ABS(V285-V286)&lt;=0.15,0,ROUND(V285-V286,1)),"n/p")</f>
        <v>0</v>
      </c>
      <c r="W287" s="263">
        <f>IF(ISNUMBER(W286),IF(ABS(W285-W286)&lt;=0.15,0,ROUND(W285-W286,1)),"n/p")</f>
        <v>0</v>
      </c>
      <c r="X287" s="263" t="str">
        <f>IF(ISNUMBER(X286),IF(ABS(X285-X286)&lt;=0.15,0,ROUND(X285-X286,1)),"n/p")</f>
        <v>n/p</v>
      </c>
      <c r="Y287" s="263" t="str">
        <f>IF(ISNUMBER(Y286),IF(ABS(Y285-Y286)&lt;=0.15,0,ROUND(Y285-Y286,1)),"n/p")</f>
        <v>n/p</v>
      </c>
      <c r="Z287" s="263" t="str">
        <f>IF(ISNUMBER(Z286),IF(ABS(Z285-Z286)&lt;=0.15,0,ROUND(Z285-Z286,1)),"n/p")</f>
        <v>n/p</v>
      </c>
      <c r="AA287" s="263">
        <f>IF(ISNUMBER(AA286),IF(ABS(AA285-AA286)&lt;=0.15,0,ROUND(AA285-AA286,1)),"n/p")</f>
        <v>0</v>
      </c>
      <c r="AB287" s="263">
        <f>IF(ISNUMBER(AB286),IF(ABS(AB285-AB286)&lt;=0.15,0,ROUND(AB285-AB286,1)),"n/p")</f>
        <v>0</v>
      </c>
      <c r="AC287" s="263" t="str">
        <f>IF(ISNUMBER(AC286),IF(ABS(AC285-AC286)&lt;=0.15,0,ROUND(AC285-AC286,1)),"n/p")</f>
        <v>n/p</v>
      </c>
      <c r="AD287" s="263" t="str">
        <f>IF(ISNUMBER(AD286),IF(ABS(AD285-AD286)&lt;=0.15,0,ROUND(AD285-AD286,1)),"n/p")</f>
        <v>n/p</v>
      </c>
      <c r="AE287" s="263">
        <f>IF(ISNUMBER(AE286),IF(ABS(AE285-AE286)&lt;=0.15,0,ROUND(AE285-AE286,1)),"n/p")</f>
        <v>0</v>
      </c>
      <c r="AF287" s="263">
        <f>IF(ISNUMBER(AF286),IF(ABS(AF285-AF286)&lt;=0.15,0,ROUND(AF285-AF286,1)),"n/p")</f>
        <v>0</v>
      </c>
      <c r="AG287" s="263">
        <f>IF(ISNUMBER(AG286),IF(ABS(AG285-AG286)&lt;=0.15,0,ROUND(AG285-AG286,1)),"n/p")</f>
        <v>0</v>
      </c>
      <c r="AH287" s="263" t="str">
        <f>IF(ISNUMBER(AH286),IF(ABS(AH285-AH286)&lt;=0.15,0,ROUND(AH285-AH286,1)),"n/p")</f>
        <v>n/p</v>
      </c>
      <c r="AI287" s="263" t="str">
        <f>IF(ISNUMBER(AI286),IF(ABS(AI285-AI286)&lt;=0.15,0,ROUND(AI285-AI286,1)),"n/p")</f>
        <v>n/p</v>
      </c>
      <c r="AJ287" s="263">
        <f>IF(ISNUMBER(AJ286),IF(ABS(AJ285-AJ286)&lt;=0.15,0,ROUND(AJ285-AJ286,1)),"n/p")</f>
        <v>0</v>
      </c>
      <c r="AK287" s="263">
        <f>IF(ISNUMBER(AK286),IF(ABS(AK285-AK286)&lt;=0.15,0,ROUND(AK285-AK286,1)),"n/p")</f>
        <v>0</v>
      </c>
      <c r="AL287" s="263">
        <f>IF(ISNUMBER(AL286),IF(ABS(AL285-AL286)&lt;=0.15,0,ROUND(AL285-AL286,1)),"n/p")</f>
        <v>0</v>
      </c>
      <c r="AM287" s="263">
        <f>IF(ISNUMBER(AM286),IF(ABS(AM285-AM286)&lt;=0.15,0,ROUND(AM285-AM286,1)),"n/p")</f>
        <v>0</v>
      </c>
      <c r="AN287" s="263">
        <f>IF(ISNUMBER(AN286),IF(ABS(AN285-AN286)&lt;=0.15,0,ROUND(AN285-AN286,1)),"n/p")</f>
        <v>0</v>
      </c>
      <c r="AO287" s="153" t="n"/>
      <c r="AP287" s="153" t="n"/>
      <c r="AQ287" s="153" t="n"/>
      <c r="AR287" s="153" t="n"/>
      <c r="AS287" s="153" t="n"/>
      <c r="AT287" s="153" t="n"/>
      <c r="AU287" s="153" t="n"/>
      <c r="AV287" s="153" t="n"/>
    </row>
    <row r="288" ht="15" customHeight="1" s="251">
      <c r="B288" s="22" t="inlineStr">
        <is>
          <t xml:space="preserve">  FCF y/y %</t>
        </is>
      </c>
      <c r="C288" s="23" t="n"/>
      <c r="D288" s="255">
        <f>IF(AND(ISNUMBER(D285),ISNUMBER(C285)),IFERROR(D285/C285-1,""),"")</f>
        <v>0.193542068466731</v>
      </c>
      <c r="E288" s="255">
        <f>IF(AND(ISNUMBER(E285),ISNUMBER(D285)),IFERROR(E285/D285-1,""),"")</f>
        <v>0.0224584348528654</v>
      </c>
      <c r="F288" s="255">
        <f>IF(AND(ISNUMBER(F285),ISNUMBER(E285)),IFERROR(F285/E285-1,""),"")</f>
        <v>-0.247123172659028</v>
      </c>
      <c r="G288" s="255">
        <f>IF(AND(ISNUMBER(G285),ISNUMBER(F285)),IFERROR(G285/F285-1,""),"")</f>
        <v>-0.986601505485676</v>
      </c>
      <c r="H288" s="255">
        <f>IF(AND(ISNUMBER(H285),ISNUMBER(G285)),IFERROR(H285/G285-1,""),"")</f>
        <v>316.854345165258</v>
      </c>
      <c r="I288" s="255">
        <f>IF(AND(ISNUMBER(I285),ISNUMBER(H285)),IFERROR(I285/H285-1,""),"")</f>
        <v>-0.171306226341712</v>
      </c>
      <c r="J288" s="255">
        <f>IF(AND(ISNUMBER(J285),ISNUMBER(I285)),IFERROR(J285/I285-1,""),"")</f>
        <v>-0.20004089200329</v>
      </c>
      <c r="K288" s="255">
        <f>IF(AND(ISNUMBER(K285),ISNUMBER(J285)),IFERROR(K285/J285-1,""),"")</f>
        <v>0.693515033226451</v>
      </c>
      <c r="L288" s="255">
        <f>IF(AND(ISNUMBER(L285),ISNUMBER(K285)),IFERROR(L285/K285-1,""),"")</f>
        <v>0.0372570675923194</v>
      </c>
      <c r="M288" s="23" t="n"/>
      <c r="N288" s="23" t="n"/>
      <c r="O288" s="23" t="n"/>
      <c r="P288" s="23" t="n"/>
      <c r="Q288" s="255">
        <f>IF(AND(ISNUMBER(Q285),ISNUMBER(L285)),IFERROR(Q285/L285-1,""),"")</f>
        <v>0.411952222854195</v>
      </c>
      <c r="R288" s="255">
        <f>IF(AND(ISNUMBER(R285),ISNUMBER(M285)),IFERROR(R285/M285-1,""),"")</f>
        <v>-0.812371828885288</v>
      </c>
      <c r="S288" s="255">
        <f>IF(AND(ISNUMBER(S285),ISNUMBER(N285)),IFERROR(S285/N285-1,""),"")</f>
        <v>-1.00315605085923</v>
      </c>
      <c r="T288" s="255">
        <f>IF(AND(ISNUMBER(T285),ISNUMBER(O285)),IFERROR(T285/O285-1,""),"")</f>
        <v>-0.747447295453545</v>
      </c>
      <c r="U288" s="255">
        <f>IF(AND(ISNUMBER(U285),ISNUMBER(P285)),IFERROR(U285/P285-1,""),"")</f>
        <v>-0.295624635769714</v>
      </c>
      <c r="V288" s="255">
        <f>IF(AND(ISNUMBER(V285),ISNUMBER(Q285)),IFERROR(V285/Q285-1,""),"")</f>
        <v>-0.67031242681156</v>
      </c>
      <c r="W288" s="255">
        <f>IF(AND(ISNUMBER(W285),ISNUMBER(R285)),IFERROR(W285/R285-1,""),"")</f>
        <v>-1.72564680704704</v>
      </c>
      <c r="X288" s="255">
        <f>IF(AND(ISNUMBER(X285),ISNUMBER(S285)),IFERROR(X285/S285-1,""),"")</f>
        <v>-73.2105263157896</v>
      </c>
      <c r="Y288" s="255">
        <f>IF(AND(ISNUMBER(Y285),ISNUMBER(T285)),IFERROR(Y285/T285-1,""),"")</f>
        <v>3.46059338648543</v>
      </c>
      <c r="Z288" s="255">
        <f>IF(AND(ISNUMBER(Z285),ISNUMBER(U285)),IFERROR(Z285/U285-1,""),"")</f>
        <v>0.453913062410869</v>
      </c>
      <c r="AA288" s="255">
        <f>IF(AND(ISNUMBER(AA285),ISNUMBER(V285)),IFERROR(AA285/V285-1,""),"")</f>
        <v>0.648383888612631</v>
      </c>
      <c r="AB288" s="255">
        <f>IF(AND(ISNUMBER(AB285),ISNUMBER(W285)),IFERROR(AB285/W285-1,""),"")</f>
        <v>-1.262112913419</v>
      </c>
      <c r="AC288" s="255">
        <f>IF(AND(ISNUMBER(AC285),ISNUMBER(X285)),IFERROR(AC285/X285-1,""),"")</f>
        <v>4.48900079512324</v>
      </c>
      <c r="AD288" s="255">
        <f>IF(AND(ISNUMBER(AD285),ISNUMBER(Y285)),IFERROR(AD285/Y285-1,""),"")</f>
        <v>0.341215424285045</v>
      </c>
      <c r="AE288" s="255">
        <f>IF(AND(ISNUMBER(AE285),ISNUMBER(Z285)),IFERROR(AE285/Z285-1,""),"")</f>
        <v>-0.118917299988769</v>
      </c>
      <c r="AF288" s="255">
        <f>IF(AND(ISNUMBER(AF285),ISNUMBER(AA285)),IFERROR(AF285/AA285-1,""),"")</f>
        <v>0.477351180600147</v>
      </c>
      <c r="AG288" s="255">
        <f>IF(AND(ISNUMBER(AG285),ISNUMBER(AB285)),IFERROR(AG285/AB285-1,""),"")</f>
        <v>-0.810729355033153</v>
      </c>
      <c r="AH288" s="255">
        <f>IF(AND(ISNUMBER(AH285),ISNUMBER(AC285)),IFERROR(AH285/AC285-1,""),"")</f>
        <v>-0.28284645098986</v>
      </c>
      <c r="AI288" s="255">
        <f>IF(AND(ISNUMBER(AI285),ISNUMBER(AD285)),IFERROR(AI285/AD285-1,""),"")</f>
        <v>-0.278410125328614</v>
      </c>
      <c r="AJ288" s="255">
        <f>IF(AND(ISNUMBER(AJ285),ISNUMBER(AE285)),IFERROR(AJ285/AE285-1,""),"")</f>
        <v>0.537540472325853</v>
      </c>
      <c r="AK288" s="255">
        <f>IF(AND(ISNUMBER(AK285),ISNUMBER(AF285)),IFERROR(AK285/AF285-1,""),"")</f>
        <v>-0.00712641733443398</v>
      </c>
      <c r="AL288" s="255">
        <f>IF(AND(ISNUMBER(AL285),ISNUMBER(AG285)),IFERROR(AL285/AG285-1,""),"")</f>
        <v>73.6369426751592</v>
      </c>
      <c r="AM288" s="255">
        <f>IF(AND(ISNUMBER(AM285),ISNUMBER(AH285)),IFERROR(AM285/AH285-1,""),"")</f>
        <v>-0.356393812385329</v>
      </c>
      <c r="AN288" s="255">
        <f>IF(AND(ISNUMBER(AN285),ISNUMBER(AI285)),IFERROR(AN285/AI285-1,""),"")</f>
        <v>-0.12142741805264</v>
      </c>
      <c r="AO288" s="24" t="n"/>
      <c r="AP288" s="256">
        <f>IF(AND(ISNUMBER(AP285),ISNUMBER(AK285)),IFERROR(AP285/AK285-1,""),"")</f>
        <v>-0.139878430865934</v>
      </c>
      <c r="AQ288" s="256">
        <f>IF(AND(ISNUMBER(AQ285),ISNUMBER(AP285)),IFERROR(AQ285/AP285-1,""),"")</f>
        <v>0.436890166552343</v>
      </c>
      <c r="AR288" s="256">
        <f>IF(AND(ISNUMBER(AR285),ISNUMBER(AQ285)),IFERROR(AR285/AQ285-1,""),"")</f>
        <v>0.441766630235999</v>
      </c>
      <c r="AS288" s="256">
        <f>IF(AND(ISNUMBER(AS285),ISNUMBER(AR285)),IFERROR(AS285/AR285-1,""),"")</f>
        <v>0.175829763263926</v>
      </c>
      <c r="AT288" s="256">
        <f>IF(AND(ISNUMBER(AT285),ISNUMBER(AS285)),IFERROR(AT285/AS285-1,""),"")</f>
        <v>0.107248195317693</v>
      </c>
      <c r="AU288" s="256">
        <f>IF(AND(ISNUMBER(AU285),ISNUMBER(AT285)),IFERROR(AU285/AT285-1,""),"")</f>
        <v>0.0745952548036146</v>
      </c>
      <c r="AV288" s="153" t="n"/>
    </row>
    <row r="289" ht="15" customHeight="1" s="251">
      <c r="B289" s="25" t="inlineStr">
        <is>
          <t xml:space="preserve">  FCF % of net sales</t>
        </is>
      </c>
      <c r="C289" s="215">
        <f>IF(AND(ISNUMBER(C285),ISNUMBER(C150)),IFERROR(C285/C150,""),"")</f>
        <v>0.0387731041968754</v>
      </c>
      <c r="D289" s="215">
        <f>IF(AND(ISNUMBER(D285),ISNUMBER(D150)),IFERROR(D285/D150,""),"")</f>
        <v>0.0424591839633539</v>
      </c>
      <c r="E289" s="215">
        <f>IF(AND(ISNUMBER(E285),ISNUMBER(E150)),IFERROR(E285/E150,""),"")</f>
        <v>0.0418352293623475</v>
      </c>
      <c r="F289" s="215">
        <f>IF(AND(ISNUMBER(F285),ISNUMBER(F150)),IFERROR(F285/F150,""),"")</f>
        <v>0.0304696088425177</v>
      </c>
      <c r="G289" s="215">
        <f>IF(AND(ISNUMBER(G285),ISNUMBER(G150)),IFERROR(G285/G150,""),"")</f>
        <v>0.000400823626320498</v>
      </c>
      <c r="H289" s="215">
        <f>IF(AND(ISNUMBER(H285),ISNUMBER(H150)),IFERROR(H285/H150,""),"")</f>
        <v>0.128362327107507</v>
      </c>
      <c r="I289" s="215">
        <f>IF(AND(ISNUMBER(I285),ISNUMBER(I150)),IFERROR(I285/I150,""),"")</f>
        <v>0.102540876787131</v>
      </c>
      <c r="J289" s="215">
        <f>IF(AND(ISNUMBER(J285),ISNUMBER(J150)),IFERROR(J285/J150,""),"")</f>
        <v>0.0740160791238387</v>
      </c>
      <c r="K289" s="215">
        <f>IF(AND(ISNUMBER(K285),ISNUMBER(K150)),IFERROR(K285/K150,""),"")</f>
        <v>0.100524895377797</v>
      </c>
      <c r="L289" s="215">
        <f>IF(AND(ISNUMBER(L285),ISNUMBER(L150)),IFERROR(L285/L150,""),"")</f>
        <v>0.121171711748171</v>
      </c>
      <c r="M289" s="215">
        <f>IF(AND(ISNUMBER(M285),ISNUMBER(M150)),IFERROR(M285/M150,""),"")</f>
        <v>0.259406754597587</v>
      </c>
      <c r="N289" s="215">
        <f>IF(AND(ISNUMBER(N285),ISNUMBER(N150)),IFERROR(N285/N150,""),"")</f>
        <v>0.113916407630208</v>
      </c>
      <c r="O289" s="215">
        <f>IF(AND(ISNUMBER(O285),ISNUMBER(O150)),IFERROR(O285/O150,""),"")</f>
        <v>0.163262226613374</v>
      </c>
      <c r="P289" s="215">
        <f>IF(AND(ISNUMBER(P285),ISNUMBER(P150)),IFERROR(P285/P150,""),"")</f>
        <v>0.228705913713551</v>
      </c>
      <c r="Q289" s="215">
        <f>IF(AND(ISNUMBER(Q285),ISNUMBER(Q150)),IFERROR(Q285/Q150,""),"")</f>
        <v>0.190121077622903</v>
      </c>
      <c r="R289" s="215">
        <f>IF(AND(ISNUMBER(R285),ISNUMBER(R150)),IFERROR(R285/R150,""),"")</f>
        <v>0.0483155029856754</v>
      </c>
      <c r="S289" s="215">
        <f>IF(AND(ISNUMBER(S285),ISNUMBER(S150)),IFERROR(S285/S150,""),"")</f>
        <v>-0.000356145382293951</v>
      </c>
      <c r="T289" s="215">
        <f>IF(AND(ISNUMBER(T285),ISNUMBER(T150)),IFERROR(T285/T150,""),"")</f>
        <v>0.0373625336137463</v>
      </c>
      <c r="U289" s="215">
        <f>IF(AND(ISNUMBER(U285),ISNUMBER(U150)),IFERROR(U285/U150,""),"")</f>
        <v>0.14352228713207</v>
      </c>
      <c r="V289" s="215">
        <f>IF(AND(ISNUMBER(V285),ISNUMBER(V150)),IFERROR(V285/V150,""),"")</f>
        <v>0.0590778037510649</v>
      </c>
      <c r="W289" s="215">
        <f>IF(AND(ISNUMBER(W285),ISNUMBER(W150)),IFERROR(W285/W150,""),"")</f>
        <v>-0.0306941752516492</v>
      </c>
      <c r="X289" s="215">
        <f>IF(AND(ISNUMBER(X285),ISNUMBER(X150)),IFERROR(X285/X150,""),"")</f>
        <v>0.0210132356094423</v>
      </c>
      <c r="Y289" s="215">
        <f>IF(AND(ISNUMBER(Y285),ISNUMBER(Y150)),IFERROR(Y285/Y150,""),"")</f>
        <v>0.127874024402277</v>
      </c>
      <c r="Z289" s="215">
        <f>IF(AND(ISNUMBER(Z285),ISNUMBER(Z150)),IFERROR(Z285/Z150,""),"")</f>
        <v>0.171869973104096</v>
      </c>
      <c r="AA289" s="215">
        <f>IF(AND(ISNUMBER(AA285),ISNUMBER(AA150)),IFERROR(AA285/AA150,""),"")</f>
        <v>0.0796149409551885</v>
      </c>
      <c r="AB289" s="215">
        <f>IF(AND(ISNUMBER(AB285),ISNUMBER(AB150)),IFERROR(AB285/AB150,""),"")</f>
        <v>0.0063261856037014</v>
      </c>
      <c r="AC289" s="215">
        <f>IF(AND(ISNUMBER(AC285),ISNUMBER(AC150)),IFERROR(AC285/AC150,""),"")</f>
        <v>0.0991688444148092</v>
      </c>
      <c r="AD289" s="215">
        <f>IF(AND(ISNUMBER(AD285),ISNUMBER(AD150)),IFERROR(AD285/AD150,""),"")</f>
        <v>0.161992383990336</v>
      </c>
      <c r="AE289" s="215">
        <f>IF(AND(ISNUMBER(AE285),ISNUMBER(AE150)),IFERROR(AE285/AE150,""),"")</f>
        <v>0.137711705723193</v>
      </c>
      <c r="AF289" s="215">
        <f>IF(AND(ISNUMBER(AF285),ISNUMBER(AF150)),IFERROR(AF285/AF150,""),"")</f>
        <v>0.103123743137172</v>
      </c>
      <c r="AG289" s="215">
        <f>IF(AND(ISNUMBER(AG285),ISNUMBER(AG150)),IFERROR(AG285/AG150,""),"")</f>
        <v>0.00121906240900709</v>
      </c>
      <c r="AH289" s="215">
        <f>IF(AND(ISNUMBER(AH285),ISNUMBER(AH150)),IFERROR(AH285/AH150,""),"")</f>
        <v>0.0672329676821381</v>
      </c>
      <c r="AI289" s="215">
        <f>IF(AND(ISNUMBER(AI285),ISNUMBER(AI150)),IFERROR(AI285/AI150,""),"")</f>
        <v>0.108240136501771</v>
      </c>
      <c r="AJ289" s="215">
        <f>IF(AND(ISNUMBER(AJ285),ISNUMBER(AJ150)),IFERROR(AJ285/AJ150,""),"")</f>
        <v>0.181787947720404</v>
      </c>
      <c r="AK289" s="215">
        <f>IF(AND(ISNUMBER(AK285),ISNUMBER(AK150)),IFERROR(AK285/AK150,""),"")</f>
        <v>0.0954190897612154</v>
      </c>
      <c r="AL289" s="215">
        <f>IF(AND(ISNUMBER(AL285),ISNUMBER(AL150)),IFERROR(AL285/AL150,""),"")</f>
        <v>0.0705581993749837</v>
      </c>
      <c r="AM289" s="215">
        <f>IF(AND(ISNUMBER(AM285),ISNUMBER(AM150)),IFERROR(AM285/AM150,""),"")</f>
        <v>0.0350606289566538</v>
      </c>
      <c r="AN289" s="215">
        <f>IF(AND(ISNUMBER(AN285),ISNUMBER(AN150)),IFERROR(AN285/AN150,""),"")</f>
        <v>0.0784496780675946</v>
      </c>
      <c r="AO289" s="24" t="n"/>
      <c r="AP289" s="256">
        <f>IF(AND(ISNUMBER(AP285),ISNUMBER(AP150)),IFERROR(AP285/AP150,""),"")</f>
        <v>0.0675489853586509</v>
      </c>
      <c r="AQ289" s="256">
        <f>IF(AND(ISNUMBER(AQ285),ISNUMBER(AQ150)),IFERROR(AQ285/AQ150,""),"")</f>
        <v>0.0893681641516519</v>
      </c>
      <c r="AR289" s="256">
        <f>IF(AND(ISNUMBER(AR285),ISNUMBER(AR150)),IFERROR(AR285/AR150,""),"")</f>
        <v>0.118882229334498</v>
      </c>
      <c r="AS289" s="256">
        <f>IF(AND(ISNUMBER(AS285),ISNUMBER(AS150)),IFERROR(AS285/AS150,""),"")</f>
        <v>0.130451974713328</v>
      </c>
      <c r="AT289" s="256">
        <f>IF(AND(ISNUMBER(AT285),ISNUMBER(AT150)),IFERROR(AT285/AT150,""),"")</f>
        <v>0.136227322414071</v>
      </c>
      <c r="AU289" s="256">
        <f>IF(AND(ISNUMBER(AU285),ISNUMBER(AU150)),IFERROR(AU285/AU150,""),"")</f>
        <v>0.138566487946494</v>
      </c>
      <c r="AV289" s="153" t="n"/>
      <c r="AX289" s="37">
        <f>IFERROR(AVERAGE(AQ289,AR289,AS289,AT289,AU289),"n/m")</f>
        <v>0.122699235712009</v>
      </c>
      <c r="AY289" s="37">
        <f>IFERROR(AVERAGE(Q289,V289,AA289,AF289,AK289),"n/m")</f>
        <v>0.105471331045509</v>
      </c>
      <c r="AZ289" s="37">
        <f>IFERROR(AVERAGE(H289,I289,J289,K289,L289,Q289,V289,AA289,AF289,AK289),"n/m")</f>
        <v>0.105397254537199</v>
      </c>
      <c r="BA289" s="37">
        <f>IFERROR(AVERAGE(C289,D289,E289,F289,G289,H289,I289,J289,K289,L289,Q289,V289,AA289,AF289,AK289),"n/m")</f>
        <v>0.0805273663575602</v>
      </c>
    </row>
    <row r="290" ht="15" customHeight="1" s="251">
      <c r="B290" s="25" t="inlineStr">
        <is>
          <t xml:space="preserve">  FCF / adjusted net earnings conversion %</t>
        </is>
      </c>
      <c r="C290" s="215">
        <f>IF(AND(ISNUMBER(C285),ISNUMBER(C228)),IFERROR(C285/C228,""),"")</f>
        <v>0.50189435474723</v>
      </c>
      <c r="D290" s="215">
        <f>IF(AND(ISNUMBER(D285),ISNUMBER(D228)),IFERROR(D285/D228,""),"")</f>
        <v>0.559457302474062</v>
      </c>
      <c r="E290" s="215">
        <f>IF(AND(ISNUMBER(E285),ISNUMBER(E228)),IFERROR(E285/E228,""),"")</f>
        <v>0.554960189664387</v>
      </c>
      <c r="F290" s="215">
        <f>IF(AND(ISNUMBER(F285),ISNUMBER(F228)),IFERROR(F285/F228,""),"")</f>
        <v>0.367676852946142</v>
      </c>
      <c r="G290" s="215">
        <f>IF(AND(ISNUMBER(G285),ISNUMBER(G228)),IFERROR(G285/G228,""),"")</f>
        <v>0.00450256817229874</v>
      </c>
      <c r="H290" s="215">
        <f>IF(AND(ISNUMBER(H285),ISNUMBER(H228)),IFERROR(H285/H228,""),"")</f>
        <v>1.43602008427432</v>
      </c>
      <c r="I290" s="215">
        <f>IF(AND(ISNUMBER(I285),ISNUMBER(I228)),IFERROR(I285/I228,""),"")</f>
        <v>1.07328422449092</v>
      </c>
      <c r="J290" s="215">
        <f>IF(AND(ISNUMBER(J285),ISNUMBER(J228)),IFERROR(J285/J228,""),"")</f>
        <v>0.700004066197699</v>
      </c>
      <c r="K290" s="215">
        <f>IF(AND(ISNUMBER(K285),ISNUMBER(K228)),IFERROR(K285/K228,""),"")</f>
        <v>0.927072336203717</v>
      </c>
      <c r="L290" s="215">
        <f>IF(AND(ISNUMBER(L285),ISNUMBER(L228)),IFERROR(L285/L228,""),"")</f>
        <v>1.19039352535261</v>
      </c>
      <c r="M290" s="215">
        <f>IF(AND(ISNUMBER(M285),ISNUMBER(M228)),IFERROR(M285/M228,""),"")</f>
        <v>3.35487130141929</v>
      </c>
      <c r="N290" s="215">
        <f>IF(AND(ISNUMBER(N285),ISNUMBER(N228)),IFERROR(N285/N228,""),"")</f>
        <v>0.969390891923938</v>
      </c>
      <c r="O290" s="215">
        <f>IF(AND(ISNUMBER(O285),ISNUMBER(O228)),IFERROR(O285/O228,""),"")</f>
        <v>1.86005198420008</v>
      </c>
      <c r="P290" s="215">
        <f>IF(AND(ISNUMBER(P285),ISNUMBER(P228)),IFERROR(P285/P228,""),"")</f>
        <v>2.43120001491396</v>
      </c>
      <c r="Q290" s="215">
        <f>IF(AND(ISNUMBER(Q285),ISNUMBER(Q228)),IFERROR(Q285/Q228,""),"")</f>
        <v>2.01040563128281</v>
      </c>
      <c r="R290" s="215">
        <f>IF(AND(ISNUMBER(R285),ISNUMBER(R228)),IFERROR(R285/R228,""),"")</f>
        <v>0.721032762943981</v>
      </c>
      <c r="S290" s="215">
        <f>IF(AND(ISNUMBER(S285),ISNUMBER(S228)),IFERROR(S285/S228,""),"")</f>
        <v>-0.00448401630551383</v>
      </c>
      <c r="T290" s="215">
        <f>IF(AND(ISNUMBER(T285),ISNUMBER(T228)),IFERROR(T285/T228,""),"")</f>
        <v>0.581884094711758</v>
      </c>
      <c r="U290" s="215">
        <f>IF(AND(ISNUMBER(U285),ISNUMBER(U228)),IFERROR(U285/U228,""),"")</f>
        <v>1.78450151526925</v>
      </c>
      <c r="V290" s="215">
        <f>IF(AND(ISNUMBER(V285),ISNUMBER(V228)),IFERROR(V285/V228,""),"")</f>
        <v>0.809846798179758</v>
      </c>
      <c r="W290" s="215">
        <f>IF(AND(ISNUMBER(W285),ISNUMBER(W228)),IFERROR(W285/W228,""),"")</f>
        <v>-0.64135648179423</v>
      </c>
      <c r="X290" s="215">
        <f>IF(AND(ISNUMBER(X285),ISNUMBER(X228)),IFERROR(X285/X228,""),"")</f>
        <v>0.244527617103323</v>
      </c>
      <c r="Y290" s="215">
        <f>IF(AND(ISNUMBER(Y285),ISNUMBER(Y228)),IFERROR(Y285/Y228,""),"")</f>
        <v>1.21022707124198</v>
      </c>
      <c r="Z290" s="215">
        <f>IF(AND(ISNUMBER(Z285),ISNUMBER(Z228)),IFERROR(Z285/Z228,""),"")</f>
        <v>1.61587136427431</v>
      </c>
      <c r="AA290" s="215">
        <f>IF(AND(ISNUMBER(AA285),ISNUMBER(AA228)),IFERROR(AA285/AA228,""),"")</f>
        <v>0.897388001980075</v>
      </c>
      <c r="AB290" s="215">
        <f>IF(AND(ISNUMBER(AB285),ISNUMBER(AB228)),IFERROR(AB285/AB228,""),"")</f>
        <v>0.0554163743862111</v>
      </c>
      <c r="AC290" s="215">
        <f>IF(AND(ISNUMBER(AC285),ISNUMBER(AC228)),IFERROR(AC285/AC228,""),"")</f>
        <v>0.821621621621621</v>
      </c>
      <c r="AD290" s="215">
        <f>IF(AND(ISNUMBER(AD285),ISNUMBER(AD228)),IFERROR(AD285/AD228,""),"")</f>
        <v>1.34527553269655</v>
      </c>
      <c r="AE290" s="215">
        <f>IF(AND(ISNUMBER(AE285),ISNUMBER(AE228)),IFERROR(AE285/AE228,""),"")</f>
        <v>1.36156204801851</v>
      </c>
      <c r="AF290" s="215">
        <f>IF(AND(ISNUMBER(AF285),ISNUMBER(AF228)),IFERROR(AF285/AF228,""),"")</f>
        <v>0.904184778021607</v>
      </c>
      <c r="AG290" s="215">
        <f>IF(AND(ISNUMBER(AG285),ISNUMBER(AG228)),IFERROR(AG285/AG228,""),"")</f>
        <v>0.01140891639517</v>
      </c>
      <c r="AH290" s="215">
        <f>IF(AND(ISNUMBER(AH285),ISNUMBER(AH228)),IFERROR(AH285/AH228,""),"")</f>
        <v>0.574610697359513</v>
      </c>
      <c r="AI290" s="215">
        <f>IF(AND(ISNUMBER(AI285),ISNUMBER(AI228)),IFERROR(AI285/AI228,""),"")</f>
        <v>0.913691354381824</v>
      </c>
      <c r="AJ290" s="215">
        <f>IF(AND(ISNUMBER(AJ285),ISNUMBER(AJ228)),IFERROR(AJ285/AJ228,""),"")</f>
        <v>1.40091677055184</v>
      </c>
      <c r="AK290" s="215">
        <f>IF(AND(ISNUMBER(AK285),ISNUMBER(AK228)),IFERROR(AK285/AK228,""),"")</f>
        <v>0.803597188545471</v>
      </c>
      <c r="AL290" s="215">
        <f>IF(AND(ISNUMBER(AL285),ISNUMBER(AL228)),IFERROR(AL285/AL228,""),"")</f>
        <v>0.52578915486954</v>
      </c>
      <c r="AM290" s="215">
        <f>IF(AND(ISNUMBER(AM285),ISNUMBER(AM228)),IFERROR(AM285/AM228,""),"")</f>
        <v>0.274830010206575</v>
      </c>
      <c r="AN290" s="215">
        <f>IF(AND(ISNUMBER(AN285),ISNUMBER(AN228)),IFERROR(AN285/AN228,""),"")</f>
        <v>0.566667534564012</v>
      </c>
      <c r="AO290" s="24" t="n"/>
      <c r="AP290" s="256">
        <f>IF(AND(ISNUMBER(AP285),ISNUMBER(AP228)),IFERROR(AP285/AP228,""),"")</f>
        <v>0.50957119615795</v>
      </c>
      <c r="AQ290" s="256">
        <f>IF(AND(ISNUMBER(AQ285),ISNUMBER(AQ228)),IFERROR(AQ285/AQ228,""),"")</f>
        <v>0.659859187829136</v>
      </c>
      <c r="AR290" s="256">
        <f>IF(AND(ISNUMBER(AR285),ISNUMBER(AR228)),IFERROR(AR285/AR228,""),"")</f>
        <v>0.868555486121488</v>
      </c>
      <c r="AS290" s="256">
        <f>IF(AND(ISNUMBER(AS285),ISNUMBER(AS228)),IFERROR(AS285/AS228,""),"")</f>
        <v>0.934611696424609</v>
      </c>
      <c r="AT290" s="256">
        <f>IF(AND(ISNUMBER(AT285),ISNUMBER(AT228)),IFERROR(AT285/AT228,""),"")</f>
        <v>0.965817327346121</v>
      </c>
      <c r="AU290" s="256">
        <f>IF(AND(ISNUMBER(AU285),ISNUMBER(AU228)),IFERROR(AU285/AU228,""),"")</f>
        <v>0.972807649580309</v>
      </c>
      <c r="AV290" s="153" t="n"/>
      <c r="AX290" s="37">
        <f>IFERROR(AVERAGE(AQ290,AR290,AS290,AT290,AU290),"n/m")</f>
        <v>0.880330269460333</v>
      </c>
      <c r="AY290" s="37">
        <f>IFERROR(AVERAGE(Q290,V290,AA290,AF290,AK290),"n/m")</f>
        <v>1.08508447960194</v>
      </c>
      <c r="AZ290" s="37">
        <f>IFERROR(AVERAGE(H290,I290,J290,K290,L290,Q290,V290,AA290,AF290,AK290),"n/m")</f>
        <v>1.0752196634529</v>
      </c>
      <c r="BA290" s="37">
        <f>IFERROR(AVERAGE(C290,D290,E290,F290,G290,H290,I290,J290,K290,L290,Q290,V290,AA290,AF290,AK290),"n/m")</f>
        <v>0.849379193502207</v>
      </c>
    </row>
    <row r="291" ht="15" customHeight="1" s="251">
      <c r="B291" s="25" t="inlineStr">
        <is>
          <t xml:space="preserve">  FCF per diluted share ($)</t>
        </is>
      </c>
      <c r="C291" s="280">
        <f>IF(AND(ISNUMBER(C285),ISNUMBER(C175)),IFERROR(C285/C175,""),"")</f>
        <v>0.946221842030225</v>
      </c>
      <c r="D291" s="280">
        <f>IF(AND(ISNUMBER(D285),ISNUMBER(D175)),IFERROR(D285/D175,""),"")</f>
        <v>1.12667301975621</v>
      </c>
      <c r="E291" s="280">
        <f>IF(AND(ISNUMBER(E285),ISNUMBER(E175)),IFERROR(E285/E175,""),"")</f>
        <v>1.16364472285279</v>
      </c>
      <c r="F291" s="280">
        <f>IF(AND(ISNUMBER(F285),ISNUMBER(F175)),IFERROR(F285/F175,""),"")</f>
        <v>0.899684254013221</v>
      </c>
      <c r="G291" s="280">
        <f>IF(AND(ISNUMBER(G285),ISNUMBER(G175)),IFERROR(G285/G175,""),"")</f>
        <v>0.0123682935690921</v>
      </c>
      <c r="H291" s="280">
        <f>IF(AND(ISNUMBER(H285),ISNUMBER(H175)),IFERROR(H285/H175,""),"")</f>
        <v>4.08595569261753</v>
      </c>
      <c r="I291" s="280">
        <f>IF(AND(ISNUMBER(I285),ISNUMBER(I175)),IFERROR(I285/I175,""),"")</f>
        <v>3.38835180753243</v>
      </c>
      <c r="J291" s="280">
        <f>IF(AND(ISNUMBER(J285),ISNUMBER(J175)),IFERROR(J285/J175,""),"")</f>
        <v>2.69509674995303</v>
      </c>
      <c r="K291" s="280">
        <f>IF(AND(ISNUMBER(K285),ISNUMBER(K175)),IFERROR(K285/K175,""),"")</f>
        <v>4.52017116809824</v>
      </c>
      <c r="L291" s="280">
        <f>IF(AND(ISNUMBER(L285),ISNUMBER(L175)),IFERROR(L285/L175,""),"")</f>
        <v>4.70968244327119</v>
      </c>
      <c r="M291" s="280">
        <f>IF(AND(ISNUMBER(M285),ISNUMBER(M175)),IFERROR(M285/M175,""),"")</f>
        <v>2.14914010972077</v>
      </c>
      <c r="N291" s="280">
        <f>IF(AND(ISNUMBER(N285),ISNUMBER(N175)),IFERROR(N285/N175,""),"")</f>
        <v>1.00865141499376</v>
      </c>
      <c r="O291" s="280">
        <f>IF(AND(ISNUMBER(O285),ISNUMBER(O175)),IFERROR(O285/O175,""),"")</f>
        <v>1.37891063571537</v>
      </c>
      <c r="P291" s="280">
        <f>IF(AND(ISNUMBER(P285),ISNUMBER(P175)),IFERROR(P285/P175,""),"")</f>
        <v>1.98462966626592</v>
      </c>
      <c r="Q291" s="280">
        <f>IF(AND(ISNUMBER(Q285),ISNUMBER(Q175)),IFERROR(Q285/Q175,""),"")</f>
        <v>6.51330943482572</v>
      </c>
      <c r="R291" s="280">
        <f>IF(AND(ISNUMBER(R285),ISNUMBER(R175)),IFERROR(R285/R175,""),"")</f>
        <v>0.401957019309052</v>
      </c>
      <c r="S291" s="280">
        <f>IF(AND(ISNUMBER(S285),ISNUMBER(S175)),IFERROR(S285/S175,""),"")</f>
        <v>-0.00323439289362097</v>
      </c>
      <c r="T291" s="280">
        <f>IF(AND(ISNUMBER(T285),ISNUMBER(T175)),IFERROR(T285/T175,""),"")</f>
        <v>0.369684963277928</v>
      </c>
      <c r="U291" s="280">
        <f>IF(AND(ISNUMBER(U285),ISNUMBER(U175)),IFERROR(U285/U175,""),"")</f>
        <v>1.50013064637293</v>
      </c>
      <c r="V291" s="280">
        <f>IF(AND(ISNUMBER(V285),ISNUMBER(V175)),IFERROR(V285/V175,""),"")</f>
        <v>2.22547190691498</v>
      </c>
      <c r="W291" s="280">
        <f>IF(AND(ISNUMBER(W285),ISNUMBER(W175)),IFERROR(W285/W175,""),"")</f>
        <v>-0.311646533613445</v>
      </c>
      <c r="X291" s="280">
        <f>IF(AND(ISNUMBER(X285),ISNUMBER(X175)),IFERROR(X285/X175,""),"")</f>
        <v>0.246492560471687</v>
      </c>
      <c r="Y291" s="280">
        <f>IF(AND(ISNUMBER(Y285),ISNUMBER(Y175)),IFERROR(Y285/Y175,""),"")</f>
        <v>1.66232079362245</v>
      </c>
      <c r="Z291" s="280">
        <f>IF(AND(ISNUMBER(Z285),ISNUMBER(Z175)),IFERROR(Z285/Z175,""),"")</f>
        <v>2.15275874852915</v>
      </c>
      <c r="AA291" s="280">
        <f>IF(AND(ISNUMBER(AA285),ISNUMBER(AA175)),IFERROR(AA285/AA175,""),"")</f>
        <v>3.7741615432159</v>
      </c>
      <c r="AB291" s="280">
        <f>IF(AND(ISNUMBER(AB285),ISNUMBER(AB175)),IFERROR(AB285/AB175,""),"")</f>
        <v>0.0804740807812956</v>
      </c>
      <c r="AC291" s="280">
        <f>IF(AND(ISNUMBER(AC285),ISNUMBER(AC175)),IFERROR(AC285/AC175,""),"")</f>
        <v>1.32830914775916</v>
      </c>
      <c r="AD291" s="280">
        <f>IF(AND(ISNUMBER(AD285),ISNUMBER(AD175)),IFERROR(AD285/AD175,""),"")</f>
        <v>2.19633089152618</v>
      </c>
      <c r="AE291" s="280">
        <f>IF(AND(ISNUMBER(AE285),ISNUMBER(AE175)),IFERROR(AE285/AE175,""),"")</f>
        <v>1.9169666856724</v>
      </c>
      <c r="AF291" s="280">
        <f>IF(AND(ISNUMBER(AF285),ISNUMBER(AF175)),IFERROR(AF285/AF175,""),"")</f>
        <v>5.5216964113137</v>
      </c>
      <c r="AG291" s="280">
        <f>IF(AND(ISNUMBER(AG285),ISNUMBER(AG175)),IFERROR(AG285/AG175,""),"")</f>
        <v>0.0154070100260055</v>
      </c>
      <c r="AH291" s="280">
        <f>IF(AND(ISNUMBER(AH285),ISNUMBER(AH175)),IFERROR(AH285/AH175,""),"")</f>
        <v>0.968456572769953</v>
      </c>
      <c r="AI291" s="280">
        <f>IF(AND(ISNUMBER(AI285),ISNUMBER(AI175)),IFERROR(AI285/AI175,""),"")</f>
        <v>1.61150143117356</v>
      </c>
      <c r="AJ291" s="280">
        <f>IF(AND(ISNUMBER(AJ285),ISNUMBER(AJ175)),IFERROR(AJ285/AJ175,""),"")</f>
        <v>2.93141607258587</v>
      </c>
      <c r="AK291" s="280">
        <f>IF(AND(ISNUMBER(AK285),ISNUMBER(AK175)),IFERROR(AK285/AK175,""),"")</f>
        <v>5.53764805414552</v>
      </c>
      <c r="AL291" s="280">
        <f>IF(AND(ISNUMBER(AL285),ISNUMBER(AL175)),IFERROR(AL285/AL175,""),"")</f>
        <v>1.14154895275207</v>
      </c>
      <c r="AM291" s="280">
        <f>IF(AND(ISNUMBER(AM285),ISNUMBER(AM175)),IFERROR(AM285/AM175,""),"")</f>
        <v>0.623996344408904</v>
      </c>
      <c r="AN291" s="280">
        <f>IF(AND(ISNUMBER(AN285),ISNUMBER(AN175)),IFERROR(AN285/AN175,""),"")</f>
        <v>1.42672653970959</v>
      </c>
      <c r="AO291" s="35" t="n"/>
      <c r="AP291" s="282">
        <f>IF(AND(ISNUMBER(AP285),ISNUMBER(AP175)),IFERROR(AP285/AP175,""),"")</f>
        <v>4.78996924388474</v>
      </c>
      <c r="AQ291" s="282">
        <f>IF(AND(ISNUMBER(AQ285),ISNUMBER(AQ175)),IFERROR(AQ285/AQ175,""),"")</f>
        <v>7.03941130049499</v>
      </c>
      <c r="AR291" s="282">
        <f>IF(AND(ISNUMBER(AR285),ISNUMBER(AR175)),IFERROR(AR285/AR175,""),"")</f>
        <v>10.3655229867742</v>
      </c>
      <c r="AS291" s="282">
        <f>IF(AND(ISNUMBER(AS285),ISNUMBER(AS175)),IFERROR(AS285/AS175,""),"")</f>
        <v>12.408993866643</v>
      </c>
      <c r="AT291" s="282">
        <f>IF(AND(ISNUMBER(AT285),ISNUMBER(AT175)),IFERROR(AT285/AT175,""),"")</f>
        <v>14.0014981264744</v>
      </c>
      <c r="AU291" s="282">
        <f>IF(AND(ISNUMBER(AU285),ISNUMBER(AU175)),IFERROR(AU285/AU175,""),"")</f>
        <v>15.33191124553</v>
      </c>
      <c r="AV291" s="19" t="n"/>
    </row>
    <row r="292" ht="15" customHeight="1" s="251">
      <c r="B292" s="25" t="inlineStr">
        <is>
          <t xml:space="preserve">  FCF / adjusted EBITDA %</t>
        </is>
      </c>
      <c r="C292" s="215">
        <f>IF(AND(ISNUMBER(C285),ISNUMBER(C214)),IFERROR(C285/C214,""),"")</f>
        <v>0.230584556588205</v>
      </c>
      <c r="D292" s="215">
        <f>IF(AND(ISNUMBER(D285),ISNUMBER(D214)),IFERROR(D285/D214,""),"")</f>
        <v>0.271384278054713</v>
      </c>
      <c r="E292" s="215">
        <f>IF(AND(ISNUMBER(E285),ISNUMBER(E214)),IFERROR(E285/E214,""),"")</f>
        <v>0.269762918257093</v>
      </c>
      <c r="F292" s="215">
        <f>IF(AND(ISNUMBER(F285),ISNUMBER(F214)),IFERROR(F285/F214,""),"")</f>
        <v>0.186399902179562</v>
      </c>
      <c r="G292" s="215">
        <f>IF(AND(ISNUMBER(G285),ISNUMBER(G214)),IFERROR(G285/G214,""),"")</f>
        <v>0.00240109798066764</v>
      </c>
      <c r="H292" s="215">
        <f>IF(AND(ISNUMBER(H285),ISNUMBER(H214)),IFERROR(H285/H214,""),"")</f>
        <v>0.810830135540617</v>
      </c>
      <c r="I292" s="215">
        <f>IF(AND(ISNUMBER(I285),ISNUMBER(I214)),IFERROR(I285/I214,""),"")</f>
        <v>0.598830171773303</v>
      </c>
      <c r="J292" s="215">
        <f>IF(AND(ISNUMBER(J285),ISNUMBER(J214)),IFERROR(J285/J214,""),"")</f>
        <v>0.406271829629769</v>
      </c>
      <c r="K292" s="215">
        <f>IF(AND(ISNUMBER(K285),ISNUMBER(K214)),IFERROR(K285/K214,""),"")</f>
        <v>0.535043513050245</v>
      </c>
      <c r="L292" s="215">
        <f>IF(AND(ISNUMBER(L285),ISNUMBER(L214)),IFERROR(L285/L214,""),"")</f>
        <v>0.637558083640442</v>
      </c>
      <c r="M292" s="215">
        <f>IF(AND(ISNUMBER(M285),ISNUMBER(M214)),IFERROR(M285/M214,""),"")</f>
        <v>1.56572211244836</v>
      </c>
      <c r="N292" s="215">
        <f>IF(AND(ISNUMBER(N285),ISNUMBER(N214)),IFERROR(N285/N214,""),"")</f>
        <v>0.556805569569165</v>
      </c>
      <c r="O292" s="215">
        <f>IF(AND(ISNUMBER(O285),ISNUMBER(O214)),IFERROR(O285/O214,""),"")</f>
        <v>0.917742098354035</v>
      </c>
      <c r="P292" s="215">
        <f>IF(AND(ISNUMBER(P285),ISNUMBER(P214)),IFERROR(P285/P214,""),"")</f>
        <v>1.22932770257532</v>
      </c>
      <c r="Q292" s="215">
        <f>IF(AND(ISNUMBER(Q285),ISNUMBER(Q214)),IFERROR(Q285/Q214,""),"")</f>
        <v>1.03355457762673</v>
      </c>
      <c r="R292" s="215">
        <f>IF(AND(ISNUMBER(R285),ISNUMBER(R214)),IFERROR(R285/R214,""),"")</f>
        <v>0.311089711581901</v>
      </c>
      <c r="S292" s="215">
        <f>IF(AND(ISNUMBER(S285),ISNUMBER(S214)),IFERROR(S285/S214,""),"")</f>
        <v>-0.00230493520816101</v>
      </c>
      <c r="T292" s="215">
        <f>IF(AND(ISNUMBER(T285),ISNUMBER(T214)),IFERROR(T285/T214,""),"")</f>
        <v>0.259666945720298</v>
      </c>
      <c r="U292" s="215">
        <f>IF(AND(ISNUMBER(U285),ISNUMBER(U214)),IFERROR(U285/U214,""),"")</f>
        <v>0.988709260774099</v>
      </c>
      <c r="V292" s="215">
        <f>IF(AND(ISNUMBER(V285),ISNUMBER(V214)),IFERROR(V285/V214,""),"")</f>
        <v>0.395320297339725</v>
      </c>
      <c r="W292" s="215">
        <f>IF(AND(ISNUMBER(W285),ISNUMBER(W214)),IFERROR(W285/W214,""),"")</f>
        <v>-0.264350053599521</v>
      </c>
      <c r="X292" s="215">
        <f>IF(AND(ISNUMBER(X285),ISNUMBER(X214)),IFERROR(X285/X214,""),"")</f>
        <v>0.128544294633199</v>
      </c>
      <c r="Y292" s="215">
        <f>IF(AND(ISNUMBER(Y285),ISNUMBER(Y214)),IFERROR(Y285/Y214,""),"")</f>
        <v>0.694406576189798</v>
      </c>
      <c r="Z292" s="215">
        <f>IF(AND(ISNUMBER(Z285),ISNUMBER(Z214)),IFERROR(Z285/Z214,""),"")</f>
        <v>0.96181683314489</v>
      </c>
      <c r="AA292" s="215">
        <f>IF(AND(ISNUMBER(AA285),ISNUMBER(AA214)),IFERROR(AA285/AA214,""),"")</f>
        <v>0.487963005799796</v>
      </c>
      <c r="AB292" s="215">
        <f>IF(AND(ISNUMBER(AB285),ISNUMBER(AB214)),IFERROR(AB285/AB214,""),"")</f>
        <v>0.0336413348384175</v>
      </c>
      <c r="AC292" s="215">
        <f>IF(AND(ISNUMBER(AC285),ISNUMBER(AC214)),IFERROR(AC285/AC214,""),"")</f>
        <v>0.503843908135461</v>
      </c>
      <c r="AD292" s="215">
        <f>IF(AND(ISNUMBER(AD285),ISNUMBER(AD214)),IFERROR(AD285/AD214,""),"")</f>
        <v>0.854632925888123</v>
      </c>
      <c r="AE292" s="215">
        <f>IF(AND(ISNUMBER(AE285),ISNUMBER(AE214)),IFERROR(AE285/AE214,""),"")</f>
        <v>0.801860306643952</v>
      </c>
      <c r="AF292" s="215">
        <f>IF(AND(ISNUMBER(AF285),ISNUMBER(AF214)),IFERROR(AF285/AF214,""),"")</f>
        <v>0.55310954605226</v>
      </c>
      <c r="AG292" s="215">
        <f>IF(AND(ISNUMBER(AG285),ISNUMBER(AG214)),IFERROR(AG285/AG214,""),"")</f>
        <v>0.00698548768640944</v>
      </c>
      <c r="AH292" s="215">
        <f>IF(AND(ISNUMBER(AH285),ISNUMBER(AH214)),IFERROR(AH285/AH214,""),"")</f>
        <v>0.362190371097441</v>
      </c>
      <c r="AI292" s="215">
        <f>IF(AND(ISNUMBER(AI285),ISNUMBER(AI214)),IFERROR(AI285/AI214,""),"")</f>
        <v>0.597325874395669</v>
      </c>
      <c r="AJ292" s="215">
        <f>IF(AND(ISNUMBER(AJ285),ISNUMBER(AJ214)),IFERROR(AJ285/AJ214,""),"")</f>
        <v>0.883656983218396</v>
      </c>
      <c r="AK292" s="215">
        <f>IF(AND(ISNUMBER(AK285),ISNUMBER(AK214)),IFERROR(AK285/AK214,""),"")</f>
        <v>0.508379996743892</v>
      </c>
      <c r="AL292" s="215">
        <f>IF(AND(ISNUMBER(AL285),ISNUMBER(AL214)),IFERROR(AL285/AL214,""),"")</f>
        <v>0.338292466992571</v>
      </c>
      <c r="AM292" s="215">
        <f>IF(AND(ISNUMBER(AM285),ISNUMBER(AM214)),IFERROR(AM285/AM214,""),"")</f>
        <v>0.177455585052073</v>
      </c>
      <c r="AN292" s="215">
        <f>IF(AND(ISNUMBER(AN285),ISNUMBER(AN214)),IFERROR(AN285/AN214,""),"")</f>
        <v>0.349536860447842</v>
      </c>
      <c r="AO292" s="24" t="n"/>
      <c r="AP292" s="256">
        <f>IF(AND(ISNUMBER(AP285),ISNUMBER(AP214)),IFERROR(AP285/AP214,""),"")</f>
        <v>0.320477191394109</v>
      </c>
      <c r="AQ292" s="256">
        <f>IF(AND(ISNUMBER(AQ285),ISNUMBER(AQ214)),IFERROR(AQ285/AQ214,""),"")</f>
        <v>0.410485883641825</v>
      </c>
      <c r="AR292" s="256">
        <f>IF(AND(ISNUMBER(AR285),ISNUMBER(AR214)),IFERROR(AR285/AR214,""),"")</f>
        <v>0.532475243278301</v>
      </c>
      <c r="AS292" s="256">
        <f>IF(AND(ISNUMBER(AS285),ISNUMBER(AS214)),IFERROR(AS285/AS214,""),"")</f>
        <v>0.57198457042501</v>
      </c>
      <c r="AT292" s="256">
        <f>IF(AND(ISNUMBER(AT285),ISNUMBER(AT214)),IFERROR(AT285/AT214,""),"")</f>
        <v>0.591103650715977</v>
      </c>
      <c r="AU292" s="256">
        <f>IF(AND(ISNUMBER(AU285),ISNUMBER(AU214)),IFERROR(AU285/AU214,""),"")</f>
        <v>0.596387072355494</v>
      </c>
      <c r="AV292" s="153" t="n"/>
      <c r="AX292" s="37">
        <f>IFERROR(AVERAGE(AQ292,AR292,AS292,AT292,AU292),"n/m")</f>
        <v>0.540487284083321</v>
      </c>
      <c r="AY292" s="37">
        <f>IFERROR(AVERAGE(Q292,V292,AA292,AF292,AK292),"n/m")</f>
        <v>0.595665484712481</v>
      </c>
      <c r="AZ292" s="37">
        <f>IFERROR(AVERAGE(H292,I292,J292,K292,L292,Q292,V292,AA292,AF292,AK292),"n/m")</f>
        <v>0.596686115719678</v>
      </c>
      <c r="BA292" s="37">
        <f>IFERROR(AVERAGE(C292,D292,E292,F292,G292,H292,I292,J292,K292,L292,Q292,V292,AA292,AF292,AK292),"n/m")</f>
        <v>0.461826260683801</v>
      </c>
    </row>
    <row r="293" ht="15" customHeight="1" s="251">
      <c r="B293" s="25" t="inlineStr">
        <is>
          <t>Capex ratios</t>
        </is>
      </c>
      <c r="AV293" s="153" t="n"/>
    </row>
    <row r="294" ht="15" customHeight="1" s="251">
      <c r="B294" s="25" t="inlineStr">
        <is>
          <t xml:space="preserve">  Capex % of net sales</t>
        </is>
      </c>
      <c r="C294" s="215">
        <f>IF(ISNUMBER(C267),IFERROR(-C267/C150,""),"")</f>
        <v>0.0281912388955554</v>
      </c>
      <c r="D294" s="215">
        <f>IF(ISNUMBER(D267),IFERROR(-D267/D150,""),"")</f>
        <v>0.0347872323888966</v>
      </c>
      <c r="E294" s="215">
        <f>IF(ISNUMBER(E267),IFERROR(-E267/E150,""),"")</f>
        <v>0.0731414025793708</v>
      </c>
      <c r="F294" s="215">
        <f>IF(ISNUMBER(F267),IFERROR(-F267/F150,""),"")</f>
        <v>0.103488836921109</v>
      </c>
      <c r="G294" s="215">
        <f>IF(ISNUMBER(G267),IFERROR(-G267/G150,""),"")</f>
        <v>0.140613049188467</v>
      </c>
      <c r="H294" s="215">
        <f>IF(ISNUMBER(H267),IFERROR(-H267/H150,""),"")</f>
        <v>0.0868439081439272</v>
      </c>
      <c r="I294" s="215">
        <f>IF(ISNUMBER(I267),IFERROR(-I267/I150,""),"")</f>
        <v>0.0439970743584673</v>
      </c>
      <c r="J294" s="215">
        <f>IF(ISNUMBER(J267),IFERROR(-J267/J150,""),"")</f>
        <v>0.0546633457630748</v>
      </c>
      <c r="K294" s="215">
        <f>IF(ISNUMBER(K267),IFERROR(-K267/K150,""),"")</f>
        <v>0.0341583692418136</v>
      </c>
      <c r="L294" s="215">
        <f>IF(ISNUMBER(L267),IFERROR(-L267/L150,""),"")</f>
        <v>0.0188675162732178</v>
      </c>
      <c r="M294" s="215">
        <f>IF(ISNUMBER(M267),IFERROR(-M267/M150,""),"")</f>
        <v>0.0135095671841955</v>
      </c>
      <c r="N294" s="215">
        <f>IF(ISNUMBER(N267),IFERROR(-N267/N150,""),"")</f>
        <v>0.0104073308894741</v>
      </c>
      <c r="O294" s="215">
        <f>IF(ISNUMBER(O267),IFERROR(-O267/O150,""),"")</f>
        <v>0.0144321192796515</v>
      </c>
      <c r="P294" s="215">
        <f>IF(ISNUMBER(P267),IFERROR(-P267/P150,""),"")</f>
        <v>0.0286592648062054</v>
      </c>
      <c r="Q294" s="215">
        <f>IF(ISNUMBER(Q267),IFERROR(-Q267/Q150,""),"")</f>
        <v>0.0167817539335088</v>
      </c>
      <c r="R294" s="215">
        <f>IF(ISNUMBER(R267),IFERROR(-R267/R150,""),"")</f>
        <v>0.0242306854313073</v>
      </c>
      <c r="S294" s="215">
        <f>IF(ISNUMBER(S267),IFERROR(-S267/S150,""),"")</f>
        <v>0.0187905030170115</v>
      </c>
      <c r="T294" s="215">
        <f>IF(ISNUMBER(T267),IFERROR(-T267/T150,""),"")</f>
        <v>0.0210879459315159</v>
      </c>
      <c r="U294" s="215">
        <f>IF(ISNUMBER(U267),IFERROR(-U267/U150,""),"")</f>
        <v>0.0246284175972176</v>
      </c>
      <c r="V294" s="215">
        <f>IF(ISNUMBER(V267),IFERROR(-V267/V150,""),"")</f>
        <v>0.0221874357370981</v>
      </c>
      <c r="W294" s="215">
        <f>IF(ISNUMBER(W267),IFERROR(-W267/W150,""),"")</f>
        <v>0.0394265290914117</v>
      </c>
      <c r="X294" s="215">
        <f>IF(ISNUMBER(X267),IFERROR(-X267/X150,""),"")</f>
        <v>0.0273678875655445</v>
      </c>
      <c r="Y294" s="215">
        <f>IF(ISNUMBER(Y267),IFERROR(-Y267/Y150,""),"")</f>
        <v>0.0163564445965406</v>
      </c>
      <c r="Z294" s="215">
        <f>IF(ISNUMBER(Z267),IFERROR(-Z267/Z150,""),"")</f>
        <v>0.0249115266320923</v>
      </c>
      <c r="AA294" s="215">
        <f>IF(ISNUMBER(AA267),IFERROR(-AA267/AA150,""),"")</f>
        <v>0.0262474756104339</v>
      </c>
      <c r="AB294" s="215">
        <f>IF(ISNUMBER(AB267),IFERROR(-AB267/AB150,""),"")</f>
        <v>0.0531465687084514</v>
      </c>
      <c r="AC294" s="215">
        <f>IF(ISNUMBER(AC267),IFERROR(-AC267/AC150,""),"")</f>
        <v>0.0173449708682541</v>
      </c>
      <c r="AD294" s="215">
        <f>IF(ISNUMBER(AD267),IFERROR(-AD267/AD150,""),"")</f>
        <v>0.0187474636894707</v>
      </c>
      <c r="AE294" s="215">
        <f>IF(ISNUMBER(AE267),IFERROR(-AE267/AE150,""),"")</f>
        <v>0.0281888101412776</v>
      </c>
      <c r="AF294" s="215">
        <f>IF(ISNUMBER(AF267),IFERROR(-AF267/AF150,""),"")</f>
        <v>0.028962932680434</v>
      </c>
      <c r="AG294" s="215">
        <f>IF(ISNUMBER(AG267),IFERROR(-AG267/AG150,""),"")</f>
        <v>0.0434488336730402</v>
      </c>
      <c r="AH294" s="215">
        <f>IF(ISNUMBER(AH267),IFERROR(-AH267/AH150,""),"")</f>
        <v>0.0208413259410907</v>
      </c>
      <c r="AI294" s="215">
        <f>IF(ISNUMBER(AI267),IFERROR(-AI267/AI150,""),"")</f>
        <v>0.0289989797322835</v>
      </c>
      <c r="AJ294" s="215">
        <f>IF(ISNUMBER(AJ267),IFERROR(-AJ267/AJ150,""),"")</f>
        <v>0.0526403044820269</v>
      </c>
      <c r="AK294" s="215">
        <f>IF(ISNUMBER(AK267),IFERROR(-AK267/AK150,""),"")</f>
        <v>0.0367046960749793</v>
      </c>
      <c r="AL294" s="215">
        <f>IF(ISNUMBER(AL267),IFERROR(-AL267/AL150,""),"")</f>
        <v>0.0442860382917827</v>
      </c>
      <c r="AM294" s="215">
        <f>IF(ISNUMBER(AM267),IFERROR(-AM267/AM150,""),"")</f>
        <v>0.0482234945459614</v>
      </c>
      <c r="AN294" s="215">
        <f>IF(ISNUMBER(AN267),IFERROR(-AN267/AN150,""),"")</f>
        <v>0.05372328681947</v>
      </c>
      <c r="AO294" s="24" t="n"/>
      <c r="AP294" s="256">
        <f>IF(ISNUMBER(AP267),IFERROR(-AP267/AP150,""),"")</f>
        <v>0.0669130488188652</v>
      </c>
      <c r="AQ294" s="265" t="n">
        <v>0.05</v>
      </c>
      <c r="AR294" s="265" t="n">
        <v>0.035</v>
      </c>
      <c r="AS294" s="265" t="n">
        <v>0.032</v>
      </c>
      <c r="AT294" s="265" t="n">
        <v>0.03</v>
      </c>
      <c r="AU294" s="265" t="n">
        <v>0.03</v>
      </c>
      <c r="AV294" s="153" t="inlineStr">
        <is>
          <t>2027E+ input: Spartanburg campus online summer 2027, then normalising toward the FY2015–24 range (2–4% of sales).</t>
        </is>
      </c>
      <c r="AX294" s="37">
        <f>IFERROR(AVERAGE(AQ294,AR294,AS294,AT294,AU294),"n/m")</f>
        <v>0.0354</v>
      </c>
      <c r="AY294" s="37">
        <f>IFERROR(AVERAGE(Q294,V294,AA294,AF294,AK294),"n/m")</f>
        <v>0.0261768588072908</v>
      </c>
      <c r="AZ294" s="37">
        <f>IFERROR(AVERAGE(H294,I294,J294,K294,L294,Q294,V294,AA294,AF294,AK294),"n/m")</f>
        <v>0.0369414507816955</v>
      </c>
      <c r="BA294" s="37">
        <f>IFERROR(AVERAGE(C294,D294,E294,F294,G294,H294,I294,J294,K294,L294,Q294,V294,AA294,AF294,AK294),"n/m")</f>
        <v>0.0499757511860236</v>
      </c>
    </row>
    <row r="295" ht="15" customHeight="1" s="251">
      <c r="B295" s="25" t="inlineStr">
        <is>
          <t xml:space="preserve">  Capex / depreciation (x)</t>
        </is>
      </c>
      <c r="C295" s="285">
        <f>IF(ISNUMBER(C267),IFERROR(-C267/C132,""),"")</f>
        <v>1.19443069306931</v>
      </c>
      <c r="D295" s="285">
        <f>IF(ISNUMBER(D267),IFERROR(-D267/D132,""),"")</f>
        <v>1.81244414655943</v>
      </c>
      <c r="E295" s="285">
        <f>IF(ISNUMBER(E267),IFERROR(-E267/E132,""),"")</f>
        <v>3.80093412787889</v>
      </c>
      <c r="F295" s="285">
        <f>IF(ISNUMBER(F267),IFERROR(-F267/F132,""),"")</f>
        <v>4.73136408288214</v>
      </c>
      <c r="G295" s="285">
        <f>IF(ISNUMBER(G267),IFERROR(-G267/G132,""),"")</f>
        <v>6.23150845762491</v>
      </c>
      <c r="H295" s="285">
        <f>IF(ISNUMBER(H267),IFERROR(-H267/H132,""),"")</f>
        <v>4.2284476534296</v>
      </c>
      <c r="I295" s="285">
        <f>IF(ISNUMBER(I267),IFERROR(-I267/I132,""),"")</f>
        <v>1.67457381211462</v>
      </c>
      <c r="J295" s="285">
        <f>IF(ISNUMBER(J267),IFERROR(-J267/J132,""),"")</f>
        <v>1.78094664444102</v>
      </c>
      <c r="K295" s="285">
        <f>IF(ISNUMBER(K267),IFERROR(-K267/K132,""),"")</f>
        <v>1.15217138470843</v>
      </c>
      <c r="L295" s="285">
        <f>IF(ISNUMBER(L267),IFERROR(-L267/L132,""),"")</f>
        <v>0.513489640130862</v>
      </c>
      <c r="M295" s="285">
        <f>IF(ISNUMBER(M267),IFERROR(-M267/M132,""),"")</f>
        <v>0.321257961783439</v>
      </c>
      <c r="N295" s="285">
        <f>IF(ISNUMBER(N267),IFERROR(-N267/N132,""),"")</f>
        <v>0.276016241616862</v>
      </c>
      <c r="O295" s="285">
        <f>IF(ISNUMBER(O267),IFERROR(-O267/O132,""),"")</f>
        <v>0.369940599530322</v>
      </c>
      <c r="P295" s="285">
        <f>IF(ISNUMBER(P267),IFERROR(-P267/P132,""),"")</f>
        <v>0.764109038200776</v>
      </c>
      <c r="Q295" s="285">
        <f>IF(ISNUMBER(Q267),IFERROR(-Q267/Q132,""),"")</f>
        <v>0.430087526103776</v>
      </c>
      <c r="R295" s="285">
        <f>IF(ISNUMBER(R267),IFERROR(-R267/R132,""),"")</f>
        <v>0.623924309418533</v>
      </c>
      <c r="S295" s="285">
        <f>IF(ISNUMBER(S267),IFERROR(-S267/S132,""),"")</f>
        <v>0.524520762973886</v>
      </c>
      <c r="T295" s="285">
        <f>IF(ISNUMBER(T267),IFERROR(-T267/T132,""),"")</f>
        <v>0.628334465030556</v>
      </c>
      <c r="U295" s="285">
        <f>IF(ISNUMBER(U267),IFERROR(-U267/U132,""),"")</f>
        <v>0.774784959449496</v>
      </c>
      <c r="V295" s="285">
        <f>IF(ISNUMBER(V267),IFERROR(-V267/V132,""),"")</f>
        <v>0.636818077789422</v>
      </c>
      <c r="W295" s="285">
        <f>IF(ISNUMBER(W267),IFERROR(-W267/W132,""),"")</f>
        <v>1.21186524893173</v>
      </c>
      <c r="X295" s="285">
        <f>IF(ISNUMBER(X267),IFERROR(-X267/X132,""),"")</f>
        <v>0.957195032870709</v>
      </c>
      <c r="Y295" s="285">
        <f>IF(ISNUMBER(Y267),IFERROR(-Y267/Y132,""),"")</f>
        <v>0.637243929735779</v>
      </c>
      <c r="Z295" s="285">
        <f>IF(ISNUMBER(Z267),IFERROR(-Z267/Z132,""),"")</f>
        <v>0.924362525069239</v>
      </c>
      <c r="AA295" s="285">
        <f>IF(ISNUMBER(AA267),IFERROR(-AA267/AA132,""),"")</f>
        <v>0.931178031501814</v>
      </c>
      <c r="AB295" s="285">
        <f>IF(ISNUMBER(AB267),IFERROR(-AB267/AB132,""),"")</f>
        <v>2.06724018589934</v>
      </c>
      <c r="AC295" s="285">
        <f>IF(ISNUMBER(AC267),IFERROR(-AC267/AC132,""),"")</f>
        <v>0.70311059348765</v>
      </c>
      <c r="AD295" s="285">
        <f>IF(ISNUMBER(AD267),IFERROR(-AD267/AD132,""),"")</f>
        <v>0.769178645757708</v>
      </c>
      <c r="AE295" s="285">
        <f>IF(ISNUMBER(AE267),IFERROR(-AE267/AE132,""),"")</f>
        <v>1.14243027888446</v>
      </c>
      <c r="AF295" s="285">
        <f>IF(ISNUMBER(AF267),IFERROR(-AF267/AF132,""),"")</f>
        <v>1.16592797113033</v>
      </c>
      <c r="AG295" s="285">
        <f>IF(ISNUMBER(AG267),IFERROR(-AG267/AG132,""),"")</f>
        <v>1.60166014693254</v>
      </c>
      <c r="AH295" s="285">
        <f>IF(ISNUMBER(AH267),IFERROR(-AH267/AH132,""),"")</f>
        <v>0.885640088487064</v>
      </c>
      <c r="AI295" s="285">
        <f>IF(ISNUMBER(AI267),IFERROR(-AI267/AI132,""),"")</f>
        <v>1.23577879154641</v>
      </c>
      <c r="AJ295" s="285">
        <f>IF(ISNUMBER(AJ267),IFERROR(-AJ267/AJ132,""),"")</f>
        <v>2.40149431609828</v>
      </c>
      <c r="AK295" s="285">
        <f>IF(ISNUMBER(AK267),IFERROR(-AK267/AK132,""),"")</f>
        <v>1.5393514708303</v>
      </c>
      <c r="AL295" s="285">
        <f>IF(ISNUMBER(AL267),IFERROR(-AL267/AL132,""),"")</f>
        <v>2.03396939528024</v>
      </c>
      <c r="AM295" s="285">
        <f>IF(ISNUMBER(AM267),IFERROR(-AM267/AM132,""),"")</f>
        <v>2.33924917711947</v>
      </c>
      <c r="AN295" s="285">
        <f>IF(ISNUMBER(AN267),IFERROR(-AN267/AN132,""),"")</f>
        <v>2.64952668770277</v>
      </c>
      <c r="AO295" s="35" t="n"/>
      <c r="AP295" s="286">
        <f>IF(ISNUMBER(AP267),IFERROR(-AP267/AP132,""),"")</f>
        <v>3.23375595178358</v>
      </c>
      <c r="AQ295" s="286">
        <f>IF(ISNUMBER(AQ267),IFERROR(-AQ267/AQ132,""),"")</f>
        <v>2.17391304347826</v>
      </c>
      <c r="AR295" s="286">
        <f>IF(ISNUMBER(AR267),IFERROR(-AR267/AR132,""),"")</f>
        <v>1.4</v>
      </c>
      <c r="AS295" s="286">
        <f>IF(ISNUMBER(AS267),IFERROR(-AS267/AS132,""),"")</f>
        <v>1.23076923076923</v>
      </c>
      <c r="AT295" s="286">
        <f>IF(ISNUMBER(AT267),IFERROR(-AT267/AT132,""),"")</f>
        <v>1.15384615384615</v>
      </c>
      <c r="AU295" s="286">
        <f>IF(ISNUMBER(AU267),IFERROR(-AU267/AU132,""),"")</f>
        <v>1.15384615384615</v>
      </c>
      <c r="AV295" s="19" t="n"/>
    </row>
    <row r="296" ht="15" customHeight="1" s="251">
      <c r="BD296" s="11" t="n"/>
      <c r="BE296" s="12" t="n"/>
      <c r="BF296" s="12" t="n"/>
      <c r="BG296" s="12" t="n"/>
      <c r="BH296" s="13" t="n"/>
    </row>
    <row r="297" ht="15" customHeight="1" s="251">
      <c r="B297" s="10" t="inlineStr">
        <is>
          <t>SHARE BUYBACK SCHEDULE</t>
        </is>
      </c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inlineStr">
        <is>
          <t>SHARES — 2026E = Q4 from shares outstanding at 30-Jun-2026; 2027E+ buybacks via the leverage plug</t>
        </is>
      </c>
    </row>
    <row r="298" ht="15" customHeight="1" s="251">
      <c r="B298" s="25" t="inlineStr">
        <is>
          <t xml:space="preserve">  Avg buyback price ($)</t>
        </is>
      </c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  <c r="AA298" s="34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5" t="n"/>
      <c r="AP298" s="287">
        <f>AP420</f>
        <v>382.17</v>
      </c>
      <c r="AQ298" s="287">
        <f>AP298*(1+AQ363)</f>
        <v>412.7436</v>
      </c>
      <c r="AR298" s="287">
        <f>AQ298*(1+AR363)</f>
        <v>445.763088</v>
      </c>
      <c r="AS298" s="287">
        <f>AR298*(1+AS363)</f>
        <v>481.42413504</v>
      </c>
      <c r="AT298" s="287">
        <f>AS298*(1+AT363)</f>
        <v>519.9380658432</v>
      </c>
      <c r="AU298" s="287">
        <f>AT298*(1+AU363)</f>
        <v>561.533111110656</v>
      </c>
      <c r="AV298" s="19" t="n"/>
    </row>
    <row r="299" ht="15" customHeight="1" s="251">
      <c r="B299" s="25" t="inlineStr">
        <is>
          <t xml:space="preserve">  Buyback cash deployed (USDm; 2026E = Q4)</t>
        </is>
      </c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  <c r="AA299" s="34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5" t="n"/>
      <c r="AP299" s="267">
        <f>CHOOSE(MATCH($AV$2,{"Bull","Base","Bear"},0),$BE$17,$BF$17,$BG$17)</f>
        <v>200</v>
      </c>
      <c r="AQ299" s="267">
        <f>-AQ272</f>
        <v>782.611176133293</v>
      </c>
      <c r="AR299" s="267">
        <f>-AR272</f>
        <v>623.281517800804</v>
      </c>
      <c r="AS299" s="267">
        <f>-AS272</f>
        <v>714.893973579455</v>
      </c>
      <c r="AT299" s="267">
        <f>-AT272</f>
        <v>760.67753132865</v>
      </c>
      <c r="AU299" s="267">
        <f>-AU272</f>
        <v>809.009640279696</v>
      </c>
      <c r="AV299" s="19" t="n"/>
    </row>
    <row r="300" ht="15" customHeight="1" s="251">
      <c r="B300" s="25" t="inlineStr">
        <is>
          <t xml:space="preserve">  Implied shares repurchased (m)</t>
        </is>
      </c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  <c r="AA300" s="34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5" t="n"/>
      <c r="AP300" s="287">
        <f>IFERROR(AP299/AP298,0)</f>
        <v>0.52332731506921</v>
      </c>
      <c r="AQ300" s="287">
        <f>IFERROR(AQ299/AQ298,0)</f>
        <v>1.89611947013422</v>
      </c>
      <c r="AR300" s="287">
        <f>IFERROR(AR299/AR298,0)</f>
        <v>1.39823492473833</v>
      </c>
      <c r="AS300" s="287">
        <f>IFERROR(AS299/AS298,0)</f>
        <v>1.48495665577725</v>
      </c>
      <c r="AT300" s="287">
        <f>IFERROR(AT299/AT298,0)</f>
        <v>1.46301565763421</v>
      </c>
      <c r="AU300" s="287">
        <f>IFERROR(AU299/AU298,0)</f>
        <v>1.44071582649785</v>
      </c>
      <c r="AV300" s="19" t="n"/>
    </row>
    <row r="301" ht="15" customHeight="1" s="251">
      <c r="B301" s="25" t="inlineStr">
        <is>
          <t xml:space="preserve">  Shares issued under equity plans (m)</t>
        </is>
      </c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24" t="n"/>
      <c r="AP301" s="288" t="n">
        <v>0.1</v>
      </c>
      <c r="AQ301" s="288" t="n">
        <v>0.4</v>
      </c>
      <c r="AR301" s="288" t="n">
        <v>0.4</v>
      </c>
      <c r="AS301" s="288" t="n">
        <v>0.4</v>
      </c>
      <c r="AT301" s="288" t="n">
        <v>0.4</v>
      </c>
      <c r="AU301" s="288" t="n">
        <v>0.4</v>
      </c>
      <c r="AV301" s="19" t="n"/>
    </row>
    <row r="302" ht="15" customHeight="1" s="251">
      <c r="B302" s="25" t="inlineStr">
        <is>
          <t xml:space="preserve">  Beginning shares outstanding (m)</t>
        </is>
      </c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  <c r="AA302" s="34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5" t="n"/>
      <c r="AP302" s="254">
        <f>AN335</f>
        <v>59.229</v>
      </c>
      <c r="AQ302" s="254">
        <f>AP303</f>
        <v>58.8056726849308</v>
      </c>
      <c r="AR302" s="254">
        <f>AQ303</f>
        <v>57.3095532147966</v>
      </c>
      <c r="AS302" s="254">
        <f>AR303</f>
        <v>56.3113182900582</v>
      </c>
      <c r="AT302" s="254">
        <f>AS303</f>
        <v>55.226361634281</v>
      </c>
      <c r="AU302" s="254">
        <f>AT303</f>
        <v>54.1633459766468</v>
      </c>
      <c r="AV302" s="19" t="inlineStr">
        <is>
          <t>2026E begins from shares outstanding at 30-Jun-2026 (issued less treasury shares, Q3 FY26 10-Q).</t>
        </is>
      </c>
    </row>
    <row r="303" ht="15" customHeight="1" s="251">
      <c r="B303" s="25" t="inlineStr">
        <is>
          <t xml:space="preserve">  Ending shares outstanding (m)</t>
        </is>
      </c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  <c r="AA303" s="34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5" t="n"/>
      <c r="AP303" s="254">
        <f>AP302-AP300+AP301</f>
        <v>58.8056726849308</v>
      </c>
      <c r="AQ303" s="254">
        <f>AQ302-AQ300+AQ301</f>
        <v>57.3095532147966</v>
      </c>
      <c r="AR303" s="254">
        <f>AR302-AR300+AR301</f>
        <v>56.3113182900582</v>
      </c>
      <c r="AS303" s="254">
        <f>AS302-AS300+AS301</f>
        <v>55.226361634281</v>
      </c>
      <c r="AT303" s="254">
        <f>AT302-AT300+AT301</f>
        <v>54.1633459766468</v>
      </c>
      <c r="AU303" s="254">
        <f>AU302-AU300+AU301</f>
        <v>53.1226301501489</v>
      </c>
      <c r="AV303" s="19" t="n"/>
    </row>
    <row r="304" ht="15" customHeight="1" s="251">
      <c r="B304" s="25" t="inlineStr">
        <is>
          <t xml:space="preserve">  % of shares repurchased</t>
        </is>
      </c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24" t="n"/>
      <c r="AP304" s="256">
        <f>IF(AND(ISNUMBER(AP300),ISNUMBER(AP302)),IFERROR(AP300/AP302,""),"")</f>
        <v>0.0088356601507574</v>
      </c>
      <c r="AQ304" s="256">
        <f>IF(AND(ISNUMBER(AQ300),ISNUMBER(AQ302)),IFERROR(AQ300/AQ302,""),"")</f>
        <v>0.0322438190664574</v>
      </c>
      <c r="AR304" s="256">
        <f>IF(AND(ISNUMBER(AR300),ISNUMBER(AR302)),IFERROR(AR300/AR302,""),"")</f>
        <v>0.0243979379755018</v>
      </c>
      <c r="AS304" s="256">
        <f>IF(AND(ISNUMBER(AS300),ISNUMBER(AS302)),IFERROR(AS300/AS302,""),"")</f>
        <v>0.0263704828952552</v>
      </c>
      <c r="AT304" s="256">
        <f>IF(AND(ISNUMBER(AT300),ISNUMBER(AT302)),IFERROR(AT300/AT302,""),"")</f>
        <v>0.026491255522545</v>
      </c>
      <c r="AU304" s="256">
        <f>IF(AND(ISNUMBER(AU300),ISNUMBER(AU302)),IFERROR(AU300/AU302,""),"")</f>
        <v>0.0265994613242511</v>
      </c>
      <c r="AV304" s="153" t="n"/>
    </row>
    <row r="305" ht="15" customHeight="1" s="251">
      <c r="B305" s="156" t="inlineStr">
        <is>
          <t xml:space="preserve">  Memo: cumulative shares repurchased since Q4/26 (m)</t>
        </is>
      </c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  <c r="AA305" s="34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153" t="n"/>
      <c r="AP305" s="274">
        <f>AP300</f>
        <v>0.52332731506921</v>
      </c>
      <c r="AQ305" s="274">
        <f>AP305+AQ300</f>
        <v>2.41944678520343</v>
      </c>
      <c r="AR305" s="274">
        <f>AQ305+AR300</f>
        <v>3.81768170994176</v>
      </c>
      <c r="AS305" s="274">
        <f>AR305+AS300</f>
        <v>5.30263836571901</v>
      </c>
      <c r="AT305" s="274">
        <f>AS305+AT300</f>
        <v>6.76565402335322</v>
      </c>
      <c r="AU305" s="274">
        <f>AT305+AU300</f>
        <v>8.20636984985107</v>
      </c>
      <c r="AV305" s="153" t="n"/>
    </row>
    <row r="306" ht="15" customHeight="1" s="251">
      <c r="BD306" s="11" t="n"/>
      <c r="BE306" s="12" t="n"/>
      <c r="BF306" s="12" t="n"/>
      <c r="BG306" s="12" t="n"/>
      <c r="BH306" s="13" t="n"/>
    </row>
    <row r="307" ht="15" customHeight="1" s="251">
      <c r="B307" s="10" t="inlineStr">
        <is>
          <t>CONSOLIDATED BALANCE SHEET (condensed, as in the releases)</t>
        </is>
      </c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inlineStr">
        <is>
          <t>BS FORECAST — 2026E rolled forward from the 30-Jun-2026 balance sheet + Q4 flows; 2027E+ from prior year end</t>
        </is>
      </c>
    </row>
    <row r="308" ht="15" customHeight="1" s="251">
      <c r="B308" s="25" t="inlineStr">
        <is>
          <t>ASSETS</t>
        </is>
      </c>
      <c r="AV308" s="153" t="n"/>
    </row>
    <row r="309" ht="15" customHeight="1" s="251">
      <c r="B309" s="25" t="inlineStr">
        <is>
          <t xml:space="preserve">  Cash and cash equivalents</t>
        </is>
      </c>
      <c r="C309" s="253" t="n">
        <v>74.539</v>
      </c>
      <c r="D309" s="253" t="n">
        <v>61.829</v>
      </c>
      <c r="E309" s="253" t="n">
        <v>48.556</v>
      </c>
      <c r="F309" s="253" t="n">
        <v>115.287</v>
      </c>
      <c r="G309" s="253" t="n">
        <v>82.202</v>
      </c>
      <c r="H309" s="253" t="n">
        <v>81.09</v>
      </c>
      <c r="I309" s="253" t="n">
        <v>87.55200000000001</v>
      </c>
      <c r="J309" s="253" t="n">
        <v>83.59399999999999</v>
      </c>
      <c r="K309" s="253" t="n">
        <v>99.07299999999999</v>
      </c>
      <c r="L309" s="253" t="n">
        <v>153.27</v>
      </c>
      <c r="M309" s="253" t="n">
        <v>201.881</v>
      </c>
      <c r="N309" s="253" t="n">
        <v>287.595</v>
      </c>
      <c r="O309" s="253" t="n">
        <v>362.007</v>
      </c>
      <c r="P309" s="253" t="n">
        <v>448.462</v>
      </c>
      <c r="Q309" s="253" t="n">
        <v>448.462</v>
      </c>
      <c r="R309" s="253" t="n">
        <v>426.982</v>
      </c>
      <c r="S309" s="253" t="n">
        <v>208.355</v>
      </c>
      <c r="T309" s="253" t="n">
        <v>99.70099999999999</v>
      </c>
      <c r="U309" s="253" t="n">
        <v>107.844</v>
      </c>
      <c r="V309" s="253" t="n">
        <v>107.844</v>
      </c>
      <c r="W309" s="253" t="n">
        <v>99.33499999999999</v>
      </c>
      <c r="X309" s="253" t="n">
        <v>129.427</v>
      </c>
      <c r="Y309" s="253" t="n">
        <v>114.107</v>
      </c>
      <c r="Z309" s="253" t="n">
        <v>137.447</v>
      </c>
      <c r="AA309" s="253" t="n">
        <v>137.447</v>
      </c>
      <c r="AB309" s="253" t="n">
        <v>144.348</v>
      </c>
      <c r="AC309" s="253" t="n">
        <v>316.932</v>
      </c>
      <c r="AD309" s="253" t="n">
        <v>308.332</v>
      </c>
      <c r="AE309" s="253" t="n">
        <v>282.27</v>
      </c>
      <c r="AF309" s="253" t="n">
        <v>282.27</v>
      </c>
      <c r="AG309" s="253" t="n">
        <v>283.726</v>
      </c>
      <c r="AH309" s="253" t="n">
        <v>364.141</v>
      </c>
      <c r="AI309" s="253" t="n">
        <v>473.159</v>
      </c>
      <c r="AJ309" s="253" t="n">
        <v>327.431</v>
      </c>
      <c r="AK309" s="253" t="n">
        <v>327.431</v>
      </c>
      <c r="AL309" s="253" t="n">
        <v>454.245</v>
      </c>
      <c r="AM309" s="253" t="n">
        <v>501.169</v>
      </c>
      <c r="AN309" s="253" t="n">
        <v>474.851</v>
      </c>
      <c r="AO309" s="35" t="n"/>
      <c r="AP309" s="254">
        <f>AP281</f>
        <v>300</v>
      </c>
      <c r="AQ309" s="254">
        <f>AQ281</f>
        <v>300</v>
      </c>
      <c r="AR309" s="254">
        <f>AR281</f>
        <v>300</v>
      </c>
      <c r="AS309" s="254">
        <f>AS281</f>
        <v>300</v>
      </c>
      <c r="AT309" s="254">
        <f>AT281</f>
        <v>300</v>
      </c>
      <c r="AU309" s="254">
        <f>AU281</f>
        <v>300</v>
      </c>
      <c r="AV309" s="19" t="n"/>
    </row>
    <row r="310" ht="15" customHeight="1" s="251">
      <c r="B310" s="25" t="inlineStr">
        <is>
          <t xml:space="preserve">  Accounts receivable</t>
        </is>
      </c>
      <c r="C310" s="253" t="n">
        <v>297.614</v>
      </c>
      <c r="D310" s="253" t="n">
        <v>354.386</v>
      </c>
      <c r="E310" s="253" t="n">
        <v>381.065</v>
      </c>
      <c r="F310" s="253" t="n">
        <v>346.858</v>
      </c>
      <c r="G310" s="253" t="n">
        <v>322.215</v>
      </c>
      <c r="H310" s="253" t="n">
        <v>343.768</v>
      </c>
      <c r="I310" s="253" t="n">
        <v>402.182</v>
      </c>
      <c r="J310" s="253" t="n">
        <v>431.82</v>
      </c>
      <c r="K310" s="253" t="n">
        <v>591.529</v>
      </c>
      <c r="L310" s="253" t="n">
        <v>537.987</v>
      </c>
      <c r="M310" s="253" t="n">
        <v>509.721</v>
      </c>
      <c r="N310" s="253" t="n">
        <v>588.064</v>
      </c>
      <c r="O310" s="253" t="n">
        <v>571.943</v>
      </c>
      <c r="P310" s="253" t="n">
        <v>523.051</v>
      </c>
      <c r="Q310" s="253" t="n">
        <v>523.051</v>
      </c>
      <c r="R310" s="253" t="n">
        <v>506.216</v>
      </c>
      <c r="S310" s="253" t="n">
        <v>575.174</v>
      </c>
      <c r="T310" s="253" t="n">
        <v>587.546</v>
      </c>
      <c r="U310" s="253" t="n">
        <v>609.9640000000001</v>
      </c>
      <c r="V310" s="253" t="n">
        <v>609.9640000000001</v>
      </c>
      <c r="W310" s="253" t="n">
        <v>597.053</v>
      </c>
      <c r="X310" s="253" t="n">
        <v>663.419</v>
      </c>
      <c r="Y310" s="253" t="n">
        <v>732.8049999999999</v>
      </c>
      <c r="Z310" s="253" t="n">
        <v>749.859</v>
      </c>
      <c r="AA310" s="253" t="n">
        <v>749.859</v>
      </c>
      <c r="AB310" s="253" t="n">
        <v>778.0650000000001</v>
      </c>
      <c r="AC310" s="253" t="n">
        <v>831.777</v>
      </c>
      <c r="AD310" s="253" t="n">
        <v>760.01</v>
      </c>
      <c r="AE310" s="253" t="n">
        <v>770.066</v>
      </c>
      <c r="AF310" s="253" t="n">
        <v>770.066</v>
      </c>
      <c r="AG310" s="253" t="n">
        <v>692.599</v>
      </c>
      <c r="AH310" s="253" t="n">
        <v>831.5</v>
      </c>
      <c r="AI310" s="253" t="n">
        <v>829.581</v>
      </c>
      <c r="AJ310" s="253" t="n">
        <v>831.116</v>
      </c>
      <c r="AK310" s="253" t="n">
        <v>831.116</v>
      </c>
      <c r="AL310" s="253" t="n">
        <v>796.76</v>
      </c>
      <c r="AM310" s="253" t="n">
        <v>931.231</v>
      </c>
      <c r="AN310" s="253" t="n">
        <v>1012.481</v>
      </c>
      <c r="AO310" s="35" t="n"/>
      <c r="AP310" s="254">
        <f>AP338*AP340/365</f>
        <v>1009.28365643836</v>
      </c>
      <c r="AQ310" s="254">
        <f>AQ338*AQ340/365</f>
        <v>1096.15711406611</v>
      </c>
      <c r="AR310" s="254">
        <f>AR338*AR340/365</f>
        <v>1188.04713748515</v>
      </c>
      <c r="AS310" s="254">
        <f>AS338*AS340/365</f>
        <v>1273.04690187666</v>
      </c>
      <c r="AT310" s="254">
        <f>AT338*AT340/365</f>
        <v>1349.81988751777</v>
      </c>
      <c r="AU310" s="254">
        <f>AU338*AU340/365</f>
        <v>1426.02372785099</v>
      </c>
      <c r="AV310" s="19" t="n"/>
    </row>
    <row r="311" ht="15" customHeight="1" s="251">
      <c r="B311" s="25" t="inlineStr">
        <is>
          <t xml:space="preserve">  Inventories</t>
        </is>
      </c>
      <c r="C311" s="253" t="n">
        <v>381.555</v>
      </c>
      <c r="D311" s="253" t="n">
        <v>398.229</v>
      </c>
      <c r="E311" s="253" t="n">
        <v>431.744</v>
      </c>
      <c r="F311" s="253" t="n">
        <v>451.944</v>
      </c>
      <c r="G311" s="253" t="n">
        <v>447.664</v>
      </c>
      <c r="H311" s="253" t="n">
        <v>461.683</v>
      </c>
      <c r="I311" s="253" t="n">
        <v>473.505</v>
      </c>
      <c r="J311" s="253" t="n">
        <v>549.596</v>
      </c>
      <c r="K311" s="253" t="n">
        <v>516.836</v>
      </c>
      <c r="L311" s="253" t="n">
        <v>437.943</v>
      </c>
      <c r="M311" s="253" t="n">
        <v>445.463</v>
      </c>
      <c r="N311" s="253" t="n">
        <v>422.321</v>
      </c>
      <c r="O311" s="253" t="n">
        <v>427.492</v>
      </c>
      <c r="P311" s="253" t="n">
        <v>419.971</v>
      </c>
      <c r="Q311" s="253" t="n">
        <v>419.971</v>
      </c>
      <c r="R311" s="253" t="n">
        <v>451.834</v>
      </c>
      <c r="S311" s="253" t="n">
        <v>484.933</v>
      </c>
      <c r="T311" s="253" t="n">
        <v>503.664</v>
      </c>
      <c r="U311" s="253" t="n">
        <v>514.287</v>
      </c>
      <c r="V311" s="253" t="n">
        <v>514.287</v>
      </c>
      <c r="W311" s="253" t="n">
        <v>573.8339999999999</v>
      </c>
      <c r="X311" s="253" t="n">
        <v>567.784</v>
      </c>
      <c r="Y311" s="253" t="n">
        <v>531.8339999999999</v>
      </c>
      <c r="Z311" s="253" t="n">
        <v>517.843</v>
      </c>
      <c r="AA311" s="253" t="n">
        <v>517.843</v>
      </c>
      <c r="AB311" s="253" t="n">
        <v>559.673</v>
      </c>
      <c r="AC311" s="253" t="n">
        <v>580.377</v>
      </c>
      <c r="AD311" s="253" t="n">
        <v>614.981</v>
      </c>
      <c r="AE311" s="253" t="n">
        <v>609.092</v>
      </c>
      <c r="AF311" s="253" t="n">
        <v>609.092</v>
      </c>
      <c r="AG311" s="253" t="n">
        <v>632.002</v>
      </c>
      <c r="AH311" s="253" t="n">
        <v>634.508</v>
      </c>
      <c r="AI311" s="253" t="n">
        <v>657.121</v>
      </c>
      <c r="AJ311" s="253" t="n">
        <v>654.6079999999999</v>
      </c>
      <c r="AK311" s="253" t="n">
        <v>654.6079999999999</v>
      </c>
      <c r="AL311" s="253" t="n">
        <v>689.217</v>
      </c>
      <c r="AM311" s="253" t="n">
        <v>704.465</v>
      </c>
      <c r="AN311" s="253" t="n">
        <v>724.803</v>
      </c>
      <c r="AO311" s="35" t="n"/>
      <c r="AP311" s="254">
        <f>AP339*AP341/365</f>
        <v>765.722125858259</v>
      </c>
      <c r="AQ311" s="254">
        <f>AQ339*AQ341/365</f>
        <v>825.619894574972</v>
      </c>
      <c r="AR311" s="254">
        <f>AR339*AR341/365</f>
        <v>889.689190419145</v>
      </c>
      <c r="AS311" s="254">
        <f>AS339*AS341/365</f>
        <v>947.790955118932</v>
      </c>
      <c r="AT311" s="254">
        <f>AT339*AT341/365</f>
        <v>1001.75583470278</v>
      </c>
      <c r="AU311" s="254">
        <f>AU339*AU341/365</f>
        <v>1054.03968740106</v>
      </c>
      <c r="AV311" s="19" t="n"/>
    </row>
    <row r="312" ht="15" customHeight="1" s="251">
      <c r="B312" s="25" t="inlineStr">
        <is>
          <t xml:space="preserve">  Income taxes receivable, assets held for sale &amp; other current assets</t>
        </is>
      </c>
      <c r="C312" s="253" t="n">
        <v>64.08499999999999</v>
      </c>
      <c r="D312" s="253" t="n">
        <v>89.033</v>
      </c>
      <c r="E312" s="253" t="n">
        <v>95.748</v>
      </c>
      <c r="F312" s="253" t="n">
        <v>94.55500000000001</v>
      </c>
      <c r="G312" s="253" t="n">
        <v>95.395</v>
      </c>
      <c r="H312" s="253" t="n">
        <v>57.883</v>
      </c>
      <c r="I312" s="253" t="n">
        <v>57.95</v>
      </c>
      <c r="J312" s="253" t="n">
        <v>49.787</v>
      </c>
      <c r="K312" s="253" t="n">
        <v>63.79</v>
      </c>
      <c r="L312" s="253" t="n">
        <v>81.66500000000001</v>
      </c>
      <c r="M312" s="253" t="n">
        <v>89.489</v>
      </c>
      <c r="N312" s="253" t="n">
        <v>70.182</v>
      </c>
      <c r="O312" s="253" t="n">
        <v>82.086</v>
      </c>
      <c r="P312" s="253" t="n">
        <v>73.239</v>
      </c>
      <c r="Q312" s="253" t="n">
        <v>73.239</v>
      </c>
      <c r="R312" s="253" t="n">
        <v>61.699</v>
      </c>
      <c r="S312" s="253" t="n">
        <v>62.928</v>
      </c>
      <c r="T312" s="253" t="n">
        <v>62.804</v>
      </c>
      <c r="U312" s="253" t="n">
        <v>79.874</v>
      </c>
      <c r="V312" s="253" t="n">
        <v>79.874</v>
      </c>
      <c r="W312" s="253" t="n">
        <v>89.28</v>
      </c>
      <c r="X312" s="253" t="n">
        <v>110.057</v>
      </c>
      <c r="Y312" s="253" t="n">
        <v>111.731</v>
      </c>
      <c r="Z312" s="253" t="n">
        <v>64.303</v>
      </c>
      <c r="AA312" s="253" t="n">
        <v>64.303</v>
      </c>
      <c r="AB312" s="253" t="n">
        <v>64.071</v>
      </c>
      <c r="AC312" s="253" t="n">
        <v>82.88800000000001</v>
      </c>
      <c r="AD312" s="253" t="n">
        <v>105.036</v>
      </c>
      <c r="AE312" s="253" t="n">
        <v>82.18300000000001</v>
      </c>
      <c r="AF312" s="253" t="n">
        <v>82.18300000000001</v>
      </c>
      <c r="AG312" s="253" t="n">
        <v>116.269</v>
      </c>
      <c r="AH312" s="253" t="n">
        <v>81.788</v>
      </c>
      <c r="AI312" s="253" t="n">
        <v>101.296</v>
      </c>
      <c r="AJ312" s="253" t="n">
        <v>71.259</v>
      </c>
      <c r="AK312" s="253" t="n">
        <v>71.259</v>
      </c>
      <c r="AL312" s="253" t="n">
        <v>108.901</v>
      </c>
      <c r="AM312" s="253" t="n">
        <v>135.057</v>
      </c>
      <c r="AN312" s="253" t="n">
        <v>126.423</v>
      </c>
      <c r="AO312" s="35" t="n"/>
      <c r="AP312" s="254">
        <f>AN312</f>
        <v>126.423</v>
      </c>
      <c r="AQ312" s="254">
        <f>AP312-IF(AQ93&gt;0,AQ94,0)</f>
        <v>110.059</v>
      </c>
      <c r="AR312" s="254">
        <f>AQ312-IF(AR93&gt;0,AR94,0)</f>
        <v>110.059</v>
      </c>
      <c r="AS312" s="254">
        <f>AR312-IF(AS93&gt;0,AS94,0)</f>
        <v>110.059</v>
      </c>
      <c r="AT312" s="254">
        <f>AS312-IF(AT93&gt;0,AT94,0)</f>
        <v>110.059</v>
      </c>
      <c r="AU312" s="254">
        <f>AT312-IF(AU93&gt;0,AU94,0)</f>
        <v>110.059</v>
      </c>
      <c r="AV312" s="19" t="n"/>
    </row>
    <row r="313" ht="15" customHeight="1" s="251">
      <c r="B313" s="16" t="inlineStr">
        <is>
          <t>Total current assets</t>
        </is>
      </c>
      <c r="C313" s="261">
        <f>IF(ISNUMBER(C309),SUM(C309:C312),"")</f>
        <v>817.793</v>
      </c>
      <c r="D313" s="261">
        <f>IF(ISNUMBER(D309),SUM(D309:D312),"")</f>
        <v>903.477</v>
      </c>
      <c r="E313" s="261">
        <f>IF(ISNUMBER(E309),SUM(E309:E312),"")</f>
        <v>957.113</v>
      </c>
      <c r="F313" s="261">
        <f>IF(ISNUMBER(F309),SUM(F309:F312),"")</f>
        <v>1008.644</v>
      </c>
      <c r="G313" s="261">
        <f>IF(ISNUMBER(G309),SUM(G309:G312),"")</f>
        <v>947.476</v>
      </c>
      <c r="H313" s="261">
        <f>IF(ISNUMBER(H309),SUM(H309:H312),"")</f>
        <v>944.424</v>
      </c>
      <c r="I313" s="261">
        <f>IF(ISNUMBER(I309),SUM(I309:I312),"")</f>
        <v>1021.189</v>
      </c>
      <c r="J313" s="261">
        <f>IF(ISNUMBER(J309),SUM(J309:J312),"")</f>
        <v>1114.797</v>
      </c>
      <c r="K313" s="261">
        <f>IF(ISNUMBER(K309),SUM(K309:K312),"")</f>
        <v>1271.228</v>
      </c>
      <c r="L313" s="261">
        <f>IF(ISNUMBER(L309),SUM(L309:L312),"")</f>
        <v>1210.865</v>
      </c>
      <c r="M313" s="261">
        <f>IF(ISNUMBER(M309),SUM(M309:M312),"")</f>
        <v>1246.554</v>
      </c>
      <c r="N313" s="261">
        <f>IF(ISNUMBER(N309),SUM(N309:N312),"")</f>
        <v>1368.162</v>
      </c>
      <c r="O313" s="261">
        <f>IF(ISNUMBER(O309),SUM(O309:O312),"")</f>
        <v>1443.528</v>
      </c>
      <c r="P313" s="261">
        <f>IF(ISNUMBER(P309),SUM(P309:P312),"")</f>
        <v>1464.723</v>
      </c>
      <c r="Q313" s="261">
        <f>IF(ISNUMBER(Q309),SUM(Q309:Q312),"")</f>
        <v>1464.723</v>
      </c>
      <c r="R313" s="261">
        <f>IF(ISNUMBER(R309),SUM(R309:R312),"")</f>
        <v>1446.731</v>
      </c>
      <c r="S313" s="261">
        <f>IF(ISNUMBER(S309),SUM(S309:S312),"")</f>
        <v>1331.39</v>
      </c>
      <c r="T313" s="261">
        <f>IF(ISNUMBER(T309),SUM(T309:T312),"")</f>
        <v>1253.715</v>
      </c>
      <c r="U313" s="261">
        <f>IF(ISNUMBER(U309),SUM(U309:U312),"")</f>
        <v>1311.969</v>
      </c>
      <c r="V313" s="261">
        <f>IF(ISNUMBER(V309),SUM(V309:V312),"")</f>
        <v>1311.969</v>
      </c>
      <c r="W313" s="261">
        <f>IF(ISNUMBER(W309),SUM(W309:W312),"")</f>
        <v>1359.502</v>
      </c>
      <c r="X313" s="261">
        <f>IF(ISNUMBER(X309),SUM(X309:X312),"")</f>
        <v>1470.687</v>
      </c>
      <c r="Y313" s="261">
        <f>IF(ISNUMBER(Y309),SUM(Y309:Y312),"")</f>
        <v>1490.477</v>
      </c>
      <c r="Z313" s="261">
        <f>IF(ISNUMBER(Z309),SUM(Z309:Z312),"")</f>
        <v>1469.452</v>
      </c>
      <c r="AA313" s="261">
        <f>IF(ISNUMBER(AA309),SUM(AA309:AA312),"")</f>
        <v>1469.452</v>
      </c>
      <c r="AB313" s="261">
        <f>IF(ISNUMBER(AB309),SUM(AB309:AB312),"")</f>
        <v>1546.157</v>
      </c>
      <c r="AC313" s="261">
        <f>IF(ISNUMBER(AC309),SUM(AC309:AC312),"")</f>
        <v>1811.974</v>
      </c>
      <c r="AD313" s="261">
        <f>IF(ISNUMBER(AD309),SUM(AD309:AD312),"")</f>
        <v>1788.359</v>
      </c>
      <c r="AE313" s="261">
        <f>IF(ISNUMBER(AE309),SUM(AE309:AE312),"")</f>
        <v>1743.611</v>
      </c>
      <c r="AF313" s="261">
        <f>IF(ISNUMBER(AF309),SUM(AF309:AF312),"")</f>
        <v>1743.611</v>
      </c>
      <c r="AG313" s="261">
        <f>IF(ISNUMBER(AG309),SUM(AG309:AG312),"")</f>
        <v>1724.596</v>
      </c>
      <c r="AH313" s="261">
        <f>IF(ISNUMBER(AH309),SUM(AH309:AH312),"")</f>
        <v>1911.937</v>
      </c>
      <c r="AI313" s="261">
        <f>IF(ISNUMBER(AI309),SUM(AI309:AI312),"")</f>
        <v>2061.157</v>
      </c>
      <c r="AJ313" s="261">
        <f>IF(ISNUMBER(AJ309),SUM(AJ309:AJ312),"")</f>
        <v>1884.414</v>
      </c>
      <c r="AK313" s="261">
        <f>IF(ISNUMBER(AK309),SUM(AK309:AK312),"")</f>
        <v>1884.414</v>
      </c>
      <c r="AL313" s="261">
        <f>IF(ISNUMBER(AL309),SUM(AL309:AL312),"")</f>
        <v>2049.123</v>
      </c>
      <c r="AM313" s="261">
        <f>IF(ISNUMBER(AM309),SUM(AM309:AM312),"")</f>
        <v>2271.922</v>
      </c>
      <c r="AN313" s="261">
        <f>IF(ISNUMBER(AN309),SUM(AN309:AN312),"")</f>
        <v>2338.558</v>
      </c>
      <c r="AO313" s="32" t="n"/>
      <c r="AP313" s="262">
        <f>IF(ISNUMBER(AP309),SUM(AP309:AP312),"")</f>
        <v>2201.42878229662</v>
      </c>
      <c r="AQ313" s="262">
        <f>IF(ISNUMBER(AQ309),SUM(AQ309:AQ312),"")</f>
        <v>2331.83600864109</v>
      </c>
      <c r="AR313" s="262">
        <f>IF(ISNUMBER(AR309),SUM(AR309:AR312),"")</f>
        <v>2487.79532790429</v>
      </c>
      <c r="AS313" s="262">
        <f>IF(ISNUMBER(AS309),SUM(AS309:AS312),"")</f>
        <v>2630.89685699559</v>
      </c>
      <c r="AT313" s="262">
        <f>IF(ISNUMBER(AT309),SUM(AT309:AT312),"")</f>
        <v>2761.63472222055</v>
      </c>
      <c r="AU313" s="262">
        <f>IF(ISNUMBER(AU309),SUM(AU309:AU312),"")</f>
        <v>2890.12241525205</v>
      </c>
      <c r="AV313" s="153" t="n"/>
    </row>
    <row r="314" ht="15" customHeight="1" s="251">
      <c r="B314" s="25" t="inlineStr">
        <is>
          <t xml:space="preserve">  Property, plant &amp; equipment, net</t>
        </is>
      </c>
      <c r="C314" s="253" t="n">
        <v>206.725</v>
      </c>
      <c r="D314" s="253" t="n">
        <v>234.505</v>
      </c>
      <c r="E314" s="253" t="n">
        <v>350.048</v>
      </c>
      <c r="F314" s="253" t="n">
        <v>513.279</v>
      </c>
      <c r="G314" s="253" t="n">
        <v>756.1</v>
      </c>
      <c r="H314" s="253" t="n">
        <v>876.35</v>
      </c>
      <c r="I314" s="253" t="n">
        <v>922.043</v>
      </c>
      <c r="J314" s="253" t="n">
        <v>1060.005</v>
      </c>
      <c r="K314" s="253" t="n">
        <v>1058.775</v>
      </c>
      <c r="L314" s="253" t="n">
        <v>997.415</v>
      </c>
      <c r="M314" s="253" t="n">
        <v>986.03</v>
      </c>
      <c r="N314" s="253" t="n">
        <v>965.205</v>
      </c>
      <c r="O314" s="253" t="n">
        <v>952.8</v>
      </c>
      <c r="P314" s="253" t="n">
        <v>950.569</v>
      </c>
      <c r="Q314" s="253" t="n">
        <v>950.569</v>
      </c>
      <c r="R314" s="253" t="n">
        <v>934.403</v>
      </c>
      <c r="S314" s="253" t="n">
        <v>923.651</v>
      </c>
      <c r="T314" s="253" t="n">
        <v>913.468</v>
      </c>
      <c r="U314" s="253" t="n">
        <v>910.472</v>
      </c>
      <c r="V314" s="253" t="n">
        <v>910.472</v>
      </c>
      <c r="W314" s="253" t="n">
        <v>921.665</v>
      </c>
      <c r="X314" s="253" t="n">
        <v>919.672</v>
      </c>
      <c r="Y314" s="253" t="n">
        <v>910.544</v>
      </c>
      <c r="Z314" s="253" t="n">
        <v>913.0940000000001</v>
      </c>
      <c r="AA314" s="253" t="n">
        <v>913.0940000000001</v>
      </c>
      <c r="AB314" s="253" t="n">
        <v>931.253</v>
      </c>
      <c r="AC314" s="253" t="n">
        <v>921.355</v>
      </c>
      <c r="AD314" s="253" t="n">
        <v>917.73</v>
      </c>
      <c r="AE314" s="253" t="n">
        <v>940.715</v>
      </c>
      <c r="AF314" s="253" t="n">
        <v>940.715</v>
      </c>
      <c r="AG314" s="253" t="n">
        <v>925.471</v>
      </c>
      <c r="AH314" s="253" t="n">
        <v>929.357</v>
      </c>
      <c r="AI314" s="253" t="n">
        <v>942.103</v>
      </c>
      <c r="AJ314" s="253" t="n">
        <v>986.623</v>
      </c>
      <c r="AK314" s="253" t="n">
        <v>986.623</v>
      </c>
      <c r="AL314" s="253" t="n">
        <v>1002.187</v>
      </c>
      <c r="AM314" s="253" t="n">
        <v>1034.798</v>
      </c>
      <c r="AN314" s="253" t="n">
        <v>1087.764</v>
      </c>
      <c r="AO314" s="35" t="n"/>
      <c r="AP314" s="254">
        <f>AN314-(AP267-SUM(AL267:AN267))-AO132</f>
        <v>1198.427</v>
      </c>
      <c r="AQ314" s="254">
        <f>AP314-AQ267-AQ132+AQ78*AQ86</f>
        <v>1335.51674540143</v>
      </c>
      <c r="AR314" s="254">
        <f>AQ314-AR267-AR132+AR78*AR86</f>
        <v>1396.53288718756</v>
      </c>
      <c r="AS314" s="254">
        <f>AR314-AS267-AS132+AS78*AS86</f>
        <v>1439.33256618885</v>
      </c>
      <c r="AT314" s="254">
        <f>AS314-AT267-AT132+AT78*AT86</f>
        <v>1472.51770778621</v>
      </c>
      <c r="AU314" s="254">
        <f>AT314-AU267-AU132+AU78*AU86</f>
        <v>1507.01176240577</v>
      </c>
      <c r="AV314" s="19" t="inlineStr">
        <is>
          <t>Roll-forward: prior − capex (negative cash flow) − depreciation + acquired PP&amp;E.</t>
        </is>
      </c>
    </row>
    <row r="315" ht="15" customHeight="1" s="251">
      <c r="B315" s="25" t="inlineStr">
        <is>
          <t xml:space="preserve">  Goodwill</t>
        </is>
      </c>
      <c r="C315" s="253" t="n">
        <v>462.282</v>
      </c>
      <c r="D315" s="253" t="n">
        <v>461.374</v>
      </c>
      <c r="E315" s="253" t="n">
        <v>551.624</v>
      </c>
      <c r="F315" s="253" t="n">
        <v>559.724</v>
      </c>
      <c r="G315" s="253" t="n">
        <v>556.977</v>
      </c>
      <c r="H315" s="253" t="n">
        <v>555.684</v>
      </c>
      <c r="I315" s="253" t="n">
        <v>556.545</v>
      </c>
      <c r="J315" s="253" t="n">
        <v>813.25</v>
      </c>
      <c r="K315" s="253" t="n">
        <v>797.853</v>
      </c>
      <c r="L315" s="253" t="n">
        <v>808.252</v>
      </c>
      <c r="M315" s="253" t="n">
        <v>821.609</v>
      </c>
      <c r="N315" s="253" t="n">
        <v>807.974</v>
      </c>
      <c r="O315" s="253" t="n">
        <v>812.516</v>
      </c>
      <c r="P315" s="253" t="n">
        <v>805.333</v>
      </c>
      <c r="Q315" s="253" t="n">
        <v>805.333</v>
      </c>
      <c r="R315" s="253" t="n">
        <v>800.022</v>
      </c>
      <c r="S315" s="253" t="n">
        <v>796.028</v>
      </c>
      <c r="T315" s="253" t="n">
        <v>779.144</v>
      </c>
      <c r="U315" s="253" t="n">
        <v>772.559</v>
      </c>
      <c r="V315" s="253" t="n">
        <v>772.559</v>
      </c>
      <c r="W315" s="253" t="n">
        <v>793.92</v>
      </c>
      <c r="X315" s="253" t="n">
        <v>799.147</v>
      </c>
      <c r="Y315" s="253" t="n">
        <v>798.575</v>
      </c>
      <c r="Z315" s="253" t="n">
        <v>791.468</v>
      </c>
      <c r="AA315" s="253" t="n">
        <v>791.468</v>
      </c>
      <c r="AB315" s="253" t="n">
        <v>803.487</v>
      </c>
      <c r="AC315" s="253" t="n">
        <v>796.706</v>
      </c>
      <c r="AD315" s="253" t="n">
        <v>794.797</v>
      </c>
      <c r="AE315" s="253" t="n">
        <v>806.643</v>
      </c>
      <c r="AF315" s="253" t="n">
        <v>806.643</v>
      </c>
      <c r="AG315" s="253" t="n">
        <v>781.928</v>
      </c>
      <c r="AH315" s="253" t="n">
        <v>791.989</v>
      </c>
      <c r="AI315" s="253" t="n">
        <v>813.779</v>
      </c>
      <c r="AJ315" s="253" t="n">
        <v>832.288</v>
      </c>
      <c r="AK315" s="253" t="n">
        <v>832.288</v>
      </c>
      <c r="AL315" s="253" t="n">
        <v>832.0650000000001</v>
      </c>
      <c r="AM315" s="253" t="n">
        <v>825.503</v>
      </c>
      <c r="AN315" s="253" t="n">
        <v>893.956</v>
      </c>
      <c r="AO315" s="35" t="n"/>
      <c r="AP315" s="254">
        <f>AN315</f>
        <v>893.956</v>
      </c>
      <c r="AQ315" s="254">
        <f>AP315+AQ78*(1-AQ86-AQ87)</f>
        <v>943.956</v>
      </c>
      <c r="AR315" s="254">
        <f>AQ315+AR78*(1-AR86-AR87)</f>
        <v>993.956</v>
      </c>
      <c r="AS315" s="254">
        <f>AR315+AS78*(1-AS86-AS87)</f>
        <v>1043.956</v>
      </c>
      <c r="AT315" s="254">
        <f>AS315+AT78*(1-AT86-AT87)</f>
        <v>1093.956</v>
      </c>
      <c r="AU315" s="254">
        <f>AT315+AU78*(1-AU86-AU87)</f>
        <v>1143.956</v>
      </c>
      <c r="AV315" s="19" t="n"/>
    </row>
    <row r="316" ht="15" customHeight="1" s="251">
      <c r="B316" s="25" t="inlineStr">
        <is>
          <t xml:space="preserve">  Intangible assets, net</t>
        </is>
      </c>
      <c r="C316" s="253" t="n">
        <v>268.897</v>
      </c>
      <c r="D316" s="253" t="n">
        <v>235.563</v>
      </c>
      <c r="E316" s="253" t="n">
        <v>285.775</v>
      </c>
      <c r="F316" s="253" t="n">
        <v>254.772</v>
      </c>
      <c r="G316" s="253" t="n">
        <v>225.138</v>
      </c>
      <c r="H316" s="253" t="n">
        <v>197.65</v>
      </c>
      <c r="I316" s="253" t="n">
        <v>171.882</v>
      </c>
      <c r="J316" s="253" t="n">
        <v>700.883</v>
      </c>
      <c r="K316" s="253" t="n">
        <v>611.992</v>
      </c>
      <c r="L316" s="253" t="n">
        <v>606.711</v>
      </c>
      <c r="M316" s="253" t="n">
        <v>619.721</v>
      </c>
      <c r="N316" s="253" t="n">
        <v>584.948</v>
      </c>
      <c r="O316" s="253" t="n">
        <v>582.213</v>
      </c>
      <c r="P316" s="253" t="n">
        <v>559.289</v>
      </c>
      <c r="Q316" s="253" t="n">
        <v>559.289</v>
      </c>
      <c r="R316" s="253" t="n">
        <v>538.782</v>
      </c>
      <c r="S316" s="253" t="n">
        <v>522.502</v>
      </c>
      <c r="T316" s="253" t="n">
        <v>484.867</v>
      </c>
      <c r="U316" s="253" t="n">
        <v>460.58</v>
      </c>
      <c r="V316" s="253" t="n">
        <v>460.58</v>
      </c>
      <c r="W316" s="253" t="n">
        <v>485.644</v>
      </c>
      <c r="X316" s="253" t="n">
        <v>483.884</v>
      </c>
      <c r="Y316" s="253" t="n">
        <v>472.894</v>
      </c>
      <c r="Z316" s="253" t="n">
        <v>452.363</v>
      </c>
      <c r="AA316" s="253" t="n">
        <v>452.363</v>
      </c>
      <c r="AB316" s="253" t="n">
        <v>460.986</v>
      </c>
      <c r="AC316" s="253" t="n">
        <v>443.414</v>
      </c>
      <c r="AD316" s="253" t="n">
        <v>432.352</v>
      </c>
      <c r="AE316" s="253" t="n">
        <v>440.419</v>
      </c>
      <c r="AF316" s="253" t="n">
        <v>440.419</v>
      </c>
      <c r="AG316" s="253" t="n">
        <v>404.417</v>
      </c>
      <c r="AH316" s="253" t="n">
        <v>412.186</v>
      </c>
      <c r="AI316" s="253" t="n">
        <v>435.057</v>
      </c>
      <c r="AJ316" s="253" t="n">
        <v>428.08</v>
      </c>
      <c r="AK316" s="253" t="n">
        <v>428.08</v>
      </c>
      <c r="AL316" s="253" t="n">
        <v>425.408</v>
      </c>
      <c r="AM316" s="253" t="n">
        <v>408.801</v>
      </c>
      <c r="AN316" s="253" t="n">
        <v>447.263</v>
      </c>
      <c r="AO316" s="35" t="n"/>
      <c r="AP316" s="254">
        <f>AN316-AO130</f>
        <v>438.815</v>
      </c>
      <c r="AQ316" s="254">
        <f>AP316-AQ130+AQ78*AQ87</f>
        <v>445.023666666667</v>
      </c>
      <c r="AR316" s="254">
        <f>AQ316-AR130+AR78*AR87</f>
        <v>448.914666666667</v>
      </c>
      <c r="AS316" s="254">
        <f>AR316-AS130+AS78*AS87</f>
        <v>451.044</v>
      </c>
      <c r="AT316" s="254">
        <f>AS316-AT130+AT78*AT87</f>
        <v>450.534666666667</v>
      </c>
      <c r="AU316" s="254">
        <f>AT316-AU130+AU78*AU87</f>
        <v>448.534666666667</v>
      </c>
      <c r="AV316" s="19" t="inlineStr">
        <is>
          <t>Roll-forward: prior − amortization + acquired intangibles (M&amp;A lever).</t>
        </is>
      </c>
    </row>
    <row r="317" ht="15" customHeight="1" s="251">
      <c r="B317" s="25" t="inlineStr">
        <is>
          <t xml:space="preserve">  Deferred income tax assets &amp; other assets (incl. lease right-of-use; derived)</t>
        </is>
      </c>
      <c r="C317" s="253" t="n">
        <v>25.737</v>
      </c>
      <c r="D317" s="253" t="n">
        <v>25.045</v>
      </c>
      <c r="E317" s="253" t="n">
        <v>61.124</v>
      </c>
      <c r="F317" s="253" t="n">
        <v>60.783</v>
      </c>
      <c r="G317" s="253" t="n">
        <v>54.274</v>
      </c>
      <c r="H317" s="253" t="n">
        <v>68.254</v>
      </c>
      <c r="I317" s="253" t="n">
        <v>85.45</v>
      </c>
      <c r="J317" s="253" t="n">
        <v>101.714</v>
      </c>
      <c r="K317" s="253" t="n">
        <v>216.678</v>
      </c>
      <c r="L317" s="253" t="n">
        <v>280.093</v>
      </c>
      <c r="M317" s="253" t="n">
        <v>285.591</v>
      </c>
      <c r="N317" s="253" t="n">
        <v>294.483</v>
      </c>
      <c r="O317" s="253" t="n">
        <v>297.598</v>
      </c>
      <c r="P317" s="253" t="n">
        <v>311.09</v>
      </c>
      <c r="Q317" s="253" t="n">
        <v>311.09</v>
      </c>
      <c r="R317" s="253" t="n">
        <v>315.302</v>
      </c>
      <c r="S317" s="253" t="n">
        <v>316.973</v>
      </c>
      <c r="T317" s="253" t="n">
        <v>324.595</v>
      </c>
      <c r="U317" s="253" t="n">
        <v>350.866</v>
      </c>
      <c r="V317" s="253" t="n">
        <v>350.866</v>
      </c>
      <c r="W317" s="253" t="n">
        <v>334.077</v>
      </c>
      <c r="X317" s="253" t="n">
        <v>338.143</v>
      </c>
      <c r="Y317" s="253" t="n">
        <v>337.073</v>
      </c>
      <c r="Z317" s="253" t="n">
        <v>383.826</v>
      </c>
      <c r="AA317" s="253" t="n">
        <v>383.826</v>
      </c>
      <c r="AB317" s="253" t="n">
        <v>388.922</v>
      </c>
      <c r="AC317" s="253" t="n">
        <v>392.81</v>
      </c>
      <c r="AD317" s="253" t="n">
        <v>387.071</v>
      </c>
      <c r="AE317" s="253" t="n">
        <v>437.527</v>
      </c>
      <c r="AF317" s="253" t="n">
        <v>437.527</v>
      </c>
      <c r="AG317" s="253" t="n">
        <v>444.97</v>
      </c>
      <c r="AH317" s="253" t="n">
        <v>448</v>
      </c>
      <c r="AI317" s="253" t="n">
        <v>459.754</v>
      </c>
      <c r="AJ317" s="253" t="n">
        <v>498.738</v>
      </c>
      <c r="AK317" s="253" t="n">
        <v>498.738</v>
      </c>
      <c r="AL317" s="253" t="n">
        <v>425.114</v>
      </c>
      <c r="AM317" s="253" t="n">
        <v>428.088</v>
      </c>
      <c r="AN317" s="253" t="n">
        <v>428.86</v>
      </c>
      <c r="AO317" s="35" t="n"/>
      <c r="AP317" s="254">
        <f>AN317</f>
        <v>428.86</v>
      </c>
      <c r="AQ317" s="254">
        <f>AP317</f>
        <v>428.86</v>
      </c>
      <c r="AR317" s="254">
        <f>AQ317</f>
        <v>428.86</v>
      </c>
      <c r="AS317" s="254">
        <f>AR317</f>
        <v>428.86</v>
      </c>
      <c r="AT317" s="254">
        <f>AS317</f>
        <v>428.86</v>
      </c>
      <c r="AU317" s="254">
        <f>AT317</f>
        <v>428.86</v>
      </c>
      <c r="AV317" s="19" t="n"/>
    </row>
    <row r="318" ht="15" customHeight="1" s="251">
      <c r="B318" s="55" t="inlineStr">
        <is>
          <t>TOTAL ASSETS</t>
        </is>
      </c>
      <c r="C318" s="273">
        <f>IF(ISNUMBER(C309),C313+SUM(C314:C317),"")</f>
        <v>1781.434</v>
      </c>
      <c r="D318" s="273">
        <f>IF(ISNUMBER(D309),D313+SUM(D314:D317),"")</f>
        <v>1859.964</v>
      </c>
      <c r="E318" s="273">
        <f>IF(ISNUMBER(E309),E313+SUM(E314:E317),"")</f>
        <v>2205.684</v>
      </c>
      <c r="F318" s="273">
        <f>IF(ISNUMBER(F309),F313+SUM(F314:F317),"")</f>
        <v>2397.202</v>
      </c>
      <c r="G318" s="273">
        <f>IF(ISNUMBER(G309),G313+SUM(G314:G317),"")</f>
        <v>2539.965</v>
      </c>
      <c r="H318" s="273">
        <f>IF(ISNUMBER(H309),H313+SUM(H314:H317),"")</f>
        <v>2642.362</v>
      </c>
      <c r="I318" s="273">
        <f>IF(ISNUMBER(I309),I313+SUM(I314:I317),"")</f>
        <v>2757.109</v>
      </c>
      <c r="J318" s="273">
        <f>IF(ISNUMBER(J309),J313+SUM(J314:J317),"")</f>
        <v>3790.649</v>
      </c>
      <c r="K318" s="273">
        <f>IF(ISNUMBER(K309),K313+SUM(K314:K317),"")</f>
        <v>3956.526</v>
      </c>
      <c r="L318" s="273">
        <f>IF(ISNUMBER(L309),L313+SUM(L314:L317),"")</f>
        <v>3903.336</v>
      </c>
      <c r="M318" s="273">
        <f>IF(ISNUMBER(M309),M313+SUM(M314:M317),"")</f>
        <v>3959.505</v>
      </c>
      <c r="N318" s="273">
        <f>IF(ISNUMBER(N309),N313+SUM(N314:N317),"")</f>
        <v>4020.772</v>
      </c>
      <c r="O318" s="273">
        <f>IF(ISNUMBER(O309),O313+SUM(O314:O317),"")</f>
        <v>4088.655</v>
      </c>
      <c r="P318" s="273">
        <f>IF(ISNUMBER(P309),P313+SUM(P314:P317),"")</f>
        <v>4091.004</v>
      </c>
      <c r="Q318" s="273">
        <f>IF(ISNUMBER(Q309),Q313+SUM(Q314:Q317),"")</f>
        <v>4091.004</v>
      </c>
      <c r="R318" s="273">
        <f>IF(ISNUMBER(R309),R313+SUM(R314:R317),"")</f>
        <v>4035.24</v>
      </c>
      <c r="S318" s="273">
        <f>IF(ISNUMBER(S309),S313+SUM(S314:S317),"")</f>
        <v>3890.544</v>
      </c>
      <c r="T318" s="273">
        <f>IF(ISNUMBER(T309),T313+SUM(T314:T317),"")</f>
        <v>3755.789</v>
      </c>
      <c r="U318" s="273">
        <f>IF(ISNUMBER(U309),U313+SUM(U314:U317),"")</f>
        <v>3806.446</v>
      </c>
      <c r="V318" s="273">
        <f>IF(ISNUMBER(V309),V313+SUM(V314:V317),"")</f>
        <v>3806.446</v>
      </c>
      <c r="W318" s="273">
        <f>IF(ISNUMBER(W309),W313+SUM(W314:W317),"")</f>
        <v>3894.808</v>
      </c>
      <c r="X318" s="273">
        <f>IF(ISNUMBER(X309),X313+SUM(X314:X317),"")</f>
        <v>4011.533</v>
      </c>
      <c r="Y318" s="273">
        <f>IF(ISNUMBER(Y309),Y313+SUM(Y314:Y317),"")</f>
        <v>4009.563</v>
      </c>
      <c r="Z318" s="273">
        <f>IF(ISNUMBER(Z309),Z313+SUM(Z314:Z317),"")</f>
        <v>4010.203</v>
      </c>
      <c r="AA318" s="273">
        <f>IF(ISNUMBER(AA309),AA313+SUM(AA314:AA317),"")</f>
        <v>4010.203</v>
      </c>
      <c r="AB318" s="273">
        <f>IF(ISNUMBER(AB309),AB313+SUM(AB314:AB317),"")</f>
        <v>4130.805</v>
      </c>
      <c r="AC318" s="273">
        <f>IF(ISNUMBER(AC309),AC313+SUM(AC314:AC317),"")</f>
        <v>4366.259</v>
      </c>
      <c r="AD318" s="273">
        <f>IF(ISNUMBER(AD309),AD313+SUM(AD314:AD317),"")</f>
        <v>4320.309</v>
      </c>
      <c r="AE318" s="273">
        <f>IF(ISNUMBER(AE309),AE313+SUM(AE314:AE317),"")</f>
        <v>4368.915</v>
      </c>
      <c r="AF318" s="273">
        <f>IF(ISNUMBER(AF309),AF313+SUM(AF314:AF317),"")</f>
        <v>4368.915</v>
      </c>
      <c r="AG318" s="273">
        <f>IF(ISNUMBER(AG309),AG313+SUM(AG314:AG317),"")</f>
        <v>4281.382</v>
      </c>
      <c r="AH318" s="273">
        <f>IF(ISNUMBER(AH309),AH313+SUM(AH314:AH317),"")</f>
        <v>4493.469</v>
      </c>
      <c r="AI318" s="273">
        <f>IF(ISNUMBER(AI309),AI313+SUM(AI314:AI317),"")</f>
        <v>4711.85</v>
      </c>
      <c r="AJ318" s="273">
        <f>IF(ISNUMBER(AJ309),AJ313+SUM(AJ314:AJ317),"")</f>
        <v>4630.143</v>
      </c>
      <c r="AK318" s="273">
        <f>IF(ISNUMBER(AK309),AK313+SUM(AK314:AK317),"")</f>
        <v>4630.143</v>
      </c>
      <c r="AL318" s="273">
        <f>IF(ISNUMBER(AL309),AL313+SUM(AL314:AL317),"")</f>
        <v>4733.897</v>
      </c>
      <c r="AM318" s="273">
        <f>IF(ISNUMBER(AM309),AM313+SUM(AM314:AM317),"")</f>
        <v>4969.112</v>
      </c>
      <c r="AN318" s="273">
        <f>IF(ISNUMBER(AN309),AN313+SUM(AN314:AN317),"")</f>
        <v>5196.401</v>
      </c>
      <c r="AO318" s="56" t="n"/>
      <c r="AP318" s="273">
        <f>IF(ISNUMBER(AP309),AP313+SUM(AP314:AP317),"")</f>
        <v>5161.48678229662</v>
      </c>
      <c r="AQ318" s="273">
        <f>IF(ISNUMBER(AQ309),AQ313+SUM(AQ314:AQ317),"")</f>
        <v>5485.19242070918</v>
      </c>
      <c r="AR318" s="273">
        <f>IF(ISNUMBER(AR309),AR313+SUM(AR314:AR317),"")</f>
        <v>5756.05888175852</v>
      </c>
      <c r="AS318" s="273">
        <f>IF(ISNUMBER(AS309),AS313+SUM(AS314:AS317),"")</f>
        <v>5994.08942318444</v>
      </c>
      <c r="AT318" s="273">
        <f>IF(ISNUMBER(AT309),AT313+SUM(AT314:AT317),"")</f>
        <v>6207.50309667343</v>
      </c>
      <c r="AU318" s="273">
        <f>IF(ISNUMBER(AU309),AU313+SUM(AU314:AU317),"")</f>
        <v>6418.48484432449</v>
      </c>
      <c r="AV318" s="153" t="n"/>
      <c r="AX318" s="20">
        <f>IFERROR((AU318/AP318)^(1/5)-1,"n/m")</f>
        <v>0.0445555480130371</v>
      </c>
      <c r="AY318" s="20">
        <f>IFERROR((AK318/L318)^(1/5)-1,"n/m")</f>
        <v>0.0347410852116086</v>
      </c>
      <c r="AZ318" s="20">
        <f>IFERROR((AK318/G318)^(1/10)-1,"n/m")</f>
        <v>0.0618829977861046</v>
      </c>
      <c r="BA318" s="20">
        <f>IFERROR((AK318/C318)^(1/14)-1,"n/m")</f>
        <v>0.0706076280158352</v>
      </c>
    </row>
    <row r="319" ht="15" customHeight="1" s="251">
      <c r="B319" s="25" t="inlineStr">
        <is>
          <t>LIABILITIES AND STOCKHOLDERS' EQUITY</t>
        </is>
      </c>
      <c r="AV319" s="153" t="n"/>
    </row>
    <row r="320" ht="15" customHeight="1" s="251">
      <c r="B320" s="25" t="inlineStr">
        <is>
          <t xml:space="preserve">  Accounts payable</t>
        </is>
      </c>
      <c r="C320" s="253" t="n">
        <v>123.453</v>
      </c>
      <c r="D320" s="253" t="n">
        <v>124.914</v>
      </c>
      <c r="E320" s="253" t="n">
        <v>145.307</v>
      </c>
      <c r="F320" s="253" t="n">
        <v>160.683</v>
      </c>
      <c r="G320" s="253" t="n">
        <v>173.287</v>
      </c>
      <c r="H320" s="253" t="n">
        <v>169.439</v>
      </c>
      <c r="I320" s="253" t="n">
        <v>232.788</v>
      </c>
      <c r="J320" s="253" t="n">
        <v>226.285</v>
      </c>
      <c r="K320" s="253" t="n">
        <v>240.46</v>
      </c>
      <c r="L320" s="253" t="n">
        <v>134.242</v>
      </c>
      <c r="M320" s="253" t="n">
        <v>158.568</v>
      </c>
      <c r="N320" s="253" t="n">
        <v>162.715</v>
      </c>
      <c r="O320" s="253" t="n">
        <v>163.248</v>
      </c>
      <c r="P320" s="253" t="n">
        <v>170.909</v>
      </c>
      <c r="Q320" s="253" t="n">
        <v>170.909</v>
      </c>
      <c r="R320" s="253" t="n">
        <v>165.867</v>
      </c>
      <c r="S320" s="253" t="n">
        <v>188.543</v>
      </c>
      <c r="T320" s="253" t="n">
        <v>195.402</v>
      </c>
      <c r="U320" s="253" t="n">
        <v>230.519</v>
      </c>
      <c r="V320" s="253" t="n">
        <v>230.519</v>
      </c>
      <c r="W320" s="253" t="n">
        <v>219.365</v>
      </c>
      <c r="X320" s="253" t="n">
        <v>220.386</v>
      </c>
      <c r="Y320" s="253" t="n">
        <v>223.091</v>
      </c>
      <c r="Z320" s="253" t="n">
        <v>234.328</v>
      </c>
      <c r="AA320" s="253" t="n">
        <v>234.328</v>
      </c>
      <c r="AB320" s="253" t="n">
        <v>253.398</v>
      </c>
      <c r="AC320" s="253" t="n">
        <v>258.67</v>
      </c>
      <c r="AD320" s="253" t="n">
        <v>255.391</v>
      </c>
      <c r="AE320" s="253" t="n">
        <v>287.457</v>
      </c>
      <c r="AF320" s="253" t="n">
        <v>287.457</v>
      </c>
      <c r="AG320" s="253" t="n">
        <v>224.035</v>
      </c>
      <c r="AH320" s="253" t="n">
        <v>269.318</v>
      </c>
      <c r="AI320" s="253" t="n">
        <v>284.029</v>
      </c>
      <c r="AJ320" s="253" t="n">
        <v>289.417</v>
      </c>
      <c r="AK320" s="253" t="n">
        <v>289.417</v>
      </c>
      <c r="AL320" s="253" t="n">
        <v>269.981</v>
      </c>
      <c r="AM320" s="253" t="n">
        <v>305.855</v>
      </c>
      <c r="AN320" s="253" t="n">
        <v>328.957</v>
      </c>
      <c r="AO320" s="35" t="n"/>
      <c r="AP320" s="254">
        <f>AP339*AP342/365</f>
        <v>332.922663416634</v>
      </c>
      <c r="AQ320" s="254">
        <f>AQ339*AQ342/365</f>
        <v>358.965171554336</v>
      </c>
      <c r="AR320" s="254">
        <f>AR339*AR342/365</f>
        <v>386.821387138759</v>
      </c>
      <c r="AS320" s="254">
        <f>AS339*AS342/365</f>
        <v>412.083023964753</v>
      </c>
      <c r="AT320" s="254">
        <f>AT339*AT342/365</f>
        <v>435.546015088166</v>
      </c>
      <c r="AU320" s="254">
        <f>AU339*AU342/365</f>
        <v>458.278124956984</v>
      </c>
      <c r="AV320" s="19" t="n"/>
    </row>
    <row r="321" ht="15" customHeight="1" s="251">
      <c r="B321" s="25" t="inlineStr">
        <is>
          <t xml:space="preserve">  Short-term borrowings &amp; current portion of long-term debt</t>
        </is>
      </c>
      <c r="C321" s="253" t="n">
        <v>18.374</v>
      </c>
      <c r="D321" s="253" t="n">
        <v>7.829</v>
      </c>
      <c r="E321" s="253" t="n">
        <v>100</v>
      </c>
      <c r="F321" s="253" t="n">
        <v>0</v>
      </c>
      <c r="G321" s="253" t="n">
        <v>2.43</v>
      </c>
      <c r="H321" s="253" t="n">
        <v>150</v>
      </c>
      <c r="I321" s="253" t="n">
        <v>32.6</v>
      </c>
      <c r="J321" s="253" t="n">
        <v>153.635</v>
      </c>
      <c r="K321" s="253" t="n">
        <v>220</v>
      </c>
      <c r="L321" s="253" t="n">
        <v>101.634</v>
      </c>
      <c r="M321" s="253" t="n">
        <v>1.623</v>
      </c>
      <c r="N321" s="253" t="n">
        <v>1.398</v>
      </c>
      <c r="O321" s="253" t="n">
        <v>1.05</v>
      </c>
      <c r="P321" s="253" t="n">
        <v>0.728</v>
      </c>
      <c r="Q321" s="253" t="n">
        <v>0.728</v>
      </c>
      <c r="R321" s="253" t="n">
        <v>0.424</v>
      </c>
      <c r="S321" s="253" t="n">
        <v>0.459</v>
      </c>
      <c r="T321" s="253" t="n">
        <v>49.658</v>
      </c>
      <c r="U321" s="253" t="n">
        <v>0</v>
      </c>
      <c r="V321" s="253" t="n">
        <v>0</v>
      </c>
      <c r="W321" s="253" t="n">
        <v>185.327</v>
      </c>
      <c r="X321" s="253" t="n">
        <v>206.478</v>
      </c>
      <c r="Y321" s="253" t="n">
        <v>99.414</v>
      </c>
      <c r="Z321" s="253" t="n">
        <v>0</v>
      </c>
      <c r="AA321" s="253" t="n">
        <v>0</v>
      </c>
      <c r="AB321" s="253" t="n">
        <v>65.845</v>
      </c>
      <c r="AC321" s="253" t="n">
        <v>141.999</v>
      </c>
      <c r="AD321" s="253" t="n">
        <v>360.508</v>
      </c>
      <c r="AE321" s="253" t="n">
        <v>0</v>
      </c>
      <c r="AF321" s="253" t="n">
        <v>0</v>
      </c>
      <c r="AG321" s="253" t="n">
        <v>418.975</v>
      </c>
      <c r="AH321" s="253" t="n">
        <v>422.089</v>
      </c>
      <c r="AI321" s="253" t="n">
        <v>429.02</v>
      </c>
      <c r="AJ321" s="253" t="n">
        <v>245.234</v>
      </c>
      <c r="AK321" s="253" t="n">
        <v>245.234</v>
      </c>
      <c r="AL321" s="253" t="n">
        <v>431.033</v>
      </c>
      <c r="AM321" s="253" t="n">
        <v>669.905</v>
      </c>
      <c r="AN321" s="253" t="n">
        <v>724.205</v>
      </c>
      <c r="AO321" s="35" t="n"/>
      <c r="AP321" s="254">
        <f>AP372+MIN(AP366,AP369)</f>
        <v>211.207409629704</v>
      </c>
      <c r="AQ321" s="254">
        <f>AQ372+MIN(AQ366,AQ369)</f>
        <v>518.660107415366</v>
      </c>
      <c r="AR321" s="254">
        <f>AR372+MIN(AR366,AR369)</f>
        <v>796.14861210169</v>
      </c>
      <c r="AS321" s="254">
        <f>AS372+MIN(AS366,AS369)</f>
        <v>930.850555226138</v>
      </c>
      <c r="AT321" s="254">
        <f>AT372+MIN(AT366,AT369)</f>
        <v>1117.59922258004</v>
      </c>
      <c r="AU321" s="254">
        <f>AU372+MIN(AU366,AU369)</f>
        <v>925.840038617062</v>
      </c>
      <c r="AV321" s="19" t="inlineStr">
        <is>
          <t>Revolver borrowings are classified as short-term (intent to repay within twelve months) + notes maturing in the next fiscal year.</t>
        </is>
      </c>
    </row>
    <row r="322" ht="15" customHeight="1" s="251">
      <c r="B322" s="25" t="inlineStr">
        <is>
          <t xml:space="preserve">  Income taxes payable, accrued &amp; other current liabilities</t>
        </is>
      </c>
      <c r="C322" s="253" t="n">
        <v>139.03</v>
      </c>
      <c r="D322" s="253" t="n">
        <v>147.125</v>
      </c>
      <c r="E322" s="253" t="n">
        <v>167.789</v>
      </c>
      <c r="F322" s="253" t="n">
        <v>179.333</v>
      </c>
      <c r="G322" s="253" t="n">
        <v>162.505</v>
      </c>
      <c r="H322" s="253" t="n">
        <v>161.174</v>
      </c>
      <c r="I322" s="253" t="n">
        <v>161.846</v>
      </c>
      <c r="J322" s="253" t="n">
        <v>211.258</v>
      </c>
      <c r="K322" s="253" t="n">
        <v>246.976</v>
      </c>
      <c r="L322" s="253" t="n">
        <v>156.456</v>
      </c>
      <c r="M322" s="253" t="n">
        <v>167.919</v>
      </c>
      <c r="N322" s="253" t="n">
        <v>177.295</v>
      </c>
      <c r="O322" s="253" t="n">
        <v>176.279</v>
      </c>
      <c r="P322" s="253" t="n">
        <v>194.62</v>
      </c>
      <c r="Q322" s="253" t="n">
        <v>194.62</v>
      </c>
      <c r="R322" s="253" t="n">
        <v>163.217</v>
      </c>
      <c r="S322" s="253" t="n">
        <v>180.044</v>
      </c>
      <c r="T322" s="253" t="n">
        <v>179.414</v>
      </c>
      <c r="U322" s="253" t="n">
        <v>308.594</v>
      </c>
      <c r="V322" s="253" t="n">
        <v>308.594</v>
      </c>
      <c r="W322" s="253" t="n">
        <v>228.469</v>
      </c>
      <c r="X322" s="253" t="n">
        <v>240.08</v>
      </c>
      <c r="Y322" s="253" t="n">
        <v>264.154</v>
      </c>
      <c r="Z322" s="253" t="n">
        <v>382.868</v>
      </c>
      <c r="AA322" s="253" t="n">
        <v>382.868</v>
      </c>
      <c r="AB322" s="253" t="n">
        <v>263.571</v>
      </c>
      <c r="AC322" s="253" t="n">
        <v>291.186</v>
      </c>
      <c r="AD322" s="253" t="n">
        <v>297.193</v>
      </c>
      <c r="AE322" s="253" t="n">
        <v>636.053</v>
      </c>
      <c r="AF322" s="253" t="n">
        <v>636.053</v>
      </c>
      <c r="AG322" s="253" t="n">
        <v>271.812</v>
      </c>
      <c r="AH322" s="253" t="n">
        <v>288.31</v>
      </c>
      <c r="AI322" s="253" t="n">
        <v>297.149</v>
      </c>
      <c r="AJ322" s="253" t="n">
        <v>372.738</v>
      </c>
      <c r="AK322" s="253" t="n">
        <v>372.738</v>
      </c>
      <c r="AL322" s="253" t="n">
        <v>298.117</v>
      </c>
      <c r="AM322" s="253" t="n">
        <v>335.995</v>
      </c>
      <c r="AN322" s="253" t="n">
        <v>368.04</v>
      </c>
      <c r="AO322" s="35" t="n"/>
      <c r="AP322" s="254">
        <f>AP338*AP343</f>
        <v>450.73420704</v>
      </c>
      <c r="AQ322" s="254">
        <f>AQ338*AQ343</f>
        <v>489.530871175879</v>
      </c>
      <c r="AR322" s="254">
        <f>AR338*AR343</f>
        <v>530.567874575721</v>
      </c>
      <c r="AS322" s="254">
        <f>AS338*AS343</f>
        <v>568.52776935574</v>
      </c>
      <c r="AT322" s="254">
        <f>AT338*AT343</f>
        <v>602.813681531466</v>
      </c>
      <c r="AU322" s="254">
        <f>AU338*AU343</f>
        <v>636.845420108511</v>
      </c>
      <c r="AV322" s="19" t="n"/>
    </row>
    <row r="323" ht="15" customHeight="1" s="251">
      <c r="B323" s="16" t="inlineStr">
        <is>
          <t>Total current liabilities</t>
        </is>
      </c>
      <c r="C323" s="261">
        <f>IF(ISNUMBER(C320),SUM(C320:C322),"")</f>
        <v>280.857</v>
      </c>
      <c r="D323" s="261">
        <f>IF(ISNUMBER(D320),SUM(D320:D322),"")</f>
        <v>279.868</v>
      </c>
      <c r="E323" s="261">
        <f>IF(ISNUMBER(E320),SUM(E320:E322),"")</f>
        <v>413.096</v>
      </c>
      <c r="F323" s="261">
        <f>IF(ISNUMBER(F320),SUM(F320:F322),"")</f>
        <v>340.016</v>
      </c>
      <c r="G323" s="261">
        <f>IF(ISNUMBER(G320),SUM(G320:G322),"")</f>
        <v>338.222</v>
      </c>
      <c r="H323" s="261">
        <f>IF(ISNUMBER(H320),SUM(H320:H322),"")</f>
        <v>480.613</v>
      </c>
      <c r="I323" s="261">
        <f>IF(ISNUMBER(I320),SUM(I320:I322),"")</f>
        <v>427.234</v>
      </c>
      <c r="J323" s="261">
        <f>IF(ISNUMBER(J320),SUM(J320:J322),"")</f>
        <v>591.178</v>
      </c>
      <c r="K323" s="261">
        <f>IF(ISNUMBER(K320),SUM(K320:K322),"")</f>
        <v>707.436</v>
      </c>
      <c r="L323" s="261">
        <f>IF(ISNUMBER(L320),SUM(L320:L322),"")</f>
        <v>392.332</v>
      </c>
      <c r="M323" s="261">
        <f>IF(ISNUMBER(M320),SUM(M320:M322),"")</f>
        <v>328.11</v>
      </c>
      <c r="N323" s="261">
        <f>IF(ISNUMBER(N320),SUM(N320:N322),"")</f>
        <v>341.408</v>
      </c>
      <c r="O323" s="261">
        <f>IF(ISNUMBER(O320),SUM(O320:O322),"")</f>
        <v>340.577</v>
      </c>
      <c r="P323" s="261">
        <f>IF(ISNUMBER(P320),SUM(P320:P322),"")</f>
        <v>366.257</v>
      </c>
      <c r="Q323" s="261">
        <f>IF(ISNUMBER(Q320),SUM(Q320:Q322),"")</f>
        <v>366.257</v>
      </c>
      <c r="R323" s="261">
        <f>IF(ISNUMBER(R320),SUM(R320:R322),"")</f>
        <v>329.508</v>
      </c>
      <c r="S323" s="261">
        <f>IF(ISNUMBER(S320),SUM(S320:S322),"")</f>
        <v>369.046</v>
      </c>
      <c r="T323" s="261">
        <f>IF(ISNUMBER(T320),SUM(T320:T322),"")</f>
        <v>424.474</v>
      </c>
      <c r="U323" s="261">
        <f>IF(ISNUMBER(U320),SUM(U320:U322),"")</f>
        <v>539.113</v>
      </c>
      <c r="V323" s="261">
        <f>IF(ISNUMBER(V320),SUM(V320:V322),"")</f>
        <v>539.113</v>
      </c>
      <c r="W323" s="261">
        <f>IF(ISNUMBER(W320),SUM(W320:W322),"")</f>
        <v>633.161</v>
      </c>
      <c r="X323" s="261">
        <f>IF(ISNUMBER(X320),SUM(X320:X322),"")</f>
        <v>666.944</v>
      </c>
      <c r="Y323" s="261">
        <f>IF(ISNUMBER(Y320),SUM(Y320:Y322),"")</f>
        <v>586.659</v>
      </c>
      <c r="Z323" s="261">
        <f>IF(ISNUMBER(Z320),SUM(Z320:Z322),"")</f>
        <v>617.196</v>
      </c>
      <c r="AA323" s="261">
        <f>IF(ISNUMBER(AA320),SUM(AA320:AA322),"")</f>
        <v>617.196</v>
      </c>
      <c r="AB323" s="261">
        <f>IF(ISNUMBER(AB320),SUM(AB320:AB322),"")</f>
        <v>582.814</v>
      </c>
      <c r="AC323" s="261">
        <f>IF(ISNUMBER(AC320),SUM(AC320:AC322),"")</f>
        <v>691.855</v>
      </c>
      <c r="AD323" s="261">
        <f>IF(ISNUMBER(AD320),SUM(AD320:AD322),"")</f>
        <v>913.092</v>
      </c>
      <c r="AE323" s="261">
        <f>IF(ISNUMBER(AE320),SUM(AE320:AE322),"")</f>
        <v>923.51</v>
      </c>
      <c r="AF323" s="261">
        <f>IF(ISNUMBER(AF320),SUM(AF320:AF322),"")</f>
        <v>923.51</v>
      </c>
      <c r="AG323" s="261">
        <f>IF(ISNUMBER(AG320),SUM(AG320:AG322),"")</f>
        <v>914.822</v>
      </c>
      <c r="AH323" s="261">
        <f>IF(ISNUMBER(AH320),SUM(AH320:AH322),"")</f>
        <v>979.717</v>
      </c>
      <c r="AI323" s="261">
        <f>IF(ISNUMBER(AI320),SUM(AI320:AI322),"")</f>
        <v>1010.198</v>
      </c>
      <c r="AJ323" s="261">
        <f>IF(ISNUMBER(AJ320),SUM(AJ320:AJ322),"")</f>
        <v>907.389</v>
      </c>
      <c r="AK323" s="261">
        <f>IF(ISNUMBER(AK320),SUM(AK320:AK322),"")</f>
        <v>907.389</v>
      </c>
      <c r="AL323" s="261">
        <f>IF(ISNUMBER(AL320),SUM(AL320:AL322),"")</f>
        <v>999.131</v>
      </c>
      <c r="AM323" s="261">
        <f>IF(ISNUMBER(AM320),SUM(AM320:AM322),"")</f>
        <v>1311.755</v>
      </c>
      <c r="AN323" s="261">
        <f>IF(ISNUMBER(AN320),SUM(AN320:AN322),"")</f>
        <v>1421.202</v>
      </c>
      <c r="AO323" s="32" t="n"/>
      <c r="AP323" s="262">
        <f>IF(ISNUMBER(AP320),SUM(AP320:AP322),"")</f>
        <v>994.864280086338</v>
      </c>
      <c r="AQ323" s="262">
        <f>IF(ISNUMBER(AQ320),SUM(AQ320:AQ322),"")</f>
        <v>1367.15615014558</v>
      </c>
      <c r="AR323" s="262">
        <f>IF(ISNUMBER(AR320),SUM(AR320:AR322),"")</f>
        <v>1713.53787381617</v>
      </c>
      <c r="AS323" s="262">
        <f>IF(ISNUMBER(AS320),SUM(AS320:AS322),"")</f>
        <v>1911.46134854663</v>
      </c>
      <c r="AT323" s="262">
        <f>IF(ISNUMBER(AT320),SUM(AT320:AT322),"")</f>
        <v>2155.95891919967</v>
      </c>
      <c r="AU323" s="262">
        <f>IF(ISNUMBER(AU320),SUM(AU320:AU322),"")</f>
        <v>2020.96358368256</v>
      </c>
      <c r="AV323" s="153" t="n"/>
    </row>
    <row r="324" ht="15" customHeight="1" s="251">
      <c r="B324" s="25" t="inlineStr">
        <is>
          <t xml:space="preserve">  Long-term debt, less current portion</t>
        </is>
      </c>
      <c r="C324" s="253" t="n">
        <v>406.875</v>
      </c>
      <c r="D324" s="253" t="n">
        <v>384.375</v>
      </c>
      <c r="E324" s="253" t="n">
        <v>450</v>
      </c>
      <c r="F324" s="253" t="n">
        <v>710</v>
      </c>
      <c r="G324" s="253" t="n">
        <v>850</v>
      </c>
      <c r="H324" s="253" t="n">
        <v>577.153</v>
      </c>
      <c r="I324" s="253" t="n">
        <v>580.2859999999999</v>
      </c>
      <c r="J324" s="253" t="n">
        <v>1092.397</v>
      </c>
      <c r="K324" s="253" t="n">
        <v>864.899</v>
      </c>
      <c r="L324" s="253" t="n">
        <v>736.849</v>
      </c>
      <c r="M324" s="253" t="n">
        <v>745.4640000000001</v>
      </c>
      <c r="N324" s="253" t="n">
        <v>736.095</v>
      </c>
      <c r="O324" s="253" t="n">
        <v>739.062</v>
      </c>
      <c r="P324" s="253" t="n">
        <v>734.122</v>
      </c>
      <c r="Q324" s="253" t="n">
        <v>734.122</v>
      </c>
      <c r="R324" s="253" t="n">
        <v>729.826</v>
      </c>
      <c r="S324" s="253" t="n">
        <v>728.247</v>
      </c>
      <c r="T324" s="253" t="n">
        <v>716.744</v>
      </c>
      <c r="U324" s="253" t="n">
        <v>709.76</v>
      </c>
      <c r="V324" s="253" t="n">
        <v>709.76</v>
      </c>
      <c r="W324" s="253" t="n">
        <v>649.093</v>
      </c>
      <c r="X324" s="253" t="n">
        <v>652.119</v>
      </c>
      <c r="Y324" s="253" t="n">
        <v>651.443</v>
      </c>
      <c r="Z324" s="253" t="n">
        <v>645.7089999999999</v>
      </c>
      <c r="AA324" s="253" t="n">
        <v>645.7089999999999</v>
      </c>
      <c r="AB324" s="253" t="n">
        <v>653.029</v>
      </c>
      <c r="AC324" s="253" t="n">
        <v>649.039</v>
      </c>
      <c r="AD324" s="253" t="n">
        <v>562.6180000000001</v>
      </c>
      <c r="AE324" s="253" t="n">
        <v>569.751</v>
      </c>
      <c r="AF324" s="253" t="n">
        <v>569.751</v>
      </c>
      <c r="AG324" s="253" t="n">
        <v>483.199</v>
      </c>
      <c r="AH324" s="253" t="n">
        <v>489.821</v>
      </c>
      <c r="AI324" s="253" t="n">
        <v>503.851</v>
      </c>
      <c r="AJ324" s="253" t="n">
        <v>456.968</v>
      </c>
      <c r="AK324" s="253" t="n">
        <v>456.968</v>
      </c>
      <c r="AL324" s="253" t="n">
        <v>457.005</v>
      </c>
      <c r="AM324" s="253" t="n">
        <v>453.373</v>
      </c>
      <c r="AN324" s="253" t="n">
        <v>617.73</v>
      </c>
      <c r="AO324" s="35" t="n"/>
      <c r="AP324" s="254">
        <f>AP365-AP321</f>
        <v>1067.606</v>
      </c>
      <c r="AQ324" s="254">
        <f>AQ365-AQ321</f>
        <v>1062.317</v>
      </c>
      <c r="AR324" s="254">
        <f>AR365-AR321</f>
        <v>927.606</v>
      </c>
      <c r="AS324" s="254">
        <f>AS365-AS321</f>
        <v>927.606</v>
      </c>
      <c r="AT324" s="254">
        <f>AT365-AT321</f>
        <v>852.185</v>
      </c>
      <c r="AU324" s="254">
        <f>AU365-AU321</f>
        <v>1152.606</v>
      </c>
      <c r="AV324" s="19" t="n"/>
    </row>
    <row r="325" ht="15" customHeight="1" s="251">
      <c r="B325" s="25" t="inlineStr">
        <is>
          <t xml:space="preserve">  Deferred income tax liabilities &amp; other liabilities (pensions, leases, deferred revenue; derived)</t>
        </is>
      </c>
      <c r="C325" s="253" t="n">
        <v>174.605</v>
      </c>
      <c r="D325" s="253" t="n">
        <v>187.606</v>
      </c>
      <c r="E325" s="253" t="n">
        <v>200.043</v>
      </c>
      <c r="F325" s="253" t="n">
        <v>186.242</v>
      </c>
      <c r="G325" s="253" t="n">
        <v>198.639</v>
      </c>
      <c r="H325" s="253" t="n">
        <v>372.001</v>
      </c>
      <c r="I325" s="253" t="n">
        <v>378.206</v>
      </c>
      <c r="J325" s="253" t="n">
        <v>568.97</v>
      </c>
      <c r="K325" s="253" t="n">
        <v>657.45</v>
      </c>
      <c r="L325" s="253" t="n">
        <v>781.478</v>
      </c>
      <c r="M325" s="253" t="n">
        <v>822.4690000000001</v>
      </c>
      <c r="N325" s="253" t="n">
        <v>809.968</v>
      </c>
      <c r="O325" s="253" t="n">
        <v>807.329</v>
      </c>
      <c r="P325" s="253" t="n">
        <v>775.8440000000001</v>
      </c>
      <c r="Q325" s="253" t="n">
        <v>775.8440000000001</v>
      </c>
      <c r="R325" s="253" t="n">
        <v>752.474</v>
      </c>
      <c r="S325" s="253" t="n">
        <v>741.372</v>
      </c>
      <c r="T325" s="253" t="n">
        <v>704.958</v>
      </c>
      <c r="U325" s="253" t="n">
        <v>656.451</v>
      </c>
      <c r="V325" s="253" t="n">
        <v>656.451</v>
      </c>
      <c r="W325" s="253" t="n">
        <v>673.119</v>
      </c>
      <c r="X325" s="253" t="n">
        <v>680.4160000000001</v>
      </c>
      <c r="Y325" s="253" t="n">
        <v>685.671</v>
      </c>
      <c r="Z325" s="253" t="n">
        <v>676.309</v>
      </c>
      <c r="AA325" s="253" t="n">
        <v>676.309</v>
      </c>
      <c r="AB325" s="253" t="n">
        <v>704.9</v>
      </c>
      <c r="AC325" s="253" t="n">
        <v>695.952</v>
      </c>
      <c r="AD325" s="253" t="n">
        <v>685.388</v>
      </c>
      <c r="AE325" s="253" t="n">
        <v>699.2380000000001</v>
      </c>
      <c r="AF325" s="253" t="n">
        <v>699.2380000000001</v>
      </c>
      <c r="AG325" s="253" t="n">
        <v>674.9400000000001</v>
      </c>
      <c r="AH325" s="253" t="n">
        <v>686.424</v>
      </c>
      <c r="AI325" s="253" t="n">
        <v>729.235</v>
      </c>
      <c r="AJ325" s="253" t="n">
        <v>699.396</v>
      </c>
      <c r="AK325" s="253" t="n">
        <v>699.396</v>
      </c>
      <c r="AL325" s="253" t="n">
        <v>690.273</v>
      </c>
      <c r="AM325" s="253" t="n">
        <v>678.524</v>
      </c>
      <c r="AN325" s="253" t="n">
        <v>683.675</v>
      </c>
      <c r="AO325" s="35" t="n"/>
      <c r="AP325" s="254">
        <f>AN325+(AP263-SUM(AL263:AN263))</f>
        <v>683.675</v>
      </c>
      <c r="AQ325" s="254">
        <f>AP325+AQ263</f>
        <v>663.675</v>
      </c>
      <c r="AR325" s="254">
        <f>AQ325+AR263</f>
        <v>643.675</v>
      </c>
      <c r="AS325" s="254">
        <f>AR325+AS263</f>
        <v>623.675</v>
      </c>
      <c r="AT325" s="254">
        <f>AS325+AT263</f>
        <v>603.675</v>
      </c>
      <c r="AU325" s="254">
        <f>AT325+AU263</f>
        <v>583.675</v>
      </c>
      <c r="AV325" s="19" t="n"/>
    </row>
    <row r="326" ht="15" customHeight="1" s="251">
      <c r="B326" s="16" t="inlineStr">
        <is>
          <t>Total liabilities</t>
        </is>
      </c>
      <c r="C326" s="261">
        <f>IF(ISNUMBER(C320),C323+SUM(C324:C325),"")</f>
        <v>862.337</v>
      </c>
      <c r="D326" s="261">
        <f>IF(ISNUMBER(D320),D323+SUM(D324:D325),"")</f>
        <v>851.849</v>
      </c>
      <c r="E326" s="261">
        <f>IF(ISNUMBER(E320),E323+SUM(E324:E325),"")</f>
        <v>1063.139</v>
      </c>
      <c r="F326" s="261">
        <f>IF(ISNUMBER(F320),F323+SUM(F324:F325),"")</f>
        <v>1236.258</v>
      </c>
      <c r="G326" s="261">
        <f>IF(ISNUMBER(G320),G323+SUM(G324:G325),"")</f>
        <v>1386.861</v>
      </c>
      <c r="H326" s="261">
        <f>IF(ISNUMBER(H320),H323+SUM(H324:H325),"")</f>
        <v>1429.767</v>
      </c>
      <c r="I326" s="261">
        <f>IF(ISNUMBER(I320),I323+SUM(I324:I325),"")</f>
        <v>1385.726</v>
      </c>
      <c r="J326" s="261">
        <f>IF(ISNUMBER(J320),J323+SUM(J324:J325),"")</f>
        <v>2252.545</v>
      </c>
      <c r="K326" s="261">
        <f>IF(ISNUMBER(K320),K323+SUM(K324:K325),"")</f>
        <v>2229.785</v>
      </c>
      <c r="L326" s="261">
        <f>IF(ISNUMBER(L320),L323+SUM(L324:L325),"")</f>
        <v>1910.659</v>
      </c>
      <c r="M326" s="261">
        <f>IF(ISNUMBER(M320),M323+SUM(M324:M325),"")</f>
        <v>1896.043</v>
      </c>
      <c r="N326" s="261">
        <f>IF(ISNUMBER(N320),N323+SUM(N324:N325),"")</f>
        <v>1887.471</v>
      </c>
      <c r="O326" s="261">
        <f>IF(ISNUMBER(O320),O323+SUM(O324:O325),"")</f>
        <v>1886.968</v>
      </c>
      <c r="P326" s="261">
        <f>IF(ISNUMBER(P320),P323+SUM(P324:P325),"")</f>
        <v>1876.223</v>
      </c>
      <c r="Q326" s="261">
        <f>IF(ISNUMBER(Q320),Q323+SUM(Q324:Q325),"")</f>
        <v>1876.223</v>
      </c>
      <c r="R326" s="261">
        <f>IF(ISNUMBER(R320),R323+SUM(R324:R325),"")</f>
        <v>1811.808</v>
      </c>
      <c r="S326" s="261">
        <f>IF(ISNUMBER(S320),S323+SUM(S324:S325),"")</f>
        <v>1838.665</v>
      </c>
      <c r="T326" s="261">
        <f>IF(ISNUMBER(T320),T323+SUM(T324:T325),"")</f>
        <v>1846.176</v>
      </c>
      <c r="U326" s="261">
        <f>IF(ISNUMBER(U320),U323+SUM(U324:U325),"")</f>
        <v>1905.324</v>
      </c>
      <c r="V326" s="261">
        <f>IF(ISNUMBER(V320),V323+SUM(V324:V325),"")</f>
        <v>1905.324</v>
      </c>
      <c r="W326" s="261">
        <f>IF(ISNUMBER(W320),W323+SUM(W324:W325),"")</f>
        <v>1955.373</v>
      </c>
      <c r="X326" s="261">
        <f>IF(ISNUMBER(X320),X323+SUM(X324:X325),"")</f>
        <v>1999.479</v>
      </c>
      <c r="Y326" s="261">
        <f>IF(ISNUMBER(Y320),Y323+SUM(Y324:Y325),"")</f>
        <v>1923.773</v>
      </c>
      <c r="Z326" s="261">
        <f>IF(ISNUMBER(Z320),Z323+SUM(Z324:Z325),"")</f>
        <v>1939.214</v>
      </c>
      <c r="AA326" s="261">
        <f>IF(ISNUMBER(AA320),AA323+SUM(AA324:AA325),"")</f>
        <v>1939.214</v>
      </c>
      <c r="AB326" s="261">
        <f>IF(ISNUMBER(AB320),AB323+SUM(AB324:AB325),"")</f>
        <v>1940.743</v>
      </c>
      <c r="AC326" s="261">
        <f>IF(ISNUMBER(AC320),AC323+SUM(AC324:AC325),"")</f>
        <v>2036.846</v>
      </c>
      <c r="AD326" s="261">
        <f>IF(ISNUMBER(AD320),AD323+SUM(AD324:AD325),"")</f>
        <v>2161.098</v>
      </c>
      <c r="AE326" s="261">
        <f>IF(ISNUMBER(AE320),AE323+SUM(AE324:AE325),"")</f>
        <v>2192.499</v>
      </c>
      <c r="AF326" s="261">
        <f>IF(ISNUMBER(AF320),AF323+SUM(AF324:AF325),"")</f>
        <v>2192.499</v>
      </c>
      <c r="AG326" s="261">
        <f>IF(ISNUMBER(AG320),AG323+SUM(AG324:AG325),"")</f>
        <v>2072.961</v>
      </c>
      <c r="AH326" s="261">
        <f>IF(ISNUMBER(AH320),AH323+SUM(AH324:AH325),"")</f>
        <v>2155.962</v>
      </c>
      <c r="AI326" s="261">
        <f>IF(ISNUMBER(AI320),AI323+SUM(AI324:AI325),"")</f>
        <v>2243.284</v>
      </c>
      <c r="AJ326" s="261">
        <f>IF(ISNUMBER(AJ320),AJ323+SUM(AJ324:AJ325),"")</f>
        <v>2063.753</v>
      </c>
      <c r="AK326" s="261">
        <f>IF(ISNUMBER(AK320),AK323+SUM(AK324:AK325),"")</f>
        <v>2063.753</v>
      </c>
      <c r="AL326" s="261">
        <f>IF(ISNUMBER(AL320),AL323+SUM(AL324:AL325),"")</f>
        <v>2146.409</v>
      </c>
      <c r="AM326" s="261">
        <f>IF(ISNUMBER(AM320),AM323+SUM(AM324:AM325),"")</f>
        <v>2443.652</v>
      </c>
      <c r="AN326" s="261">
        <f>IF(ISNUMBER(AN320),AN323+SUM(AN324:AN325),"")</f>
        <v>2722.607</v>
      </c>
      <c r="AO326" s="32" t="n"/>
      <c r="AP326" s="262">
        <f>IF(ISNUMBER(AP320),AP323+SUM(AP324:AP325),"")</f>
        <v>2746.14528008634</v>
      </c>
      <c r="AQ326" s="262">
        <f>IF(ISNUMBER(AQ320),AQ323+SUM(AQ324:AQ325),"")</f>
        <v>3093.14815014558</v>
      </c>
      <c r="AR326" s="262">
        <f>IF(ISNUMBER(AR320),AR323+SUM(AR324:AR325),"")</f>
        <v>3284.81887381617</v>
      </c>
      <c r="AS326" s="262">
        <f>IF(ISNUMBER(AS320),AS323+SUM(AS324:AS325),"")</f>
        <v>3462.74234854663</v>
      </c>
      <c r="AT326" s="262">
        <f>IF(ISNUMBER(AT320),AT323+SUM(AT324:AT325),"")</f>
        <v>3611.81891919967</v>
      </c>
      <c r="AU326" s="262">
        <f>IF(ISNUMBER(AU320),AU323+SUM(AU324:AU325),"")</f>
        <v>3757.24458368256</v>
      </c>
      <c r="AV326" s="153" t="n"/>
    </row>
    <row r="327" ht="15" customHeight="1" s="251">
      <c r="B327" s="25" t="inlineStr">
        <is>
          <t xml:space="preserve">  Stockholders' equity</t>
        </is>
      </c>
      <c r="C327" s="253" t="n">
        <v>919.097</v>
      </c>
      <c r="D327" s="253" t="n">
        <v>1008.115</v>
      </c>
      <c r="E327" s="253" t="n">
        <v>1142.545</v>
      </c>
      <c r="F327" s="253" t="n">
        <v>1160.944</v>
      </c>
      <c r="G327" s="253" t="n">
        <v>1153.104</v>
      </c>
      <c r="H327" s="253" t="n">
        <v>1212.595</v>
      </c>
      <c r="I327" s="253" t="n">
        <v>1371.383</v>
      </c>
      <c r="J327" s="253" t="n">
        <v>1538.104</v>
      </c>
      <c r="K327" s="253" t="n">
        <v>1726.741</v>
      </c>
      <c r="L327" s="253" t="n">
        <v>1992.677</v>
      </c>
      <c r="M327" s="253" t="n">
        <v>2063.462</v>
      </c>
      <c r="N327" s="253" t="n">
        <v>2133.301</v>
      </c>
      <c r="O327" s="253" t="n">
        <v>2201.687</v>
      </c>
      <c r="P327" s="253" t="n">
        <v>2214.781</v>
      </c>
      <c r="Q327" s="253" t="n">
        <v>2214.781</v>
      </c>
      <c r="R327" s="253" t="n">
        <v>2223.432</v>
      </c>
      <c r="S327" s="253" t="n">
        <v>2051.879</v>
      </c>
      <c r="T327" s="253" t="n">
        <v>1909.613</v>
      </c>
      <c r="U327" s="253" t="n">
        <v>1901.122</v>
      </c>
      <c r="V327" s="253" t="n">
        <v>1901.122</v>
      </c>
      <c r="W327" s="253" t="n">
        <v>1939.435</v>
      </c>
      <c r="X327" s="253" t="n">
        <v>2012.054</v>
      </c>
      <c r="Y327" s="253" t="n">
        <v>2085.79</v>
      </c>
      <c r="Z327" s="253" t="n">
        <v>2070.989</v>
      </c>
      <c r="AA327" s="253" t="n">
        <v>2070.989</v>
      </c>
      <c r="AB327" s="253" t="n">
        <v>2190.062</v>
      </c>
      <c r="AC327" s="253" t="n">
        <v>2329.413</v>
      </c>
      <c r="AD327" s="253" t="n">
        <v>2159.211</v>
      </c>
      <c r="AE327" s="253" t="n">
        <v>2176.416</v>
      </c>
      <c r="AF327" s="253" t="n">
        <v>2176.416</v>
      </c>
      <c r="AG327" s="253" t="n">
        <v>2208.421</v>
      </c>
      <c r="AH327" s="253" t="n">
        <v>2337.507</v>
      </c>
      <c r="AI327" s="253" t="n">
        <v>2468.566</v>
      </c>
      <c r="AJ327" s="253" t="n">
        <v>2566.39</v>
      </c>
      <c r="AK327" s="253" t="n">
        <v>2566.39</v>
      </c>
      <c r="AL327" s="253" t="n">
        <v>2587.488</v>
      </c>
      <c r="AM327" s="253" t="n">
        <v>2525.46</v>
      </c>
      <c r="AN327" s="253" t="n">
        <v>2473.794</v>
      </c>
      <c r="AO327" s="35" t="n"/>
      <c r="AP327" s="254">
        <f>AN327+AO167+(AP273-SUM(AL273:AN273))+(AP272-SUM(AL272:AN272))+AO136+(AP274-SUM(AL274:AN274))</f>
        <v>2415.34150221028</v>
      </c>
      <c r="AQ327" s="254">
        <f>AP327+AQ167+AQ273+AQ272+AQ262+AQ274</f>
        <v>2392.0442705636</v>
      </c>
      <c r="AR327" s="254">
        <f>AQ327+AR167+AR273+AR272+AR262+AR274</f>
        <v>2471.24000794235</v>
      </c>
      <c r="AS327" s="254">
        <f>AR327+AS167+AS273+AS272+AS262+AS274</f>
        <v>2531.34707463781</v>
      </c>
      <c r="AT327" s="254">
        <f>AS327+AT167+AT273+AT272+AT262+AT274</f>
        <v>2595.68417747376</v>
      </c>
      <c r="AU327" s="254">
        <f>AT327+AU167+AU273+AU272+AU262+AU274</f>
        <v>2661.24026064193</v>
      </c>
      <c r="AV327" s="19" t="inlineStr">
        <is>
          <t>+ net earnings − dividends − repurchases + share-based compensation + treasury-stock sales (OCI / FX translation held flat).</t>
        </is>
      </c>
    </row>
    <row r="328" ht="15" customHeight="1" s="251">
      <c r="B328" s="25" t="inlineStr">
        <is>
          <t xml:space="preserve">  Noncontrolling interests (none since FY2011)</t>
        </is>
      </c>
      <c r="C328" s="253" t="n">
        <v>0</v>
      </c>
      <c r="D328" s="253" t="n">
        <v>0</v>
      </c>
      <c r="E328" s="253" t="n">
        <v>0</v>
      </c>
      <c r="F328" s="253" t="n">
        <v>0</v>
      </c>
      <c r="G328" s="253" t="n">
        <v>0</v>
      </c>
      <c r="H328" s="253" t="n">
        <v>0</v>
      </c>
      <c r="I328" s="253" t="n">
        <v>0</v>
      </c>
      <c r="J328" s="253" t="n">
        <v>0</v>
      </c>
      <c r="K328" s="253" t="n">
        <v>0</v>
      </c>
      <c r="L328" s="253" t="n">
        <v>0</v>
      </c>
      <c r="M328" s="253" t="n">
        <v>0</v>
      </c>
      <c r="N328" s="253" t="n">
        <v>0</v>
      </c>
      <c r="O328" s="253" t="n">
        <v>0</v>
      </c>
      <c r="P328" s="253" t="n">
        <v>0</v>
      </c>
      <c r="Q328" s="253" t="n">
        <v>0</v>
      </c>
      <c r="R328" s="253" t="n">
        <v>0</v>
      </c>
      <c r="S328" s="253" t="n">
        <v>0</v>
      </c>
      <c r="T328" s="253" t="n">
        <v>0</v>
      </c>
      <c r="U328" s="253" t="n">
        <v>0</v>
      </c>
      <c r="V328" s="253" t="n">
        <v>0</v>
      </c>
      <c r="W328" s="253" t="n">
        <v>0</v>
      </c>
      <c r="X328" s="253" t="n">
        <v>0</v>
      </c>
      <c r="Y328" s="253" t="n">
        <v>0</v>
      </c>
      <c r="Z328" s="253" t="n">
        <v>0</v>
      </c>
      <c r="AA328" s="253" t="n">
        <v>0</v>
      </c>
      <c r="AB328" s="253" t="n">
        <v>0</v>
      </c>
      <c r="AC328" s="253" t="n">
        <v>0</v>
      </c>
      <c r="AD328" s="253" t="n">
        <v>0</v>
      </c>
      <c r="AE328" s="253" t="n">
        <v>0</v>
      </c>
      <c r="AF328" s="253" t="n">
        <v>0</v>
      </c>
      <c r="AG328" s="253" t="n">
        <v>0</v>
      </c>
      <c r="AH328" s="253" t="n">
        <v>0</v>
      </c>
      <c r="AI328" s="253" t="n">
        <v>0</v>
      </c>
      <c r="AJ328" s="253" t="n">
        <v>0</v>
      </c>
      <c r="AK328" s="253" t="n">
        <v>0</v>
      </c>
      <c r="AL328" s="253" t="n">
        <v>0</v>
      </c>
      <c r="AM328" s="253" t="n">
        <v>0</v>
      </c>
      <c r="AN328" s="253" t="n">
        <v>0</v>
      </c>
      <c r="AO328" s="35" t="n"/>
      <c r="AP328" s="254">
        <f>0</f>
        <v>0</v>
      </c>
      <c r="AQ328" s="254">
        <f>0</f>
        <v>0</v>
      </c>
      <c r="AR328" s="254">
        <f>0</f>
        <v>0</v>
      </c>
      <c r="AS328" s="254">
        <f>0</f>
        <v>0</v>
      </c>
      <c r="AT328" s="254">
        <f>0</f>
        <v>0</v>
      </c>
      <c r="AU328" s="254">
        <f>0</f>
        <v>0</v>
      </c>
      <c r="AV328" s="19" t="n"/>
    </row>
    <row r="329" ht="15" customHeight="1" s="251">
      <c r="B329" s="16" t="inlineStr">
        <is>
          <t>Total equity</t>
        </is>
      </c>
      <c r="C329" s="261">
        <f>IF(ISNUMBER(C327),C327+N(C328),"")</f>
        <v>919.097</v>
      </c>
      <c r="D329" s="261">
        <f>IF(ISNUMBER(D327),D327+N(D328),"")</f>
        <v>1008.115</v>
      </c>
      <c r="E329" s="261">
        <f>IF(ISNUMBER(E327),E327+N(E328),"")</f>
        <v>1142.545</v>
      </c>
      <c r="F329" s="261">
        <f>IF(ISNUMBER(F327),F327+N(F328),"")</f>
        <v>1160.944</v>
      </c>
      <c r="G329" s="261">
        <f>IF(ISNUMBER(G327),G327+N(G328),"")</f>
        <v>1153.104</v>
      </c>
      <c r="H329" s="261">
        <f>IF(ISNUMBER(H327),H327+N(H328),"")</f>
        <v>1212.595</v>
      </c>
      <c r="I329" s="261">
        <f>IF(ISNUMBER(I327),I327+N(I328),"")</f>
        <v>1371.383</v>
      </c>
      <c r="J329" s="261">
        <f>IF(ISNUMBER(J327),J327+N(J328),"")</f>
        <v>1538.104</v>
      </c>
      <c r="K329" s="261">
        <f>IF(ISNUMBER(K327),K327+N(K328),"")</f>
        <v>1726.741</v>
      </c>
      <c r="L329" s="261">
        <f>IF(ISNUMBER(L327),L327+N(L328),"")</f>
        <v>1992.677</v>
      </c>
      <c r="M329" s="261">
        <f>IF(ISNUMBER(M327),M327+N(M328),"")</f>
        <v>2063.462</v>
      </c>
      <c r="N329" s="261">
        <f>IF(ISNUMBER(N327),N327+N(N328),"")</f>
        <v>2133.301</v>
      </c>
      <c r="O329" s="261">
        <f>IF(ISNUMBER(O327),O327+N(O328),"")</f>
        <v>2201.687</v>
      </c>
      <c r="P329" s="261">
        <f>IF(ISNUMBER(P327),P327+N(P328),"")</f>
        <v>2214.781</v>
      </c>
      <c r="Q329" s="261">
        <f>IF(ISNUMBER(Q327),Q327+N(Q328),"")</f>
        <v>2214.781</v>
      </c>
      <c r="R329" s="261">
        <f>IF(ISNUMBER(R327),R327+N(R328),"")</f>
        <v>2223.432</v>
      </c>
      <c r="S329" s="261">
        <f>IF(ISNUMBER(S327),S327+N(S328),"")</f>
        <v>2051.879</v>
      </c>
      <c r="T329" s="261">
        <f>IF(ISNUMBER(T327),T327+N(T328),"")</f>
        <v>1909.613</v>
      </c>
      <c r="U329" s="261">
        <f>IF(ISNUMBER(U327),U327+N(U328),"")</f>
        <v>1901.122</v>
      </c>
      <c r="V329" s="261">
        <f>IF(ISNUMBER(V327),V327+N(V328),"")</f>
        <v>1901.122</v>
      </c>
      <c r="W329" s="261">
        <f>IF(ISNUMBER(W327),W327+N(W328),"")</f>
        <v>1939.435</v>
      </c>
      <c r="X329" s="261">
        <f>IF(ISNUMBER(X327),X327+N(X328),"")</f>
        <v>2012.054</v>
      </c>
      <c r="Y329" s="261">
        <f>IF(ISNUMBER(Y327),Y327+N(Y328),"")</f>
        <v>2085.79</v>
      </c>
      <c r="Z329" s="261">
        <f>IF(ISNUMBER(Z327),Z327+N(Z328),"")</f>
        <v>2070.989</v>
      </c>
      <c r="AA329" s="261">
        <f>IF(ISNUMBER(AA327),AA327+N(AA328),"")</f>
        <v>2070.989</v>
      </c>
      <c r="AB329" s="261">
        <f>IF(ISNUMBER(AB327),AB327+N(AB328),"")</f>
        <v>2190.062</v>
      </c>
      <c r="AC329" s="261">
        <f>IF(ISNUMBER(AC327),AC327+N(AC328),"")</f>
        <v>2329.413</v>
      </c>
      <c r="AD329" s="261">
        <f>IF(ISNUMBER(AD327),AD327+N(AD328),"")</f>
        <v>2159.211</v>
      </c>
      <c r="AE329" s="261">
        <f>IF(ISNUMBER(AE327),AE327+N(AE328),"")</f>
        <v>2176.416</v>
      </c>
      <c r="AF329" s="261">
        <f>IF(ISNUMBER(AF327),AF327+N(AF328),"")</f>
        <v>2176.416</v>
      </c>
      <c r="AG329" s="261">
        <f>IF(ISNUMBER(AG327),AG327+N(AG328),"")</f>
        <v>2208.421</v>
      </c>
      <c r="AH329" s="261">
        <f>IF(ISNUMBER(AH327),AH327+N(AH328),"")</f>
        <v>2337.507</v>
      </c>
      <c r="AI329" s="261">
        <f>IF(ISNUMBER(AI327),AI327+N(AI328),"")</f>
        <v>2468.566</v>
      </c>
      <c r="AJ329" s="261">
        <f>IF(ISNUMBER(AJ327),AJ327+N(AJ328),"")</f>
        <v>2566.39</v>
      </c>
      <c r="AK329" s="261">
        <f>IF(ISNUMBER(AK327),AK327+N(AK328),"")</f>
        <v>2566.39</v>
      </c>
      <c r="AL329" s="261">
        <f>IF(ISNUMBER(AL327),AL327+N(AL328),"")</f>
        <v>2587.488</v>
      </c>
      <c r="AM329" s="261">
        <f>IF(ISNUMBER(AM327),AM327+N(AM328),"")</f>
        <v>2525.46</v>
      </c>
      <c r="AN329" s="261">
        <f>IF(ISNUMBER(AN327),AN327+N(AN328),"")</f>
        <v>2473.794</v>
      </c>
      <c r="AO329" s="32" t="n"/>
      <c r="AP329" s="262">
        <f>IF(ISNUMBER(AP327),AP327+N(AP328),"")</f>
        <v>2415.34150221028</v>
      </c>
      <c r="AQ329" s="262">
        <f>IF(ISNUMBER(AQ327),AQ327+N(AQ328),"")</f>
        <v>2392.0442705636</v>
      </c>
      <c r="AR329" s="262">
        <f>IF(ISNUMBER(AR327),AR327+N(AR328),"")</f>
        <v>2471.24000794235</v>
      </c>
      <c r="AS329" s="262">
        <f>IF(ISNUMBER(AS327),AS327+N(AS328),"")</f>
        <v>2531.34707463781</v>
      </c>
      <c r="AT329" s="262">
        <f>IF(ISNUMBER(AT327),AT327+N(AT328),"")</f>
        <v>2595.68417747376</v>
      </c>
      <c r="AU329" s="262">
        <f>IF(ISNUMBER(AU327),AU327+N(AU328),"")</f>
        <v>2661.24026064193</v>
      </c>
      <c r="AV329" s="153" t="n"/>
      <c r="AX329" s="20">
        <f>IFERROR((AU329/AP329)^(1/5)-1,"n/m")</f>
        <v>0.0195795315390253</v>
      </c>
      <c r="AY329" s="20">
        <f>IFERROR((AK329/L329)^(1/5)-1,"n/m")</f>
        <v>0.0519065254813143</v>
      </c>
      <c r="AZ329" s="20">
        <f>IFERROR((AK329/G329)^(1/10)-1,"n/m")</f>
        <v>0.0832917047466246</v>
      </c>
      <c r="BA329" s="20">
        <f>IFERROR((AK329/C329)^(1/14)-1,"n/m")</f>
        <v>0.0761043302136577</v>
      </c>
    </row>
    <row r="330" ht="15" customHeight="1" s="251">
      <c r="B330" s="55" t="inlineStr">
        <is>
          <t>TOTAL LIABILITIES AND STOCKHOLDERS' EQUITY</t>
        </is>
      </c>
      <c r="C330" s="273">
        <f>IF(ISNUMBER(C326),C326+C329,"")</f>
        <v>1781.434</v>
      </c>
      <c r="D330" s="273">
        <f>IF(ISNUMBER(D326),D326+D329,"")</f>
        <v>1859.964</v>
      </c>
      <c r="E330" s="273">
        <f>IF(ISNUMBER(E326),E326+E329,"")</f>
        <v>2205.684</v>
      </c>
      <c r="F330" s="273">
        <f>IF(ISNUMBER(F326),F326+F329,"")</f>
        <v>2397.202</v>
      </c>
      <c r="G330" s="273">
        <f>IF(ISNUMBER(G326),G326+G329,"")</f>
        <v>2539.965</v>
      </c>
      <c r="H330" s="273">
        <f>IF(ISNUMBER(H326),H326+H329,"")</f>
        <v>2642.362</v>
      </c>
      <c r="I330" s="273">
        <f>IF(ISNUMBER(I326),I326+I329,"")</f>
        <v>2757.109</v>
      </c>
      <c r="J330" s="273">
        <f>IF(ISNUMBER(J326),J326+J329,"")</f>
        <v>3790.649</v>
      </c>
      <c r="K330" s="273">
        <f>IF(ISNUMBER(K326),K326+K329,"")</f>
        <v>3956.526</v>
      </c>
      <c r="L330" s="273">
        <f>IF(ISNUMBER(L326),L326+L329,"")</f>
        <v>3903.336</v>
      </c>
      <c r="M330" s="273">
        <f>IF(ISNUMBER(M326),M326+M329,"")</f>
        <v>3959.505</v>
      </c>
      <c r="N330" s="273">
        <f>IF(ISNUMBER(N326),N326+N329,"")</f>
        <v>4020.772</v>
      </c>
      <c r="O330" s="273">
        <f>IF(ISNUMBER(O326),O326+O329,"")</f>
        <v>4088.655</v>
      </c>
      <c r="P330" s="273">
        <f>IF(ISNUMBER(P326),P326+P329,"")</f>
        <v>4091.004</v>
      </c>
      <c r="Q330" s="273">
        <f>IF(ISNUMBER(Q326),Q326+Q329,"")</f>
        <v>4091.004</v>
      </c>
      <c r="R330" s="273">
        <f>IF(ISNUMBER(R326),R326+R329,"")</f>
        <v>4035.24</v>
      </c>
      <c r="S330" s="273">
        <f>IF(ISNUMBER(S326),S326+S329,"")</f>
        <v>3890.544</v>
      </c>
      <c r="T330" s="273">
        <f>IF(ISNUMBER(T326),T326+T329,"")</f>
        <v>3755.789</v>
      </c>
      <c r="U330" s="273">
        <f>IF(ISNUMBER(U326),U326+U329,"")</f>
        <v>3806.446</v>
      </c>
      <c r="V330" s="273">
        <f>IF(ISNUMBER(V326),V326+V329,"")</f>
        <v>3806.446</v>
      </c>
      <c r="W330" s="273">
        <f>IF(ISNUMBER(W326),W326+W329,"")</f>
        <v>3894.808</v>
      </c>
      <c r="X330" s="273">
        <f>IF(ISNUMBER(X326),X326+X329,"")</f>
        <v>4011.533</v>
      </c>
      <c r="Y330" s="273">
        <f>IF(ISNUMBER(Y326),Y326+Y329,"")</f>
        <v>4009.563</v>
      </c>
      <c r="Z330" s="273">
        <f>IF(ISNUMBER(Z326),Z326+Z329,"")</f>
        <v>4010.203</v>
      </c>
      <c r="AA330" s="273">
        <f>IF(ISNUMBER(AA326),AA326+AA329,"")</f>
        <v>4010.203</v>
      </c>
      <c r="AB330" s="273">
        <f>IF(ISNUMBER(AB326),AB326+AB329,"")</f>
        <v>4130.805</v>
      </c>
      <c r="AC330" s="273">
        <f>IF(ISNUMBER(AC326),AC326+AC329,"")</f>
        <v>4366.259</v>
      </c>
      <c r="AD330" s="273">
        <f>IF(ISNUMBER(AD326),AD326+AD329,"")</f>
        <v>4320.309</v>
      </c>
      <c r="AE330" s="273">
        <f>IF(ISNUMBER(AE326),AE326+AE329,"")</f>
        <v>4368.915</v>
      </c>
      <c r="AF330" s="273">
        <f>IF(ISNUMBER(AF326),AF326+AF329,"")</f>
        <v>4368.915</v>
      </c>
      <c r="AG330" s="273">
        <f>IF(ISNUMBER(AG326),AG326+AG329,"")</f>
        <v>4281.382</v>
      </c>
      <c r="AH330" s="273">
        <f>IF(ISNUMBER(AH326),AH326+AH329,"")</f>
        <v>4493.469</v>
      </c>
      <c r="AI330" s="273">
        <f>IF(ISNUMBER(AI326),AI326+AI329,"")</f>
        <v>4711.85</v>
      </c>
      <c r="AJ330" s="273">
        <f>IF(ISNUMBER(AJ326),AJ326+AJ329,"")</f>
        <v>4630.143</v>
      </c>
      <c r="AK330" s="273">
        <f>IF(ISNUMBER(AK326),AK326+AK329,"")</f>
        <v>4630.143</v>
      </c>
      <c r="AL330" s="273">
        <f>IF(ISNUMBER(AL326),AL326+AL329,"")</f>
        <v>4733.897</v>
      </c>
      <c r="AM330" s="273">
        <f>IF(ISNUMBER(AM326),AM326+AM329,"")</f>
        <v>4969.112</v>
      </c>
      <c r="AN330" s="273">
        <f>IF(ISNUMBER(AN326),AN326+AN329,"")</f>
        <v>5196.401</v>
      </c>
      <c r="AO330" s="56" t="n"/>
      <c r="AP330" s="273">
        <f>IF(ISNUMBER(AP326),AP326+AP329,"")</f>
        <v>5161.48678229662</v>
      </c>
      <c r="AQ330" s="273">
        <f>IF(ISNUMBER(AQ326),AQ326+AQ329,"")</f>
        <v>5485.19242070918</v>
      </c>
      <c r="AR330" s="273">
        <f>IF(ISNUMBER(AR326),AR326+AR329,"")</f>
        <v>5756.05888175852</v>
      </c>
      <c r="AS330" s="273">
        <f>IF(ISNUMBER(AS326),AS326+AS329,"")</f>
        <v>5994.08942318444</v>
      </c>
      <c r="AT330" s="273">
        <f>IF(ISNUMBER(AT326),AT326+AT329,"")</f>
        <v>6207.50309667343</v>
      </c>
      <c r="AU330" s="273">
        <f>IF(ISNUMBER(AU326),AU326+AU329,"")</f>
        <v>6418.48484432449</v>
      </c>
      <c r="AV330" s="153" t="n"/>
    </row>
    <row r="331" ht="15" customHeight="1" s="251">
      <c r="B331" s="57" t="inlineStr">
        <is>
          <t>BS tie-out check (TA − TL&amp;E)</t>
        </is>
      </c>
      <c r="C331" s="263">
        <f>IF(ISNUMBER(C318),IF(ABS(C318-C330)&lt;=0.15,0,ROUND(C318-C330,1)),"")</f>
        <v>0</v>
      </c>
      <c r="D331" s="263">
        <f>IF(ISNUMBER(D318),IF(ABS(D318-D330)&lt;=0.15,0,ROUND(D318-D330,1)),"")</f>
        <v>0</v>
      </c>
      <c r="E331" s="263">
        <f>IF(ISNUMBER(E318),IF(ABS(E318-E330)&lt;=0.15,0,ROUND(E318-E330,1)),"")</f>
        <v>0</v>
      </c>
      <c r="F331" s="263">
        <f>IF(ISNUMBER(F318),IF(ABS(F318-F330)&lt;=0.15,0,ROUND(F318-F330,1)),"")</f>
        <v>0</v>
      </c>
      <c r="G331" s="263">
        <f>IF(ISNUMBER(G318),IF(ABS(G318-G330)&lt;=0.15,0,ROUND(G318-G330,1)),"")</f>
        <v>0</v>
      </c>
      <c r="H331" s="263">
        <f>IF(ISNUMBER(H318),IF(ABS(H318-H330)&lt;=0.15,0,ROUND(H318-H330,1)),"")</f>
        <v>0</v>
      </c>
      <c r="I331" s="263">
        <f>IF(ISNUMBER(I318),IF(ABS(I318-I330)&lt;=0.15,0,ROUND(I318-I330,1)),"")</f>
        <v>0</v>
      </c>
      <c r="J331" s="263">
        <f>IF(ISNUMBER(J318),IF(ABS(J318-J330)&lt;=0.15,0,ROUND(J318-J330,1)),"")</f>
        <v>0</v>
      </c>
      <c r="K331" s="263">
        <f>IF(ISNUMBER(K318),IF(ABS(K318-K330)&lt;=0.15,0,ROUND(K318-K330,1)),"")</f>
        <v>0</v>
      </c>
      <c r="L331" s="263">
        <f>IF(ISNUMBER(L318),IF(ABS(L318-L330)&lt;=0.15,0,ROUND(L318-L330,1)),"")</f>
        <v>0</v>
      </c>
      <c r="M331" s="263">
        <f>IF(ISNUMBER(M318),IF(ABS(M318-M330)&lt;=0.15,0,ROUND(M318-M330,1)),"")</f>
        <v>0</v>
      </c>
      <c r="N331" s="263">
        <f>IF(ISNUMBER(N318),IF(ABS(N318-N330)&lt;=0.15,0,ROUND(N318-N330,1)),"")</f>
        <v>0</v>
      </c>
      <c r="O331" s="263">
        <f>IF(ISNUMBER(O318),IF(ABS(O318-O330)&lt;=0.15,0,ROUND(O318-O330,1)),"")</f>
        <v>0</v>
      </c>
      <c r="P331" s="263">
        <f>IF(ISNUMBER(P318),IF(ABS(P318-P330)&lt;=0.15,0,ROUND(P318-P330,1)),"")</f>
        <v>0</v>
      </c>
      <c r="Q331" s="263">
        <f>IF(ISNUMBER(Q318),IF(ABS(Q318-Q330)&lt;=0.15,0,ROUND(Q318-Q330,1)),"")</f>
        <v>0</v>
      </c>
      <c r="R331" s="263">
        <f>IF(ISNUMBER(R318),IF(ABS(R318-R330)&lt;=0.15,0,ROUND(R318-R330,1)),"")</f>
        <v>0</v>
      </c>
      <c r="S331" s="263">
        <f>IF(ISNUMBER(S318),IF(ABS(S318-S330)&lt;=0.15,0,ROUND(S318-S330,1)),"")</f>
        <v>0</v>
      </c>
      <c r="T331" s="263">
        <f>IF(ISNUMBER(T318),IF(ABS(T318-T330)&lt;=0.15,0,ROUND(T318-T330,1)),"")</f>
        <v>0</v>
      </c>
      <c r="U331" s="263">
        <f>IF(ISNUMBER(U318),IF(ABS(U318-U330)&lt;=0.15,0,ROUND(U318-U330,1)),"")</f>
        <v>0</v>
      </c>
      <c r="V331" s="263">
        <f>IF(ISNUMBER(V318),IF(ABS(V318-V330)&lt;=0.15,0,ROUND(V318-V330,1)),"")</f>
        <v>0</v>
      </c>
      <c r="W331" s="263">
        <f>IF(ISNUMBER(W318),IF(ABS(W318-W330)&lt;=0.15,0,ROUND(W318-W330,1)),"")</f>
        <v>0</v>
      </c>
      <c r="X331" s="263">
        <f>IF(ISNUMBER(X318),IF(ABS(X318-X330)&lt;=0.15,0,ROUND(X318-X330,1)),"")</f>
        <v>0</v>
      </c>
      <c r="Y331" s="263">
        <f>IF(ISNUMBER(Y318),IF(ABS(Y318-Y330)&lt;=0.15,0,ROUND(Y318-Y330,1)),"")</f>
        <v>0</v>
      </c>
      <c r="Z331" s="263">
        <f>IF(ISNUMBER(Z318),IF(ABS(Z318-Z330)&lt;=0.15,0,ROUND(Z318-Z330,1)),"")</f>
        <v>0</v>
      </c>
      <c r="AA331" s="263">
        <f>IF(ISNUMBER(AA318),IF(ABS(AA318-AA330)&lt;=0.15,0,ROUND(AA318-AA330,1)),"")</f>
        <v>0</v>
      </c>
      <c r="AB331" s="263">
        <f>IF(ISNUMBER(AB318),IF(ABS(AB318-AB330)&lt;=0.15,0,ROUND(AB318-AB330,1)),"")</f>
        <v>0</v>
      </c>
      <c r="AC331" s="263">
        <f>IF(ISNUMBER(AC318),IF(ABS(AC318-AC330)&lt;=0.15,0,ROUND(AC318-AC330,1)),"")</f>
        <v>0</v>
      </c>
      <c r="AD331" s="263">
        <f>IF(ISNUMBER(AD318),IF(ABS(AD318-AD330)&lt;=0.15,0,ROUND(AD318-AD330,1)),"")</f>
        <v>0</v>
      </c>
      <c r="AE331" s="263">
        <f>IF(ISNUMBER(AE318),IF(ABS(AE318-AE330)&lt;=0.15,0,ROUND(AE318-AE330,1)),"")</f>
        <v>0</v>
      </c>
      <c r="AF331" s="263">
        <f>IF(ISNUMBER(AF318),IF(ABS(AF318-AF330)&lt;=0.15,0,ROUND(AF318-AF330,1)),"")</f>
        <v>0</v>
      </c>
      <c r="AG331" s="263">
        <f>IF(ISNUMBER(AG318),IF(ABS(AG318-AG330)&lt;=0.15,0,ROUND(AG318-AG330,1)),"")</f>
        <v>0</v>
      </c>
      <c r="AH331" s="263">
        <f>IF(ISNUMBER(AH318),IF(ABS(AH318-AH330)&lt;=0.15,0,ROUND(AH318-AH330,1)),"")</f>
        <v>0</v>
      </c>
      <c r="AI331" s="263">
        <f>IF(ISNUMBER(AI318),IF(ABS(AI318-AI330)&lt;=0.15,0,ROUND(AI318-AI330,1)),"")</f>
        <v>0</v>
      </c>
      <c r="AJ331" s="263">
        <f>IF(ISNUMBER(AJ318),IF(ABS(AJ318-AJ330)&lt;=0.15,0,ROUND(AJ318-AJ330,1)),"")</f>
        <v>0</v>
      </c>
      <c r="AK331" s="263">
        <f>IF(ISNUMBER(AK318),IF(ABS(AK318-AK330)&lt;=0.15,0,ROUND(AK318-AK330,1)),"")</f>
        <v>0</v>
      </c>
      <c r="AL331" s="263">
        <f>IF(ISNUMBER(AL318),IF(ABS(AL318-AL330)&lt;=0.15,0,ROUND(AL318-AL330,1)),"")</f>
        <v>0</v>
      </c>
      <c r="AM331" s="263">
        <f>IF(ISNUMBER(AM318),IF(ABS(AM318-AM330)&lt;=0.15,0,ROUND(AM318-AM330,1)),"")</f>
        <v>0</v>
      </c>
      <c r="AN331" s="263">
        <f>IF(ISNUMBER(AN318),IF(ABS(AN318-AN330)&lt;=0.15,0,ROUND(AN318-AN330,1)),"")</f>
        <v>0</v>
      </c>
      <c r="AO331" s="153" t="n"/>
      <c r="AP331" s="274">
        <f>IF(ISNUMBER(AP318),IF(ABS(AP318-AP330)&lt;=0.15,0,ROUND(AP318-AP330,1)),"")</f>
        <v>0</v>
      </c>
      <c r="AQ331" s="274">
        <f>IF(ISNUMBER(AQ318),IF(ABS(AQ318-AQ330)&lt;=0.15,0,ROUND(AQ318-AQ330,1)),"")</f>
        <v>0</v>
      </c>
      <c r="AR331" s="274">
        <f>IF(ISNUMBER(AR318),IF(ABS(AR318-AR330)&lt;=0.15,0,ROUND(AR318-AR330,1)),"")</f>
        <v>0</v>
      </c>
      <c r="AS331" s="274">
        <f>IF(ISNUMBER(AS318),IF(ABS(AS318-AS330)&lt;=0.15,0,ROUND(AS318-AS330,1)),"")</f>
        <v>0</v>
      </c>
      <c r="AT331" s="274">
        <f>IF(ISNUMBER(AT318),IF(ABS(AT318-AT330)&lt;=0.15,0,ROUND(AT318-AT330,1)),"")</f>
        <v>0</v>
      </c>
      <c r="AU331" s="274">
        <f>IF(ISNUMBER(AU318),IF(ABS(AU318-AU330)&lt;=0.15,0,ROUND(AU318-AU330,1)),"")</f>
        <v>0</v>
      </c>
      <c r="AV331" s="153" t="n"/>
    </row>
    <row r="332" ht="15" customHeight="1" s="251">
      <c r="B332" s="57" t="inlineStr">
        <is>
          <t xml:space="preserve">  Check: model total assets vs reported (should be 0)</t>
        </is>
      </c>
      <c r="C332" s="263">
        <f>IF(ISNUMBER(C333),IF(ABS(C318-C333)&lt;=0.15,0,ROUND(C318-C333,1)),"")</f>
        <v>0</v>
      </c>
      <c r="D332" s="263">
        <f>IF(ISNUMBER(D333),IF(ABS(D318-D333)&lt;=0.15,0,ROUND(D318-D333,1)),"")</f>
        <v>0</v>
      </c>
      <c r="E332" s="263">
        <f>IF(ISNUMBER(E333),IF(ABS(E318-E333)&lt;=0.15,0,ROUND(E318-E333,1)),"")</f>
        <v>0</v>
      </c>
      <c r="F332" s="263">
        <f>IF(ISNUMBER(F333),IF(ABS(F318-F333)&lt;=0.15,0,ROUND(F318-F333,1)),"")</f>
        <v>0</v>
      </c>
      <c r="G332" s="263">
        <f>IF(ISNUMBER(G333),IF(ABS(G318-G333)&lt;=0.15,0,ROUND(G318-G333,1)),"")</f>
        <v>0</v>
      </c>
      <c r="H332" s="263">
        <f>IF(ISNUMBER(H333),IF(ABS(H318-H333)&lt;=0.15,0,ROUND(H318-H333,1)),"")</f>
        <v>0</v>
      </c>
      <c r="I332" s="263">
        <f>IF(ISNUMBER(I333),IF(ABS(I318-I333)&lt;=0.15,0,ROUND(I318-I333,1)),"")</f>
        <v>0</v>
      </c>
      <c r="J332" s="263">
        <f>IF(ISNUMBER(J333),IF(ABS(J318-J333)&lt;=0.15,0,ROUND(J318-J333,1)),"")</f>
        <v>0</v>
      </c>
      <c r="K332" s="263">
        <f>IF(ISNUMBER(K333),IF(ABS(K318-K333)&lt;=0.15,0,ROUND(K318-K333,1)),"")</f>
        <v>0</v>
      </c>
      <c r="L332" s="263">
        <f>IF(ISNUMBER(L333),IF(ABS(L318-L333)&lt;=0.15,0,ROUND(L318-L333,1)),"")</f>
        <v>0</v>
      </c>
      <c r="M332" s="263">
        <f>IF(ISNUMBER(M333),IF(ABS(M318-M333)&lt;=0.15,0,ROUND(M318-M333,1)),"")</f>
        <v>0</v>
      </c>
      <c r="N332" s="263">
        <f>IF(ISNUMBER(N333),IF(ABS(N318-N333)&lt;=0.15,0,ROUND(N318-N333,1)),"")</f>
        <v>0</v>
      </c>
      <c r="O332" s="263">
        <f>IF(ISNUMBER(O333),IF(ABS(O318-O333)&lt;=0.15,0,ROUND(O318-O333,1)),"")</f>
        <v>0</v>
      </c>
      <c r="P332" s="263">
        <f>IF(ISNUMBER(P333),IF(ABS(P318-P333)&lt;=0.15,0,ROUND(P318-P333,1)),"")</f>
        <v>0</v>
      </c>
      <c r="Q332" s="263">
        <f>IF(ISNUMBER(Q333),IF(ABS(Q318-Q333)&lt;=0.15,0,ROUND(Q318-Q333,1)),"")</f>
        <v>0</v>
      </c>
      <c r="R332" s="263">
        <f>IF(ISNUMBER(R333),IF(ABS(R318-R333)&lt;=0.15,0,ROUND(R318-R333,1)),"")</f>
        <v>0</v>
      </c>
      <c r="S332" s="263">
        <f>IF(ISNUMBER(S333),IF(ABS(S318-S333)&lt;=0.15,0,ROUND(S318-S333,1)),"")</f>
        <v>0</v>
      </c>
      <c r="T332" s="263">
        <f>IF(ISNUMBER(T333),IF(ABS(T318-T333)&lt;=0.15,0,ROUND(T318-T333,1)),"")</f>
        <v>0</v>
      </c>
      <c r="U332" s="263">
        <f>IF(ISNUMBER(U333),IF(ABS(U318-U333)&lt;=0.15,0,ROUND(U318-U333,1)),"")</f>
        <v>0</v>
      </c>
      <c r="V332" s="263">
        <f>IF(ISNUMBER(V333),IF(ABS(V318-V333)&lt;=0.15,0,ROUND(V318-V333,1)),"")</f>
        <v>0</v>
      </c>
      <c r="W332" s="263">
        <f>IF(ISNUMBER(W333),IF(ABS(W318-W333)&lt;=0.15,0,ROUND(W318-W333,1)),"")</f>
        <v>0</v>
      </c>
      <c r="X332" s="263">
        <f>IF(ISNUMBER(X333),IF(ABS(X318-X333)&lt;=0.15,0,ROUND(X318-X333,1)),"")</f>
        <v>0</v>
      </c>
      <c r="Y332" s="263">
        <f>IF(ISNUMBER(Y333),IF(ABS(Y318-Y333)&lt;=0.15,0,ROUND(Y318-Y333,1)),"")</f>
        <v>0</v>
      </c>
      <c r="Z332" s="263">
        <f>IF(ISNUMBER(Z333),IF(ABS(Z318-Z333)&lt;=0.15,0,ROUND(Z318-Z333,1)),"")</f>
        <v>0</v>
      </c>
      <c r="AA332" s="263">
        <f>IF(ISNUMBER(AA333),IF(ABS(AA318-AA333)&lt;=0.15,0,ROUND(AA318-AA333,1)),"")</f>
        <v>0</v>
      </c>
      <c r="AB332" s="263">
        <f>IF(ISNUMBER(AB333),IF(ABS(AB318-AB333)&lt;=0.15,0,ROUND(AB318-AB333,1)),"")</f>
        <v>0</v>
      </c>
      <c r="AC332" s="263">
        <f>IF(ISNUMBER(AC333),IF(ABS(AC318-AC333)&lt;=0.15,0,ROUND(AC318-AC333,1)),"")</f>
        <v>0</v>
      </c>
      <c r="AD332" s="263">
        <f>IF(ISNUMBER(AD333),IF(ABS(AD318-AD333)&lt;=0.15,0,ROUND(AD318-AD333,1)),"")</f>
        <v>0</v>
      </c>
      <c r="AE332" s="263">
        <f>IF(ISNUMBER(AE333),IF(ABS(AE318-AE333)&lt;=0.15,0,ROUND(AE318-AE333,1)),"")</f>
        <v>0</v>
      </c>
      <c r="AF332" s="263">
        <f>IF(ISNUMBER(AF333),IF(ABS(AF318-AF333)&lt;=0.15,0,ROUND(AF318-AF333,1)),"")</f>
        <v>0</v>
      </c>
      <c r="AG332" s="263">
        <f>IF(ISNUMBER(AG333),IF(ABS(AG318-AG333)&lt;=0.15,0,ROUND(AG318-AG333,1)),"")</f>
        <v>0</v>
      </c>
      <c r="AH332" s="263">
        <f>IF(ISNUMBER(AH333),IF(ABS(AH318-AH333)&lt;=0.15,0,ROUND(AH318-AH333,1)),"")</f>
        <v>0</v>
      </c>
      <c r="AI332" s="263">
        <f>IF(ISNUMBER(AI333),IF(ABS(AI318-AI333)&lt;=0.15,0,ROUND(AI318-AI333,1)),"")</f>
        <v>0</v>
      </c>
      <c r="AJ332" s="263">
        <f>IF(ISNUMBER(AJ333),IF(ABS(AJ318-AJ333)&lt;=0.15,0,ROUND(AJ318-AJ333,1)),"")</f>
        <v>0</v>
      </c>
      <c r="AK332" s="263">
        <f>IF(ISNUMBER(AK333),IF(ABS(AK318-AK333)&lt;=0.15,0,ROUND(AK318-AK333,1)),"")</f>
        <v>0</v>
      </c>
      <c r="AL332" s="263">
        <f>IF(ISNUMBER(AL333),IF(ABS(AL318-AL333)&lt;=0.15,0,ROUND(AL318-AL333,1)),"")</f>
        <v>0</v>
      </c>
      <c r="AM332" s="263">
        <f>IF(ISNUMBER(AM333),IF(ABS(AM318-AM333)&lt;=0.15,0,ROUND(AM318-AM333,1)),"")</f>
        <v>0</v>
      </c>
      <c r="AN332" s="263">
        <f>IF(ISNUMBER(AN333),IF(ABS(AN318-AN333)&lt;=0.15,0,ROUND(AN318-AN333,1)),"")</f>
        <v>0</v>
      </c>
      <c r="AO332" s="153" t="n"/>
      <c r="AP332" s="153" t="n"/>
      <c r="AQ332" s="153" t="n"/>
      <c r="AR332" s="153" t="n"/>
      <c r="AS332" s="153" t="n"/>
      <c r="AT332" s="153" t="n"/>
      <c r="AU332" s="153" t="n"/>
      <c r="AV332" s="153" t="n"/>
    </row>
    <row r="333" ht="15" customHeight="1" s="251">
      <c r="B333" s="156" t="inlineStr">
        <is>
          <t xml:space="preserve">  Memo: total assets as reported</t>
        </is>
      </c>
      <c r="C333" s="253" t="n">
        <v>1781.434</v>
      </c>
      <c r="D333" s="253" t="n">
        <v>1859.964</v>
      </c>
      <c r="E333" s="253" t="n">
        <v>2205.684</v>
      </c>
      <c r="F333" s="253" t="n">
        <v>2397.202</v>
      </c>
      <c r="G333" s="253" t="n">
        <v>2539.965</v>
      </c>
      <c r="H333" s="253" t="n">
        <v>2642.362</v>
      </c>
      <c r="I333" s="253" t="n">
        <v>2757.109</v>
      </c>
      <c r="J333" s="253" t="n">
        <v>3790.649</v>
      </c>
      <c r="K333" s="253" t="n">
        <v>3956.526</v>
      </c>
      <c r="L333" s="253" t="n">
        <v>3903.336</v>
      </c>
      <c r="M333" s="253" t="n">
        <v>3959.505</v>
      </c>
      <c r="N333" s="253" t="n">
        <v>4020.772</v>
      </c>
      <c r="O333" s="253" t="n">
        <v>4088.655</v>
      </c>
      <c r="P333" s="253" t="n">
        <v>4091.004</v>
      </c>
      <c r="Q333" s="253" t="n">
        <v>4091.004</v>
      </c>
      <c r="R333" s="253" t="n">
        <v>4035.24</v>
      </c>
      <c r="S333" s="253" t="n">
        <v>3890.544</v>
      </c>
      <c r="T333" s="253" t="n">
        <v>3755.789</v>
      </c>
      <c r="U333" s="253" t="n">
        <v>3806.446</v>
      </c>
      <c r="V333" s="253" t="n">
        <v>3806.446</v>
      </c>
      <c r="W333" s="253" t="n">
        <v>3894.808</v>
      </c>
      <c r="X333" s="253" t="n">
        <v>4011.533</v>
      </c>
      <c r="Y333" s="253" t="n">
        <v>4009.563</v>
      </c>
      <c r="Z333" s="253" t="n">
        <v>4010.203</v>
      </c>
      <c r="AA333" s="253" t="n">
        <v>4010.203</v>
      </c>
      <c r="AB333" s="253" t="n">
        <v>4130.805</v>
      </c>
      <c r="AC333" s="253" t="n">
        <v>4366.259</v>
      </c>
      <c r="AD333" s="253" t="n">
        <v>4320.309</v>
      </c>
      <c r="AE333" s="253" t="n">
        <v>4368.915</v>
      </c>
      <c r="AF333" s="253" t="n">
        <v>4368.915</v>
      </c>
      <c r="AG333" s="253" t="n">
        <v>4281.382</v>
      </c>
      <c r="AH333" s="253" t="n">
        <v>4493.469</v>
      </c>
      <c r="AI333" s="253" t="n">
        <v>4711.85</v>
      </c>
      <c r="AJ333" s="253" t="n">
        <v>4630.143</v>
      </c>
      <c r="AK333" s="253" t="n">
        <v>4630.143</v>
      </c>
      <c r="AL333" s="253" t="n">
        <v>4733.897</v>
      </c>
      <c r="AM333" s="253" t="n">
        <v>4969.112</v>
      </c>
      <c r="AN333" s="253" t="n">
        <v>5196.401</v>
      </c>
      <c r="AO333" s="153" t="n"/>
      <c r="AP333" s="153" t="n"/>
      <c r="AQ333" s="153" t="n"/>
      <c r="AR333" s="153" t="n"/>
      <c r="AS333" s="153" t="n"/>
      <c r="AT333" s="153" t="n"/>
      <c r="AU333" s="153" t="n"/>
      <c r="AV333" s="153" t="n"/>
    </row>
    <row r="334" ht="15" customHeight="1" s="251">
      <c r="B334" s="57" t="inlineStr">
        <is>
          <t xml:space="preserve">  Check: BS cash vs cash-flow ending cash (should be 0)</t>
        </is>
      </c>
      <c r="C334" s="263">
        <f>IF(AND(ISNUMBER(C309),ISNUMBER(C281)),IF(ABS(C309-C281)&lt;=0.15,0,ROUND(C309-C281,1)),"")</f>
        <v>0</v>
      </c>
      <c r="D334" s="263">
        <f>IF(AND(ISNUMBER(D309),ISNUMBER(D281)),IF(ABS(D309-D281)&lt;=0.15,0,ROUND(D309-D281,1)),"")</f>
        <v>0</v>
      </c>
      <c r="E334" s="263">
        <f>IF(AND(ISNUMBER(E309),ISNUMBER(E281)),IF(ABS(E309-E281)&lt;=0.15,0,ROUND(E309-E281,1)),"")</f>
        <v>0</v>
      </c>
      <c r="F334" s="263">
        <f>IF(AND(ISNUMBER(F309),ISNUMBER(F281)),IF(ABS(F309-F281)&lt;=0.15,0,ROUND(F309-F281,1)),"")</f>
        <v>0</v>
      </c>
      <c r="G334" s="263">
        <f>IF(AND(ISNUMBER(G309),ISNUMBER(G281)),IF(ABS(G309-G281)&lt;=0.15,0,ROUND(G309-G281,1)),"")</f>
        <v>0</v>
      </c>
      <c r="H334" s="263">
        <f>IF(AND(ISNUMBER(H309),ISNUMBER(H281)),IF(ABS(H309-H281)&lt;=0.15,0,ROUND(H309-H281,1)),"")</f>
        <v>0</v>
      </c>
      <c r="I334" s="263">
        <f>IF(AND(ISNUMBER(I309),ISNUMBER(I281)),IF(ABS(I309-I281)&lt;=0.15,0,ROUND(I309-I281,1)),"")</f>
        <v>0</v>
      </c>
      <c r="J334" s="263">
        <f>IF(AND(ISNUMBER(J309),ISNUMBER(J281)),IF(ABS(J309-J281)&lt;=0.15,0,ROUND(J309-J281,1)),"")</f>
        <v>0</v>
      </c>
      <c r="K334" s="263">
        <f>IF(AND(ISNUMBER(K309),ISNUMBER(K281)),IF(ABS(K309-K281)&lt;=0.15,0,ROUND(K309-K281,1)),"")</f>
        <v>0</v>
      </c>
      <c r="L334" s="263">
        <f>IF(AND(ISNUMBER(L309),ISNUMBER(L281)),IF(ABS(L309-L281)&lt;=0.15,0,ROUND(L309-L281,1)),"")</f>
        <v>0</v>
      </c>
      <c r="M334" s="263">
        <f>IF(AND(ISNUMBER(M309),ISNUMBER(M281)),IF(ABS(M309-M281)&lt;=0.15,0,ROUND(M309-M281,1)),"")</f>
        <v>0</v>
      </c>
      <c r="N334" s="263">
        <f>IF(AND(ISNUMBER(N309),ISNUMBER(N281)),IF(ABS(N309-N281)&lt;=0.15,0,ROUND(N309-N281,1)),"")</f>
        <v>0</v>
      </c>
      <c r="O334" s="263">
        <f>IF(AND(ISNUMBER(O309),ISNUMBER(O281)),IF(ABS(O309-O281)&lt;=0.15,0,ROUND(O309-O281,1)),"")</f>
        <v>0</v>
      </c>
      <c r="P334" s="263">
        <f>IF(AND(ISNUMBER(P309),ISNUMBER(P281)),IF(ABS(P309-P281)&lt;=0.15,0,ROUND(P309-P281,1)),"")</f>
        <v>0</v>
      </c>
      <c r="Q334" s="263">
        <f>IF(AND(ISNUMBER(Q309),ISNUMBER(Q281)),IF(ABS(Q309-Q281)&lt;=0.15,0,ROUND(Q309-Q281,1)),"")</f>
        <v>0</v>
      </c>
      <c r="R334" s="263">
        <f>IF(AND(ISNUMBER(R309),ISNUMBER(R281)),IF(ABS(R309-R281)&lt;=0.15,0,ROUND(R309-R281,1)),"")</f>
        <v>0</v>
      </c>
      <c r="S334" s="263">
        <f>IF(AND(ISNUMBER(S309),ISNUMBER(S281)),IF(ABS(S309-S281)&lt;=0.15,0,ROUND(S309-S281,1)),"")</f>
        <v>0</v>
      </c>
      <c r="T334" s="263">
        <f>IF(AND(ISNUMBER(T309),ISNUMBER(T281)),IF(ABS(T309-T281)&lt;=0.15,0,ROUND(T309-T281,1)),"")</f>
        <v>0</v>
      </c>
      <c r="U334" s="263">
        <f>IF(AND(ISNUMBER(U309),ISNUMBER(U281)),IF(ABS(U309-U281)&lt;=0.15,0,ROUND(U309-U281,1)),"")</f>
        <v>0</v>
      </c>
      <c r="V334" s="263">
        <f>IF(AND(ISNUMBER(V309),ISNUMBER(V281)),IF(ABS(V309-V281)&lt;=0.15,0,ROUND(V309-V281,1)),"")</f>
        <v>0</v>
      </c>
      <c r="W334" s="263">
        <f>IF(AND(ISNUMBER(W309),ISNUMBER(W281)),IF(ABS(W309-W281)&lt;=0.15,0,ROUND(W309-W281,1)),"")</f>
        <v>0</v>
      </c>
      <c r="X334" s="263">
        <f>IF(AND(ISNUMBER(X309),ISNUMBER(X281)),IF(ABS(X309-X281)&lt;=0.15,0,ROUND(X309-X281,1)),"")</f>
        <v>0</v>
      </c>
      <c r="Y334" s="263">
        <f>IF(AND(ISNUMBER(Y309),ISNUMBER(Y281)),IF(ABS(Y309-Y281)&lt;=0.15,0,ROUND(Y309-Y281,1)),"")</f>
        <v>0</v>
      </c>
      <c r="Z334" s="263">
        <f>IF(AND(ISNUMBER(Z309),ISNUMBER(Z281)),IF(ABS(Z309-Z281)&lt;=0.15,0,ROUND(Z309-Z281,1)),"")</f>
        <v>0</v>
      </c>
      <c r="AA334" s="263">
        <f>IF(AND(ISNUMBER(AA309),ISNUMBER(AA281)),IF(ABS(AA309-AA281)&lt;=0.15,0,ROUND(AA309-AA281,1)),"")</f>
        <v>0</v>
      </c>
      <c r="AB334" s="263">
        <f>IF(AND(ISNUMBER(AB309),ISNUMBER(AB281)),IF(ABS(AB309-AB281)&lt;=0.15,0,ROUND(AB309-AB281,1)),"")</f>
        <v>0</v>
      </c>
      <c r="AC334" s="263">
        <f>IF(AND(ISNUMBER(AC309),ISNUMBER(AC281)),IF(ABS(AC309-AC281)&lt;=0.15,0,ROUND(AC309-AC281,1)),"")</f>
        <v>0</v>
      </c>
      <c r="AD334" s="263">
        <f>IF(AND(ISNUMBER(AD309),ISNUMBER(AD281)),IF(ABS(AD309-AD281)&lt;=0.15,0,ROUND(AD309-AD281,1)),"")</f>
        <v>0</v>
      </c>
      <c r="AE334" s="263">
        <f>IF(AND(ISNUMBER(AE309),ISNUMBER(AE281)),IF(ABS(AE309-AE281)&lt;=0.15,0,ROUND(AE309-AE281,1)),"")</f>
        <v>0</v>
      </c>
      <c r="AF334" s="263">
        <f>IF(AND(ISNUMBER(AF309),ISNUMBER(AF281)),IF(ABS(AF309-AF281)&lt;=0.15,0,ROUND(AF309-AF281,1)),"")</f>
        <v>0</v>
      </c>
      <c r="AG334" s="263">
        <f>IF(AND(ISNUMBER(AG309),ISNUMBER(AG281)),IF(ABS(AG309-AG281)&lt;=0.15,0,ROUND(AG309-AG281,1)),"")</f>
        <v>0</v>
      </c>
      <c r="AH334" s="263">
        <f>IF(AND(ISNUMBER(AH309),ISNUMBER(AH281)),IF(ABS(AH309-AH281)&lt;=0.15,0,ROUND(AH309-AH281,1)),"")</f>
        <v>0</v>
      </c>
      <c r="AI334" s="263">
        <f>IF(AND(ISNUMBER(AI309),ISNUMBER(AI281)),IF(ABS(AI309-AI281)&lt;=0.15,0,ROUND(AI309-AI281,1)),"")</f>
        <v>0</v>
      </c>
      <c r="AJ334" s="263">
        <f>IF(AND(ISNUMBER(AJ309),ISNUMBER(AJ281)),IF(ABS(AJ309-AJ281)&lt;=0.15,0,ROUND(AJ309-AJ281,1)),"")</f>
        <v>0</v>
      </c>
      <c r="AK334" s="263">
        <f>IF(AND(ISNUMBER(AK309),ISNUMBER(AK281)),IF(ABS(AK309-AK281)&lt;=0.15,0,ROUND(AK309-AK281,1)),"")</f>
        <v>0</v>
      </c>
      <c r="AL334" s="263">
        <f>IF(AND(ISNUMBER(AL309),ISNUMBER(AL281)),IF(ABS(AL309-AL281)&lt;=0.15,0,ROUND(AL309-AL281,1)),"")</f>
        <v>0</v>
      </c>
      <c r="AM334" s="263">
        <f>IF(AND(ISNUMBER(AM309),ISNUMBER(AM281)),IF(ABS(AM309-AM281)&lt;=0.15,0,ROUND(AM309-AM281,1)),"")</f>
        <v>0</v>
      </c>
      <c r="AN334" s="263">
        <f>IF(AND(ISNUMBER(AN309),ISNUMBER(AN281)),IF(ABS(AN309-AN281)&lt;=0.15,0,ROUND(AN309-AN281,1)),"")</f>
        <v>0</v>
      </c>
      <c r="AO334" s="153" t="n"/>
      <c r="AP334" s="274">
        <f>IF(AND(ISNUMBER(AP309),ISNUMBER(AP281)),IF(ABS(AP309-AP281)&lt;=0.15,0,ROUND(AP309-AP281,1)),"")</f>
        <v>0</v>
      </c>
      <c r="AQ334" s="274">
        <f>IF(AND(ISNUMBER(AQ309),ISNUMBER(AQ281)),IF(ABS(AQ309-AQ281)&lt;=0.15,0,ROUND(AQ309-AQ281,1)),"")</f>
        <v>0</v>
      </c>
      <c r="AR334" s="274">
        <f>IF(AND(ISNUMBER(AR309),ISNUMBER(AR281)),IF(ABS(AR309-AR281)&lt;=0.15,0,ROUND(AR309-AR281,1)),"")</f>
        <v>0</v>
      </c>
      <c r="AS334" s="274">
        <f>IF(AND(ISNUMBER(AS309),ISNUMBER(AS281)),IF(ABS(AS309-AS281)&lt;=0.15,0,ROUND(AS309-AS281,1)),"")</f>
        <v>0</v>
      </c>
      <c r="AT334" s="274">
        <f>IF(AND(ISNUMBER(AT309),ISNUMBER(AT281)),IF(ABS(AT309-AT281)&lt;=0.15,0,ROUND(AT309-AT281,1)),"")</f>
        <v>0</v>
      </c>
      <c r="AU334" s="274">
        <f>IF(AND(ISNUMBER(AU309),ISNUMBER(AU281)),IF(ABS(AU309-AU281)&lt;=0.15,0,ROUND(AU309-AU281,1)),"")</f>
        <v>0</v>
      </c>
      <c r="AV334" s="153" t="n"/>
    </row>
    <row r="335" ht="15" customHeight="1" s="251">
      <c r="B335" s="156" t="inlineStr">
        <is>
          <t xml:space="preserve">  Memo: shares outstanding at period end (issued less treasury, m)</t>
        </is>
      </c>
      <c r="C335" s="253" t="n">
        <v>68.89</v>
      </c>
      <c r="D335" s="253" t="n">
        <v>68.42400000000001</v>
      </c>
      <c r="E335" s="253" t="n">
        <v>68.077</v>
      </c>
      <c r="F335" s="253" t="n">
        <v>65.563</v>
      </c>
      <c r="G335" s="253" t="n">
        <v>63.197</v>
      </c>
      <c r="H335" s="253" t="n">
        <v>61.586</v>
      </c>
      <c r="I335" s="253" t="n">
        <v>61.221</v>
      </c>
      <c r="J335" s="253" t="n">
        <v>61.757</v>
      </c>
      <c r="K335" s="253" t="n">
        <v>61.92</v>
      </c>
      <c r="L335" s="253" t="n">
        <v>62.683</v>
      </c>
      <c r="M335" s="253" t="n">
        <v>62.968</v>
      </c>
      <c r="N335" s="253" t="n">
        <v>63.506</v>
      </c>
      <c r="O335" s="253" t="n">
        <v>63.599</v>
      </c>
      <c r="P335" s="253" t="n">
        <v>63.258</v>
      </c>
      <c r="Q335" s="253" t="n">
        <v>63.258</v>
      </c>
      <c r="R335" s="253" t="n">
        <v>63.083</v>
      </c>
      <c r="S335" s="253" t="n">
        <v>61.533</v>
      </c>
      <c r="T335" s="253" t="n">
        <v>60.157</v>
      </c>
      <c r="U335" s="253" t="n">
        <v>59.753</v>
      </c>
      <c r="V335" s="253" t="n">
        <v>59.753</v>
      </c>
      <c r="W335" s="253" t="n">
        <v>59.5</v>
      </c>
      <c r="X335" s="253" t="n">
        <v>59.938</v>
      </c>
      <c r="Y335" s="253" t="n">
        <v>60.206</v>
      </c>
      <c r="Z335" s="253" t="n">
        <v>59.89</v>
      </c>
      <c r="AA335" s="253" t="n">
        <v>59.89</v>
      </c>
      <c r="AB335" s="253" t="n">
        <v>60.137</v>
      </c>
      <c r="AC335" s="253" t="n">
        <v>60.775</v>
      </c>
      <c r="AD335" s="253" t="n">
        <v>59.71</v>
      </c>
      <c r="AE335" s="253" t="n">
        <v>59.173</v>
      </c>
      <c r="AF335" s="253" t="n">
        <v>59.173</v>
      </c>
      <c r="AG335" s="253" t="n">
        <v>59.353</v>
      </c>
      <c r="AH335" s="253" t="n">
        <v>59.58</v>
      </c>
      <c r="AI335" s="253" t="n">
        <v>59.975</v>
      </c>
      <c r="AJ335" s="253" t="n">
        <v>59.9</v>
      </c>
      <c r="AK335" s="253" t="n">
        <v>59.9</v>
      </c>
      <c r="AL335" s="253" t="n">
        <v>59.786</v>
      </c>
      <c r="AM335" s="253" t="n">
        <v>59.593</v>
      </c>
      <c r="AN335" s="253" t="n">
        <v>59.229</v>
      </c>
      <c r="AO335" s="153" t="n"/>
      <c r="AP335" s="274">
        <f>AP303</f>
        <v>58.8056726849308</v>
      </c>
      <c r="AQ335" s="274">
        <f>AQ303</f>
        <v>57.3095532147966</v>
      </c>
      <c r="AR335" s="274">
        <f>AR303</f>
        <v>56.3113182900582</v>
      </c>
      <c r="AS335" s="274">
        <f>AS303</f>
        <v>55.226361634281</v>
      </c>
      <c r="AT335" s="274">
        <f>AT303</f>
        <v>54.1633459766468</v>
      </c>
      <c r="AU335" s="274">
        <f>AU303</f>
        <v>53.1226301501489</v>
      </c>
      <c r="AV335" s="153" t="n"/>
    </row>
    <row r="336" ht="15" customHeight="1" s="251">
      <c r="BD336" s="11" t="n"/>
      <c r="BE336" s="12" t="n"/>
      <c r="BF336" s="12" t="n"/>
      <c r="BG336" s="12" t="n"/>
      <c r="BH336" s="13" t="n"/>
    </row>
    <row r="337" ht="15" customHeight="1" s="251">
      <c r="B337" s="10" t="inlineStr">
        <is>
          <t>WORKING CAPITAL &amp; CASH CONVERSION</t>
        </is>
      </c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inlineStr">
        <is>
          <t>WORKING CAPITAL — forecast drivers (blue = input)</t>
        </is>
      </c>
    </row>
    <row r="338" ht="15" customHeight="1" s="251">
      <c r="B338" s="25" t="inlineStr">
        <is>
          <t xml:space="preserve">  Net sales — annualised (quarters × 4)</t>
        </is>
      </c>
      <c r="C338" s="263">
        <f>IF(ISNUMBER(C150),C150*1,"")</f>
        <v>1711.702</v>
      </c>
      <c r="D338" s="263">
        <f>IF(ISNUMBER(D150),D150*1,"")</f>
        <v>1865.627</v>
      </c>
      <c r="E338" s="263">
        <f>IF(ISNUMBER(E150),E150*1,"")</f>
        <v>1935.976</v>
      </c>
      <c r="F338" s="263">
        <f>IF(ISNUMBER(F150),F150*1,"")</f>
        <v>2001.24</v>
      </c>
      <c r="G338" s="263">
        <f>IF(ISNUMBER(G150),G150*1,"")</f>
        <v>2038.303</v>
      </c>
      <c r="H338" s="263">
        <f>IF(ISNUMBER(H150),H150*1,"")</f>
        <v>2023.078</v>
      </c>
      <c r="I338" s="263">
        <f>IF(ISNUMBER(I150),I150*1,"")</f>
        <v>2098.685</v>
      </c>
      <c r="J338" s="263">
        <f>IF(ISNUMBER(J150),J150*1,"")</f>
        <v>2325.873</v>
      </c>
      <c r="K338" s="263">
        <f>IF(ISNUMBER(K150),K150*1,"")</f>
        <v>2900.197</v>
      </c>
      <c r="L338" s="263">
        <f>IF(ISNUMBER(L150),L150*1,"")</f>
        <v>2495.665</v>
      </c>
      <c r="M338" s="263">
        <f>IF(ISNUMBER(M150),M150*4,"")</f>
        <v>2150.476</v>
      </c>
      <c r="N338" s="263">
        <f>IF(ISNUMBER(N150),N150*4,"")</f>
        <v>2325.284</v>
      </c>
      <c r="O338" s="263">
        <f>IF(ISNUMBER(O150),O150*4,"")</f>
        <v>2226.7</v>
      </c>
      <c r="P338" s="263">
        <f>IF(ISNUMBER(P150),P150*4,"")</f>
        <v>2280.868</v>
      </c>
      <c r="Q338" s="263">
        <f>IF(ISNUMBER(Q150),Q150*1,"")</f>
        <v>2245.832</v>
      </c>
      <c r="R338" s="263">
        <f>IF(ISNUMBER(R150),R150*4,"")</f>
        <v>2166.344</v>
      </c>
      <c r="S338" s="263">
        <f>IF(ISNUMBER(S150),S150*4,"")</f>
        <v>2347.356</v>
      </c>
      <c r="T338" s="263">
        <f>IF(ISNUMBER(T150),T150*4,"")</f>
        <v>2457.328</v>
      </c>
      <c r="U338" s="263">
        <f>IF(ISNUMBER(U150),U150*4,"")</f>
        <v>2560.132</v>
      </c>
      <c r="V338" s="263">
        <f>IF(ISNUMBER(V150),V150*1,"")</f>
        <v>2382.79</v>
      </c>
      <c r="W338" s="263">
        <f>IF(ISNUMBER(W150),W150*4,"")</f>
        <v>2474.476</v>
      </c>
      <c r="X338" s="263">
        <f>IF(ISNUMBER(X150),X150*4,"")</f>
        <v>2872.856</v>
      </c>
      <c r="Y338" s="263">
        <f>IF(ISNUMBER(Y150),Y150*4,"")</f>
        <v>3202.652</v>
      </c>
      <c r="Z338" s="263">
        <f>IF(ISNUMBER(Z150),Z150*4,"")</f>
        <v>3108.28</v>
      </c>
      <c r="AA338" s="263">
        <f>IF(ISNUMBER(AA150),AA150*1,"")</f>
        <v>2914.566</v>
      </c>
      <c r="AB338" s="263">
        <f>IF(ISNUMBER(AB150),AB150*4,"")</f>
        <v>3146.92</v>
      </c>
      <c r="AC338" s="263">
        <f>IF(ISNUMBER(AC150),AC150*4,"")</f>
        <v>3341.372</v>
      </c>
      <c r="AD338" s="263">
        <f>IF(ISNUMBER(AD150),AD150*4,"")</f>
        <v>3390.752</v>
      </c>
      <c r="AE338" s="263">
        <f>IF(ISNUMBER(AE150),AE150*4,"")</f>
        <v>3417.952</v>
      </c>
      <c r="AF338" s="263">
        <f>IF(ISNUMBER(AF150),AF150*1,"")</f>
        <v>3324.249</v>
      </c>
      <c r="AG338" s="263">
        <f>IF(ISNUMBER(AG150),AG150*4,"")</f>
        <v>3090.9</v>
      </c>
      <c r="AH338" s="263">
        <f>IF(ISNUMBER(AH150),AH150*4,"")</f>
        <v>3534.516</v>
      </c>
      <c r="AI338" s="263">
        <f>IF(ISNUMBER(AI150),AI150*4,"")</f>
        <v>3661.784</v>
      </c>
      <c r="AJ338" s="263">
        <f>IF(ISNUMBER(AJ150),AJ150*4,"")</f>
        <v>3981.056</v>
      </c>
      <c r="AK338" s="263">
        <f>IF(ISNUMBER(AK150),AK150*1,"")</f>
        <v>3567.064</v>
      </c>
      <c r="AL338" s="263">
        <f>IF(ISNUMBER(AL150),AL150*4,"")</f>
        <v>3985.816</v>
      </c>
      <c r="AM338" s="263">
        <f>IF(ISNUMBER(AM150),AM150*4,"")</f>
        <v>4362.272</v>
      </c>
      <c r="AN338" s="263">
        <f>IF(ISNUMBER(AN150),AN150*4,"")</f>
        <v>4438.82</v>
      </c>
      <c r="AO338" s="35" t="n"/>
      <c r="AP338" s="254">
        <f>IF(ISNUMBER(AP150),AP150*1,"")</f>
        <v>4333.98276</v>
      </c>
      <c r="AQ338" s="254">
        <f>IF(ISNUMBER(AQ150),AQ150*1,"")</f>
        <v>4707.02760746037</v>
      </c>
      <c r="AR338" s="254">
        <f>IF(ISNUMBER(AR150),AR150*1,"")</f>
        <v>5101.6141786127</v>
      </c>
      <c r="AS338" s="254">
        <f>IF(ISNUMBER(AS150),AS150*1,"")</f>
        <v>5466.61316688212</v>
      </c>
      <c r="AT338" s="254">
        <f>IF(ISNUMBER(AT150),AT150*1,"")</f>
        <v>5796.28539934102</v>
      </c>
      <c r="AU338" s="254">
        <f>IF(ISNUMBER(AU150),AU150*1,"")</f>
        <v>6123.51365488953</v>
      </c>
      <c r="AV338" s="19" t="n"/>
    </row>
    <row r="339" ht="15" customHeight="1" s="251">
      <c r="B339" s="25" t="inlineStr">
        <is>
          <t xml:space="preserve">  Cost of goods sold — annualised</t>
        </is>
      </c>
      <c r="C339" s="263">
        <f>IF(ISNUMBER(C151),C151*1,"")</f>
        <v>1198.153</v>
      </c>
      <c r="D339" s="263">
        <f>IF(ISNUMBER(D151),D151*1,"")</f>
        <v>1303.344</v>
      </c>
      <c r="E339" s="263">
        <f>IF(ISNUMBER(E151),E151*1,"")</f>
        <v>1376.271</v>
      </c>
      <c r="F339" s="263">
        <f>IF(ISNUMBER(F151),F151*1,"")</f>
        <v>1425.839</v>
      </c>
      <c r="G339" s="263">
        <f>IF(ISNUMBER(G151),G151*1,"")</f>
        <v>1453.718</v>
      </c>
      <c r="H339" s="263">
        <f>IF(ISNUMBER(H151),H151*1,"")</f>
        <v>1475.54</v>
      </c>
      <c r="I339" s="263">
        <f>IF(ISNUMBER(I151),I151*1,"")</f>
        <v>1526.126</v>
      </c>
      <c r="J339" s="263">
        <f>IF(ISNUMBER(J151),J151*1,"")</f>
        <v>1719.675</v>
      </c>
      <c r="K339" s="263">
        <f>IF(ISNUMBER(K151),K151*1,"")</f>
        <v>2192.654</v>
      </c>
      <c r="L339" s="263">
        <f>IF(ISNUMBER(L151),L151*1,"")</f>
        <v>1855.422</v>
      </c>
      <c r="M339" s="263">
        <f>IF(ISNUMBER(M151),M151*4,"")</f>
        <v>1606.56</v>
      </c>
      <c r="N339" s="263">
        <f>IF(ISNUMBER(N151),N151*4,"")</f>
        <v>1736.972</v>
      </c>
      <c r="O339" s="263">
        <f>IF(ISNUMBER(O151),O151*4,"")</f>
        <v>1689.828</v>
      </c>
      <c r="P339" s="263">
        <f>IF(ISNUMBER(P151),P151*4,"")</f>
        <v>1745.736</v>
      </c>
      <c r="Q339" s="263">
        <f>IF(ISNUMBER(Q151),Q151*1,"")</f>
        <v>1694.774</v>
      </c>
      <c r="R339" s="263">
        <f>IF(ISNUMBER(R151),R151*4,"")</f>
        <v>1676.604</v>
      </c>
      <c r="S339" s="263">
        <f>IF(ISNUMBER(S151),S151*4,"")</f>
        <v>1813.7</v>
      </c>
      <c r="T339" s="263">
        <f>IF(ISNUMBER(T151),T151*4,"")</f>
        <v>1921.612</v>
      </c>
      <c r="U339" s="263">
        <f>IF(ISNUMBER(U151),U151*4,"")</f>
        <v>2018.024</v>
      </c>
      <c r="V339" s="263">
        <f>IF(ISNUMBER(V151),V151*1,"")</f>
        <v>1857.485</v>
      </c>
      <c r="W339" s="263">
        <f>IF(ISNUMBER(W151),W151*4,"")</f>
        <v>1970.652</v>
      </c>
      <c r="X339" s="263">
        <f>IF(ISNUMBER(X151),X151*4,"")</f>
        <v>2236.596</v>
      </c>
      <c r="Y339" s="263">
        <f>IF(ISNUMBER(Y151),Y151*4,"")</f>
        <v>2385.004</v>
      </c>
      <c r="Z339" s="263">
        <f>IF(ISNUMBER(Z151),Z151*4,"")</f>
        <v>2350.04</v>
      </c>
      <c r="AA339" s="263">
        <f>IF(ISNUMBER(AA151),AA151*1,"")</f>
        <v>2236.983</v>
      </c>
      <c r="AB339" s="263">
        <f>IF(ISNUMBER(AB151),AB151*4,"")</f>
        <v>2329.524</v>
      </c>
      <c r="AC339" s="263">
        <f>IF(ISNUMBER(AC151),AC151*4,"")</f>
        <v>2403.816</v>
      </c>
      <c r="AD339" s="263">
        <f>IF(ISNUMBER(AD151),AD151*4,"")</f>
        <v>2470.808</v>
      </c>
      <c r="AE339" s="263">
        <f>IF(ISNUMBER(AE151),AE151*4,"")</f>
        <v>2586.932</v>
      </c>
      <c r="AF339" s="263">
        <f>IF(ISNUMBER(AF151),AF151*1,"")</f>
        <v>2447.77</v>
      </c>
      <c r="AG339" s="263">
        <f>IF(ISNUMBER(AG151),AG151*4,"")</f>
        <v>2332.364</v>
      </c>
      <c r="AH339" s="263">
        <f>IF(ISNUMBER(AH151),AH151*4,"")</f>
        <v>2574.12</v>
      </c>
      <c r="AI339" s="263">
        <f>IF(ISNUMBER(AI151),AI151*4,"")</f>
        <v>2665.148</v>
      </c>
      <c r="AJ339" s="263">
        <f>IF(ISNUMBER(AJ151),AJ151*4,"")</f>
        <v>2871.456</v>
      </c>
      <c r="AK339" s="263">
        <f>IF(ISNUMBER(AK151),AK151*1,"")</f>
        <v>2610.772</v>
      </c>
      <c r="AL339" s="263">
        <f>IF(ISNUMBER(AL151),AL151*4,"")</f>
        <v>2817.172</v>
      </c>
      <c r="AM339" s="263">
        <f>IF(ISNUMBER(AM151),AM151*4,"")</f>
        <v>3098.64</v>
      </c>
      <c r="AN339" s="263">
        <f>IF(ISNUMBER(AN151),AN151*4,"")</f>
        <v>3039.196</v>
      </c>
      <c r="AO339" s="35" t="n"/>
      <c r="AP339" s="254">
        <f>IF(ISNUMBER(AP151),AP151*1,"")</f>
        <v>3037.91930367679</v>
      </c>
      <c r="AQ339" s="254">
        <f>IF(ISNUMBER(AQ151),AQ151*1,"")</f>
        <v>3275.55719043331</v>
      </c>
      <c r="AR339" s="254">
        <f>IF(ISNUMBER(AR151),AR151*1,"")</f>
        <v>3529.74515764117</v>
      </c>
      <c r="AS339" s="254">
        <f>IF(ISNUMBER(AS151),AS151*1,"")</f>
        <v>3760.25759367837</v>
      </c>
      <c r="AT339" s="254">
        <f>IF(ISNUMBER(AT151),AT151*1,"")</f>
        <v>3974.35738767951</v>
      </c>
      <c r="AU339" s="254">
        <f>IF(ISNUMBER(AU151),AU151*1,"")</f>
        <v>4181.78789023248</v>
      </c>
      <c r="AV339" s="19" t="n"/>
    </row>
    <row r="340" ht="15" customHeight="1" s="251">
      <c r="B340" s="25" t="inlineStr">
        <is>
          <t xml:space="preserve">  DSO — receivables / net sales × 365</t>
        </is>
      </c>
      <c r="C340" s="289">
        <f>IFERROR(C310/C338*365,"")</f>
        <v>63.4626295932353</v>
      </c>
      <c r="D340" s="289">
        <f>IFERROR(D310/D338*365,"")</f>
        <v>69.3337360576364</v>
      </c>
      <c r="E340" s="289">
        <f>IFERROR(E310/E338*365,"")</f>
        <v>71.844240321161</v>
      </c>
      <c r="F340" s="289">
        <f>IFERROR(F310/F338*365,"")</f>
        <v>63.2623623353521</v>
      </c>
      <c r="G340" s="289">
        <f>IFERROR(G310/G338*365,"")</f>
        <v>57.699211059396</v>
      </c>
      <c r="H340" s="289">
        <f>IFERROR(H310/H338*365,"")</f>
        <v>62.0219882772686</v>
      </c>
      <c r="I340" s="289">
        <f>IFERROR(I310/I338*365,"")</f>
        <v>69.9468619635629</v>
      </c>
      <c r="J340" s="289">
        <f>IFERROR(J310/J338*365,"")</f>
        <v>67.7656518649127</v>
      </c>
      <c r="K340" s="289">
        <f>IFERROR(K310/K338*365,"")</f>
        <v>74.4460065988621</v>
      </c>
      <c r="L340" s="289">
        <f>IFERROR(L310/L338*365,"")</f>
        <v>78.6825375200598</v>
      </c>
      <c r="M340" s="289">
        <f>IFERROR(M310/M338*365,"")</f>
        <v>86.5148762413531</v>
      </c>
      <c r="N340" s="289">
        <f>IFERROR(N310/N338*365,"")</f>
        <v>92.3084492044843</v>
      </c>
      <c r="O340" s="289">
        <f>IFERROR(O310/O338*365,"")</f>
        <v>93.7527260070957</v>
      </c>
      <c r="P340" s="289">
        <f>IFERROR(P310/P338*365,"")</f>
        <v>83.702176101379</v>
      </c>
      <c r="Q340" s="289">
        <f>IFERROR(Q310/Q338*365,"")</f>
        <v>85.0079680937844</v>
      </c>
      <c r="R340" s="289">
        <f>IFERROR(R310/R338*365,"")</f>
        <v>85.2906278965852</v>
      </c>
      <c r="S340" s="289">
        <f>IFERROR(S310/S338*365,"")</f>
        <v>89.436161366235</v>
      </c>
      <c r="T340" s="289">
        <f>IFERROR(T310/T338*365,"")</f>
        <v>87.2713329274724</v>
      </c>
      <c r="U340" s="289">
        <f>IFERROR(U310/U338*365,"")</f>
        <v>86.9630394057807</v>
      </c>
      <c r="V340" s="289">
        <f>IFERROR(V310/V338*365,"")</f>
        <v>93.435367783145</v>
      </c>
      <c r="W340" s="289">
        <f>IFERROR(W310/W338*365,"")</f>
        <v>88.0688860995217</v>
      </c>
      <c r="X340" s="289">
        <f>IFERROR(X310/X338*365,"")</f>
        <v>84.2882257238093</v>
      </c>
      <c r="Y340" s="289">
        <f>IFERROR(Y310/Y338*365,"")</f>
        <v>83.5163561323553</v>
      </c>
      <c r="Z340" s="289">
        <f>IFERROR(Z310/Z338*365,"")</f>
        <v>88.0546588466933</v>
      </c>
      <c r="AA340" s="289">
        <f>IFERROR(AA310/AA338*365,"")</f>
        <v>93.9071323140392</v>
      </c>
      <c r="AB340" s="289">
        <f>IFERROR(AB310/AB338*365,"")</f>
        <v>90.2449776289197</v>
      </c>
      <c r="AC340" s="289">
        <f>IFERROR(AC310/AC338*365,"")</f>
        <v>90.8604624088548</v>
      </c>
      <c r="AD340" s="289">
        <f>IFERROR(AD310/AD338*365,"")</f>
        <v>81.8118370202244</v>
      </c>
      <c r="AE340" s="289">
        <f>IFERROR(AE310/AE338*365,"")</f>
        <v>82.2346510424956</v>
      </c>
      <c r="AF340" s="289">
        <f>IFERROR(AF310/AF338*365,"")</f>
        <v>84.552658359828</v>
      </c>
      <c r="AG340" s="289">
        <f>IFERROR(AG310/AG338*365,"")</f>
        <v>81.7880342295124</v>
      </c>
      <c r="AH340" s="289">
        <f>IFERROR(AH310/AH338*365,"")</f>
        <v>85.86677779928</v>
      </c>
      <c r="AI340" s="289">
        <f>IFERROR(AI310/AI338*365,"")</f>
        <v>82.6911322459217</v>
      </c>
      <c r="AJ340" s="289">
        <f>IFERROR(AJ310/AJ338*365,"")</f>
        <v>76.2002192383127</v>
      </c>
      <c r="AK340" s="289">
        <f>IFERROR(AK310/AK338*365,"")</f>
        <v>85.0439857541104</v>
      </c>
      <c r="AL340" s="289">
        <f>IFERROR(AL310/AL338*365,"")</f>
        <v>72.9630770712948</v>
      </c>
      <c r="AM340" s="289">
        <f>IFERROR(AM310/AM338*365,"")</f>
        <v>77.9179553682118</v>
      </c>
      <c r="AN340" s="289">
        <f>IFERROR(AN310/AN338*365,"")</f>
        <v>83.2553617853394</v>
      </c>
      <c r="AO340" s="35" t="n"/>
      <c r="AP340" s="290" t="n">
        <v>85</v>
      </c>
      <c r="AQ340" s="290" t="n">
        <v>85</v>
      </c>
      <c r="AR340" s="290" t="n">
        <v>85</v>
      </c>
      <c r="AS340" s="290" t="n">
        <v>85</v>
      </c>
      <c r="AT340" s="290" t="n">
        <v>85</v>
      </c>
      <c r="AU340" s="290" t="n">
        <v>85</v>
      </c>
      <c r="AV340" s="19" t="n"/>
    </row>
    <row r="341" ht="15" customHeight="1" s="251">
      <c r="B341" s="25" t="inlineStr">
        <is>
          <t xml:space="preserve">  Inventory days — inventories / COGS × 365</t>
        </is>
      </c>
      <c r="C341" s="289">
        <f>IFERROR(C311/C339*365,"")</f>
        <v>116.235217872843</v>
      </c>
      <c r="D341" s="289">
        <f>IFERROR(D311/D339*365,"")</f>
        <v>111.523577044894</v>
      </c>
      <c r="E341" s="289">
        <f>IFERROR(E311/E339*365,"")</f>
        <v>114.502565265126</v>
      </c>
      <c r="F341" s="289">
        <f>IFERROR(F311/F339*365,"")</f>
        <v>115.692977958942</v>
      </c>
      <c r="G341" s="289">
        <f>IFERROR(G311/G339*365,"")</f>
        <v>112.399626337433</v>
      </c>
      <c r="H341" s="289">
        <f>IFERROR(H311/H339*365,"")</f>
        <v>114.205168955094</v>
      </c>
      <c r="I341" s="289">
        <f>IFERROR(I311/I339*365,"")</f>
        <v>113.24708772408</v>
      </c>
      <c r="J341" s="289">
        <f>IFERROR(J311/J339*365,"")</f>
        <v>116.651425414686</v>
      </c>
      <c r="K341" s="289">
        <f>IFERROR(K311/K339*365,"")</f>
        <v>86.0350698286187</v>
      </c>
      <c r="L341" s="289">
        <f>IFERROR(L311/L339*365,"")</f>
        <v>86.1524736690629</v>
      </c>
      <c r="M341" s="289">
        <f>IFERROR(M311/M339*365,"")</f>
        <v>101.206301040733</v>
      </c>
      <c r="N341" s="289">
        <f>IFERROR(N311/N339*365,"")</f>
        <v>88.7447609978745</v>
      </c>
      <c r="O341" s="289">
        <f>IFERROR(O311/O339*365,"")</f>
        <v>92.3375515141186</v>
      </c>
      <c r="P341" s="289">
        <f>IFERROR(P311/P339*365,"")</f>
        <v>87.8079016529418</v>
      </c>
      <c r="Q341" s="289">
        <f>IFERROR(Q311/Q339*365,"")</f>
        <v>90.4482928107229</v>
      </c>
      <c r="R341" s="289">
        <f>IFERROR(R311/R339*365,"")</f>
        <v>98.3651536081269</v>
      </c>
      <c r="S341" s="289">
        <f>IFERROR(S311/S339*365,"")</f>
        <v>97.5908612229145</v>
      </c>
      <c r="T341" s="289">
        <f>IFERROR(T311/T339*365,"")</f>
        <v>95.6683034868642</v>
      </c>
      <c r="U341" s="289">
        <f>IFERROR(U311/U339*365,"")</f>
        <v>93.0190894657348</v>
      </c>
      <c r="V341" s="289">
        <f>IFERROR(V311/V339*365,"")</f>
        <v>101.058557673413</v>
      </c>
      <c r="W341" s="289">
        <f>IFERROR(W311/W339*365,"")</f>
        <v>106.284321128236</v>
      </c>
      <c r="X341" s="289">
        <f>IFERROR(X311/X339*365,"")</f>
        <v>92.659183866912</v>
      </c>
      <c r="Y341" s="289">
        <f>IFERROR(Y311/Y339*365,"")</f>
        <v>81.3916496576106</v>
      </c>
      <c r="Z341" s="289">
        <f>IFERROR(Z311/Z339*365,"")</f>
        <v>80.4295650286804</v>
      </c>
      <c r="AA341" s="289">
        <f>IFERROR(AA311/AA339*365,"")</f>
        <v>84.4944709012093</v>
      </c>
      <c r="AB341" s="289">
        <f>IFERROR(AB311/AB339*365,"")</f>
        <v>87.6920113293531</v>
      </c>
      <c r="AC341" s="289">
        <f>IFERROR(AC311/AC339*365,"")</f>
        <v>88.1255491268883</v>
      </c>
      <c r="AD341" s="289">
        <f>IFERROR(AD311/AD339*365,"")</f>
        <v>90.8480403981208</v>
      </c>
      <c r="AE341" s="289">
        <f>IFERROR(AE311/AE339*365,"")</f>
        <v>85.9390892377535</v>
      </c>
      <c r="AF341" s="289">
        <f>IFERROR(AF311/AF339*365,"")</f>
        <v>90.8249467883012</v>
      </c>
      <c r="AG341" s="289">
        <f>IFERROR(AG311/AG339*365,"")</f>
        <v>98.9042576544656</v>
      </c>
      <c r="AH341" s="289">
        <f>IFERROR(AH311/AH339*365,"")</f>
        <v>89.9707162059267</v>
      </c>
      <c r="AI341" s="289">
        <f>IFERROR(AI311/AI339*365,"")</f>
        <v>89.9946888503002</v>
      </c>
      <c r="AJ341" s="289">
        <f>IFERROR(AJ311/AJ339*365,"")</f>
        <v>83.2093265576767</v>
      </c>
      <c r="AK341" s="289">
        <f>IFERROR(AK311/AK339*365,"")</f>
        <v>91.5177273235656</v>
      </c>
      <c r="AL341" s="289">
        <f>IFERROR(AL311/AL339*365,"")</f>
        <v>89.2967149325636</v>
      </c>
      <c r="AM341" s="289">
        <f>IFERROR(AM311/AM339*365,"")</f>
        <v>82.9814773578086</v>
      </c>
      <c r="AN341" s="289">
        <f>IFERROR(AN311/AN339*365,"")</f>
        <v>87.047066066157</v>
      </c>
      <c r="AO341" s="35" t="n"/>
      <c r="AP341" s="290" t="n">
        <v>92</v>
      </c>
      <c r="AQ341" s="290" t="n">
        <v>92</v>
      </c>
      <c r="AR341" s="290" t="n">
        <v>92</v>
      </c>
      <c r="AS341" s="290" t="n">
        <v>92</v>
      </c>
      <c r="AT341" s="290" t="n">
        <v>92</v>
      </c>
      <c r="AU341" s="290" t="n">
        <v>92</v>
      </c>
      <c r="AV341" s="19" t="n"/>
    </row>
    <row r="342" ht="15" customHeight="1" s="251">
      <c r="B342" s="25" t="inlineStr">
        <is>
          <t xml:space="preserve">  Payable days — payables / COGS × 365</t>
        </is>
      </c>
      <c r="C342" s="289">
        <f>IFERROR(C320/C339*365,"")</f>
        <v>37.6081727458847</v>
      </c>
      <c r="D342" s="289">
        <f>IFERROR(D320/D339*365,"")</f>
        <v>34.9820231650278</v>
      </c>
      <c r="E342" s="289">
        <f>IFERROR(E320/E339*365,"")</f>
        <v>38.5367816367561</v>
      </c>
      <c r="F342" s="289">
        <f>IFERROR(F320/F339*365,"")</f>
        <v>41.1331819370911</v>
      </c>
      <c r="G342" s="289">
        <f>IFERROR(G320/G339*365,"")</f>
        <v>43.5089577208234</v>
      </c>
      <c r="H342" s="289">
        <f>IFERROR(H320/H339*365,"")</f>
        <v>41.9136282310205</v>
      </c>
      <c r="I342" s="289">
        <f>IFERROR(I320/I339*365,"")</f>
        <v>55.6753636331469</v>
      </c>
      <c r="J342" s="289">
        <f>IFERROR(J320/J339*365,"")</f>
        <v>48.0288571968541</v>
      </c>
      <c r="K342" s="289">
        <f>IFERROR(K320/K339*365,"")</f>
        <v>40.0281576573413</v>
      </c>
      <c r="L342" s="289">
        <f>IFERROR(L320/L339*365,"")</f>
        <v>26.4081863856309</v>
      </c>
      <c r="M342" s="289">
        <f>IFERROR(M320/M339*365,"")</f>
        <v>36.0256199581715</v>
      </c>
      <c r="N342" s="289">
        <f>IFERROR(N320/N339*365,"")</f>
        <v>34.1922466222829</v>
      </c>
      <c r="O342" s="289">
        <f>IFERROR(O320/O339*365,"")</f>
        <v>35.2612928653094</v>
      </c>
      <c r="P342" s="289">
        <f>IFERROR(P320/P339*365,"")</f>
        <v>35.7338022473043</v>
      </c>
      <c r="Q342" s="289">
        <f>IFERROR(Q320/Q339*365,"")</f>
        <v>36.8083207554518</v>
      </c>
      <c r="R342" s="289">
        <f>IFERROR(R320/R339*365,"")</f>
        <v>36.1095732802737</v>
      </c>
      <c r="S342" s="289">
        <f>IFERROR(S320/S339*365,"")</f>
        <v>37.9435380713459</v>
      </c>
      <c r="T342" s="289">
        <f>IFERROR(T320/T339*365,"")</f>
        <v>37.1155727587047</v>
      </c>
      <c r="U342" s="289">
        <f>IFERROR(U320/U339*365,"")</f>
        <v>41.6939714294776</v>
      </c>
      <c r="V342" s="289">
        <f>IFERROR(V320/V339*365,"")</f>
        <v>45.2975044213009</v>
      </c>
      <c r="W342" s="289">
        <f>IFERROR(W320/W339*365,"")</f>
        <v>40.6303218427201</v>
      </c>
      <c r="X342" s="289">
        <f>IFERROR(X320/X339*365,"")</f>
        <v>35.9657667276522</v>
      </c>
      <c r="Y342" s="289">
        <f>IFERROR(Y320/Y339*365,"")</f>
        <v>34.1417519635187</v>
      </c>
      <c r="Z342" s="289">
        <f>IFERROR(Z320/Z339*365,"")</f>
        <v>36.3950060424503</v>
      </c>
      <c r="AA342" s="289">
        <f>IFERROR(AA320/AA339*365,"")</f>
        <v>38.2344076821326</v>
      </c>
      <c r="AB342" s="289">
        <f>IFERROR(AB320/AB339*365,"")</f>
        <v>39.703505952289</v>
      </c>
      <c r="AC342" s="289">
        <f>IFERROR(AC320/AC339*365,"")</f>
        <v>39.2769454900042</v>
      </c>
      <c r="AD342" s="289">
        <f>IFERROR(AD320/AD339*365,"")</f>
        <v>37.7276239189771</v>
      </c>
      <c r="AE342" s="289">
        <f>IFERROR(AE320/AE339*365,"")</f>
        <v>40.5583931081296</v>
      </c>
      <c r="AF342" s="289">
        <f>IFERROR(AF320/AF339*365,"")</f>
        <v>42.8642417383986</v>
      </c>
      <c r="AG342" s="289">
        <f>IFERROR(AG320/AG339*365,"")</f>
        <v>35.0600399423075</v>
      </c>
      <c r="AH342" s="289">
        <f>IFERROR(AH320/AH339*365,"")</f>
        <v>38.1882235482417</v>
      </c>
      <c r="AI342" s="289">
        <f>IFERROR(AI320/AI339*365,"")</f>
        <v>38.8986221403089</v>
      </c>
      <c r="AJ342" s="289">
        <f>IFERROR(AJ320/AJ339*365,"")</f>
        <v>36.7887249534731</v>
      </c>
      <c r="AK342" s="289">
        <f>IFERROR(AK320/AK339*365,"")</f>
        <v>40.4620568169109</v>
      </c>
      <c r="AL342" s="289">
        <f>IFERROR(AL320/AL339*365,"")</f>
        <v>34.979427951151</v>
      </c>
      <c r="AM342" s="289">
        <f>IFERROR(AM320/AM339*365,"")</f>
        <v>36.0277654067591</v>
      </c>
      <c r="AN342" s="289">
        <f>IFERROR(AN320/AN339*365,"")</f>
        <v>39.5069304513431</v>
      </c>
      <c r="AO342" s="35" t="n"/>
      <c r="AP342" s="290" t="n">
        <v>40</v>
      </c>
      <c r="AQ342" s="290" t="n">
        <v>40</v>
      </c>
      <c r="AR342" s="290" t="n">
        <v>40</v>
      </c>
      <c r="AS342" s="290" t="n">
        <v>40</v>
      </c>
      <c r="AT342" s="290" t="n">
        <v>40</v>
      </c>
      <c r="AU342" s="290" t="n">
        <v>40</v>
      </c>
      <c r="AV342" s="19" t="n"/>
    </row>
    <row r="343" ht="15" customHeight="1" s="251">
      <c r="B343" s="25" t="inlineStr">
        <is>
          <t xml:space="preserve">  Other current liabilities % of net sales</t>
        </is>
      </c>
      <c r="C343" s="215">
        <f>IFERROR(C322/C338,"")</f>
        <v>0.081223250308757</v>
      </c>
      <c r="D343" s="215">
        <f>IFERROR(D322/D338,"")</f>
        <v>0.0788608869833037</v>
      </c>
      <c r="E343" s="215">
        <f>IFERROR(E322/E338,"")</f>
        <v>0.0866689463092518</v>
      </c>
      <c r="F343" s="215">
        <f>IFERROR(F322/F338,"")</f>
        <v>0.0896109412164458</v>
      </c>
      <c r="G343" s="215">
        <f>IFERROR(G322/G338,"")</f>
        <v>0.0797256345106689</v>
      </c>
      <c r="H343" s="215">
        <f>IFERROR(H322/H338,"")</f>
        <v>0.0796677142453232</v>
      </c>
      <c r="I343" s="215">
        <f>IFERROR(I322/I338,"")</f>
        <v>0.077117814250352</v>
      </c>
      <c r="J343" s="215">
        <f>IFERROR(J322/J338,"")</f>
        <v>0.0908295508826148</v>
      </c>
      <c r="K343" s="215">
        <f>IFERROR(K322/K338,"")</f>
        <v>0.0851583530360179</v>
      </c>
      <c r="L343" s="215">
        <f>IFERROR(L322/L338,"")</f>
        <v>0.0626911063784603</v>
      </c>
      <c r="M343" s="215">
        <f>IFERROR(M322/M338,"")</f>
        <v>0.0780845729038594</v>
      </c>
      <c r="N343" s="215">
        <f>IFERROR(N322/N338,"")</f>
        <v>0.0762466004152611</v>
      </c>
      <c r="O343" s="215">
        <f>IFERROR(O322/O338,"")</f>
        <v>0.079166030448646</v>
      </c>
      <c r="P343" s="215">
        <f>IFERROR(P322/P338,"")</f>
        <v>0.0853271649214247</v>
      </c>
      <c r="Q343" s="215">
        <f>IFERROR(Q322/Q338,"")</f>
        <v>0.0866583074780304</v>
      </c>
      <c r="R343" s="215">
        <f>IFERROR(R322/R338,"")</f>
        <v>0.0753421432607195</v>
      </c>
      <c r="S343" s="215">
        <f>IFERROR(S322/S338,"")</f>
        <v>0.0767007646049428</v>
      </c>
      <c r="T343" s="215">
        <f>IFERROR(T322/T338,"")</f>
        <v>0.0730118242253374</v>
      </c>
      <c r="U343" s="215">
        <f>IFERROR(U322/U338,"")</f>
        <v>0.120538315993082</v>
      </c>
      <c r="V343" s="215">
        <f>IFERROR(V322/V338,"")</f>
        <v>0.129509524548953</v>
      </c>
      <c r="W343" s="215">
        <f>IFERROR(W322/W338,"")</f>
        <v>0.0923302549711535</v>
      </c>
      <c r="X343" s="215">
        <f>IFERROR(X322/X338,"")</f>
        <v>0.0835684071878298</v>
      </c>
      <c r="Y343" s="215">
        <f>IFERROR(Y322/Y338,"")</f>
        <v>0.0824797698907031</v>
      </c>
      <c r="Z343" s="215">
        <f>IFERROR(Z322/Z338,"")</f>
        <v>0.123176805178427</v>
      </c>
      <c r="AA343" s="215">
        <f>IFERROR(AA322/AA338,"")</f>
        <v>0.131363640418505</v>
      </c>
      <c r="AB343" s="215">
        <f>IFERROR(AB322/AB338,"")</f>
        <v>0.0837552273333927</v>
      </c>
      <c r="AC343" s="215">
        <f>IFERROR(AC322/AC338,"")</f>
        <v>0.0871456395755995</v>
      </c>
      <c r="AD343" s="215">
        <f>IFERROR(AD322/AD338,"")</f>
        <v>0.0876481087381206</v>
      </c>
      <c r="AE343" s="215">
        <f>IFERROR(AE322/AE338,"")</f>
        <v>0.18609184681353</v>
      </c>
      <c r="AF343" s="215">
        <f>IFERROR(AF322/AF338,"")</f>
        <v>0.191337351684546</v>
      </c>
      <c r="AG343" s="215">
        <f>IFERROR(AG322/AG338,"")</f>
        <v>0.0879394351159856</v>
      </c>
      <c r="AH343" s="215">
        <f>IFERROR(AH322/AH338,"")</f>
        <v>0.08156986699169</v>
      </c>
      <c r="AI343" s="215">
        <f>IFERROR(AI322/AI338,"")</f>
        <v>0.0811486969193158</v>
      </c>
      <c r="AJ343" s="215">
        <f>IFERROR(AJ322/AJ338,"")</f>
        <v>0.0936279218378239</v>
      </c>
      <c r="AK343" s="215">
        <f>IFERROR(AK322/AK338,"")</f>
        <v>0.104494340443569</v>
      </c>
      <c r="AL343" s="215">
        <f>IFERROR(AL322/AL338,"")</f>
        <v>0.074794471194857</v>
      </c>
      <c r="AM343" s="215">
        <f>IFERROR(AM322/AM338,"")</f>
        <v>0.0770229366715326</v>
      </c>
      <c r="AN343" s="215">
        <f>IFERROR(AN322/AN338,"")</f>
        <v>0.0829139275753466</v>
      </c>
      <c r="AO343" s="24" t="n"/>
      <c r="AP343" s="265" t="n">
        <v>0.104</v>
      </c>
      <c r="AQ343" s="265" t="n">
        <v>0.104</v>
      </c>
      <c r="AR343" s="265" t="n">
        <v>0.104</v>
      </c>
      <c r="AS343" s="265" t="n">
        <v>0.104</v>
      </c>
      <c r="AT343" s="265" t="n">
        <v>0.104</v>
      </c>
      <c r="AU343" s="265" t="n">
        <v>0.104</v>
      </c>
      <c r="AV343" s="153" t="inlineStr">
        <is>
          <t>Forecast inputs at fiscal-year-end (30-Sep-2025) levels on FY2025 net sales / cost of goods sold (DSO 85d, inventory 92d, payables 40d, other current liabilities 10.4% of sales); year ends are compared with year ends.</t>
        </is>
      </c>
    </row>
    <row r="344" ht="15" customHeight="1" s="251">
      <c r="B344" s="25" t="inlineStr">
        <is>
          <t xml:space="preserve">  Operating NWC (receivables + inventories + other current assets − payables − other current liabilities)</t>
        </is>
      </c>
      <c r="C344" s="263">
        <f>IF(ISNUMBER(C310),C310+C311+C312-C320-C322,"")</f>
        <v>480.771</v>
      </c>
      <c r="D344" s="263">
        <f>IF(ISNUMBER(D310),D310+D311+D312-D320-D322,"")</f>
        <v>569.609</v>
      </c>
      <c r="E344" s="263">
        <f>IF(ISNUMBER(E310),E310+E311+E312-E320-E322,"")</f>
        <v>595.461</v>
      </c>
      <c r="F344" s="263">
        <f>IF(ISNUMBER(F310),F310+F311+F312-F320-F322,"")</f>
        <v>553.341</v>
      </c>
      <c r="G344" s="263">
        <f>IF(ISNUMBER(G310),G310+G311+G312-G320-G322,"")</f>
        <v>529.482</v>
      </c>
      <c r="H344" s="263">
        <f>IF(ISNUMBER(H310),H310+H311+H312-H320-H322,"")</f>
        <v>532.721</v>
      </c>
      <c r="I344" s="263">
        <f>IF(ISNUMBER(I310),I310+I311+I312-I320-I322,"")</f>
        <v>539.003</v>
      </c>
      <c r="J344" s="263">
        <f>IF(ISNUMBER(J310),J310+J311+J312-J320-J322,"")</f>
        <v>593.66</v>
      </c>
      <c r="K344" s="263">
        <f>IF(ISNUMBER(K310),K310+K311+K312-K320-K322,"")</f>
        <v>684.719</v>
      </c>
      <c r="L344" s="263">
        <f>IF(ISNUMBER(L310),L310+L311+L312-L320-L322,"")</f>
        <v>766.897</v>
      </c>
      <c r="M344" s="263">
        <f>IF(ISNUMBER(M310),M310+M311+M312-M320-M322,"")</f>
        <v>718.186</v>
      </c>
      <c r="N344" s="263">
        <f>IF(ISNUMBER(N310),N310+N311+N312-N320-N322,"")</f>
        <v>740.557</v>
      </c>
      <c r="O344" s="263">
        <f>IF(ISNUMBER(O310),O310+O311+O312-O320-O322,"")</f>
        <v>741.994</v>
      </c>
      <c r="P344" s="263">
        <f>IF(ISNUMBER(P310),P310+P311+P312-P320-P322,"")</f>
        <v>650.732</v>
      </c>
      <c r="Q344" s="263">
        <f>IF(ISNUMBER(Q310),Q310+Q311+Q312-Q320-Q322,"")</f>
        <v>650.732</v>
      </c>
      <c r="R344" s="263">
        <f>IF(ISNUMBER(R310),R310+R311+R312-R320-R322,"")</f>
        <v>690.665</v>
      </c>
      <c r="S344" s="263">
        <f>IF(ISNUMBER(S310),S310+S311+S312-S320-S322,"")</f>
        <v>754.448</v>
      </c>
      <c r="T344" s="263">
        <f>IF(ISNUMBER(T310),T310+T311+T312-T320-T322,"")</f>
        <v>779.198</v>
      </c>
      <c r="U344" s="263">
        <f>IF(ISNUMBER(U310),U310+U311+U312-U320-U322,"")</f>
        <v>665.012</v>
      </c>
      <c r="V344" s="263">
        <f>IF(ISNUMBER(V310),V310+V311+V312-V320-V322,"")</f>
        <v>665.012</v>
      </c>
      <c r="W344" s="263">
        <f>IF(ISNUMBER(W310),W310+W311+W312-W320-W322,"")</f>
        <v>812.333</v>
      </c>
      <c r="X344" s="263">
        <f>IF(ISNUMBER(X310),X310+X311+X312-X320-X322,"")</f>
        <v>880.794</v>
      </c>
      <c r="Y344" s="263">
        <f>IF(ISNUMBER(Y310),Y310+Y311+Y312-Y320-Y322,"")</f>
        <v>889.125</v>
      </c>
      <c r="Z344" s="263">
        <f>IF(ISNUMBER(Z310),Z310+Z311+Z312-Z320-Z322,"")</f>
        <v>714.809</v>
      </c>
      <c r="AA344" s="263">
        <f>IF(ISNUMBER(AA310),AA310+AA311+AA312-AA320-AA322,"")</f>
        <v>714.809</v>
      </c>
      <c r="AB344" s="263">
        <f>IF(ISNUMBER(AB310),AB310+AB311+AB312-AB320-AB322,"")</f>
        <v>884.84</v>
      </c>
      <c r="AC344" s="263">
        <f>IF(ISNUMBER(AC310),AC310+AC311+AC312-AC320-AC322,"")</f>
        <v>945.186</v>
      </c>
      <c r="AD344" s="263">
        <f>IF(ISNUMBER(AD310),AD310+AD311+AD312-AD320-AD322,"")</f>
        <v>927.443</v>
      </c>
      <c r="AE344" s="263">
        <f>IF(ISNUMBER(AE310),AE310+AE311+AE312-AE320-AE322,"")</f>
        <v>537.831</v>
      </c>
      <c r="AF344" s="263">
        <f>IF(ISNUMBER(AF310),AF310+AF311+AF312-AF320-AF322,"")</f>
        <v>537.831</v>
      </c>
      <c r="AG344" s="263">
        <f>IF(ISNUMBER(AG310),AG310+AG311+AG312-AG320-AG322,"")</f>
        <v>945.023</v>
      </c>
      <c r="AH344" s="263">
        <f>IF(ISNUMBER(AH310),AH310+AH311+AH312-AH320-AH322,"")</f>
        <v>990.168</v>
      </c>
      <c r="AI344" s="263">
        <f>IF(ISNUMBER(AI310),AI310+AI311+AI312-AI320-AI322,"")</f>
        <v>1006.82</v>
      </c>
      <c r="AJ344" s="263">
        <f>IF(ISNUMBER(AJ310),AJ310+AJ311+AJ312-AJ320-AJ322,"")</f>
        <v>894.828</v>
      </c>
      <c r="AK344" s="263">
        <f>IF(ISNUMBER(AK310),AK310+AK311+AK312-AK320-AK322,"")</f>
        <v>894.828</v>
      </c>
      <c r="AL344" s="263">
        <f>IF(ISNUMBER(AL310),AL310+AL311+AL312-AL320-AL322,"")</f>
        <v>1026.78</v>
      </c>
      <c r="AM344" s="263">
        <f>IF(ISNUMBER(AM310),AM310+AM311+AM312-AM320-AM322,"")</f>
        <v>1128.903</v>
      </c>
      <c r="AN344" s="263">
        <f>IF(ISNUMBER(AN310),AN310+AN311+AN312-AN320-AN322,"")</f>
        <v>1166.71</v>
      </c>
      <c r="AO344" s="35" t="n"/>
      <c r="AP344" s="254">
        <f>IF(ISNUMBER(AP310),AP310+AP311+AP312-AP320-AP322,"")</f>
        <v>1117.77191183998</v>
      </c>
      <c r="AQ344" s="254">
        <f>IF(ISNUMBER(AQ310),AQ310+AQ311+AQ312-AQ320-AQ322,"")</f>
        <v>1183.33996591087</v>
      </c>
      <c r="AR344" s="254">
        <f>IF(ISNUMBER(AR310),AR310+AR311+AR312-AR320-AR322,"")</f>
        <v>1270.40606618981</v>
      </c>
      <c r="AS344" s="254">
        <f>IF(ISNUMBER(AS310),AS310+AS311+AS312-AS320-AS322,"")</f>
        <v>1350.2860636751</v>
      </c>
      <c r="AT344" s="254">
        <f>IF(ISNUMBER(AT310),AT310+AT311+AT312-AT320-AT322,"")</f>
        <v>1423.27502560092</v>
      </c>
      <c r="AU344" s="254">
        <f>IF(ISNUMBER(AU310),AU310+AU311+AU312-AU320-AU322,"")</f>
        <v>1494.99887018656</v>
      </c>
      <c r="AV344" s="19" t="n"/>
    </row>
    <row r="345" ht="15" customHeight="1" s="251">
      <c r="B345" s="25" t="inlineStr">
        <is>
          <t xml:space="preserve">  NWC % of net sales</t>
        </is>
      </c>
      <c r="C345" s="215">
        <f>IF(ISNUMBER(C344),IFERROR(C344/C338,""),"")</f>
        <v>0.280873072532485</v>
      </c>
      <c r="D345" s="215">
        <f>IF(ISNUMBER(D344),IFERROR(D344/D338,""),"")</f>
        <v>0.305317729642635</v>
      </c>
      <c r="E345" s="215">
        <f>IF(ISNUMBER(E344),IFERROR(E344/E338,""),"")</f>
        <v>0.30757664351211</v>
      </c>
      <c r="F345" s="215">
        <f>IF(ISNUMBER(F344),IFERROR(F344/F338,""),"")</f>
        <v>0.276499070576243</v>
      </c>
      <c r="G345" s="215">
        <f>IF(ISNUMBER(G344),IFERROR(G344/G338,""),"")</f>
        <v>0.259766089732488</v>
      </c>
      <c r="H345" s="215">
        <f>IF(ISNUMBER(H344),IFERROR(H344/H338,""),"")</f>
        <v>0.263322027128959</v>
      </c>
      <c r="I345" s="215">
        <f>IF(ISNUMBER(I344),IFERROR(I344/I338,""),"")</f>
        <v>0.256828919061222</v>
      </c>
      <c r="J345" s="215">
        <f>IF(ISNUMBER(J344),IFERROR(J344/J338,""),"")</f>
        <v>0.255241795231296</v>
      </c>
      <c r="K345" s="215">
        <f>IF(ISNUMBER(K344),IFERROR(K344/K338,""),"")</f>
        <v>0.236093961892933</v>
      </c>
      <c r="L345" s="215">
        <f>IF(ISNUMBER(L344),IFERROR(L344/L338,""),"")</f>
        <v>0.307291643710194</v>
      </c>
      <c r="M345" s="215">
        <f>IF(ISNUMBER(M344),IFERROR(M344/M338,""),"")</f>
        <v>0.333966061467322</v>
      </c>
      <c r="N345" s="215">
        <f>IF(ISNUMBER(N344),IFERROR(N344/N338,""),"")</f>
        <v>0.31848023725274</v>
      </c>
      <c r="O345" s="215">
        <f>IF(ISNUMBER(O344),IFERROR(O344/O338,""),"")</f>
        <v>0.333225849912426</v>
      </c>
      <c r="P345" s="215">
        <f>IF(ISNUMBER(P344),IFERROR(P344/P338,""),"")</f>
        <v>0.285300157659277</v>
      </c>
      <c r="Q345" s="215">
        <f>IF(ISNUMBER(Q344),IFERROR(Q344/Q338,""),"")</f>
        <v>0.289750969796494</v>
      </c>
      <c r="R345" s="215">
        <f>IF(ISNUMBER(R344),IFERROR(R344/R338,""),"")</f>
        <v>0.318815940589306</v>
      </c>
      <c r="S345" s="215">
        <f>IF(ISNUMBER(S344),IFERROR(S344/S338,""),"")</f>
        <v>0.321403315048932</v>
      </c>
      <c r="T345" s="215">
        <f>IF(ISNUMBER(T344),IFERROR(T344/T338,""),"")</f>
        <v>0.317091572634992</v>
      </c>
      <c r="U345" s="215">
        <f>IF(ISNUMBER(U344),IFERROR(U344/U338,""),"")</f>
        <v>0.259756918783875</v>
      </c>
      <c r="V345" s="215">
        <f>IF(ISNUMBER(V344),IFERROR(V344/V338,""),"")</f>
        <v>0.279089638616916</v>
      </c>
      <c r="W345" s="215">
        <f>IF(ISNUMBER(W344),IFERROR(W344/W338,""),"")</f>
        <v>0.328284857076811</v>
      </c>
      <c r="X345" s="215">
        <f>IF(ISNUMBER(X344),IFERROR(X344/X338,""),"")</f>
        <v>0.306591767913185</v>
      </c>
      <c r="Y345" s="215">
        <f>IF(ISNUMBER(Y344),IFERROR(Y344/Y338,""),"")</f>
        <v>0.277621483695387</v>
      </c>
      <c r="Z345" s="215">
        <f>IF(ISNUMBER(Z344),IFERROR(Z344/Z338,""),"")</f>
        <v>0.22996930778437</v>
      </c>
      <c r="AA345" s="215">
        <f>IF(ISNUMBER(AA344),IFERROR(AA344/AA338,""),"")</f>
        <v>0.2452540103741</v>
      </c>
      <c r="AB345" s="215">
        <f>IF(ISNUMBER(AB344),IFERROR(AB344/AB338,""),"")</f>
        <v>0.281176515450027</v>
      </c>
      <c r="AC345" s="215">
        <f>IF(ISNUMBER(AC344),IFERROR(AC344/AC338,""),"")</f>
        <v>0.282873621973249</v>
      </c>
      <c r="AD345" s="215">
        <f>IF(ISNUMBER(AD344),IFERROR(AD344/AD338,""),"")</f>
        <v>0.273521330961392</v>
      </c>
      <c r="AE345" s="215">
        <f>IF(ISNUMBER(AE344),IFERROR(AE344/AE338,""),"")</f>
        <v>0.157354755128217</v>
      </c>
      <c r="AF345" s="215">
        <f>IF(ISNUMBER(AF344),IFERROR(AF344/AF338,""),"")</f>
        <v>0.161790226905385</v>
      </c>
      <c r="AG345" s="215">
        <f>IF(ISNUMBER(AG344),IFERROR(AG344/AG338,""),"")</f>
        <v>0.305743634540102</v>
      </c>
      <c r="AH345" s="215">
        <f>IF(ISNUMBER(AH344),IFERROR(AH344/AH338,""),"")</f>
        <v>0.280142457977273</v>
      </c>
      <c r="AI345" s="215">
        <f>IF(ISNUMBER(AI344),IFERROR(AI344/AI338,""),"")</f>
        <v>0.27495341068725</v>
      </c>
      <c r="AJ345" s="215">
        <f>IF(ISNUMBER(AJ344),IFERROR(AJ344/AJ338,""),"")</f>
        <v>0.224771517908816</v>
      </c>
      <c r="AK345" s="215">
        <f>IF(ISNUMBER(AK344),IFERROR(AK344/AK338,""),"")</f>
        <v>0.250858409044525</v>
      </c>
      <c r="AL345" s="215">
        <f>IF(ISNUMBER(AL344),IFERROR(AL344/AL338,""),"")</f>
        <v>0.257608479668906</v>
      </c>
      <c r="AM345" s="215">
        <f>IF(ISNUMBER(AM344),IFERROR(AM344/AM338,""),"")</f>
        <v>0.258787851835007</v>
      </c>
      <c r="AN345" s="215">
        <f>IF(ISNUMBER(AN344),IFERROR(AN344/AN338,""),"")</f>
        <v>0.262842377028129</v>
      </c>
      <c r="AO345" s="24" t="n"/>
      <c r="AP345" s="256">
        <f>IF(ISNUMBER(AP344),IFERROR(AP344/AP338,""),"")</f>
        <v>0.257908712087258</v>
      </c>
      <c r="AQ345" s="256">
        <f>IF(ISNUMBER(AQ344),IFERROR(AQ344/AQ338,""),"")</f>
        <v>0.251398560746775</v>
      </c>
      <c r="AR345" s="256">
        <f>IF(ISNUMBER(AR344),IFERROR(AR344/AR338,""),"")</f>
        <v>0.249020412307087</v>
      </c>
      <c r="AS345" s="256">
        <f>IF(ISNUMBER(AS344),IFERROR(AS344/AS338,""),"")</f>
        <v>0.247005965568482</v>
      </c>
      <c r="AT345" s="256">
        <f>IF(ISNUMBER(AT344),IFERROR(AT344/AT338,""),"")</f>
        <v>0.245549507579929</v>
      </c>
      <c r="AU345" s="256">
        <f>IF(ISNUMBER(AU344),IFERROR(AU344/AU338,""),"")</f>
        <v>0.244140693471439</v>
      </c>
      <c r="AV345" s="153" t="n"/>
      <c r="AX345" s="37">
        <f>IFERROR(AVERAGE(AQ345,AR345,AS345,AT345,AU345),"n/m")</f>
        <v>0.247423027934742</v>
      </c>
      <c r="AY345" s="37">
        <f>IFERROR(AVERAGE(Q345,V345,AA345,AF345,AK345),"n/m")</f>
        <v>0.245348650947484</v>
      </c>
      <c r="AZ345" s="37">
        <f>IFERROR(AVERAGE(H345,I345,J345,K345,L345,Q345,V345,AA345,AF345,AK345),"n/m")</f>
        <v>0.254552160176202</v>
      </c>
      <c r="BA345" s="37">
        <f>IFERROR(AVERAGE(C345,D345,E345,F345,G345,H345,I345,J345,K345,L345,Q345,V345,AA345,AF345,AK345),"n/m")</f>
        <v>0.265036947183866</v>
      </c>
    </row>
    <row r="346" ht="15" customHeight="1" s="251">
      <c r="B346" s="25" t="inlineStr">
        <is>
          <t xml:space="preserve">  ΔNWC (y/y)</t>
        </is>
      </c>
      <c r="C346" s="34" t="n"/>
      <c r="D346" s="263">
        <f>IF(AND(ISNUMBER(D344),ISNUMBER(C344)),D344-C344,"")</f>
        <v>88.838</v>
      </c>
      <c r="E346" s="263">
        <f>IF(AND(ISNUMBER(E344),ISNUMBER(D344)),E344-D344,"")</f>
        <v>25.852</v>
      </c>
      <c r="F346" s="263">
        <f>IF(AND(ISNUMBER(F344),ISNUMBER(E344)),F344-E344,"")</f>
        <v>-42.12</v>
      </c>
      <c r="G346" s="263">
        <f>IF(AND(ISNUMBER(G344),ISNUMBER(F344)),G344-F344,"")</f>
        <v>-23.8590000000002</v>
      </c>
      <c r="H346" s="263">
        <f>IF(AND(ISNUMBER(H344),ISNUMBER(G344)),H344-G344,"")</f>
        <v>3.23900000000026</v>
      </c>
      <c r="I346" s="263">
        <f>IF(AND(ISNUMBER(I344),ISNUMBER(H344)),I344-H344,"")</f>
        <v>6.28199999999993</v>
      </c>
      <c r="J346" s="263">
        <f>IF(AND(ISNUMBER(J344),ISNUMBER(I344)),J344-I344,"")</f>
        <v>54.6569999999999</v>
      </c>
      <c r="K346" s="263">
        <f>IF(AND(ISNUMBER(K344),ISNUMBER(J344)),K344-J344,"")</f>
        <v>91.059</v>
      </c>
      <c r="L346" s="263">
        <f>IF(AND(ISNUMBER(L344),ISNUMBER(K344)),L344-K344,"")</f>
        <v>82.1780000000001</v>
      </c>
      <c r="M346" s="34" t="n"/>
      <c r="N346" s="34" t="n"/>
      <c r="O346" s="34" t="n"/>
      <c r="P346" s="34" t="n"/>
      <c r="Q346" s="263">
        <f>IF(AND(ISNUMBER(Q344),ISNUMBER(L344)),Q344-L344,"")</f>
        <v>-116.165</v>
      </c>
      <c r="R346" s="263">
        <f>IF(AND(ISNUMBER(R344),ISNUMBER(M344)),R344-M344,"")</f>
        <v>-27.5210000000001</v>
      </c>
      <c r="S346" s="263">
        <f>IF(AND(ISNUMBER(S344),ISNUMBER(N344)),S344-N344,"")</f>
        <v>13.8909999999998</v>
      </c>
      <c r="T346" s="263">
        <f>IF(AND(ISNUMBER(T344),ISNUMBER(O344)),T344-O344,"")</f>
        <v>37.2040000000002</v>
      </c>
      <c r="U346" s="263">
        <f>IF(AND(ISNUMBER(U344),ISNUMBER(P344)),U344-P344,"")</f>
        <v>14.2800000000001</v>
      </c>
      <c r="V346" s="263">
        <f>IF(AND(ISNUMBER(V344),ISNUMBER(Q344)),V344-Q344,"")</f>
        <v>14.2800000000001</v>
      </c>
      <c r="W346" s="263">
        <f>IF(AND(ISNUMBER(W344),ISNUMBER(R344)),W344-R344,"")</f>
        <v>121.668</v>
      </c>
      <c r="X346" s="263">
        <f>IF(AND(ISNUMBER(X344),ISNUMBER(S344)),X344-S344,"")</f>
        <v>126.346</v>
      </c>
      <c r="Y346" s="263">
        <f>IF(AND(ISNUMBER(Y344),ISNUMBER(T344)),Y344-T344,"")</f>
        <v>109.927</v>
      </c>
      <c r="Z346" s="263">
        <f>IF(AND(ISNUMBER(Z344),ISNUMBER(U344)),Z344-U344,"")</f>
        <v>49.797</v>
      </c>
      <c r="AA346" s="263">
        <f>IF(AND(ISNUMBER(AA344),ISNUMBER(V344)),AA344-V344,"")</f>
        <v>49.797</v>
      </c>
      <c r="AB346" s="263">
        <f>IF(AND(ISNUMBER(AB344),ISNUMBER(W344)),AB344-W344,"")</f>
        <v>72.5070000000002</v>
      </c>
      <c r="AC346" s="263">
        <f>IF(AND(ISNUMBER(AC344),ISNUMBER(X344)),AC344-X344,"")</f>
        <v>64.3919999999999</v>
      </c>
      <c r="AD346" s="263">
        <f>IF(AND(ISNUMBER(AD344),ISNUMBER(Y344)),AD344-Y344,"")</f>
        <v>38.318</v>
      </c>
      <c r="AE346" s="263">
        <f>IF(AND(ISNUMBER(AE344),ISNUMBER(Z344)),AE344-Z344,"")</f>
        <v>-176.978</v>
      </c>
      <c r="AF346" s="263">
        <f>IF(AND(ISNUMBER(AF344),ISNUMBER(AA344)),AF344-AA344,"")</f>
        <v>-176.978</v>
      </c>
      <c r="AG346" s="263">
        <f>IF(AND(ISNUMBER(AG344),ISNUMBER(AB344)),AG344-AB344,"")</f>
        <v>60.183</v>
      </c>
      <c r="AH346" s="263">
        <f>IF(AND(ISNUMBER(AH344),ISNUMBER(AC344)),AH344-AC344,"")</f>
        <v>44.9820000000002</v>
      </c>
      <c r="AI346" s="263">
        <f>IF(AND(ISNUMBER(AI344),ISNUMBER(AD344)),AI344-AD344,"")</f>
        <v>79.3770000000001</v>
      </c>
      <c r="AJ346" s="263">
        <f>IF(AND(ISNUMBER(AJ344),ISNUMBER(AE344)),AJ344-AE344,"")</f>
        <v>356.997</v>
      </c>
      <c r="AK346" s="263">
        <f>IF(AND(ISNUMBER(AK344),ISNUMBER(AF344)),AK344-AF344,"")</f>
        <v>356.997</v>
      </c>
      <c r="AL346" s="263">
        <f>IF(AND(ISNUMBER(AL344),ISNUMBER(AG344)),AL344-AG344,"")</f>
        <v>81.757</v>
      </c>
      <c r="AM346" s="263">
        <f>IF(AND(ISNUMBER(AM344),ISNUMBER(AH344)),AM344-AH344,"")</f>
        <v>138.735</v>
      </c>
      <c r="AN346" s="263">
        <f>IF(AND(ISNUMBER(AN344),ISNUMBER(AI344)),AN344-AI344,"")</f>
        <v>159.89</v>
      </c>
      <c r="AO346" s="35" t="n"/>
      <c r="AP346" s="254">
        <f>IF(AND(ISNUMBER(AP344),ISNUMBER(AK344)),AP344-AK344,"")</f>
        <v>222.943911839981</v>
      </c>
      <c r="AQ346" s="254">
        <f>IF(AND(ISNUMBER(AQ344),ISNUMBER(AP344)),AQ344-AP344,"")</f>
        <v>65.5680540708909</v>
      </c>
      <c r="AR346" s="254">
        <f>IF(AND(ISNUMBER(AR344),ISNUMBER(AQ344)),AR344-AQ344,"")</f>
        <v>87.0661002789429</v>
      </c>
      <c r="AS346" s="254">
        <f>IF(AND(ISNUMBER(AS344),ISNUMBER(AR344)),AS344-AR344,"")</f>
        <v>79.8799974852818</v>
      </c>
      <c r="AT346" s="254">
        <f>IF(AND(ISNUMBER(AT344),ISNUMBER(AS344)),AT344-AS344,"")</f>
        <v>72.9889619258245</v>
      </c>
      <c r="AU346" s="254">
        <f>IF(AND(ISNUMBER(AU344),ISNUMBER(AT344)),AU344-AT344,"")</f>
        <v>71.7238445856344</v>
      </c>
      <c r="AV346" s="19" t="n"/>
    </row>
    <row r="347" ht="15" customHeight="1" s="251">
      <c r="BD347" s="11" t="n"/>
      <c r="BE347" s="12" t="n"/>
      <c r="BF347" s="12" t="n"/>
      <c r="BG347" s="12" t="n"/>
      <c r="BH347" s="13" t="n"/>
    </row>
    <row r="348" ht="15" customHeight="1" s="251">
      <c r="B348" s="10" t="inlineStr">
        <is>
          <t>BALANCE SHEET FORECAST SCHEDULES</t>
        </is>
      </c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inlineStr">
        <is>
          <t>BS FORECAST SCHEDULES — explicit driver assumptions</t>
        </is>
      </c>
    </row>
    <row r="349" ht="15" customHeight="1" s="251">
      <c r="B349" s="25" t="inlineStr">
        <is>
          <t>Acquisitions — consideration &amp; purchase-price allocation (closing-period column)</t>
        </is>
      </c>
      <c r="AV349" s="153" t="n"/>
    </row>
    <row r="350" ht="15" customHeight="1" s="251">
      <c r="B350" s="69" t="inlineStr">
        <is>
          <t xml:space="preserve">  Consideration — net assets acquired (net of cash acquired)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253" t="n">
        <v>771.115</v>
      </c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253" t="n">
        <v>40.286</v>
      </c>
      <c r="AK350" s="44" t="n"/>
      <c r="AL350" s="44" t="n"/>
      <c r="AM350" s="44" t="n"/>
      <c r="AN350" s="253" t="n">
        <v>120.702</v>
      </c>
      <c r="AO350" s="153" t="n"/>
      <c r="AP350" s="35" t="n"/>
      <c r="AQ350" s="35" t="n"/>
      <c r="AR350" s="35" t="n"/>
      <c r="AS350" s="35" t="n"/>
      <c r="AT350" s="35" t="n"/>
      <c r="AU350" s="35" t="n"/>
      <c r="AV350" s="19" t="n"/>
    </row>
    <row r="351" ht="15" customHeight="1" s="251">
      <c r="B351" s="69" t="inlineStr">
        <is>
          <t xml:space="preserve">  Current assets acquired (receivables, inventories, other)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253" t="n">
        <v>100.315</v>
      </c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4" t="n"/>
      <c r="AH351" s="44" t="n"/>
      <c r="AI351" s="44" t="n"/>
      <c r="AJ351" s="253" t="n">
        <v>21.061</v>
      </c>
      <c r="AK351" s="44" t="n"/>
      <c r="AL351" s="44" t="n"/>
      <c r="AM351" s="44" t="n"/>
      <c r="AN351" s="253" t="n">
        <v>14.559</v>
      </c>
      <c r="AO351" s="153" t="n"/>
      <c r="AP351" s="35" t="n"/>
      <c r="AQ351" s="35" t="n"/>
      <c r="AR351" s="35" t="n"/>
      <c r="AS351" s="35" t="n"/>
      <c r="AT351" s="35" t="n"/>
      <c r="AU351" s="35" t="n"/>
      <c r="AV351" s="19" t="n"/>
    </row>
    <row r="352" ht="15" customHeight="1" s="251">
      <c r="B352" s="69" t="inlineStr">
        <is>
          <t xml:space="preserve">  Property, plant &amp; equipment</t>
        </is>
      </c>
      <c r="C352" s="44" t="n"/>
      <c r="D352" s="44" t="n"/>
      <c r="E352" s="44" t="n"/>
      <c r="F352" s="44" t="n"/>
      <c r="G352" s="44" t="n"/>
      <c r="H352" s="44" t="n"/>
      <c r="I352" s="44" t="n"/>
      <c r="J352" s="253" t="n">
        <v>89.77200000000001</v>
      </c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4" t="n"/>
      <c r="AH352" s="44" t="n"/>
      <c r="AI352" s="44" t="n"/>
      <c r="AJ352" s="253" t="n">
        <v>6.945</v>
      </c>
      <c r="AK352" s="44" t="n"/>
      <c r="AL352" s="44" t="n"/>
      <c r="AM352" s="44" t="n"/>
      <c r="AN352" s="253" t="n">
        <v>13.123</v>
      </c>
      <c r="AO352" s="153" t="n"/>
      <c r="AP352" s="35" t="n"/>
      <c r="AQ352" s="35" t="n"/>
      <c r="AR352" s="35" t="n"/>
      <c r="AS352" s="35" t="n"/>
      <c r="AT352" s="35" t="n"/>
      <c r="AU352" s="35" t="n"/>
      <c r="AV352" s="19" t="n"/>
    </row>
    <row r="353" ht="15" customHeight="1" s="251">
      <c r="B353" s="69" t="inlineStr">
        <is>
          <t xml:space="preserve">  Intangible assets (customer relationships, technology, backlog)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253" t="n">
        <v>573.427</v>
      </c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253" t="n">
        <v>0</v>
      </c>
      <c r="AK353" s="44" t="n"/>
      <c r="AL353" s="44" t="n"/>
      <c r="AM353" s="44" t="n"/>
      <c r="AN353" s="253" t="n">
        <v>35.7</v>
      </c>
      <c r="AO353" s="153" t="n"/>
      <c r="AP353" s="35" t="n"/>
      <c r="AQ353" s="35" t="n"/>
      <c r="AR353" s="35" t="n"/>
      <c r="AS353" s="35" t="n"/>
      <c r="AT353" s="35" t="n"/>
      <c r="AU353" s="35" t="n"/>
      <c r="AV353" s="19" t="n"/>
    </row>
    <row r="354" ht="15" customHeight="1" s="251">
      <c r="B354" s="69" t="inlineStr">
        <is>
          <t xml:space="preserve">  Goodwill</t>
        </is>
      </c>
      <c r="C354" s="44" t="n"/>
      <c r="D354" s="44" t="n"/>
      <c r="E354" s="44" t="n"/>
      <c r="F354" s="44" t="n"/>
      <c r="G354" s="44" t="n"/>
      <c r="H354" s="44" t="n"/>
      <c r="I354" s="44" t="n"/>
      <c r="J354" s="253" t="n">
        <v>257.447</v>
      </c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  <c r="AC354" s="44" t="n"/>
      <c r="AD354" s="44" t="n"/>
      <c r="AE354" s="44" t="n"/>
      <c r="AF354" s="44" t="n"/>
      <c r="AG354" s="44" t="n"/>
      <c r="AH354" s="44" t="n"/>
      <c r="AI354" s="44" t="n"/>
      <c r="AJ354" s="253" t="n">
        <v>17.462</v>
      </c>
      <c r="AK354" s="44" t="n"/>
      <c r="AL354" s="44" t="n"/>
      <c r="AM354" s="44" t="n"/>
      <c r="AN354" s="253" t="n">
        <v>69.31399999999999</v>
      </c>
      <c r="AO354" s="153" t="n"/>
      <c r="AP354" s="35" t="n"/>
      <c r="AQ354" s="35" t="n"/>
      <c r="AR354" s="35" t="n"/>
      <c r="AS354" s="35" t="n"/>
      <c r="AT354" s="35" t="n"/>
      <c r="AU354" s="35" t="n"/>
      <c r="AV354" s="19" t="n"/>
    </row>
    <row r="355" ht="15" customHeight="1" s="251">
      <c r="B355" s="69" t="inlineStr">
        <is>
          <t xml:space="preserve">  Other noncurrent assets</t>
        </is>
      </c>
      <c r="C355" s="44" t="n"/>
      <c r="D355" s="44" t="n"/>
      <c r="E355" s="44" t="n"/>
      <c r="F355" s="44" t="n"/>
      <c r="G355" s="44" t="n"/>
      <c r="H355" s="44" t="n"/>
      <c r="I355" s="44" t="n"/>
      <c r="J355" s="253" t="n">
        <v>0</v>
      </c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B355" s="44" t="n"/>
      <c r="AC355" s="44" t="n"/>
      <c r="AD355" s="44" t="n"/>
      <c r="AE355" s="44" t="n"/>
      <c r="AF355" s="44" t="n"/>
      <c r="AG355" s="44" t="n"/>
      <c r="AH355" s="44" t="n"/>
      <c r="AI355" s="44" t="n"/>
      <c r="AJ355" s="253" t="n">
        <v>4.527</v>
      </c>
      <c r="AK355" s="44" t="n"/>
      <c r="AL355" s="44" t="n"/>
      <c r="AM355" s="44" t="n"/>
      <c r="AN355" s="253" t="n">
        <v>0.144</v>
      </c>
      <c r="AO355" s="153" t="n"/>
      <c r="AP355" s="35" t="n"/>
      <c r="AQ355" s="35" t="n"/>
      <c r="AR355" s="35" t="n"/>
      <c r="AS355" s="35" t="n"/>
      <c r="AT355" s="35" t="n"/>
      <c r="AU355" s="35" t="n"/>
      <c r="AV355" s="19" t="n"/>
    </row>
    <row r="356" ht="15" customHeight="1" s="251">
      <c r="B356" s="69" t="inlineStr">
        <is>
          <t xml:space="preserve">  Current liabilities assumed</t>
        </is>
      </c>
      <c r="C356" s="44" t="n"/>
      <c r="D356" s="44" t="n"/>
      <c r="E356" s="44" t="n"/>
      <c r="F356" s="44" t="n"/>
      <c r="G356" s="44" t="n"/>
      <c r="H356" s="44" t="n"/>
      <c r="I356" s="44" t="n"/>
      <c r="J356" s="253" t="n">
        <v>41.997</v>
      </c>
      <c r="K356" s="44" t="n"/>
      <c r="L356" s="44" t="n"/>
      <c r="M356" s="44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  <c r="AC356" s="44" t="n"/>
      <c r="AD356" s="44" t="n"/>
      <c r="AE356" s="44" t="n"/>
      <c r="AF356" s="44" t="n"/>
      <c r="AG356" s="44" t="n"/>
      <c r="AH356" s="44" t="n"/>
      <c r="AI356" s="44" t="n"/>
      <c r="AJ356" s="253" t="n">
        <v>5.224</v>
      </c>
      <c r="AK356" s="44" t="n"/>
      <c r="AL356" s="44" t="n"/>
      <c r="AM356" s="44" t="n"/>
      <c r="AN356" s="253" t="n">
        <v>0.918</v>
      </c>
      <c r="AO356" s="153" t="n"/>
      <c r="AP356" s="35" t="n"/>
      <c r="AQ356" s="35" t="n"/>
      <c r="AR356" s="35" t="n"/>
      <c r="AS356" s="35" t="n"/>
      <c r="AT356" s="35" t="n"/>
      <c r="AU356" s="35" t="n"/>
      <c r="AV356" s="19" t="n"/>
    </row>
    <row r="357" ht="15" customHeight="1" s="251">
      <c r="B357" s="69" t="inlineStr">
        <is>
          <t xml:space="preserve">  Debt assumed</t>
        </is>
      </c>
      <c r="C357" s="44" t="n"/>
      <c r="D357" s="44" t="n"/>
      <c r="E357" s="44" t="n"/>
      <c r="F357" s="44" t="n"/>
      <c r="G357" s="44" t="n"/>
      <c r="H357" s="44" t="n"/>
      <c r="I357" s="44" t="n"/>
      <c r="J357" s="253" t="n">
        <v>0</v>
      </c>
      <c r="K357" s="44" t="n"/>
      <c r="L357" s="44" t="n"/>
      <c r="M357" s="44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  <c r="Z357" s="44" t="n"/>
      <c r="AA357" s="44" t="n"/>
      <c r="AB357" s="44" t="n"/>
      <c r="AC357" s="44" t="n"/>
      <c r="AD357" s="44" t="n"/>
      <c r="AE357" s="44" t="n"/>
      <c r="AF357" s="44" t="n"/>
      <c r="AG357" s="44" t="n"/>
      <c r="AH357" s="44" t="n"/>
      <c r="AI357" s="44" t="n"/>
      <c r="AJ357" s="253" t="n">
        <v>0</v>
      </c>
      <c r="AK357" s="44" t="n"/>
      <c r="AL357" s="44" t="n"/>
      <c r="AM357" s="44" t="n"/>
      <c r="AN357" s="253" t="n">
        <v>0</v>
      </c>
      <c r="AO357" s="153" t="n"/>
      <c r="AP357" s="35" t="n"/>
      <c r="AQ357" s="35" t="n"/>
      <c r="AR357" s="35" t="n"/>
      <c r="AS357" s="35" t="n"/>
      <c r="AT357" s="35" t="n"/>
      <c r="AU357" s="35" t="n"/>
      <c r="AV357" s="19" t="n"/>
    </row>
    <row r="358" ht="15" customHeight="1" s="251">
      <c r="B358" s="69" t="inlineStr">
        <is>
          <t xml:space="preserve">  Noncurrent liabilities assumed (deferred taxes, pensions, other)</t>
        </is>
      </c>
      <c r="C358" s="44" t="n"/>
      <c r="D358" s="44" t="n"/>
      <c r="E358" s="44" t="n"/>
      <c r="F358" s="44" t="n"/>
      <c r="G358" s="44" t="n"/>
      <c r="H358" s="44" t="n"/>
      <c r="I358" s="44" t="n"/>
      <c r="J358" s="253" t="n">
        <v>207.849</v>
      </c>
      <c r="K358" s="44" t="n"/>
      <c r="L358" s="44" t="n"/>
      <c r="M358" s="44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  <c r="AC358" s="44" t="n"/>
      <c r="AD358" s="44" t="n"/>
      <c r="AE358" s="44" t="n"/>
      <c r="AF358" s="44" t="n"/>
      <c r="AG358" s="44" t="n"/>
      <c r="AH358" s="44" t="n"/>
      <c r="AI358" s="44" t="n"/>
      <c r="AJ358" s="253" t="n">
        <v>4.485</v>
      </c>
      <c r="AK358" s="44" t="n"/>
      <c r="AL358" s="44" t="n"/>
      <c r="AM358" s="44" t="n"/>
      <c r="AN358" s="253" t="n">
        <v>11.22</v>
      </c>
      <c r="AO358" s="153" t="n"/>
      <c r="AP358" s="35" t="n"/>
      <c r="AQ358" s="35" t="n"/>
      <c r="AR358" s="35" t="n"/>
      <c r="AS358" s="35" t="n"/>
      <c r="AT358" s="35" t="n"/>
      <c r="AU358" s="35" t="n"/>
      <c r="AV358" s="19" t="n"/>
    </row>
    <row r="359" ht="15" customHeight="1" s="251">
      <c r="B359" s="57" t="inlineStr">
        <is>
          <t xml:space="preserve">  Check: assets acquired − liabilities assumed − consideration (should be 0)</t>
        </is>
      </c>
      <c r="C359" s="263">
        <f>IF(ISNUMBER(C350),ROUND(N(C351)+N(C352)+N(C353)+N(C354)+N(C355)-N(C356)-N(C357)-N(C358)-C350,1),"")</f>
      </c>
      <c r="D359" s="263">
        <f>IF(ISNUMBER(D350),ROUND(N(D351)+N(D352)+N(D353)+N(D354)+N(D355)-N(D356)-N(D357)-N(D358)-D350,1),"")</f>
      </c>
      <c r="E359" s="263">
        <f>IF(ISNUMBER(E350),ROUND(N(E351)+N(E352)+N(E353)+N(E354)+N(E355)-N(E356)-N(E357)-N(E358)-E350,1),"")</f>
      </c>
      <c r="F359" s="263">
        <f>IF(ISNUMBER(F350),ROUND(N(F351)+N(F352)+N(F353)+N(F354)+N(F355)-N(F356)-N(F357)-N(F358)-F350,1),"")</f>
      </c>
      <c r="G359" s="263">
        <f>IF(ISNUMBER(G350),ROUND(N(G351)+N(G352)+N(G353)+N(G354)+N(G355)-N(G356)-N(G357)-N(G358)-G350,1),"")</f>
      </c>
      <c r="H359" s="263">
        <f>IF(ISNUMBER(H350),ROUND(N(H351)+N(H352)+N(H353)+N(H354)+N(H355)-N(H356)-N(H357)-N(H358)-H350,1),"")</f>
      </c>
      <c r="I359" s="263">
        <f>IF(ISNUMBER(I350),ROUND(N(I351)+N(I352)+N(I353)+N(I354)+N(I355)-N(I356)-N(I357)-N(I358)-I350,1),"")</f>
      </c>
      <c r="J359" s="263">
        <f>IF(ISNUMBER(J350),ROUND(N(J351)+N(J352)+N(J353)+N(J354)+N(J355)-N(J356)-N(J357)-N(J358)-J350,1),"")</f>
        <v>0</v>
      </c>
      <c r="K359" s="263">
        <f>IF(ISNUMBER(K350),ROUND(N(K351)+N(K352)+N(K353)+N(K354)+N(K355)-N(K356)-N(K357)-N(K358)-K350,1),"")</f>
      </c>
      <c r="L359" s="263">
        <f>IF(ISNUMBER(L350),ROUND(N(L351)+N(L352)+N(L353)+N(L354)+N(L355)-N(L356)-N(L357)-N(L358)-L350,1),"")</f>
      </c>
      <c r="M359" s="263">
        <f>IF(ISNUMBER(M350),ROUND(N(M351)+N(M352)+N(M353)+N(M354)+N(M355)-N(M356)-N(M357)-N(M358)-M350,1),"")</f>
      </c>
      <c r="N359" s="263">
        <f>IF(ISNUMBER(N350),ROUND(N(N351)+N(N352)+N(N353)+N(N354)+N(N355)-N(N356)-N(N357)-N(N358)-N350,1),"")</f>
      </c>
      <c r="O359" s="263">
        <f>IF(ISNUMBER(O350),ROUND(N(O351)+N(O352)+N(O353)+N(O354)+N(O355)-N(O356)-N(O357)-N(O358)-O350,1),"")</f>
      </c>
      <c r="P359" s="263">
        <f>IF(ISNUMBER(P350),ROUND(N(P351)+N(P352)+N(P353)+N(P354)+N(P355)-N(P356)-N(P357)-N(P358)-P350,1),"")</f>
      </c>
      <c r="Q359" s="263">
        <f>IF(ISNUMBER(Q350),ROUND(N(Q351)+N(Q352)+N(Q353)+N(Q354)+N(Q355)-N(Q356)-N(Q357)-N(Q358)-Q350,1),"")</f>
      </c>
      <c r="R359" s="263">
        <f>IF(ISNUMBER(R350),ROUND(N(R351)+N(R352)+N(R353)+N(R354)+N(R355)-N(R356)-N(R357)-N(R358)-R350,1),"")</f>
      </c>
      <c r="S359" s="263">
        <f>IF(ISNUMBER(S350),ROUND(N(S351)+N(S352)+N(S353)+N(S354)+N(S355)-N(S356)-N(S357)-N(S358)-S350,1),"")</f>
      </c>
      <c r="T359" s="263">
        <f>IF(ISNUMBER(T350),ROUND(N(T351)+N(T352)+N(T353)+N(T354)+N(T355)-N(T356)-N(T357)-N(T358)-T350,1),"")</f>
      </c>
      <c r="U359" s="263">
        <f>IF(ISNUMBER(U350),ROUND(N(U351)+N(U352)+N(U353)+N(U354)+N(U355)-N(U356)-N(U357)-N(U358)-U350,1),"")</f>
      </c>
      <c r="V359" s="263">
        <f>IF(ISNUMBER(V350),ROUND(N(V351)+N(V352)+N(V353)+N(V354)+N(V355)-N(V356)-N(V357)-N(V358)-V350,1),"")</f>
      </c>
      <c r="W359" s="263">
        <f>IF(ISNUMBER(W350),ROUND(N(W351)+N(W352)+N(W353)+N(W354)+N(W355)-N(W356)-N(W357)-N(W358)-W350,1),"")</f>
      </c>
      <c r="X359" s="263">
        <f>IF(ISNUMBER(X350),ROUND(N(X351)+N(X352)+N(X353)+N(X354)+N(X355)-N(X356)-N(X357)-N(X358)-X350,1),"")</f>
      </c>
      <c r="Y359" s="263">
        <f>IF(ISNUMBER(Y350),ROUND(N(Y351)+N(Y352)+N(Y353)+N(Y354)+N(Y355)-N(Y356)-N(Y357)-N(Y358)-Y350,1),"")</f>
      </c>
      <c r="Z359" s="263">
        <f>IF(ISNUMBER(Z350),ROUND(N(Z351)+N(Z352)+N(Z353)+N(Z354)+N(Z355)-N(Z356)-N(Z357)-N(Z358)-Z350,1),"")</f>
      </c>
      <c r="AA359" s="263">
        <f>IF(ISNUMBER(AA350),ROUND(N(AA351)+N(AA352)+N(AA353)+N(AA354)+N(AA355)-N(AA356)-N(AA357)-N(AA358)-AA350,1),"")</f>
      </c>
      <c r="AB359" s="263">
        <f>IF(ISNUMBER(AB350),ROUND(N(AB351)+N(AB352)+N(AB353)+N(AB354)+N(AB355)-N(AB356)-N(AB357)-N(AB358)-AB350,1),"")</f>
      </c>
      <c r="AC359" s="263">
        <f>IF(ISNUMBER(AC350),ROUND(N(AC351)+N(AC352)+N(AC353)+N(AC354)+N(AC355)-N(AC356)-N(AC357)-N(AC358)-AC350,1),"")</f>
      </c>
      <c r="AD359" s="263">
        <f>IF(ISNUMBER(AD350),ROUND(N(AD351)+N(AD352)+N(AD353)+N(AD354)+N(AD355)-N(AD356)-N(AD357)-N(AD358)-AD350,1),"")</f>
      </c>
      <c r="AE359" s="263">
        <f>IF(ISNUMBER(AE350),ROUND(N(AE351)+N(AE352)+N(AE353)+N(AE354)+N(AE355)-N(AE356)-N(AE357)-N(AE358)-AE350,1),"")</f>
      </c>
      <c r="AF359" s="263">
        <f>IF(ISNUMBER(AF350),ROUND(N(AF351)+N(AF352)+N(AF353)+N(AF354)+N(AF355)-N(AF356)-N(AF357)-N(AF358)-AF350,1),"")</f>
      </c>
      <c r="AG359" s="263">
        <f>IF(ISNUMBER(AG350),ROUND(N(AG351)+N(AG352)+N(AG353)+N(AG354)+N(AG355)-N(AG356)-N(AG357)-N(AG358)-AG350,1),"")</f>
      </c>
      <c r="AH359" s="263">
        <f>IF(ISNUMBER(AH350),ROUND(N(AH351)+N(AH352)+N(AH353)+N(AH354)+N(AH355)-N(AH356)-N(AH357)-N(AH358)-AH350,1),"")</f>
      </c>
      <c r="AI359" s="263">
        <f>IF(ISNUMBER(AI350),ROUND(N(AI351)+N(AI352)+N(AI353)+N(AI354)+N(AI355)-N(AI356)-N(AI357)-N(AI358)-AI350,1),"")</f>
      </c>
      <c r="AJ359" s="263">
        <f>IF(ISNUMBER(AJ350),ROUND(N(AJ351)+N(AJ352)+N(AJ353)+N(AJ354)+N(AJ355)-N(AJ356)-N(AJ357)-N(AJ358)-AJ350,1),"")</f>
        <v>0</v>
      </c>
      <c r="AK359" s="263">
        <f>IF(ISNUMBER(AK350),ROUND(N(AK351)+N(AK352)+N(AK353)+N(AK354)+N(AK355)-N(AK356)-N(AK357)-N(AK358)-AK350,1),"")</f>
      </c>
      <c r="AL359" s="263">
        <f>IF(ISNUMBER(AL350),ROUND(N(AL351)+N(AL352)+N(AL353)+N(AL354)+N(AL355)-N(AL356)-N(AL357)-N(AL358)-AL350,1),"")</f>
      </c>
      <c r="AM359" s="263">
        <f>IF(ISNUMBER(AM350),ROUND(N(AM351)+N(AM352)+N(AM353)+N(AM354)+N(AM355)-N(AM356)-N(AM357)-N(AM358)-AM350,1),"")</f>
      </c>
      <c r="AN359" s="263">
        <f>IF(ISNUMBER(AN350),ROUND(N(AN351)+N(AN352)+N(AN353)+N(AN354)+N(AN355)-N(AN356)-N(AN357)-N(AN358)-AN350,1),"")</f>
        <v>0</v>
      </c>
      <c r="AO359" s="153" t="n"/>
      <c r="AP359" s="153" t="n"/>
      <c r="AQ359" s="153" t="n"/>
      <c r="AR359" s="153" t="n"/>
      <c r="AS359" s="153" t="n"/>
      <c r="AT359" s="153" t="n"/>
      <c r="AU359" s="153" t="n"/>
      <c r="AV359" s="153" t="n"/>
    </row>
    <row r="360" ht="15" customHeight="1" s="251">
      <c r="B360" s="158" t="inlineStr">
        <is>
          <t xml:space="preserve">  Deal closed in the period</t>
        </is>
      </c>
      <c r="J360" s="291" t="inlineStr">
        <is>
          <t>L'Orange GmbH and related entities (fuel-injection systems; Industrial) - closed 1-Jun-2018: cash paid $780.4m less acquired cash $9.3m = purchase price $771.1m (preliminary allocation, FY2018 10-K Note 4)</t>
        </is>
      </c>
      <c r="AJ360" s="291" t="inlineStr">
        <is>
          <t>Safran electro-mechanical actuation business - closed 21-Jul-2025 (allocation per the Q3 FY26 10-Q Note 10)</t>
        </is>
      </c>
      <c r="AN360" s="291" t="inlineStr">
        <is>
          <t>Valve Research &amp; Manufacturing - closed 1-Apr-2026 (preliminary allocation, Q3 FY26 10-Q Note 10)</t>
        </is>
      </c>
      <c r="AO360" s="153" t="n"/>
      <c r="AP360" s="153" t="n"/>
      <c r="AQ360" s="153" t="n"/>
      <c r="AR360" s="153" t="n"/>
      <c r="AS360" s="153" t="n"/>
      <c r="AT360" s="153" t="n"/>
      <c r="AU360" s="153" t="n"/>
      <c r="AV360" s="19" t="n"/>
    </row>
    <row r="361" ht="15" customHeight="1" s="251">
      <c r="B361" s="25" t="inlineStr">
        <is>
          <t>Share count &amp; pricing</t>
        </is>
      </c>
      <c r="AV361" s="153" t="n"/>
    </row>
    <row r="362" ht="15" customHeight="1" s="251">
      <c r="B362" s="69" t="inlineStr">
        <is>
          <t xml:space="preserve">  Dilutive securities (m shares; options &amp; RSUs)</t>
        </is>
      </c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  <c r="AC362" s="44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153" t="n"/>
      <c r="AP362" s="35" t="n"/>
      <c r="AQ362" s="272" t="n">
        <v>1.7</v>
      </c>
      <c r="AR362" s="272" t="n">
        <v>1.7</v>
      </c>
      <c r="AS362" s="272" t="n">
        <v>1.7</v>
      </c>
      <c r="AT362" s="272" t="n">
        <v>1.7</v>
      </c>
      <c r="AU362" s="272" t="n">
        <v>1.7</v>
      </c>
      <c r="AV362" s="19" t="n"/>
    </row>
    <row r="363" ht="15" customHeight="1" s="251">
      <c r="B363" s="69" t="inlineStr">
        <is>
          <t xml:space="preserve">  Share-price appreciation % (buyback pricing)</t>
        </is>
      </c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  <c r="AA363" s="44" t="n"/>
      <c r="AB363" s="44" t="n"/>
      <c r="AC363" s="44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153" t="n"/>
      <c r="AP363" s="35" t="n"/>
      <c r="AQ363" s="265" t="n">
        <v>0.08</v>
      </c>
      <c r="AR363" s="265" t="n">
        <v>0.08</v>
      </c>
      <c r="AS363" s="265" t="n">
        <v>0.08</v>
      </c>
      <c r="AT363" s="265" t="n">
        <v>0.08</v>
      </c>
      <c r="AU363" s="265" t="n">
        <v>0.08</v>
      </c>
      <c r="AV363" s="19" t="n"/>
    </row>
    <row r="364" ht="15" customHeight="1" s="251">
      <c r="B364" s="25" t="inlineStr">
        <is>
          <t>Debt schedule (private-placement notes and term loan repaid at maturity; revolver drawn or repaid to a minimum cash balance)</t>
        </is>
      </c>
      <c r="AV364" s="153" t="n"/>
    </row>
    <row r="365" ht="15" customHeight="1" s="251">
      <c r="B365" s="69" t="inlineStr">
        <is>
          <t xml:space="preserve">  Total debt (short-term borrowings + current portion + long-term debt)</t>
        </is>
      </c>
      <c r="C365" s="263">
        <f>IF(ISNUMBER(C324),N(C321)+C324,"")</f>
        <v>425.249</v>
      </c>
      <c r="D365" s="263">
        <f>IF(ISNUMBER(D324),N(D321)+D324,"")</f>
        <v>392.204</v>
      </c>
      <c r="E365" s="263">
        <f>IF(ISNUMBER(E324),N(E321)+E324,"")</f>
        <v>550</v>
      </c>
      <c r="F365" s="263">
        <f>IF(ISNUMBER(F324),N(F321)+F324,"")</f>
        <v>710</v>
      </c>
      <c r="G365" s="263">
        <f>IF(ISNUMBER(G324),N(G321)+G324,"")</f>
        <v>852.43</v>
      </c>
      <c r="H365" s="263">
        <f>IF(ISNUMBER(H324),N(H321)+H324,"")</f>
        <v>727.153</v>
      </c>
      <c r="I365" s="263">
        <f>IF(ISNUMBER(I324),N(I321)+I324,"")</f>
        <v>612.886</v>
      </c>
      <c r="J365" s="263">
        <f>IF(ISNUMBER(J324),N(J321)+J324,"")</f>
        <v>1246.032</v>
      </c>
      <c r="K365" s="263">
        <f>IF(ISNUMBER(K324),N(K321)+K324,"")</f>
        <v>1084.899</v>
      </c>
      <c r="L365" s="263">
        <f>IF(ISNUMBER(L324),N(L321)+L324,"")</f>
        <v>838.483</v>
      </c>
      <c r="M365" s="263">
        <f>IF(ISNUMBER(M324),N(M321)+M324,"")</f>
        <v>747.087</v>
      </c>
      <c r="N365" s="263">
        <f>IF(ISNUMBER(N324),N(N321)+N324,"")</f>
        <v>737.493</v>
      </c>
      <c r="O365" s="263">
        <f>IF(ISNUMBER(O324),N(O321)+O324,"")</f>
        <v>740.112</v>
      </c>
      <c r="P365" s="263">
        <f>IF(ISNUMBER(P324),N(P321)+P324,"")</f>
        <v>734.85</v>
      </c>
      <c r="Q365" s="263">
        <f>IF(ISNUMBER(Q324),N(Q321)+Q324,"")</f>
        <v>734.85</v>
      </c>
      <c r="R365" s="263">
        <f>IF(ISNUMBER(R324),N(R321)+R324,"")</f>
        <v>730.25</v>
      </c>
      <c r="S365" s="263">
        <f>IF(ISNUMBER(S324),N(S321)+S324,"")</f>
        <v>728.706</v>
      </c>
      <c r="T365" s="263">
        <f>IF(ISNUMBER(T324),N(T321)+T324,"")</f>
        <v>766.402</v>
      </c>
      <c r="U365" s="263">
        <f>IF(ISNUMBER(U324),N(U321)+U324,"")</f>
        <v>709.76</v>
      </c>
      <c r="V365" s="263">
        <f>IF(ISNUMBER(V324),N(V321)+V324,"")</f>
        <v>709.76</v>
      </c>
      <c r="W365" s="263">
        <f>IF(ISNUMBER(W324),N(W321)+W324,"")</f>
        <v>834.42</v>
      </c>
      <c r="X365" s="263">
        <f>IF(ISNUMBER(X324),N(X321)+X324,"")</f>
        <v>858.597</v>
      </c>
      <c r="Y365" s="263">
        <f>IF(ISNUMBER(Y324),N(Y321)+Y324,"")</f>
        <v>750.857</v>
      </c>
      <c r="Z365" s="263">
        <f>IF(ISNUMBER(Z324),N(Z321)+Z324,"")</f>
        <v>645.709</v>
      </c>
      <c r="AA365" s="263">
        <f>IF(ISNUMBER(AA324),N(AA321)+AA324,"")</f>
        <v>645.709</v>
      </c>
      <c r="AB365" s="263">
        <f>IF(ISNUMBER(AB324),N(AB321)+AB324,"")</f>
        <v>718.874</v>
      </c>
      <c r="AC365" s="263">
        <f>IF(ISNUMBER(AC324),N(AC321)+AC324,"")</f>
        <v>791.038</v>
      </c>
      <c r="AD365" s="263">
        <f>IF(ISNUMBER(AD324),N(AD321)+AD324,"")</f>
        <v>923.126</v>
      </c>
      <c r="AE365" s="263">
        <f>IF(ISNUMBER(AE324),N(AE321)+AE324,"")</f>
        <v>569.751</v>
      </c>
      <c r="AF365" s="263">
        <f>IF(ISNUMBER(AF324),N(AF321)+AF324,"")</f>
        <v>569.751</v>
      </c>
      <c r="AG365" s="263">
        <f>IF(ISNUMBER(AG324),N(AG321)+AG324,"")</f>
        <v>902.174</v>
      </c>
      <c r="AH365" s="263">
        <f>IF(ISNUMBER(AH324),N(AH321)+AH324,"")</f>
        <v>911.91</v>
      </c>
      <c r="AI365" s="263">
        <f>IF(ISNUMBER(AI324),N(AI321)+AI324,"")</f>
        <v>932.871</v>
      </c>
      <c r="AJ365" s="263">
        <f>IF(ISNUMBER(AJ324),N(AJ321)+AJ324,"")</f>
        <v>702.202</v>
      </c>
      <c r="AK365" s="263">
        <f>IF(ISNUMBER(AK324),N(AK321)+AK324,"")</f>
        <v>702.202</v>
      </c>
      <c r="AL365" s="263">
        <f>IF(ISNUMBER(AL324),N(AL321)+AL324,"")</f>
        <v>888.038</v>
      </c>
      <c r="AM365" s="263">
        <f>IF(ISNUMBER(AM324),N(AM321)+AM324,"")</f>
        <v>1123.278</v>
      </c>
      <c r="AN365" s="263">
        <f>IF(ISNUMBER(AN324),N(AN321)+AN324,"")</f>
        <v>1341.935</v>
      </c>
      <c r="AO365" s="153" t="n"/>
      <c r="AP365" s="254">
        <f>AP366+AP372</f>
        <v>1278.8134096297</v>
      </c>
      <c r="AQ365" s="254">
        <f>AQ366+AQ372</f>
        <v>1580.97710741537</v>
      </c>
      <c r="AR365" s="254">
        <f>AR366+AR372</f>
        <v>1723.75461210169</v>
      </c>
      <c r="AS365" s="254">
        <f>AS366+AS372</f>
        <v>1858.45655522614</v>
      </c>
      <c r="AT365" s="254">
        <f>AT366+AT372</f>
        <v>1969.78422258004</v>
      </c>
      <c r="AU365" s="254">
        <f>AU366+AU372</f>
        <v>2078.44603861706</v>
      </c>
      <c r="AV365" s="19" t="inlineStr">
        <is>
          <t>Total debt $1,341.9m: revolver $592.4m (Third A&amp;R credit agreement, $1.0bn, matures 28-May-2031; SOFR + 0.875-1.75%; 4.73% effective), term loan $250.0m (28-May-2026, matures 28-May-2031, SOFR + 0.875-1.75%), private-placement notes ~$497m (Series M 1.12% EUR due Sep-2026; N 1.31% EUR Sep-2028; O 1.57% EUR Sep-2031; Q 4.35% $85m May-2027; R 4.41% $75m May-2029; S 4.46% $75m May-2030; T 4.61% $80m May-2033), finance leases $2.2m.</t>
        </is>
      </c>
    </row>
    <row r="366" ht="15" customHeight="1" s="251">
      <c r="B366" s="69" t="inlineStr">
        <is>
          <t xml:space="preserve">  Senior notes, term loan &amp; finance leases (long-term debt incl. current portion)</t>
        </is>
      </c>
      <c r="C366" s="253" t="n">
        <v>425.249</v>
      </c>
      <c r="D366" s="253" t="n">
        <v>391.875</v>
      </c>
      <c r="E366" s="253" t="n">
        <v>550</v>
      </c>
      <c r="F366" s="253" t="n">
        <v>710</v>
      </c>
      <c r="G366" s="253" t="n">
        <v>850</v>
      </c>
      <c r="H366" s="253" t="n">
        <v>577.153</v>
      </c>
      <c r="I366" s="253" t="n">
        <v>580.2859999999999</v>
      </c>
      <c r="J366" s="253" t="n">
        <v>1092.397</v>
      </c>
      <c r="K366" s="253" t="n">
        <v>864.899</v>
      </c>
      <c r="L366" s="253" t="n">
        <v>838.4829999999999</v>
      </c>
      <c r="M366" s="253" t="n">
        <v>747.087</v>
      </c>
      <c r="N366" s="253" t="n">
        <v>737.4930000000001</v>
      </c>
      <c r="O366" s="253" t="n">
        <v>740.112</v>
      </c>
      <c r="P366" s="253" t="n">
        <v>734.85</v>
      </c>
      <c r="Q366" s="253" t="n">
        <v>734.85</v>
      </c>
      <c r="R366" s="253" t="n">
        <v>730.25</v>
      </c>
      <c r="S366" s="253" t="n">
        <v>728.706</v>
      </c>
      <c r="T366" s="253" t="n">
        <v>717.202</v>
      </c>
      <c r="U366" s="253" t="n">
        <v>709.76</v>
      </c>
      <c r="V366" s="253" t="n">
        <v>709.76</v>
      </c>
      <c r="W366" s="253" t="n">
        <v>725.12</v>
      </c>
      <c r="X366" s="253" t="n">
        <v>728.097</v>
      </c>
      <c r="Y366" s="253" t="n">
        <v>727.357</v>
      </c>
      <c r="Z366" s="253" t="n">
        <v>645.7089999999999</v>
      </c>
      <c r="AA366" s="253" t="n">
        <v>645.7089999999999</v>
      </c>
      <c r="AB366" s="253" t="n">
        <v>653.774</v>
      </c>
      <c r="AC366" s="253" t="n">
        <v>649.7380000000001</v>
      </c>
      <c r="AD366" s="253" t="n">
        <v>648.326</v>
      </c>
      <c r="AE366" s="253" t="n">
        <v>569.751</v>
      </c>
      <c r="AF366" s="253" t="n">
        <v>569.751</v>
      </c>
      <c r="AG366" s="253" t="n">
        <v>644.174</v>
      </c>
      <c r="AH366" s="253" t="n">
        <v>650.8099999999999</v>
      </c>
      <c r="AI366" s="253" t="n">
        <v>579.871</v>
      </c>
      <c r="AJ366" s="253" t="n">
        <v>579.902</v>
      </c>
      <c r="AK366" s="253" t="n">
        <v>579.902</v>
      </c>
      <c r="AL366" s="253" t="n">
        <v>505.038</v>
      </c>
      <c r="AM366" s="253" t="n">
        <v>500.278</v>
      </c>
      <c r="AN366" s="253" t="n">
        <v>749.509</v>
      </c>
      <c r="AO366" s="153" t="n"/>
      <c r="AP366" s="254">
        <f>AN366-AP368+AP367</f>
        <v>1152.606</v>
      </c>
      <c r="AQ366" s="254">
        <f>AP366-AQ368+AQ367</f>
        <v>1152.606</v>
      </c>
      <c r="AR366" s="254">
        <f>AQ366-AR368+AR367</f>
        <v>1152.606</v>
      </c>
      <c r="AS366" s="254">
        <f>AR366-AS368+AS367</f>
        <v>1152.606</v>
      </c>
      <c r="AT366" s="254">
        <f>AS366-AT368+AT367</f>
        <v>1152.606</v>
      </c>
      <c r="AU366" s="254">
        <f>AT366-AU368+AU367</f>
        <v>1152.606</v>
      </c>
      <c r="AV366" s="19" t="n"/>
    </row>
    <row r="367" ht="15" customHeight="1" s="251">
      <c r="B367" s="69" t="inlineStr">
        <is>
          <t xml:space="preserve">  New notes issued (input)</t>
        </is>
      </c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  <c r="Z367" s="44" t="n"/>
      <c r="AA367" s="44" t="n"/>
      <c r="AB367" s="44" t="n"/>
      <c r="AC367" s="44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153" t="n"/>
      <c r="AP367" s="272" t="n">
        <v>450</v>
      </c>
      <c r="AQ367" s="272" t="n">
        <v>85</v>
      </c>
      <c r="AR367" s="272" t="n">
        <v>90.289</v>
      </c>
      <c r="AS367" s="272" t="n">
        <v>225</v>
      </c>
      <c r="AT367" s="272" t="n">
        <v>225</v>
      </c>
      <c r="AU367" s="272" t="n">
        <v>300.421</v>
      </c>
      <c r="AV367" s="19" t="inlineStr">
        <is>
          <t>Note Purchase Agreement 19-Aug-2026 (8-K 21-Aug-2026): $450m senior unsecured notes closing 30-Sep-2026 - Series U 5.34% $150m due 30-Sep-2029, Series V 5.39% $150m due 30-Sep-2030, Series W 5.64% $150m due 30-Sep-2033. 2027E+: maturities refinanced with new notes (assumption).</t>
        </is>
      </c>
    </row>
    <row r="368" ht="15" customHeight="1" s="251">
      <c r="B368" s="69" t="inlineStr">
        <is>
          <t xml:space="preserve">  Notes / term loan repaid at maturity (input)</t>
        </is>
      </c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  <c r="AC368" s="44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153" t="n"/>
      <c r="AP368" s="272" t="n">
        <v>46.903</v>
      </c>
      <c r="AQ368" s="272" t="n">
        <v>85</v>
      </c>
      <c r="AR368" s="272" t="n">
        <v>90.289</v>
      </c>
      <c r="AS368" s="272" t="n">
        <v>225</v>
      </c>
      <c r="AT368" s="272" t="n">
        <v>225</v>
      </c>
      <c r="AU368" s="272" t="n">
        <v>300.421</v>
      </c>
      <c r="AV368" s="19" t="inlineStr">
        <is>
          <t>Sep-2026 Series M (EUR; $46.9m at 30-Sep-25 FX); May-2027 Series Q $85m; Sep-2028 Series N (EUR; $90.3m); FY2029 Series R $75m + U $150m; FY2030 S $75m + V $150m; FY2031 term loan $250m (May-2031) + Series O (EUR; $50.4m). EUR notes at 30-Sep-2025 FX (assumption). 2027E+ maturities assumed refinanced with new notes (input row above).</t>
        </is>
      </c>
    </row>
    <row r="369" ht="15" customHeight="1" s="251">
      <c r="B369" s="69" t="inlineStr">
        <is>
          <t xml:space="preserve">  Maturities in the following fiscal year (current portion)</t>
        </is>
      </c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  <c r="AA369" s="44" t="n"/>
      <c r="AB369" s="44" t="n"/>
      <c r="AC369" s="44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153" t="n"/>
      <c r="AP369" s="272" t="n">
        <v>85</v>
      </c>
      <c r="AQ369" s="272" t="n">
        <v>90.289</v>
      </c>
      <c r="AR369" s="272" t="n">
        <v>225</v>
      </c>
      <c r="AS369" s="272" t="n">
        <v>225</v>
      </c>
      <c r="AT369" s="272" t="n">
        <v>300.421</v>
      </c>
      <c r="AU369" s="272" t="n">
        <v>0</v>
      </c>
      <c r="AV369" s="19" t="n"/>
    </row>
    <row r="370" ht="15" customHeight="1" s="251">
      <c r="B370" s="69" t="inlineStr">
        <is>
          <t xml:space="preserve">  Cash before revolver draws / repayments (opening cash + CFO + CFI + buybacks, dividends, equity, other financing + FX − notes repaid + issued)</t>
        </is>
      </c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  <c r="AC370" s="44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153" t="n"/>
      <c r="AP370" s="254">
        <f>AN309+(AP266-SUM(AL266:AN266))+(AP271-SUM(AL271:AN271))+(AP272-SUM(AL272:AN272))+(AP273-SUM(AL273:AN273))+(AP274-SUM(AL274:AN274))+(AP276-SUM(AL276:AN276))+(AP278-SUM(AL278:AN278))-AP368+AP367</f>
        <v>766.218590370296</v>
      </c>
      <c r="AQ370" s="254">
        <f>AQ280+AQ266+AQ271+AQ272+AQ273+AQ274+AQ276+AQ278-AQ368+AQ367</f>
        <v>-2.16369778566198</v>
      </c>
      <c r="AR370" s="254">
        <f>AR280+AR266+AR271+AR272+AR273+AR274+AR276+AR278-AR368+AR367</f>
        <v>157.222495313675</v>
      </c>
      <c r="AS370" s="254">
        <f>AS280+AS266+AS271+AS272+AS273+AS274+AS276+AS278-AS368+AS367</f>
        <v>165.298056875552</v>
      </c>
      <c r="AT370" s="254">
        <f>AT280+AT266+AT271+AT272+AT273+AT274+AT276+AT278-AT368+AT367</f>
        <v>188.6723326461</v>
      </c>
      <c r="AU370" s="254">
        <f>AU280+AU266+AU271+AU272+AU273+AU274+AU276+AU278-AU368+AU367</f>
        <v>191.338183962976</v>
      </c>
      <c r="AV370" s="19" t="n"/>
    </row>
    <row r="371" ht="15" customHeight="1" s="251">
      <c r="B371" s="69" t="inlineStr">
        <is>
          <t xml:space="preserve">  Minimum cash balance</t>
        </is>
      </c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B371" s="44" t="n"/>
      <c r="AC371" s="44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153" t="n"/>
      <c r="AP371" s="272" t="n">
        <v>300</v>
      </c>
      <c r="AQ371" s="272" t="n">
        <v>300</v>
      </c>
      <c r="AR371" s="272" t="n">
        <v>300</v>
      </c>
      <c r="AS371" s="272" t="n">
        <v>300</v>
      </c>
      <c r="AT371" s="272" t="n">
        <v>300</v>
      </c>
      <c r="AU371" s="272" t="n">
        <v>300</v>
      </c>
      <c r="AV371" s="19" t="n"/>
    </row>
    <row r="372" ht="15" customHeight="1" s="251">
      <c r="B372" s="69" t="inlineStr">
        <is>
          <t xml:space="preserve">  Revolving credit facility / short-term borrowings (year end)</t>
        </is>
      </c>
      <c r="C372" s="253" t="n">
        <v>0</v>
      </c>
      <c r="D372" s="253" t="n">
        <v>0.329</v>
      </c>
      <c r="E372" s="253" t="n">
        <v>0</v>
      </c>
      <c r="F372" s="253" t="n">
        <v>0</v>
      </c>
      <c r="G372" s="253" t="n">
        <v>2.43</v>
      </c>
      <c r="H372" s="253" t="n">
        <v>150</v>
      </c>
      <c r="I372" s="253" t="n">
        <v>32.6</v>
      </c>
      <c r="J372" s="253" t="n">
        <v>153.635</v>
      </c>
      <c r="K372" s="253" t="n">
        <v>220</v>
      </c>
      <c r="L372" s="253" t="n">
        <v>0</v>
      </c>
      <c r="M372" s="253" t="n">
        <v>0</v>
      </c>
      <c r="N372" s="253" t="n">
        <v>0</v>
      </c>
      <c r="O372" s="253" t="n">
        <v>0</v>
      </c>
      <c r="P372" s="253" t="n">
        <v>0</v>
      </c>
      <c r="Q372" s="253" t="n">
        <v>0</v>
      </c>
      <c r="R372" s="253" t="n">
        <v>0</v>
      </c>
      <c r="S372" s="253" t="n">
        <v>0</v>
      </c>
      <c r="T372" s="253" t="n">
        <v>49.2</v>
      </c>
      <c r="U372" s="253" t="n">
        <v>0</v>
      </c>
      <c r="V372" s="253" t="n">
        <v>0</v>
      </c>
      <c r="W372" s="253" t="n">
        <v>109.3</v>
      </c>
      <c r="X372" s="253" t="n">
        <v>130.5</v>
      </c>
      <c r="Y372" s="253" t="n">
        <v>23.5</v>
      </c>
      <c r="Z372" s="253" t="n">
        <v>0</v>
      </c>
      <c r="AA372" s="253" t="n">
        <v>0</v>
      </c>
      <c r="AB372" s="253" t="n">
        <v>65.09999999999999</v>
      </c>
      <c r="AC372" s="253" t="n">
        <v>141.3</v>
      </c>
      <c r="AD372" s="253" t="n">
        <v>274.8</v>
      </c>
      <c r="AE372" s="253" t="n">
        <v>0</v>
      </c>
      <c r="AF372" s="253" t="n">
        <v>0</v>
      </c>
      <c r="AG372" s="253" t="n">
        <v>258</v>
      </c>
      <c r="AH372" s="253" t="n">
        <v>261.1</v>
      </c>
      <c r="AI372" s="253" t="n">
        <v>353</v>
      </c>
      <c r="AJ372" s="253" t="n">
        <v>122.3</v>
      </c>
      <c r="AK372" s="253" t="n">
        <v>122.3</v>
      </c>
      <c r="AL372" s="253" t="n">
        <v>383</v>
      </c>
      <c r="AM372" s="253" t="n">
        <v>623</v>
      </c>
      <c r="AN372" s="253" t="n">
        <v>592.426</v>
      </c>
      <c r="AO372" s="153" t="n"/>
      <c r="AP372" s="254">
        <f>MAX(0,AN372+AP371-AP370)</f>
        <v>126.207409629704</v>
      </c>
      <c r="AQ372" s="254">
        <f>MAX(0,AP372+AQ371-AQ370)</f>
        <v>428.371107415366</v>
      </c>
      <c r="AR372" s="254">
        <f>MAX(0,AQ372+AR371-AR370)</f>
        <v>571.14861210169</v>
      </c>
      <c r="AS372" s="254">
        <f>MAX(0,AR372+AS371-AS370)</f>
        <v>705.850555226138</v>
      </c>
      <c r="AT372" s="254">
        <f>MAX(0,AS372+AT371-AT370)</f>
        <v>817.178222580038</v>
      </c>
      <c r="AU372" s="254">
        <f>MAX(0,AT372+AU371-AU370)</f>
        <v>925.840038617062</v>
      </c>
      <c r="AV372" s="19" t="inlineStr">
        <is>
          <t>$1.0bn revolver (Third A&amp;R agreement, 28-May-2026, matures May-2031; $592.4m drawn at 30-Jun-2026). Shortfalls below the minimum cash balance are drawn; surplus repays the revolver.</t>
        </is>
      </c>
    </row>
    <row r="373" ht="15" customHeight="1" s="251">
      <c r="B373" s="156" t="inlineStr">
        <is>
          <t xml:space="preserve">  Memo: revolver headroom vs the $1.0bn commitment (negative = would need other financing)</t>
        </is>
      </c>
      <c r="C373" s="44" t="n"/>
      <c r="D373" s="44" t="n"/>
      <c r="E373" s="44" t="n"/>
      <c r="F373" s="44" t="n"/>
      <c r="G373" s="44" t="n"/>
      <c r="H373" s="44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  <c r="Z373" s="44" t="n"/>
      <c r="AA373" s="44" t="n"/>
      <c r="AB373" s="44" t="n"/>
      <c r="AC373" s="44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35" t="n"/>
      <c r="AP373" s="254">
        <f>1000-AP372</f>
        <v>873.792590370296</v>
      </c>
      <c r="AQ373" s="254">
        <f>1000-AQ372</f>
        <v>571.628892584634</v>
      </c>
      <c r="AR373" s="254">
        <f>1000-AR372</f>
        <v>428.85138789831</v>
      </c>
      <c r="AS373" s="254">
        <f>1000-AS372</f>
        <v>294.149444773862</v>
      </c>
      <c r="AT373" s="254">
        <f>1000-AT372</f>
        <v>182.821777419962</v>
      </c>
      <c r="AU373" s="254">
        <f>1000-AU372</f>
        <v>74.159961382938</v>
      </c>
      <c r="AV373" s="153" t="n"/>
    </row>
    <row r="374" ht="15" customHeight="1" s="251">
      <c r="B374" s="69" t="inlineStr">
        <is>
          <t xml:space="preserve">  Net issuance / (repayment)</t>
        </is>
      </c>
      <c r="C374" s="44" t="n"/>
      <c r="D374" s="44" t="n"/>
      <c r="E374" s="44" t="n"/>
      <c r="F374" s="44" t="n"/>
      <c r="G374" s="44" t="n"/>
      <c r="H374" s="44" t="n"/>
      <c r="I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  <c r="Z374" s="44" t="n"/>
      <c r="AA374" s="44" t="n"/>
      <c r="AB374" s="44" t="n"/>
      <c r="AC374" s="44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153" t="n"/>
      <c r="AP374" s="254">
        <f>IFERROR(AP365-AK365,"")</f>
        <v>576.611409629704</v>
      </c>
      <c r="AQ374" s="254">
        <f>IFERROR(AQ365-AP365,"")</f>
        <v>302.163697785662</v>
      </c>
      <c r="AR374" s="254">
        <f>IFERROR(AR365-AQ365,"")</f>
        <v>142.777504686325</v>
      </c>
      <c r="AS374" s="254">
        <f>IFERROR(AS365-AR365,"")</f>
        <v>134.701943124448</v>
      </c>
      <c r="AT374" s="254">
        <f>IFERROR(AT365-AS365,"")</f>
        <v>111.3276673539</v>
      </c>
      <c r="AU374" s="254">
        <f>IFERROR(AU365-AT365,"")</f>
        <v>108.661816037024</v>
      </c>
      <c r="AV374" s="19" t="n"/>
    </row>
    <row r="375" ht="15" customHeight="1" s="251">
      <c r="B375" s="69" t="inlineStr">
        <is>
          <t xml:space="preserve">  Interest rate on opening notes &amp; term loan %</t>
        </is>
      </c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  <c r="AA375" s="44" t="n"/>
      <c r="AB375" s="44" t="n"/>
      <c r="AC375" s="44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153" t="n"/>
      <c r="AP375" s="35" t="n"/>
      <c r="AQ375" s="265" t="n">
        <v>0.046</v>
      </c>
      <c r="AR375" s="265" t="n">
        <v>0.046</v>
      </c>
      <c r="AS375" s="265" t="n">
        <v>0.047</v>
      </c>
      <c r="AT375" s="265" t="n">
        <v>0.048</v>
      </c>
      <c r="AU375" s="265" t="n">
        <v>0.049</v>
      </c>
      <c r="AV375" s="19" t="inlineStr">
        <is>
          <t>Weighted coupon ~4.6% after the $450m U/V/W issue (5.34–5.64%), term loan (SOFR + 0.875–1.75%), USD notes 4.35–4.61% and EUR notes 1.31–1.57%; drifting up as low-coupon EUR notes mature.</t>
        </is>
      </c>
    </row>
    <row r="376" ht="15" customHeight="1" s="251">
      <c r="B376" s="69" t="inlineStr">
        <is>
          <t xml:space="preserve">  Interest rate on opening revolver %</t>
        </is>
      </c>
      <c r="C376" s="44" t="n"/>
      <c r="D376" s="44" t="n"/>
      <c r="E376" s="44" t="n"/>
      <c r="F376" s="44" t="n"/>
      <c r="G376" s="44" t="n"/>
      <c r="H376" s="44" t="n"/>
      <c r="I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  <c r="AA376" s="44" t="n"/>
      <c r="AB376" s="44" t="n"/>
      <c r="AC376" s="44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153" t="n"/>
      <c r="AP376" s="35" t="n"/>
      <c r="AQ376" s="265" t="n">
        <v>0.047</v>
      </c>
      <c r="AR376" s="265" t="n">
        <v>0.047</v>
      </c>
      <c r="AS376" s="265" t="n">
        <v>0.047</v>
      </c>
      <c r="AT376" s="265" t="n">
        <v>0.047</v>
      </c>
      <c r="AU376" s="265" t="n">
        <v>0.047</v>
      </c>
      <c r="AV376" s="19" t="inlineStr">
        <is>
          <t>30-Jun-2026 effective rate 4.73% (SOFR + 0.875–1.75%).</t>
        </is>
      </c>
    </row>
    <row r="377" ht="15" customHeight="1" s="251">
      <c r="B377" s="69" t="inlineStr">
        <is>
          <t xml:space="preserve">  Commitment fees, finance-lease interest &amp; financing-cost amortization ($m)</t>
        </is>
      </c>
      <c r="C377" s="44" t="n"/>
      <c r="D377" s="44" t="n"/>
      <c r="E377" s="44" t="n"/>
      <c r="F377" s="44" t="n"/>
      <c r="G377" s="44" t="n"/>
      <c r="H377" s="44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  <c r="Z377" s="44" t="n"/>
      <c r="AA377" s="44" t="n"/>
      <c r="AB377" s="44" t="n"/>
      <c r="AC377" s="44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153" t="n"/>
      <c r="AP377" s="35" t="n"/>
      <c r="AQ377" s="272" t="n">
        <v>3</v>
      </c>
      <c r="AR377" s="272" t="n">
        <v>3</v>
      </c>
      <c r="AS377" s="272" t="n">
        <v>3</v>
      </c>
      <c r="AT377" s="272" t="n">
        <v>3</v>
      </c>
      <c r="AU377" s="272" t="n">
        <v>3</v>
      </c>
      <c r="AV377" s="19" t="n"/>
    </row>
    <row r="378" ht="15" customHeight="1" s="251">
      <c r="B378" s="69" t="inlineStr">
        <is>
          <t xml:space="preserve">  Interest income yield on opening cash %</t>
        </is>
      </c>
      <c r="C378" s="44" t="n"/>
      <c r="D378" s="44" t="n"/>
      <c r="E378" s="44" t="n"/>
      <c r="F378" s="44" t="n"/>
      <c r="G378" s="44" t="n"/>
      <c r="H378" s="44" t="n"/>
      <c r="I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  <c r="Z378" s="44" t="n"/>
      <c r="AA378" s="44" t="n"/>
      <c r="AB378" s="44" t="n"/>
      <c r="AC378" s="44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153" t="n"/>
      <c r="AP378" s="35" t="n"/>
      <c r="AQ378" s="265" t="n">
        <v>0.006</v>
      </c>
      <c r="AR378" s="265" t="n">
        <v>0.006</v>
      </c>
      <c r="AS378" s="265" t="n">
        <v>0.006</v>
      </c>
      <c r="AT378" s="265" t="n">
        <v>0.006</v>
      </c>
      <c r="AU378" s="265" t="n">
        <v>0.006</v>
      </c>
      <c r="AV378" s="19" t="inlineStr">
        <is>
          <t>9M FY26 interest income $2.0m on ~$400m average cash (~0.7% annualised).</t>
        </is>
      </c>
    </row>
    <row r="379" ht="15" customHeight="1" s="251">
      <c r="B379" s="25" t="inlineStr">
        <is>
          <t>Leverage-targeted buybacks (repurchases plug to a target net debt / adjusted EBITDA, 2027E+)</t>
        </is>
      </c>
      <c r="AV379" s="153" t="n"/>
    </row>
    <row r="380" ht="15" customHeight="1" s="251">
      <c r="B380" s="69" t="inlineStr">
        <is>
          <t xml:space="preserve">  Target net debt / adjusted EBITDA (x) (scenario)</t>
        </is>
      </c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  <c r="AA380" s="44" t="n"/>
      <c r="AB380" s="44" t="n"/>
      <c r="AC380" s="44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153" t="n"/>
      <c r="AP380" s="35" t="n"/>
      <c r="AQ380" s="292">
        <f>CHOOSE(MATCH($AV$2,{"Bull","Base","Bear"},0),$BE$31,$BF$31,$BG$31)</f>
        <v>1.25</v>
      </c>
      <c r="AR380" s="292">
        <f>CHOOSE(MATCH($AV$2,{"Bull","Base","Bear"},0),$BE$31,$BF$31,$BG$31)</f>
        <v>1.25</v>
      </c>
      <c r="AS380" s="292">
        <f>CHOOSE(MATCH($AV$2,{"Bull","Base","Bear"},0),$BE$31,$BF$31,$BG$31)</f>
        <v>1.25</v>
      </c>
      <c r="AT380" s="292">
        <f>CHOOSE(MATCH($AV$2,{"Bull","Base","Bear"},0),$BE$31,$BF$31,$BG$31)</f>
        <v>1.25</v>
      </c>
      <c r="AU380" s="292">
        <f>CHOOSE(MATCH($AV$2,{"Bull","Base","Bear"},0),$BE$31,$BF$31,$BG$31)</f>
        <v>1.25</v>
      </c>
      <c r="AV380" s="19" t="inlineStr">
        <is>
          <t>Net debt $867m at 30-Jun-26 ≈ 1.0x adjusted EBITDA (FY2021–25 0.5–1.1x); company "EBITDA leverage" (total debt / TTM EBITDA) 1.6x. Target = leverage up to which surplus cash is returned via buybacks ($1.8bn three-year authorization to Nov-2028); below it free cash flow repays the revolver. Bull = more buybacks (higher target).</t>
        </is>
      </c>
    </row>
    <row r="381" ht="15" customHeight="1" s="251">
      <c r="B381" s="69" t="inlineStr">
        <is>
          <t xml:space="preserve">  Net debt before buybacks (year end)</t>
        </is>
      </c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  <c r="AA381" s="44" t="n"/>
      <c r="AB381" s="44" t="n"/>
      <c r="AC381" s="44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153" t="n"/>
      <c r="AP381" s="35" t="n"/>
      <c r="AQ381" s="254">
        <f>AP365-AP281-AQ266-AQ271-AQ273-AQ274-AQ276-AQ278</f>
        <v>498.365931282073</v>
      </c>
      <c r="AR381" s="254">
        <f>AQ365-AQ281-AR266-AR271-AR273-AR274-AR276-AR278</f>
        <v>800.473094300886</v>
      </c>
      <c r="AS381" s="254">
        <f>AR365-AR281-AS266-AS271-AS273-AS274-AS276-AS278</f>
        <v>843.562581646683</v>
      </c>
      <c r="AT381" s="254">
        <f>AS365-AS281-AT266-AT271-AT273-AT274-AT276-AT278</f>
        <v>909.106691251389</v>
      </c>
      <c r="AU381" s="254">
        <f>AT365-AT281-AU266-AU271-AU273-AU274-AU276-AU278</f>
        <v>969.436398337367</v>
      </c>
      <c r="AV381" s="19" t="n"/>
    </row>
    <row r="382" ht="15" customHeight="1" s="251">
      <c r="B382" s="69" t="inlineStr">
        <is>
          <t xml:space="preserve">  Target net debt = target leverage × adjusted EBITDA</t>
        </is>
      </c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  <c r="AA382" s="44" t="n"/>
      <c r="AB382" s="44" t="n"/>
      <c r="AC382" s="44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153" t="n"/>
      <c r="AP382" s="35" t="n"/>
      <c r="AQ382" s="254">
        <f>AQ380*AQ214</f>
        <v>1280.97710741537</v>
      </c>
      <c r="AR382" s="254">
        <f>AR380*AR214</f>
        <v>1423.75461210169</v>
      </c>
      <c r="AS382" s="254">
        <f>AS380*AS214</f>
        <v>1558.45655522614</v>
      </c>
      <c r="AT382" s="254">
        <f>AT380*AT214</f>
        <v>1669.78422258004</v>
      </c>
      <c r="AU382" s="254">
        <f>AU380*AU214</f>
        <v>1778.44603861706</v>
      </c>
      <c r="AV382" s="19" t="n"/>
    </row>
    <row r="383" ht="15" customHeight="1" s="251">
      <c r="B383" s="69" t="inlineStr">
        <is>
          <t xml:space="preserve">  Share repurchases: plug to target leverage</t>
        </is>
      </c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  <c r="AA383" s="44" t="n"/>
      <c r="AB383" s="44" t="n"/>
      <c r="AC383" s="44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153" t="n"/>
      <c r="AP383" s="35" t="n"/>
      <c r="AQ383" s="254">
        <f>MAX(0,AQ382-AQ381)</f>
        <v>782.611176133293</v>
      </c>
      <c r="AR383" s="254">
        <f>MAX(0,AR382-AR381)</f>
        <v>623.281517800804</v>
      </c>
      <c r="AS383" s="254">
        <f>MAX(0,AS382-AS381)</f>
        <v>714.893973579455</v>
      </c>
      <c r="AT383" s="254">
        <f>MAX(0,AT382-AT381)</f>
        <v>760.67753132865</v>
      </c>
      <c r="AU383" s="254">
        <f>MAX(0,AU382-AU381)</f>
        <v>809.009640279696</v>
      </c>
      <c r="AV383" s="19" t="inlineStr">
        <is>
          <t>Surplus cash beyond the leverage target is returned via buybacks; feeds the cash-flow repurchase line.</t>
        </is>
      </c>
    </row>
    <row r="384" ht="15" customHeight="1" s="251">
      <c r="B384" s="25" t="inlineStr">
        <is>
          <t>Historical reference (driver context)</t>
        </is>
      </c>
      <c r="AV384" s="153" t="n"/>
    </row>
    <row r="385" ht="15" customHeight="1" s="251">
      <c r="B385" s="25" t="inlineStr">
        <is>
          <t xml:space="preserve">  Total D&amp;A % of net sales</t>
        </is>
      </c>
      <c r="C385" s="215">
        <f>IF(AND(ISNUMBER(C171),ISNUMBER(C150)),IFERROR(C171/C150,""),"")</f>
        <v>0.0440456341115451</v>
      </c>
      <c r="D385" s="215">
        <f>IF(AND(ISNUMBER(D171),ISNUMBER(D150)),IFERROR(D171/D150,""),"")</f>
        <v>0.0367795920620789</v>
      </c>
      <c r="E385" s="215">
        <f>IF(AND(ISNUMBER(E171),ISNUMBER(E150)),IFERROR(E171/E150,""),"")</f>
        <v>0.038343967073972</v>
      </c>
      <c r="F385" s="215">
        <f>IF(AND(ISNUMBER(F171),ISNUMBER(F150)),IFERROR(F171/F150,""),"")</f>
        <v>0.0386525354280346</v>
      </c>
      <c r="G385" s="215">
        <f>IF(AND(ISNUMBER(G171),ISNUMBER(G150)),IFERROR(G171/G150,""),"")</f>
        <v>0.0369106065192466</v>
      </c>
      <c r="H385" s="215">
        <f>IF(AND(ISNUMBER(H171),ISNUMBER(H150)),IFERROR(H171/H150,""),"")</f>
        <v>0.0341242403901382</v>
      </c>
      <c r="I385" s="215">
        <f>IF(AND(ISNUMBER(I171),ISNUMBER(I150)),IFERROR(I171/I150,""),"")</f>
        <v>0.0385560481920822</v>
      </c>
      <c r="J385" s="215">
        <f>IF(AND(ISNUMBER(J171),ISNUMBER(J150)),IFERROR(J171/J150,""),"")</f>
        <v>0.0499300692686144</v>
      </c>
      <c r="K385" s="215">
        <f>IF(AND(ISNUMBER(K171),ISNUMBER(K150)),IFERROR(K171/K150,""),"")</f>
        <v>0.0489635704057345</v>
      </c>
      <c r="L385" s="215">
        <f>IF(AND(ISNUMBER(L171),ISNUMBER(L150)),IFERROR(L171/L150,""),"")</f>
        <v>0.0525543292068447</v>
      </c>
      <c r="M385" s="215">
        <f>IF(AND(ISNUMBER(M171),ISNUMBER(M150)),IFERROR(M171/M150,""),"")</f>
        <v>0.0615249833060216</v>
      </c>
      <c r="N385" s="215">
        <f>IF(AND(ISNUMBER(N171),ISNUMBER(N150)),IFERROR(N171/N150,""),"")</f>
        <v>0.0558710247866497</v>
      </c>
      <c r="O385" s="215">
        <f>IF(AND(ISNUMBER(O171),ISNUMBER(O150)),IFERROR(O171/O150,""),"")</f>
        <v>0.0579206898100328</v>
      </c>
      <c r="P385" s="215">
        <f>IF(AND(ISNUMBER(P171),ISNUMBER(P150)),IFERROR(P171/P150,""),"")</f>
        <v>0.0556367137423121</v>
      </c>
      <c r="Q385" s="215">
        <f>IF(AND(ISNUMBER(Q171),ISNUMBER(Q150)),IFERROR(Q171/Q150,""),"")</f>
        <v>0.0576730583587731</v>
      </c>
      <c r="R385" s="215">
        <f>IF(AND(ISNUMBER(R171),ISNUMBER(R150)),IFERROR(R171/R150,""),"")</f>
        <v>0.0567241398411333</v>
      </c>
      <c r="S385" s="215">
        <f>IF(AND(ISNUMBER(S171),ISNUMBER(S150)),IFERROR(S171/S150,""),"")</f>
        <v>0.0521608141244873</v>
      </c>
      <c r="T385" s="215">
        <f>IF(AND(ISNUMBER(T171),ISNUMBER(T150)),IFERROR(T171/T150,""),"")</f>
        <v>0.0487147014969105</v>
      </c>
      <c r="U385" s="215">
        <f>IF(AND(ISNUMBER(U171),ISNUMBER(U150)),IFERROR(U171/U150,""),"")</f>
        <v>0.0458882588866512</v>
      </c>
      <c r="V385" s="215">
        <f>IF(AND(ISNUMBER(V171),ISNUMBER(V150)),IFERROR(V171/V150,""),"")</f>
        <v>0.0506246878659051</v>
      </c>
      <c r="W385" s="215">
        <f>IF(AND(ISNUMBER(W171),ISNUMBER(W150)),IFERROR(W171/W150,""),"")</f>
        <v>0.0473700290485743</v>
      </c>
      <c r="X385" s="215">
        <f>IF(AND(ISNUMBER(X171),ISNUMBER(X150)),IFERROR(X171/X150,""),"")</f>
        <v>0.0417048400615972</v>
      </c>
      <c r="Y385" s="215">
        <f>IF(AND(ISNUMBER(Y171),ISNUMBER(Y150)),IFERROR(Y171/Y150,""),"")</f>
        <v>0.0375239020661627</v>
      </c>
      <c r="Z385" s="215">
        <f>IF(AND(ISNUMBER(Z171),ISNUMBER(Z150)),IFERROR(Z171/Z150,""),"")</f>
        <v>0.0391753638668331</v>
      </c>
      <c r="AA385" s="215">
        <f>IF(AND(ISNUMBER(AA171),ISNUMBER(AA150)),IFERROR(AA171/AA150,""),"")</f>
        <v>0.0410843329675842</v>
      </c>
      <c r="AB385" s="215">
        <f>IF(AND(ISNUMBER(AB171),ISNUMBER(AB150)),IFERROR(AB171/AB150,""),"")</f>
        <v>0.0366389994025905</v>
      </c>
      <c r="AC385" s="215">
        <f>IF(AND(ISNUMBER(AC171),ISNUMBER(AC150)),IFERROR(AC171/AC150,""),"")</f>
        <v>0.0349856286579285</v>
      </c>
      <c r="AD385" s="215">
        <f>IF(AND(ISNUMBER(AD171),ISNUMBER(AD150)),IFERROR(AD171/AD150,""),"")</f>
        <v>0.0339653268655449</v>
      </c>
      <c r="AE385" s="215">
        <f>IF(AND(ISNUMBER(AE171),ISNUMBER(AE150)),IFERROR(AE171/AE150,""),"")</f>
        <v>0.0343223076274916</v>
      </c>
      <c r="AF385" s="215">
        <f>IF(AND(ISNUMBER(AF171),ISNUMBER(AF150)),IFERROR(AF171/AF150,""),"")</f>
        <v>0.0349462389851061</v>
      </c>
      <c r="AG385" s="215">
        <f>IF(AND(ISNUMBER(AG171),ISNUMBER(AG150)),IFERROR(AG171/AG150,""),"")</f>
        <v>0.036074929632146</v>
      </c>
      <c r="AH385" s="215">
        <f>IF(AND(ISNUMBER(AH171),ISNUMBER(AH150)),IFERROR(AH171/AH150,""),"")</f>
        <v>0.031196350504567</v>
      </c>
      <c r="AI385" s="215">
        <f>IF(AND(ISNUMBER(AI171),ISNUMBER(AI150)),IFERROR(AI171/AI150,""),"")</f>
        <v>0.0313005900948827</v>
      </c>
      <c r="AJ385" s="215">
        <f>IF(AND(ISNUMBER(AJ171),ISNUMBER(AJ150)),IFERROR(AJ171/AJ150,""),"")</f>
        <v>0.0293208636100572</v>
      </c>
      <c r="AK385" s="215">
        <f>IF(AND(ISNUMBER(AK171),ISNUMBER(AK150)),IFERROR(AK171/AK150,""),"")</f>
        <v>0.0317566491658126</v>
      </c>
      <c r="AL385" s="215">
        <f>IF(AND(ISNUMBER(AL171),ISNUMBER(AL150)),IFERROR(AL171/AL150,""),"")</f>
        <v>0.0291413351745289</v>
      </c>
      <c r="AM385" s="215">
        <f>IF(AND(ISNUMBER(AM171),ISNUMBER(AM150)),IFERROR(AM171/AM150,""),"")</f>
        <v>0.027422407406049</v>
      </c>
      <c r="AN385" s="215">
        <f>IF(AND(ISNUMBER(AN171),ISNUMBER(AN150)),IFERROR(AN171/AN150,""),"")</f>
        <v>0.0288986712684903</v>
      </c>
      <c r="AO385" s="24" t="n"/>
      <c r="AP385" s="256">
        <f>IF(AND(ISNUMBER(AP171),ISNUMBER(AP150)),IFERROR(AP171/AP150,""),"")</f>
        <v>0.0282559961083002</v>
      </c>
      <c r="AQ385" s="256">
        <f>IF(AND(ISNUMBER(AQ171),ISNUMBER(AQ150)),IFERROR(AQ171/AQ150,""),"")</f>
        <v>0.0301789112262218</v>
      </c>
      <c r="AR385" s="256">
        <f>IF(AND(ISNUMBER(AR171),ISNUMBER(AR150)),IFERROR(AR171/AR150,""),"")</f>
        <v>0.0320779558656902</v>
      </c>
      <c r="AS385" s="256">
        <f>IF(AND(ISNUMBER(AS171),ISNUMBER(AS150)),IFERROR(AS171/AS150,""),"")</f>
        <v>0.0329276287731671</v>
      </c>
      <c r="AT385" s="256">
        <f>IF(AND(ISNUMBER(AT171),ISNUMBER(AT150)),IFERROR(AT171/AT150,""),"")</f>
        <v>0.0329888438098543</v>
      </c>
      <c r="AU385" s="256">
        <f>IF(AND(ISNUMBER(AU171),ISNUMBER(AU150)),IFERROR(AU171/AU150,""),"")</f>
        <v>0.0328588072742295</v>
      </c>
      <c r="AV385" s="153" t="n"/>
    </row>
    <row r="386" ht="15" customHeight="1" s="251">
      <c r="B386" s="25" t="inlineStr">
        <is>
          <t xml:space="preserve">  Amortization of intangibles % of net sales</t>
        </is>
      </c>
      <c r="C386" s="215">
        <f>IF(AND(ISNUMBER(C130),ISNUMBER(C150)),IFERROR(C130/C150,""),"")</f>
        <v>0.0204433949367355</v>
      </c>
      <c r="D386" s="215">
        <f>IF(AND(ISNUMBER(D130),ISNUMBER(D150)),IFERROR(D130/D150,""),"")</f>
        <v>0.0175860447988799</v>
      </c>
      <c r="E386" s="215">
        <f>IF(AND(ISNUMBER(E130),ISNUMBER(E150)),IFERROR(E130/E150,""),"")</f>
        <v>0.0191009599292553</v>
      </c>
      <c r="F386" s="215">
        <f>IF(AND(ISNUMBER(F130),ISNUMBER(F150)),IFERROR(F130/F150,""),"")</f>
        <v>0.016779596650077</v>
      </c>
      <c r="G386" s="215">
        <f>IF(AND(ISNUMBER(G130),ISNUMBER(G150)),IFERROR(G130/G150,""),"")</f>
        <v>0.014345757230402</v>
      </c>
      <c r="H386" s="215">
        <f>IF(AND(ISNUMBER(H130),ISNUMBER(H150)),IFERROR(H130/H150,""),"")</f>
        <v>0.013586228509232</v>
      </c>
      <c r="I386" s="215">
        <f>IF(AND(ISNUMBER(I130),ISNUMBER(I150)),IFERROR(I130/I150,""),"")</f>
        <v>0.0122824530598923</v>
      </c>
      <c r="J386" s="215">
        <f>IF(AND(ISNUMBER(J130),ISNUMBER(J150)),IFERROR(J130/J150,""),"")</f>
        <v>0.0192366479167177</v>
      </c>
      <c r="K386" s="215">
        <f>IF(AND(ISNUMBER(K130),ISNUMBER(K150)),IFERROR(K130/K150,""),"")</f>
        <v>0.0193166188365825</v>
      </c>
      <c r="L386" s="215">
        <f>IF(AND(ISNUMBER(L130),ISNUMBER(L150)),IFERROR(L130/L150,""),"")</f>
        <v>0.0158106156074633</v>
      </c>
      <c r="M386" s="215">
        <f>IF(AND(ISNUMBER(M130),ISNUMBER(M150)),IFERROR(M130/M150,""),"")</f>
        <v>0.0194728980932594</v>
      </c>
      <c r="N386" s="215">
        <f>IF(AND(ISNUMBER(N130),ISNUMBER(N150)),IFERROR(N130/N150,""),"")</f>
        <v>0.0181655230070821</v>
      </c>
      <c r="O386" s="215">
        <f>IF(AND(ISNUMBER(O130),ISNUMBER(O150)),IFERROR(O130/O150,""),"")</f>
        <v>0.0189086989715723</v>
      </c>
      <c r="P386" s="215">
        <f>IF(AND(ISNUMBER(P130),ISNUMBER(P150)),IFERROR(P130/P150,""),"")</f>
        <v>0.0181299400052962</v>
      </c>
      <c r="Q386" s="215">
        <f>IF(AND(ISNUMBER(Q130),ISNUMBER(Q150)),IFERROR(Q130/Q150,""),"")</f>
        <v>0.0186536659910447</v>
      </c>
      <c r="R386" s="215">
        <f>IF(AND(ISNUMBER(R130),ISNUMBER(R150)),IFERROR(R130/R150,""),"")</f>
        <v>0.0178882024276846</v>
      </c>
      <c r="S386" s="215">
        <f>IF(AND(ISNUMBER(S130),ISNUMBER(S150)),IFERROR(S130/S150,""),"")</f>
        <v>0.0163366783734551</v>
      </c>
      <c r="T386" s="215">
        <f>IF(AND(ISNUMBER(T130),ISNUMBER(T150)),IFERROR(T130/T150,""),"")</f>
        <v>0.0151530442822448</v>
      </c>
      <c r="U386" s="215">
        <f>IF(AND(ISNUMBER(U130),ISNUMBER(U150)),IFERROR(U130/U150,""),"")</f>
        <v>0.0141008354256734</v>
      </c>
      <c r="V386" s="215">
        <f>IF(AND(ISNUMBER(V130),ISNUMBER(V150)),IFERROR(V130/V150,""),"")</f>
        <v>0.0157835982188947</v>
      </c>
      <c r="W386" s="215">
        <f>IF(AND(ISNUMBER(W130),ISNUMBER(W150)),IFERROR(W130/W150,""),"")</f>
        <v>0.0148362724067641</v>
      </c>
      <c r="X386" s="215">
        <f>IF(AND(ISNUMBER(X130),ISNUMBER(X150)),IFERROR(X130/X150,""),"")</f>
        <v>0.013113083287154</v>
      </c>
      <c r="Y386" s="215">
        <f>IF(AND(ISNUMBER(Y130),ISNUMBER(Y150)),IFERROR(Y130/Y150,""),"")</f>
        <v>0.0118564239886194</v>
      </c>
      <c r="Z386" s="215">
        <f>IF(AND(ISNUMBER(Z130),ISNUMBER(Z150)),IFERROR(Z130/Z150,""),"")</f>
        <v>0.0122254108381484</v>
      </c>
      <c r="AA386" s="215">
        <f>IF(AND(ISNUMBER(AA130),ISNUMBER(AA150)),IFERROR(AA130/AA150,""),"")</f>
        <v>0.0128969458917726</v>
      </c>
      <c r="AB386" s="215">
        <f>IF(AND(ISNUMBER(AB130),ISNUMBER(AB150)),IFERROR(AB130/AB150,""),"")</f>
        <v>0.0109300522415568</v>
      </c>
      <c r="AC386" s="215">
        <f>IF(AND(ISNUMBER(AC130),ISNUMBER(AC150)),IFERROR(AC130/AC150,""),"")</f>
        <v>0.0103167201975715</v>
      </c>
      <c r="AD386" s="215">
        <f>IF(AND(ISNUMBER(AD130),ISNUMBER(AD150)),IFERROR(AD130/AD150,""),"")</f>
        <v>0.00959197251819066</v>
      </c>
      <c r="AE386" s="215">
        <f>IF(AND(ISNUMBER(AE130),ISNUMBER(AE150)),IFERROR(AE130/AE150,""),"")</f>
        <v>0.00964788270870978</v>
      </c>
      <c r="AF386" s="215">
        <f>IF(AND(ISNUMBER(AF130),ISNUMBER(AF150)),IFERROR(AF130/AF150,""),"")</f>
        <v>0.0101051395367796</v>
      </c>
      <c r="AG386" s="215">
        <f>IF(AND(ISNUMBER(AG130),ISNUMBER(AG150)),IFERROR(AG130/AG150,""),"")</f>
        <v>0.00894755572810508</v>
      </c>
      <c r="AH386" s="215">
        <f>IF(AND(ISNUMBER(AH130),ISNUMBER(AH150)),IFERROR(AH130/AH150,""),"")</f>
        <v>0.00766384987364607</v>
      </c>
      <c r="AI386" s="215">
        <f>IF(AND(ISNUMBER(AI130),ISNUMBER(AI150)),IFERROR(AI130/AI150,""),"")</f>
        <v>0.00783443261535907</v>
      </c>
      <c r="AJ386" s="215">
        <f>IF(AND(ISNUMBER(AJ130),ISNUMBER(AJ150)),IFERROR(AJ130/AJ150,""),"")</f>
        <v>0.00740105137933252</v>
      </c>
      <c r="AK386" s="215">
        <f>IF(AND(ISNUMBER(AK130),ISNUMBER(AK150)),IFERROR(AK130/AK150,""),"")</f>
        <v>0.00791238957304943</v>
      </c>
      <c r="AL386" s="215">
        <f>IF(AND(ISNUMBER(AL130),ISNUMBER(AL150)),IFERROR(AL130/AL150,""),"")</f>
        <v>0.00736812737968838</v>
      </c>
      <c r="AM386" s="215">
        <f>IF(AND(ISNUMBER(AM130),ISNUMBER(AM150)),IFERROR(AM130/AM150,""),"")</f>
        <v>0.00680746179972271</v>
      </c>
      <c r="AN386" s="215">
        <f>IF(AND(ISNUMBER(AN130),ISNUMBER(AN150)),IFERROR(AN130/AN150,""),"")</f>
        <v>0.00862211128182715</v>
      </c>
      <c r="AO386" s="24" t="n"/>
      <c r="AP386" s="256">
        <f>IF(AND(ISNUMBER(AP130),ISNUMBER(AP150)),IFERROR(AP130/AP150,""),"")</f>
        <v>0.00756394333234496</v>
      </c>
      <c r="AQ386" s="256">
        <f>IF(AND(ISNUMBER(AQ130),ISNUMBER(AQ150)),IFERROR(AQ130/AQ150,""),"")</f>
        <v>0.00717891122622183</v>
      </c>
      <c r="AR386" s="256">
        <f>IF(AND(ISNUMBER(AR130),ISNUMBER(AR150)),IFERROR(AR130/AR150,""),"")</f>
        <v>0.00707795586569019</v>
      </c>
      <c r="AS386" s="256">
        <f>IF(AND(ISNUMBER(AS130),ISNUMBER(AS150)),IFERROR(AS130/AS150,""),"")</f>
        <v>0.0069276287731671</v>
      </c>
      <c r="AT386" s="256">
        <f>IF(AND(ISNUMBER(AT130),ISNUMBER(AT150)),IFERROR(AT130/AT150,""),"")</f>
        <v>0.0069888438098543</v>
      </c>
      <c r="AU386" s="256">
        <f>IF(AND(ISNUMBER(AU130),ISNUMBER(AU150)),IFERROR(AU130/AU150,""),"")</f>
        <v>0.0068588072742295</v>
      </c>
      <c r="AV386" s="153" t="n"/>
    </row>
    <row r="387" ht="15" customHeight="1" s="251">
      <c r="B387" s="25" t="inlineStr">
        <is>
          <t xml:space="preserve">  Interest expense ÷ average total debt %</t>
        </is>
      </c>
      <c r="C387" s="36" t="n"/>
      <c r="D387" s="215">
        <f>IFERROR(D162*1/AVERAGE(D365,C365),"")</f>
        <v>0.063619559778972</v>
      </c>
      <c r="E387" s="215">
        <f>IFERROR(E162*1/AVERAGE(E365,D365),"")</f>
        <v>0.0566819924347594</v>
      </c>
      <c r="F387" s="215">
        <f>IFERROR(F162*1/AVERAGE(F365,E365),"")</f>
        <v>0.0361968253968254</v>
      </c>
      <c r="G387" s="215">
        <f>IFERROR(G162*1/AVERAGE(G365,F365),"")</f>
        <v>0.0318273458650948</v>
      </c>
      <c r="H387" s="215">
        <f>IFERROR(H162*1/AVERAGE(H365,G365),"")</f>
        <v>0.0339026186025046</v>
      </c>
      <c r="I387" s="215">
        <f>IFERROR(I162*1/AVERAGE(I365,H365),"")</f>
        <v>0.0409391069961397</v>
      </c>
      <c r="J387" s="215">
        <f>IFERROR(J162*1/AVERAGE(J365,I365),"")</f>
        <v>0.0341811742099436</v>
      </c>
      <c r="K387" s="215">
        <f>IFERROR(K162*1/AVERAGE(K365,J365),"")</f>
        <v>0.0377540133105613</v>
      </c>
      <c r="L387" s="215">
        <f>IFERROR(L162*1/AVERAGE(L365,K365),"")</f>
        <v>0.0372375326378223</v>
      </c>
      <c r="M387" s="36" t="n"/>
      <c r="N387" s="215">
        <f>IFERROR(N162*4/AVERAGE(N365,M365),"")</f>
        <v>0.0444516294170742</v>
      </c>
      <c r="O387" s="215">
        <f>IFERROR(O162*4/AVERAGE(O365,N365),"")</f>
        <v>0.0454627589917468</v>
      </c>
      <c r="P387" s="215">
        <f>IFERROR(P162*4/AVERAGE(P365,O365),"")</f>
        <v>0.0473503724163741</v>
      </c>
      <c r="Q387" s="215">
        <f>IFERROR(Q162*1/AVERAGE(Q365,L365),"")</f>
        <v>0.0435788227921235</v>
      </c>
      <c r="R387" s="215">
        <f>IFERROR(R162*4/AVERAGE(R365,P365),"")</f>
        <v>0.0453539007576275</v>
      </c>
      <c r="S387" s="215">
        <f>IFERROR(S162*4/AVERAGE(S365,R365),"")</f>
        <v>0.0449472088260373</v>
      </c>
      <c r="T387" s="215">
        <f>IFERROR(T162*4/AVERAGE(T365,S365),"")</f>
        <v>0.0456582400736268</v>
      </c>
      <c r="U387" s="215">
        <f>IFERROR(U162*4/AVERAGE(U365,T365),"")</f>
        <v>0.0515336392618154</v>
      </c>
      <c r="V387" s="215">
        <f>IFERROR(V162*1/AVERAGE(V365,Q365),"")</f>
        <v>0.0478260568596369</v>
      </c>
      <c r="W387" s="215">
        <f>IFERROR(W162*4/AVERAGE(W365,U365),"")</f>
        <v>0.0577238404849176</v>
      </c>
      <c r="X387" s="215">
        <f>IFERROR(X162*4/AVERAGE(X365,W365),"")</f>
        <v>0.060696378122606</v>
      </c>
      <c r="Y387" s="215">
        <f>IFERROR(Y162*4/AVERAGE(Y365,X365),"")</f>
        <v>0.0605174177081172</v>
      </c>
      <c r="Z387" s="215">
        <f>IFERROR(Z162*4/AVERAGE(Z365,Y365),"")</f>
        <v>0.0672277572273706</v>
      </c>
      <c r="AA387" s="215">
        <f>IFERROR(AA162*1/AVERAGE(AA365,V365),"")</f>
        <v>0.0706736930169558</v>
      </c>
      <c r="AB387" s="215">
        <f>IFERROR(AB162*4/AVERAGE(AB365,Z365),"")</f>
        <v>0.067044657598695</v>
      </c>
      <c r="AC387" s="215">
        <f>IFERROR(AC162*4/AVERAGE(AC365,AB365),"")</f>
        <v>0.0610896529069244</v>
      </c>
      <c r="AD387" s="215">
        <f>IFERROR(AD162*4/AVERAGE(AD365,AC365),"")</f>
        <v>0.0537451492389293</v>
      </c>
      <c r="AE387" s="215">
        <f>IFERROR(AE162*4/AVERAGE(AE365,AD365),"")</f>
        <v>0.0722202833857043</v>
      </c>
      <c r="AF387" s="215">
        <f>IFERROR(AF162*1/AVERAGE(AF365,AA365),"")</f>
        <v>0.0789149786911951</v>
      </c>
      <c r="AG387" s="215">
        <f>IFERROR(AG162*4/AVERAGE(AG365,AE365),"")</f>
        <v>0.0670740696706694</v>
      </c>
      <c r="AH387" s="215">
        <f>IFERROR(AH162*4/AVERAGE(AH365,AG365),"")</f>
        <v>0.0524297662070775</v>
      </c>
      <c r="AI387" s="215">
        <f>IFERROR(AI162*4/AVERAGE(AI365,AH365),"")</f>
        <v>0.048716893766794</v>
      </c>
      <c r="AJ387" s="215">
        <f>IFERROR(AJ162*4/AVERAGE(AJ365,AI365),"")</f>
        <v>0.0500283473581914</v>
      </c>
      <c r="AK387" s="215">
        <f>IFERROR(AK162*1/AVERAGE(AK365,AF365),"")</f>
        <v>0.0718407048059166</v>
      </c>
      <c r="AL387" s="215">
        <f>IFERROR(AL162*4/AVERAGE(AL365,AJ365),"")</f>
        <v>0.0520374283127075</v>
      </c>
      <c r="AM387" s="215">
        <f>IFERROR(AM162*4/AVERAGE(AM365,AL365),"")</f>
        <v>0.0478691563135778</v>
      </c>
      <c r="AN387" s="215">
        <f>IFERROR(AN162*4/AVERAGE(AN365,AM365),"")</f>
        <v>0.048115923451645</v>
      </c>
      <c r="AO387" s="24" t="n"/>
      <c r="AP387" s="256">
        <f>IFERROR(AP162*1/AVERAGE(AP365,AK365),"")</f>
        <v>0.0532110954248982</v>
      </c>
      <c r="AQ387" s="256">
        <f>IFERROR(AQ162*1/AVERAGE(AQ365,AP365),"")</f>
        <v>0.0433259876087768</v>
      </c>
      <c r="AR387" s="256">
        <f>IFERROR(AR162*1/AVERAGE(AR365,AQ365),"")</f>
        <v>0.0460874434065413</v>
      </c>
      <c r="AS387" s="256">
        <f>IFERROR(AS162*1/AVERAGE(AS365,AR365),"")</f>
        <v>0.046907601391602</v>
      </c>
      <c r="AT387" s="256">
        <f>IFERROR(AT162*1/AVERAGE(AT365,AS365),"")</f>
        <v>0.0478026693754951</v>
      </c>
      <c r="AU387" s="256">
        <f>IFERROR(AU162*1/AVERAGE(AU365,AT365),"")</f>
        <v>0.0483594381473332</v>
      </c>
      <c r="AV387" s="153" t="n"/>
    </row>
    <row r="388" ht="15" customHeight="1" s="251">
      <c r="BD388" s="11" t="n"/>
      <c r="BE388" s="12" t="n"/>
      <c r="BF388" s="12" t="n"/>
      <c r="BG388" s="12" t="n"/>
      <c r="BH388" s="13" t="n"/>
    </row>
    <row r="389" ht="15" customHeight="1" s="251">
      <c r="B389" s="10" t="inlineStr">
        <is>
          <t>RATIO ANALYSIS</t>
        </is>
      </c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inlineStr">
        <is>
          <t>RETURNS — annual columns (NOPAT on adjusted EBIT, full-cost)</t>
        </is>
      </c>
    </row>
    <row r="390" ht="15" customHeight="1" s="251">
      <c r="B390" s="25" t="inlineStr">
        <is>
          <t>DuPont decomposition of ROIC</t>
        </is>
      </c>
      <c r="AV390" s="153" t="n"/>
    </row>
    <row r="391" ht="15" customHeight="1" s="251">
      <c r="B391" s="25" t="inlineStr">
        <is>
          <t>Adjusted EBIT, full-cost (adjusted EBITDA − total D&amp;A)</t>
        </is>
      </c>
      <c r="C391" s="263">
        <f>C220</f>
        <v>212.432</v>
      </c>
      <c r="D391" s="263">
        <f>D220</f>
        <v>223.268</v>
      </c>
      <c r="E391" s="263">
        <f>E220</f>
        <v>226.001</v>
      </c>
      <c r="F391" s="263">
        <f>F220</f>
        <v>249.777</v>
      </c>
      <c r="G391" s="263">
        <f>G220</f>
        <v>265.026</v>
      </c>
      <c r="H391" s="263">
        <f>H220</f>
        <v>251.237</v>
      </c>
      <c r="I391" s="263">
        <f>I220</f>
        <v>278.452</v>
      </c>
      <c r="J391" s="263">
        <f>J220</f>
        <v>307.605</v>
      </c>
      <c r="K391" s="263">
        <f>K220</f>
        <v>402.89</v>
      </c>
      <c r="L391" s="263">
        <f>L220</f>
        <v>343.158</v>
      </c>
      <c r="M391" s="34" t="n"/>
      <c r="N391" s="34" t="n"/>
      <c r="O391" s="34" t="n"/>
      <c r="P391" s="34" t="n"/>
      <c r="Q391" s="263">
        <f>Q220</f>
        <v>283.594</v>
      </c>
      <c r="R391" s="34" t="n"/>
      <c r="S391" s="34" t="n"/>
      <c r="T391" s="34" t="n"/>
      <c r="U391" s="34" t="n"/>
      <c r="V391" s="263">
        <f>V220</f>
        <v>235.463</v>
      </c>
      <c r="W391" s="34" t="n"/>
      <c r="X391" s="34" t="n"/>
      <c r="Y391" s="34" t="n"/>
      <c r="Z391" s="34" t="n"/>
      <c r="AA391" s="263">
        <f>AA220</f>
        <v>355.791</v>
      </c>
      <c r="AB391" s="34" t="n"/>
      <c r="AC391" s="34" t="n"/>
      <c r="AD391" s="34" t="n"/>
      <c r="AE391" s="34" t="n"/>
      <c r="AF391" s="263">
        <f>AF220</f>
        <v>503.615</v>
      </c>
      <c r="AG391" s="34" t="n"/>
      <c r="AH391" s="34" t="n"/>
      <c r="AI391" s="34" t="n"/>
      <c r="AJ391" s="34" t="n"/>
      <c r="AK391" s="263">
        <f>AK220</f>
        <v>556.233</v>
      </c>
      <c r="AL391" s="34" t="n"/>
      <c r="AM391" s="34" t="n"/>
      <c r="AN391" s="34" t="n"/>
      <c r="AO391" s="35" t="n"/>
      <c r="AP391" s="254">
        <f>AP220</f>
        <v>791.039697901045</v>
      </c>
      <c r="AQ391" s="254">
        <f>AQ220</f>
        <v>882.728717627371</v>
      </c>
      <c r="AR391" s="254">
        <f>AR220</f>
        <v>975.354335216035</v>
      </c>
      <c r="AS391" s="254">
        <f>AS220</f>
        <v>1066.76263517531</v>
      </c>
      <c r="AT391" s="254">
        <f>AT220</f>
        <v>1144.61462434783</v>
      </c>
      <c r="AU391" s="254">
        <f>AU220</f>
        <v>1221.54547586652</v>
      </c>
      <c r="AV391" s="19" t="n"/>
    </row>
    <row r="392" ht="15" customHeight="1" s="251">
      <c r="B392" s="25" t="inlineStr">
        <is>
          <t>Effective tax rate (adjusted)</t>
        </is>
      </c>
      <c r="C392" s="215">
        <f>IFERROR(C237+0,0.22)</f>
        <v>0.294998587171517</v>
      </c>
      <c r="D392" s="215">
        <f>IFERROR(D237+0,0.22)</f>
        <v>0.284206322324286</v>
      </c>
      <c r="E392" s="215">
        <f>IFERROR(E237+0,0.22)</f>
        <v>0.268721407418913</v>
      </c>
      <c r="F392" s="215">
        <f>IFERROR(F237+0,0.22)</f>
        <v>0.270194152540881</v>
      </c>
      <c r="G392" s="215">
        <f>IFERROR(G237+0,0.22)</f>
        <v>0.246927773097211</v>
      </c>
      <c r="H392" s="215">
        <f>IFERROR(H237+0,0.22)</f>
        <v>0.201548881608576</v>
      </c>
      <c r="I392" s="215">
        <f>IFERROR(I237+0,0.22)</f>
        <v>0.206688902341076</v>
      </c>
      <c r="J392" s="215">
        <f>IFERROR(J237+0,0.22)</f>
        <v>0.167946679297629</v>
      </c>
      <c r="K392" s="215">
        <f>IFERROR(K237+0,0.22)</f>
        <v>0.17547364722786</v>
      </c>
      <c r="L392" s="215">
        <f>IFERROR(L237+0,0.22)</f>
        <v>0.178169007249823</v>
      </c>
      <c r="M392" s="34" t="n"/>
      <c r="N392" s="34" t="n"/>
      <c r="O392" s="34" t="n"/>
      <c r="P392" s="34" t="n"/>
      <c r="Q392" s="215">
        <f>IFERROR(Q237+0,0.22)</f>
        <v>0.15319349140973</v>
      </c>
      <c r="R392" s="34" t="n"/>
      <c r="S392" s="34" t="n"/>
      <c r="T392" s="34" t="n"/>
      <c r="U392" s="34" t="n"/>
      <c r="V392" s="215">
        <f>IFERROR(V237+0,0.22)</f>
        <v>0.14259712329578</v>
      </c>
      <c r="W392" s="34" t="n"/>
      <c r="X392" s="34" t="n"/>
      <c r="Y392" s="34" t="n"/>
      <c r="Z392" s="34" t="n"/>
      <c r="AA392" s="215">
        <f>IFERROR(AA237+0,0.22)</f>
        <v>0.167613087650171</v>
      </c>
      <c r="AB392" s="34" t="n"/>
      <c r="AC392" s="34" t="n"/>
      <c r="AD392" s="34" t="n"/>
      <c r="AE392" s="34" t="n"/>
      <c r="AF392" s="215">
        <f>IFERROR(AF237+0,0.22)</f>
        <v>0.179561753160475</v>
      </c>
      <c r="AG392" s="34" t="n"/>
      <c r="AH392" s="34" t="n"/>
      <c r="AI392" s="34" t="n"/>
      <c r="AJ392" s="34" t="n"/>
      <c r="AK392" s="215">
        <f>IFERROR(AK237+0,0.22)</f>
        <v>0.177140381518185</v>
      </c>
      <c r="AL392" s="34" t="n"/>
      <c r="AM392" s="34" t="n"/>
      <c r="AN392" s="34" t="n"/>
      <c r="AO392" s="35" t="n"/>
      <c r="AP392" s="256">
        <f>IFERROR(AP237+0,0.22)</f>
        <v>0.224635406395711</v>
      </c>
      <c r="AQ392" s="256">
        <f>IFERROR(AQ237+0,0.22)</f>
        <v>0.225</v>
      </c>
      <c r="AR392" s="256">
        <f>IFERROR(AR237+0,0.22)</f>
        <v>0.225</v>
      </c>
      <c r="AS392" s="256">
        <f>IFERROR(AS237+0,0.22)</f>
        <v>0.225</v>
      </c>
      <c r="AT392" s="256">
        <f>IFERROR(AT237+0,0.22)</f>
        <v>0.225</v>
      </c>
      <c r="AU392" s="256">
        <f>IFERROR(AU237+0,0.22)</f>
        <v>0.225</v>
      </c>
      <c r="AV392" s="19" t="n"/>
    </row>
    <row r="393" ht="15" customHeight="1" s="251">
      <c r="B393" s="25" t="inlineStr">
        <is>
          <t>NOPAT = Adjusted EBIT × (1 − tax rate)</t>
        </is>
      </c>
      <c r="C393" s="263">
        <f>IFERROR(C391*(1-C392),"n/a")</f>
        <v>149.76486012998</v>
      </c>
      <c r="D393" s="263">
        <f>IFERROR(D391*(1-D392),"n/a")</f>
        <v>159.813822827301</v>
      </c>
      <c r="E393" s="263">
        <f>IFERROR(E391*(1-E392),"n/a")</f>
        <v>165.269693201918</v>
      </c>
      <c r="F393" s="263">
        <f>IFERROR(F391*(1-F392),"n/a")</f>
        <v>182.288715160796</v>
      </c>
      <c r="G393" s="263">
        <f>IFERROR(G391*(1-G392),"n/a")</f>
        <v>199.583720007138</v>
      </c>
      <c r="H393" s="263">
        <f>IFERROR(H391*(1-H392),"n/a")</f>
        <v>200.600463631306</v>
      </c>
      <c r="I393" s="263">
        <f>IFERROR(I391*(1-I392),"n/a")</f>
        <v>220.899061765323</v>
      </c>
      <c r="J393" s="263">
        <f>IFERROR(J391*(1-J392),"n/a")</f>
        <v>255.943761714653</v>
      </c>
      <c r="K393" s="263">
        <f>IFERROR(K391*(1-K392),"n/a")</f>
        <v>332.193422268368</v>
      </c>
      <c r="L393" s="263">
        <f>IFERROR(L391*(1-L392),"n/a")</f>
        <v>282.017879810165</v>
      </c>
      <c r="M393" s="34" t="n"/>
      <c r="N393" s="34" t="n"/>
      <c r="O393" s="34" t="n"/>
      <c r="P393" s="34" t="n"/>
      <c r="Q393" s="263">
        <f>IFERROR(Q391*(1-Q392),"n/a")</f>
        <v>240.149244997149</v>
      </c>
      <c r="R393" s="34" t="n"/>
      <c r="S393" s="34" t="n"/>
      <c r="T393" s="34" t="n"/>
      <c r="U393" s="34" t="n"/>
      <c r="V393" s="263">
        <f>IFERROR(V391*(1-V392),"n/a")</f>
        <v>201.886653557406</v>
      </c>
      <c r="W393" s="34" t="n"/>
      <c r="X393" s="34" t="n"/>
      <c r="Y393" s="34" t="n"/>
      <c r="Z393" s="34" t="n"/>
      <c r="AA393" s="263">
        <f>IFERROR(AA391*(1-AA392),"n/a")</f>
        <v>296.155771931858</v>
      </c>
      <c r="AB393" s="34" t="n"/>
      <c r="AC393" s="34" t="n"/>
      <c r="AD393" s="34" t="n"/>
      <c r="AE393" s="34" t="n"/>
      <c r="AF393" s="263">
        <f>IFERROR(AF391*(1-AF392),"n/a")</f>
        <v>413.185007682087</v>
      </c>
      <c r="AG393" s="34" t="n"/>
      <c r="AH393" s="34" t="n"/>
      <c r="AI393" s="34" t="n"/>
      <c r="AJ393" s="34" t="n"/>
      <c r="AK393" s="263">
        <f>IFERROR(AK391*(1-AK392),"n/a")</f>
        <v>457.701674166995</v>
      </c>
      <c r="AL393" s="34" t="n"/>
      <c r="AM393" s="34" t="n"/>
      <c r="AN393" s="34" t="n"/>
      <c r="AO393" s="35" t="n"/>
      <c r="AP393" s="254">
        <f>IFERROR(AP391*(1-AP392),"n/a")</f>
        <v>613.344173887903</v>
      </c>
      <c r="AQ393" s="254">
        <f>IFERROR(AQ391*(1-AQ392),"n/a")</f>
        <v>684.114756161212</v>
      </c>
      <c r="AR393" s="254">
        <f>IFERROR(AR391*(1-AR392),"n/a")</f>
        <v>755.899609792427</v>
      </c>
      <c r="AS393" s="254">
        <f>IFERROR(AS391*(1-AS392),"n/a")</f>
        <v>826.741042260864</v>
      </c>
      <c r="AT393" s="254">
        <f>IFERROR(AT391*(1-AT392),"n/a")</f>
        <v>887.076333869569</v>
      </c>
      <c r="AU393" s="254">
        <f>IFERROR(AU391*(1-AU392),"n/a")</f>
        <v>946.697743796555</v>
      </c>
      <c r="AV393" s="19" t="n"/>
    </row>
    <row r="394" ht="15" customHeight="1" s="251">
      <c r="B394" s="25" t="inlineStr">
        <is>
          <t>Invested capital (IC) = Equity + Net debt</t>
        </is>
      </c>
      <c r="C394" s="263">
        <f>IFERROR(C395+C396,"n/a")</f>
        <v>1269.807</v>
      </c>
      <c r="D394" s="263">
        <f>IFERROR(D395+D396,"n/a")</f>
        <v>1338.49</v>
      </c>
      <c r="E394" s="263">
        <f>IFERROR(E395+E396,"n/a")</f>
        <v>1643.989</v>
      </c>
      <c r="F394" s="263">
        <f>IFERROR(F395+F396,"n/a")</f>
        <v>1755.657</v>
      </c>
      <c r="G394" s="263">
        <f>IFERROR(G395+G396,"n/a")</f>
        <v>1923.332</v>
      </c>
      <c r="H394" s="263">
        <f>IFERROR(H395+H396,"n/a")</f>
        <v>1858.658</v>
      </c>
      <c r="I394" s="263">
        <f>IFERROR(I395+I396,"n/a")</f>
        <v>1896.717</v>
      </c>
      <c r="J394" s="263">
        <f>IFERROR(J395+J396,"n/a")</f>
        <v>2700.542</v>
      </c>
      <c r="K394" s="263">
        <f>IFERROR(K395+K396,"n/a")</f>
        <v>2712.567</v>
      </c>
      <c r="L394" s="263">
        <f>IFERROR(L395+L396,"n/a")</f>
        <v>2677.89</v>
      </c>
      <c r="M394" s="34" t="n"/>
      <c r="N394" s="34" t="n"/>
      <c r="O394" s="34" t="n"/>
      <c r="P394" s="34" t="n"/>
      <c r="Q394" s="263">
        <f>IFERROR(Q395+Q396,"n/a")</f>
        <v>2501.169</v>
      </c>
      <c r="R394" s="34" t="n"/>
      <c r="S394" s="34" t="n"/>
      <c r="T394" s="34" t="n"/>
      <c r="U394" s="34" t="n"/>
      <c r="V394" s="263">
        <f>IFERROR(V395+V396,"n/a")</f>
        <v>2503.038</v>
      </c>
      <c r="W394" s="34" t="n"/>
      <c r="X394" s="34" t="n"/>
      <c r="Y394" s="34" t="n"/>
      <c r="Z394" s="34" t="n"/>
      <c r="AA394" s="263">
        <f>IFERROR(AA395+AA396,"n/a")</f>
        <v>2579.251</v>
      </c>
      <c r="AB394" s="34" t="n"/>
      <c r="AC394" s="34" t="n"/>
      <c r="AD394" s="34" t="n"/>
      <c r="AE394" s="34" t="n"/>
      <c r="AF394" s="263">
        <f>IFERROR(AF395+AF396,"n/a")</f>
        <v>2463.897</v>
      </c>
      <c r="AG394" s="34" t="n"/>
      <c r="AH394" s="34" t="n"/>
      <c r="AI394" s="34" t="n"/>
      <c r="AJ394" s="34" t="n"/>
      <c r="AK394" s="263">
        <f>IFERROR(AK395+AK396,"n/a")</f>
        <v>2941.161</v>
      </c>
      <c r="AL394" s="34" t="n"/>
      <c r="AM394" s="34" t="n"/>
      <c r="AN394" s="34" t="n"/>
      <c r="AO394" s="35" t="n"/>
      <c r="AP394" s="254">
        <f>IFERROR(AP395+AP396,"n/a")</f>
        <v>3394.15491183998</v>
      </c>
      <c r="AQ394" s="254">
        <f>IFERROR(AQ395+AQ396,"n/a")</f>
        <v>3673.02137797897</v>
      </c>
      <c r="AR394" s="254">
        <f>IFERROR(AR395+AR396,"n/a")</f>
        <v>3894.99462004404</v>
      </c>
      <c r="AS394" s="254">
        <f>IFERROR(AS395+AS396,"n/a")</f>
        <v>4089.80362986395</v>
      </c>
      <c r="AT394" s="254">
        <f>IFERROR(AT395+AT396,"n/a")</f>
        <v>4265.4684000538</v>
      </c>
      <c r="AU394" s="254">
        <f>IFERROR(AU395+AU396,"n/a")</f>
        <v>4439.68629925899</v>
      </c>
      <c r="AV394" s="19" t="n"/>
    </row>
    <row r="395" ht="15" customHeight="1" s="251">
      <c r="B395" s="25" t="inlineStr">
        <is>
          <t xml:space="preserve">  Total equity</t>
        </is>
      </c>
      <c r="C395" s="263">
        <f>IF(ISNUMBER(C329),C329,"n/a")</f>
        <v>919.097</v>
      </c>
      <c r="D395" s="263">
        <f>IF(ISNUMBER(D329),D329,"n/a")</f>
        <v>1008.115</v>
      </c>
      <c r="E395" s="263">
        <f>IF(ISNUMBER(E329),E329,"n/a")</f>
        <v>1142.545</v>
      </c>
      <c r="F395" s="263">
        <f>IF(ISNUMBER(F329),F329,"n/a")</f>
        <v>1160.944</v>
      </c>
      <c r="G395" s="263">
        <f>IF(ISNUMBER(G329),G329,"n/a")</f>
        <v>1153.104</v>
      </c>
      <c r="H395" s="263">
        <f>IF(ISNUMBER(H329),H329,"n/a")</f>
        <v>1212.595</v>
      </c>
      <c r="I395" s="263">
        <f>IF(ISNUMBER(I329),I329,"n/a")</f>
        <v>1371.383</v>
      </c>
      <c r="J395" s="263">
        <f>IF(ISNUMBER(J329),J329,"n/a")</f>
        <v>1538.104</v>
      </c>
      <c r="K395" s="263">
        <f>IF(ISNUMBER(K329),K329,"n/a")</f>
        <v>1726.741</v>
      </c>
      <c r="L395" s="263">
        <f>IF(ISNUMBER(L329),L329,"n/a")</f>
        <v>1992.677</v>
      </c>
      <c r="M395" s="34" t="n"/>
      <c r="N395" s="34" t="n"/>
      <c r="O395" s="34" t="n"/>
      <c r="P395" s="34" t="n"/>
      <c r="Q395" s="263">
        <f>IF(ISNUMBER(Q329),Q329,"n/a")</f>
        <v>2214.781</v>
      </c>
      <c r="R395" s="34" t="n"/>
      <c r="S395" s="34" t="n"/>
      <c r="T395" s="34" t="n"/>
      <c r="U395" s="34" t="n"/>
      <c r="V395" s="263">
        <f>IF(ISNUMBER(V329),V329,"n/a")</f>
        <v>1901.122</v>
      </c>
      <c r="W395" s="34" t="n"/>
      <c r="X395" s="34" t="n"/>
      <c r="Y395" s="34" t="n"/>
      <c r="Z395" s="34" t="n"/>
      <c r="AA395" s="263">
        <f>IF(ISNUMBER(AA329),AA329,"n/a")</f>
        <v>2070.989</v>
      </c>
      <c r="AB395" s="34" t="n"/>
      <c r="AC395" s="34" t="n"/>
      <c r="AD395" s="34" t="n"/>
      <c r="AE395" s="34" t="n"/>
      <c r="AF395" s="263">
        <f>IF(ISNUMBER(AF329),AF329,"n/a")</f>
        <v>2176.416</v>
      </c>
      <c r="AG395" s="34" t="n"/>
      <c r="AH395" s="34" t="n"/>
      <c r="AI395" s="34" t="n"/>
      <c r="AJ395" s="34" t="n"/>
      <c r="AK395" s="263">
        <f>IF(ISNUMBER(AK329),AK329,"n/a")</f>
        <v>2566.39</v>
      </c>
      <c r="AL395" s="34" t="n"/>
      <c r="AM395" s="34" t="n"/>
      <c r="AN395" s="34" t="n"/>
      <c r="AO395" s="35" t="n"/>
      <c r="AP395" s="254">
        <f>IF(ISNUMBER(AP329),AP329,"n/a")</f>
        <v>2415.34150221028</v>
      </c>
      <c r="AQ395" s="254">
        <f>IF(ISNUMBER(AQ329),AQ329,"n/a")</f>
        <v>2392.0442705636</v>
      </c>
      <c r="AR395" s="254">
        <f>IF(ISNUMBER(AR329),AR329,"n/a")</f>
        <v>2471.24000794235</v>
      </c>
      <c r="AS395" s="254">
        <f>IF(ISNUMBER(AS329),AS329,"n/a")</f>
        <v>2531.34707463781</v>
      </c>
      <c r="AT395" s="254">
        <f>IF(ISNUMBER(AT329),AT329,"n/a")</f>
        <v>2595.68417747376</v>
      </c>
      <c r="AU395" s="254">
        <f>IF(ISNUMBER(AU329),AU329,"n/a")</f>
        <v>2661.24026064193</v>
      </c>
      <c r="AV395" s="19" t="n"/>
    </row>
    <row r="396" ht="15" customHeight="1" s="251">
      <c r="B396" s="25" t="inlineStr">
        <is>
          <t xml:space="preserve">  Net debt = Total debt − Cash</t>
        </is>
      </c>
      <c r="C396" s="263">
        <f>IFERROR(C365-C309,"n/a")</f>
        <v>350.71</v>
      </c>
      <c r="D396" s="263">
        <f>IFERROR(D365-D309,"n/a")</f>
        <v>330.375</v>
      </c>
      <c r="E396" s="263">
        <f>IFERROR(E365-E309,"n/a")</f>
        <v>501.444</v>
      </c>
      <c r="F396" s="263">
        <f>IFERROR(F365-F309,"n/a")</f>
        <v>594.713</v>
      </c>
      <c r="G396" s="263">
        <f>IFERROR(G365-G309,"n/a")</f>
        <v>770.228</v>
      </c>
      <c r="H396" s="263">
        <f>IFERROR(H365-H309,"n/a")</f>
        <v>646.063</v>
      </c>
      <c r="I396" s="263">
        <f>IFERROR(I365-I309,"n/a")</f>
        <v>525.334</v>
      </c>
      <c r="J396" s="263">
        <f>IFERROR(J365-J309,"n/a")</f>
        <v>1162.438</v>
      </c>
      <c r="K396" s="263">
        <f>IFERROR(K365-K309,"n/a")</f>
        <v>985.826</v>
      </c>
      <c r="L396" s="263">
        <f>IFERROR(L365-L309,"n/a")</f>
        <v>685.213</v>
      </c>
      <c r="M396" s="34" t="n"/>
      <c r="N396" s="34" t="n"/>
      <c r="O396" s="34" t="n"/>
      <c r="P396" s="34" t="n"/>
      <c r="Q396" s="263">
        <f>IFERROR(Q365-Q309,"n/a")</f>
        <v>286.388</v>
      </c>
      <c r="R396" s="34" t="n"/>
      <c r="S396" s="34" t="n"/>
      <c r="T396" s="34" t="n"/>
      <c r="U396" s="34" t="n"/>
      <c r="V396" s="263">
        <f>IFERROR(V365-V309,"n/a")</f>
        <v>601.916</v>
      </c>
      <c r="W396" s="34" t="n"/>
      <c r="X396" s="34" t="n"/>
      <c r="Y396" s="34" t="n"/>
      <c r="Z396" s="34" t="n"/>
      <c r="AA396" s="263">
        <f>IFERROR(AA365-AA309,"n/a")</f>
        <v>508.262</v>
      </c>
      <c r="AB396" s="34" t="n"/>
      <c r="AC396" s="34" t="n"/>
      <c r="AD396" s="34" t="n"/>
      <c r="AE396" s="34" t="n"/>
      <c r="AF396" s="263">
        <f>IFERROR(AF365-AF309,"n/a")</f>
        <v>287.481</v>
      </c>
      <c r="AG396" s="34" t="n"/>
      <c r="AH396" s="34" t="n"/>
      <c r="AI396" s="34" t="n"/>
      <c r="AJ396" s="34" t="n"/>
      <c r="AK396" s="263">
        <f>IFERROR(AK365-AK309,"n/a")</f>
        <v>374.771</v>
      </c>
      <c r="AL396" s="34" t="n"/>
      <c r="AM396" s="34" t="n"/>
      <c r="AN396" s="34" t="n"/>
      <c r="AO396" s="35" t="n"/>
      <c r="AP396" s="254">
        <f>IFERROR(AP365-AP309,"n/a")</f>
        <v>978.813409629704</v>
      </c>
      <c r="AQ396" s="254">
        <f>IFERROR(AQ365-AQ309,"n/a")</f>
        <v>1280.97710741537</v>
      </c>
      <c r="AR396" s="254">
        <f>IFERROR(AR365-AR309,"n/a")</f>
        <v>1423.75461210169</v>
      </c>
      <c r="AS396" s="254">
        <f>IFERROR(AS365-AS309,"n/a")</f>
        <v>1558.45655522614</v>
      </c>
      <c r="AT396" s="254">
        <f>IFERROR(AT365-AT309,"n/a")</f>
        <v>1669.78422258004</v>
      </c>
      <c r="AU396" s="254">
        <f>IFERROR(AU365-AU309,"n/a")</f>
        <v>1778.44603861706</v>
      </c>
      <c r="AV396" s="19" t="n"/>
    </row>
    <row r="397" ht="15" customHeight="1" s="251">
      <c r="B397" s="55" t="inlineStr">
        <is>
          <t>ROIC = NOPAT / IC</t>
        </is>
      </c>
      <c r="C397" s="293">
        <f>IFERROR(C393/C394,"n/a")</f>
        <v>0.117943010339351</v>
      </c>
      <c r="D397" s="293">
        <f>IFERROR(D393/D394,"n/a")</f>
        <v>0.119398593061809</v>
      </c>
      <c r="E397" s="293">
        <f>IFERROR(E393/E394,"n/a")</f>
        <v>0.100529683107319</v>
      </c>
      <c r="F397" s="293">
        <f>IFERROR(F393/F394,"n/a")</f>
        <v>0.103829344319988</v>
      </c>
      <c r="G397" s="293">
        <f>IFERROR(G393/G394,"n/a")</f>
        <v>0.103769770381369</v>
      </c>
      <c r="H397" s="293">
        <f>IFERROR(H393/H394,"n/a")</f>
        <v>0.107927581960375</v>
      </c>
      <c r="I397" s="293">
        <f>IFERROR(I393/I394,"n/a")</f>
        <v>0.116463901449358</v>
      </c>
      <c r="J397" s="293">
        <f>IFERROR(J393/J394,"n/a")</f>
        <v>0.0947749606244425</v>
      </c>
      <c r="K397" s="293">
        <f>IFERROR(K393/K394,"n/a")</f>
        <v>0.122464596180801</v>
      </c>
      <c r="L397" s="293">
        <f>IFERROR(L393/L394,"n/a")</f>
        <v>0.105313466875101</v>
      </c>
      <c r="M397" s="56" t="n"/>
      <c r="N397" s="56" t="n"/>
      <c r="O397" s="56" t="n"/>
      <c r="P397" s="56" t="n"/>
      <c r="Q397" s="293">
        <f>IFERROR(Q393/Q394,"n/a")</f>
        <v>0.0960148014776887</v>
      </c>
      <c r="R397" s="56" t="n"/>
      <c r="S397" s="56" t="n"/>
      <c r="T397" s="56" t="n"/>
      <c r="U397" s="56" t="n"/>
      <c r="V397" s="293">
        <f>IFERROR(V393/V394,"n/a")</f>
        <v>0.0806566474649629</v>
      </c>
      <c r="W397" s="56" t="n"/>
      <c r="X397" s="56" t="n"/>
      <c r="Y397" s="56" t="n"/>
      <c r="Z397" s="56" t="n"/>
      <c r="AA397" s="293">
        <f>IFERROR(AA393/AA394,"n/a")</f>
        <v>0.114822392986126</v>
      </c>
      <c r="AB397" s="56" t="n"/>
      <c r="AC397" s="56" t="n"/>
      <c r="AD397" s="56" t="n"/>
      <c r="AE397" s="56" t="n"/>
      <c r="AF397" s="293">
        <f>IFERROR(AF393/AF394,"n/a")</f>
        <v>0.167695730658419</v>
      </c>
      <c r="AG397" s="56" t="n"/>
      <c r="AH397" s="56" t="n"/>
      <c r="AI397" s="56" t="n"/>
      <c r="AJ397" s="56" t="n"/>
      <c r="AK397" s="293">
        <f>IFERROR(AK393/AK394,"n/a")</f>
        <v>0.155619387774758</v>
      </c>
      <c r="AL397" s="56" t="n"/>
      <c r="AM397" s="56" t="n"/>
      <c r="AN397" s="56" t="n"/>
      <c r="AO397" s="56" t="n"/>
      <c r="AP397" s="293">
        <f>IFERROR(AP393/AP394,"n/a")</f>
        <v>0.18070600482858</v>
      </c>
      <c r="AQ397" s="293">
        <f>IFERROR(AQ393/AQ394,"n/a")</f>
        <v>0.186253954377373</v>
      </c>
      <c r="AR397" s="293">
        <f>IFERROR(AR393/AR394,"n/a")</f>
        <v>0.194069487516745</v>
      </c>
      <c r="AS397" s="293">
        <f>IFERROR(AS393/AS394,"n/a")</f>
        <v>0.202146879675093</v>
      </c>
      <c r="AT397" s="293">
        <f>IFERROR(AT393/AT394,"n/a")</f>
        <v>0.207966921958297</v>
      </c>
      <c r="AU397" s="293">
        <f>IFERROR(AU393/AU394,"n/a")</f>
        <v>0.213235278347158</v>
      </c>
      <c r="AV397" s="153" t="n"/>
      <c r="AX397" s="37">
        <f>IFERROR(AVERAGE(AQ397,AR397,AS397,AT397,AU397),"n/m")</f>
        <v>0.200734504374933</v>
      </c>
      <c r="AY397" s="37">
        <f>IFERROR(AVERAGE(Q397,V397,AA397,AF397,AK397),"n/m")</f>
        <v>0.122961792072391</v>
      </c>
      <c r="AZ397" s="37">
        <f>IFERROR(AVERAGE(H397,I397,J397,K397,L397,Q397,V397,AA397,AF397,AK397),"n/m")</f>
        <v>0.116175346745203</v>
      </c>
      <c r="BA397" s="37">
        <f>IFERROR(AVERAGE(C397,D397,E397,F397,G397,H397,I397,J397,K397,L397,Q397,V397,AA397,AF397,AK397),"n/m")</f>
        <v>0.113814924577458</v>
      </c>
    </row>
    <row r="398" ht="15" customHeight="1" s="251">
      <c r="B398" s="25" t="inlineStr">
        <is>
          <t xml:space="preserve">  Margin = Adjusted EBIT / Net sales</t>
        </is>
      </c>
      <c r="C398" s="215">
        <f>IFERROR(C391/C150,"n/a")</f>
        <v>0.12410571466295</v>
      </c>
      <c r="D398" s="215">
        <f>IFERROR(D391/D150,"n/a")</f>
        <v>0.119674511571713</v>
      </c>
      <c r="E398" s="215">
        <f>IFERROR(E391/E150,"n/a")</f>
        <v>0.11673750087811</v>
      </c>
      <c r="F398" s="215">
        <f>IFERROR(F391/F150,"n/a")</f>
        <v>0.124811117107393</v>
      </c>
      <c r="G398" s="215">
        <f>IFERROR(G391/G150,"n/a")</f>
        <v>0.130022867061472</v>
      </c>
      <c r="H398" s="215">
        <f>IFERROR(H391/H150,"n/a")</f>
        <v>0.12418552324725</v>
      </c>
      <c r="I398" s="215">
        <f>IFERROR(I391/I150,"n/a")</f>
        <v>0.132679272973314</v>
      </c>
      <c r="J398" s="215">
        <f>IFERROR(J391/J150,"n/a")</f>
        <v>0.132253566725268</v>
      </c>
      <c r="K398" s="215">
        <f>IFERROR(K391/K150,"n/a")</f>
        <v>0.138918149353303</v>
      </c>
      <c r="L398" s="215">
        <f>IFERROR(L391/L150,"n/a")</f>
        <v>0.137501627822644</v>
      </c>
      <c r="M398" s="34" t="n"/>
      <c r="N398" s="34" t="n"/>
      <c r="O398" s="34" t="n"/>
      <c r="P398" s="34" t="n"/>
      <c r="Q398" s="215">
        <f>IFERROR(Q391/Q150,"n/a")</f>
        <v>0.126275696490209</v>
      </c>
      <c r="R398" s="34" t="n"/>
      <c r="S398" s="34" t="n"/>
      <c r="T398" s="34" t="n"/>
      <c r="U398" s="34" t="n"/>
      <c r="V398" s="215">
        <f>IFERROR(V391/V150,"n/a")</f>
        <v>0.0988181921193223</v>
      </c>
      <c r="W398" s="34" t="n"/>
      <c r="X398" s="34" t="n"/>
      <c r="Y398" s="34" t="n"/>
      <c r="Z398" s="34" t="n"/>
      <c r="AA398" s="215">
        <f>IFERROR(AA391/AA150,"n/a")</f>
        <v>0.122073406469436</v>
      </c>
      <c r="AB398" s="34" t="n"/>
      <c r="AC398" s="34" t="n"/>
      <c r="AD398" s="34" t="n"/>
      <c r="AE398" s="34" t="n"/>
      <c r="AF398" s="215">
        <f>IFERROR(AF391/AF150,"n/a")</f>
        <v>0.151497375798263</v>
      </c>
      <c r="AG398" s="34" t="n"/>
      <c r="AH398" s="34" t="n"/>
      <c r="AI398" s="34" t="n"/>
      <c r="AJ398" s="34" t="n"/>
      <c r="AK398" s="215">
        <f>IFERROR(AK391/AK150,"n/a")</f>
        <v>0.155935806029833</v>
      </c>
      <c r="AL398" s="34" t="n"/>
      <c r="AM398" s="34" t="n"/>
      <c r="AN398" s="34" t="n"/>
      <c r="AO398" s="35" t="n"/>
      <c r="AP398" s="256">
        <f>IFERROR(AP391/AP150,"n/a")</f>
        <v>0.182520268701079</v>
      </c>
      <c r="AQ398" s="256">
        <f>IFERROR(AQ391/AQ150,"n/a")</f>
        <v>0.187534212934782</v>
      </c>
      <c r="AR398" s="256">
        <f>IFERROR(AR391/AR150,"n/a")</f>
        <v>0.191185436818209</v>
      </c>
      <c r="AS398" s="256">
        <f>IFERROR(AS391/AS150,"n/a")</f>
        <v>0.195141416194945</v>
      </c>
      <c r="AT398" s="256">
        <f>IFERROR(AT391/AT150,"n/a")</f>
        <v>0.197473820815994</v>
      </c>
      <c r="AU398" s="256">
        <f>IFERROR(AU391/AU150,"n/a")</f>
        <v>0.199484404658939</v>
      </c>
      <c r="AV398" s="19" t="n"/>
    </row>
    <row r="399" ht="15" customHeight="1" s="251">
      <c r="B399" s="25" t="inlineStr">
        <is>
          <t xml:space="preserve">  Capital turnover = Net sales / IC</t>
        </is>
      </c>
      <c r="C399" s="285">
        <f>IFERROR(C150/C394,"n/a")</f>
        <v>1.34800170419599</v>
      </c>
      <c r="D399" s="285">
        <f>IFERROR(D150/D394,"n/a")</f>
        <v>1.39382961396798</v>
      </c>
      <c r="E399" s="285">
        <f>IFERROR(E150/E394,"n/a")</f>
        <v>1.17760885261398</v>
      </c>
      <c r="F399" s="285">
        <f>IFERROR(F150/F394,"n/a")</f>
        <v>1.13988096763776</v>
      </c>
      <c r="G399" s="285">
        <f>IFERROR(G150/G394,"n/a")</f>
        <v>1.05977699117989</v>
      </c>
      <c r="H399" s="285">
        <f>IFERROR(H150/H394,"n/a")</f>
        <v>1.0884616750365</v>
      </c>
      <c r="I399" s="285">
        <f>IFERROR(I150/I394,"n/a")</f>
        <v>1.10648293867773</v>
      </c>
      <c r="J399" s="285">
        <f>IFERROR(J150/J394,"n/a")</f>
        <v>0.861261554162091</v>
      </c>
      <c r="K399" s="285">
        <f>IFERROR(K150/K394,"n/a")</f>
        <v>1.06917064168369</v>
      </c>
      <c r="L399" s="285">
        <f>IFERROR(L150/L394,"n/a")</f>
        <v>0.931952021927712</v>
      </c>
      <c r="M399" s="34" t="n"/>
      <c r="N399" s="34" t="n"/>
      <c r="O399" s="34" t="n"/>
      <c r="P399" s="34" t="n"/>
      <c r="Q399" s="285">
        <f>IFERROR(Q150/Q394,"n/a")</f>
        <v>0.897912935911168</v>
      </c>
      <c r="R399" s="34" t="n"/>
      <c r="S399" s="34" t="n"/>
      <c r="T399" s="34" t="n"/>
      <c r="U399" s="34" t="n"/>
      <c r="V399" s="285">
        <f>IFERROR(V150/V394,"n/a")</f>
        <v>0.95195917920543</v>
      </c>
      <c r="W399" s="34" t="n"/>
      <c r="X399" s="34" t="n"/>
      <c r="Y399" s="34" t="n"/>
      <c r="Z399" s="34" t="n"/>
      <c r="AA399" s="285">
        <f>IFERROR(AA150/AA394,"n/a")</f>
        <v>1.13000479596596</v>
      </c>
      <c r="AB399" s="34" t="n"/>
      <c r="AC399" s="34" t="n"/>
      <c r="AD399" s="34" t="n"/>
      <c r="AE399" s="34" t="n"/>
      <c r="AF399" s="285">
        <f>IFERROR(AF150/AF394,"n/a")</f>
        <v>1.34918342771634</v>
      </c>
      <c r="AG399" s="34" t="n"/>
      <c r="AH399" s="34" t="n"/>
      <c r="AI399" s="34" t="n"/>
      <c r="AJ399" s="34" t="n"/>
      <c r="AK399" s="285">
        <f>IFERROR(AK150/AK394,"n/a")</f>
        <v>1.21280813937081</v>
      </c>
      <c r="AL399" s="34" t="n"/>
      <c r="AM399" s="34" t="n"/>
      <c r="AN399" s="34" t="n"/>
      <c r="AO399" s="35" t="n"/>
      <c r="AP399" s="286">
        <f>IFERROR(AP150/AP394,"n/a")</f>
        <v>1.27689597928532</v>
      </c>
      <c r="AQ399" s="286">
        <f>IFERROR(AQ150/AQ394,"n/a")</f>
        <v>1.2815138065029</v>
      </c>
      <c r="AR399" s="286">
        <f>IFERROR(AR150/AR394,"n/a")</f>
        <v>1.30978722084988</v>
      </c>
      <c r="AS399" s="286">
        <f>IFERROR(AS150/AS394,"n/a")</f>
        <v>1.33664441171812</v>
      </c>
      <c r="AT399" s="286">
        <f>IFERROR(AT150/AT394,"n/a")</f>
        <v>1.35888602510053</v>
      </c>
      <c r="AU399" s="286">
        <f>IFERROR(AU150/AU394,"n/a")</f>
        <v>1.37926719189858</v>
      </c>
      <c r="AV399" s="19" t="n"/>
    </row>
    <row r="400" ht="15" customHeight="1" s="251">
      <c r="B400" s="25" t="inlineStr">
        <is>
          <t xml:space="preserve">  Tax burden = (1 − tax rate)</t>
        </is>
      </c>
      <c r="C400" s="215">
        <f>IFERROR(1-C392,"n/a")</f>
        <v>0.705001412828483</v>
      </c>
      <c r="D400" s="215">
        <f>IFERROR(1-D392,"n/a")</f>
        <v>0.715793677675714</v>
      </c>
      <c r="E400" s="215">
        <f>IFERROR(1-E392,"n/a")</f>
        <v>0.731278592581087</v>
      </c>
      <c r="F400" s="215">
        <f>IFERROR(1-F392,"n/a")</f>
        <v>0.729805847459119</v>
      </c>
      <c r="G400" s="215">
        <f>IFERROR(1-G392,"n/a")</f>
        <v>0.753072226902789</v>
      </c>
      <c r="H400" s="215">
        <f>IFERROR(1-H392,"n/a")</f>
        <v>0.798451118391424</v>
      </c>
      <c r="I400" s="215">
        <f>IFERROR(1-I392,"n/a")</f>
        <v>0.793311097658924</v>
      </c>
      <c r="J400" s="215">
        <f>IFERROR(1-J392,"n/a")</f>
        <v>0.832053320702372</v>
      </c>
      <c r="K400" s="215">
        <f>IFERROR(1-K392,"n/a")</f>
        <v>0.82452635277214</v>
      </c>
      <c r="L400" s="215">
        <f>IFERROR(1-L392,"n/a")</f>
        <v>0.821830992750178</v>
      </c>
      <c r="M400" s="34" t="n"/>
      <c r="N400" s="34" t="n"/>
      <c r="O400" s="34" t="n"/>
      <c r="P400" s="34" t="n"/>
      <c r="Q400" s="215">
        <f>IFERROR(1-Q392,"n/a")</f>
        <v>0.846806508590271</v>
      </c>
      <c r="R400" s="34" t="n"/>
      <c r="S400" s="34" t="n"/>
      <c r="T400" s="34" t="n"/>
      <c r="U400" s="34" t="n"/>
      <c r="V400" s="215">
        <f>IFERROR(1-V392,"n/a")</f>
        <v>0.85740287670422</v>
      </c>
      <c r="W400" s="34" t="n"/>
      <c r="X400" s="34" t="n"/>
      <c r="Y400" s="34" t="n"/>
      <c r="Z400" s="34" t="n"/>
      <c r="AA400" s="215">
        <f>IFERROR(1-AA392,"n/a")</f>
        <v>0.832386912349829</v>
      </c>
      <c r="AB400" s="34" t="n"/>
      <c r="AC400" s="34" t="n"/>
      <c r="AD400" s="34" t="n"/>
      <c r="AE400" s="34" t="n"/>
      <c r="AF400" s="215">
        <f>IFERROR(1-AF392,"n/a")</f>
        <v>0.820438246839525</v>
      </c>
      <c r="AG400" s="34" t="n"/>
      <c r="AH400" s="34" t="n"/>
      <c r="AI400" s="34" t="n"/>
      <c r="AJ400" s="34" t="n"/>
      <c r="AK400" s="215">
        <f>IFERROR(1-AK392,"n/a")</f>
        <v>0.822859618481815</v>
      </c>
      <c r="AL400" s="34" t="n"/>
      <c r="AM400" s="34" t="n"/>
      <c r="AN400" s="34" t="n"/>
      <c r="AO400" s="35" t="n"/>
      <c r="AP400" s="256">
        <f>IFERROR(1-AP392,"n/a")</f>
        <v>0.775364593604289</v>
      </c>
      <c r="AQ400" s="256">
        <f>IFERROR(1-AQ392,"n/a")</f>
        <v>0.775</v>
      </c>
      <c r="AR400" s="256">
        <f>IFERROR(1-AR392,"n/a")</f>
        <v>0.775</v>
      </c>
      <c r="AS400" s="256">
        <f>IFERROR(1-AS392,"n/a")</f>
        <v>0.775</v>
      </c>
      <c r="AT400" s="256">
        <f>IFERROR(1-AT392,"n/a")</f>
        <v>0.775</v>
      </c>
      <c r="AU400" s="256">
        <f>IFERROR(1-AU392,"n/a")</f>
        <v>0.775</v>
      </c>
      <c r="AV400" s="19" t="n"/>
    </row>
    <row r="401" ht="15" customHeight="1" s="251">
      <c r="B401" s="25" t="inlineStr">
        <is>
          <t xml:space="preserve">  Check: Margin × Turnover × Tax burden = ROIC</t>
        </is>
      </c>
      <c r="C401" s="215">
        <f>IFERROR(C398*C399*C400,"n/a")</f>
        <v>0.117943010339351</v>
      </c>
      <c r="D401" s="215">
        <f>IFERROR(D398*D399*D400,"n/a")</f>
        <v>0.119398593061809</v>
      </c>
      <c r="E401" s="215">
        <f>IFERROR(E398*E399*E400,"n/a")</f>
        <v>0.100529683107319</v>
      </c>
      <c r="F401" s="215">
        <f>IFERROR(F398*F399*F400,"n/a")</f>
        <v>0.103829344319988</v>
      </c>
      <c r="G401" s="215">
        <f>IFERROR(G398*G399*G400,"n/a")</f>
        <v>0.103769770381369</v>
      </c>
      <c r="H401" s="215">
        <f>IFERROR(H398*H399*H400,"n/a")</f>
        <v>0.107927581960375</v>
      </c>
      <c r="I401" s="215">
        <f>IFERROR(I398*I399*I400,"n/a")</f>
        <v>0.116463901449358</v>
      </c>
      <c r="J401" s="215">
        <f>IFERROR(J398*J399*J400,"n/a")</f>
        <v>0.0947749606244425</v>
      </c>
      <c r="K401" s="215">
        <f>IFERROR(K398*K399*K400,"n/a")</f>
        <v>0.122464596180801</v>
      </c>
      <c r="L401" s="215">
        <f>IFERROR(L398*L399*L400,"n/a")</f>
        <v>0.105313466875101</v>
      </c>
      <c r="M401" s="34" t="n"/>
      <c r="N401" s="34" t="n"/>
      <c r="O401" s="34" t="n"/>
      <c r="P401" s="34" t="n"/>
      <c r="Q401" s="215">
        <f>IFERROR(Q398*Q399*Q400,"n/a")</f>
        <v>0.0960148014776887</v>
      </c>
      <c r="R401" s="34" t="n"/>
      <c r="S401" s="34" t="n"/>
      <c r="T401" s="34" t="n"/>
      <c r="U401" s="34" t="n"/>
      <c r="V401" s="215">
        <f>IFERROR(V398*V399*V400,"n/a")</f>
        <v>0.0806566474649629</v>
      </c>
      <c r="W401" s="34" t="n"/>
      <c r="X401" s="34" t="n"/>
      <c r="Y401" s="34" t="n"/>
      <c r="Z401" s="34" t="n"/>
      <c r="AA401" s="215">
        <f>IFERROR(AA398*AA399*AA400,"n/a")</f>
        <v>0.114822392986126</v>
      </c>
      <c r="AB401" s="34" t="n"/>
      <c r="AC401" s="34" t="n"/>
      <c r="AD401" s="34" t="n"/>
      <c r="AE401" s="34" t="n"/>
      <c r="AF401" s="215">
        <f>IFERROR(AF398*AF399*AF400,"n/a")</f>
        <v>0.167695730658419</v>
      </c>
      <c r="AG401" s="34" t="n"/>
      <c r="AH401" s="34" t="n"/>
      <c r="AI401" s="34" t="n"/>
      <c r="AJ401" s="34" t="n"/>
      <c r="AK401" s="215">
        <f>IFERROR(AK398*AK399*AK400,"n/a")</f>
        <v>0.155619387774758</v>
      </c>
      <c r="AL401" s="34" t="n"/>
      <c r="AM401" s="34" t="n"/>
      <c r="AN401" s="34" t="n"/>
      <c r="AO401" s="35" t="n"/>
      <c r="AP401" s="256">
        <f>IFERROR(AP398*AP399*AP400,"n/a")</f>
        <v>0.18070600482858</v>
      </c>
      <c r="AQ401" s="256">
        <f>IFERROR(AQ398*AQ399*AQ400,"n/a")</f>
        <v>0.186253954377373</v>
      </c>
      <c r="AR401" s="256">
        <f>IFERROR(AR398*AR399*AR400,"n/a")</f>
        <v>0.194069487516745</v>
      </c>
      <c r="AS401" s="256">
        <f>IFERROR(AS398*AS399*AS400,"n/a")</f>
        <v>0.202146879675093</v>
      </c>
      <c r="AT401" s="256">
        <f>IFERROR(AT398*AT399*AT400,"n/a")</f>
        <v>0.207966921958297</v>
      </c>
      <c r="AU401" s="256">
        <f>IFERROR(AU398*AU399*AU400,"n/a")</f>
        <v>0.213235278347158</v>
      </c>
      <c r="AV401" s="19" t="n"/>
    </row>
    <row r="402" ht="15" customHeight="1" s="251">
      <c r="B402" s="25" t="inlineStr">
        <is>
          <t>RONTA decomposition</t>
        </is>
      </c>
      <c r="AV402" s="153" t="n"/>
    </row>
    <row r="403" ht="15" customHeight="1" s="251">
      <c r="B403" s="25" t="inlineStr">
        <is>
          <t>NOPAT = Adjusted EBIT × (1 − tax rate)</t>
        </is>
      </c>
      <c r="C403" s="263">
        <f>C393</f>
        <v>149.76486012998</v>
      </c>
      <c r="D403" s="263">
        <f>D393</f>
        <v>159.813822827301</v>
      </c>
      <c r="E403" s="263">
        <f>E393</f>
        <v>165.269693201918</v>
      </c>
      <c r="F403" s="263">
        <f>F393</f>
        <v>182.288715160796</v>
      </c>
      <c r="G403" s="263">
        <f>G393</f>
        <v>199.583720007138</v>
      </c>
      <c r="H403" s="263">
        <f>H393</f>
        <v>200.600463631306</v>
      </c>
      <c r="I403" s="263">
        <f>I393</f>
        <v>220.899061765323</v>
      </c>
      <c r="J403" s="263">
        <f>J393</f>
        <v>255.943761714653</v>
      </c>
      <c r="K403" s="263">
        <f>K393</f>
        <v>332.193422268368</v>
      </c>
      <c r="L403" s="263">
        <f>L393</f>
        <v>282.017879810165</v>
      </c>
      <c r="M403" s="34" t="n"/>
      <c r="N403" s="34" t="n"/>
      <c r="O403" s="34" t="n"/>
      <c r="P403" s="34" t="n"/>
      <c r="Q403" s="263">
        <f>Q393</f>
        <v>240.149244997149</v>
      </c>
      <c r="R403" s="34" t="n"/>
      <c r="S403" s="34" t="n"/>
      <c r="T403" s="34" t="n"/>
      <c r="U403" s="34" t="n"/>
      <c r="V403" s="263">
        <f>V393</f>
        <v>201.886653557406</v>
      </c>
      <c r="W403" s="34" t="n"/>
      <c r="X403" s="34" t="n"/>
      <c r="Y403" s="34" t="n"/>
      <c r="Z403" s="34" t="n"/>
      <c r="AA403" s="263">
        <f>AA393</f>
        <v>296.155771931858</v>
      </c>
      <c r="AB403" s="34" t="n"/>
      <c r="AC403" s="34" t="n"/>
      <c r="AD403" s="34" t="n"/>
      <c r="AE403" s="34" t="n"/>
      <c r="AF403" s="263">
        <f>AF393</f>
        <v>413.185007682087</v>
      </c>
      <c r="AG403" s="34" t="n"/>
      <c r="AH403" s="34" t="n"/>
      <c r="AI403" s="34" t="n"/>
      <c r="AJ403" s="34" t="n"/>
      <c r="AK403" s="263">
        <f>AK393</f>
        <v>457.701674166995</v>
      </c>
      <c r="AL403" s="34" t="n"/>
      <c r="AM403" s="34" t="n"/>
      <c r="AN403" s="34" t="n"/>
      <c r="AO403" s="35" t="n"/>
      <c r="AP403" s="254">
        <f>AP393</f>
        <v>613.344173887903</v>
      </c>
      <c r="AQ403" s="254">
        <f>AQ393</f>
        <v>684.114756161212</v>
      </c>
      <c r="AR403" s="254">
        <f>AR393</f>
        <v>755.899609792427</v>
      </c>
      <c r="AS403" s="254">
        <f>AS393</f>
        <v>826.741042260864</v>
      </c>
      <c r="AT403" s="254">
        <f>AT393</f>
        <v>887.076333869569</v>
      </c>
      <c r="AU403" s="254">
        <f>AU393</f>
        <v>946.697743796555</v>
      </c>
      <c r="AV403" s="19" t="n"/>
    </row>
    <row r="404" ht="15" customHeight="1" s="251">
      <c r="B404" s="25" t="inlineStr">
        <is>
          <t xml:space="preserve">  Total assets</t>
        </is>
      </c>
      <c r="C404" s="263">
        <f>C318</f>
        <v>1781.434</v>
      </c>
      <c r="D404" s="263">
        <f>D318</f>
        <v>1859.964</v>
      </c>
      <c r="E404" s="263">
        <f>E318</f>
        <v>2205.684</v>
      </c>
      <c r="F404" s="263">
        <f>F318</f>
        <v>2397.202</v>
      </c>
      <c r="G404" s="263">
        <f>G318</f>
        <v>2539.965</v>
      </c>
      <c r="H404" s="263">
        <f>H318</f>
        <v>2642.362</v>
      </c>
      <c r="I404" s="263">
        <f>I318</f>
        <v>2757.109</v>
      </c>
      <c r="J404" s="263">
        <f>J318</f>
        <v>3790.649</v>
      </c>
      <c r="K404" s="263">
        <f>K318</f>
        <v>3956.526</v>
      </c>
      <c r="L404" s="263">
        <f>L318</f>
        <v>3903.336</v>
      </c>
      <c r="M404" s="34" t="n"/>
      <c r="N404" s="34" t="n"/>
      <c r="O404" s="34" t="n"/>
      <c r="P404" s="34" t="n"/>
      <c r="Q404" s="263">
        <f>Q318</f>
        <v>4091.004</v>
      </c>
      <c r="R404" s="34" t="n"/>
      <c r="S404" s="34" t="n"/>
      <c r="T404" s="34" t="n"/>
      <c r="U404" s="34" t="n"/>
      <c r="V404" s="263">
        <f>V318</f>
        <v>3806.446</v>
      </c>
      <c r="W404" s="34" t="n"/>
      <c r="X404" s="34" t="n"/>
      <c r="Y404" s="34" t="n"/>
      <c r="Z404" s="34" t="n"/>
      <c r="AA404" s="263">
        <f>AA318</f>
        <v>4010.203</v>
      </c>
      <c r="AB404" s="34" t="n"/>
      <c r="AC404" s="34" t="n"/>
      <c r="AD404" s="34" t="n"/>
      <c r="AE404" s="34" t="n"/>
      <c r="AF404" s="263">
        <f>AF318</f>
        <v>4368.915</v>
      </c>
      <c r="AG404" s="34" t="n"/>
      <c r="AH404" s="34" t="n"/>
      <c r="AI404" s="34" t="n"/>
      <c r="AJ404" s="34" t="n"/>
      <c r="AK404" s="263">
        <f>AK318</f>
        <v>4630.143</v>
      </c>
      <c r="AL404" s="34" t="n"/>
      <c r="AM404" s="34" t="n"/>
      <c r="AN404" s="34" t="n"/>
      <c r="AO404" s="35" t="n"/>
      <c r="AP404" s="254">
        <f>AP318</f>
        <v>5161.48678229662</v>
      </c>
      <c r="AQ404" s="254">
        <f>AQ318</f>
        <v>5485.19242070918</v>
      </c>
      <c r="AR404" s="254">
        <f>AR318</f>
        <v>5756.05888175852</v>
      </c>
      <c r="AS404" s="254">
        <f>AS318</f>
        <v>5994.08942318444</v>
      </c>
      <c r="AT404" s="254">
        <f>AT318</f>
        <v>6207.50309667343</v>
      </c>
      <c r="AU404" s="254">
        <f>AU318</f>
        <v>6418.48484432449</v>
      </c>
      <c r="AV404" s="19" t="n"/>
    </row>
    <row r="405" ht="15" customHeight="1" s="251">
      <c r="B405" s="25" t="inlineStr">
        <is>
          <t xml:space="preserve">  − Goodwill &amp; intangible assets</t>
        </is>
      </c>
      <c r="C405" s="263">
        <f>IFERROR(-(C315+C316),"n/a")</f>
        <v>-731.179</v>
      </c>
      <c r="D405" s="263">
        <f>IFERROR(-(D315+D316),"n/a")</f>
        <v>-696.937</v>
      </c>
      <c r="E405" s="263">
        <f>IFERROR(-(E315+E316),"n/a")</f>
        <v>-837.399</v>
      </c>
      <c r="F405" s="263">
        <f>IFERROR(-(F315+F316),"n/a")</f>
        <v>-814.496</v>
      </c>
      <c r="G405" s="263">
        <f>IFERROR(-(G315+G316),"n/a")</f>
        <v>-782.115</v>
      </c>
      <c r="H405" s="263">
        <f>IFERROR(-(H315+H316),"n/a")</f>
        <v>-753.334</v>
      </c>
      <c r="I405" s="263">
        <f>IFERROR(-(I315+I316),"n/a")</f>
        <v>-728.427</v>
      </c>
      <c r="J405" s="263">
        <f>IFERROR(-(J315+J316),"n/a")</f>
        <v>-1514.133</v>
      </c>
      <c r="K405" s="263">
        <f>IFERROR(-(K315+K316),"n/a")</f>
        <v>-1409.845</v>
      </c>
      <c r="L405" s="263">
        <f>IFERROR(-(L315+L316),"n/a")</f>
        <v>-1414.963</v>
      </c>
      <c r="M405" s="34" t="n"/>
      <c r="N405" s="34" t="n"/>
      <c r="O405" s="34" t="n"/>
      <c r="P405" s="34" t="n"/>
      <c r="Q405" s="263">
        <f>IFERROR(-(Q315+Q316),"n/a")</f>
        <v>-1364.622</v>
      </c>
      <c r="R405" s="34" t="n"/>
      <c r="S405" s="34" t="n"/>
      <c r="T405" s="34" t="n"/>
      <c r="U405" s="34" t="n"/>
      <c r="V405" s="263">
        <f>IFERROR(-(V315+V316),"n/a")</f>
        <v>-1233.139</v>
      </c>
      <c r="W405" s="34" t="n"/>
      <c r="X405" s="34" t="n"/>
      <c r="Y405" s="34" t="n"/>
      <c r="Z405" s="34" t="n"/>
      <c r="AA405" s="263">
        <f>IFERROR(-(AA315+AA316),"n/a")</f>
        <v>-1243.831</v>
      </c>
      <c r="AB405" s="34" t="n"/>
      <c r="AC405" s="34" t="n"/>
      <c r="AD405" s="34" t="n"/>
      <c r="AE405" s="34" t="n"/>
      <c r="AF405" s="263">
        <f>IFERROR(-(AF315+AF316),"n/a")</f>
        <v>-1247.062</v>
      </c>
      <c r="AG405" s="34" t="n"/>
      <c r="AH405" s="34" t="n"/>
      <c r="AI405" s="34" t="n"/>
      <c r="AJ405" s="34" t="n"/>
      <c r="AK405" s="263">
        <f>IFERROR(-(AK315+AK316),"n/a")</f>
        <v>-1260.368</v>
      </c>
      <c r="AL405" s="34" t="n"/>
      <c r="AM405" s="34" t="n"/>
      <c r="AN405" s="34" t="n"/>
      <c r="AO405" s="35" t="n"/>
      <c r="AP405" s="254">
        <f>IFERROR(-(AP315+AP316),"n/a")</f>
        <v>-1332.771</v>
      </c>
      <c r="AQ405" s="254">
        <f>IFERROR(-(AQ315+AQ316),"n/a")</f>
        <v>-1388.97966666667</v>
      </c>
      <c r="AR405" s="254">
        <f>IFERROR(-(AR315+AR316),"n/a")</f>
        <v>-1442.87066666667</v>
      </c>
      <c r="AS405" s="254">
        <f>IFERROR(-(AS315+AS316),"n/a")</f>
        <v>-1495</v>
      </c>
      <c r="AT405" s="254">
        <f>IFERROR(-(AT315+AT316),"n/a")</f>
        <v>-1544.49066666667</v>
      </c>
      <c r="AU405" s="254">
        <f>IFERROR(-(AU315+AU316),"n/a")</f>
        <v>-1592.49066666667</v>
      </c>
      <c r="AV405" s="19" t="n"/>
    </row>
    <row r="406" ht="15" customHeight="1" s="251">
      <c r="B406" s="25" t="inlineStr">
        <is>
          <t xml:space="preserve">  − Non-interest-bearing current liabilities (total CL excl. short-term debt)</t>
        </is>
      </c>
      <c r="C406" s="263">
        <f>IFERROR(-(C323-N(C321)),"n/a")</f>
        <v>-262.483</v>
      </c>
      <c r="D406" s="263">
        <f>IFERROR(-(D323-N(D321)),"n/a")</f>
        <v>-272.039</v>
      </c>
      <c r="E406" s="263">
        <f>IFERROR(-(E323-N(E321)),"n/a")</f>
        <v>-313.096</v>
      </c>
      <c r="F406" s="263">
        <f>IFERROR(-(F323-N(F321)),"n/a")</f>
        <v>-340.016</v>
      </c>
      <c r="G406" s="263">
        <f>IFERROR(-(G323-N(G321)),"n/a")</f>
        <v>-335.792</v>
      </c>
      <c r="H406" s="263">
        <f>IFERROR(-(H323-N(H321)),"n/a")</f>
        <v>-330.613</v>
      </c>
      <c r="I406" s="263">
        <f>IFERROR(-(I323-N(I321)),"n/a")</f>
        <v>-394.634</v>
      </c>
      <c r="J406" s="263">
        <f>IFERROR(-(J323-N(J321)),"n/a")</f>
        <v>-437.543</v>
      </c>
      <c r="K406" s="263">
        <f>IFERROR(-(K323-N(K321)),"n/a")</f>
        <v>-487.436</v>
      </c>
      <c r="L406" s="263">
        <f>IFERROR(-(L323-N(L321)),"n/a")</f>
        <v>-290.698</v>
      </c>
      <c r="M406" s="34" t="n"/>
      <c r="N406" s="34" t="n"/>
      <c r="O406" s="34" t="n"/>
      <c r="P406" s="34" t="n"/>
      <c r="Q406" s="263">
        <f>IFERROR(-(Q323-N(Q321)),"n/a")</f>
        <v>-365.529</v>
      </c>
      <c r="R406" s="34" t="n"/>
      <c r="S406" s="34" t="n"/>
      <c r="T406" s="34" t="n"/>
      <c r="U406" s="34" t="n"/>
      <c r="V406" s="263">
        <f>IFERROR(-(V323-N(V321)),"n/a")</f>
        <v>-539.113</v>
      </c>
      <c r="W406" s="34" t="n"/>
      <c r="X406" s="34" t="n"/>
      <c r="Y406" s="34" t="n"/>
      <c r="Z406" s="34" t="n"/>
      <c r="AA406" s="263">
        <f>IFERROR(-(AA323-N(AA321)),"n/a")</f>
        <v>-617.196</v>
      </c>
      <c r="AB406" s="34" t="n"/>
      <c r="AC406" s="34" t="n"/>
      <c r="AD406" s="34" t="n"/>
      <c r="AE406" s="34" t="n"/>
      <c r="AF406" s="263">
        <f>IFERROR(-(AF323-N(AF321)),"n/a")</f>
        <v>-923.51</v>
      </c>
      <c r="AG406" s="34" t="n"/>
      <c r="AH406" s="34" t="n"/>
      <c r="AI406" s="34" t="n"/>
      <c r="AJ406" s="34" t="n"/>
      <c r="AK406" s="263">
        <f>IFERROR(-(AK323-N(AK321)),"n/a")</f>
        <v>-662.155</v>
      </c>
      <c r="AL406" s="34" t="n"/>
      <c r="AM406" s="34" t="n"/>
      <c r="AN406" s="34" t="n"/>
      <c r="AO406" s="35" t="n"/>
      <c r="AP406" s="254">
        <f>IFERROR(-(AP323-N(AP321)),"n/a")</f>
        <v>-783.656870456635</v>
      </c>
      <c r="AQ406" s="254">
        <f>IFERROR(-(AQ323-N(AQ321)),"n/a")</f>
        <v>-848.496042730214</v>
      </c>
      <c r="AR406" s="254">
        <f>IFERROR(-(AR323-N(AR321)),"n/a")</f>
        <v>-917.389261714479</v>
      </c>
      <c r="AS406" s="254">
        <f>IFERROR(-(AS323-N(AS321)),"n/a")</f>
        <v>-980.610793320493</v>
      </c>
      <c r="AT406" s="254">
        <f>IFERROR(-(AT323-N(AT321)),"n/a")</f>
        <v>-1038.35969661963</v>
      </c>
      <c r="AU406" s="254">
        <f>IFERROR(-(AU323-N(AU321)),"n/a")</f>
        <v>-1095.1235450655</v>
      </c>
      <c r="AV406" s="19" t="n"/>
    </row>
    <row r="407" ht="15" customHeight="1" s="251">
      <c r="B407" s="25" t="inlineStr">
        <is>
          <t xml:space="preserve">  = Net tangible assets</t>
        </is>
      </c>
      <c r="C407" s="263">
        <f>IFERROR(SUM(C404:C406),"n/a")</f>
        <v>787.772</v>
      </c>
      <c r="D407" s="263">
        <f>IFERROR(SUM(D404:D406),"n/a")</f>
        <v>890.988</v>
      </c>
      <c r="E407" s="263">
        <f>IFERROR(SUM(E404:E406),"n/a")</f>
        <v>1055.189</v>
      </c>
      <c r="F407" s="263">
        <f>IFERROR(SUM(F404:F406),"n/a")</f>
        <v>1242.69</v>
      </c>
      <c r="G407" s="263">
        <f>IFERROR(SUM(G404:G406),"n/a")</f>
        <v>1422.058</v>
      </c>
      <c r="H407" s="263">
        <f>IFERROR(SUM(H404:H406),"n/a")</f>
        <v>1558.415</v>
      </c>
      <c r="I407" s="263">
        <f>IFERROR(SUM(I404:I406),"n/a")</f>
        <v>1634.048</v>
      </c>
      <c r="J407" s="263">
        <f>IFERROR(SUM(J404:J406),"n/a")</f>
        <v>1838.973</v>
      </c>
      <c r="K407" s="263">
        <f>IFERROR(SUM(K404:K406),"n/a")</f>
        <v>2059.245</v>
      </c>
      <c r="L407" s="263">
        <f>IFERROR(SUM(L404:L406),"n/a")</f>
        <v>2197.675</v>
      </c>
      <c r="M407" s="34" t="n"/>
      <c r="N407" s="34" t="n"/>
      <c r="O407" s="34" t="n"/>
      <c r="P407" s="34" t="n"/>
      <c r="Q407" s="263">
        <f>IFERROR(SUM(Q404:Q406),"n/a")</f>
        <v>2360.853</v>
      </c>
      <c r="R407" s="34" t="n"/>
      <c r="S407" s="34" t="n"/>
      <c r="T407" s="34" t="n"/>
      <c r="U407" s="34" t="n"/>
      <c r="V407" s="263">
        <f>IFERROR(SUM(V404:V406),"n/a")</f>
        <v>2034.194</v>
      </c>
      <c r="W407" s="34" t="n"/>
      <c r="X407" s="34" t="n"/>
      <c r="Y407" s="34" t="n"/>
      <c r="Z407" s="34" t="n"/>
      <c r="AA407" s="263">
        <f>IFERROR(SUM(AA404:AA406),"n/a")</f>
        <v>2149.176</v>
      </c>
      <c r="AB407" s="34" t="n"/>
      <c r="AC407" s="34" t="n"/>
      <c r="AD407" s="34" t="n"/>
      <c r="AE407" s="34" t="n"/>
      <c r="AF407" s="263">
        <f>IFERROR(SUM(AF404:AF406),"n/a")</f>
        <v>2198.343</v>
      </c>
      <c r="AG407" s="34" t="n"/>
      <c r="AH407" s="34" t="n"/>
      <c r="AI407" s="34" t="n"/>
      <c r="AJ407" s="34" t="n"/>
      <c r="AK407" s="263">
        <f>IFERROR(SUM(AK404:AK406),"n/a")</f>
        <v>2707.62</v>
      </c>
      <c r="AL407" s="34" t="n"/>
      <c r="AM407" s="34" t="n"/>
      <c r="AN407" s="34" t="n"/>
      <c r="AO407" s="35" t="n"/>
      <c r="AP407" s="254">
        <f>IFERROR(SUM(AP404:AP406),"n/a")</f>
        <v>3045.05891183998</v>
      </c>
      <c r="AQ407" s="254">
        <f>IFERROR(SUM(AQ404:AQ406),"n/a")</f>
        <v>3247.7167113123</v>
      </c>
      <c r="AR407" s="254">
        <f>IFERROR(SUM(AR404:AR406),"n/a")</f>
        <v>3395.79895337737</v>
      </c>
      <c r="AS407" s="254">
        <f>IFERROR(SUM(AS404:AS406),"n/a")</f>
        <v>3518.47862986395</v>
      </c>
      <c r="AT407" s="254">
        <f>IFERROR(SUM(AT404:AT406),"n/a")</f>
        <v>3624.65273338714</v>
      </c>
      <c r="AU407" s="254">
        <f>IFERROR(SUM(AU404:AU406),"n/a")</f>
        <v>3730.87063259233</v>
      </c>
      <c r="AV407" s="19" t="n"/>
    </row>
    <row r="408" ht="15" customHeight="1" s="251">
      <c r="B408" s="55" t="inlineStr">
        <is>
          <t>RONTA = NOPAT / NTA</t>
        </is>
      </c>
      <c r="C408" s="293">
        <f>IFERROR(C403/C407,"n/a")</f>
        <v>0.190111936105853</v>
      </c>
      <c r="D408" s="293">
        <f>IFERROR(D403/D407,"n/a")</f>
        <v>0.17936697556791</v>
      </c>
      <c r="E408" s="293">
        <f>IFERROR(E403/E407,"n/a")</f>
        <v>0.156625678624321</v>
      </c>
      <c r="F408" s="293">
        <f>IFERROR(F403/F407,"n/a")</f>
        <v>0.146688808279455</v>
      </c>
      <c r="G408" s="293">
        <f>IFERROR(G403/G407,"n/a")</f>
        <v>0.140348508996917</v>
      </c>
      <c r="H408" s="293">
        <f>IFERROR(H403/H407,"n/a")</f>
        <v>0.128720824447471</v>
      </c>
      <c r="I408" s="293">
        <f>IFERROR(I403/I407,"n/a")</f>
        <v>0.135185173119347</v>
      </c>
      <c r="J408" s="293">
        <f>IFERROR(J403/J407,"n/a")</f>
        <v>0.139177552750722</v>
      </c>
      <c r="K408" s="293">
        <f>IFERROR(K403/K407,"n/a")</f>
        <v>0.161318066703266</v>
      </c>
      <c r="L408" s="293">
        <f>IFERROR(L403/L407,"n/a")</f>
        <v>0.128325562155535</v>
      </c>
      <c r="M408" s="56" t="n"/>
      <c r="N408" s="56" t="n"/>
      <c r="O408" s="56" t="n"/>
      <c r="P408" s="56" t="n"/>
      <c r="Q408" s="293">
        <f>IFERROR(Q403/Q407,"n/a")</f>
        <v>0.101721388412218</v>
      </c>
      <c r="R408" s="56" t="n"/>
      <c r="S408" s="56" t="n"/>
      <c r="T408" s="56" t="n"/>
      <c r="U408" s="56" t="n"/>
      <c r="V408" s="293">
        <f>IFERROR(V403/V407,"n/a")</f>
        <v>0.0992465092107271</v>
      </c>
      <c r="W408" s="56" t="n"/>
      <c r="X408" s="56" t="n"/>
      <c r="Y408" s="56" t="n"/>
      <c r="Z408" s="56" t="n"/>
      <c r="AA408" s="293">
        <f>IFERROR(AA403/AA407,"n/a")</f>
        <v>0.137799683195726</v>
      </c>
      <c r="AB408" s="56" t="n"/>
      <c r="AC408" s="56" t="n"/>
      <c r="AD408" s="56" t="n"/>
      <c r="AE408" s="56" t="n"/>
      <c r="AF408" s="293">
        <f>IFERROR(AF403/AF407,"n/a")</f>
        <v>0.187952929857664</v>
      </c>
      <c r="AG408" s="56" t="n"/>
      <c r="AH408" s="56" t="n"/>
      <c r="AI408" s="56" t="n"/>
      <c r="AJ408" s="56" t="n"/>
      <c r="AK408" s="293">
        <f>IFERROR(AK403/AK407,"n/a")</f>
        <v>0.169042064309983</v>
      </c>
      <c r="AL408" s="56" t="n"/>
      <c r="AM408" s="56" t="n"/>
      <c r="AN408" s="56" t="n"/>
      <c r="AO408" s="56" t="n"/>
      <c r="AP408" s="293">
        <f>IFERROR(AP403/AP407,"n/a")</f>
        <v>0.201422761150223</v>
      </c>
      <c r="AQ408" s="293">
        <f>IFERROR(AQ403/AQ407,"n/a")</f>
        <v>0.210644836656576</v>
      </c>
      <c r="AR408" s="293">
        <f>IFERROR(AR403/AR407,"n/a")</f>
        <v>0.22259845773279</v>
      </c>
      <c r="AS408" s="293">
        <f>IFERROR(AS403/AS407,"n/a")</f>
        <v>0.234971170563237</v>
      </c>
      <c r="AT408" s="293">
        <f>IFERROR(AT403/AT407,"n/a")</f>
        <v>0.244734157757679</v>
      </c>
      <c r="AU408" s="293">
        <f>IFERROR(AU403/AU407,"n/a")</f>
        <v>0.253747137605455</v>
      </c>
      <c r="AV408" s="153" t="n"/>
      <c r="AX408" s="37">
        <f>IFERROR(AVERAGE(AQ408,AR408,AS408,AT408,AU408),"n/m")</f>
        <v>0.233339152063147</v>
      </c>
      <c r="AY408" s="37">
        <f>IFERROR(AVERAGE(Q408,V408,AA408,AF408,AK408),"n/m")</f>
        <v>0.139152514997264</v>
      </c>
      <c r="AZ408" s="37">
        <f>IFERROR(AVERAGE(H408,I408,J408,K408,L408,Q408,V408,AA408,AF408,AK408),"n/m")</f>
        <v>0.138848975416266</v>
      </c>
      <c r="BA408" s="37">
        <f>IFERROR(AVERAGE(C408,D408,E408,F408,G408,H408,I408,J408,K408,L408,Q408,V408,AA408,AF408,AK408),"n/m")</f>
        <v>0.146775444115808</v>
      </c>
    </row>
    <row r="409" ht="15" customHeight="1" s="251">
      <c r="B409" s="25" t="inlineStr">
        <is>
          <t>Return on Equity (ROE)</t>
        </is>
      </c>
      <c r="AV409" s="153" t="n"/>
    </row>
    <row r="410" ht="15" customHeight="1" s="251">
      <c r="B410" s="25" t="inlineStr">
        <is>
          <t>Net earnings</t>
        </is>
      </c>
      <c r="C410" s="263">
        <f>C167</f>
        <v>132.235</v>
      </c>
      <c r="D410" s="263">
        <f>D167</f>
        <v>141.589</v>
      </c>
      <c r="E410" s="263">
        <f>E167</f>
        <v>145.942</v>
      </c>
      <c r="F410" s="263">
        <f>F167</f>
        <v>165.844</v>
      </c>
      <c r="G410" s="263">
        <f>G167</f>
        <v>181.452</v>
      </c>
      <c r="H410" s="263">
        <f>H167</f>
        <v>180.838</v>
      </c>
      <c r="I410" s="263">
        <f>I167</f>
        <v>200.507</v>
      </c>
      <c r="J410" s="263">
        <f>J167</f>
        <v>180.378</v>
      </c>
      <c r="K410" s="263">
        <f>K167</f>
        <v>259.602</v>
      </c>
      <c r="L410" s="263">
        <f>L167</f>
        <v>240.395</v>
      </c>
      <c r="M410" s="34" t="n"/>
      <c r="N410" s="34" t="n"/>
      <c r="O410" s="34" t="n"/>
      <c r="P410" s="34" t="n"/>
      <c r="Q410" s="263">
        <f>Q167</f>
        <v>208.649</v>
      </c>
      <c r="R410" s="34" t="n"/>
      <c r="S410" s="34" t="n"/>
      <c r="T410" s="34" t="n"/>
      <c r="U410" s="34" t="n"/>
      <c r="V410" s="263">
        <f>V167</f>
        <v>171.698</v>
      </c>
      <c r="W410" s="34" t="n"/>
      <c r="X410" s="34" t="n"/>
      <c r="Y410" s="34" t="n"/>
      <c r="Z410" s="34" t="n"/>
      <c r="AA410" s="263">
        <f>AA167</f>
        <v>232.368</v>
      </c>
      <c r="AB410" s="34" t="n"/>
      <c r="AC410" s="34" t="n"/>
      <c r="AD410" s="34" t="n"/>
      <c r="AE410" s="34" t="n"/>
      <c r="AF410" s="263">
        <f>AF167</f>
        <v>372.971</v>
      </c>
      <c r="AG410" s="34" t="n"/>
      <c r="AH410" s="34" t="n"/>
      <c r="AI410" s="34" t="n"/>
      <c r="AJ410" s="34" t="n"/>
      <c r="AK410" s="263">
        <f>AK167</f>
        <v>442.111</v>
      </c>
      <c r="AL410" s="34" t="n"/>
      <c r="AM410" s="34" t="n"/>
      <c r="AN410" s="34" t="n"/>
      <c r="AO410" s="35" t="n"/>
      <c r="AP410" s="254">
        <f>AP167</f>
        <v>557.888690404794</v>
      </c>
      <c r="AQ410" s="254">
        <f>AQ167</f>
        <v>739.51514736545</v>
      </c>
      <c r="AR410" s="254">
        <f>AR167</f>
        <v>685.100788304822</v>
      </c>
      <c r="AS410" s="254">
        <f>AS167</f>
        <v>761.47328051506</v>
      </c>
      <c r="AT410" s="254">
        <f>AT167</f>
        <v>816.008784195457</v>
      </c>
      <c r="AU410" s="254">
        <f>AU167</f>
        <v>870.681814189077</v>
      </c>
      <c r="AV410" s="19" t="n"/>
    </row>
    <row r="411" ht="15" customHeight="1" s="251">
      <c r="B411" s="25" t="inlineStr">
        <is>
          <t>Stockholders' equity</t>
        </is>
      </c>
      <c r="C411" s="263">
        <f>C327</f>
        <v>919.097</v>
      </c>
      <c r="D411" s="263">
        <f>D327</f>
        <v>1008.115</v>
      </c>
      <c r="E411" s="263">
        <f>E327</f>
        <v>1142.545</v>
      </c>
      <c r="F411" s="263">
        <f>F327</f>
        <v>1160.944</v>
      </c>
      <c r="G411" s="263">
        <f>G327</f>
        <v>1153.104</v>
      </c>
      <c r="H411" s="263">
        <f>H327</f>
        <v>1212.595</v>
      </c>
      <c r="I411" s="263">
        <f>I327</f>
        <v>1371.383</v>
      </c>
      <c r="J411" s="263">
        <f>J327</f>
        <v>1538.104</v>
      </c>
      <c r="K411" s="263">
        <f>K327</f>
        <v>1726.741</v>
      </c>
      <c r="L411" s="263">
        <f>L327</f>
        <v>1992.677</v>
      </c>
      <c r="M411" s="34" t="n"/>
      <c r="N411" s="34" t="n"/>
      <c r="O411" s="34" t="n"/>
      <c r="P411" s="34" t="n"/>
      <c r="Q411" s="263">
        <f>Q327</f>
        <v>2214.781</v>
      </c>
      <c r="R411" s="34" t="n"/>
      <c r="S411" s="34" t="n"/>
      <c r="T411" s="34" t="n"/>
      <c r="U411" s="34" t="n"/>
      <c r="V411" s="263">
        <f>V327</f>
        <v>1901.122</v>
      </c>
      <c r="W411" s="34" t="n"/>
      <c r="X411" s="34" t="n"/>
      <c r="Y411" s="34" t="n"/>
      <c r="Z411" s="34" t="n"/>
      <c r="AA411" s="263">
        <f>AA327</f>
        <v>2070.989</v>
      </c>
      <c r="AB411" s="34" t="n"/>
      <c r="AC411" s="34" t="n"/>
      <c r="AD411" s="34" t="n"/>
      <c r="AE411" s="34" t="n"/>
      <c r="AF411" s="263">
        <f>AF327</f>
        <v>2176.416</v>
      </c>
      <c r="AG411" s="34" t="n"/>
      <c r="AH411" s="34" t="n"/>
      <c r="AI411" s="34" t="n"/>
      <c r="AJ411" s="34" t="n"/>
      <c r="AK411" s="263">
        <f>AK327</f>
        <v>2566.39</v>
      </c>
      <c r="AL411" s="34" t="n"/>
      <c r="AM411" s="34" t="n"/>
      <c r="AN411" s="34" t="n"/>
      <c r="AO411" s="35" t="n"/>
      <c r="AP411" s="254">
        <f>AP327</f>
        <v>2415.34150221028</v>
      </c>
      <c r="AQ411" s="254">
        <f>AQ327</f>
        <v>2392.0442705636</v>
      </c>
      <c r="AR411" s="254">
        <f>AR327</f>
        <v>2471.24000794235</v>
      </c>
      <c r="AS411" s="254">
        <f>AS327</f>
        <v>2531.34707463781</v>
      </c>
      <c r="AT411" s="254">
        <f>AT327</f>
        <v>2595.68417747376</v>
      </c>
      <c r="AU411" s="254">
        <f>AU327</f>
        <v>2661.24026064193</v>
      </c>
      <c r="AV411" s="19" t="n"/>
    </row>
    <row r="412" ht="15" customHeight="1" s="251">
      <c r="B412" s="25" t="inlineStr">
        <is>
          <t>ROE = Net earnings / Equity</t>
        </is>
      </c>
      <c r="C412" s="215">
        <f>IFERROR(C410/C411,"n/a")</f>
        <v>0.143874912006023</v>
      </c>
      <c r="D412" s="215">
        <f>IFERROR(D410/D411,"n/a")</f>
        <v>0.140449254301345</v>
      </c>
      <c r="E412" s="215">
        <f>IFERROR(E410/E411,"n/a")</f>
        <v>0.127734137386274</v>
      </c>
      <c r="F412" s="215">
        <f>IFERROR(F410/F411,"n/a")</f>
        <v>0.142852712964622</v>
      </c>
      <c r="G412" s="215">
        <f>IFERROR(G410/G411,"n/a")</f>
        <v>0.157359613703534</v>
      </c>
      <c r="H412" s="215">
        <f>IFERROR(H410/H411,"n/a")</f>
        <v>0.149133057616104</v>
      </c>
      <c r="I412" s="215">
        <f>IFERROR(I410/I411,"n/a")</f>
        <v>0.146207879199319</v>
      </c>
      <c r="J412" s="215">
        <f>IFERROR(J410/J411,"n/a")</f>
        <v>0.117272954234564</v>
      </c>
      <c r="K412" s="215">
        <f>IFERROR(K410/K411,"n/a")</f>
        <v>0.150342176388932</v>
      </c>
      <c r="L412" s="215">
        <f>IFERROR(L410/L411,"n/a")</f>
        <v>0.120639220505882</v>
      </c>
      <c r="M412" s="34" t="n"/>
      <c r="N412" s="34" t="n"/>
      <c r="O412" s="34" t="n"/>
      <c r="P412" s="34" t="n"/>
      <c r="Q412" s="215">
        <f>IFERROR(Q410/Q411,"n/a")</f>
        <v>0.0942075085527644</v>
      </c>
      <c r="R412" s="34" t="n"/>
      <c r="S412" s="34" t="n"/>
      <c r="T412" s="34" t="n"/>
      <c r="U412" s="34" t="n"/>
      <c r="V412" s="215">
        <f>IFERROR(V410/V411,"n/a")</f>
        <v>0.090314035606342</v>
      </c>
      <c r="W412" s="34" t="n"/>
      <c r="X412" s="34" t="n"/>
      <c r="Y412" s="34" t="n"/>
      <c r="Z412" s="34" t="n"/>
      <c r="AA412" s="215">
        <f>IFERROR(AA410/AA411,"n/a")</f>
        <v>0.11220146509711</v>
      </c>
      <c r="AB412" s="34" t="n"/>
      <c r="AC412" s="34" t="n"/>
      <c r="AD412" s="34" t="n"/>
      <c r="AE412" s="34" t="n"/>
      <c r="AF412" s="215">
        <f>IFERROR(AF410/AF411,"n/a")</f>
        <v>0.171369352182671</v>
      </c>
      <c r="AG412" s="34" t="n"/>
      <c r="AH412" s="34" t="n"/>
      <c r="AI412" s="34" t="n"/>
      <c r="AJ412" s="34" t="n"/>
      <c r="AK412" s="215">
        <f>IFERROR(AK410/AK411,"n/a")</f>
        <v>0.172269608282451</v>
      </c>
      <c r="AL412" s="34" t="n"/>
      <c r="AM412" s="34" t="n"/>
      <c r="AN412" s="34" t="n"/>
      <c r="AO412" s="35" t="n"/>
      <c r="AP412" s="256">
        <f>IFERROR(AP410/AP411,"n/a")</f>
        <v>0.230977147494162</v>
      </c>
      <c r="AQ412" s="256">
        <f>IFERROR(AQ410/AQ411,"n/a")</f>
        <v>0.309156129117631</v>
      </c>
      <c r="AR412" s="256">
        <f>IFERROR(AR410/AR411,"n/a")</f>
        <v>0.277229563337826</v>
      </c>
      <c r="AS412" s="256">
        <f>IFERROR(AS410/AS411,"n/a")</f>
        <v>0.30081741383647</v>
      </c>
      <c r="AT412" s="256">
        <f>IFERROR(AT410/AT411,"n/a")</f>
        <v>0.314371367394023</v>
      </c>
      <c r="AU412" s="256">
        <f>IFERROR(AU410/AU411,"n/a")</f>
        <v>0.327171442227864</v>
      </c>
      <c r="AV412" s="19" t="n"/>
      <c r="AX412" s="37">
        <f>IFERROR(AVERAGE(AQ412,AR412,AS412,AT412,AU412),"n/m")</f>
        <v>0.305749183182763</v>
      </c>
      <c r="AY412" s="37">
        <f>IFERROR(AVERAGE(Q412,V412,AA412,AF412,AK412),"n/m")</f>
        <v>0.128072393944268</v>
      </c>
      <c r="AZ412" s="37">
        <f>IFERROR(AVERAGE(H412,I412,J412,K412,L412,Q412,V412,AA412,AF412,AK412),"n/m")</f>
        <v>0.132395725766614</v>
      </c>
      <c r="BA412" s="37">
        <f>IFERROR(AVERAGE(C412,D412,E412,F412,G412,H412,I412,J412,K412,L412,Q412,V412,AA412,AF412,AK412),"n/m")</f>
        <v>0.135748525868529</v>
      </c>
    </row>
    <row r="413" ht="15" customHeight="1" s="251">
      <c r="B413" s="25" t="inlineStr">
        <is>
          <t>Leverage</t>
        </is>
      </c>
      <c r="AV413" s="153" t="n"/>
    </row>
    <row r="414" ht="15" customHeight="1" s="251">
      <c r="B414" s="25" t="inlineStr">
        <is>
          <t>Net debt = Total debt − cash</t>
        </is>
      </c>
      <c r="C414" s="263">
        <f>C396</f>
        <v>350.71</v>
      </c>
      <c r="D414" s="263">
        <f>D396</f>
        <v>330.375</v>
      </c>
      <c r="E414" s="263">
        <f>E396</f>
        <v>501.444</v>
      </c>
      <c r="F414" s="263">
        <f>F396</f>
        <v>594.713</v>
      </c>
      <c r="G414" s="263">
        <f>G396</f>
        <v>770.228</v>
      </c>
      <c r="H414" s="263">
        <f>H396</f>
        <v>646.063</v>
      </c>
      <c r="I414" s="263">
        <f>I396</f>
        <v>525.334</v>
      </c>
      <c r="J414" s="263">
        <f>J396</f>
        <v>1162.438</v>
      </c>
      <c r="K414" s="263">
        <f>K396</f>
        <v>985.826</v>
      </c>
      <c r="L414" s="263">
        <f>L396</f>
        <v>685.213</v>
      </c>
      <c r="M414" s="34" t="n"/>
      <c r="N414" s="34" t="n"/>
      <c r="O414" s="34" t="n"/>
      <c r="P414" s="34" t="n"/>
      <c r="Q414" s="263">
        <f>Q396</f>
        <v>286.388</v>
      </c>
      <c r="R414" s="34" t="n"/>
      <c r="S414" s="34" t="n"/>
      <c r="T414" s="34" t="n"/>
      <c r="U414" s="34" t="n"/>
      <c r="V414" s="263">
        <f>V396</f>
        <v>601.916</v>
      </c>
      <c r="W414" s="34" t="n"/>
      <c r="X414" s="34" t="n"/>
      <c r="Y414" s="34" t="n"/>
      <c r="Z414" s="34" t="n"/>
      <c r="AA414" s="263">
        <f>AA396</f>
        <v>508.262</v>
      </c>
      <c r="AB414" s="34" t="n"/>
      <c r="AC414" s="34" t="n"/>
      <c r="AD414" s="34" t="n"/>
      <c r="AE414" s="34" t="n"/>
      <c r="AF414" s="263">
        <f>AF396</f>
        <v>287.481</v>
      </c>
      <c r="AG414" s="34" t="n"/>
      <c r="AH414" s="34" t="n"/>
      <c r="AI414" s="34" t="n"/>
      <c r="AJ414" s="34" t="n"/>
      <c r="AK414" s="263">
        <f>AK396</f>
        <v>374.771</v>
      </c>
      <c r="AL414" s="34" t="n"/>
      <c r="AM414" s="34" t="n"/>
      <c r="AN414" s="34" t="n"/>
      <c r="AO414" s="35" t="n"/>
      <c r="AP414" s="254">
        <f>AP396</f>
        <v>978.813409629704</v>
      </c>
      <c r="AQ414" s="254">
        <f>AQ396</f>
        <v>1280.97710741537</v>
      </c>
      <c r="AR414" s="254">
        <f>AR396</f>
        <v>1423.75461210169</v>
      </c>
      <c r="AS414" s="254">
        <f>AS396</f>
        <v>1558.45655522614</v>
      </c>
      <c r="AT414" s="254">
        <f>AT396</f>
        <v>1669.78422258004</v>
      </c>
      <c r="AU414" s="254">
        <f>AU396</f>
        <v>1778.44603861706</v>
      </c>
      <c r="AV414" s="19" t="n"/>
    </row>
    <row r="415" ht="15" customHeight="1" s="251">
      <c r="B415" s="25" t="inlineStr">
        <is>
          <t>Adjusted EBITDA</t>
        </is>
      </c>
      <c r="C415" s="263">
        <f>C214</f>
        <v>287.825</v>
      </c>
      <c r="D415" s="263">
        <f>D214</f>
        <v>291.885</v>
      </c>
      <c r="E415" s="263">
        <f>E214</f>
        <v>300.234</v>
      </c>
      <c r="F415" s="263">
        <f>F214</f>
        <v>327.13</v>
      </c>
      <c r="G415" s="263">
        <f>G214</f>
        <v>340.261</v>
      </c>
      <c r="H415" s="263">
        <f>H214</f>
        <v>320.273</v>
      </c>
      <c r="I415" s="263">
        <f>I214</f>
        <v>359.369</v>
      </c>
      <c r="J415" s="263">
        <f>J214</f>
        <v>423.736</v>
      </c>
      <c r="K415" s="263">
        <f>K214</f>
        <v>544.894</v>
      </c>
      <c r="L415" s="263">
        <f>L214</f>
        <v>474.316</v>
      </c>
      <c r="M415" s="34" t="n"/>
      <c r="N415" s="34" t="n"/>
      <c r="O415" s="34" t="n"/>
      <c r="P415" s="34" t="n"/>
      <c r="Q415" s="263">
        <f>Q214</f>
        <v>413.118</v>
      </c>
      <c r="R415" s="34" t="n"/>
      <c r="S415" s="34" t="n"/>
      <c r="T415" s="34" t="n"/>
      <c r="U415" s="34" t="n"/>
      <c r="V415" s="263">
        <f>V214</f>
        <v>356.091</v>
      </c>
      <c r="W415" s="34" t="n"/>
      <c r="X415" s="34" t="n"/>
      <c r="Y415" s="34" t="n"/>
      <c r="Z415" s="34" t="n"/>
      <c r="AA415" s="263">
        <f>AA214</f>
        <v>475.534</v>
      </c>
      <c r="AB415" s="34" t="n"/>
      <c r="AC415" s="34" t="n"/>
      <c r="AD415" s="34" t="n"/>
      <c r="AE415" s="34" t="n"/>
      <c r="AF415" s="263">
        <f>AF214</f>
        <v>619.785</v>
      </c>
      <c r="AG415" s="34" t="n"/>
      <c r="AH415" s="34" t="n"/>
      <c r="AI415" s="34" t="n"/>
      <c r="AJ415" s="34" t="n"/>
      <c r="AK415" s="263">
        <f>AK214</f>
        <v>669.511</v>
      </c>
      <c r="AL415" s="34" t="n"/>
      <c r="AM415" s="34" t="n"/>
      <c r="AN415" s="34" t="n"/>
      <c r="AO415" s="35" t="n"/>
      <c r="AP415" s="254">
        <f>AP214</f>
        <v>913.500697901045</v>
      </c>
      <c r="AQ415" s="254">
        <f>AQ214</f>
        <v>1024.78168593229</v>
      </c>
      <c r="AR415" s="254">
        <f>AR214</f>
        <v>1139.00368968135</v>
      </c>
      <c r="AS415" s="254">
        <f>AS214</f>
        <v>1246.76524418091</v>
      </c>
      <c r="AT415" s="254">
        <f>AT214</f>
        <v>1335.82737806403</v>
      </c>
      <c r="AU415" s="254">
        <f>AU214</f>
        <v>1422.75683089365</v>
      </c>
      <c r="AV415" s="19" t="n"/>
    </row>
    <row r="416" ht="15" customHeight="1" s="251">
      <c r="B416" s="55" t="inlineStr">
        <is>
          <t>Net debt / adjusted EBITDA (x)</t>
        </is>
      </c>
      <c r="C416" s="294">
        <f>IFERROR(C414/C415,"n/a")</f>
        <v>1.21848345348736</v>
      </c>
      <c r="D416" s="294">
        <f>IFERROR(D414/D415,"n/a")</f>
        <v>1.13186700241533</v>
      </c>
      <c r="E416" s="294">
        <f>IFERROR(E414/E415,"n/a")</f>
        <v>1.67017726173585</v>
      </c>
      <c r="F416" s="294">
        <f>IFERROR(F414/F415,"n/a")</f>
        <v>1.81797144865955</v>
      </c>
      <c r="G416" s="294">
        <f>IFERROR(G414/G415,"n/a")</f>
        <v>2.26363879492507</v>
      </c>
      <c r="H416" s="294">
        <f>IFERROR(H414/H415,"n/a")</f>
        <v>2.01722592912921</v>
      </c>
      <c r="I416" s="294">
        <f>IFERROR(I414/I415,"n/a")</f>
        <v>1.46182336261614</v>
      </c>
      <c r="J416" s="294">
        <f>IFERROR(J414/J415,"n/a")</f>
        <v>2.74330715351068</v>
      </c>
      <c r="K416" s="294">
        <f>IFERROR(K414/K415,"n/a")</f>
        <v>1.80920692832</v>
      </c>
      <c r="L416" s="294">
        <f>IFERROR(L414/L415,"n/a")</f>
        <v>1.44463395710876</v>
      </c>
      <c r="M416" s="56" t="n"/>
      <c r="N416" s="56" t="n"/>
      <c r="O416" s="56" t="n"/>
      <c r="P416" s="56" t="n"/>
      <c r="Q416" s="294">
        <f>IFERROR(Q414/Q415,"n/a")</f>
        <v>0.69323534680164</v>
      </c>
      <c r="R416" s="56" t="n"/>
      <c r="S416" s="56" t="n"/>
      <c r="T416" s="56" t="n"/>
      <c r="U416" s="56" t="n"/>
      <c r="V416" s="294">
        <f>IFERROR(V414/V415,"n/a")</f>
        <v>1.69034319878907</v>
      </c>
      <c r="W416" s="56" t="n"/>
      <c r="X416" s="56" t="n"/>
      <c r="Y416" s="56" t="n"/>
      <c r="Z416" s="56" t="n"/>
      <c r="AA416" s="294">
        <f>IFERROR(AA414/AA415,"n/a")</f>
        <v>1.0688236803257</v>
      </c>
      <c r="AB416" s="56" t="n"/>
      <c r="AC416" s="56" t="n"/>
      <c r="AD416" s="56" t="n"/>
      <c r="AE416" s="56" t="n"/>
      <c r="AF416" s="294">
        <f>IFERROR(AF414/AF415,"n/a")</f>
        <v>0.463839879958373</v>
      </c>
      <c r="AG416" s="56" t="n"/>
      <c r="AH416" s="56" t="n"/>
      <c r="AI416" s="56" t="n"/>
      <c r="AJ416" s="56" t="n"/>
      <c r="AK416" s="294">
        <f>IFERROR(AK414/AK415,"n/a")</f>
        <v>0.559768248766637</v>
      </c>
      <c r="AL416" s="56" t="n"/>
      <c r="AM416" s="56" t="n"/>
      <c r="AN416" s="56" t="n"/>
      <c r="AO416" s="56" t="n"/>
      <c r="AP416" s="294">
        <f>IFERROR(AP414/AP415,"n/a")</f>
        <v>1.07149716675502</v>
      </c>
      <c r="AQ416" s="294">
        <f>IFERROR(AQ414/AQ415,"n/a")</f>
        <v>1.25</v>
      </c>
      <c r="AR416" s="294">
        <f>IFERROR(AR414/AR415,"n/a")</f>
        <v>1.25</v>
      </c>
      <c r="AS416" s="294">
        <f>IFERROR(AS414/AS415,"n/a")</f>
        <v>1.25</v>
      </c>
      <c r="AT416" s="294">
        <f>IFERROR(AT414/AT415,"n/a")</f>
        <v>1.25</v>
      </c>
      <c r="AU416" s="294">
        <f>IFERROR(AU414/AU415,"n/a")</f>
        <v>1.25</v>
      </c>
      <c r="AV416" s="153" t="n"/>
      <c r="AX416" s="37">
        <f>IFERROR(AVERAGE(AQ416,AR416,AS416,AT416,AU416),"n/m")</f>
        <v>1.25</v>
      </c>
      <c r="AY416" s="37">
        <f>IFERROR(AVERAGE(Q416,V416,AA416,AF416,AK416),"n/m")</f>
        <v>0.895202070928284</v>
      </c>
      <c r="AZ416" s="37">
        <f>IFERROR(AVERAGE(H416,I416,J416,K416,L416,Q416,V416,AA416,AF416,AK416),"n/m")</f>
        <v>1.39522076853262</v>
      </c>
      <c r="BA416" s="37">
        <f>IFERROR(AVERAGE(C416,D416,E416,F416,G416,H416,I416,J416,K416,L416,Q416,V416,AA416,AF416,AK416),"n/m")</f>
        <v>1.47028970976996</v>
      </c>
    </row>
    <row r="417" ht="15" customHeight="1" s="251">
      <c r="B417" s="25" t="inlineStr">
        <is>
          <t>Total debt / EBITDA (x) — company "EBITDA leverage" definition</t>
        </is>
      </c>
      <c r="C417" s="285">
        <f>IFERROR(C365/C210,"n/a")</f>
        <v>1.47745678797881</v>
      </c>
      <c r="D417" s="285">
        <f>IFERROR(D365/D210,"n/a")</f>
        <v>1.34369357795022</v>
      </c>
      <c r="E417" s="285">
        <f>IFERROR(E365/E210,"n/a")</f>
        <v>1.831904447864</v>
      </c>
      <c r="F417" s="285">
        <f>IFERROR(F365/F210,"n/a")</f>
        <v>2.17039097606456</v>
      </c>
      <c r="G417" s="285">
        <f>IFERROR(G365/G210,"n/a")</f>
        <v>2.50522393104117</v>
      </c>
      <c r="H417" s="285">
        <f>IFERROR(H365/H210,"n/a")</f>
        <v>2.27041617619968</v>
      </c>
      <c r="I417" s="285">
        <f>IFERROR(I365/I210,"n/a")</f>
        <v>1.70545038664993</v>
      </c>
      <c r="J417" s="285">
        <f>IFERROR(J365/J210,"n/a")</f>
        <v>3.40627383441998</v>
      </c>
      <c r="K417" s="285">
        <f>IFERROR(K365/K210,"n/a")</f>
        <v>2.14744736779598</v>
      </c>
      <c r="L417" s="285">
        <f>IFERROR(L365/L210,"n/a")</f>
        <v>1.87544007193247</v>
      </c>
      <c r="M417" s="34" t="n"/>
      <c r="N417" s="34" t="n"/>
      <c r="O417" s="34" t="n"/>
      <c r="P417" s="34" t="n"/>
      <c r="Q417" s="285">
        <f>IFERROR(Q365/Q210,"n/a")</f>
        <v>1.80061748058122</v>
      </c>
      <c r="R417" s="34" t="n"/>
      <c r="S417" s="34" t="n"/>
      <c r="T417" s="34" t="n"/>
      <c r="U417" s="34" t="n"/>
      <c r="V417" s="285">
        <f>IFERROR(V365/V210,"n/a")</f>
        <v>2.00918877757553</v>
      </c>
      <c r="W417" s="34" t="n"/>
      <c r="X417" s="34" t="n"/>
      <c r="Y417" s="34" t="n"/>
      <c r="Z417" s="34" t="n"/>
      <c r="AA417" s="285">
        <f>IFERROR(AA365/AA210,"n/a")</f>
        <v>1.4653291214502</v>
      </c>
      <c r="AB417" s="34" t="n"/>
      <c r="AC417" s="34" t="n"/>
      <c r="AD417" s="34" t="n"/>
      <c r="AE417" s="34" t="n"/>
      <c r="AF417" s="285">
        <f>IFERROR(AF365/AF210,"n/a")</f>
        <v>0.931510589527861</v>
      </c>
      <c r="AG417" s="34" t="n"/>
      <c r="AH417" s="34" t="n"/>
      <c r="AI417" s="34" t="n"/>
      <c r="AJ417" s="34" t="n"/>
      <c r="AK417" s="285">
        <f>IFERROR(AK365/AK210,"n/a")</f>
        <v>1.0384700135613</v>
      </c>
      <c r="AL417" s="34" t="n"/>
      <c r="AM417" s="34" t="n"/>
      <c r="AN417" s="34" t="n"/>
      <c r="AO417" s="35" t="n"/>
      <c r="AP417" s="286">
        <f>IFERROR(AP365/AP210,"n/a")</f>
        <v>1.43457738648366</v>
      </c>
      <c r="AQ417" s="286">
        <f>IFERROR(AQ365/AQ210,"n/a")</f>
        <v>1.3671332829373</v>
      </c>
      <c r="AR417" s="286">
        <f>IFERROR(AR365/AR210,"n/a")</f>
        <v>1.5363181315306</v>
      </c>
      <c r="AS417" s="286">
        <f>IFERROR(AS365/AS210,"n/a")</f>
        <v>1.49301771070018</v>
      </c>
      <c r="AT417" s="286">
        <f>IFERROR(AT365/AT210,"n/a")</f>
        <v>1.47679096633858</v>
      </c>
      <c r="AU417" s="286">
        <f>IFERROR(AU365/AU210,"n/a")</f>
        <v>1.4629146898486</v>
      </c>
      <c r="AV417" s="19" t="n"/>
    </row>
    <row r="418" ht="15" customHeight="1" s="251">
      <c r="BD418" s="11" t="n"/>
      <c r="BE418" s="12" t="n"/>
      <c r="BF418" s="12" t="n"/>
      <c r="BG418" s="12" t="n"/>
      <c r="BH418" s="13" t="n"/>
    </row>
    <row r="419" ht="15" customHeight="1" s="251">
      <c r="B419" s="10" t="inlineStr">
        <is>
          <t>VALUATION</t>
        </is>
      </c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0" t="inlineStr">
        <is>
          <t>VALUATION — share price input $382.17 (weighted average price paid for shares repurchased in June 2026, Q3 FY26 10-Q Part II Item 2 — the latest share price in an SEC filing; ~$23bn market cap); update to market</t>
        </is>
      </c>
    </row>
    <row r="420" ht="15" customHeight="1" s="251">
      <c r="B420" s="69" t="inlineStr">
        <is>
          <t>Share price ($) — current</t>
        </is>
      </c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  <c r="AA420" s="44" t="n"/>
      <c r="AB420" s="44" t="n"/>
      <c r="AC420" s="44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153" t="n"/>
      <c r="AP420" s="288" t="n">
        <v>382.17</v>
      </c>
      <c r="AQ420" s="287">
        <f>AP420</f>
        <v>382.17</v>
      </c>
      <c r="AR420" s="287">
        <f>AQ420</f>
        <v>382.17</v>
      </c>
      <c r="AS420" s="287">
        <f>AR420</f>
        <v>382.17</v>
      </c>
      <c r="AT420" s="287">
        <f>AS420</f>
        <v>382.17</v>
      </c>
      <c r="AU420" s="287">
        <f>AT420</f>
        <v>382.17</v>
      </c>
      <c r="AV420" s="19" t="n"/>
    </row>
    <row r="421" ht="15" customHeight="1" s="251">
      <c r="B421" s="25" t="inlineStr">
        <is>
          <t>Diluted shares at period end (m)</t>
        </is>
      </c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I421" s="34" t="n"/>
      <c r="AJ421" s="34" t="n"/>
      <c r="AK421" s="34" t="n"/>
      <c r="AL421" s="34" t="n"/>
      <c r="AM421" s="34" t="n"/>
      <c r="AN421" s="34" t="n"/>
      <c r="AO421" s="35" t="n"/>
      <c r="AP421" s="254">
        <f>AP303+(AN175-AN174)</f>
        <v>60.3786726849308</v>
      </c>
      <c r="AQ421" s="254">
        <f>AQ303+N(AQ362)</f>
        <v>59.0095532147966</v>
      </c>
      <c r="AR421" s="254">
        <f>AR303+N(AR362)</f>
        <v>58.0113182900582</v>
      </c>
      <c r="AS421" s="254">
        <f>AS303+N(AS362)</f>
        <v>56.926361634281</v>
      </c>
      <c r="AT421" s="254">
        <f>AT303+N(AT362)</f>
        <v>55.8633459766468</v>
      </c>
      <c r="AU421" s="254">
        <f>AU303+N(AU362)</f>
        <v>54.8226301501489</v>
      </c>
      <c r="AV421" s="19" t="n"/>
    </row>
    <row r="422" ht="15" customHeight="1" s="251">
      <c r="B422" s="25" t="inlineStr">
        <is>
          <t>Market capitalisation (USDm)</t>
        </is>
      </c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  <c r="AG422" s="34" t="n"/>
      <c r="AH422" s="34" t="n"/>
      <c r="AI422" s="34" t="n"/>
      <c r="AJ422" s="34" t="n"/>
      <c r="AK422" s="34" t="n"/>
      <c r="AL422" s="34" t="n"/>
      <c r="AM422" s="34" t="n"/>
      <c r="AN422" s="34" t="n"/>
      <c r="AO422" s="35" t="n"/>
      <c r="AP422" s="267">
        <f>IFERROR(AP420*AP421,"n/a")</f>
        <v>23074.91734</v>
      </c>
      <c r="AQ422" s="267">
        <f>IFERROR(AQ420*AQ421,"n/a")</f>
        <v>22551.6809520988</v>
      </c>
      <c r="AR422" s="267">
        <f>IFERROR(AR420*AR421,"n/a")</f>
        <v>22170.1855109116</v>
      </c>
      <c r="AS422" s="267">
        <f>IFERROR(AS420*AS421,"n/a")</f>
        <v>21755.5476257732</v>
      </c>
      <c r="AT422" s="267">
        <f>IFERROR(AT420*AT421,"n/a")</f>
        <v>21349.2949318951</v>
      </c>
      <c r="AU422" s="267">
        <f>IFERROR(AU420*AU421,"n/a")</f>
        <v>20951.5645644824</v>
      </c>
      <c r="AV422" s="19" t="n"/>
    </row>
    <row r="423" ht="15" customHeight="1" s="251">
      <c r="B423" s="25" t="inlineStr">
        <is>
          <t>Net debt (USDm)</t>
        </is>
      </c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  <c r="AG423" s="34" t="n"/>
      <c r="AH423" s="34" t="n"/>
      <c r="AI423" s="34" t="n"/>
      <c r="AJ423" s="34" t="n"/>
      <c r="AK423" s="34" t="n"/>
      <c r="AL423" s="34" t="n"/>
      <c r="AM423" s="34" t="n"/>
      <c r="AN423" s="34" t="n"/>
      <c r="AO423" s="35" t="n"/>
      <c r="AP423" s="267">
        <f>AP414</f>
        <v>978.813409629704</v>
      </c>
      <c r="AQ423" s="267">
        <f>AQ414</f>
        <v>1280.97710741537</v>
      </c>
      <c r="AR423" s="267">
        <f>AR414</f>
        <v>1423.75461210169</v>
      </c>
      <c r="AS423" s="267">
        <f>AS414</f>
        <v>1558.45655522614</v>
      </c>
      <c r="AT423" s="267">
        <f>AT414</f>
        <v>1669.78422258004</v>
      </c>
      <c r="AU423" s="267">
        <f>AU414</f>
        <v>1778.44603861706</v>
      </c>
      <c r="AV423" s="19" t="n"/>
    </row>
    <row r="424" ht="15" customHeight="1" s="251">
      <c r="B424" s="25" t="inlineStr">
        <is>
          <t>Noncontrolling interests (USDm)</t>
        </is>
      </c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  <c r="AG424" s="34" t="n"/>
      <c r="AH424" s="34" t="n"/>
      <c r="AI424" s="34" t="n"/>
      <c r="AJ424" s="34" t="n"/>
      <c r="AK424" s="34" t="n"/>
      <c r="AL424" s="34" t="n"/>
      <c r="AM424" s="34" t="n"/>
      <c r="AN424" s="34" t="n"/>
      <c r="AO424" s="35" t="n"/>
      <c r="AP424" s="267">
        <f>AP328</f>
        <v>0</v>
      </c>
      <c r="AQ424" s="267">
        <f>AQ328</f>
        <v>0</v>
      </c>
      <c r="AR424" s="267">
        <f>AR328</f>
        <v>0</v>
      </c>
      <c r="AS424" s="267">
        <f>AS328</f>
        <v>0</v>
      </c>
      <c r="AT424" s="267">
        <f>AT328</f>
        <v>0</v>
      </c>
      <c r="AU424" s="267">
        <f>AU328</f>
        <v>0</v>
      </c>
      <c r="AV424" s="19" t="n"/>
    </row>
    <row r="425" ht="15" customHeight="1" s="251">
      <c r="B425" s="16" t="inlineStr">
        <is>
          <t>Enterprise value (USDm)</t>
        </is>
      </c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  <c r="AA425" s="43" t="n"/>
      <c r="AB425" s="43" t="n"/>
      <c r="AC425" s="43" t="n"/>
      <c r="AD425" s="43" t="n"/>
      <c r="AE425" s="43" t="n"/>
      <c r="AF425" s="43" t="n"/>
      <c r="AG425" s="43" t="n"/>
      <c r="AH425" s="43" t="n"/>
      <c r="AI425" s="43" t="n"/>
      <c r="AJ425" s="43" t="n"/>
      <c r="AK425" s="43" t="n"/>
      <c r="AL425" s="43" t="n"/>
      <c r="AM425" s="43" t="n"/>
      <c r="AN425" s="43" t="n"/>
      <c r="AO425" s="32" t="n"/>
      <c r="AP425" s="270">
        <f>IFERROR(AP422+AP423+AP424,"n/a")</f>
        <v>24053.7307496297</v>
      </c>
      <c r="AQ425" s="270">
        <f>IFERROR(AQ422+AQ423+AQ424,"n/a")</f>
        <v>23832.6580595142</v>
      </c>
      <c r="AR425" s="270">
        <f>IFERROR(AR422+AR423+AR424,"n/a")</f>
        <v>23593.9401230133</v>
      </c>
      <c r="AS425" s="270">
        <f>IFERROR(AS422+AS423+AS424,"n/a")</f>
        <v>23314.0041809993</v>
      </c>
      <c r="AT425" s="270">
        <f>IFERROR(AT422+AT423+AT424,"n/a")</f>
        <v>23019.0791544751</v>
      </c>
      <c r="AU425" s="270">
        <f>IFERROR(AU422+AU423+AU424,"n/a")</f>
        <v>22730.0106030995</v>
      </c>
      <c r="AV425" s="153" t="n"/>
    </row>
    <row r="426" ht="15" customHeight="1" s="251">
      <c r="B426" s="25" t="inlineStr">
        <is>
          <t>Multiples</t>
        </is>
      </c>
      <c r="AV426" s="153" t="n"/>
    </row>
    <row r="427" ht="15" customHeight="1" s="251">
      <c r="B427" s="25" t="inlineStr">
        <is>
          <t xml:space="preserve">  EV / Net sales</t>
        </is>
      </c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  <c r="AD427" s="34" t="n"/>
      <c r="AE427" s="34" t="n"/>
      <c r="AF427" s="34" t="n"/>
      <c r="AG427" s="34" t="n"/>
      <c r="AH427" s="34" t="n"/>
      <c r="AI427" s="34" t="n"/>
      <c r="AJ427" s="34" t="n"/>
      <c r="AK427" s="34" t="n"/>
      <c r="AL427" s="34" t="n"/>
      <c r="AM427" s="34" t="n"/>
      <c r="AN427" s="34" t="n"/>
      <c r="AO427" s="35" t="n"/>
      <c r="AP427" s="292">
        <f>IFERROR(AP425/AP150,"n/a")</f>
        <v>5.55002917215797</v>
      </c>
      <c r="AQ427" s="292">
        <f>IFERROR(AQ425/AQ150,"n/a")</f>
        <v>5.06320762209696</v>
      </c>
      <c r="AR427" s="292">
        <f>IFERROR(AR425/AR150,"n/a")</f>
        <v>4.6247989943899</v>
      </c>
      <c r="AS427" s="292">
        <f>IFERROR(AS425/AS150,"n/a")</f>
        <v>4.26479860002541</v>
      </c>
      <c r="AT427" s="292">
        <f>IFERROR(AT425/AT150,"n/a")</f>
        <v>3.97135019560841</v>
      </c>
      <c r="AU427" s="292">
        <f>IFERROR(AU425/AU150,"n/a")</f>
        <v>3.71192290637744</v>
      </c>
      <c r="AV427" s="19" t="n"/>
    </row>
    <row r="428" ht="15" customHeight="1" s="251">
      <c r="B428" s="25" t="inlineStr">
        <is>
          <t xml:space="preserve">  EV / Adjusted EBITDA</t>
        </is>
      </c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  <c r="AD428" s="34" t="n"/>
      <c r="AE428" s="34" t="n"/>
      <c r="AF428" s="34" t="n"/>
      <c r="AG428" s="34" t="n"/>
      <c r="AH428" s="34" t="n"/>
      <c r="AI428" s="34" t="n"/>
      <c r="AJ428" s="34" t="n"/>
      <c r="AK428" s="34" t="n"/>
      <c r="AL428" s="34" t="n"/>
      <c r="AM428" s="34" t="n"/>
      <c r="AN428" s="34" t="n"/>
      <c r="AO428" s="35" t="n"/>
      <c r="AP428" s="292">
        <f>IFERROR(AP425/AP214,"n/a")</f>
        <v>26.3313764345206</v>
      </c>
      <c r="AQ428" s="292">
        <f>IFERROR(AQ425/AQ214,"n/a")</f>
        <v>23.2563270662204</v>
      </c>
      <c r="AR428" s="292">
        <f>IFERROR(AR425/AR214,"n/a")</f>
        <v>20.7145423116354</v>
      </c>
      <c r="AS428" s="292">
        <f>IFERROR(AS425/AS214,"n/a")</f>
        <v>18.6995942418301</v>
      </c>
      <c r="AT428" s="292">
        <f>IFERROR(AT425/AT214,"n/a")</f>
        <v>17.2320761892423</v>
      </c>
      <c r="AU428" s="292">
        <f>IFERROR(AU425/AU214,"n/a")</f>
        <v>15.9760333667296</v>
      </c>
      <c r="AV428" s="19" t="n"/>
    </row>
    <row r="429" ht="15" customHeight="1" s="251">
      <c r="B429" s="25" t="inlineStr">
        <is>
          <t xml:space="preserve">  EV / Adjusted EBIT</t>
        </is>
      </c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  <c r="AD429" s="34" t="n"/>
      <c r="AE429" s="34" t="n"/>
      <c r="AF429" s="34" t="n"/>
      <c r="AG429" s="34" t="n"/>
      <c r="AH429" s="34" t="n"/>
      <c r="AI429" s="34" t="n"/>
      <c r="AJ429" s="34" t="n"/>
      <c r="AK429" s="34" t="n"/>
      <c r="AL429" s="34" t="n"/>
      <c r="AM429" s="34" t="n"/>
      <c r="AN429" s="34" t="n"/>
      <c r="AO429" s="35" t="n"/>
      <c r="AP429" s="292">
        <f>IFERROR(AP425/AP192,"n/a")</f>
        <v>30.4077416259313</v>
      </c>
      <c r="AQ429" s="292">
        <f>IFERROR(AQ425/AQ192,"n/a")</f>
        <v>26.9988475321982</v>
      </c>
      <c r="AR429" s="292">
        <f>IFERROR(AR425/AR192,"n/a")</f>
        <v>24.190121754867</v>
      </c>
      <c r="AS429" s="292">
        <f>IFERROR(AS425/AS192,"n/a")</f>
        <v>21.8549126227766</v>
      </c>
      <c r="AT429" s="292">
        <f>IFERROR(AT425/AT192,"n/a")</f>
        <v>20.1107679954646</v>
      </c>
      <c r="AU429" s="292">
        <f>IFERROR(AU425/AU192,"n/a")</f>
        <v>18.6075844511442</v>
      </c>
      <c r="AV429" s="19" t="n"/>
    </row>
    <row r="430" ht="15" customHeight="1" s="251">
      <c r="B430" s="25" t="inlineStr">
        <is>
          <t xml:space="preserve">  EV / IC</t>
        </is>
      </c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  <c r="AD430" s="34" t="n"/>
      <c r="AE430" s="34" t="n"/>
      <c r="AF430" s="34" t="n"/>
      <c r="AG430" s="34" t="n"/>
      <c r="AH430" s="34" t="n"/>
      <c r="AI430" s="34" t="n"/>
      <c r="AJ430" s="34" t="n"/>
      <c r="AK430" s="34" t="n"/>
      <c r="AL430" s="34" t="n"/>
      <c r="AM430" s="34" t="n"/>
      <c r="AN430" s="34" t="n"/>
      <c r="AO430" s="35" t="n"/>
      <c r="AP430" s="292">
        <f>IFERROR(AP425/AP394,"n/a")</f>
        <v>7.08680993484476</v>
      </c>
      <c r="AQ430" s="292">
        <f>IFERROR(AQ425/AQ394,"n/a")</f>
        <v>6.488570472908</v>
      </c>
      <c r="AR430" s="292">
        <f>IFERROR(AR425/AR394,"n/a")</f>
        <v>6.05750262185124</v>
      </c>
      <c r="AS430" s="292">
        <f>IFERROR(AS425/AS394,"n/a")</f>
        <v>5.70051921582721</v>
      </c>
      <c r="AT430" s="292">
        <f>IFERROR(AT425/AT394,"n/a")</f>
        <v>5.39661228159252</v>
      </c>
      <c r="AU430" s="292">
        <f>IFERROR(AU425/AU394,"n/a")</f>
        <v>5.11973348362321</v>
      </c>
      <c r="AV430" s="19" t="n"/>
    </row>
    <row r="431" ht="15" customHeight="1" s="251">
      <c r="B431" s="25" t="inlineStr">
        <is>
          <t xml:space="preserve">  P / E (GAAP diluted)</t>
        </is>
      </c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  <c r="AD431" s="34" t="n"/>
      <c r="AE431" s="34" t="n"/>
      <c r="AF431" s="34" t="n"/>
      <c r="AG431" s="34" t="n"/>
      <c r="AH431" s="34" t="n"/>
      <c r="AI431" s="34" t="n"/>
      <c r="AJ431" s="34" t="n"/>
      <c r="AK431" s="34" t="n"/>
      <c r="AL431" s="34" t="n"/>
      <c r="AM431" s="34" t="n"/>
      <c r="AN431" s="34" t="n"/>
      <c r="AO431" s="35" t="n"/>
      <c r="AP431" s="292">
        <f>IFERROR(AP420/AP176,"n/a")</f>
        <v>41.8680100201567</v>
      </c>
      <c r="AQ431" s="292">
        <f>IFERROR(AQ420/AQ176,"n/a")</f>
        <v>30.8818109032777</v>
      </c>
      <c r="AR431" s="292">
        <f>IFERROR(AR420/AR176,"n/a")</f>
        <v>32.6388957847121</v>
      </c>
      <c r="AS431" s="292">
        <f>IFERROR(AS420/AS176,"n/a")</f>
        <v>28.8425964906959</v>
      </c>
      <c r="AT431" s="292">
        <f>IFERROR(AT420/AT176,"n/a")</f>
        <v>26.4119966552612</v>
      </c>
      <c r="AU431" s="292">
        <f>IFERROR(AU420/AU176,"n/a")</f>
        <v>24.2918014405613</v>
      </c>
      <c r="AV431" s="19" t="n"/>
    </row>
    <row r="432" ht="15" customHeight="1" s="251">
      <c r="B432" s="25" t="inlineStr">
        <is>
          <t xml:space="preserve">  P / E (adjusted EPS)</t>
        </is>
      </c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  <c r="AD432" s="34" t="n"/>
      <c r="AE432" s="34" t="n"/>
      <c r="AF432" s="34" t="n"/>
      <c r="AG432" s="34" t="n"/>
      <c r="AH432" s="34" t="n"/>
      <c r="AI432" s="34" t="n"/>
      <c r="AJ432" s="34" t="n"/>
      <c r="AK432" s="34" t="n"/>
      <c r="AL432" s="34" t="n"/>
      <c r="AM432" s="34" t="n"/>
      <c r="AN432" s="34" t="n"/>
      <c r="AO432" s="35" t="n"/>
      <c r="AP432" s="292">
        <f>IFERROR(AP420/AP231,"n/a")</f>
        <v>40.6563829787234</v>
      </c>
      <c r="AQ432" s="292">
        <f>IFERROR(AQ420/AQ231,"n/a")</f>
        <v>35.823789099371</v>
      </c>
      <c r="AR432" s="292">
        <f>IFERROR(AR420/AR231,"n/a")</f>
        <v>32.0230682575863</v>
      </c>
      <c r="AS432" s="292">
        <f>IFERROR(AS420/AS231,"n/a")</f>
        <v>28.784005847786</v>
      </c>
      <c r="AT432" s="292">
        <f>IFERROR(AT420/AT231,"n/a")</f>
        <v>26.3619224641363</v>
      </c>
      <c r="AU432" s="292">
        <f>IFERROR(AU420/AU231,"n/a")</f>
        <v>24.2486336821508</v>
      </c>
      <c r="AV432" s="19" t="n"/>
    </row>
    <row r="433" ht="15" customHeight="1" s="251">
      <c r="B433" s="25" t="inlineStr">
        <is>
          <t xml:space="preserve">  FCF yield</t>
        </is>
      </c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  <c r="AD433" s="34" t="n"/>
      <c r="AE433" s="34" t="n"/>
      <c r="AF433" s="34" t="n"/>
      <c r="AG433" s="34" t="n"/>
      <c r="AH433" s="34" t="n"/>
      <c r="AI433" s="34" t="n"/>
      <c r="AJ433" s="34" t="n"/>
      <c r="AK433" s="34" t="n"/>
      <c r="AL433" s="34" t="n"/>
      <c r="AM433" s="34" t="n"/>
      <c r="AN433" s="34" t="n"/>
      <c r="AO433" s="35" t="n"/>
      <c r="AP433" s="256">
        <f>IFERROR(AP285/AP422,"n/a")</f>
        <v>0.0126872020248756</v>
      </c>
      <c r="AQ433" s="256">
        <f>IFERROR(AQ285/AQ422,"n/a")</f>
        <v>0.0186530847427019</v>
      </c>
      <c r="AR433" s="256">
        <f>IFERROR(AR285/AR422,"n/a")</f>
        <v>0.0273561656243003</v>
      </c>
      <c r="AS433" s="256">
        <f>IFERROR(AS285/AS422,"n/a")</f>
        <v>0.0327792476144717</v>
      </c>
      <c r="AT433" s="256">
        <f>IFERROR(AT285/AT422,"n/a")</f>
        <v>0.0369854106385662</v>
      </c>
      <c r="AU433" s="256">
        <f>IFERROR(AU285/AU422,"n/a")</f>
        <v>0.0404988266360244</v>
      </c>
      <c r="AV433" s="19" t="n"/>
    </row>
    <row r="434" ht="15" customHeight="1" s="251">
      <c r="B434" s="25" t="inlineStr">
        <is>
          <t xml:space="preserve">  Dividend yield</t>
        </is>
      </c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  <c r="AD434" s="34" t="n"/>
      <c r="AE434" s="34" t="n"/>
      <c r="AF434" s="34" t="n"/>
      <c r="AG434" s="34" t="n"/>
      <c r="AH434" s="34" t="n"/>
      <c r="AI434" s="34" t="n"/>
      <c r="AJ434" s="34" t="n"/>
      <c r="AK434" s="34" t="n"/>
      <c r="AL434" s="34" t="n"/>
      <c r="AM434" s="34" t="n"/>
      <c r="AN434" s="34" t="n"/>
      <c r="AO434" s="35" t="n"/>
      <c r="AP434" s="256">
        <f>IFERROR(AP180/AP420,"n/a")</f>
        <v>0.0032446293534291</v>
      </c>
      <c r="AQ434" s="256">
        <f>IFERROR(AQ180/AQ420,"n/a")</f>
        <v>0.00356909228877201</v>
      </c>
      <c r="AR434" s="256">
        <f>IFERROR(AR180/AR420,"n/a")</f>
        <v>0.00392600151764921</v>
      </c>
      <c r="AS434" s="256">
        <f>IFERROR(AS180/AS420,"n/a")</f>
        <v>0.00431860166941414</v>
      </c>
      <c r="AT434" s="256">
        <f>IFERROR(AT180/AT420,"n/a")</f>
        <v>0.00475046183635555</v>
      </c>
      <c r="AU434" s="256">
        <f>IFERROR(AU180/AU420,"n/a")</f>
        <v>0.00522550801999111</v>
      </c>
      <c r="AV434" s="19" t="n"/>
    </row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AV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Woodward, Inc. (WWD) — Bull / Base / Bear Case P&amp;L Summary</t>
        </is>
      </c>
      <c r="J2" s="152" t="inlineStr">
        <is>
          <t>Share price ($):</t>
        </is>
      </c>
      <c r="K2" s="74">
        <f>Model!$AQ$420</f>
        <v>382.17</v>
      </c>
    </row>
    <row r="3" ht="15" customHeight="1" s="251">
      <c r="B3" s="4" t="inlineStr">
        <is>
          <t>Adjusted figures (company definitions: adjusted EBIT, adjusted EBITDA, adjusted EPS) · USD millions · fiscal years ended 30 September · Live panel linked to Model — toggle scenario via Model!AV2. Bull and Bear panels are value snapshots generated from the Model with the switch set to each case. FY2026E = Q1–Q3 actual + Q4 calibrated to the FY26 guidance (sales +20–23%, adjusted EPS $9.30–9.50).</t>
        </is>
      </c>
      <c r="J3" s="152" t="inlineStr">
        <is>
          <t>As of:</t>
        </is>
      </c>
      <c r="K3" s="295" t="str">
        <f>TODAY()</f>
        <v>2026-10-07 00:00:00</v>
      </c>
    </row>
    <row r="5" ht="15" customHeight="1" s="251">
      <c r="B5" s="10" t="inlineStr">
        <is>
          <t>Scenario:</t>
        </is>
      </c>
      <c r="C5" s="75" t="str">
        <f>Model!$AV$2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sales</t>
        </is>
      </c>
      <c r="C9" s="80">
        <f>Model!AP150</f>
        <v>4333.98276</v>
      </c>
      <c r="D9" s="81">
        <f>Model!AQ150</f>
        <v>4707.02760746037</v>
      </c>
      <c r="E9" s="81">
        <f>Model!AR150</f>
        <v>5101.6141786127</v>
      </c>
      <c r="F9" s="81">
        <f>Model!AS150</f>
        <v>5466.61316688212</v>
      </c>
      <c r="G9" s="81">
        <f>Model!AT150</f>
        <v>5796.28539934102</v>
      </c>
      <c r="H9" s="81">
        <f>Model!AU150</f>
        <v>6123.51365488953</v>
      </c>
      <c r="I9" s="296">
        <f>IFERROR((H9/C9)^(1/5)-1,"n/m")</f>
        <v>0.0715753191275013</v>
      </c>
      <c r="N9" s="79" t="inlineStr">
        <is>
          <t>Net sales</t>
        </is>
      </c>
      <c r="O9" s="80" t="n">
        <v>4387.48872</v>
      </c>
      <c r="P9" s="81" t="n">
        <v>4932.22848412829</v>
      </c>
      <c r="Q9" s="81" t="n">
        <v>5546.40126405909</v>
      </c>
      <c r="R9" s="81" t="n">
        <v>6161.68213801014</v>
      </c>
      <c r="S9" s="81" t="n">
        <v>6769.70706932527</v>
      </c>
      <c r="T9" s="81" t="n">
        <v>7405.53808688268</v>
      </c>
      <c r="U9" s="296" t="n">
        <v>0.110371027537948</v>
      </c>
      <c r="Z9" s="79" t="inlineStr">
        <is>
          <t>Net sales</t>
        </is>
      </c>
      <c r="AA9" s="80" t="n">
        <v>4280.4768</v>
      </c>
      <c r="AB9" s="81" t="n">
        <v>4379.05404943906</v>
      </c>
      <c r="AC9" s="81" t="n">
        <v>4457.43377874367</v>
      </c>
      <c r="AD9" s="81" t="n">
        <v>4485.84528492762</v>
      </c>
      <c r="AE9" s="81" t="n">
        <v>4466.63508216752</v>
      </c>
      <c r="AF9" s="81" t="n">
        <v>4432.50900374678</v>
      </c>
      <c r="AG9" s="296" t="n">
        <v>0.00700469591901576</v>
      </c>
    </row>
    <row r="10" ht="15" customHeight="1" s="251">
      <c r="B10" s="83" t="inlineStr">
        <is>
          <t xml:space="preserve">   Net sales y/y %</t>
        </is>
      </c>
      <c r="C10" s="297" t="n"/>
      <c r="D10" s="298">
        <f>IFERROR(D9/C9-1,"")</f>
        <v>0.0860743727232485</v>
      </c>
      <c r="E10" s="298">
        <f>IFERROR(E9/D9-1,"")</f>
        <v>0.0838292451327303</v>
      </c>
      <c r="F10" s="298">
        <f>IFERROR(F9/E9-1,"")</f>
        <v>0.0715457844302676</v>
      </c>
      <c r="G10" s="298">
        <f>IFERROR(G9/F9-1,"")</f>
        <v>0.0603064863737057</v>
      </c>
      <c r="H10" s="298">
        <f>IFERROR(H9/G9-1,"")</f>
        <v>0.0564548211490277</v>
      </c>
      <c r="N10" s="83" t="inlineStr">
        <is>
          <t xml:space="preserve">   Net sales y/y %</t>
        </is>
      </c>
      <c r="O10" s="297" t="n"/>
      <c r="P10" s="298" t="n">
        <v>0.124157530398914</v>
      </c>
      <c r="Q10" s="298" t="n">
        <v>0.124522369940318</v>
      </c>
      <c r="R10" s="298" t="n">
        <v>0.110933350231635</v>
      </c>
      <c r="S10" s="298" t="n">
        <v>0.0986783994526996</v>
      </c>
      <c r="T10" s="298" t="n">
        <v>0.0939229734826301</v>
      </c>
      <c r="Z10" s="83" t="inlineStr">
        <is>
          <t xml:space="preserve">   Net sales y/y %</t>
        </is>
      </c>
      <c r="AA10" s="297" t="n"/>
      <c r="AB10" s="298" t="n">
        <v>0.0230295020963693</v>
      </c>
      <c r="AC10" s="298" t="n">
        <v>0.01789878097409</v>
      </c>
      <c r="AD10" s="298" t="n">
        <v>0.0063739603534736</v>
      </c>
      <c r="AE10" s="298" t="n">
        <v>-0.00428240421591186</v>
      </c>
      <c r="AF10" s="298" t="n">
        <v>-0.00764022083580918</v>
      </c>
    </row>
    <row r="11" ht="15" customHeight="1" s="251">
      <c r="B11" s="79" t="inlineStr">
        <is>
          <t xml:space="preserve">   Aerospace segment sales y/y %</t>
        </is>
      </c>
      <c r="C11" s="86">
        <f>Model!AP242</f>
        <v>0.211589108128214</v>
      </c>
      <c r="D11" s="87">
        <f>Model!AQ242</f>
        <v>0.0977640504709325</v>
      </c>
      <c r="E11" s="87">
        <f>Model!AR242</f>
        <v>0.0830280713510911</v>
      </c>
      <c r="F11" s="87">
        <f>Model!AS242</f>
        <v>0.0701251883610861</v>
      </c>
      <c r="G11" s="87">
        <f>Model!AT242</f>
        <v>0.0597908861908603</v>
      </c>
      <c r="H11" s="87">
        <f>Model!AU242</f>
        <v>0.0564682041644318</v>
      </c>
      <c r="N11" s="79" t="inlineStr">
        <is>
          <t xml:space="preserve">   Aerospace segment sales y/y %</t>
        </is>
      </c>
      <c r="O11" s="86" t="n">
        <v>0.226958645273306</v>
      </c>
      <c r="P11" s="87" t="n">
        <v>0.129946819927783</v>
      </c>
      <c r="Q11" s="87" t="n">
        <v>0.115486818958368</v>
      </c>
      <c r="R11" s="87" t="n">
        <v>0.102775437089704</v>
      </c>
      <c r="S11" s="87" t="n">
        <v>0.09254293966740509</v>
      </c>
      <c r="T11" s="87" t="n">
        <v>0.08926243976469619</v>
      </c>
      <c r="Z11" s="79" t="inlineStr">
        <is>
          <t xml:space="preserve">   Aerospace segment sales y/y %</t>
        </is>
      </c>
      <c r="AA11" s="86" t="n">
        <v>0.196219570983122</v>
      </c>
      <c r="AB11" s="87" t="n">
        <v>0.0437589361278943</v>
      </c>
      <c r="AC11" s="87" t="n">
        <v>0.028788598265123</v>
      </c>
      <c r="AD11" s="87" t="n">
        <v>0.0157174582968536</v>
      </c>
      <c r="AE11" s="87" t="n">
        <v>0.00536163247374</v>
      </c>
      <c r="AF11" s="87" t="n">
        <v>0.002038584472424</v>
      </c>
    </row>
    <row r="12" ht="15" customHeight="1" s="251">
      <c r="B12" s="79" t="inlineStr">
        <is>
          <t>Adjusted EBITDA</t>
        </is>
      </c>
      <c r="C12" s="80">
        <f>Model!AP214</f>
        <v>913.500697901045</v>
      </c>
      <c r="D12" s="81">
        <f>Model!AQ214</f>
        <v>1024.78168593229</v>
      </c>
      <c r="E12" s="81">
        <f>Model!AR214</f>
        <v>1139.00368968135</v>
      </c>
      <c r="F12" s="81">
        <f>Model!AS214</f>
        <v>1246.76524418091</v>
      </c>
      <c r="G12" s="81">
        <f>Model!AT214</f>
        <v>1335.82737806403</v>
      </c>
      <c r="H12" s="81">
        <f>Model!AU214</f>
        <v>1422.75683089365</v>
      </c>
      <c r="I12" s="296">
        <f>IFERROR((H12/C12)^(1/5)-1,"n/m")</f>
        <v>0.0926582751480176</v>
      </c>
      <c r="N12" s="79" t="inlineStr">
        <is>
          <t>Adjusted EBITDA</t>
        </is>
      </c>
      <c r="O12" s="80" t="n">
        <v>921.13376739478</v>
      </c>
      <c r="P12" s="81" t="n">
        <v>1121.04043790004</v>
      </c>
      <c r="Q12" s="81" t="n">
        <v>1289.21376520811</v>
      </c>
      <c r="R12" s="81" t="n">
        <v>1459.44205589569</v>
      </c>
      <c r="S12" s="81" t="n">
        <v>1617.09279652837</v>
      </c>
      <c r="T12" s="81" t="n">
        <v>1780.5845656052</v>
      </c>
      <c r="U12" s="296" t="n">
        <v>0.140901051165232</v>
      </c>
      <c r="Z12" s="79" t="inlineStr">
        <is>
          <t>Adjusted EBITDA</t>
        </is>
      </c>
      <c r="AA12" s="80" t="n">
        <v>905.859021050153</v>
      </c>
      <c r="AB12" s="81" t="n">
        <v>853.819298234313</v>
      </c>
      <c r="AC12" s="81" t="n">
        <v>896.800645658133</v>
      </c>
      <c r="AD12" s="81" t="n">
        <v>927.1343112624889</v>
      </c>
      <c r="AE12" s="81" t="n">
        <v>937.128105432489</v>
      </c>
      <c r="AF12" s="81" t="n">
        <v>941.22600729574</v>
      </c>
      <c r="AG12" s="296" t="n">
        <v>0.00768933233890734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0.210776264809379</v>
      </c>
      <c r="D13" s="89">
        <f>IFERROR(D12/D9,"")</f>
        <v>0.217713124161004</v>
      </c>
      <c r="E13" s="89">
        <f>IFERROR(E12/E9,"")</f>
        <v>0.223263392683899</v>
      </c>
      <c r="F13" s="89">
        <f>IFERROR(F12/F9,"")</f>
        <v>0.228069044968112</v>
      </c>
      <c r="G13" s="89">
        <f>IFERROR(G12/G9,"")</f>
        <v>0.230462664625848</v>
      </c>
      <c r="H13" s="89">
        <f>IFERROR(H12/H9,"")</f>
        <v>0.232343211933169</v>
      </c>
      <c r="J13" s="90">
        <f>IFERROR(AVERAGE(Model!C215,Model!D215,Model!E215,Model!F215,Model!G215,Model!H215,Model!I215,Model!J215,Model!K215,Model!L215,Model!Q215,Model!V215,Model!AA215,Model!AF215,Model!AK215),"")</f>
        <v>0.17136239255413</v>
      </c>
      <c r="K13" s="90">
        <f>IFERROR(MIN(Model!C215,Model!D215,Model!E215,Model!F215,Model!G215,Model!H215,Model!I215,Model!J215,Model!K215,Model!L215,Model!Q215,Model!V215,Model!AA215,Model!AF215,Model!AK215),"")</f>
        <v>0.149442879985227</v>
      </c>
      <c r="L13" s="90">
        <f>IFERROR(MAX(Model!C215,Model!D215,Model!E215,Model!F215,Model!G215,Model!H215,Model!I215,Model!J215,Model!K215,Model!L215,Model!Q215,Model!V215,Model!AA215,Model!AF215,Model!AK215),"")</f>
        <v>0.190055957029489</v>
      </c>
      <c r="N13" s="83" t="inlineStr">
        <is>
          <t xml:space="preserve">   Adjusted EBITDA margin %</t>
        </is>
      </c>
      <c r="O13" s="88" t="n">
        <v>0.209945557967105</v>
      </c>
      <c r="P13" s="89" t="n">
        <v>0.227288829280212</v>
      </c>
      <c r="Q13" s="89" t="n">
        <v>0.232441488422821</v>
      </c>
      <c r="R13" s="89" t="n">
        <v>0.236857731899654</v>
      </c>
      <c r="S13" s="89" t="n">
        <v>0.23887190095059</v>
      </c>
      <c r="T13" s="89" t="n">
        <v>0.240439593276702</v>
      </c>
      <c r="V13" s="90" t="n">
        <v>0.17136239255413</v>
      </c>
      <c r="W13" s="90" t="n">
        <v>0.149442879985227</v>
      </c>
      <c r="X13" s="90" t="n">
        <v>0.190055957029489</v>
      </c>
      <c r="Z13" s="83" t="inlineStr">
        <is>
          <t xml:space="preserve">   Adjusted EBITDA margin %</t>
        </is>
      </c>
      <c r="AA13" s="88" t="n">
        <v>0.211625728481966</v>
      </c>
      <c r="AB13" s="89" t="n">
        <v>0.194978022329659</v>
      </c>
      <c r="AC13" s="89" t="n">
        <v>0.201192141077842</v>
      </c>
      <c r="AD13" s="89" t="n">
        <v>0.206679957148243</v>
      </c>
      <c r="AE13" s="89" t="n">
        <v>0.209806283296761</v>
      </c>
      <c r="AF13" s="89" t="n">
        <v>0.212346101609749</v>
      </c>
      <c r="AH13" s="90" t="n">
        <v>0.17136239255413</v>
      </c>
      <c r="AI13" s="90" t="n">
        <v>0.149442879985227</v>
      </c>
      <c r="AJ13" s="90" t="n">
        <v>0.190055957029489</v>
      </c>
    </row>
    <row r="15" ht="15" customHeight="1" s="251">
      <c r="B15" s="79" t="inlineStr">
        <is>
          <t>EBIT (GAAP)</t>
        </is>
      </c>
      <c r="C15" s="80">
        <f>Model!AP160</f>
        <v>768.960697901045</v>
      </c>
      <c r="D15" s="81">
        <f>Model!AQ160</f>
        <v>1014.36471762737</v>
      </c>
      <c r="E15" s="81">
        <f>Model!AR160</f>
        <v>958.354335216035</v>
      </c>
      <c r="F15" s="81">
        <f>Model!AS160</f>
        <v>1064.76263517531</v>
      </c>
      <c r="G15" s="81">
        <f>Model!AT160</f>
        <v>1142.61462434783</v>
      </c>
      <c r="H15" s="81">
        <f>Model!AU160</f>
        <v>1219.54547586652</v>
      </c>
      <c r="I15" s="296">
        <f>IFERROR((H15/C15)^(1/5)-1,"n/m")</f>
        <v>0.0966265879302868</v>
      </c>
      <c r="N15" s="79" t="inlineStr">
        <is>
          <t>EBIT (GAAP)</t>
        </is>
      </c>
      <c r="O15" s="80" t="n">
        <v>776.593767394781</v>
      </c>
      <c r="P15" s="81" t="n">
        <v>1102.11051609842</v>
      </c>
      <c r="Q15" s="81" t="n">
        <v>1091.44473360663</v>
      </c>
      <c r="R15" s="81" t="n">
        <v>1250.70098697409</v>
      </c>
      <c r="S15" s="81" t="n">
        <v>1387.23774605925</v>
      </c>
      <c r="T15" s="81" t="n">
        <v>1530.04057534625</v>
      </c>
      <c r="U15" s="296" t="n">
        <v>0.14525397933437</v>
      </c>
      <c r="Z15" s="79" t="inlineStr">
        <is>
          <t>EBIT (GAAP)</t>
        </is>
      </c>
      <c r="AA15" s="80" t="n">
        <v>761.319021050153</v>
      </c>
      <c r="AB15" s="81" t="n">
        <v>854.279055097215</v>
      </c>
      <c r="AC15" s="81" t="n">
        <v>738.255801189541</v>
      </c>
      <c r="AD15" s="81" t="n">
        <v>779.298333854371</v>
      </c>
      <c r="AE15" s="81" t="n">
        <v>789.819593296133</v>
      </c>
      <c r="AF15" s="81" t="n">
        <v>795.980773198324</v>
      </c>
      <c r="AG15" s="296" t="n">
        <v>0.00894427274593213</v>
      </c>
    </row>
    <row r="16" ht="15" customHeight="1" s="251">
      <c r="B16" s="83" t="inlineStr">
        <is>
          <t xml:space="preserve">   EBIT y/y %</t>
        </is>
      </c>
      <c r="C16" s="297" t="n"/>
      <c r="D16" s="298">
        <f>IFERROR(D15/C15-1,"")</f>
        <v>0.319137272420009</v>
      </c>
      <c r="E16" s="298">
        <f>IFERROR(E15/D15-1,"")</f>
        <v>-0.0552172028837377</v>
      </c>
      <c r="F16" s="298">
        <f>IFERROR(F15/E15-1,"")</f>
        <v>0.111032314509525</v>
      </c>
      <c r="G16" s="298">
        <f>IFERROR(G15/F15-1,"")</f>
        <v>0.0731167554162946</v>
      </c>
      <c r="H16" s="298">
        <f>IFERROR(H15/G15-1,"")</f>
        <v>0.0673287824953239</v>
      </c>
      <c r="N16" s="83" t="inlineStr">
        <is>
          <t xml:space="preserve">   EBIT y/y %</t>
        </is>
      </c>
      <c r="O16" s="297" t="n"/>
      <c r="P16" s="298" t="n">
        <v>0.419159620345191</v>
      </c>
      <c r="Q16" s="298" t="n">
        <v>-0.009677597968617779</v>
      </c>
      <c r="R16" s="298" t="n">
        <v>0.14591325466495</v>
      </c>
      <c r="S16" s="298" t="n">
        <v>0.109168186886528</v>
      </c>
      <c r="T16" s="298" t="n">
        <v>0.10294041500288</v>
      </c>
      <c r="Z16" s="83" t="inlineStr">
        <is>
          <t xml:space="preserve">   EBIT y/y %</t>
        </is>
      </c>
      <c r="AA16" s="297" t="n"/>
      <c r="AB16" s="298" t="n">
        <v>0.122103916330416</v>
      </c>
      <c r="AC16" s="298" t="n">
        <v>-0.135814232147446</v>
      </c>
      <c r="AD16" s="298" t="n">
        <v>0.0555939182580056</v>
      </c>
      <c r="AE16" s="298" t="n">
        <v>0.0135009392227554</v>
      </c>
      <c r="AF16" s="298" t="n">
        <v>0.00780074330199687</v>
      </c>
    </row>
    <row r="17" ht="15" customHeight="1" s="251">
      <c r="B17" s="83" t="inlineStr">
        <is>
          <t xml:space="preserve">   EBIT margin (GAAP) %</t>
        </is>
      </c>
      <c r="C17" s="88">
        <f>IFERROR(C15/C9,"")</f>
        <v>0.177425878339453</v>
      </c>
      <c r="D17" s="89">
        <f>IFERROR(D15/D9,"")</f>
        <v>0.21550005698281</v>
      </c>
      <c r="E17" s="89">
        <f>IFERROR(E15/E9,"")</f>
        <v>0.187853158169763</v>
      </c>
      <c r="F17" s="89">
        <f>IFERROR(F15/F9,"")</f>
        <v>0.19477555895593</v>
      </c>
      <c r="G17" s="89">
        <f>IFERROR(G15/G9,"")</f>
        <v>0.197128772243985</v>
      </c>
      <c r="H17" s="89">
        <f>IFERROR(H15/H9,"")</f>
        <v>0.199157794788738</v>
      </c>
      <c r="J17" s="90">
        <f>IFERROR(AVERAGE(Model!C253,Model!D253,Model!E253,Model!F253,Model!G253,Model!H253,Model!I253,Model!J253,Model!K253,Model!L253,Model!Q253,Model!V253,Model!AA253,Model!AF253,Model!AK253),"")</f>
        <v>0.124668273470402</v>
      </c>
      <c r="K17" s="90">
        <f>IFERROR(MIN(Model!C253,Model!D253,Model!E253,Model!F253,Model!G253,Model!H253,Model!I253,Model!J253,Model!K253,Model!L253,Model!Q253,Model!V253,Model!AA253,Model!AF253,Model!AK253),"")</f>
        <v>0.0976288300689528</v>
      </c>
      <c r="L17" s="90">
        <f>IFERROR(MAX(Model!C253,Model!D253,Model!E253,Model!F253,Model!G253,Model!H253,Model!I253,Model!J253,Model!K253,Model!L253,Model!Q253,Model!V253,Model!AA253,Model!AF253,Model!AK253),"")</f>
        <v>0.157807933919885</v>
      </c>
      <c r="N17" s="83" t="inlineStr">
        <is>
          <t xml:space="preserve">   EBIT margin (GAAP) %</t>
        </is>
      </c>
      <c r="O17" s="88" t="n">
        <v>0.1770018835273</v>
      </c>
      <c r="P17" s="89" t="n">
        <v>0.223450823424942</v>
      </c>
      <c r="Q17" s="89" t="n">
        <v>0.196784307814013</v>
      </c>
      <c r="R17" s="89" t="n">
        <v>0.202980445755028</v>
      </c>
      <c r="S17" s="89" t="n">
        <v>0.204918430273751</v>
      </c>
      <c r="T17" s="89" t="n">
        <v>0.206607616812664</v>
      </c>
      <c r="V17" s="90" t="n">
        <v>0.124668273470402</v>
      </c>
      <c r="W17" s="90" t="n">
        <v>0.0976288300689528</v>
      </c>
      <c r="X17" s="90" t="n">
        <v>0.157807933919885</v>
      </c>
      <c r="Z17" s="83" t="inlineStr">
        <is>
          <t xml:space="preserve">   EBIT margin (GAAP) %</t>
        </is>
      </c>
      <c r="AA17" s="88" t="n">
        <v>0.177858462181165</v>
      </c>
      <c r="AB17" s="89" t="n">
        <v>0.195083012324693</v>
      </c>
      <c r="AC17" s="89" t="n">
        <v>0.165623503978924</v>
      </c>
      <c r="AD17" s="89" t="n">
        <v>0.173723854559319</v>
      </c>
      <c r="AE17" s="89" t="n">
        <v>0.176826532449313</v>
      </c>
      <c r="AF17" s="89" t="n">
        <v>0.179577925848652</v>
      </c>
      <c r="AH17" s="90" t="n">
        <v>0.124668273470402</v>
      </c>
      <c r="AI17" s="90" t="n">
        <v>0.0976288300689528</v>
      </c>
      <c r="AJ17" s="90" t="n">
        <v>0.157807933919885</v>
      </c>
    </row>
    <row r="19" ht="15" customHeight="1" s="251">
      <c r="B19" s="79" t="inlineStr">
        <is>
          <t>Adjusted Net Earnings</t>
        </is>
      </c>
      <c r="C19" s="80">
        <f>Model!AP228</f>
        <v>574.514690404794</v>
      </c>
      <c r="D19" s="81">
        <f>Model!AQ228</f>
        <v>637.49724736545</v>
      </c>
      <c r="E19" s="81">
        <f>Model!AR228</f>
        <v>698.275788304822</v>
      </c>
      <c r="F19" s="81">
        <f>Model!AS228</f>
        <v>763.02328051506</v>
      </c>
      <c r="G19" s="81">
        <f>Model!AT228</f>
        <v>817.558784195457</v>
      </c>
      <c r="H19" s="81">
        <f>Model!AU228</f>
        <v>872.231814189077</v>
      </c>
      <c r="I19" s="296">
        <f>IFERROR((H19/C19)^(1/5)-1,"n/m")</f>
        <v>0.0870916427710069</v>
      </c>
      <c r="N19" s="79" t="inlineStr">
        <is>
          <t>Adjusted Net Earnings</t>
        </is>
      </c>
      <c r="O19" s="80" t="n">
        <v>580.3158232200331</v>
      </c>
      <c r="P19" s="81" t="n">
        <v>703.167579522265</v>
      </c>
      <c r="Q19" s="81" t="n">
        <v>778.171116781749</v>
      </c>
      <c r="R19" s="81" t="n">
        <v>878.3564449589391</v>
      </c>
      <c r="S19" s="81" t="n">
        <v>972.428173995417</v>
      </c>
      <c r="T19" s="81" t="n">
        <v>1072.15784764464</v>
      </c>
      <c r="U19" s="296" t="n">
        <v>0.13062572648475</v>
      </c>
      <c r="Z19" s="79" t="inlineStr">
        <is>
          <t>Adjusted Net Earnings</t>
        </is>
      </c>
      <c r="AA19" s="80" t="n">
        <v>568.707015998116</v>
      </c>
      <c r="AB19" s="81" t="n">
        <v>515.76323761907</v>
      </c>
      <c r="AC19" s="81" t="n">
        <v>542.739765119302</v>
      </c>
      <c r="AD19" s="81" t="n">
        <v>561.879560835405</v>
      </c>
      <c r="AE19" s="81" t="n">
        <v>569.034478593975</v>
      </c>
      <c r="AF19" s="81" t="n">
        <v>572.881270011005</v>
      </c>
      <c r="AG19" s="296" t="n">
        <v>0.00146368943776998</v>
      </c>
    </row>
    <row r="21" ht="15" customHeight="1" s="251">
      <c r="B21" s="79" t="inlineStr">
        <is>
          <t>FDSO (m)</t>
        </is>
      </c>
      <c r="C21" s="91">
        <f>Model!AP175</f>
        <v>61.1185840856164</v>
      </c>
      <c r="D21" s="92">
        <f>Model!AQ175</f>
        <v>59.7576129498637</v>
      </c>
      <c r="E21" s="92">
        <f>Model!AR175</f>
        <v>58.5104357524274</v>
      </c>
      <c r="F21" s="92">
        <f>Model!AS175</f>
        <v>57.4688399621696</v>
      </c>
      <c r="G21" s="92">
        <f>Model!AT175</f>
        <v>56.3948538054639</v>
      </c>
      <c r="H21" s="92">
        <f>Model!AU175</f>
        <v>55.3429880633979</v>
      </c>
      <c r="I21" s="296">
        <f>IFERROR((H21/C21)^(1/5)-1,"n/m")</f>
        <v>-0.0196574251048282</v>
      </c>
      <c r="N21" s="79" t="inlineStr">
        <is>
          <t>FDSO (m)</t>
        </is>
      </c>
      <c r="O21" s="91" t="n">
        <v>61.0858761284245</v>
      </c>
      <c r="P21" s="92" t="n">
        <v>58.8853711951535</v>
      </c>
      <c r="Q21" s="92" t="n">
        <v>56.9306648468549</v>
      </c>
      <c r="R21" s="92" t="n">
        <v>55.6545962088143</v>
      </c>
      <c r="S21" s="92" t="n">
        <v>54.2766596015006</v>
      </c>
      <c r="T21" s="92" t="n">
        <v>52.8539575654085</v>
      </c>
      <c r="U21" s="296" t="n">
        <v>-0.0285345918205403</v>
      </c>
      <c r="Z21" s="79" t="inlineStr">
        <is>
          <t>FDSO (m)</t>
        </is>
      </c>
      <c r="AA21" s="91" t="n">
        <v>61.1512920428082</v>
      </c>
      <c r="AB21" s="92" t="n">
        <v>60.6278186131525</v>
      </c>
      <c r="AC21" s="92" t="n">
        <v>60.0996391120249</v>
      </c>
      <c r="AD21" s="92" t="n">
        <v>59.3218866343714</v>
      </c>
      <c r="AE21" s="92" t="n">
        <v>58.5850246096387</v>
      </c>
      <c r="AF21" s="92" t="n">
        <v>57.9363968273415</v>
      </c>
      <c r="AG21" s="296" t="n">
        <v>-0.0107429159536728</v>
      </c>
    </row>
    <row r="23" ht="15" customHeight="1" s="251">
      <c r="B23" s="79" t="inlineStr">
        <is>
          <t>Adjusted EPS — Diluted ($)</t>
        </is>
      </c>
      <c r="C23" s="93">
        <f>Model!AP231</f>
        <v>9.4</v>
      </c>
      <c r="D23" s="94">
        <f>Model!AQ231</f>
        <v>10.6680507452717</v>
      </c>
      <c r="E23" s="94">
        <f>Model!AR231</f>
        <v>11.9342093307834</v>
      </c>
      <c r="F23" s="94">
        <f>Model!AS231</f>
        <v>13.2771651736374</v>
      </c>
      <c r="G23" s="94">
        <f>Model!AT231</f>
        <v>14.497045900955</v>
      </c>
      <c r="H23" s="94">
        <f>Model!AU231</f>
        <v>15.7604756214084</v>
      </c>
      <c r="I23" s="296">
        <f>IFERROR((H23/C23)^(1/5)-1,"n/m")</f>
        <v>0.108889556170964</v>
      </c>
      <c r="N23" s="79" t="inlineStr">
        <is>
          <t>Adjusted EPS — Diluted ($)</t>
        </is>
      </c>
      <c r="O23" s="93" t="n">
        <v>9.5</v>
      </c>
      <c r="P23" s="94" t="n">
        <v>11.9412948454019</v>
      </c>
      <c r="Q23" s="94" t="n">
        <v>13.6687516099637</v>
      </c>
      <c r="R23" s="94" t="n">
        <v>15.7822804367024</v>
      </c>
      <c r="S23" s="94" t="n">
        <v>17.9161389285005</v>
      </c>
      <c r="T23" s="94" t="n">
        <v>20.2852898256068</v>
      </c>
      <c r="U23" s="296" t="n">
        <v>0.163835291473279</v>
      </c>
      <c r="Z23" s="79" t="inlineStr">
        <is>
          <t>Adjusted EPS — Diluted ($)</t>
        </is>
      </c>
      <c r="AA23" s="93" t="n">
        <v>9.300000000000001</v>
      </c>
      <c r="AB23" s="94" t="n">
        <v>8.50703933304937</v>
      </c>
      <c r="AC23" s="94" t="n">
        <v>9.0306659597014</v>
      </c>
      <c r="AD23" s="94" t="n">
        <v>9.471707538543599</v>
      </c>
      <c r="AE23" s="94" t="n">
        <v>9.71296815842517</v>
      </c>
      <c r="AF23" s="94" t="n">
        <v>9.88810663732284</v>
      </c>
      <c r="AG23" s="296" t="n">
        <v>0.0123391639931598</v>
      </c>
    </row>
    <row r="24" ht="15" customHeight="1" s="251">
      <c r="B24" s="83" t="inlineStr">
        <is>
          <t xml:space="preserve">   EPS y/y %</t>
        </is>
      </c>
      <c r="C24" s="297" t="n"/>
      <c r="D24" s="298">
        <f>IFERROR(D23/C23-1,"")</f>
        <v>0.134899015454435</v>
      </c>
      <c r="E24" s="298">
        <f>IFERROR(E23/D23-1,"")</f>
        <v>0.11868696688314</v>
      </c>
      <c r="F24" s="298">
        <f>IFERROR(F23/E23-1,"")</f>
        <v>0.112529938568276</v>
      </c>
      <c r="G24" s="298">
        <f>IFERROR(G23/F23-1,"")</f>
        <v>0.091878101338962</v>
      </c>
      <c r="H24" s="298">
        <f>IFERROR(H23/G23-1,"")</f>
        <v>0.0871508394941445</v>
      </c>
      <c r="N24" s="83" t="inlineStr">
        <is>
          <t xml:space="preserve">   EPS y/y %</t>
        </is>
      </c>
      <c r="O24" s="297" t="n"/>
      <c r="P24" s="298" t="n">
        <v>0.256978404779149</v>
      </c>
      <c r="Q24" s="298" t="n">
        <v>0.144662432920908</v>
      </c>
      <c r="R24" s="298" t="n">
        <v>0.154624861658769</v>
      </c>
      <c r="S24" s="298" t="n">
        <v>0.135205967246391</v>
      </c>
      <c r="T24" s="298" t="n">
        <v>0.132235572997122</v>
      </c>
      <c r="Z24" s="83" t="inlineStr">
        <is>
          <t xml:space="preserve">   EPS y/y %</t>
        </is>
      </c>
      <c r="AA24" s="297" t="n"/>
      <c r="AB24" s="298" t="n">
        <v>-0.0852645878441544</v>
      </c>
      <c r="AC24" s="298" t="n">
        <v>0.061552157707532</v>
      </c>
      <c r="AD24" s="298" t="n">
        <v>0.0488382120222715</v>
      </c>
      <c r="AE24" s="298" t="n">
        <v>0.0254717134054017</v>
      </c>
      <c r="AF24" s="298" t="n">
        <v>0.0180314066762135</v>
      </c>
    </row>
    <row r="26" ht="15" customHeight="1" s="251">
      <c r="B26" s="83" t="inlineStr">
        <is>
          <t>P / E (x) — assumed (adjusted EPS)</t>
        </is>
      </c>
      <c r="C26" s="299" t="n"/>
      <c r="D26" s="299" t="n"/>
      <c r="E26" s="299" t="n"/>
      <c r="F26" s="299" t="n"/>
      <c r="G26" s="299" t="n">
        <v>32</v>
      </c>
      <c r="H26" s="299" t="n">
        <v>32</v>
      </c>
      <c r="N26" s="83" t="inlineStr">
        <is>
          <t>P / E (x) — assumed (adjusted EPS)</t>
        </is>
      </c>
      <c r="O26" s="299" t="n"/>
      <c r="P26" s="299" t="n"/>
      <c r="Q26" s="299" t="n"/>
      <c r="R26" s="299" t="n"/>
      <c r="S26" s="299" t="n">
        <v>36</v>
      </c>
      <c r="T26" s="299" t="n">
        <v>36</v>
      </c>
      <c r="Z26" s="83" t="inlineStr">
        <is>
          <t>P / E (x) — assumed (adjusted EPS)</t>
        </is>
      </c>
      <c r="AA26" s="299" t="n"/>
      <c r="AB26" s="299" t="n"/>
      <c r="AC26" s="299" t="n"/>
      <c r="AD26" s="299" t="n">
        <v>25</v>
      </c>
      <c r="AE26" s="299" t="n">
        <v>25</v>
      </c>
      <c r="AF26" s="299" t="n">
        <v>25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463.90546883056</v>
      </c>
      <c r="H27" s="96">
        <f>H26*H23</f>
        <v>504.335219885068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644.981001426018</v>
      </c>
      <c r="T27" s="96">
        <f>T26*T23</f>
        <v>730.270433721845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236.79268846359</v>
      </c>
      <c r="AE27" s="96">
        <f>AE26*AE23</f>
        <v>242.824203960629</v>
      </c>
      <c r="AF27" s="96">
        <f>AF26*AF23</f>
        <v>247.202665933071</v>
      </c>
    </row>
    <row r="28" ht="15" customHeight="1" s="251">
      <c r="B28" t="inlineStr">
        <is>
          <t xml:space="preserve">   Upside / (Downside) vs current</t>
        </is>
      </c>
      <c r="E28" s="300" t="n"/>
      <c r="F28" s="300" t="n"/>
      <c r="G28" s="300">
        <f>IFERROR(G27/$K$2-1,"")</f>
        <v>0.213872017245101</v>
      </c>
      <c r="H28" s="300">
        <f>IFERROR(H27/$K$2-1,"")</f>
        <v>0.319661982586462</v>
      </c>
      <c r="N28" t="inlineStr">
        <is>
          <t xml:space="preserve">   Upside / (Downside) vs current</t>
        </is>
      </c>
      <c r="O28" s="300" t="n"/>
      <c r="P28" s="300" t="n"/>
      <c r="Q28" s="300" t="n"/>
      <c r="R28" s="300" t="n"/>
      <c r="S28" s="300">
        <f>IFERROR(S27/$K$2-1,"")</f>
        <v>0.687680878734642</v>
      </c>
      <c r="T28" s="300">
        <f>IFERROR(T27/$K$2-1,"")</f>
        <v>0.910852326770403</v>
      </c>
      <c r="Z28" t="inlineStr">
        <is>
          <t xml:space="preserve">   Upside / (Downside) vs current</t>
        </is>
      </c>
      <c r="AA28" s="300" t="n"/>
      <c r="AB28" s="300" t="n"/>
      <c r="AC28" s="300" t="n"/>
      <c r="AD28" s="300">
        <f>IFERROR(AD27/$K$2-1,"")</f>
        <v>-0.380399590591648</v>
      </c>
      <c r="AE28" s="300">
        <f>IFERROR(AE27/$K$2-1,"")</f>
        <v>-0.364617306537328</v>
      </c>
      <c r="AF28" s="300">
        <f>IFERROR(AF27/$K$2-1,"")</f>
        <v>-0.353160462796475</v>
      </c>
    </row>
    <row r="29" ht="15" customHeight="1" s="251">
      <c r="B29" s="75" t="inlineStr">
        <is>
          <t>IRR (to 30-Sep of Y-1)</t>
        </is>
      </c>
      <c r="C29" s="301" t="n"/>
      <c r="D29" s="301" t="n"/>
      <c r="E29" s="301" t="n"/>
      <c r="F29" s="301" t="n"/>
      <c r="G29" s="301">
        <f>IFERROR((G27/$K$2)^(1/((DATE(2030-1,9,30)-$K$3)/365.25))-1,"")</f>
        <v>0.0671649289904353</v>
      </c>
      <c r="H29" s="301">
        <f>IFERROR((H27/$K$2)^(1/((DATE(2031-1,9,30)-$K$3)/365.25))-1,"")</f>
        <v>0.0721626214398425</v>
      </c>
      <c r="N29" s="75" t="inlineStr">
        <is>
          <t>IRR (to 30-Sep of Y-1)</t>
        </is>
      </c>
      <c r="O29" s="301" t="n"/>
      <c r="P29" s="301" t="n"/>
      <c r="Q29" s="301" t="n"/>
      <c r="R29" s="301" t="n"/>
      <c r="S29" s="301">
        <f>IFERROR((S27/$K$2)^(1/((DATE(2030-1,9,30)-$K$3)/365.25))-1,"")</f>
        <v>0.191881424727541</v>
      </c>
      <c r="T29" s="301">
        <f>IFERROR((T27/$K$2)^(1/((DATE(2031-1,9,30)-$K$3)/365.25))-1,"")</f>
        <v>0.176644474437324</v>
      </c>
      <c r="Z29" s="75" t="inlineStr">
        <is>
          <t>IRR (to 30-Sep of Y-1)</t>
        </is>
      </c>
      <c r="AA29" s="301" t="n"/>
      <c r="AB29" s="301" t="n"/>
      <c r="AC29" s="301" t="n"/>
      <c r="AD29" s="301">
        <f>IFERROR((AD27/$K$2)^(1/((DATE(2029-1,9,30)-$K$3)/365.25))-1,"")</f>
        <v>-0.214542578097554</v>
      </c>
      <c r="AE29" s="301">
        <f>IFERROR((AE27/$K$2)^(1/((DATE(2030-1,9,30)-$K$3)/365.25))-1,"")</f>
        <v>-0.141108755815219</v>
      </c>
      <c r="AF29" s="301">
        <f>IFERROR((AF27/$K$2)^(1/((DATE(2031-1,9,30)-$K$3)/365.25))-1,"")</f>
        <v>-0.103662804845649</v>
      </c>
    </row>
    <row r="31" ht="15" customHeight="1" s="251">
      <c r="B31" s="79" t="inlineStr">
        <is>
          <t>Free Cash Flow</t>
        </is>
      </c>
      <c r="C31" s="80">
        <f>Model!AP285</f>
        <v>292.756137999885</v>
      </c>
      <c r="D31" s="81">
        <f>Model!AQ285</f>
        <v>420.658415889876</v>
      </c>
      <c r="E31" s="81">
        <f>Model!AR285</f>
        <v>606.49126675796</v>
      </c>
      <c r="F31" s="81">
        <f>Model!AS285</f>
        <v>713.130482613651</v>
      </c>
      <c r="G31" s="81">
        <f>Model!AT285</f>
        <v>789.6124399</v>
      </c>
      <c r="H31" s="81">
        <f>Model!AU285</f>
        <v>848.513781050445</v>
      </c>
      <c r="I31" s="296">
        <f>IFERROR((H31/C31)^(1/5)-1,"n/m")</f>
        <v>0.237173412389536</v>
      </c>
      <c r="N31" s="79" t="inlineStr">
        <is>
          <t>Free Cash Flow</t>
        </is>
      </c>
      <c r="O31" s="80" t="n">
        <v>286.120952439329</v>
      </c>
      <c r="P31" s="81" t="n">
        <v>450.07557094548</v>
      </c>
      <c r="Q31" s="81" t="n">
        <v>639.175027901846</v>
      </c>
      <c r="R31" s="81" t="n">
        <v>779.578209588161</v>
      </c>
      <c r="S31" s="81" t="n">
        <v>894.573099558758</v>
      </c>
      <c r="T31" s="81" t="n">
        <v>996.065848585304</v>
      </c>
      <c r="U31" s="296" t="n">
        <v>0.283357572708814</v>
      </c>
      <c r="Z31" s="79" t="inlineStr">
        <is>
          <t>Free Cash Flow</t>
        </is>
      </c>
      <c r="AA31" s="80" t="n">
        <v>299.383555715382</v>
      </c>
      <c r="AB31" s="81" t="n">
        <v>352.698770915684</v>
      </c>
      <c r="AC31" s="81" t="n">
        <v>520.777334461521</v>
      </c>
      <c r="AD31" s="81" t="n">
        <v>580.198355275299</v>
      </c>
      <c r="AE31" s="81" t="n">
        <v>606.024199796097</v>
      </c>
      <c r="AF31" s="81" t="n">
        <v>612.328276460746</v>
      </c>
      <c r="AG31" s="296" t="n">
        <v>0.153855101634011</v>
      </c>
    </row>
    <row r="32" ht="15" customHeight="1" s="251">
      <c r="B32" s="83" t="inlineStr">
        <is>
          <t xml:space="preserve">   FCF %</t>
        </is>
      </c>
      <c r="C32" s="88">
        <f>IFERROR(C31/C9,"")</f>
        <v>0.0675489853586509</v>
      </c>
      <c r="D32" s="89">
        <f>IFERROR(D31/D9,"")</f>
        <v>0.0893681641516519</v>
      </c>
      <c r="E32" s="89">
        <f>IFERROR(E31/E9,"")</f>
        <v>0.118882229334498</v>
      </c>
      <c r="F32" s="89">
        <f>IFERROR(F31/F9,"")</f>
        <v>0.130451974713328</v>
      </c>
      <c r="G32" s="89">
        <f>IFERROR(G31/G9,"")</f>
        <v>0.136227322414071</v>
      </c>
      <c r="H32" s="89">
        <f>IFERROR(H31/H9,"")</f>
        <v>0.138566487946494</v>
      </c>
      <c r="J32" s="90">
        <f>IFERROR(AVERAGE(Model!C289,Model!D289,Model!E289,Model!F289,Model!G289,Model!H289,Model!I289,Model!J289,Model!K289,Model!L289,Model!Q289,Model!V289,Model!AA289,Model!AF289,Model!AK289),"")</f>
        <v>0.0805273663575602</v>
      </c>
      <c r="K32" s="90">
        <f>IFERROR(MIN(Model!C289,Model!D289,Model!E289,Model!F289,Model!G289,Model!H289,Model!I289,Model!J289,Model!K289,Model!L289,Model!Q289,Model!V289,Model!AA289,Model!AF289,Model!AK289),"")</f>
        <v>0.000400823626320498</v>
      </c>
      <c r="L32" s="90">
        <f>IFERROR(MAX(Model!C289,Model!D289,Model!E289,Model!F289,Model!G289,Model!H289,Model!I289,Model!J289,Model!K289,Model!L289,Model!Q289,Model!V289,Model!AA289,Model!AF289,Model!AK289),"")</f>
        <v>0.190121077622903</v>
      </c>
      <c r="N32" s="83" t="inlineStr">
        <is>
          <t xml:space="preserve">   FCF %</t>
        </is>
      </c>
      <c r="O32" s="88" t="n">
        <v>0.0652129203512411</v>
      </c>
      <c r="P32" s="89" t="n">
        <v>0.0912519710702383</v>
      </c>
      <c r="Q32" s="89" t="n">
        <v>0.115241396623019</v>
      </c>
      <c r="R32" s="89" t="n">
        <v>0.126520354690013</v>
      </c>
      <c r="S32" s="89" t="n">
        <v>0.132143546300877</v>
      </c>
      <c r="T32" s="89" t="n">
        <v>0.134502832461239</v>
      </c>
      <c r="V32" s="90" t="n">
        <v>0.08052736635756021</v>
      </c>
      <c r="W32" s="90" t="n">
        <v>0.000400823626320498</v>
      </c>
      <c r="X32" s="90" t="n">
        <v>0.190121077622903</v>
      </c>
      <c r="Z32" s="83" t="inlineStr">
        <is>
          <t xml:space="preserve">   FCF %</t>
        </is>
      </c>
      <c r="AA32" s="88" t="n">
        <v>0.06994163727633849</v>
      </c>
      <c r="AB32" s="89" t="n">
        <v>0.0805422282834951</v>
      </c>
      <c r="AC32" s="89" t="n">
        <v>0.116833442808499</v>
      </c>
      <c r="AD32" s="89" t="n">
        <v>0.129339805192292</v>
      </c>
      <c r="AE32" s="89" t="n">
        <v>0.135678019056353</v>
      </c>
      <c r="AF32" s="89" t="n">
        <v>0.138144846619183</v>
      </c>
      <c r="AH32" s="90" t="n">
        <v>0.08052736635756021</v>
      </c>
      <c r="AI32" s="90" t="n">
        <v>0.000400823626320498</v>
      </c>
      <c r="AJ32" s="90" t="n">
        <v>0.190121077622903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4.78996924388474</v>
      </c>
      <c r="D33" s="100">
        <f>IFERROR(D31/D21,"")</f>
        <v>7.03941130049499</v>
      </c>
      <c r="E33" s="100">
        <f>IFERROR(E31/E21,"")</f>
        <v>10.3655229867742</v>
      </c>
      <c r="F33" s="100">
        <f>IFERROR(F31/F21,"")</f>
        <v>12.408993866643</v>
      </c>
      <c r="G33" s="100">
        <f>IFERROR(G31/G21,"")</f>
        <v>14.0014981264744</v>
      </c>
      <c r="H33" s="100">
        <f>IFERROR(H31/H21,"")</f>
        <v>15.33191124553</v>
      </c>
      <c r="N33" s="83" t="inlineStr">
        <is>
          <t xml:space="preserve">   FCF / share ($)</t>
        </is>
      </c>
      <c r="O33" s="99" t="n">
        <v>4.6839133785656</v>
      </c>
      <c r="P33" s="100" t="n">
        <v>7.64324927924583</v>
      </c>
      <c r="Q33" s="100" t="n">
        <v>11.2272538819149</v>
      </c>
      <c r="R33" s="100" t="n">
        <v>14.0074362710891</v>
      </c>
      <c r="S33" s="100" t="n">
        <v>16.4817272493686</v>
      </c>
      <c r="T33" s="100" t="n">
        <v>18.8456247075281</v>
      </c>
      <c r="Z33" s="83" t="inlineStr">
        <is>
          <t xml:space="preserve">   FCF / share ($)</t>
        </is>
      </c>
      <c r="AA33" s="99" t="n">
        <v>4.8957846304507</v>
      </c>
      <c r="AB33" s="100" t="n">
        <v>5.81744121730896</v>
      </c>
      <c r="AC33" s="100" t="n">
        <v>8.665232306816341</v>
      </c>
      <c r="AD33" s="100" t="n">
        <v>9.78051083997604</v>
      </c>
      <c r="AE33" s="100" t="n">
        <v>10.3443534219561</v>
      </c>
      <c r="AF33" s="100" t="n">
        <v>10.5689740817947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0.0301817914795663</v>
      </c>
      <c r="H34" s="101">
        <f>IFERROR(H33/H$27,"")</f>
        <v>0.0304002390493847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0.0255538181945335</v>
      </c>
      <c r="T34" s="101">
        <f>IFERROR(T33/T$27,"")</f>
        <v>0.0258063641047068</v>
      </c>
      <c r="Z34" s="83" t="inlineStr">
        <is>
          <t xml:space="preserve">   FCF Yield (on PT)</t>
        </is>
      </c>
      <c r="AC34" s="101" t="n"/>
      <c r="AD34" s="101">
        <f>IFERROR(AD33/AD$27,"")</f>
        <v>0.0413041082621093</v>
      </c>
      <c r="AE34" s="101">
        <f>IFERROR(AE33/AE$27,"")</f>
        <v>0.042600174336959</v>
      </c>
      <c r="AF34" s="101">
        <f>IFERROR(AF33/AF$27,"")</f>
        <v>0.0427542884373917</v>
      </c>
    </row>
    <row r="35" ht="15" customHeight="1" s="251">
      <c r="B35" s="79" t="inlineStr">
        <is>
          <t>Adjusted EBITDA (leverage basis)</t>
        </is>
      </c>
      <c r="C35" s="80">
        <f>Model!AP214</f>
        <v>913.500697901045</v>
      </c>
      <c r="D35" s="81">
        <f>Model!AQ214</f>
        <v>1024.78168593229</v>
      </c>
      <c r="E35" s="81">
        <f>Model!AR214</f>
        <v>1139.00368968135</v>
      </c>
      <c r="F35" s="81">
        <f>Model!AS214</f>
        <v>1246.76524418091</v>
      </c>
      <c r="G35" s="81">
        <f>Model!AT214</f>
        <v>1335.82737806403</v>
      </c>
      <c r="H35" s="81">
        <f>Model!AU214</f>
        <v>1422.75683089365</v>
      </c>
      <c r="I35" s="296">
        <f>IFERROR((H35/C35)^(1/5)-1,"n/m")</f>
        <v>0.0926582751480176</v>
      </c>
      <c r="N35" s="79" t="inlineStr">
        <is>
          <t>Adjusted EBITDA (leverage basis)</t>
        </is>
      </c>
      <c r="O35" s="80" t="n">
        <v>921.13376739478</v>
      </c>
      <c r="P35" s="81" t="n">
        <v>1121.04043790004</v>
      </c>
      <c r="Q35" s="81" t="n">
        <v>1289.21376520811</v>
      </c>
      <c r="R35" s="81" t="n">
        <v>1459.44205589569</v>
      </c>
      <c r="S35" s="81" t="n">
        <v>1617.09279652837</v>
      </c>
      <c r="T35" s="81" t="n">
        <v>1780.5845656052</v>
      </c>
      <c r="U35" s="296" t="n">
        <v>0.140901051165232</v>
      </c>
      <c r="Z35" s="79" t="inlineStr">
        <is>
          <t>Adjusted EBITDA (leverage basis)</t>
        </is>
      </c>
      <c r="AA35" s="80" t="n">
        <v>905.859021050153</v>
      </c>
      <c r="AB35" s="81" t="n">
        <v>853.819298234313</v>
      </c>
      <c r="AC35" s="81" t="n">
        <v>896.800645658133</v>
      </c>
      <c r="AD35" s="81" t="n">
        <v>927.1343112624889</v>
      </c>
      <c r="AE35" s="81" t="n">
        <v>937.128105432489</v>
      </c>
      <c r="AF35" s="81" t="n">
        <v>941.22600729574</v>
      </c>
      <c r="AG35" s="296" t="n">
        <v>0.00768933233890734</v>
      </c>
    </row>
    <row r="36" ht="15" customHeight="1" s="251">
      <c r="B36" s="83" t="inlineStr">
        <is>
          <t xml:space="preserve">   Adjusted EBITDA % of net sales</t>
        </is>
      </c>
      <c r="C36" s="88">
        <f>IFERROR(C35/C9,"")</f>
        <v>0.210776264809379</v>
      </c>
      <c r="D36" s="89">
        <f>IFERROR(D35/D9,"")</f>
        <v>0.217713124161004</v>
      </c>
      <c r="E36" s="89">
        <f>IFERROR(E35/E9,"")</f>
        <v>0.223263392683899</v>
      </c>
      <c r="F36" s="89">
        <f>IFERROR(F35/F9,"")</f>
        <v>0.228069044968112</v>
      </c>
      <c r="G36" s="89">
        <f>IFERROR(G35/G9,"")</f>
        <v>0.230462664625848</v>
      </c>
      <c r="H36" s="89">
        <f>IFERROR(H35/H9,"")</f>
        <v>0.232343211933169</v>
      </c>
      <c r="J36" s="90">
        <f>IFERROR(AVERAGE(Model!C252,Model!D252,Model!E252,Model!F252,Model!G252,Model!H252,Model!I252,Model!J252,Model!K252,Model!L252,Model!Q252,Model!V252,Model!AA252,Model!AF252,Model!AK252),"")</f>
        <v>0.17136239255413</v>
      </c>
      <c r="K36" s="90">
        <f>IFERROR(MIN(Model!C252,Model!D252,Model!E252,Model!F252,Model!G252,Model!H252,Model!I252,Model!J252,Model!K252,Model!L252,Model!Q252,Model!V252,Model!AA252,Model!AF252,Model!AK252),"")</f>
        <v>0.149442879985227</v>
      </c>
      <c r="L36" s="90">
        <f>IFERROR(MAX(Model!C252,Model!D252,Model!E252,Model!F252,Model!G252,Model!H252,Model!I252,Model!J252,Model!K252,Model!L252,Model!Q252,Model!V252,Model!AA252,Model!AF252,Model!AK252),"")</f>
        <v>0.190055957029489</v>
      </c>
      <c r="N36" s="83" t="inlineStr">
        <is>
          <t xml:space="preserve">   Adjusted EBITDA % of net sales</t>
        </is>
      </c>
      <c r="O36" s="88" t="n">
        <v>0.209945557967105</v>
      </c>
      <c r="P36" s="89" t="n">
        <v>0.227288829280212</v>
      </c>
      <c r="Q36" s="89" t="n">
        <v>0.232441488422821</v>
      </c>
      <c r="R36" s="89" t="n">
        <v>0.236857731899654</v>
      </c>
      <c r="S36" s="89" t="n">
        <v>0.23887190095059</v>
      </c>
      <c r="T36" s="89" t="n">
        <v>0.240439593276702</v>
      </c>
      <c r="V36" s="90" t="n">
        <v>0.17136239255413</v>
      </c>
      <c r="W36" s="90" t="n">
        <v>0.149442879985227</v>
      </c>
      <c r="X36" s="90" t="n">
        <v>0.190055957029489</v>
      </c>
      <c r="Z36" s="83" t="inlineStr">
        <is>
          <t xml:space="preserve">   Adjusted EBITDA % of net sales</t>
        </is>
      </c>
      <c r="AA36" s="88" t="n">
        <v>0.211625728481966</v>
      </c>
      <c r="AB36" s="89" t="n">
        <v>0.194978022329659</v>
      </c>
      <c r="AC36" s="89" t="n">
        <v>0.201192141077842</v>
      </c>
      <c r="AD36" s="89" t="n">
        <v>0.206679957148243</v>
      </c>
      <c r="AE36" s="89" t="n">
        <v>0.209806283296761</v>
      </c>
      <c r="AF36" s="89" t="n">
        <v>0.212346101609749</v>
      </c>
      <c r="AH36" s="90" t="n">
        <v>0.17136239255413</v>
      </c>
      <c r="AI36" s="90" t="n">
        <v>0.149442879985227</v>
      </c>
      <c r="AJ36" s="90" t="n">
        <v>0.190055957029489</v>
      </c>
    </row>
    <row r="38" ht="15" customHeight="1" s="251">
      <c r="B38" s="79" t="inlineStr">
        <is>
          <t>Net Debt</t>
        </is>
      </c>
      <c r="C38" s="80">
        <f>Model!AP414</f>
        <v>978.813409629704</v>
      </c>
      <c r="D38" s="81">
        <f>Model!AQ414</f>
        <v>1280.97710741537</v>
      </c>
      <c r="E38" s="81">
        <f>Model!AR414</f>
        <v>1423.75461210169</v>
      </c>
      <c r="F38" s="81">
        <f>Model!AS414</f>
        <v>1558.45655522614</v>
      </c>
      <c r="G38" s="81">
        <f>Model!AT414</f>
        <v>1669.78422258004</v>
      </c>
      <c r="H38" s="81">
        <f>Model!AU414</f>
        <v>1778.44603861706</v>
      </c>
      <c r="N38" s="79" t="inlineStr">
        <is>
          <t>Net Debt</t>
        </is>
      </c>
      <c r="O38" s="80" t="n">
        <v>1085.40672900505</v>
      </c>
      <c r="P38" s="81" t="n">
        <v>1961.82076632506</v>
      </c>
      <c r="Q38" s="81" t="n">
        <v>2256.12408911419</v>
      </c>
      <c r="R38" s="81" t="n">
        <v>2554.02359781746</v>
      </c>
      <c r="S38" s="81" t="n">
        <v>2829.91239392465</v>
      </c>
      <c r="T38" s="81" t="n">
        <v>3116.02298980909</v>
      </c>
      <c r="Z38" s="79" t="inlineStr">
        <is>
          <t>Net Debt</t>
        </is>
      </c>
      <c r="AA38" s="80" t="n">
        <v>872.2278580994119</v>
      </c>
      <c r="AB38" s="81" t="n">
        <v>640.364473675735</v>
      </c>
      <c r="AC38" s="81" t="n">
        <v>672.6004842436</v>
      </c>
      <c r="AD38" s="81" t="n">
        <v>695.350733446867</v>
      </c>
      <c r="AE38" s="81" t="n">
        <v>702.846079074367</v>
      </c>
      <c r="AF38" s="81" t="n">
        <v>705.919505471805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1.07149716675502</v>
      </c>
      <c r="D39" s="103">
        <f>IFERROR(D38/D35,"")</f>
        <v>1.25</v>
      </c>
      <c r="E39" s="103">
        <f>IFERROR(E38/E35,"")</f>
        <v>1.25</v>
      </c>
      <c r="F39" s="103">
        <f>IFERROR(F38/F35,"")</f>
        <v>1.25</v>
      </c>
      <c r="G39" s="103">
        <f>IFERROR(G38/G35,"")</f>
        <v>1.25</v>
      </c>
      <c r="H39" s="103">
        <f>IFERROR(H38/H35,"")</f>
        <v>1.25</v>
      </c>
      <c r="N39" s="83" t="inlineStr">
        <is>
          <t xml:space="preserve">   Net Debt / Adjusted EBITDA (x)</t>
        </is>
      </c>
      <c r="O39" s="102" t="n">
        <v>1.17833779134477</v>
      </c>
      <c r="P39" s="103" t="n">
        <v>1.75</v>
      </c>
      <c r="Q39" s="103" t="n">
        <v>1.75</v>
      </c>
      <c r="R39" s="103" t="n">
        <v>1.75</v>
      </c>
      <c r="S39" s="103" t="n">
        <v>1.75</v>
      </c>
      <c r="T39" s="103" t="n">
        <v>1.75</v>
      </c>
      <c r="Z39" s="83" t="inlineStr">
        <is>
          <t xml:space="preserve">   Net Debt / Adjusted EBITDA (x)</t>
        </is>
      </c>
      <c r="AA39" s="102" t="n">
        <v>0.962873734025685</v>
      </c>
      <c r="AB39" s="103" t="n">
        <v>0.75</v>
      </c>
      <c r="AC39" s="103" t="n">
        <v>0.75</v>
      </c>
      <c r="AD39" s="103" t="n">
        <v>0.75</v>
      </c>
      <c r="AE39" s="103" t="n">
        <v>0.75</v>
      </c>
      <c r="AF39" s="103" t="n">
        <v>0.75</v>
      </c>
    </row>
    <row r="40" ht="15" customHeight="1" s="251">
      <c r="B40" s="252" t="inlineStr">
        <is>
          <t xml:space="preserve">   Share repurchases ($m; FY2026E = Q4)</t>
        </is>
      </c>
      <c r="C40" s="102" t="n"/>
      <c r="D40" s="248">
        <f>Model!AQ299</f>
        <v>782.611176133293</v>
      </c>
      <c r="E40" s="248">
        <f>Model!AR299</f>
        <v>623.281517800804</v>
      </c>
      <c r="F40" s="248">
        <f>Model!AS299</f>
        <v>714.893973579455</v>
      </c>
      <c r="G40" s="248">
        <f>Model!AT299</f>
        <v>760.67753132865</v>
      </c>
      <c r="H40" s="248">
        <f>Model!AU299</f>
        <v>809.009640279696</v>
      </c>
      <c r="N40" s="252" t="inlineStr">
        <is>
          <t xml:space="preserve">   Share repurchases ($m; FY2026E = Q4)</t>
        </is>
      </c>
      <c r="O40" s="102" t="n"/>
      <c r="P40" s="248" t="n">
        <v>1286.63557995212</v>
      </c>
      <c r="Q40" s="248" t="n">
        <v>709.715919953263</v>
      </c>
      <c r="R40" s="248" t="n">
        <v>847.306595123227</v>
      </c>
      <c r="S40" s="248" t="n">
        <v>933.742718863847</v>
      </c>
      <c r="T40" s="248" t="n">
        <v>1038.57295353612</v>
      </c>
      <c r="Z40" s="83" t="n"/>
      <c r="AA40" s="102" t="n"/>
      <c r="AB40" s="103" t="n">
        <v>280.267539720884</v>
      </c>
      <c r="AC40" s="103" t="n">
        <v>524.807378383273</v>
      </c>
      <c r="AD40" s="103" t="n">
        <v>567.20496703719</v>
      </c>
      <c r="AE40" s="103" t="n">
        <v>569.614320140081</v>
      </c>
      <c r="AF40" s="103" t="n">
        <v>562.4949762295601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Model!AQ298</f>
        <v>412.7436</v>
      </c>
      <c r="E41" s="249">
        <f>Model!AR298</f>
        <v>445.763088</v>
      </c>
      <c r="F41" s="249">
        <f>Model!AS298</f>
        <v>481.42413504</v>
      </c>
      <c r="G41" s="249">
        <f>Model!AT298</f>
        <v>519.9380658432</v>
      </c>
      <c r="H41" s="249">
        <f>Model!AU298</f>
        <v>561.533111110656</v>
      </c>
      <c r="N41" s="252" t="inlineStr">
        <is>
          <t xml:space="preserve">   Implied avg buyback price ($)</t>
        </is>
      </c>
      <c r="O41" s="102" t="n"/>
      <c r="P41" s="249" t="n">
        <v>412.7436</v>
      </c>
      <c r="Q41" s="249" t="n">
        <v>445.763088</v>
      </c>
      <c r="R41" s="249" t="n">
        <v>481.42413504</v>
      </c>
      <c r="S41" s="249" t="n">
        <v>519.9380658432</v>
      </c>
      <c r="T41" s="249" t="n">
        <v>561.533111110656</v>
      </c>
      <c r="Z41" s="83" t="n"/>
      <c r="AA41" s="102" t="n"/>
      <c r="AB41" s="103" t="n">
        <v>412.7436</v>
      </c>
      <c r="AC41" s="103" t="n">
        <v>445.763088</v>
      </c>
      <c r="AD41" s="103" t="n">
        <v>481.42413504</v>
      </c>
      <c r="AE41" s="103" t="n">
        <v>519.9380658432</v>
      </c>
      <c r="AF41" s="103" t="n">
        <v>561.533111110656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Model!AQ300</f>
        <v>1.89611947013422</v>
      </c>
      <c r="E42" s="250">
        <f>Model!AR300</f>
        <v>1.39823492473833</v>
      </c>
      <c r="F42" s="250">
        <f>Model!AS300</f>
        <v>1.48495665577725</v>
      </c>
      <c r="G42" s="250">
        <f>Model!AT300</f>
        <v>1.46301565763421</v>
      </c>
      <c r="H42" s="250">
        <f>Model!AU300</f>
        <v>1.44071582649785</v>
      </c>
      <c r="N42" s="252" t="inlineStr">
        <is>
          <t xml:space="preserve">   Shares repurchased (m)</t>
        </is>
      </c>
      <c r="O42" s="102" t="n"/>
      <c r="P42" s="250" t="n">
        <v>3.11727566448545</v>
      </c>
      <c r="Q42" s="250" t="n">
        <v>1.59213703211169</v>
      </c>
      <c r="R42" s="250" t="n">
        <v>1.76000024396954</v>
      </c>
      <c r="S42" s="250" t="n">
        <v>1.7958729706577</v>
      </c>
      <c r="T42" s="250" t="n">
        <v>1.84953110152655</v>
      </c>
      <c r="Z42" s="83" t="n"/>
      <c r="AA42" s="102" t="n"/>
      <c r="AB42" s="103" t="n">
        <v>0.67903545862585</v>
      </c>
      <c r="AC42" s="103" t="n">
        <v>1.17732354362924</v>
      </c>
      <c r="AD42" s="103" t="n">
        <v>1.1781814116778</v>
      </c>
      <c r="AE42" s="103" t="n">
        <v>1.09554263778767</v>
      </c>
      <c r="AF42" s="103" t="n">
        <v>1.00171292680676</v>
      </c>
    </row>
    <row r="44" ht="15" customHeight="1" s="251">
      <c r="B44" s="79" t="inlineStr">
        <is>
          <t>ROIC</t>
        </is>
      </c>
      <c r="C44" s="86">
        <f>Model!AP397</f>
        <v>0.18070600482858</v>
      </c>
      <c r="D44" s="87">
        <f>Model!AQ397</f>
        <v>0.186253954377373</v>
      </c>
      <c r="E44" s="87">
        <f>Model!AR397</f>
        <v>0.194069487516745</v>
      </c>
      <c r="F44" s="87">
        <f>Model!AS397</f>
        <v>0.202146879675093</v>
      </c>
      <c r="G44" s="87">
        <f>Model!AT397</f>
        <v>0.207966921958297</v>
      </c>
      <c r="H44" s="87">
        <f>Model!AU397</f>
        <v>0.213235278347158</v>
      </c>
      <c r="J44" s="90">
        <f>IFERROR(AVERAGE(Model!C397,Model!D397,Model!E397,Model!F397,Model!G397,Model!H397,Model!I397,Model!J397,Model!K397,Model!L397,Model!Q397,Model!V397,Model!AA397,Model!AF397,Model!AK397),"")</f>
        <v>0.113814924577458</v>
      </c>
      <c r="K44" s="90">
        <f>IFERROR(MIN(Model!C397,Model!D397,Model!E397,Model!F397,Model!G397,Model!H397,Model!I397,Model!J397,Model!K397,Model!L397,Model!Q397,Model!V397,Model!AA397,Model!AF397,Model!AK397),"")</f>
        <v>0.0806566474649629</v>
      </c>
      <c r="L44" s="90">
        <f>IFERROR(MAX(Model!C397,Model!D397,Model!E397,Model!F397,Model!G397,Model!H397,Model!I397,Model!J397,Model!K397,Model!L397,Model!Q397,Model!V397,Model!AA397,Model!AF397,Model!AK397),"")</f>
        <v>0.167695730658419</v>
      </c>
      <c r="N44" s="79" t="inlineStr">
        <is>
          <t>ROIC</t>
        </is>
      </c>
      <c r="O44" s="86" t="n">
        <v>0.181746919192116</v>
      </c>
      <c r="P44" s="87" t="n">
        <v>0.197188106989593</v>
      </c>
      <c r="Q44" s="87" t="n">
        <v>0.205221557558846</v>
      </c>
      <c r="R44" s="87" t="n">
        <v>0.214110763782274</v>
      </c>
      <c r="S44" s="87" t="n">
        <v>0.221223737063303</v>
      </c>
      <c r="T44" s="87" t="n">
        <v>0.228201862278323</v>
      </c>
      <c r="V44" s="90" t="n">
        <v>0.113814924577458</v>
      </c>
      <c r="W44" s="90" t="n">
        <v>0.0806566474649629</v>
      </c>
      <c r="X44" s="90" t="n">
        <v>0.167695730658419</v>
      </c>
      <c r="Z44" s="79" t="inlineStr">
        <is>
          <t>ROIC</t>
        </is>
      </c>
      <c r="AA44" s="86" t="n">
        <v>0.179655485962151</v>
      </c>
      <c r="AB44" s="87" t="n">
        <v>0.15931723149056</v>
      </c>
      <c r="AC44" s="87" t="n">
        <v>0.164267343337175</v>
      </c>
      <c r="AD44" s="87" t="n">
        <v>0.169004479557428</v>
      </c>
      <c r="AE44" s="87" t="n">
        <v>0.171239398595609</v>
      </c>
      <c r="AF44" s="87" t="n">
        <v>0.17266072106587</v>
      </c>
      <c r="AH44" s="90" t="n">
        <v>0.113814924577458</v>
      </c>
      <c r="AI44" s="90" t="n">
        <v>0.0806566474649629</v>
      </c>
      <c r="AJ44" s="90" t="n">
        <v>0.167695730658419</v>
      </c>
    </row>
    <row r="45" ht="15" customHeight="1" s="251">
      <c r="B45" s="79" t="inlineStr">
        <is>
          <t>RONTA</t>
        </is>
      </c>
      <c r="C45" s="86">
        <f>Model!AP408</f>
        <v>0.201422761150223</v>
      </c>
      <c r="D45" s="87">
        <f>Model!AQ408</f>
        <v>0.210644836656576</v>
      </c>
      <c r="E45" s="87">
        <f>Model!AR408</f>
        <v>0.22259845773279</v>
      </c>
      <c r="F45" s="87">
        <f>Model!AS408</f>
        <v>0.234971170563237</v>
      </c>
      <c r="G45" s="87">
        <f>Model!AT408</f>
        <v>0.244734157757679</v>
      </c>
      <c r="H45" s="87">
        <f>Model!AU408</f>
        <v>0.253747137605455</v>
      </c>
      <c r="J45" s="90">
        <f>IFERROR(AVERAGE(Model!C408,Model!D408,Model!E408,Model!F408,Model!G408,Model!H408,Model!I408,Model!J408,Model!K408,Model!L408,Model!Q408,Model!V408,Model!AA408,Model!AF408,Model!AK408),"")</f>
        <v>0.146775444115808</v>
      </c>
      <c r="K45" s="90">
        <f>IFERROR(MIN(Model!C408,Model!D408,Model!E408,Model!F408,Model!G408,Model!H408,Model!I408,Model!J408,Model!K408,Model!L408,Model!Q408,Model!V408,Model!AA408,Model!AF408,Model!AK408),"")</f>
        <v>0.0992465092107271</v>
      </c>
      <c r="L45" s="90">
        <f>IFERROR(MAX(Model!C408,Model!D408,Model!E408,Model!F408,Model!G408,Model!H408,Model!I408,Model!J408,Model!K408,Model!L408,Model!Q408,Model!V408,Model!AA408,Model!AF408,Model!AK408),"")</f>
        <v>0.190111936105853</v>
      </c>
      <c r="N45" s="79" t="inlineStr">
        <is>
          <t>RONTA</t>
        </is>
      </c>
      <c r="O45" s="86" t="n">
        <v>0.202498259006247</v>
      </c>
      <c r="P45" s="87" t="n">
        <v>0.227824701848878</v>
      </c>
      <c r="Q45" s="87" t="n">
        <v>0.244512945147002</v>
      </c>
      <c r="R45" s="87" t="n">
        <v>0.261944000870482</v>
      </c>
      <c r="S45" s="87" t="n">
        <v>0.276864415666475</v>
      </c>
      <c r="T45" s="87" t="n">
        <v>0.291085912307161</v>
      </c>
      <c r="V45" s="90" t="n">
        <v>0.146775444115808</v>
      </c>
      <c r="W45" s="90" t="n">
        <v>0.0992465092107271</v>
      </c>
      <c r="X45" s="90" t="n">
        <v>0.190111936105853</v>
      </c>
      <c r="Z45" s="79" t="inlineStr">
        <is>
          <t>RONTA</t>
        </is>
      </c>
      <c r="AA45" s="86" t="n">
        <v>0.200336261177218</v>
      </c>
      <c r="AB45" s="87" t="n">
        <v>0.165178651301875</v>
      </c>
      <c r="AC45" s="87" t="n">
        <v>0.171230841411576</v>
      </c>
      <c r="AD45" s="87" t="n">
        <v>0.176722451247672</v>
      </c>
      <c r="AE45" s="87" t="n">
        <v>0.178864618507346</v>
      </c>
      <c r="AF45" s="87" t="n">
        <v>0.179988723955291</v>
      </c>
      <c r="AH45" s="90" t="n">
        <v>0.146775444115808</v>
      </c>
      <c r="AI45" s="90" t="n">
        <v>0.0992465092107271</v>
      </c>
      <c r="AJ45" s="90" t="n">
        <v>0.190111936105853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26161.8810942546</v>
      </c>
      <c r="H47" s="104">
        <f>H27*H21</f>
        <v>27911.4180540505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35007.414263835</v>
      </c>
      <c r="T47" s="104">
        <f>T27*T21</f>
        <v>38597.6825152069</v>
      </c>
      <c r="Z47" s="83" t="inlineStr">
        <is>
          <t>Implied Market Cap (USDm)</t>
        </is>
      </c>
      <c r="AC47" s="104" t="n"/>
      <c r="AD47" s="104">
        <f>AD27*AD21</f>
        <v>14046.9890208851</v>
      </c>
      <c r="AE47" s="104">
        <f>AE27*AE21</f>
        <v>14225.8619648494</v>
      </c>
      <c r="AF47" s="104">
        <f>AF27*AF21</f>
        <v>14322.0317502751</v>
      </c>
    </row>
    <row r="48" ht="15" customHeight="1" s="251">
      <c r="B48" s="83" t="inlineStr">
        <is>
          <t>(+) Net Debt &amp; NCI</t>
        </is>
      </c>
      <c r="E48" s="104" t="n"/>
      <c r="F48" s="104">
        <f>F38+Model!AS328</f>
        <v>1558.45655522614</v>
      </c>
      <c r="G48" s="104">
        <f>G38+Model!AT328</f>
        <v>1669.78422258004</v>
      </c>
      <c r="H48" s="104">
        <f>H38+Model!AU328</f>
        <v>1778.44603861706</v>
      </c>
      <c r="N48" s="83" t="inlineStr">
        <is>
          <t>(+) Net Debt &amp; NCI</t>
        </is>
      </c>
      <c r="Q48" s="104" t="n"/>
      <c r="R48" s="104">
        <f>R38+Model!AS328</f>
        <v>2554.02359781746</v>
      </c>
      <c r="S48" s="104">
        <f>S38+Model!AT328</f>
        <v>2829.91239392465</v>
      </c>
      <c r="T48" s="104">
        <f>T38+Model!AU328</f>
        <v>3116.02298980909</v>
      </c>
      <c r="Z48" s="83" t="inlineStr">
        <is>
          <t>(+) Net Debt &amp; NCI</t>
        </is>
      </c>
      <c r="AC48" s="104" t="n"/>
      <c r="AD48" s="104">
        <f>AD38+Model!AS328</f>
        <v>695.350733446867</v>
      </c>
      <c r="AE48" s="104">
        <f>AE38+Model!AT328</f>
        <v>702.846079074367</v>
      </c>
      <c r="AF48" s="104">
        <f>AF38+Model!AU328</f>
        <v>705.919505471805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1558.45655522614</v>
      </c>
      <c r="G49" s="104">
        <f>G47+G48</f>
        <v>27831.6653168347</v>
      </c>
      <c r="H49" s="104">
        <f>H47+H48</f>
        <v>29689.8640926675</v>
      </c>
      <c r="N49" s="83" t="inlineStr">
        <is>
          <t>Implied Enterprise Value (USDm)</t>
        </is>
      </c>
      <c r="Q49" s="104" t="n"/>
      <c r="R49" s="104">
        <f>R47+R48</f>
        <v>2554.02359781746</v>
      </c>
      <c r="S49" s="104">
        <f>S47+S48</f>
        <v>37837.3266577596</v>
      </c>
      <c r="T49" s="104">
        <f>T47+T48</f>
        <v>41713.7055050159</v>
      </c>
      <c r="Z49" s="83" t="inlineStr">
        <is>
          <t>Implied Enterprise Value (USDm)</t>
        </is>
      </c>
      <c r="AC49" s="104" t="n"/>
      <c r="AD49" s="104">
        <f>AD47+AD48</f>
        <v>14742.339754332</v>
      </c>
      <c r="AE49" s="104">
        <f>AE47+AE48</f>
        <v>14928.7080439238</v>
      </c>
      <c r="AF49" s="104">
        <f>AF47+AF48</f>
        <v>15027.9512557469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1.25</v>
      </c>
      <c r="G50" s="105">
        <f>IFERROR(G49/G35,"")</f>
        <v>20.8347768385839</v>
      </c>
      <c r="H50" s="105">
        <f>IFERROR(H49/H35,"")</f>
        <v>20.8678415369259</v>
      </c>
      <c r="N50" s="83" t="inlineStr">
        <is>
          <t>Implied EV / Adjusted EBITDA (x)</t>
        </is>
      </c>
      <c r="Q50" s="105" t="n"/>
      <c r="R50" s="105">
        <f>IFERROR(R49/R35,"")</f>
        <v>1.75</v>
      </c>
      <c r="S50" s="105">
        <f>IFERROR(S49/S35,"")</f>
        <v>23.3983644840853</v>
      </c>
      <c r="T50" s="105">
        <f>IFERROR(T49/T35,"")</f>
        <v>23.426972417251</v>
      </c>
      <c r="Z50" s="83" t="inlineStr">
        <is>
          <t>Implied EV / Adjusted EBITDA (x)</t>
        </is>
      </c>
      <c r="AC50" s="105" t="n"/>
      <c r="AD50" s="105">
        <f>IFERROR(AD49/AD35,"")</f>
        <v>15.9009752688984</v>
      </c>
      <c r="AE50" s="105">
        <f>IFERROR(AE49/AE35,"")</f>
        <v>15.9302745882689</v>
      </c>
      <c r="AF50" s="105">
        <f>IFERROR(AF49/AF35,"")</f>
        <v>15.9663578558822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WOODWARD, INC. (WWD)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1.05</v>
      </c>
      <c r="D7" s="198" t="inlineStr">
        <is>
          <t>Assumption: aerospace &amp; defense components peers (HEI, TDG, CW, MOG, PH aerospace) ~0.9–1.2; ~30% of sales Industrial (cyclical power generation / transportation / oil &amp; gas)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0.055</v>
      </c>
      <c r="D9" s="198" t="inlineStr">
        <is>
          <t>Aug-2026 Series U / V / W private-placement notes at 5.34% / 5.39% / 5.64% (8-K 21-Aug-2026); revolver at SOFR + 0.875–1.75% (4.73% at 30-Jun-2026)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0.225</v>
      </c>
      <c r="D10" s="198" t="inlineStr">
        <is>
          <t>Model FY2027E+ effective tax rate (FY26 adjusted-rate guidance ~22.5%)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0.042625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0.06</v>
      </c>
      <c r="D12" s="198" t="inlineStr">
        <is>
          <t>Net debt ~$0.9bn at 30-Jun-2026 vs ~$23bn market cap ($382.17 × ~61m diluted shares); ~1.0x adjusted EBITDA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0.0918575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2026-10-07 00:00:00</v>
      </c>
      <c r="D15" s="198" t="inlineStr">
        <is>
          <t>Periods = (30-Sep of fiscal year − today) / 365.25; cash flows assumed at fiscal year-end (30 September); FY2026E (ended 30-Sep-2026) is the base year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 (full-cost) less acquisition, integration &amp; restructuring costs</t>
        </is>
      </c>
      <c r="C18" s="192" t="n"/>
      <c r="D18" s="173">
        <f>Model!AQ220-Model!AQ222</f>
        <v>850.728717627371</v>
      </c>
      <c r="E18" s="173">
        <f>Model!AR220-Model!AR222</f>
        <v>958.354335216035</v>
      </c>
      <c r="F18" s="173">
        <f>Model!AS220-Model!AS222</f>
        <v>1064.76263517531</v>
      </c>
      <c r="G18" s="173">
        <f>Model!AT220-Model!AT222</f>
        <v>1142.61462434783</v>
      </c>
      <c r="H18" s="173">
        <f>Model!AU220-Model!AU222</f>
        <v>1219.54547586652</v>
      </c>
      <c r="I18" s="174">
        <f>H18*(1+I$26)</f>
        <v>1304.91365917718</v>
      </c>
      <c r="J18" s="174">
        <f>I18*(1+J$26)</f>
        <v>1389.7330470237</v>
      </c>
      <c r="K18" s="174">
        <f>J18*(1+K$26)</f>
        <v>1473.11702984512</v>
      </c>
      <c r="L18" s="174">
        <f>K18*(1+L$26)</f>
        <v>1554.1384664866</v>
      </c>
      <c r="M18" s="174">
        <f>L18*(1+M$26)</f>
        <v>1631.84538981093</v>
      </c>
      <c r="N18" s="192" t="n"/>
      <c r="O18" s="192" t="n"/>
      <c r="P18" s="176">
        <f>(H18/D18)^(1/(COLUMNS(D18:H18)-1))-1</f>
        <v>0.0942126380551325</v>
      </c>
      <c r="Q18" s="176">
        <f>(M18/D18)^(1/(COLUMNS(D18:M18)-1))-1</f>
        <v>0.075058235895479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0.775</v>
      </c>
      <c r="E19" s="177">
        <f>1-$C$10</f>
        <v>0.775</v>
      </c>
      <c r="F19" s="177">
        <f>1-$C$10</f>
        <v>0.775</v>
      </c>
      <c r="G19" s="177">
        <f>1-$C$10</f>
        <v>0.775</v>
      </c>
      <c r="H19" s="177">
        <f>1-$C$10</f>
        <v>0.775</v>
      </c>
      <c r="I19" s="177">
        <f>1-$C$10</f>
        <v>0.775</v>
      </c>
      <c r="J19" s="177">
        <f>1-$C$10</f>
        <v>0.775</v>
      </c>
      <c r="K19" s="177">
        <f>1-$C$10</f>
        <v>0.775</v>
      </c>
      <c r="L19" s="177">
        <f>1-$C$10</f>
        <v>0.775</v>
      </c>
      <c r="M19" s="177">
        <f>1-$C$10</f>
        <v>0.775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659.314756161212</v>
      </c>
      <c r="E20" s="174">
        <f>E18*E19</f>
        <v>742.724609792427</v>
      </c>
      <c r="F20" s="174">
        <f>F18*F19</f>
        <v>825.191042260864</v>
      </c>
      <c r="G20" s="174">
        <f>G18*G19</f>
        <v>885.526333869569</v>
      </c>
      <c r="H20" s="174">
        <f>H18*H19</f>
        <v>945.147743796555</v>
      </c>
      <c r="I20" s="174">
        <f>I18*I19</f>
        <v>1011.30808586231</v>
      </c>
      <c r="J20" s="174">
        <f>J18*J19</f>
        <v>1077.04311144336</v>
      </c>
      <c r="K20" s="174">
        <f>K18*K19</f>
        <v>1141.66569812997</v>
      </c>
      <c r="L20" s="174">
        <f>L18*L19</f>
        <v>1204.45731152711</v>
      </c>
      <c r="M20" s="174">
        <f>M18*M19</f>
        <v>1264.68017710347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(depreciation + amortization of intangibles)</t>
        </is>
      </c>
      <c r="C21" s="192" t="n"/>
      <c r="D21" s="173">
        <f>Model!AQ171</f>
        <v>142.052968304922</v>
      </c>
      <c r="E21" s="173">
        <f>Model!AR171</f>
        <v>163.649354465317</v>
      </c>
      <c r="F21" s="173">
        <f>Model!AS171</f>
        <v>180.002609005602</v>
      </c>
      <c r="G21" s="173">
        <f>Model!AT171</f>
        <v>191.2127537162</v>
      </c>
      <c r="H21" s="173">
        <f>Model!AU171</f>
        <v>201.211355027128</v>
      </c>
      <c r="I21" s="174">
        <f>H21*(1+I$26)</f>
        <v>215.296149879027</v>
      </c>
      <c r="J21" s="174">
        <f>I21*(1+J$26)</f>
        <v>229.290399621164</v>
      </c>
      <c r="K21" s="174">
        <f>J21*(1+K$26)</f>
        <v>243.047823598433</v>
      </c>
      <c r="L21" s="174">
        <f>K21*(1+L$26)</f>
        <v>256.415453896347</v>
      </c>
      <c r="M21" s="174">
        <f>L21*(1+M$26)</f>
        <v>269.236226591165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(PP&amp;E) and acquisitions (bolt-ons; M&amp;A lever 2027E–31E)</t>
        </is>
      </c>
      <c r="C22" s="192" t="n"/>
      <c r="D22" s="173">
        <f>Model!AQ267+Model!AQ268</f>
        <v>-335.351380373019</v>
      </c>
      <c r="E22" s="173">
        <f>Model!AR267+Model!AR268</f>
        <v>-278.556496251444</v>
      </c>
      <c r="F22" s="173">
        <f>Model!AS267+Model!AS268</f>
        <v>-274.931621340228</v>
      </c>
      <c r="G22" s="173">
        <f>Model!AT267+Model!AT268</f>
        <v>-273.88856198023</v>
      </c>
      <c r="H22" s="173">
        <f>Model!AU267+Model!AU268</f>
        <v>-283.705409646686</v>
      </c>
      <c r="I22" s="174">
        <f>Model!AU267*(1+I$26)</f>
        <v>-196.564788321954</v>
      </c>
      <c r="J22" s="174">
        <f>I22*(1+J$26)</f>
        <v>-209.341499562881</v>
      </c>
      <c r="K22" s="174">
        <f>J22*(1+K$26)</f>
        <v>-221.901989536654</v>
      </c>
      <c r="L22" s="174">
        <f>K22*(1+L$26)</f>
        <v>-234.10659896117</v>
      </c>
      <c r="M22" s="174">
        <f>L22*(1+M$26)</f>
        <v>-245.811928909228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Model!AQ265</f>
        <v>-65.5680540708907</v>
      </c>
      <c r="E23" s="173">
        <f>Model!AR265</f>
        <v>-87.0661002789432</v>
      </c>
      <c r="F23" s="173">
        <f>Model!AS265</f>
        <v>-79.8799974852814</v>
      </c>
      <c r="G23" s="173">
        <f>Model!AT265</f>
        <v>-72.9889619258244</v>
      </c>
      <c r="H23" s="173">
        <f>Model!AU265</f>
        <v>-71.7238445856349</v>
      </c>
      <c r="I23" s="174">
        <f>H23*(1+I$26)</f>
        <v>-76.7445137066293</v>
      </c>
      <c r="J23" s="174">
        <f>I23*(1+J$26)</f>
        <v>-81.7329070975602</v>
      </c>
      <c r="K23" s="174">
        <f>J23*(1+K$26)</f>
        <v>-86.6368815234138</v>
      </c>
      <c r="L23" s="174">
        <f>K23*(1+L$26)</f>
        <v>-91.4019100072016</v>
      </c>
      <c r="M23" s="174">
        <f>L23*(1+M$26)</f>
        <v>-95.9720055075617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400.448290022225</v>
      </c>
      <c r="E24" s="219">
        <f>E20+E21+E22+E23</f>
        <v>540.751367727357</v>
      </c>
      <c r="F24" s="219">
        <f>F20+F21+F22+F23</f>
        <v>650.382032440957</v>
      </c>
      <c r="G24" s="219">
        <f>G20+G21+G22+G23</f>
        <v>729.861563679714</v>
      </c>
      <c r="H24" s="219">
        <f>H20+H21+H22+H23</f>
        <v>790.929844591362</v>
      </c>
      <c r="I24" s="219">
        <f>I20+I21+I22+I23</f>
        <v>953.294933712757</v>
      </c>
      <c r="J24" s="219">
        <f>J20+J21+J22+J23</f>
        <v>1015.25910440409</v>
      </c>
      <c r="K24" s="219">
        <f>K20+K21+K22+K23</f>
        <v>1076.17465066833</v>
      </c>
      <c r="L24" s="219">
        <f>L20+L21+L22+L23</f>
        <v>1135.36425645509</v>
      </c>
      <c r="M24" s="219">
        <f>M20+M21+M22+M23</f>
        <v>1192.13246927784</v>
      </c>
      <c r="N24" s="219">
        <f>M24*(1+$C$27)</f>
        <v>1239.81776804896</v>
      </c>
      <c r="O24" s="192" t="n"/>
      <c r="P24" s="181">
        <f>(H24/D24)^(1/(COLUMNS(D24:H24)-1))-1</f>
        <v>0.185489959176014</v>
      </c>
      <c r="Q24" s="181">
        <f>(M24/D24)^(1/(COLUMNS(D24:M24)-1))-1</f>
        <v>0.128865000027477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23908.1669584719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7.0%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0.07000000000000001</v>
      </c>
      <c r="J26" s="183">
        <f>I26+($M$26-$I$26)/4</f>
        <v>0.065</v>
      </c>
      <c r="K26" s="183">
        <f>J26+($M$26-$I$26)/4</f>
        <v>0.06</v>
      </c>
      <c r="L26" s="183">
        <f>K26+($M$26-$I$26)/4</f>
        <v>0.055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(DATE(2027,9,30)-$C$15)/365.25</f>
        <v>0.980150581793292</v>
      </c>
      <c r="E29" s="177">
        <f>(DATE(2028,9,30)-$C$15)/365.25</f>
        <v>1.98220396988364</v>
      </c>
      <c r="F29" s="177">
        <f>(DATE(2029,9,30)-$C$15)/365.25</f>
        <v>2.98151950718686</v>
      </c>
      <c r="G29" s="177">
        <f>(DATE(2030,9,30)-$C$15)/365.25</f>
        <v>3.98083504449008</v>
      </c>
      <c r="H29" s="177">
        <f>(DATE(2031,9,30)-$C$15)/365.25</f>
        <v>4.98015058179329</v>
      </c>
      <c r="I29" s="177">
        <f>(DATE(2032,9,30)-$C$15)/365.25</f>
        <v>5.98220396988364</v>
      </c>
      <c r="J29" s="177">
        <f>(DATE(2033,9,30)-$C$15)/365.25</f>
        <v>6.98151950718686</v>
      </c>
      <c r="K29" s="177">
        <f>(DATE(2034,9,30)-$C$15)/365.25</f>
        <v>7.98083504449008</v>
      </c>
      <c r="L29" s="177">
        <f>(DATE(2035,9,30)-$C$15)/365.25</f>
        <v>8.98015058179329</v>
      </c>
      <c r="M29" s="177">
        <f>(DATE(2036,9,30)-$C$15)/365.25</f>
        <v>9.98220396988364</v>
      </c>
      <c r="N29" s="177">
        <f>M29</f>
        <v>9.98220396988364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0.917469446889877</v>
      </c>
      <c r="E30" s="185">
        <f>1/(1+$C$13)^E29</f>
        <v>0.840131520971032</v>
      </c>
      <c r="F30" s="185">
        <f>1/(1+$C$13)^F29</f>
        <v>0.769497903440623</v>
      </c>
      <c r="G30" s="185">
        <f>1/(1+$C$13)^G29</f>
        <v>0.704802770303307</v>
      </c>
      <c r="H30" s="185">
        <f>1/(1+$C$13)^H29</f>
        <v>0.645546846594556</v>
      </c>
      <c r="I30" s="185">
        <f>1/(1+$C$13)^I29</f>
        <v>0.591130588518262</v>
      </c>
      <c r="J30" s="185">
        <f>1/(1+$C$13)^J29</f>
        <v>0.541431593946953</v>
      </c>
      <c r="K30" s="185">
        <f>1/(1+$C$13)^K29</f>
        <v>0.495911016309863</v>
      </c>
      <c r="L30" s="185">
        <f>1/(1+$C$13)^L29</f>
        <v>0.454217557392071</v>
      </c>
      <c r="M30" s="185">
        <f>1/(1+$C$13)^M29</f>
        <v>0.415929368151865</v>
      </c>
      <c r="N30" s="185">
        <f>1/(1+$C$13)^N29</f>
        <v>0.415929368151865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367.399071154688</v>
      </c>
      <c r="E31" s="222">
        <f>E24*E30</f>
        <v>454.30226903595</v>
      </c>
      <c r="F31" s="222">
        <f>F24*F30</f>
        <v>500.467610398767</v>
      </c>
      <c r="G31" s="222">
        <f>G24*G30</f>
        <v>514.408452019366</v>
      </c>
      <c r="H31" s="222">
        <f>H24*H30</f>
        <v>510.582267053475</v>
      </c>
      <c r="I31" s="222">
        <f>I24*I30</f>
        <v>563.521795197099</v>
      </c>
      <c r="J31" s="222">
        <f>J24*J30</f>
        <v>549.693355166661</v>
      </c>
      <c r="K31" s="222">
        <f>K24*K30</f>
        <v>533.686864739843</v>
      </c>
      <c r="L31" s="222">
        <f>L24*L30</f>
        <v>515.702379317296</v>
      </c>
      <c r="M31" s="222">
        <f>M24*M30</f>
        <v>495.842904700056</v>
      </c>
      <c r="N31" s="222">
        <f>N25*N30</f>
        <v>9944.10877670652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Woodward's adjusted EBIT already deducts amortization of intangibles and share-based compensation (neither is adjusted out); D&amp;A is added back in row 21. Restructuring and acquisition / business-development costs (cash; adjusted out by the company, incl. the China OH, servo-valve and Santa Clarita actions) are deducted inside row 18. Row 22 includes bolt-on acquisitions in FY2027E–31E; the fade period and terminal value assume no new acquisitions. The pending $180m pilot-controls sale (FY27) is excluded from UFCF (the business is kept in the build).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Model!AP394</f>
        <v>3394.15491183998</v>
      </c>
      <c r="E34" s="174">
        <f>D38</f>
        <v>3653.02137797897</v>
      </c>
      <c r="F34" s="174">
        <f>E38</f>
        <v>3854.99462004404</v>
      </c>
      <c r="G34" s="174">
        <f>F38</f>
        <v>4029.80362986395</v>
      </c>
      <c r="H34" s="174">
        <f>G38</f>
        <v>4185.4684000538</v>
      </c>
      <c r="I34" s="174">
        <f>H38</f>
        <v>4339.68629925899</v>
      </c>
      <c r="J34" s="174">
        <f>I38</f>
        <v>4397.69945140855</v>
      </c>
      <c r="K34" s="174">
        <f>J38</f>
        <v>4459.48345844783</v>
      </c>
      <c r="L34" s="174">
        <f>K38</f>
        <v>4524.97450590946</v>
      </c>
      <c r="M34" s="174">
        <f>L38</f>
        <v>4594.06756098149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335.351380373019</v>
      </c>
      <c r="E35" s="174">
        <f>-E22</f>
        <v>278.556496251444</v>
      </c>
      <c r="F35" s="174">
        <f>-F22</f>
        <v>274.931621340228</v>
      </c>
      <c r="G35" s="174">
        <f>-G22</f>
        <v>273.88856198023</v>
      </c>
      <c r="H35" s="174">
        <f>-H22</f>
        <v>283.705409646686</v>
      </c>
      <c r="I35" s="174">
        <f>-I22</f>
        <v>196.564788321954</v>
      </c>
      <c r="J35" s="174">
        <f>-J22</f>
        <v>209.341499562881</v>
      </c>
      <c r="K35" s="174">
        <f>-K22</f>
        <v>221.901989536654</v>
      </c>
      <c r="L35" s="174">
        <f>-L22</f>
        <v>234.10659896117</v>
      </c>
      <c r="M35" s="174">
        <f>-M22</f>
        <v>245.811928909228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-142.052968304922</v>
      </c>
      <c r="E36" s="174">
        <f>-E21</f>
        <v>-163.649354465317</v>
      </c>
      <c r="F36" s="174">
        <f>-F21</f>
        <v>-180.002609005602</v>
      </c>
      <c r="G36" s="174">
        <f>-G21</f>
        <v>-191.2127537162</v>
      </c>
      <c r="H36" s="174">
        <f>-H21</f>
        <v>-201.211355027128</v>
      </c>
      <c r="I36" s="174">
        <f>-I21</f>
        <v>-215.296149879027</v>
      </c>
      <c r="J36" s="174">
        <f>-J21</f>
        <v>-229.290399621164</v>
      </c>
      <c r="K36" s="174">
        <f>-K21</f>
        <v>-243.047823598433</v>
      </c>
      <c r="L36" s="174">
        <f>-L21</f>
        <v>-256.415453896347</v>
      </c>
      <c r="M36" s="174">
        <f>-M21</f>
        <v>-269.236226591165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65.5680540708907</v>
      </c>
      <c r="E37" s="174">
        <f>-E23</f>
        <v>87.0661002789432</v>
      </c>
      <c r="F37" s="174">
        <f>-F23</f>
        <v>79.8799974852814</v>
      </c>
      <c r="G37" s="174">
        <f>-G23</f>
        <v>72.9889619258244</v>
      </c>
      <c r="H37" s="174">
        <f>-H23</f>
        <v>71.7238445856349</v>
      </c>
      <c r="I37" s="174">
        <f>-I23</f>
        <v>76.7445137066293</v>
      </c>
      <c r="J37" s="174">
        <f>-J23</f>
        <v>81.7329070975602</v>
      </c>
      <c r="K37" s="174">
        <f>-K23</f>
        <v>86.6368815234138</v>
      </c>
      <c r="L37" s="174">
        <f>-L23</f>
        <v>91.4019100072016</v>
      </c>
      <c r="M37" s="174">
        <f>-M23</f>
        <v>95.9720055075617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3653.02137797897</v>
      </c>
      <c r="E38" s="224">
        <f>SUM(E34:E37)</f>
        <v>3854.99462004404</v>
      </c>
      <c r="F38" s="224">
        <f>SUM(F34:F37)</f>
        <v>4029.80362986395</v>
      </c>
      <c r="G38" s="224">
        <f>SUM(G34:G37)</f>
        <v>4185.4684000538</v>
      </c>
      <c r="H38" s="224">
        <f>SUM(H34:H37)</f>
        <v>4339.68629925899</v>
      </c>
      <c r="I38" s="224">
        <f>SUM(I34:I37)</f>
        <v>4397.69945140855</v>
      </c>
      <c r="J38" s="224">
        <f>SUM(J34:J37)</f>
        <v>4459.48345844783</v>
      </c>
      <c r="K38" s="224">
        <f>SUM(K34:K37)</f>
        <v>4524.97450590946</v>
      </c>
      <c r="L38" s="224">
        <f>SUM(L34:L37)</f>
        <v>4594.06756098149</v>
      </c>
      <c r="M38" s="224">
        <f>SUM(M34:M37)</f>
        <v>4666.61526880711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659.314756161212</v>
      </c>
      <c r="E39" s="174">
        <f>E20</f>
        <v>742.724609792427</v>
      </c>
      <c r="F39" s="174">
        <f>F20</f>
        <v>825.191042260864</v>
      </c>
      <c r="G39" s="174">
        <f>G20</f>
        <v>885.526333869569</v>
      </c>
      <c r="H39" s="174">
        <f>H20</f>
        <v>945.147743796555</v>
      </c>
      <c r="I39" s="174">
        <f>I20</f>
        <v>1011.30808586231</v>
      </c>
      <c r="J39" s="174">
        <f>J20</f>
        <v>1077.04311144336</v>
      </c>
      <c r="K39" s="174">
        <f>K20</f>
        <v>1141.66569812997</v>
      </c>
      <c r="L39" s="174">
        <f>L20</f>
        <v>1204.45731152711</v>
      </c>
      <c r="M39" s="174">
        <f>M20</f>
        <v>1264.68017710347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0.187114591446711</v>
      </c>
      <c r="E40" s="180">
        <f>IFERROR(E39/AVERAGE(E34,E38),"")</f>
        <v>0.197848435588843</v>
      </c>
      <c r="F40" s="180">
        <f>IFERROR(F39/AVERAGE(F34,F38),"")</f>
        <v>0.209311897681211</v>
      </c>
      <c r="G40" s="180">
        <f>IFERROR(G39/AVERAGE(G34,G38),"")</f>
        <v>0.215580526279526</v>
      </c>
      <c r="H40" s="180">
        <f>IFERROR(H39/AVERAGE(H34,H38),"")</f>
        <v>0.221731517405248</v>
      </c>
      <c r="I40" s="180">
        <f>IFERROR(I39/AVERAGE(I34,I38),"")</f>
        <v>0.231489856284541</v>
      </c>
      <c r="J40" s="180">
        <f>IFERROR(J39/AVERAGE(J34,J38),"")</f>
        <v>0.243202183449281</v>
      </c>
      <c r="K40" s="180">
        <f>IFERROR(K39/AVERAGE(K34,K38),"")</f>
        <v>0.254142365106304</v>
      </c>
      <c r="L40" s="180">
        <f>IFERROR(L39/AVERAGE(L34,L38),"")</f>
        <v>0.264163122111304</v>
      </c>
      <c r="M40" s="180">
        <f>IFERROR(M39/AVERAGE(M34,M38),"")</f>
        <v>0.273128925879073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0.39262956534783</v>
      </c>
      <c r="E41" s="175">
        <f>IFERROR(SUM(E35:E37)/E39,"")</f>
        <v>0.271935572622963</v>
      </c>
      <c r="F41" s="175">
        <f>IFERROR(SUM(F35:F37)/F39,"")</f>
        <v>0.211840653699978</v>
      </c>
      <c r="G41" s="175">
        <f>IFERROR(SUM(G35:G37)/G39,"")</f>
        <v>0.175787849819928</v>
      </c>
      <c r="H41" s="175">
        <f>IFERROR(SUM(H35:H37)/H39,"")</f>
        <v>0.163168034010976</v>
      </c>
      <c r="I41" s="175">
        <f>IFERROR(SUM(I35:I37)/I39,"")</f>
        <v>0.0573644697996164</v>
      </c>
      <c r="J41" s="175">
        <f>IFERROR(SUM(J35:J37)/J39,"")</f>
        <v>0.0573644697996164</v>
      </c>
      <c r="K41" s="175">
        <f>IFERROR(SUM(K35:K37)/K39,"")</f>
        <v>0.0573644697996164</v>
      </c>
      <c r="L41" s="175">
        <f>IFERROR(SUM(L35:L37)/L39,"")</f>
        <v>0.0573644697996164</v>
      </c>
      <c r="M41" s="175">
        <f>IFERROR(SUM(M35:M37)/M39,"")</f>
        <v>0.0573644697996164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0.697295732702257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FY2026E book IC (equity + net debt at 30-Sep-2026),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5005.6069687832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9944.10877670652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14949.7157454897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FY2026E year end, 30-Sep-2026)</t>
        </is>
      </c>
      <c r="C48" s="173">
        <f>Model!AP414+Model!AP328</f>
        <v>978.813409629704</v>
      </c>
      <c r="D48" s="198" t="inlineStr">
        <is>
          <t>WWD: no noncontrolling interests; net debt at the base-year end (≈ valuation date) so that FY2027E+ cash flows are not double counted.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13970.90233586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FY2026E period end)</t>
        </is>
      </c>
      <c r="C50" s="186">
        <f>Model!AP421</f>
        <v>60.3786726849308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231.388033466109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Model!AP420</f>
        <v>382.17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-0.394541608535183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0.144136779051282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198.036507611294</v>
      </c>
      <c r="D55" s="175">
        <f>C55/C52-1</f>
        <v>-0.481810430930492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0.0818575</v>
      </c>
      <c r="E61" s="228">
        <f>F61-0.005</f>
        <v>0.0868575</v>
      </c>
      <c r="F61" s="228">
        <f>$C$13</f>
        <v>0.0918575</v>
      </c>
      <c r="G61" s="228">
        <f>F61+0.005</f>
        <v>0.0968575</v>
      </c>
      <c r="H61" s="234">
        <f>F61+0.01</f>
        <v>0.1018575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249.964769305297</v>
      </c>
      <c r="E62" s="225">
        <f t="array" ref="E62">IFERROR((SUMPRODUCT($D$24:$M$24/(1+E$61)^$D$29:$M$29)+($M$24*(1+$B62)/(E$61-$B62))/(1+E$61)^$M$29-$C$48)/$C$50,"")</f>
        <v>224.628663068082</v>
      </c>
      <c r="F62" s="225">
        <f t="array" ref="F62">IFERROR((SUMPRODUCT($D$24:$M$24/(1+F$61)^$D$29:$M$29)+($M$24*(1+$B62)/(F$61-$B62))/(1+F$61)^$M$29-$C$48)/$C$50,"")</f>
        <v>203.435410720339</v>
      </c>
      <c r="G62" s="225">
        <f t="array" ref="G62">IFERROR((SUMPRODUCT($D$24:$M$24/(1+G$61)^$D$29:$M$29)+($M$24*(1+$B62)/(G$61-$B62))/(1+G$61)^$M$29-$C$48)/$C$50,"")</f>
        <v>185.454029344023</v>
      </c>
      <c r="H62" s="235">
        <f t="array" ref="H62">IFERROR((SUMPRODUCT($D$24:$M$24/(1+H$61)^$D$29:$M$29)+($M$24*(1+$B62)/(H$61-$B62))/(1+H$61)^$M$29-$C$48)/$C$50,"")</f>
        <v>170.012712998583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270.00477401937</v>
      </c>
      <c r="E63" s="225">
        <f t="array" ref="E63">IFERROR((SUMPRODUCT($D$24:$M$24/(1+E$61)^$D$29:$M$29)+($M$24*(1+$B63)/(E$61-$B63))/(1+E$61)^$M$29-$C$48)/$C$50,"")</f>
        <v>240.474015111446</v>
      </c>
      <c r="F63" s="225">
        <f t="array" ref="F63">IFERROR((SUMPRODUCT($D$24:$M$24/(1+F$61)^$D$29:$M$29)+($M$24*(1+$B63)/(F$61-$B63))/(1+F$61)^$M$29-$C$48)/$C$50,"")</f>
        <v>216.182657205313</v>
      </c>
      <c r="G63" s="225">
        <f t="array" ref="G63">IFERROR((SUMPRODUCT($D$24:$M$24/(1+G$61)^$D$29:$M$29)+($M$24*(1+$B63)/(G$61-$B63))/(1+G$61)^$M$29-$C$48)/$C$50,"")</f>
        <v>195.858766040306</v>
      </c>
      <c r="H63" s="235">
        <f t="array" ref="H63">IFERROR((SUMPRODUCT($D$24:$M$24/(1+H$61)^$D$29:$M$29)+($M$24*(1+$B63)/(H$61-$B63))/(1+H$61)^$M$29-$C$48)/$C$50,"")</f>
        <v>178.610951731757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294.832452319795</v>
      </c>
      <c r="E64" s="225">
        <f t="array" ref="E64">IFERROR((SUMPRODUCT($D$24:$M$24/(1+E$61)^$D$29:$M$29)+($M$24*(1+$B64)/(E$61-$B64))/(1+E$61)^$M$29-$C$48)/$C$50,"")</f>
        <v>259.700971389641</v>
      </c>
      <c r="F64" s="226">
        <f t="array" ref="F64">IFERROR((SUMPRODUCT($D$24:$M$24/(1+F$61)^$D$29:$M$29)+($M$24*(1+$B64)/(F$61-$B64))/(1+F$61)^$M$29-$C$48)/$C$50,"")</f>
        <v>231.388033466109</v>
      </c>
      <c r="G64" s="225">
        <f t="array" ref="G64">IFERROR((SUMPRODUCT($D$24:$M$24/(1+G$61)^$D$29:$M$29)+($M$24*(1+$B64)/(G$61-$B64))/(1+G$61)^$M$29-$C$48)/$C$50,"")</f>
        <v>208.093470057749</v>
      </c>
      <c r="H64" s="235">
        <f t="array" ref="H64">IFERROR((SUMPRODUCT($D$24:$M$24/(1+H$61)^$D$29:$M$29)+($M$24*(1+$B64)/(H$61-$B64))/(1+H$61)^$M$29-$C$48)/$C$50,"")</f>
        <v>188.599197939074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326.396257134613</v>
      </c>
      <c r="E65" s="225">
        <f t="array" ref="E65">IFERROR((SUMPRODUCT($D$24:$M$24/(1+E$61)^$D$29:$M$29)+($M$24*(1+$B65)/(E$61-$B65))/(1+E$61)^$M$29-$C$48)/$C$50,"")</f>
        <v>283.521359257921</v>
      </c>
      <c r="F65" s="225">
        <f t="array" ref="F65">IFERROR((SUMPRODUCT($D$24:$M$24/(1+F$61)^$D$29:$M$29)+($M$24*(1+$B65)/(F$61-$B65))/(1+F$61)^$M$29-$C$48)/$C$50,"")</f>
        <v>249.838434805238</v>
      </c>
      <c r="G65" s="225">
        <f t="array" ref="G65">IFERROR((SUMPRODUCT($D$24:$M$24/(1+G$61)^$D$29:$M$29)+($M$24*(1+$B65)/(G$61-$B65))/(1+G$61)^$M$29-$C$48)/$C$50,"")</f>
        <v>222.687467141275</v>
      </c>
      <c r="H65" s="235">
        <f t="array" ref="H65">IFERROR((SUMPRODUCT($D$24:$M$24/(1+H$61)^$D$29:$M$29)+($M$24*(1+$B65)/(H$61-$B65))/(1+H$61)^$M$29-$C$48)/$C$50,"")</f>
        <v>200.344159831624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367.86787166922</v>
      </c>
      <c r="E66" s="230">
        <f t="array" ref="E66">IFERROR((SUMPRODUCT($D$24:$M$24/(1+E$61)^$D$29:$M$29)+($M$24*(1+$B66)/(E$61-$B66))/(1+E$61)^$M$29-$C$48)/$C$50,"")</f>
        <v>313.804580435101</v>
      </c>
      <c r="F66" s="230">
        <f t="array" ref="F66">IFERROR((SUMPRODUCT($D$24:$M$24/(1+F$61)^$D$29:$M$29)+($M$24*(1+$B66)/(F$61-$B66))/(1+F$61)^$M$29-$C$48)/$C$50,"")</f>
        <v>272.69674424665</v>
      </c>
      <c r="G66" s="230">
        <f t="array" ref="G66">IFERROR((SUMPRODUCT($D$24:$M$24/(1+G$61)^$D$29:$M$29)+($M$24*(1+$B66)/(G$61-$B66))/(1+G$61)^$M$29-$C$48)/$C$50,"")</f>
        <v>240.396013034176</v>
      </c>
      <c r="H66" s="236">
        <f t="array" ref="H66">IFERROR((SUMPRODUCT($D$24:$M$24/(1+H$61)^$D$29:$M$29)+($M$24*(1+$B66)/(H$61-$B66))/(1+H$61)^$M$29-$C$48)/$C$50,"")</f>
        <v>214.353974810526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(Woodward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0.0918575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</v>
      </c>
      <c r="D78" s="198" t="inlineStr">
        <is>
          <t>Model adjusted EBIT CAGR FY2026–31E: high-single-digit sales growth (commercial OEM rate ramps, aftermarket, power generation) with margin expansion → ~10%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0.2</v>
      </c>
      <c r="D79" s="198" t="inlineStr">
        <is>
          <t>Sole-source, certified content on long-lived aircraft and engine platforms drives 20–30-year aftermarket annuities at high incremental returns; Industrial returns are cyclical; L'Orange (2018) earned below WACC for years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Certification barriers and installed-base aftermarket (commercial services ~25% of sales) sustain a long competitive-advantage period; exposure to aircraft production rates and Industrial cyclicality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10.8864273467055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0.5407125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-72.2926293731101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-0.11789458629135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8.52290963185672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2">
        <f>C83+C87</f>
        <v>19.4093369785622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 less acquisition, integration &amp; restructuring costs</t>
        </is>
      </c>
      <c r="C91" s="209">
        <f>Model!AS220-Model!AS222</f>
        <v>1064.76263517531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0.225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825.191042260864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3">
        <f>C88</f>
        <v>19.4093369785622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16016.4110109321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+ NCI (Model)</t>
        </is>
      </c>
      <c r="C96" s="209">
        <f>Model!AR414+Model!AR328</f>
        <v>1423.75461210169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14592.6563988304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FY2029E (m, Model)</t>
        </is>
      </c>
      <c r="C98" s="212">
        <f>Model!AS421</f>
        <v>56.926361634281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256.342685179492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382.17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-0.329244354136924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23074.91734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FY2026E year-end net debt + NCI</t>
        </is>
      </c>
      <c r="C106" s="211">
        <f>C48</f>
        <v>978.813409629704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24053.7307496297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WWD market-implied EV/NOPAT (on FY2029E NOPAT)</t>
        </is>
      </c>
      <c r="C108" s="304">
        <f>C107/C93</f>
        <v>29.1492872774371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-9.73995029887493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-0.334140255511979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Woodward, Inc. — Operating Performance (FY2012–FY2025) and Model Forecast (FY2026E–FY2031E)</t>
        </is>
      </c>
    </row>
    <row r="3" ht="15" customHeight="1" s="251">
      <c r="B3" s="4" t="inlineStr">
        <is>
          <t>USDm · fiscal years ended 30 September · Linked to Model. Bars = contribution of each segment to total net-sales growth (pp). Adjusted EBITDA and EBIT = company definitions (adjusted measures published from FY2018; earlier years = EBITDA / EBIT). ROIC / RONTA on adjusted EBIT (full-cost).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Aerospace contribution to growth (pp)</t>
        </is>
      </c>
      <c r="C8" s="108">
        <f>IFERROR(Model!D74+0,0)</f>
        <v>0.0309931284768026</v>
      </c>
      <c r="D8" s="108">
        <f>IFERROR(Model!E74+0,0)</f>
        <v>0.0886533052962892</v>
      </c>
      <c r="E8" s="108">
        <f>IFERROR(Model!F74+0,0)</f>
        <v>0.0116468385971727</v>
      </c>
      <c r="F8" s="108">
        <f>IFERROR(Model!G74+0,0)</f>
        <v>0.0384051887829545</v>
      </c>
      <c r="G8" s="108">
        <f>IFERROR(Model!H74+0,0)</f>
        <v>0.0354672489811377</v>
      </c>
      <c r="H8" s="108">
        <f>IFERROR(Model!I74+0,0)</f>
        <v>0.0539588686150509</v>
      </c>
      <c r="I8" s="108">
        <f>IFERROR(Model!J74+0,0)</f>
        <v>0.102754343791469</v>
      </c>
      <c r="J8" s="108">
        <f>IFERROR(Model!K74+0,0)</f>
        <v>0.138671371996665</v>
      </c>
      <c r="K8" s="108">
        <f>IFERROR(Model!L74+0,0)</f>
        <v>-0.0998404591136396</v>
      </c>
      <c r="L8" s="108">
        <f>IFERROR(Model!Q74+0,0)</f>
        <v>-0.0748682214960742</v>
      </c>
      <c r="M8" s="108">
        <f>IFERROR(Model!V74+0,0)</f>
        <v>0.0512972475234123</v>
      </c>
      <c r="N8" s="108">
        <f>IFERROR(Model!AA74+0,0)</f>
        <v>0.10440743833909</v>
      </c>
      <c r="O8" s="108">
        <f>IFERROR(Model!AF74+0,0)</f>
        <v>0.0893838053418587</v>
      </c>
      <c r="P8" s="108">
        <f>IFERROR(Model!AK74+0,0)</f>
        <v>0.0854893842188116</v>
      </c>
      <c r="Q8" s="108">
        <f>IFERROR(Model!AP74+0,0)</f>
        <v>0.137189733297071</v>
      </c>
      <c r="R8" s="108">
        <f>IFERROR(Model!AQ74+0,0)</f>
        <v>0.0632101139091777</v>
      </c>
      <c r="S8" s="108">
        <f>IFERROR(Model!AR74+0,0)</f>
        <v>0.0542602480230394</v>
      </c>
      <c r="T8" s="108">
        <f>IFERROR(Model!AS74+0,0)</f>
        <v>0.045794119536891</v>
      </c>
      <c r="U8" s="108">
        <f>IFERROR(Model!AT74+0,0)</f>
        <v>0.0389937064047634</v>
      </c>
      <c r="V8" s="108">
        <f>IFERROR(Model!AU74+0,0)</f>
        <v>0.0368088513850521</v>
      </c>
    </row>
    <row r="9" ht="15" customHeight="1" s="251">
      <c r="B9" t="inlineStr">
        <is>
          <t>Industrial contribution to growth (pp)</t>
        </is>
      </c>
      <c r="C9" s="108">
        <f>IFERROR(Model!D75+0,0)</f>
        <v>0.0589319869930631</v>
      </c>
      <c r="D9" s="108">
        <f>IFERROR(Model!E75+0,0)</f>
        <v>-0.0509453390200721</v>
      </c>
      <c r="E9" s="108">
        <f>IFERROR(Model!F75+0,0)</f>
        <v>0.0220643231114435</v>
      </c>
      <c r="F9" s="108">
        <f>IFERROR(Model!G75+0,0)</f>
        <v>-0.0198851711938598</v>
      </c>
      <c r="G9" s="108">
        <f>IFERROR(Model!H75+0,0)</f>
        <v>-0.0429366978314804</v>
      </c>
      <c r="H9" s="108">
        <f>IFERROR(Model!I75+0,0)</f>
        <v>-0.0165866071402091</v>
      </c>
      <c r="I9" s="108">
        <f>IFERROR(Model!J75+0,0)</f>
        <v>0.0054982048282615</v>
      </c>
      <c r="J9" s="108">
        <f>IFERROR(Model!K75+0,0)</f>
        <v>0.108256985656569</v>
      </c>
      <c r="K9" s="108">
        <f>IFERROR(Model!L75+0,0)</f>
        <v>-0.0396438586758072</v>
      </c>
      <c r="L9" s="108">
        <f>IFERROR(Model!Q75+0,0)</f>
        <v>-0.0252385636694028</v>
      </c>
      <c r="M9" s="108">
        <f>IFERROR(Model!V75+0,0)</f>
        <v>0.0096859426706896</v>
      </c>
      <c r="N9" s="108">
        <f>IFERROR(Model!AA75+0,0)</f>
        <v>0.118766236218886</v>
      </c>
      <c r="O9" s="108">
        <f>IFERROR(Model!AF75+0,0)</f>
        <v>0.0511801757105517</v>
      </c>
      <c r="P9" s="108">
        <f>IFERROR(Model!AK75+0,0)</f>
        <v>-0.0124458185894017</v>
      </c>
      <c r="Q9" s="108">
        <f>IFERROR(Model!AP75+0,0)</f>
        <v>0.0778102667029293</v>
      </c>
      <c r="R9" s="108">
        <f>IFERROR(Model!AQ75+0,0)</f>
        <v>0.0190186812957448</v>
      </c>
      <c r="S9" s="108">
        <f>IFERROR(Model!AR75+0,0)</f>
        <v>0.0221333067082735</v>
      </c>
      <c r="T9" s="108">
        <f>IFERROR(Model!AS75+0,0)</f>
        <v>0.018548062521001</v>
      </c>
      <c r="U9" s="108">
        <f>IFERROR(Model!AT75+0,0)</f>
        <v>0.0142540218636917</v>
      </c>
      <c r="V9" s="108">
        <f>IFERROR(Model!AU75+0,0)</f>
        <v>0.0126558248334643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Model!D214</f>
        <v>291.885</v>
      </c>
      <c r="D12" s="106">
        <f>Model!E214</f>
        <v>300.234</v>
      </c>
      <c r="E12" s="106">
        <f>Model!F214</f>
        <v>327.13</v>
      </c>
      <c r="F12" s="106">
        <f>Model!G214</f>
        <v>340.261</v>
      </c>
      <c r="G12" s="106">
        <f>Model!H214</f>
        <v>320.273</v>
      </c>
      <c r="H12" s="106">
        <f>Model!I214</f>
        <v>359.369</v>
      </c>
      <c r="I12" s="106">
        <f>Model!J214</f>
        <v>423.736</v>
      </c>
      <c r="J12" s="106">
        <f>Model!K214</f>
        <v>544.894</v>
      </c>
      <c r="K12" s="106">
        <f>Model!L214</f>
        <v>474.316</v>
      </c>
      <c r="L12" s="106">
        <f>Model!Q214</f>
        <v>413.118</v>
      </c>
      <c r="M12" s="106">
        <f>Model!V214</f>
        <v>356.091</v>
      </c>
      <c r="N12" s="106">
        <f>Model!AA214</f>
        <v>475.534</v>
      </c>
      <c r="O12" s="106">
        <f>Model!AF214</f>
        <v>619.785</v>
      </c>
      <c r="P12" s="106">
        <f>Model!AK214</f>
        <v>669.511</v>
      </c>
      <c r="Q12" s="106">
        <f>Model!AP214</f>
        <v>913.500697901045</v>
      </c>
      <c r="R12" s="106">
        <f>Model!AQ214</f>
        <v>1024.78168593229</v>
      </c>
      <c r="S12" s="106">
        <f>Model!AR214</f>
        <v>1139.00368968135</v>
      </c>
      <c r="T12" s="106">
        <f>Model!AS214</f>
        <v>1246.76524418091</v>
      </c>
      <c r="U12" s="106">
        <f>Model!AT214</f>
        <v>1335.82737806403</v>
      </c>
      <c r="V12" s="106">
        <f>Model!AU214</f>
        <v>1422.75683089365</v>
      </c>
    </row>
    <row r="13" ht="15" customHeight="1" s="251">
      <c r="B13" t="inlineStr">
        <is>
          <t>EBIT (GAAP)</t>
        </is>
      </c>
      <c r="C13" s="106">
        <f>Model!D160</f>
        <v>223.268</v>
      </c>
      <c r="D13" s="106">
        <f>Model!E160</f>
        <v>226.001</v>
      </c>
      <c r="E13" s="106">
        <f>Model!F160</f>
        <v>249.777</v>
      </c>
      <c r="F13" s="106">
        <f>Model!G160</f>
        <v>265.026</v>
      </c>
      <c r="G13" s="106">
        <f>Model!H160</f>
        <v>251.237</v>
      </c>
      <c r="H13" s="106">
        <f>Model!I160</f>
        <v>278.452</v>
      </c>
      <c r="I13" s="106">
        <f>Model!J160</f>
        <v>249.674</v>
      </c>
      <c r="J13" s="106">
        <f>Model!K160</f>
        <v>363.2</v>
      </c>
      <c r="K13" s="106">
        <f>Model!L160</f>
        <v>315.928</v>
      </c>
      <c r="L13" s="106">
        <f>Model!Q160</f>
        <v>278.586</v>
      </c>
      <c r="M13" s="106">
        <f>Model!V160</f>
        <v>232.629</v>
      </c>
      <c r="N13" s="106">
        <f>Model!AA160</f>
        <v>320.915</v>
      </c>
      <c r="O13" s="106">
        <f>Model!AF160</f>
        <v>495.472</v>
      </c>
      <c r="P13" s="106">
        <f>Model!AK160</f>
        <v>562.911</v>
      </c>
      <c r="Q13" s="106">
        <f>Model!AP160</f>
        <v>768.960697901045</v>
      </c>
      <c r="R13" s="106">
        <f>Model!AQ160</f>
        <v>1014.36471762737</v>
      </c>
      <c r="S13" s="106">
        <f>Model!AR160</f>
        <v>958.354335216035</v>
      </c>
      <c r="T13" s="106">
        <f>Model!AS160</f>
        <v>1064.76263517531</v>
      </c>
      <c r="U13" s="106">
        <f>Model!AT160</f>
        <v>1142.61462434783</v>
      </c>
      <c r="V13" s="106">
        <f>Model!AU160</f>
        <v>1219.54547586652</v>
      </c>
    </row>
    <row r="14" ht="15" customHeight="1" s="251">
      <c r="B14" t="inlineStr">
        <is>
          <t>Adj. EBITDA Margin %</t>
        </is>
      </c>
      <c r="C14" s="108">
        <f>Model!D252</f>
        <v>0.156454103633792</v>
      </c>
      <c r="D14" s="108">
        <f>Model!E252</f>
        <v>0.155081467952082</v>
      </c>
      <c r="E14" s="108">
        <f>Model!F252</f>
        <v>0.163463652535428</v>
      </c>
      <c r="F14" s="108">
        <f>Model!G252</f>
        <v>0.166933473580719</v>
      </c>
      <c r="G14" s="108">
        <f>Model!H252</f>
        <v>0.158309763637388</v>
      </c>
      <c r="H14" s="108">
        <f>Model!I252</f>
        <v>0.171235321165396</v>
      </c>
      <c r="I14" s="108">
        <f>Model!J252</f>
        <v>0.182183635993883</v>
      </c>
      <c r="J14" s="108">
        <f>Model!K252</f>
        <v>0.187881719759037</v>
      </c>
      <c r="K14" s="108">
        <f>Model!L252</f>
        <v>0.190055957029489</v>
      </c>
      <c r="L14" s="108">
        <f>Model!Q252</f>
        <v>0.183948754848983</v>
      </c>
      <c r="M14" s="108">
        <f>Model!V252</f>
        <v>0.149442879985227</v>
      </c>
      <c r="N14" s="108">
        <f>Model!AA252</f>
        <v>0.163157739437021</v>
      </c>
      <c r="O14" s="108">
        <f>Model!AF252</f>
        <v>0.186443614783369</v>
      </c>
      <c r="P14" s="108">
        <f>Model!AK252</f>
        <v>0.187692455195645</v>
      </c>
      <c r="Q14" s="108">
        <f>Model!AP252</f>
        <v>0.210776264809379</v>
      </c>
      <c r="R14" s="108">
        <f>Model!AQ252</f>
        <v>0.217713124161004</v>
      </c>
      <c r="S14" s="108">
        <f>Model!AR252</f>
        <v>0.223263392683899</v>
      </c>
      <c r="T14" s="108">
        <f>Model!AS252</f>
        <v>0.228069044968112</v>
      </c>
      <c r="U14" s="108">
        <f>Model!AT252</f>
        <v>0.230462664625848</v>
      </c>
      <c r="V14" s="108">
        <f>Model!AU252</f>
        <v>0.232343211933169</v>
      </c>
    </row>
    <row r="15" ht="15" customHeight="1" s="251">
      <c r="B15" t="inlineStr">
        <is>
          <t>EBIT Margin %</t>
        </is>
      </c>
      <c r="C15" s="108">
        <f>Model!D253</f>
        <v>0.119674511571713</v>
      </c>
      <c r="D15" s="108">
        <f>Model!E253</f>
        <v>0.11673750087811</v>
      </c>
      <c r="E15" s="108">
        <f>Model!F253</f>
        <v>0.124811117107393</v>
      </c>
      <c r="F15" s="108">
        <f>Model!G253</f>
        <v>0.130022867061472</v>
      </c>
      <c r="G15" s="108">
        <f>Model!H253</f>
        <v>0.12418552324725</v>
      </c>
      <c r="H15" s="108">
        <f>Model!I253</f>
        <v>0.132679272973314</v>
      </c>
      <c r="I15" s="108">
        <f>Model!J253</f>
        <v>0.10734635983994</v>
      </c>
      <c r="J15" s="108">
        <f>Model!K253</f>
        <v>0.125232872111791</v>
      </c>
      <c r="K15" s="108">
        <f>Model!L253</f>
        <v>0.126590708288172</v>
      </c>
      <c r="L15" s="108">
        <f>Model!Q253</f>
        <v>0.124045787930709</v>
      </c>
      <c r="M15" s="108">
        <f>Model!V253</f>
        <v>0.0976288300689528</v>
      </c>
      <c r="N15" s="108">
        <f>Model!AA253</f>
        <v>0.110107302425129</v>
      </c>
      <c r="O15" s="108">
        <f>Model!AF253</f>
        <v>0.149047799969256</v>
      </c>
      <c r="P15" s="108">
        <f>Model!AK253</f>
        <v>0.157807933919885</v>
      </c>
      <c r="Q15" s="108">
        <f>Model!AP253</f>
        <v>0.177425878339453</v>
      </c>
      <c r="R15" s="108">
        <f>Model!AQ253</f>
        <v>0.21550005698281</v>
      </c>
      <c r="S15" s="108">
        <f>Model!AR253</f>
        <v>0.187853158169763</v>
      </c>
      <c r="T15" s="108">
        <f>Model!AS253</f>
        <v>0.19477555895593</v>
      </c>
      <c r="U15" s="108">
        <f>Model!AT253</f>
        <v>0.197128772243985</v>
      </c>
      <c r="V15" s="108">
        <f>Model!AU253</f>
        <v>0.199157794788738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IFERROR(Model!D397+0,NA())</f>
        <v>0.119398593061809</v>
      </c>
      <c r="D18" s="108">
        <f>IFERROR(Model!E397+0,NA())</f>
        <v>0.100529683107319</v>
      </c>
      <c r="E18" s="108">
        <f>IFERROR(Model!F397+0,NA())</f>
        <v>0.103829344319988</v>
      </c>
      <c r="F18" s="108">
        <f>IFERROR(Model!G397+0,NA())</f>
        <v>0.103769770381369</v>
      </c>
      <c r="G18" s="108">
        <f>IFERROR(Model!H397+0,NA())</f>
        <v>0.107927581960375</v>
      </c>
      <c r="H18" s="108">
        <f>IFERROR(Model!I397+0,NA())</f>
        <v>0.116463901449358</v>
      </c>
      <c r="I18" s="108">
        <f>IFERROR(Model!J397+0,NA())</f>
        <v>0.0947749606244425</v>
      </c>
      <c r="J18" s="108">
        <f>IFERROR(Model!K397+0,NA())</f>
        <v>0.122464596180801</v>
      </c>
      <c r="K18" s="108">
        <f>IFERROR(Model!L397+0,NA())</f>
        <v>0.105313466875101</v>
      </c>
      <c r="L18" s="108">
        <f>IFERROR(Model!Q397+0,NA())</f>
        <v>0.0960148014776887</v>
      </c>
      <c r="M18" s="108">
        <f>IFERROR(Model!V397+0,NA())</f>
        <v>0.0806566474649629</v>
      </c>
      <c r="N18" s="108">
        <f>IFERROR(Model!AA397+0,NA())</f>
        <v>0.114822392986126</v>
      </c>
      <c r="O18" s="108">
        <f>IFERROR(Model!AF397+0,NA())</f>
        <v>0.167695730658419</v>
      </c>
      <c r="P18" s="108">
        <f>IFERROR(Model!AK397+0,NA())</f>
        <v>0.155619387774758</v>
      </c>
      <c r="Q18" s="108">
        <f>IFERROR(Model!AP397+0,NA())</f>
        <v>0.18070600482858</v>
      </c>
      <c r="R18" s="108">
        <f>IFERROR(Model!AQ397+0,NA())</f>
        <v>0.186253954377373</v>
      </c>
      <c r="S18" s="108">
        <f>IFERROR(Model!AR397+0,NA())</f>
        <v>0.194069487516745</v>
      </c>
      <c r="T18" s="108">
        <f>IFERROR(Model!AS397+0,NA())</f>
        <v>0.202146879675093</v>
      </c>
      <c r="U18" s="108">
        <f>IFERROR(Model!AT397+0,NA())</f>
        <v>0.207966921958297</v>
      </c>
      <c r="V18" s="108">
        <f>IFERROR(Model!AU397+0,NA())</f>
        <v>0.213235278347158</v>
      </c>
    </row>
    <row r="19" ht="15" customHeight="1" s="251">
      <c r="B19" t="inlineStr">
        <is>
          <t>RONTA</t>
        </is>
      </c>
      <c r="C19" s="108">
        <f>IFERROR(Model!D408+0,NA())</f>
        <v>0.17936697556791</v>
      </c>
      <c r="D19" s="108">
        <f>IFERROR(Model!E408+0,NA())</f>
        <v>0.156625678624321</v>
      </c>
      <c r="E19" s="108">
        <f>IFERROR(Model!F408+0,NA())</f>
        <v>0.146688808279455</v>
      </c>
      <c r="F19" s="108">
        <f>IFERROR(Model!G408+0,NA())</f>
        <v>0.140348508996917</v>
      </c>
      <c r="G19" s="108">
        <f>IFERROR(Model!H408+0,NA())</f>
        <v>0.128720824447471</v>
      </c>
      <c r="H19" s="108">
        <f>IFERROR(Model!I408+0,NA())</f>
        <v>0.135185173119347</v>
      </c>
      <c r="I19" s="108">
        <f>IFERROR(Model!J408+0,NA())</f>
        <v>0.139177552750722</v>
      </c>
      <c r="J19" s="108">
        <f>IFERROR(Model!K408+0,NA())</f>
        <v>0.161318066703266</v>
      </c>
      <c r="K19" s="108">
        <f>IFERROR(Model!L408+0,NA())</f>
        <v>0.128325562155535</v>
      </c>
      <c r="L19" s="108">
        <f>IFERROR(Model!Q408+0,NA())</f>
        <v>0.101721388412218</v>
      </c>
      <c r="M19" s="108">
        <f>IFERROR(Model!V408+0,NA())</f>
        <v>0.0992465092107271</v>
      </c>
      <c r="N19" s="108">
        <f>IFERROR(Model!AA408+0,NA())</f>
        <v>0.137799683195726</v>
      </c>
      <c r="O19" s="108">
        <f>IFERROR(Model!AF408+0,NA())</f>
        <v>0.187952929857664</v>
      </c>
      <c r="P19" s="108">
        <f>IFERROR(Model!AK408+0,NA())</f>
        <v>0.169042064309983</v>
      </c>
      <c r="Q19" s="108">
        <f>IFERROR(Model!AP408+0,NA())</f>
        <v>0.201422761150223</v>
      </c>
      <c r="R19" s="108">
        <f>IFERROR(Model!AQ408+0,NA())</f>
        <v>0.210644836656576</v>
      </c>
      <c r="S19" s="108">
        <f>IFERROR(Model!AR408+0,NA())</f>
        <v>0.22259845773279</v>
      </c>
      <c r="T19" s="108">
        <f>IFERROR(Model!AS408+0,NA())</f>
        <v>0.234971170563237</v>
      </c>
      <c r="U19" s="108">
        <f>IFERROR(Model!AT408+0,NA())</f>
        <v>0.244734157757679</v>
      </c>
      <c r="V19" s="108">
        <f>IFERROR(Model!AU408+0,NA())</f>
        <v>0.253747137605455</v>
      </c>
    </row>
    <row r="20" ht="15" customHeight="1" s="251">
      <c r="B20" t="inlineStr">
        <is>
          <t>Adj. EBITDA margin %</t>
        </is>
      </c>
      <c r="C20" s="108">
        <f>IFERROR(Model!D252+0,NA())</f>
        <v>0.156454103633792</v>
      </c>
      <c r="D20" s="108">
        <f>IFERROR(Model!E252+0,NA())</f>
        <v>0.155081467952082</v>
      </c>
      <c r="E20" s="108">
        <f>IFERROR(Model!F252+0,NA())</f>
        <v>0.163463652535428</v>
      </c>
      <c r="F20" s="108">
        <f>IFERROR(Model!G252+0,NA())</f>
        <v>0.166933473580719</v>
      </c>
      <c r="G20" s="108">
        <f>IFERROR(Model!H252+0,NA())</f>
        <v>0.158309763637388</v>
      </c>
      <c r="H20" s="108">
        <f>IFERROR(Model!I252+0,NA())</f>
        <v>0.171235321165396</v>
      </c>
      <c r="I20" s="108">
        <f>IFERROR(Model!J252+0,NA())</f>
        <v>0.182183635993883</v>
      </c>
      <c r="J20" s="108">
        <f>IFERROR(Model!K252+0,NA())</f>
        <v>0.187881719759037</v>
      </c>
      <c r="K20" s="108">
        <f>IFERROR(Model!L252+0,NA())</f>
        <v>0.190055957029489</v>
      </c>
      <c r="L20" s="108">
        <f>IFERROR(Model!Q252+0,NA())</f>
        <v>0.183948754848983</v>
      </c>
      <c r="M20" s="108">
        <f>IFERROR(Model!V252+0,NA())</f>
        <v>0.149442879985227</v>
      </c>
      <c r="N20" s="108">
        <f>IFERROR(Model!AA252+0,NA())</f>
        <v>0.163157739437021</v>
      </c>
      <c r="O20" s="108">
        <f>IFERROR(Model!AF252+0,NA())</f>
        <v>0.186443614783369</v>
      </c>
      <c r="P20" s="108">
        <f>IFERROR(Model!AK252+0,NA())</f>
        <v>0.187692455195645</v>
      </c>
      <c r="Q20" s="108">
        <f>IFERROR(Model!AP252+0,NA())</f>
        <v>0.210776264809379</v>
      </c>
      <c r="R20" s="108">
        <f>IFERROR(Model!AQ252+0,NA())</f>
        <v>0.217713124161004</v>
      </c>
      <c r="S20" s="108">
        <f>IFERROR(Model!AR252+0,NA())</f>
        <v>0.223263392683899</v>
      </c>
      <c r="T20" s="108">
        <f>IFERROR(Model!AS252+0,NA())</f>
        <v>0.228069044968112</v>
      </c>
      <c r="U20" s="108">
        <f>IFERROR(Model!AT252+0,NA())</f>
        <v>0.230462664625848</v>
      </c>
      <c r="V20" s="108">
        <f>IFERROR(Model!AU252+0,NA())</f>
        <v>0.232343211933169</v>
      </c>
    </row>
    <row r="21" ht="15" customHeight="1" s="251">
      <c r="B21" t="inlineStr">
        <is>
          <t>FCF margin %</t>
        </is>
      </c>
      <c r="C21" s="108">
        <f>IFERROR(Model!D289+0,NA())</f>
        <v>0.0424591839633539</v>
      </c>
      <c r="D21" s="108">
        <f>IFERROR(Model!E289+0,NA())</f>
        <v>0.0418352293623475</v>
      </c>
      <c r="E21" s="108">
        <f>IFERROR(Model!F289+0,NA())</f>
        <v>0.0304696088425177</v>
      </c>
      <c r="F21" s="108">
        <f>IFERROR(Model!G289+0,NA())</f>
        <v>0.000400823626320498</v>
      </c>
      <c r="G21" s="108">
        <f>IFERROR(Model!H289+0,NA())</f>
        <v>0.128362327107507</v>
      </c>
      <c r="H21" s="108">
        <f>IFERROR(Model!I289+0,NA())</f>
        <v>0.102540876787131</v>
      </c>
      <c r="I21" s="108">
        <f>IFERROR(Model!J289+0,NA())</f>
        <v>0.0740160791238387</v>
      </c>
      <c r="J21" s="108">
        <f>IFERROR(Model!K289+0,NA())</f>
        <v>0.100524895377797</v>
      </c>
      <c r="K21" s="108">
        <f>IFERROR(Model!L289+0,NA())</f>
        <v>0.121171711748171</v>
      </c>
      <c r="L21" s="108">
        <f>IFERROR(Model!Q289+0,NA())</f>
        <v>0.190121077622903</v>
      </c>
      <c r="M21" s="108">
        <f>IFERROR(Model!V289+0,NA())</f>
        <v>0.0590778037510649</v>
      </c>
      <c r="N21" s="108">
        <f>IFERROR(Model!AA289+0,NA())</f>
        <v>0.0796149409551885</v>
      </c>
      <c r="O21" s="108">
        <f>IFERROR(Model!AF289+0,NA())</f>
        <v>0.103123743137172</v>
      </c>
      <c r="P21" s="108">
        <f>IFERROR(Model!AK289+0,NA())</f>
        <v>0.0954190897612154</v>
      </c>
      <c r="Q21" s="108">
        <f>IFERROR(Model!AP289+0,NA())</f>
        <v>0.0675489853586509</v>
      </c>
      <c r="R21" s="108">
        <f>IFERROR(Model!AQ289+0,NA())</f>
        <v>0.0893681641516519</v>
      </c>
      <c r="S21" s="108">
        <f>IFERROR(Model!AR289+0,NA())</f>
        <v>0.118882229334498</v>
      </c>
      <c r="T21" s="108">
        <f>IFERROR(Model!AS289+0,NA())</f>
        <v>0.130451974713328</v>
      </c>
      <c r="U21" s="108">
        <f>IFERROR(Model!AT289+0,NA())</f>
        <v>0.136227322414071</v>
      </c>
      <c r="V21" s="108">
        <f>IFERROR(Model!AU289+0,NA())</f>
        <v>0.138566487946494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2026-10-07T18:07:18Z</dcterms:modified>
  <cp:lastModifiedBy>Payton Liske</cp:lastModifiedBy>
  <cp:revision>3</cp:revision>
</cp:coreProperties>
</file>