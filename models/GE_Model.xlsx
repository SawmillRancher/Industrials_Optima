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5505" yWindow="5505" windowWidth="14400" windowHeight="7275" tabRatio="500" firstSheet="0" activeTab="0" autoFilterDateGrouping="1"/>
  </bookViews>
  <sheets>
    <sheet xmlns:r="http://schemas.openxmlformats.org/officeDocument/2006/relationships" name="Model" sheetId="1" state="visible" r:id="rId1"/>
    <sheet xmlns:r="http://schemas.openxmlformats.org/officeDocument/2006/relationships" name="Bull-Base-Bear" sheetId="2" state="visible" r:id="rId2"/>
    <sheet xmlns:r="http://schemas.openxmlformats.org/officeDocument/2006/relationships" name="DCF" sheetId="3" state="visible" r:id="rId3"/>
    <sheet xmlns:r="http://schemas.openxmlformats.org/officeDocument/2006/relationships" name="Charts" sheetId="4" state="visible" r:id="rId4"/>
  </sheets>
  <definedNames/>
  <calcPr calcId="191029" fullCalcOnLoad="1" iterate="1" iterateDelta="0.0001"/>
</workbook>
</file>

<file path=xl/styles.xml><?xml version="1.0" encoding="utf-8"?>
<styleSheet xmlns="http://schemas.openxmlformats.org/spreadsheetml/2006/main">
  <numFmts count="23">
    <numFmt numFmtId="164" formatCode="#,##0.0;\(#,##0.0\);\-"/>
    <numFmt numFmtId="165" formatCode="0%;\(0%\);&quot;n/m&quot;"/>
    <numFmt numFmtId="166" formatCode="0.0%;\(0.0%\);\-"/>
    <numFmt numFmtId="167" formatCode="#,##0;\(#,##0\);\-"/>
    <numFmt numFmtId="168" formatCode="0.00;\(0.00\);\-"/>
    <numFmt numFmtId="169" formatCode="0.000\x;\(0.000&quot;x)&quot;;\-"/>
    <numFmt numFmtId="170" formatCode="0.0\x;\(0.0&quot;x)&quot;;\-"/>
    <numFmt numFmtId="171" formatCode="\+0.0%;\-0.0%"/>
    <numFmt numFmtId="172" formatCode="\+#,##0;\-#,##0"/>
    <numFmt numFmtId="173" formatCode="0.00\x;\(0.00&quot;x)&quot;;\-"/>
    <numFmt numFmtId="174" formatCode="0\d;\(0&quot;)d&quot;;\-"/>
    <numFmt numFmtId="175" formatCode="0%;\(0%\);\-"/>
    <numFmt numFmtId="176" formatCode="0.0\x"/>
    <numFmt numFmtId="177" formatCode="dd\-mmm\-yy"/>
    <numFmt numFmtId="178" formatCode="0.0%"/>
    <numFmt numFmtId="179" formatCode="0.000"/>
    <numFmt numFmtId="180" formatCode="d/mmm/yyyy"/>
    <numFmt numFmtId="181" formatCode="#,##0.0"/>
    <numFmt numFmtId="182" formatCode="0.0%;\(0.0%\)"/>
    <numFmt numFmtId="183" formatCode="0.00\x"/>
    <numFmt numFmtId="184" formatCode="0.0\x;\(0.0\x\)"/>
    <numFmt numFmtId="185" formatCode="&quot;$&quot;#,##0.00;\(&quot;$&quot;#,##0.00\);\-"/>
    <numFmt numFmtId="186" formatCode="#,##0.00;\(#,##0.00\);\-"/>
  </numFmts>
  <fonts count="57">
    <font>
      <name val="Calibri"/>
      <charset val="1"/>
      <family val="2"/>
      <color theme="1"/>
      <sz val="11"/>
    </font>
    <font>
      <name val="Calibri"/>
      <family val="2"/>
      <b val="1"/>
      <color rgb="FFC00000"/>
      <sz val="10"/>
    </font>
    <font>
      <name val="Calibri"/>
      <family val="2"/>
      <b val="1"/>
      <color rgb="FF1F3864"/>
      <sz val="16"/>
    </font>
    <font>
      <name val="Calibri"/>
      <family val="2"/>
      <b val="1"/>
      <color rgb="FF0000FF"/>
      <sz val="12"/>
    </font>
    <font>
      <name val="Calibri"/>
      <family val="2"/>
      <color rgb="FF595959"/>
      <sz val="10"/>
    </font>
    <font>
      <name val="Calibri"/>
      <family val="2"/>
      <color rgb="FFC00000"/>
      <sz val="10"/>
    </font>
    <font>
      <name val="Calibri"/>
      <family val="2"/>
      <b val="1"/>
      <color rgb="FFFFFFFF"/>
      <sz val="12"/>
    </font>
    <font>
      <name val="Calibri"/>
      <family val="2"/>
      <color rgb="FF666666"/>
      <sz val="9"/>
    </font>
    <font>
      <name val="Calibri"/>
      <family val="2"/>
      <b val="1"/>
      <color rgb="FF000000"/>
      <sz val="11"/>
    </font>
    <font>
      <name val="Calibri"/>
      <family val="2"/>
      <b val="1"/>
      <color rgb="FF000000"/>
      <sz val="12"/>
    </font>
    <font>
      <name val="Calibri"/>
      <family val="2"/>
      <sz val="10"/>
    </font>
    <font>
      <name val="Calibri"/>
      <family val="2"/>
      <b val="1"/>
      <color rgb="FFFFFFFF"/>
      <sz val="11"/>
    </font>
    <font>
      <name val="Calibri"/>
      <family val="2"/>
      <b val="1"/>
      <sz val="12"/>
    </font>
    <font>
      <name val="Calibri"/>
      <family val="2"/>
      <color rgb="FF404040"/>
      <sz val="12"/>
    </font>
    <font>
      <name val="Calibri"/>
      <family val="2"/>
      <color rgb="FFA6A6A6"/>
      <sz val="12"/>
    </font>
    <font>
      <name val="Calibri"/>
      <family val="2"/>
      <color rgb="FF000000"/>
      <sz val="12"/>
    </font>
    <font>
      <name val="Calibri"/>
      <family val="2"/>
      <sz val="12"/>
    </font>
    <font>
      <name val="Calibri"/>
      <family val="2"/>
      <color rgb="FF0000FF"/>
      <sz val="12"/>
    </font>
    <font>
      <name val="Calibri"/>
      <family val="2"/>
      <b val="1"/>
      <color rgb="FF595959"/>
      <sz val="12"/>
    </font>
    <font>
      <name val="Arial"/>
      <family val="2"/>
      <sz val="10"/>
    </font>
    <font>
      <name val="Calibri"/>
      <family val="2"/>
      <b val="1"/>
      <color rgb="FF2F3E46"/>
      <sz val="16"/>
    </font>
    <font>
      <name val="Calibri"/>
      <family val="2"/>
      <b val="1"/>
      <color rgb="FF008000"/>
      <sz val="12"/>
    </font>
    <font>
      <name val="Calibri"/>
      <family val="2"/>
      <b val="1"/>
      <color rgb="FF2F3E46"/>
      <sz val="12"/>
    </font>
    <font>
      <name val="Calibri"/>
      <family val="2"/>
      <b val="1"/>
      <color rgb="FFFFFFFF"/>
      <sz val="9"/>
    </font>
    <font>
      <name val="Calibri"/>
      <family val="2"/>
      <color rgb="FF595959"/>
      <sz val="12"/>
    </font>
    <font>
      <name val="Calibri"/>
      <family val="2"/>
      <color rgb="FF008000"/>
      <sz val="12"/>
    </font>
    <font>
      <name val="Calibri"/>
      <family val="2"/>
      <b val="1"/>
      <sz val="14"/>
    </font>
    <font>
      <name val="Calibri"/>
      <charset val="1"/>
      <family val="2"/>
      <color theme="1"/>
      <sz val="11"/>
    </font>
    <font>
      <name val="Calibri"/>
      <family val="2"/>
      <b val="1"/>
      <color rgb="FFFFFFFF"/>
      <sz val="14"/>
    </font>
    <font>
      <name val="Calibri"/>
      <family val="2"/>
      <color theme="1"/>
      <sz val="11"/>
    </font>
    <font>
      <name val="Calibri"/>
      <family val="2"/>
      <color rgb="FF000000"/>
      <sz val="11"/>
    </font>
    <font>
      <name val="Calibri"/>
      <family val="2"/>
      <b val="1"/>
      <color theme="1"/>
      <sz val="11"/>
    </font>
    <font>
      <name val="Calibri"/>
      <family val="2"/>
      <color rgb="FF0000FF"/>
      <sz val="11"/>
    </font>
    <font>
      <name val="Calibri"/>
      <family val="2"/>
      <sz val="11"/>
    </font>
    <font>
      <name val="Calibri"/>
      <family val="2"/>
      <color rgb="FF595959"/>
      <sz val="11"/>
    </font>
    <font>
      <name val="Calibri"/>
      <family val="2"/>
      <b val="1"/>
      <sz val="11"/>
    </font>
    <font>
      <name val="Calibri"/>
      <family val="2"/>
      <color rgb="FF008000"/>
      <sz val="11"/>
    </font>
    <font>
      <name val="Calibri"/>
      <family val="2"/>
      <b val="1"/>
      <color rgb="FF0000FF"/>
      <sz val="11"/>
    </font>
    <font>
      <name val="Calibri"/>
      <charset val="1"/>
      <family val="2"/>
      <color theme="1"/>
      <sz val="10"/>
    </font>
    <font>
      <name val="Calibri"/>
      <family val="2"/>
      <b val="1"/>
      <color rgb="FF666666"/>
      <sz val="12"/>
    </font>
    <font>
      <name val="Calibri"/>
      <family val="2"/>
      <b val="1"/>
      <color rgb="FFC00000"/>
      <sz val="11"/>
    </font>
    <font>
      <name val="Calibri"/>
      <color rgb="FF000000"/>
      <sz val="11"/>
    </font>
    <font>
      <name val="Calibri"/>
      <b val="1"/>
      <color rgb="FFFFFFFF"/>
      <sz val="14"/>
    </font>
    <font>
      <name val="Calibri"/>
      <b val="1"/>
      <color rgb="FFFFFFFF"/>
      <sz val="11"/>
    </font>
    <font>
      <name val="Calibri"/>
      <b val="1"/>
      <color rgb="FFFFFFFF"/>
      <sz val="12"/>
    </font>
    <font>
      <name val="Calibri"/>
      <color rgb="FF000000"/>
      <sz val="12"/>
    </font>
    <font>
      <name val="Calibri"/>
      <color rgb="FF0000FF"/>
      <sz val="12"/>
    </font>
    <font>
      <name val="Calibri"/>
      <color rgb="FF595959"/>
      <sz val="9"/>
    </font>
    <font>
      <name val="Calibri"/>
      <b val="1"/>
      <color rgb="FF000000"/>
      <sz val="12"/>
    </font>
    <font>
      <name val="Calibri"/>
      <color rgb="FF008000"/>
      <sz val="12"/>
    </font>
    <font>
      <name val="Calibri"/>
      <b val="1"/>
      <color rgb="FF000000"/>
      <sz val="11"/>
    </font>
    <font>
      <name val="Calibri"/>
      <b val="1"/>
      <color rgb="FF0000FF"/>
      <sz val="12"/>
    </font>
    <font>
      <name val="Tahoma"/>
      <charset val="1"/>
      <color indexed="81"/>
      <sz val="9"/>
    </font>
    <font>
      <name val="Tahoma"/>
      <charset val="1"/>
      <b val="1"/>
      <color indexed="81"/>
      <sz val="9"/>
    </font>
    <font>
      <name val="Calibri"/>
      <family val="2"/>
      <color rgb="FF2F3E46"/>
      <sz val="12"/>
    </font>
    <font>
      <name val="Calibri"/>
      <color rgb="FFA6A6A6"/>
      <sz val="12"/>
    </font>
    <font>
      <name val="Calibri"/>
      <b val="1"/>
      <i val="1"/>
      <color rgb="FFC00000"/>
      <sz val="10"/>
    </font>
  </fonts>
  <fills count="18">
    <fill>
      <patternFill/>
    </fill>
    <fill>
      <patternFill patternType="gray125"/>
    </fill>
    <fill>
      <patternFill patternType="solid">
        <fgColor rgb="FFFFFDE7"/>
        <bgColor rgb="FFFFF8DC"/>
      </patternFill>
    </fill>
    <fill>
      <patternFill patternType="solid">
        <fgColor rgb="FFFFFF00"/>
        <bgColor rgb="FFFFFF00"/>
      </patternFill>
    </fill>
    <fill>
      <patternFill patternType="solid">
        <fgColor rgb="FF84A98C"/>
        <bgColor rgb="FFA6A6A6"/>
      </patternFill>
    </fill>
    <fill>
      <patternFill patternType="solid">
        <fgColor rgb="FF2F3E46"/>
        <bgColor rgb="FF404040"/>
      </patternFill>
    </fill>
    <fill>
      <patternFill patternType="solid">
        <fgColor rgb="FFCAD2C5"/>
        <bgColor rgb="FFD9D9D9"/>
      </patternFill>
    </fill>
    <fill>
      <patternFill patternType="solid">
        <fgColor rgb="FF52796F"/>
        <bgColor rgb="FF666666"/>
      </patternFill>
    </fill>
    <fill>
      <patternFill patternType="solid">
        <fgColor rgb="FFE9ECEC"/>
        <bgColor rgb="FFE8EDE9"/>
      </patternFill>
    </fill>
    <fill>
      <patternFill patternType="solid">
        <fgColor rgb="FFF5F5F5"/>
        <bgColor rgb="FFF0F2F0"/>
      </patternFill>
    </fill>
    <fill>
      <patternFill patternType="solid">
        <fgColor rgb="FFE8EDE9"/>
        <bgColor rgb="FFE9ECEC"/>
      </patternFill>
    </fill>
    <fill>
      <patternFill patternType="solid">
        <fgColor rgb="FFF0F2F0"/>
        <bgColor rgb="FFF5F5F5"/>
      </patternFill>
    </fill>
    <fill>
      <patternFill patternType="solid">
        <fgColor rgb="FFFFF8DC"/>
        <bgColor rgb="FFFFFDE7"/>
      </patternFill>
    </fill>
    <fill>
      <patternFill patternType="solid">
        <fgColor rgb="FFFFFDE7"/>
        <bgColor indexed="64"/>
      </patternFill>
    </fill>
    <fill>
      <patternFill patternType="solid">
        <fgColor rgb="FF2F3E46"/>
        <bgColor indexed="64"/>
      </patternFill>
    </fill>
    <fill>
      <patternFill patternType="solid">
        <fgColor rgb="FF52796F"/>
        <bgColor indexed="64"/>
      </patternFill>
    </fill>
    <fill>
      <patternFill patternType="solid">
        <fgColor rgb="FFCAD2C5"/>
        <bgColor indexed="64"/>
      </patternFill>
    </fill>
    <fill>
      <patternFill patternType="solid">
        <fgColor rgb="FFFFFF00"/>
        <bgColor indexed="64"/>
      </patternFill>
    </fill>
  </fills>
  <borders count="12">
    <border>
      <left/>
      <right/>
      <top/>
      <bottom/>
      <diagonal/>
    </border>
    <border>
      <left style="medium">
        <color auto="1"/>
      </left>
      <right style="medium">
        <color auto="1"/>
      </right>
      <top style="medium">
        <color auto="1"/>
      </top>
      <bottom style="thin">
        <color auto="1"/>
      </bottom>
      <diagonal/>
    </border>
    <border>
      <left/>
      <right/>
      <top style="thin">
        <color auto="1"/>
      </top>
      <bottom/>
      <diagonal/>
    </border>
    <border>
      <left/>
      <right/>
      <top/>
      <bottom style="thin">
        <color indexed="64"/>
      </bottom>
      <diagonal/>
    </border>
    <border>
      <left/>
      <right/>
      <top style="thin">
        <color rgb="FF2F3E46"/>
      </top>
      <bottom/>
      <diagonal/>
    </border>
    <border>
      <left/>
      <right/>
      <top/>
      <bottom style="thin">
        <color rgb="FF2F3E46"/>
      </bottom>
      <diagonal/>
    </border>
    <border>
      <left style="thin">
        <color rgb="FF2F3E46"/>
      </left>
      <right/>
      <top style="thin">
        <color rgb="FF2F3E46"/>
      </top>
      <bottom/>
      <diagonal/>
    </border>
    <border>
      <left style="thin">
        <color rgb="FF2F3E46"/>
      </left>
      <right/>
      <top/>
      <bottom/>
      <diagonal/>
    </border>
    <border>
      <left style="thin">
        <color rgb="FF2F3E46"/>
      </left>
      <right/>
      <top/>
      <bottom style="thin">
        <color rgb="FF2F3E46"/>
      </bottom>
      <diagonal/>
    </border>
    <border>
      <left/>
      <right style="thin">
        <color rgb="FF2F3E46"/>
      </right>
      <top style="thin">
        <color rgb="FF2F3E46"/>
      </top>
      <bottom/>
      <diagonal/>
    </border>
    <border>
      <left/>
      <right style="thin">
        <color rgb="FF2F3E46"/>
      </right>
      <top/>
      <bottom/>
      <diagonal/>
    </border>
    <border>
      <left/>
      <right style="thin">
        <color rgb="FF2F3E46"/>
      </right>
      <top/>
      <bottom style="thin">
        <color rgb="FF2F3E46"/>
      </bottom>
      <diagonal/>
    </border>
  </borders>
  <cellStyleXfs count="2">
    <xf numFmtId="0" fontId="27" fillId="0" borderId="0"/>
    <xf numFmtId="9" fontId="27" fillId="0" borderId="0"/>
  </cellStyleXfs>
  <cellXfs count="307">
    <xf numFmtId="0" fontId="0" fillId="0" borderId="0" pivotButton="0" quotePrefix="0" xfId="0"/>
    <xf numFmtId="0" fontId="1" fillId="2" borderId="0" pivotButton="0" quotePrefix="0" xfId="0"/>
    <xf numFmtId="0" fontId="2" fillId="0" borderId="0" pivotButton="0" quotePrefix="0" xfId="0"/>
    <xf numFmtId="0" fontId="3" fillId="3" borderId="1" applyAlignment="1" pivotButton="0" quotePrefix="0" xfId="0">
      <alignment horizontal="center"/>
    </xf>
    <xf numFmtId="0" fontId="4" fillId="0" borderId="0" pivotButton="0" quotePrefix="0" xfId="0"/>
    <xf numFmtId="0" fontId="5" fillId="0" borderId="0" pivotButton="0" quotePrefix="0" xfId="0"/>
    <xf numFmtId="0" fontId="6" fillId="4" borderId="0" applyAlignment="1" pivotButton="0" quotePrefix="0" xfId="0">
      <alignment horizontal="center"/>
    </xf>
    <xf numFmtId="0" fontId="6" fillId="5" borderId="0" applyAlignment="1" pivotButton="0" quotePrefix="0" xfId="0">
      <alignment horizontal="left"/>
    </xf>
    <xf numFmtId="0" fontId="6" fillId="5" borderId="0" applyAlignment="1" pivotButton="0" quotePrefix="0" xfId="0">
      <alignment horizontal="center"/>
    </xf>
    <xf numFmtId="0" fontId="7" fillId="2" borderId="0" applyAlignment="1" pivotButton="0" quotePrefix="0" xfId="0">
      <alignment horizontal="center"/>
    </xf>
    <xf numFmtId="0" fontId="6" fillId="5" borderId="0" pivotButton="0" quotePrefix="0" xfId="0"/>
    <xf numFmtId="0" fontId="8" fillId="0" borderId="0" pivotButton="0" quotePrefix="0" xfId="0"/>
    <xf numFmtId="0" fontId="9" fillId="6" borderId="0" applyAlignment="1" pivotButton="0" quotePrefix="0" xfId="0">
      <alignment horizontal="center"/>
    </xf>
    <xf numFmtId="0" fontId="10" fillId="0" borderId="0" pivotButton="0" quotePrefix="0" xfId="0"/>
    <xf numFmtId="0" fontId="11" fillId="7" borderId="0" pivotButton="0" quotePrefix="0" xfId="0"/>
    <xf numFmtId="0" fontId="6" fillId="7" borderId="0" pivotButton="0" quotePrefix="0" xfId="0"/>
    <xf numFmtId="0" fontId="12" fillId="0" borderId="2" pivotButton="0" quotePrefix="0" xfId="0"/>
    <xf numFmtId="164" fontId="3" fillId="0" borderId="2" applyAlignment="1" pivotButton="0" quotePrefix="0" xfId="0">
      <alignment horizontal="right"/>
    </xf>
    <xf numFmtId="164" fontId="9" fillId="2" borderId="2" applyAlignment="1" pivotButton="0" quotePrefix="0" xfId="0">
      <alignment horizontal="right"/>
    </xf>
    <xf numFmtId="0" fontId="10" fillId="2" borderId="0" pivotButton="0" quotePrefix="0" xfId="0"/>
    <xf numFmtId="165" fontId="12" fillId="6" borderId="0" pivotButton="0" quotePrefix="0" xfId="0"/>
    <xf numFmtId="0" fontId="6" fillId="7" borderId="0" applyAlignment="1" pivotButton="0" quotePrefix="0" xfId="0">
      <alignment horizontal="center"/>
    </xf>
    <xf numFmtId="0" fontId="13" fillId="0" borderId="0" pivotButton="0" quotePrefix="0" xfId="0"/>
    <xf numFmtId="166" fontId="14" fillId="0" borderId="0" applyAlignment="1" pivotButton="0" quotePrefix="0" xfId="0">
      <alignment horizontal="right"/>
    </xf>
    <xf numFmtId="166" fontId="15" fillId="2" borderId="0" applyAlignment="1" pivotButton="0" quotePrefix="0" xfId="0">
      <alignment horizontal="right"/>
    </xf>
    <xf numFmtId="0" fontId="16" fillId="0" borderId="0" pivotButton="0" quotePrefix="0" xfId="0"/>
    <xf numFmtId="167" fontId="17" fillId="0" borderId="0" pivotButton="0" quotePrefix="0" xfId="0"/>
    <xf numFmtId="168" fontId="17" fillId="0" borderId="0" applyAlignment="1" pivotButton="0" quotePrefix="0" xfId="0">
      <alignment horizontal="right"/>
    </xf>
    <xf numFmtId="168" fontId="15" fillId="2" borderId="0" applyAlignment="1" pivotButton="0" quotePrefix="0" xfId="0">
      <alignment horizontal="right"/>
    </xf>
    <xf numFmtId="169" fontId="15" fillId="0" borderId="0" applyAlignment="1" pivotButton="0" quotePrefix="0" xfId="0">
      <alignment horizontal="right"/>
    </xf>
    <xf numFmtId="169" fontId="15" fillId="2" borderId="0" applyAlignment="1" pivotButton="0" quotePrefix="0" xfId="0">
      <alignment horizontal="right"/>
    </xf>
    <xf numFmtId="167" fontId="3" fillId="0" borderId="2" applyAlignment="1" pivotButton="0" quotePrefix="0" xfId="0">
      <alignment horizontal="right"/>
    </xf>
    <xf numFmtId="167" fontId="9" fillId="2" borderId="2" applyAlignment="1" pivotButton="0" quotePrefix="0" xfId="0">
      <alignment horizontal="right"/>
    </xf>
    <xf numFmtId="166" fontId="15" fillId="0" borderId="0" pivotButton="0" quotePrefix="0" xfId="0"/>
    <xf numFmtId="167" fontId="17" fillId="0" borderId="0" applyAlignment="1" pivotButton="0" quotePrefix="0" xfId="0">
      <alignment horizontal="right"/>
    </xf>
    <xf numFmtId="167" fontId="15" fillId="2" borderId="0" applyAlignment="1" pivotButton="0" quotePrefix="0" xfId="0">
      <alignment horizontal="right"/>
    </xf>
    <xf numFmtId="166" fontId="15" fillId="0" borderId="0" applyAlignment="1" pivotButton="0" quotePrefix="0" xfId="0">
      <alignment horizontal="right"/>
    </xf>
    <xf numFmtId="166" fontId="12" fillId="6" borderId="0" pivotButton="0" quotePrefix="0" xfId="0"/>
    <xf numFmtId="168" fontId="15" fillId="0" borderId="0" applyAlignment="1" pivotButton="0" quotePrefix="0" xfId="0">
      <alignment horizontal="right"/>
    </xf>
    <xf numFmtId="170" fontId="17" fillId="0" borderId="0" pivotButton="0" quotePrefix="0" xfId="0"/>
    <xf numFmtId="166" fontId="17" fillId="0" borderId="0" applyAlignment="1" pivotButton="0" quotePrefix="0" xfId="0">
      <alignment horizontal="right"/>
    </xf>
    <xf numFmtId="171" fontId="3" fillId="8" borderId="0" applyAlignment="1" pivotButton="0" quotePrefix="0" xfId="0">
      <alignment horizontal="center"/>
    </xf>
    <xf numFmtId="166" fontId="17" fillId="0" borderId="0" pivotButton="0" quotePrefix="0" xfId="0"/>
    <xf numFmtId="167" fontId="9" fillId="0" borderId="2" applyAlignment="1" pivotButton="0" quotePrefix="0" xfId="0">
      <alignment horizontal="right"/>
    </xf>
    <xf numFmtId="167" fontId="15" fillId="0" borderId="0" applyAlignment="1" pivotButton="0" quotePrefix="0" xfId="0">
      <alignment horizontal="right"/>
    </xf>
    <xf numFmtId="164" fontId="17" fillId="0" borderId="0" applyAlignment="1" pivotButton="0" quotePrefix="0" xfId="0">
      <alignment horizontal="right"/>
    </xf>
    <xf numFmtId="166" fontId="3" fillId="2" borderId="0" applyAlignment="1" pivotButton="0" quotePrefix="0" xfId="0">
      <alignment horizontal="right"/>
    </xf>
    <xf numFmtId="1" fontId="3" fillId="2" borderId="0" applyAlignment="1" pivotButton="0" quotePrefix="0" xfId="0">
      <alignment horizontal="right"/>
    </xf>
    <xf numFmtId="1" fontId="15" fillId="2" borderId="0" applyAlignment="1" pivotButton="0" quotePrefix="0" xfId="0">
      <alignment horizontal="right"/>
    </xf>
    <xf numFmtId="167" fontId="3" fillId="2" borderId="0" applyAlignment="1" pivotButton="0" quotePrefix="0" xfId="0">
      <alignment horizontal="right"/>
    </xf>
    <xf numFmtId="172" fontId="3" fillId="8" borderId="0" applyAlignment="1" pivotButton="0" quotePrefix="0" xfId="0">
      <alignment horizontal="center"/>
    </xf>
    <xf numFmtId="167" fontId="15" fillId="0" borderId="0" pivotButton="0" quotePrefix="0" xfId="0"/>
    <xf numFmtId="170" fontId="3" fillId="2" borderId="0" applyAlignment="1" pivotButton="0" quotePrefix="0" xfId="0">
      <alignment horizontal="right"/>
    </xf>
    <xf numFmtId="170" fontId="15" fillId="2" borderId="0" applyAlignment="1" pivotButton="0" quotePrefix="0" xfId="0">
      <alignment horizontal="right"/>
    </xf>
    <xf numFmtId="167" fontId="3" fillId="2" borderId="2" applyAlignment="1" pivotButton="0" quotePrefix="0" xfId="0">
      <alignment horizontal="right"/>
    </xf>
    <xf numFmtId="0" fontId="11" fillId="5" borderId="2" pivotButton="0" quotePrefix="0" xfId="0"/>
    <xf numFmtId="167" fontId="9" fillId="6" borderId="2" applyAlignment="1" pivotButton="0" quotePrefix="0" xfId="0">
      <alignment horizontal="right"/>
    </xf>
    <xf numFmtId="0" fontId="18" fillId="0" borderId="0" pivotButton="0" quotePrefix="0" xfId="0"/>
    <xf numFmtId="167" fontId="3" fillId="6" borderId="2" applyAlignment="1" pivotButton="0" quotePrefix="0" xfId="0">
      <alignment horizontal="right"/>
    </xf>
    <xf numFmtId="164" fontId="15" fillId="2" borderId="0" applyAlignment="1" pivotButton="0" quotePrefix="0" xfId="0">
      <alignment horizontal="right"/>
    </xf>
    <xf numFmtId="168" fontId="9" fillId="6" borderId="2" applyAlignment="1" pivotButton="0" quotePrefix="0" xfId="0">
      <alignment horizontal="right"/>
    </xf>
    <xf numFmtId="168" fontId="9" fillId="0" borderId="2" applyAlignment="1" pivotButton="0" quotePrefix="0" xfId="0">
      <alignment horizontal="right"/>
    </xf>
    <xf numFmtId="168" fontId="9" fillId="2" borderId="2" applyAlignment="1" pivotButton="0" quotePrefix="0" xfId="0">
      <alignment horizontal="right"/>
    </xf>
    <xf numFmtId="164" fontId="15" fillId="0" borderId="0" applyAlignment="1" pivotButton="0" quotePrefix="0" xfId="0">
      <alignment horizontal="right"/>
    </xf>
    <xf numFmtId="173" fontId="15" fillId="0" borderId="0" applyAlignment="1" pivotButton="0" quotePrefix="0" xfId="0">
      <alignment horizontal="right"/>
    </xf>
    <xf numFmtId="173" fontId="15" fillId="2" borderId="0" applyAlignment="1" pivotButton="0" quotePrefix="0" xfId="0">
      <alignment horizontal="right"/>
    </xf>
    <xf numFmtId="164" fontId="3" fillId="2" borderId="0" applyAlignment="1" pivotButton="0" quotePrefix="0" xfId="0">
      <alignment horizontal="right"/>
    </xf>
    <xf numFmtId="174" fontId="15" fillId="0" borderId="0" applyAlignment="1" pivotButton="0" quotePrefix="0" xfId="0">
      <alignment horizontal="right"/>
    </xf>
    <xf numFmtId="174" fontId="3" fillId="2" borderId="0" applyAlignment="1" pivotButton="0" quotePrefix="0" xfId="0">
      <alignment horizontal="right"/>
    </xf>
    <xf numFmtId="0" fontId="13" fillId="8" borderId="0" pivotButton="0" quotePrefix="0" xfId="0"/>
    <xf numFmtId="166" fontId="9" fillId="6" borderId="2" applyAlignment="1" pivotButton="0" quotePrefix="0" xfId="0">
      <alignment horizontal="right"/>
    </xf>
    <xf numFmtId="173" fontId="9" fillId="6" borderId="2" applyAlignment="1" pivotButton="0" quotePrefix="0" xfId="0">
      <alignment horizontal="right"/>
    </xf>
    <xf numFmtId="168" fontId="3" fillId="2" borderId="0" applyAlignment="1" pivotButton="0" quotePrefix="0" xfId="0">
      <alignment horizontal="right"/>
    </xf>
    <xf numFmtId="0" fontId="20" fillId="0" borderId="0" pivotButton="0" quotePrefix="0" xfId="0"/>
    <xf numFmtId="4" fontId="21" fillId="2" borderId="0" pivotButton="0" quotePrefix="0" xfId="0"/>
    <xf numFmtId="0" fontId="22" fillId="6" borderId="0" pivotButton="0" quotePrefix="0" xfId="0"/>
    <xf numFmtId="0" fontId="12" fillId="0" borderId="0" pivotButton="0" quotePrefix="0" xfId="0"/>
    <xf numFmtId="0" fontId="21" fillId="3" borderId="0" pivotButton="0" quotePrefix="0" xfId="0"/>
    <xf numFmtId="0" fontId="23" fillId="5" borderId="0" pivotButton="0" quotePrefix="0" xfId="0"/>
    <xf numFmtId="0" fontId="22" fillId="0" borderId="0" pivotButton="0" quotePrefix="0" xfId="0"/>
    <xf numFmtId="167" fontId="21" fillId="9" borderId="0" pivotButton="0" quotePrefix="0" xfId="0"/>
    <xf numFmtId="167" fontId="21" fillId="2" borderId="0" pivotButton="0" quotePrefix="0" xfId="0"/>
    <xf numFmtId="175" fontId="12" fillId="10" borderId="0" pivotButton="0" quotePrefix="0" xfId="0"/>
    <xf numFmtId="0" fontId="24" fillId="0" borderId="0" pivotButton="0" quotePrefix="0" xfId="0"/>
    <xf numFmtId="175" fontId="24" fillId="9" borderId="0" pivotButton="0" quotePrefix="0" xfId="0"/>
    <xf numFmtId="175" fontId="24" fillId="2" borderId="0" pivotButton="0" quotePrefix="0" xfId="0"/>
    <xf numFmtId="166" fontId="21" fillId="9" borderId="0" pivotButton="0" quotePrefix="0" xfId="0"/>
    <xf numFmtId="166" fontId="21" fillId="2" borderId="0" pivotButton="0" quotePrefix="0" xfId="0"/>
    <xf numFmtId="166" fontId="24" fillId="9" borderId="0" pivotButton="0" quotePrefix="0" xfId="0"/>
    <xf numFmtId="166" fontId="24" fillId="2" borderId="0" pivotButton="0" quotePrefix="0" xfId="0"/>
    <xf numFmtId="166" fontId="24" fillId="11" borderId="0" pivotButton="0" quotePrefix="0" xfId="0"/>
    <xf numFmtId="164" fontId="21" fillId="9" borderId="0" pivotButton="0" quotePrefix="0" xfId="0"/>
    <xf numFmtId="164" fontId="21" fillId="2" borderId="0" pivotButton="0" quotePrefix="0" xfId="0"/>
    <xf numFmtId="168" fontId="21" fillId="9" borderId="0" pivotButton="0" quotePrefix="0" xfId="0"/>
    <xf numFmtId="168" fontId="21" fillId="2" borderId="0" pivotButton="0" quotePrefix="0" xfId="0"/>
    <xf numFmtId="176" fontId="3" fillId="12" borderId="0" pivotButton="0" quotePrefix="0" xfId="0"/>
    <xf numFmtId="167" fontId="6" fillId="5" borderId="0" pivotButton="0" quotePrefix="0" xfId="0"/>
    <xf numFmtId="175" fontId="24" fillId="0" borderId="0" pivotButton="0" quotePrefix="0" xfId="0"/>
    <xf numFmtId="175" fontId="22" fillId="6" borderId="0" pivotButton="0" quotePrefix="0" xfId="0"/>
    <xf numFmtId="168" fontId="24" fillId="9" borderId="0" pivotButton="0" quotePrefix="0" xfId="0"/>
    <xf numFmtId="168" fontId="24" fillId="2" borderId="0" pivotButton="0" quotePrefix="0" xfId="0"/>
    <xf numFmtId="166" fontId="24" fillId="0" borderId="0" pivotButton="0" quotePrefix="0" xfId="0"/>
    <xf numFmtId="173" fontId="24" fillId="9" borderId="0" pivotButton="0" quotePrefix="0" xfId="0"/>
    <xf numFmtId="173" fontId="24" fillId="2" borderId="0" pivotButton="0" quotePrefix="0" xfId="0"/>
    <xf numFmtId="167" fontId="24" fillId="0" borderId="0" pivotButton="0" quotePrefix="0" xfId="0"/>
    <xf numFmtId="173" fontId="24" fillId="0" borderId="0" pivotButton="0" quotePrefix="0" xfId="0"/>
    <xf numFmtId="167" fontId="25" fillId="0" borderId="0" pivotButton="0" quotePrefix="0" xfId="0"/>
    <xf numFmtId="0" fontId="26" fillId="0" borderId="0" pivotButton="0" quotePrefix="0" xfId="0"/>
    <xf numFmtId="166" fontId="25" fillId="0" borderId="0" pivotButton="0" quotePrefix="0" xfId="0"/>
    <xf numFmtId="0" fontId="28" fillId="5" borderId="0" pivotButton="0" quotePrefix="0" xfId="0"/>
    <xf numFmtId="0" fontId="29" fillId="0" borderId="0" pivotButton="0" quotePrefix="0" xfId="0"/>
    <xf numFmtId="177" fontId="29" fillId="0" borderId="0" pivotButton="0" quotePrefix="0" xfId="0"/>
    <xf numFmtId="167" fontId="29" fillId="0" borderId="0" pivotButton="0" quotePrefix="0" xfId="0"/>
    <xf numFmtId="166" fontId="30" fillId="0" borderId="0" pivotButton="0" quotePrefix="0" xfId="0"/>
    <xf numFmtId="178" fontId="29" fillId="0" borderId="0" pivotButton="0" quotePrefix="0" xfId="0"/>
    <xf numFmtId="2" fontId="29" fillId="0" borderId="0" pivotButton="0" quotePrefix="0" xfId="0"/>
    <xf numFmtId="179" fontId="29" fillId="0" borderId="0" pivotButton="0" quotePrefix="0" xfId="0"/>
    <xf numFmtId="167" fontId="30" fillId="0" borderId="0" pivotButton="0" quotePrefix="0" xfId="0"/>
    <xf numFmtId="0" fontId="31" fillId="0" borderId="0" pivotButton="0" quotePrefix="0" xfId="0"/>
    <xf numFmtId="166" fontId="31" fillId="0" borderId="0" pivotButton="0" quotePrefix="0" xfId="0"/>
    <xf numFmtId="166" fontId="29" fillId="0" borderId="0" pivotButton="0" quotePrefix="0" xfId="0"/>
    <xf numFmtId="164" fontId="29" fillId="0" borderId="0" pivotButton="0" quotePrefix="0" xfId="0"/>
    <xf numFmtId="4" fontId="29" fillId="0" borderId="0" pivotButton="0" quotePrefix="0" xfId="0"/>
    <xf numFmtId="178" fontId="32" fillId="0" borderId="0" pivotButton="0" quotePrefix="0" xfId="0"/>
    <xf numFmtId="3" fontId="29" fillId="0" borderId="0" pivotButton="0" quotePrefix="0" xfId="0"/>
    <xf numFmtId="3" fontId="29" fillId="3" borderId="0" pivotButton="0" quotePrefix="0" xfId="0"/>
    <xf numFmtId="176" fontId="29" fillId="0" borderId="0" pivotButton="0" quotePrefix="0" xfId="0"/>
    <xf numFmtId="0" fontId="33" fillId="0" borderId="0" pivotButton="0" quotePrefix="0" xfId="0"/>
    <xf numFmtId="10" fontId="32" fillId="2" borderId="0" pivotButton="0" quotePrefix="0" xfId="0"/>
    <xf numFmtId="0" fontId="34" fillId="0" borderId="0" pivotButton="0" quotePrefix="0" xfId="0"/>
    <xf numFmtId="2" fontId="32" fillId="2" borderId="0" pivotButton="0" quotePrefix="0" xfId="0"/>
    <xf numFmtId="10" fontId="33" fillId="0" borderId="0" pivotButton="0" quotePrefix="0" xfId="0"/>
    <xf numFmtId="0" fontId="35" fillId="0" borderId="0" pivotButton="0" quotePrefix="0" xfId="0"/>
    <xf numFmtId="10" fontId="35" fillId="6" borderId="0" pivotButton="0" quotePrefix="0" xfId="0"/>
    <xf numFmtId="167" fontId="36" fillId="0" borderId="0" pivotButton="0" quotePrefix="0" xfId="0"/>
    <xf numFmtId="0" fontId="35" fillId="6" borderId="0" pivotButton="0" quotePrefix="0" xfId="0"/>
    <xf numFmtId="167" fontId="35" fillId="6" borderId="0" pivotButton="0" quotePrefix="0" xfId="0"/>
    <xf numFmtId="178" fontId="32" fillId="2" borderId="0" pivotButton="0" quotePrefix="0" xfId="0"/>
    <xf numFmtId="178" fontId="30" fillId="2" borderId="0" pivotButton="0" quotePrefix="0" xfId="0"/>
    <xf numFmtId="178" fontId="37" fillId="3" borderId="0" pivotButton="0" quotePrefix="0" xfId="0"/>
    <xf numFmtId="10" fontId="30" fillId="0" borderId="0" pivotButton="0" quotePrefix="0" xfId="0"/>
    <xf numFmtId="1" fontId="32" fillId="2" borderId="0" pivotButton="0" quotePrefix="0" xfId="0"/>
    <xf numFmtId="0" fontId="30" fillId="0" borderId="0" applyAlignment="1" pivotButton="0" quotePrefix="0" xfId="0">
      <alignment horizontal="right"/>
    </xf>
    <xf numFmtId="178" fontId="32" fillId="13" borderId="0" pivotButton="0" quotePrefix="0" xfId="0"/>
    <xf numFmtId="1" fontId="32" fillId="13" borderId="0" pivotButton="0" quotePrefix="0" xfId="0"/>
    <xf numFmtId="0" fontId="38" fillId="2" borderId="0" pivotButton="0" quotePrefix="0" xfId="0"/>
    <xf numFmtId="0" fontId="16" fillId="0" borderId="3" pivotButton="0" quotePrefix="0" xfId="0"/>
    <xf numFmtId="168" fontId="15" fillId="0" borderId="3" applyAlignment="1" pivotButton="0" quotePrefix="0" xfId="0">
      <alignment horizontal="right"/>
    </xf>
    <xf numFmtId="168" fontId="15" fillId="2" borderId="3" applyAlignment="1" pivotButton="0" quotePrefix="0" xfId="0">
      <alignment horizontal="right"/>
    </xf>
    <xf numFmtId="9" fontId="30" fillId="0" borderId="0" applyAlignment="1" pivotButton="0" quotePrefix="0" xfId="1">
      <alignment horizontal="left"/>
    </xf>
    <xf numFmtId="0" fontId="11" fillId="5" borderId="0" applyAlignment="1" pivotButton="0" quotePrefix="0" xfId="0">
      <alignment horizontal="center" vertical="center" wrapText="1"/>
    </xf>
    <xf numFmtId="0" fontId="11" fillId="7" borderId="0" applyAlignment="1" pivotButton="0" quotePrefix="0" xfId="0">
      <alignment horizontal="center" vertical="center" wrapText="1"/>
    </xf>
    <xf numFmtId="0" fontId="6" fillId="5" borderId="0" applyAlignment="1" pivotButton="0" quotePrefix="0" xfId="0">
      <alignment shrinkToFit="1"/>
    </xf>
    <xf numFmtId="0" fontId="0" fillId="2" borderId="0" pivotButton="0" quotePrefix="0" xfId="0"/>
    <xf numFmtId="0" fontId="0" fillId="0" borderId="2" pivotButton="0" quotePrefix="0" xfId="0"/>
    <xf numFmtId="166" fontId="17" fillId="2" borderId="0" applyAlignment="1" pivotButton="0" quotePrefix="0" xfId="0">
      <alignment horizontal="right"/>
    </xf>
    <xf numFmtId="0" fontId="39" fillId="0" borderId="0" pivotButton="0" quotePrefix="0" xfId="0"/>
    <xf numFmtId="0" fontId="0" fillId="2" borderId="2" pivotButton="0" quotePrefix="0" xfId="0"/>
    <xf numFmtId="0" fontId="40" fillId="0" borderId="0" pivotButton="0" quotePrefix="0" xfId="0"/>
    <xf numFmtId="0" fontId="1" fillId="0" borderId="0" pivotButton="0" quotePrefix="0" xfId="0"/>
    <xf numFmtId="0" fontId="0" fillId="6" borderId="2" pivotButton="0" quotePrefix="0" xfId="0"/>
    <xf numFmtId="177" fontId="0" fillId="0" borderId="0" pivotButton="0" quotePrefix="0" xfId="0"/>
    <xf numFmtId="0" fontId="11" fillId="5" borderId="0" pivotButton="0" quotePrefix="0" xfId="0"/>
    <xf numFmtId="0" fontId="11" fillId="5" borderId="0" applyAlignment="1" pivotButton="0" quotePrefix="0" xfId="0">
      <alignment horizontal="right"/>
    </xf>
    <xf numFmtId="166" fontId="8" fillId="0" borderId="0" pivotButton="0" quotePrefix="0" xfId="0"/>
    <xf numFmtId="4" fontId="11" fillId="5" borderId="0" pivotButton="0" quotePrefix="0" xfId="0"/>
    <xf numFmtId="4" fontId="8" fillId="0" borderId="0" pivotButton="0" quotePrefix="0" xfId="0"/>
    <xf numFmtId="178" fontId="8" fillId="0" borderId="0" pivotButton="0" quotePrefix="0" xfId="0"/>
    <xf numFmtId="176" fontId="11" fillId="5" borderId="0" pivotButton="0" quotePrefix="0" xfId="0"/>
    <xf numFmtId="10" fontId="46" fillId="13" borderId="0" pivotButton="0" quotePrefix="0" xfId="0"/>
    <xf numFmtId="2" fontId="46" fillId="13" borderId="0" pivotButton="0" quotePrefix="0" xfId="0"/>
    <xf numFmtId="10" fontId="45" fillId="0" borderId="0" pivotButton="0" quotePrefix="0" xfId="0"/>
    <xf numFmtId="180" fontId="46" fillId="0" borderId="0" applyAlignment="1" pivotButton="0" quotePrefix="0" xfId="0">
      <alignment horizontal="center"/>
    </xf>
    <xf numFmtId="167" fontId="49" fillId="0" borderId="0" pivotButton="0" quotePrefix="0" xfId="0"/>
    <xf numFmtId="167" fontId="45" fillId="0" borderId="0" pivotButton="0" quotePrefix="0" xfId="0"/>
    <xf numFmtId="166" fontId="45" fillId="0" borderId="0" pivotButton="0" quotePrefix="0" xfId="0"/>
    <xf numFmtId="166" fontId="45" fillId="0" borderId="0" applyAlignment="1" pivotButton="0" quotePrefix="0" xfId="0">
      <alignment horizontal="center"/>
    </xf>
    <xf numFmtId="2" fontId="45" fillId="0" borderId="0" pivotButton="0" quotePrefix="0" xfId="0"/>
    <xf numFmtId="167" fontId="48" fillId="0" borderId="0" pivotButton="0" quotePrefix="0" xfId="0"/>
    <xf numFmtId="167" fontId="48" fillId="16" borderId="0" pivotButton="0" quotePrefix="0" xfId="0"/>
    <xf numFmtId="166" fontId="48" fillId="16" borderId="0" pivotButton="0" quotePrefix="0" xfId="0"/>
    <xf numFmtId="166" fontId="48" fillId="16" borderId="0" applyAlignment="1" pivotButton="0" quotePrefix="0" xfId="0">
      <alignment horizontal="center"/>
    </xf>
    <xf numFmtId="178" fontId="46" fillId="13" borderId="0" pivotButton="0" quotePrefix="0" xfId="0"/>
    <xf numFmtId="178" fontId="45" fillId="13" borderId="0" pivotButton="0" quotePrefix="0" xfId="0"/>
    <xf numFmtId="178" fontId="51" fillId="17" borderId="0" pivotButton="0" quotePrefix="0" xfId="0"/>
    <xf numFmtId="179" fontId="45" fillId="0" borderId="0" pivotButton="0" quotePrefix="0" xfId="0"/>
    <xf numFmtId="181" fontId="49" fillId="0" borderId="0" pivotButton="0" quotePrefix="0" xfId="0"/>
    <xf numFmtId="4" fontId="44" fillId="14" borderId="0" pivotButton="0" quotePrefix="0" xfId="0"/>
    <xf numFmtId="4" fontId="49" fillId="0" borderId="0" pivotButton="0" quotePrefix="0" xfId="0"/>
    <xf numFmtId="182" fontId="48" fillId="16" borderId="0" pivotButton="0" quotePrefix="0" xfId="0"/>
    <xf numFmtId="4" fontId="48" fillId="16" borderId="0" pivotButton="0" quotePrefix="0" xfId="0"/>
    <xf numFmtId="1" fontId="46" fillId="13" borderId="0" pivotButton="0" quotePrefix="0" xfId="0"/>
    <xf numFmtId="0" fontId="41" fillId="0" borderId="0" pivotButton="0" quotePrefix="0" xfId="0"/>
    <xf numFmtId="0" fontId="42" fillId="14" borderId="0" pivotButton="0" quotePrefix="0" xfId="0"/>
    <xf numFmtId="0" fontId="43" fillId="14" borderId="0" pivotButton="0" quotePrefix="0" xfId="0"/>
    <xf numFmtId="0" fontId="44" fillId="15" borderId="0" pivotButton="0" quotePrefix="0" xfId="0"/>
    <xf numFmtId="0" fontId="43" fillId="15" borderId="0" pivotButton="0" quotePrefix="0" xfId="0"/>
    <xf numFmtId="0" fontId="45" fillId="0" borderId="0" pivotButton="0" quotePrefix="0" xfId="0"/>
    <xf numFmtId="0" fontId="47" fillId="0" borderId="0" pivotButton="0" quotePrefix="0" xfId="0"/>
    <xf numFmtId="0" fontId="48" fillId="0" borderId="0" pivotButton="0" quotePrefix="0" xfId="0"/>
    <xf numFmtId="0" fontId="48" fillId="16" borderId="0" pivotButton="0" quotePrefix="0" xfId="0"/>
    <xf numFmtId="0" fontId="41" fillId="15" borderId="0" pivotButton="0" quotePrefix="0" xfId="0"/>
    <xf numFmtId="0" fontId="44" fillId="14" borderId="0" pivotButton="0" quotePrefix="0" xfId="0"/>
    <xf numFmtId="0" fontId="44" fillId="14" borderId="0" applyAlignment="1" pivotButton="0" quotePrefix="0" xfId="0">
      <alignment horizontal="center"/>
    </xf>
    <xf numFmtId="0" fontId="43" fillId="14" borderId="0" applyAlignment="1" pivotButton="0" quotePrefix="0" xfId="0">
      <alignment horizontal="center"/>
    </xf>
    <xf numFmtId="0" fontId="47" fillId="0" borderId="0" applyAlignment="1" pivotButton="0" quotePrefix="0" xfId="0">
      <alignment horizontal="right"/>
    </xf>
    <xf numFmtId="0" fontId="50" fillId="0" borderId="0" applyAlignment="1" pivotButton="0" quotePrefix="0" xfId="0">
      <alignment horizontal="centerContinuous"/>
    </xf>
    <xf numFmtId="0" fontId="44" fillId="15" borderId="0" applyAlignment="1" pivotButton="0" quotePrefix="0" xfId="0">
      <alignment horizontal="right"/>
    </xf>
    <xf numFmtId="1" fontId="46" fillId="13" borderId="0" applyAlignment="1" pivotButton="0" quotePrefix="0" xfId="0">
      <alignment horizontal="center"/>
    </xf>
    <xf numFmtId="167" fontId="49" fillId="0" borderId="0" applyAlignment="1" pivotButton="0" quotePrefix="0" xfId="0">
      <alignment horizontal="right"/>
    </xf>
    <xf numFmtId="178" fontId="49" fillId="0" borderId="0" applyAlignment="1" pivotButton="0" quotePrefix="0" xfId="0">
      <alignment horizontal="right"/>
    </xf>
    <xf numFmtId="167" fontId="45" fillId="0" borderId="0" applyAlignment="1" pivotButton="0" quotePrefix="0" xfId="0">
      <alignment horizontal="right"/>
    </xf>
    <xf numFmtId="181" fontId="49" fillId="0" borderId="0" applyAlignment="1" pivotButton="0" quotePrefix="0" xfId="0">
      <alignment horizontal="right"/>
    </xf>
    <xf numFmtId="4" fontId="44" fillId="14" borderId="0" applyAlignment="1" pivotButton="0" quotePrefix="0" xfId="0">
      <alignment horizontal="right"/>
    </xf>
    <xf numFmtId="4" fontId="45" fillId="0" borderId="0" applyAlignment="1" pivotButton="0" quotePrefix="0" xfId="0">
      <alignment horizontal="right"/>
    </xf>
    <xf numFmtId="166" fontId="45" fillId="0" borderId="0" applyAlignment="1" pivotButton="0" quotePrefix="0" xfId="0">
      <alignment horizontal="right"/>
    </xf>
    <xf numFmtId="10" fontId="48" fillId="16" borderId="4" pivotButton="0" quotePrefix="0" xfId="0"/>
    <xf numFmtId="0" fontId="48" fillId="16" borderId="4" pivotButton="0" quotePrefix="0" xfId="0"/>
    <xf numFmtId="0" fontId="50" fillId="16" borderId="4" pivotButton="0" quotePrefix="0" xfId="0"/>
    <xf numFmtId="167" fontId="48" fillId="16" borderId="4" pivotButton="0" quotePrefix="0" xfId="0"/>
    <xf numFmtId="0" fontId="45" fillId="0" borderId="4" pivotButton="0" quotePrefix="0" xfId="0"/>
    <xf numFmtId="0" fontId="41" fillId="0" borderId="4" pivotButton="0" quotePrefix="0" xfId="0"/>
    <xf numFmtId="167" fontId="45" fillId="0" borderId="4" pivotButton="0" quotePrefix="0" xfId="0"/>
    <xf numFmtId="0" fontId="48" fillId="0" borderId="4" pivotButton="0" quotePrefix="0" xfId="0"/>
    <xf numFmtId="167" fontId="48" fillId="0" borderId="4" pivotButton="0" quotePrefix="0" xfId="0"/>
    <xf numFmtId="3" fontId="45" fillId="0" borderId="0" applyAlignment="1" pivotButton="0" quotePrefix="0" xfId="0">
      <alignment horizontal="center"/>
    </xf>
    <xf numFmtId="3" fontId="48" fillId="17" borderId="0" applyAlignment="1" pivotButton="0" quotePrefix="0" xfId="0">
      <alignment horizontal="center"/>
    </xf>
    <xf numFmtId="0" fontId="43" fillId="14" borderId="4" pivotButton="0" quotePrefix="0" xfId="0"/>
    <xf numFmtId="10" fontId="44" fillId="14" borderId="4" applyAlignment="1" pivotButton="0" quotePrefix="0" xfId="0">
      <alignment horizontal="center"/>
    </xf>
    <xf numFmtId="0" fontId="41" fillId="0" borderId="5" pivotButton="0" quotePrefix="0" xfId="0"/>
    <xf numFmtId="3" fontId="45" fillId="0" borderId="5" applyAlignment="1" pivotButton="0" quotePrefix="0" xfId="0">
      <alignment horizontal="center"/>
    </xf>
    <xf numFmtId="0" fontId="44" fillId="14" borderId="6" pivotButton="0" quotePrefix="0" xfId="0"/>
    <xf numFmtId="10" fontId="48" fillId="0" borderId="7" applyAlignment="1" pivotButton="0" quotePrefix="0" xfId="0">
      <alignment horizontal="right"/>
    </xf>
    <xf numFmtId="10" fontId="48" fillId="0" borderId="8" applyAlignment="1" pivotButton="0" quotePrefix="0" xfId="0">
      <alignment horizontal="right"/>
    </xf>
    <xf numFmtId="10" fontId="44" fillId="14" borderId="9" applyAlignment="1" pivotButton="0" quotePrefix="0" xfId="0">
      <alignment horizontal="center"/>
    </xf>
    <xf numFmtId="3" fontId="45" fillId="0" borderId="10" applyAlignment="1" pivotButton="0" quotePrefix="0" xfId="0">
      <alignment horizontal="center"/>
    </xf>
    <xf numFmtId="3" fontId="45" fillId="0" borderId="11" applyAlignment="1" pivotButton="0" quotePrefix="0" xfId="0">
      <alignment horizontal="center"/>
    </xf>
    <xf numFmtId="0" fontId="45" fillId="0" borderId="0" applyAlignment="1" pivotButton="0" quotePrefix="0" xfId="0">
      <alignment horizontal="left" indent="2"/>
    </xf>
    <xf numFmtId="10" fontId="49" fillId="0" borderId="0" applyAlignment="1" pivotButton="0" quotePrefix="0" xfId="0">
      <alignment horizontal="center"/>
    </xf>
    <xf numFmtId="10" fontId="46" fillId="13" borderId="0" applyAlignment="1" pivotButton="0" quotePrefix="0" xfId="0">
      <alignment horizontal="center"/>
    </xf>
    <xf numFmtId="183" fontId="45" fillId="0" borderId="0" applyAlignment="1" pivotButton="0" quotePrefix="0" xfId="0">
      <alignment horizontal="center"/>
    </xf>
    <xf numFmtId="2" fontId="45" fillId="0" borderId="0" applyAlignment="1" pivotButton="0" quotePrefix="0" xfId="0">
      <alignment horizontal="center"/>
    </xf>
    <xf numFmtId="179" fontId="45" fillId="0" borderId="0" applyAlignment="1" pivotButton="0" quotePrefix="0" xfId="0">
      <alignment horizontal="center"/>
    </xf>
    <xf numFmtId="176" fontId="44" fillId="14" borderId="0" applyAlignment="1" pivotButton="0" quotePrefix="0" xfId="0">
      <alignment horizontal="center"/>
    </xf>
    <xf numFmtId="176" fontId="45" fillId="0" borderId="0" applyAlignment="1" pivotButton="0" quotePrefix="0" xfId="0">
      <alignment horizontal="right"/>
    </xf>
    <xf numFmtId="182" fontId="48" fillId="16" borderId="0" applyAlignment="1" pivotButton="0" quotePrefix="0" xfId="0">
      <alignment horizontal="right"/>
    </xf>
    <xf numFmtId="176" fontId="44" fillId="14" borderId="0" applyAlignment="1" pivotButton="0" quotePrefix="0" xfId="0">
      <alignment horizontal="right"/>
    </xf>
    <xf numFmtId="184" fontId="48" fillId="0" borderId="0" applyAlignment="1" pivotButton="0" quotePrefix="0" xfId="0">
      <alignment horizontal="right"/>
    </xf>
    <xf numFmtId="167" fontId="25" fillId="2" borderId="0" pivotButton="0" quotePrefix="0" xfId="0"/>
    <xf numFmtId="185" fontId="25" fillId="2" borderId="0" pivotButton="0" quotePrefix="0" xfId="0"/>
    <xf numFmtId="168" fontId="25" fillId="2" borderId="0" pivotButton="0" quotePrefix="0" xfId="0"/>
    <xf numFmtId="0" fontId="0" fillId="0" borderId="0" pivotButton="0" quotePrefix="0" xfId="0"/>
    <xf numFmtId="0" fontId="54" fillId="0" borderId="0" pivotButton="0" quotePrefix="0" xfId="0"/>
    <xf numFmtId="167" fontId="46" fillId="0" borderId="0" applyAlignment="1" pivotButton="0" quotePrefix="0" xfId="0">
      <alignment horizontal="right"/>
    </xf>
    <xf numFmtId="167" fontId="45" fillId="2" borderId="0" applyAlignment="1" pivotButton="0" quotePrefix="0" xfId="0">
      <alignment horizontal="right"/>
    </xf>
    <xf numFmtId="166" fontId="55" fillId="0" borderId="0" applyAlignment="1" pivotButton="0" quotePrefix="0" xfId="0">
      <alignment horizontal="right"/>
    </xf>
    <xf numFmtId="166" fontId="45" fillId="2" borderId="0" applyAlignment="1" pivotButton="0" quotePrefix="0" xfId="0">
      <alignment horizontal="right"/>
    </xf>
    <xf numFmtId="166" fontId="46" fillId="0" borderId="0" pivotButton="0" quotePrefix="0" xfId="0"/>
    <xf numFmtId="167" fontId="46" fillId="0" borderId="0" pivotButton="0" quotePrefix="0" xfId="0"/>
    <xf numFmtId="168" fontId="46" fillId="0" borderId="0" pivotButton="0" quotePrefix="0" xfId="0"/>
    <xf numFmtId="167" fontId="48" fillId="0" borderId="2" applyAlignment="1" pivotButton="0" quotePrefix="0" xfId="0">
      <alignment horizontal="right"/>
    </xf>
    <xf numFmtId="167" fontId="48" fillId="2" borderId="2" applyAlignment="1" pivotButton="0" quotePrefix="0" xfId="0">
      <alignment horizontal="right"/>
    </xf>
    <xf numFmtId="176" fontId="17" fillId="0" borderId="0" pivotButton="0" quotePrefix="0" xfId="0"/>
    <xf numFmtId="186" fontId="45" fillId="0" borderId="0" applyAlignment="1" pivotButton="0" quotePrefix="0" xfId="0">
      <alignment horizontal="right"/>
    </xf>
    <xf numFmtId="166" fontId="46" fillId="0" borderId="0" applyAlignment="1" pivotButton="0" quotePrefix="0" xfId="0">
      <alignment horizontal="right"/>
    </xf>
    <xf numFmtId="173" fontId="45" fillId="0" borderId="0" applyAlignment="1" pivotButton="0" quotePrefix="0" xfId="0">
      <alignment horizontal="right"/>
    </xf>
    <xf numFmtId="167" fontId="51" fillId="0" borderId="2" applyAlignment="1" pivotButton="0" quotePrefix="0" xfId="0">
      <alignment horizontal="right"/>
    </xf>
    <xf numFmtId="166" fontId="51" fillId="2" borderId="0" applyAlignment="1" pivotButton="0" quotePrefix="0" xfId="0">
      <alignment horizontal="right"/>
    </xf>
    <xf numFmtId="173" fontId="15" fillId="0" borderId="0" pivotButton="0" quotePrefix="0" xfId="0"/>
    <xf numFmtId="173" fontId="17" fillId="0" borderId="0" pivotButton="0" quotePrefix="0" xfId="0"/>
    <xf numFmtId="167" fontId="51" fillId="2" borderId="0" applyAlignment="1" pivotButton="0" quotePrefix="0" xfId="0">
      <alignment horizontal="right"/>
    </xf>
    <xf numFmtId="0" fontId="51" fillId="2" borderId="0" applyAlignment="1" pivotButton="0" quotePrefix="0" xfId="0">
      <alignment horizontal="right"/>
    </xf>
    <xf numFmtId="173" fontId="51" fillId="2" borderId="0" applyAlignment="1" pivotButton="0" quotePrefix="0" xfId="0">
      <alignment horizontal="right"/>
    </xf>
    <xf numFmtId="167" fontId="48" fillId="6" borderId="2" applyAlignment="1" pivotButton="0" quotePrefix="0" xfId="0">
      <alignment horizontal="right"/>
    </xf>
    <xf numFmtId="167" fontId="41" fillId="2" borderId="0" pivotButton="0" quotePrefix="0" xfId="0"/>
    <xf numFmtId="168" fontId="41" fillId="2" borderId="0" pivotButton="0" quotePrefix="0" xfId="0"/>
    <xf numFmtId="168" fontId="45" fillId="2" borderId="0" applyAlignment="1" pivotButton="0" quotePrefix="0" xfId="0">
      <alignment horizontal="right"/>
    </xf>
    <xf numFmtId="167" fontId="51" fillId="6" borderId="2" applyAlignment="1" pivotButton="0" quotePrefix="0" xfId="0">
      <alignment horizontal="right"/>
    </xf>
    <xf numFmtId="164" fontId="46" fillId="0" borderId="0" applyAlignment="1" pivotButton="0" quotePrefix="0" xfId="0">
      <alignment horizontal="right"/>
    </xf>
    <xf numFmtId="164" fontId="45" fillId="2" borderId="0" applyAlignment="1" pivotButton="0" quotePrefix="0" xfId="0">
      <alignment horizontal="right"/>
    </xf>
    <xf numFmtId="168" fontId="48" fillId="6" borderId="2" applyAlignment="1" pivotButton="0" quotePrefix="0" xfId="0">
      <alignment horizontal="right"/>
    </xf>
    <xf numFmtId="168" fontId="46" fillId="0" borderId="0" applyAlignment="1" pivotButton="0" quotePrefix="0" xfId="0">
      <alignment horizontal="right"/>
    </xf>
    <xf numFmtId="168" fontId="45" fillId="0" borderId="0" applyAlignment="1" pivotButton="0" quotePrefix="0" xfId="0">
      <alignment horizontal="right"/>
    </xf>
    <xf numFmtId="168" fontId="51" fillId="2" borderId="0" applyAlignment="1" pivotButton="0" quotePrefix="0" xfId="0">
      <alignment horizontal="right"/>
    </xf>
    <xf numFmtId="0" fontId="56" fillId="0" borderId="0" pivotButton="0" quotePrefix="0" xfId="0"/>
    <xf numFmtId="164" fontId="45" fillId="0" borderId="0" applyAlignment="1" pivotButton="0" quotePrefix="0" xfId="0">
      <alignment horizontal="right"/>
    </xf>
    <xf numFmtId="173" fontId="45" fillId="2" borderId="0" applyAlignment="1" pivotButton="0" quotePrefix="0" xfId="0">
      <alignment horizontal="right"/>
    </xf>
    <xf numFmtId="186" fontId="45" fillId="2" borderId="0" applyAlignment="1" pivotButton="0" quotePrefix="0" xfId="0">
      <alignment horizontal="right"/>
    </xf>
    <xf numFmtId="186" fontId="51" fillId="2" borderId="0" applyAlignment="1" pivotButton="0" quotePrefix="0" xfId="0">
      <alignment horizontal="right"/>
    </xf>
    <xf numFmtId="164" fontId="41" fillId="2" borderId="0" pivotButton="0" quotePrefix="0" xfId="0"/>
    <xf numFmtId="174" fontId="45" fillId="0" borderId="0" applyAlignment="1" pivotButton="0" quotePrefix="0" xfId="0">
      <alignment horizontal="right"/>
    </xf>
    <xf numFmtId="174" fontId="51" fillId="2" borderId="0" applyAlignment="1" pivotButton="0" quotePrefix="0" xfId="0">
      <alignment horizontal="right"/>
    </xf>
    <xf numFmtId="0" fontId="41" fillId="2" borderId="0" pivotButton="0" quotePrefix="0" xfId="0"/>
    <xf numFmtId="164" fontId="51" fillId="2" borderId="0" applyAlignment="1" pivotButton="0" quotePrefix="0" xfId="0">
      <alignment horizontal="right"/>
    </xf>
    <xf numFmtId="176" fontId="45" fillId="2" borderId="0" applyAlignment="1" pivotButton="0" quotePrefix="0" xfId="0">
      <alignment horizontal="right"/>
    </xf>
    <xf numFmtId="166" fontId="48" fillId="6" borderId="2" applyAlignment="1" pivotButton="0" quotePrefix="0" xfId="0">
      <alignment horizontal="right"/>
    </xf>
    <xf numFmtId="173" fontId="48" fillId="6" borderId="2" applyAlignment="1" pivotButton="0" quotePrefix="0" xfId="0">
      <alignment horizontal="right"/>
    </xf>
    <xf numFmtId="177" fontId="0" fillId="0" borderId="0" pivotButton="0" quotePrefix="0" xfId="0"/>
    <xf numFmtId="175" fontId="12" fillId="10" borderId="0" pivotButton="0" quotePrefix="0" xfId="0"/>
    <xf numFmtId="175" fontId="24" fillId="9" borderId="0" pivotButton="0" quotePrefix="0" xfId="0"/>
    <xf numFmtId="175" fontId="24" fillId="2" borderId="0" pivotButton="0" quotePrefix="0" xfId="0"/>
    <xf numFmtId="176" fontId="3" fillId="12" borderId="0" pivotButton="0" quotePrefix="0" xfId="0"/>
    <xf numFmtId="175" fontId="24" fillId="0" borderId="0" pivotButton="0" quotePrefix="0" xfId="0"/>
    <xf numFmtId="175" fontId="22" fillId="6" borderId="0" pivotButton="0" quotePrefix="0" xfId="0"/>
    <xf numFmtId="176" fontId="44" fillId="14" borderId="0" applyAlignment="1" pivotButton="0" quotePrefix="0" xfId="0">
      <alignment horizontal="center"/>
    </xf>
    <xf numFmtId="176" fontId="45" fillId="0" borderId="0" applyAlignment="1" pivotButton="0" quotePrefix="0" xfId="0">
      <alignment horizontal="right"/>
    </xf>
    <xf numFmtId="176" fontId="44" fillId="14" borderId="0" applyAlignment="1" pivotButton="0" quotePrefix="0" xfId="0">
      <alignment horizontal="right"/>
    </xf>
  </cellXfs>
  <cellStyles count="2">
    <cellStyle name="Normal" xfId="0" builtinId="0"/>
    <cellStyle name="Percent" xfId="1" builtinId="5"/>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AD2C5"/>
      <rgbColor rgb="FF878787"/>
      <rgbColor rgb="FF84A98C"/>
      <rgbColor rgb="FF595959"/>
      <rgbColor rgb="FFFFF8DC"/>
      <rgbColor rgb="FFE8EDE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9ECEC"/>
      <rgbColor rgb="FFF0F2F0"/>
      <rgbColor rgb="FFFFFDE7"/>
      <rgbColor rgb="FFA8C5D6"/>
      <rgbColor rgb="FFFF99CC"/>
      <rgbColor rgb="FFCC99FF"/>
      <rgbColor rgb="FFF5F5F5"/>
      <rgbColor rgb="FF3366FF"/>
      <rgbColor rgb="FF33CCCC"/>
      <rgbColor rgb="FF99CC00"/>
      <rgbColor rgb="FFFFCC00"/>
      <rgbColor rgb="FFFF9900"/>
      <rgbColor rgb="FFC8553D"/>
      <rgbColor rgb="FF666666"/>
      <rgbColor rgb="FFA6A6A6"/>
      <rgbColor rgb="FF1F3864"/>
      <rgbColor rgb="FF52796F"/>
      <rgbColor rgb="FF003300"/>
      <rgbColor rgb="FF404040"/>
      <rgbColor rgb="FF993300"/>
      <rgbColor rgb="FF993366"/>
      <rgbColor rgb="FF1F4E79"/>
      <rgbColor rgb="FF2F3E4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Adjusted Revenue Growth: CES vs. DPT Contribution, pp</a:t>
            </a:r>
          </a:p>
        </c:rich>
      </c:tx>
      <c:overlay val="0"/>
      <c:spPr>
        <a:noFill/>
        <a:ln w="0">
          <a:noFill/>
        </a:ln>
      </c:spPr>
    </c:title>
    <c:autoTitleDeleted val="0"/>
    <c:plotArea>
      <c:layout/>
      <c:barChart>
        <c:barDir val="col"/>
        <c:grouping val="stacked"/>
        <c:varyColors val="0"/>
        <c:ser>
          <c:idx val="0"/>
          <c:order val="0"/>
          <c:tx>
            <c:strRef>
              <c:f>Charts!$B$8</c:f>
            </c:strRef>
          </c:tx>
          <c:spPr>
            <a:solidFill>
              <a:srgbClr val="2F3E4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Charts!$C$7:$K$7</c:f>
            </c:numRef>
          </c:cat>
          <c:val>
            <c:numRef>
              <c:f>Charts!$C$8:$K$8</c:f>
            </c:numRef>
          </c:val>
          <c:extLst>
            <c:ext xmlns:c16="http://schemas.microsoft.com/office/drawing/2014/chart" uri="{C3380CC4-5D6E-409C-BE32-E72D297353CC}">
              <c16:uniqueId val="{00000000-FF49-44E0-9EFD-670A32200F47}"/>
            </c:ext>
          </c:extLst>
        </c:ser>
        <c:ser>
          <c:idx val="1"/>
          <c:order val="1"/>
          <c:tx>
            <c:strRef>
              <c:f>Charts!$B$9</c:f>
            </c:strRef>
          </c:tx>
          <c:spPr>
            <a:solidFill>
              <a:srgbClr val="84A98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Charts!$C$7:$K$7</c:f>
            </c:numRef>
          </c:cat>
          <c:val>
            <c:numRef>
              <c:f>Charts!$C$9:$K$9</c:f>
            </c:numRef>
          </c:val>
          <c:extLst>
            <c:ext xmlns:c16="http://schemas.microsoft.com/office/drawing/2014/chart" uri="{C3380CC4-5D6E-409C-BE32-E72D297353CC}">
              <c16:uniqueId val="{00000001-FF49-44E0-9EFD-670A32200F47}"/>
            </c:ext>
          </c:extLst>
        </c:ser>
        <c:dLbls>
          <c:showLegendKey val="0"/>
          <c:showVal val="0"/>
          <c:showCatName val="0"/>
          <c:showSerName val="0"/>
          <c:showPercent val="0"/>
          <c:showBubbleSize val="0"/>
        </c:dLbls>
        <c:gapWidth val="150"/>
        <c:overlap val="100"/>
        <c:axId val="20044735"/>
        <c:axId val="65342648"/>
      </c:barChart>
      <c:catAx>
        <c:axId val="2004473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342648"/>
        <c:crosses val="autoZero"/>
        <c:auto val="1"/>
        <c:lblAlgn val="ctr"/>
        <c:lblOffset val="100"/>
        <c:noMultiLvlLbl val="0"/>
      </c:catAx>
      <c:valAx>
        <c:axId val="6534264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004473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Adjusted EBITDA &amp; Profit before Tax (USDm)</a:t>
            </a:r>
          </a:p>
        </c:rich>
      </c:tx>
      <c:overlay val="0"/>
      <c:spPr>
        <a:noFill/>
        <a:ln w="0">
          <a:noFill/>
        </a:ln>
      </c:spPr>
    </c:title>
    <c:autoTitleDeleted val="0"/>
    <c:plotArea>
      <c:layout/>
      <c:barChart>
        <c:barDir val="col"/>
        <c:grouping val="clustered"/>
        <c:varyColors val="0"/>
        <c:ser>
          <c:idx val="0"/>
          <c:order val="0"/>
          <c:tx>
            <c:strRef>
              <c:f>Charts!$B$12</c:f>
            </c:strRef>
          </c:tx>
          <c:spPr>
            <a:solidFill>
              <a:srgbClr val="A8C5D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Charts!$C$7:$K$7</c:f>
            </c:numRef>
          </c:cat>
          <c:val>
            <c:numRef>
              <c:f>Charts!$C$12:$K$12</c:f>
            </c:numRef>
          </c:val>
          <c:extLst>
            <c:ext xmlns:c16="http://schemas.microsoft.com/office/drawing/2014/chart" uri="{C3380CC4-5D6E-409C-BE32-E72D297353CC}">
              <c16:uniqueId val="{00000000-70F1-4400-9151-F0905619F4D5}"/>
            </c:ext>
          </c:extLst>
        </c:ser>
        <c:ser>
          <c:idx val="1"/>
          <c:order val="1"/>
          <c:tx>
            <c:strRef>
              <c:f>Charts!$B$13</c:f>
            </c:strRef>
          </c:tx>
          <c:spPr>
            <a:solidFill>
              <a:srgbClr val="1F4E7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Charts!$C$7:$K$7</c:f>
            </c:numRef>
          </c:cat>
          <c:val>
            <c:numRef>
              <c:f>Charts!$C$13:$K$13</c:f>
            </c:numRef>
          </c:val>
          <c:extLst>
            <c:ext xmlns:c16="http://schemas.microsoft.com/office/drawing/2014/chart" uri="{C3380CC4-5D6E-409C-BE32-E72D297353CC}">
              <c16:uniqueId val="{00000001-70F1-4400-9151-F0905619F4D5}"/>
            </c:ext>
          </c:extLst>
        </c:ser>
        <c:dLbls>
          <c:showLegendKey val="0"/>
          <c:showVal val="0"/>
          <c:showCatName val="0"/>
          <c:showSerName val="0"/>
          <c:showPercent val="0"/>
          <c:showBubbleSize val="0"/>
        </c:dLbls>
        <c:gapWidth val="150"/>
        <c:axId val="22608424"/>
        <c:axId val="81960370"/>
      </c:barChart>
      <c:lineChart>
        <c:grouping val="standard"/>
        <c:varyColors val="0"/>
        <c:ser>
          <c:idx val="2"/>
          <c:order val="2"/>
          <c:tx>
            <c:strRef>
              <c:f>Charts!$B$14</c:f>
            </c:strRef>
          </c:tx>
          <c:spPr>
            <a:ln w="28440">
              <a:solidFill>
                <a:srgbClr val="2F3E46"/>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Charts!$C$7:$K$7</c:f>
            </c:numRef>
          </c:cat>
          <c:val>
            <c:numRef>
              <c:f>Charts!$C$14:$K$14</c:f>
            </c:numRef>
          </c:val>
          <c:smooth val="1"/>
          <c:extLst>
            <c:ext xmlns:c16="http://schemas.microsoft.com/office/drawing/2014/chart" uri="{C3380CC4-5D6E-409C-BE32-E72D297353CC}">
              <c16:uniqueId val="{00000002-70F1-4400-9151-F0905619F4D5}"/>
            </c:ext>
          </c:extLst>
        </c:ser>
        <c:ser>
          <c:idx val="3"/>
          <c:order val="3"/>
          <c:tx>
            <c:strRef>
              <c:f>Charts!$B$15</c:f>
            </c:strRef>
          </c:tx>
          <c:spPr>
            <a:ln w="28440">
              <a:solidFill>
                <a:srgbClr val="C8553D"/>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Charts!$C$7:$K$7</c:f>
            </c:numRef>
          </c:cat>
          <c:val>
            <c:numRef>
              <c:f>Charts!$C$15:$K$15</c:f>
            </c:numRef>
          </c:val>
          <c:smooth val="1"/>
          <c:extLst>
            <c:ext xmlns:c16="http://schemas.microsoft.com/office/drawing/2014/chart" uri="{C3380CC4-5D6E-409C-BE32-E72D297353CC}">
              <c16:uniqueId val="{00000003-70F1-4400-9151-F0905619F4D5}"/>
            </c:ext>
          </c:extLst>
        </c:ser>
        <c:dLbls>
          <c:showLegendKey val="0"/>
          <c:showVal val="0"/>
          <c:showCatName val="0"/>
          <c:showSerName val="0"/>
          <c:showPercent val="0"/>
          <c:showBubbleSize val="0"/>
        </c:dLbls>
        <c:hiLowLines>
          <c:spPr>
            <a:ln w="0">
              <a:noFill/>
            </a:ln>
          </c:spPr>
        </c:hiLowLines>
        <c:marker val="1"/>
        <c:smooth val="0"/>
        <c:axId val="99874911"/>
        <c:axId val="65694817"/>
      </c:lineChart>
      <c:catAx>
        <c:axId val="2260842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960370"/>
        <c:crosses val="autoZero"/>
        <c:auto val="1"/>
        <c:lblAlgn val="ctr"/>
        <c:lblOffset val="100"/>
        <c:noMultiLvlLbl val="0"/>
      </c:catAx>
      <c:valAx>
        <c:axId val="81960370"/>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608424"/>
        <c:crosses val="autoZero"/>
        <c:crossBetween val="between"/>
      </c:valAx>
      <c:catAx>
        <c:axId val="9987491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694817"/>
        <c:crosses val="autoZero"/>
        <c:auto val="1"/>
        <c:lblAlgn val="ctr"/>
        <c:lblOffset val="100"/>
        <c:noMultiLvlLbl val="0"/>
      </c:catAx>
      <c:valAx>
        <c:axId val="65694817"/>
        <c:scaling>
          <c:orientation val="minMax"/>
        </c:scaling>
        <c:delete val="0"/>
        <c:axPos val="r"/>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874911"/>
        <c:crosses val="max"/>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Returns Profile: ROIC, RONTA, Adjusted EBITDA Margin &amp; FCF Margin</a:t>
            </a:r>
          </a:p>
        </c:rich>
      </c:tx>
      <c:overlay val="0"/>
      <c:spPr>
        <a:noFill/>
        <a:ln w="0">
          <a:noFill/>
        </a:ln>
      </c:spPr>
    </c:title>
    <c:autoTitleDeleted val="0"/>
    <c:plotArea>
      <c:layout/>
      <c:lineChart>
        <c:grouping val="standard"/>
        <c:varyColors val="0"/>
        <c:ser>
          <c:idx val="0"/>
          <c:order val="0"/>
          <c:tx>
            <c:strRef>
              <c:f>Charts!$B$18</c:f>
            </c:strRef>
          </c:tx>
          <c:spPr>
            <a:ln w="28440">
              <a:solidFill>
                <a:srgbClr val="2F3E46"/>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Charts!$C$7:$K$7</c:f>
            </c:numRef>
          </c:cat>
          <c:val>
            <c:numRef>
              <c:f>Charts!$C$18:$K$18</c:f>
            </c:numRef>
          </c:val>
          <c:smooth val="1"/>
          <c:extLst>
            <c:ext xmlns:c16="http://schemas.microsoft.com/office/drawing/2014/chart" uri="{C3380CC4-5D6E-409C-BE32-E72D297353CC}">
              <c16:uniqueId val="{00000000-D2EB-4AF7-A066-6A1A3BE056BF}"/>
            </c:ext>
          </c:extLst>
        </c:ser>
        <c:ser>
          <c:idx val="1"/>
          <c:order val="1"/>
          <c:tx>
            <c:strRef>
              <c:f>Charts!$B$19</c:f>
            </c:strRef>
          </c:tx>
          <c:spPr>
            <a:ln w="28440">
              <a:solidFill>
                <a:srgbClr val="84A98C"/>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Charts!$C$7:$K$7</c:f>
            </c:numRef>
          </c:cat>
          <c:val>
            <c:numRef>
              <c:f>Charts!$C$19:$K$19</c:f>
            </c:numRef>
          </c:val>
          <c:smooth val="1"/>
          <c:extLst>
            <c:ext xmlns:c16="http://schemas.microsoft.com/office/drawing/2014/chart" uri="{C3380CC4-5D6E-409C-BE32-E72D297353CC}">
              <c16:uniqueId val="{00000001-D2EB-4AF7-A066-6A1A3BE056BF}"/>
            </c:ext>
          </c:extLst>
        </c:ser>
        <c:ser>
          <c:idx val="2"/>
          <c:order val="2"/>
          <c:tx>
            <c:strRef>
              <c:f>Charts!$B$20</c:f>
            </c:strRef>
          </c:tx>
          <c:spPr>
            <a:ln w="28440">
              <a:solidFill>
                <a:srgbClr val="1F4E79"/>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Charts!$C$7:$K$7</c:f>
            </c:numRef>
          </c:cat>
          <c:val>
            <c:numRef>
              <c:f>Charts!$C$20:$K$20</c:f>
            </c:numRef>
          </c:val>
          <c:smooth val="1"/>
          <c:extLst>
            <c:ext xmlns:c16="http://schemas.microsoft.com/office/drawing/2014/chart" uri="{C3380CC4-5D6E-409C-BE32-E72D297353CC}">
              <c16:uniqueId val="{00000002-D2EB-4AF7-A066-6A1A3BE056BF}"/>
            </c:ext>
          </c:extLst>
        </c:ser>
        <c:ser>
          <c:idx val="3"/>
          <c:order val="3"/>
          <c:tx>
            <c:strRef>
              <c:f>Charts!$B$21</c:f>
            </c:strRef>
          </c:tx>
          <c:spPr>
            <a:ln w="28440">
              <a:solidFill>
                <a:srgbClr val="C8553D"/>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Charts!$C$7:$K$7</c:f>
            </c:numRef>
          </c:cat>
          <c:val>
            <c:numRef>
              <c:f>Charts!$C$21:$K$21</c:f>
            </c:numRef>
          </c:val>
          <c:smooth val="1"/>
          <c:extLst>
            <c:ext xmlns:c16="http://schemas.microsoft.com/office/drawing/2014/chart" uri="{C3380CC4-5D6E-409C-BE32-E72D297353CC}">
              <c16:uniqueId val="{00000003-D2EB-4AF7-A066-6A1A3BE056BF}"/>
            </c:ext>
          </c:extLst>
        </c:ser>
        <c:dLbls>
          <c:showLegendKey val="0"/>
          <c:showVal val="0"/>
          <c:showCatName val="0"/>
          <c:showSerName val="0"/>
          <c:showPercent val="0"/>
          <c:showBubbleSize val="0"/>
        </c:dLbls>
        <c:hiLowLines>
          <c:spPr>
            <a:ln w="0">
              <a:noFill/>
            </a:ln>
          </c:spPr>
        </c:hiLowLines>
        <c:smooth val="0"/>
        <c:axId val="27004353"/>
        <c:axId val="61682655"/>
      </c:lineChart>
      <c:catAx>
        <c:axId val="2700435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682655"/>
        <c:crosses val="autoZero"/>
        <c:auto val="1"/>
        <c:lblAlgn val="ctr"/>
        <c:lblOffset val="100"/>
        <c:noMultiLvlLbl val="0"/>
      </c:catAx>
      <c:valAx>
        <c:axId val="6168265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00435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omments/comment1.xml><?xml version="1.0" encoding="utf-8"?>
<comments xmlns="http://schemas.openxmlformats.org/spreadsheetml/2006/main">
  <authors>
    <author>GE model</author>
  </authors>
  <commentList>
    <comment ref="AC2" authorId="0" shapeId="0">
      <text>
        <t>Scenario toggle. Choose Bull / Base / Bear. Drives: FY26 guidance end-points (high / mid / low: adjusted revenue growth, operating profit, segment growth and operating-profit guides, Corporate cost), 2H-26E buybacks, 2027E–2031E CES services / equipment and DPT growth, segment margins, CPP synergy realisation, M&amp;A spend and the leverage target for 2027E+ buybacks (scenario table AK:AO).</t>
      </text>
    </comment>
    <comment ref="B11" authorId="0" shapeId="0">
      <text>
        <t>Source: General Electric Company Forms 10-Q / 10-K (SEC EDGAR, CIK 40545) — MD&amp;A segment tables (CES equipment / services revenue, segment profit). 2023 quarters and FY2022–23 from the recast comparatives in the 2024 10-Qs / 10-K (Q1-23 = H1-23 − Q2-23; Q4 = FY − 9M); Q1-24 from the Q1-25 10-Q. Jan-2026 recast (Aeroderivative CES → DPT, T&amp;O to segments): Q1–Q2/25 from the 2026 10-Qs; FY2025 revised ($bn estimates) from the Q4-25 release guidance table.</t>
      </text>
    </comment>
    <comment ref="R13" authorId="0" shapeId="0">
      <text>
        <t>FY2025 revised for the Jan-2026 segment changes: CES services $24.2B, equipment $7.7B, CES $31.9B, DPT $12.2B, CES operating profit $8.6B, DPT $1.5B, Corporate $(1.0)B ($bn, unaudited estimates; Q4-25 release).</t>
      </text>
    </comment>
    <comment ref="B32" authorId="0" shapeId="0">
      <text>
        <t>Source: General Electric Company Forms 10-Q / 10-K (SEC EDGAR, CIK 40545) — MD&amp;A "Sales in units" (commercial engines incl. LEAP; internal shop visit revenue growth; defense engines). Q4 units = FY − 9M.</t>
      </text>
    </comment>
    <comment ref="B36" authorId="0" shapeId="0">
      <text>
        <t>Source: GE Aerospace earnings releases (Form 8-K Item 2.02, Ex. 99.1) — segment tables (orders, three months). Q1-23 = H1-23 − Q2-23 (Q2-24 release).</t>
      </text>
    </comment>
    <comment ref="B41" authorId="0" shapeId="0">
      <text>
        <t>Source: General Electric Company Forms 10-Q / 10-K (SEC EDGAR, CIK 40545) — MD&amp;A segment tables (DPT revenue by Defense &amp; Systems / Propulsion &amp; Additive Technologies and by equipment / services; segment profit).</t>
      </text>
    </comment>
    <comment ref="B62" authorId="0" shapeId="0">
      <text>
        <t>Source: General Electric Company Forms 10-Q / 10-K (SEC EDGAR, CIK 40545) — MD&amp;A Corporate &amp; Other table ("Eliminations and other" revenue).</t>
      </text>
    </comment>
    <comment ref="B66" authorId="0" shapeId="0">
      <text>
        <t>Source: General Electric Company Forms 10-Q / 10-K (SEC EDGAR, CIK 40545) — statements of operations (insurance revenue); insurance costs and expenses from the release operating-profit reconciliation.</t>
      </text>
    </comment>
    <comment ref="B71" authorId="0" shapeId="0">
      <text>
        <t>Source: GE Aerospace earnings releases (Form 8-K Item 2.02, Ex. 99.1) — adjusted earnings / net income reconciliation (U.S. tax equity, pre-tax and tax effect; disclosed from the Q2-24 release with 2023 comparatives).</t>
      </text>
    </comment>
    <comment ref="B105" authorId="0" shapeId="0">
      <text>
        <t>Source: GE Aerospace earnings releases (Form 8-K Item 2.02, Ex. 99.1) — "Adjusted revenue, operating profit and profit margin (non-GAAP)" reconciliation; checked against total revenue − insurance revenue.</t>
      </text>
    </comment>
    <comment ref="B108" authorId="0" shapeId="0">
      <text>
        <t>Source: General Electric Company Forms 10-Q / 10-K (SEC EDGAR, CIK 40545) — MD&amp;A Corporate &amp; Other table: adjusted Corporate &amp; Other operating costs (non-GAAP) = Corporate &amp; Other profit (costs) + eliminations.</t>
      </text>
    </comment>
    <comment ref="B116" authorId="0" shapeId="0">
      <text>
        <t>Source: Q2-26 release (8-K 16-Jul-2026) "GE Aerospace Full-Year 2026 Guidance" and segment guidance text; Q4-25 release (22-Jan-2026) for the FY2025 revised segment base and Corporate guide.</t>
      </text>
    </comment>
    <comment ref="B133" authorId="0" shapeId="0">
      <text>
        <t>Source: General Electric Company Forms 10-Q / 10-K (SEC EDGAR, CIK 40545) — statements of cash flows (depreciation and amortization of PP&amp;E; amortization of intangible assets), continuing operations; quarters derived from year to date.</t>
      </text>
    </comment>
    <comment ref="B141" authorId="0" shapeId="0">
      <text>
        <t>Source: GE Aerospace earnings releases (Form 8-K Item 2.02, Ex. 99.1) — operating-profit reconciliation ("Adjusted other income (loss)").</t>
      </text>
    </comment>
    <comment ref="B145" authorId="0" shapeId="0">
      <text>
        <t>Source: GE Aerospace earnings releases (Form 8-K Item 2.02, Ex. 99.1) — operating-profit reconciliation (restructuring &amp; other; separation costs; goodwill impairments; gains; noncontrolling interests).</t>
      </text>
    </comment>
    <comment ref="K147" authorId="0" shapeId="0">
      <text>
        <t>Q3-24: $251m goodwill impairment, Colibrium Additive reporting unit (excluded from operating profit and adjusted EPS).</t>
      </text>
    </comment>
    <comment ref="B154" authorId="0" shapeId="0">
      <text>
        <t>Source: General Electric Company Forms 10-Q / 10-K (SEC EDGAR, CIK 40545) — statements of operations (earnings), as first presented on the GE Aerospace basis: FY2022–23 and 2023 quarters from the 2024 10-Qs / 10-K (GE Vernova and GE HealthCare in discontinued operations); Q1-24 from the Q1-25 10-Q; Q4 = FY − 9M.</t>
      </text>
    </comment>
    <comment ref="D154" authorId="0" shapeId="0">
      <text>
        <t>Q1-23 = H1-23 (Q2-24 10-Q comparative) − Q2-23; GE Aerospace basis (recast).</t>
      </text>
    </comment>
    <comment ref="G154" authorId="0" shapeId="0">
      <text>
        <t>Q4-23 = FY2023 (FY2024 10-K) − 9M-23 (Q3-24 10-Q comparative).</t>
      </text>
    </comment>
    <comment ref="I154" authorId="0" shapeId="0">
      <text>
        <t>Q1-24 from the Q1-25 10-Q comparative (the Q1-24 10-Q consolidated GE Vernova, spun 2-Apr-2024).</t>
      </text>
    </comment>
    <comment ref="C165" authorId="0" shapeId="0">
      <text>
        <t>FY2022 debt extinguishment costs ($465m) — outside segment profit (FY2024 10-K).</t>
      </text>
    </comment>
    <comment ref="I181" authorId="0" shapeId="0">
      <text>
        <t>Q1-24: the Q1-25 10-Q statement shows total NCI of $27m incl. GE Vernova; continuing NCI ($3m) derived as NI from continuing operations − EPS-note numerator.</t>
      </text>
    </comment>
    <comment ref="B184" authorId="0" shapeId="0">
      <text>
        <t>Source: General Electric Company Forms 10-Q / 10-K (SEC EDGAR, CIK 40545) — EPS notes (net income from continuing operations attributable to common shareholders; average equivalent shares). Q4 shares = 4 × FY − (Q1 + Q2 + Q3); Q1-23 from the 11-Apr-2024 8-K.</t>
      </text>
    </comment>
    <comment ref="B189" authorId="0" shapeId="0">
      <text>
        <t>Source: General Electric Company Forms 10-Q / 10-K (SEC EDGAR, CIK 40545) — EPS notes (average equivalent shares, basic / diluted). No stock splits in the history window (1-for-8 reverse split Aug-2021).</t>
      </text>
    </comment>
    <comment ref="G190" authorId="0" shapeId="0">
      <text>
        <t>Q4 shares = 4 × FY − (Q1 + Q2 + Q3) (not published).</t>
      </text>
    </comment>
    <comment ref="L190" authorId="0" shapeId="0">
      <text>
        <t>Q4 shares = 4 × FY − (Q1 + Q2 + Q3).</t>
      </text>
    </comment>
    <comment ref="Q190" authorId="0" shapeId="0">
      <text>
        <t>Q4 shares = 4 × FY − (Q1 + Q2 + Q3).</t>
      </text>
    </comment>
    <comment ref="D193" authorId="0" shapeId="0">
      <text>
        <t>Q1-23 continuing EPS $5.98 (revised, GE Aerospace basis) from the 11-Apr-2024 8-K Ex. 99.1; includes the $5.9bn gain on retained ownership interests (GE HealthCare, AerCap).</t>
      </text>
    </comment>
    <comment ref="B195" authorId="0" shapeId="0">
      <text>
        <t>Source: XBRL CommonStockDividendsPerShareDeclared (10-Q / 10-K): $0.08 a quarter 2023; $0.28 2024 (two declarations in Q2); $0.36 2025; $0.47 2026.</t>
      </text>
    </comment>
    <comment ref="B211" authorId="0" shapeId="0">
      <text>
        <t>Source: GE Aerospace earnings releases (Form 8-K Item 2.02, Ex. 99.1) — operating profit (non-GAAP) as published; 2023 quarters from the 2024 releases (recast), Q1-24 from the Q1-25 release.</t>
      </text>
    </comment>
    <comment ref="D213" authorId="0" shapeId="0">
      <text>
        <t>The 2023 releases reported GE consolidated "adjusted profit" (incl. GE Vernova, before U.S. tax equity was carved out); the model uses the GE Aerospace comparatives published in 2024.</t>
      </text>
    </comment>
    <comment ref="S213" authorId="0" shapeId="0">
      <text>
        <t>Recast Q1–Q2/25 comparatives in the 2026 10-Qs; FY2025 revised segment figures in the Q4-25 release guidance table (memo rows).</t>
      </text>
    </comment>
    <comment ref="B249" authorId="0" shapeId="0">
      <text>
        <t>Source: GE Aerospace earnings releases (Form 8-K Item 2.02, Ex. 99.1) — adjusted earnings / adjusted net income and adjusted EPS (non-GAAP); Q1-23 adjusted EPS $0.63 from the 11-Apr-2024 8-K (supplemental GE Aerospace information).</t>
      </text>
    </comment>
    <comment ref="D255" authorId="0" shapeId="0">
      <text>
        <t>Q1-23 adjusted EPS $0.63 from the 11-Apr-2024 8-K (GE Aerospace revised); adjusted net income Q1-23 = H1-23 − Q2-23 (Q2-24 release).</t>
      </text>
    </comment>
    <comment ref="B282" authorId="0" shapeId="0">
      <text>
        <t>Source: GE Aerospace earnings releases (Form 8-K Item 2.02, Ex. 99.1) — free cash flow (non-GAAP) as published in each period's own release (definition in force; see the definition row).</t>
      </text>
    </comment>
    <comment ref="M282" authorId="0" shapeId="0">
      <text>
        <t>FY2024 as first published ($6,089m, Q4-24 release); re-presented as $6,203m in the Q3-25 release after dispositions of PP&amp;E were added to the definition.</t>
      </text>
    </comment>
    <comment ref="R282" authorId="0" shapeId="0">
      <text>
        <t>FY2025 $7,694m on the Q3-25 definition (incl. dispositions of PP&amp;E); Q1-25 ($1,441m) and Q2-25 ($2,105m) as first published excluded them (re-presented later as $1,452m / $2,120m), so the quarters do not sum to the year.</t>
      </text>
    </comment>
    <comment ref="F286" authorId="0" shapeId="0">
      <text>
        <t>The 2023 releases also excluded insurance CFOA and taxes related to business sales (GE consolidated); the 2024 comparatives do not.</t>
      </text>
    </comment>
    <comment ref="B298" authorId="0" shapeId="0">
      <text>
        <t>Source: General Electric Company Forms 10-Q / 10-K (SEC EDGAR, CIK 40545) — statements of cash flows (year to date; discrete quarters derived). Q1-23 / Q2-23 not presented on the GE Aerospace basis (H1-23 only), so 2023 quarters start in Q3. Working capital = sum of the operating working-capital lines; "all other operating" absorbs the rest.</t>
      </text>
    </comment>
    <comment ref="B348" authorId="0" shapeId="0">
      <text>
        <t>Source: General Electric Company Forms 10-Q / 10-K (SEC EDGAR, CIK 40545) — statements of financial position (31-Dec-2023 is the first GE Aerospace balance sheet; 31-Mar-2024 still consolidated GE Vernova and is not used).</t>
      </text>
    </comment>
    <comment ref="B417" authorId="0" shapeId="0">
      <text>
        <t>Source: FY2025 10-K Note 10 (borrowings, maturities, average rates, $3.0bn revolver); Q2-26 10-Q Note 10; 8-K 8-Sep-2026 (CPP financing).</t>
      </text>
    </comment>
    <comment ref="B471" authorId="0" shapeId="0">
      <text>
        <t>Share price $308.00 provided by the user (12-Oct-2026). For reference, the Q2-26 Form 10-Q Part II reports an average repurchase price of $292.17 in Q2-26.</t>
      </text>
    </comment>
  </commentList>
</comments>
</file>

<file path=xl/comments/comment2.xml><?xml version="1.0" encoding="utf-8"?>
<comments xmlns="http://schemas.openxmlformats.org/spreadsheetml/2006/main">
  <authors>
    <author>GE model</author>
  </authors>
  <commentList>
    <comment ref="N26" authorId="0" shapeId="0">
      <text>
        <t>P/E on adjusted EPS (company definition). GE at $308.00 trades at ~40x FY2026E adjusted EPS (guide $7.65–7.85) and ~34x FY2027E. Exit multiples are assumptions: Base 36x, Bull 42x, Bear 28x applied to FY2030E–31E (FY2029E–31E for Bear), converging toward aerospace-aftermarket peers as growth normalises.</t>
      </text>
    </comment>
    <comment ref="P40" authorId="0" shapeId="0">
      <text>
        <t>Snapshot (values) of Model rows 338, 337 and 339 (Share Buyback Schedule) with Model!AC2 = Bull / Bear. Base panel (D40:H42) is live-linked.</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twoCellAnchor editAs="oneCell">
    <from>
      <col>1</col>
      <colOff>0</colOff>
      <row>22</row>
      <rowOff>160560</rowOff>
    </from>
    <to>
      <col>12</col>
      <colOff>543600</colOff>
      <row>37</row>
      <rowOff>2160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43</row>
      <rowOff>160560</rowOff>
    </from>
    <to>
      <col>12</col>
      <colOff>543600</colOff>
      <row>58</row>
      <rowOff>1800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64</row>
      <rowOff>160560</rowOff>
    </from>
    <to>
      <col>12</col>
      <colOff>543600</colOff>
      <row>79</row>
      <rowOff>2160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AO485"/>
  <sheetViews>
    <sheetView showGridLines="0" tabSelected="1" zoomScale="70" zoomScaleNormal="70" workbookViewId="0">
      <pane xSplit="2" ySplit="7" topLeftCell="C8" activePane="bottomRight" state="frozen"/>
      <selection pane="topRight" activeCell="A1" sqref="A1"/>
      <selection pane="bottomLeft" activeCell="A1" sqref="A1"/>
      <selection pane="bottomRight" activeCell="C1" sqref="C1"/>
      <selection pane="bottomLeft" activeCell="A8" sqref="A8"/>
      <selection pane="bottomRight" activeCell="CA164" sqref="CA164"/>
    </sheetView>
  </sheetViews>
  <sheetFormatPr baseColWidth="8" defaultColWidth="8.5703125" defaultRowHeight="15" outlineLevelRow="2"/>
  <cols>
    <col width="2.42578125" customWidth="1" style="251" min="1" max="1"/>
    <col width="62" customWidth="1" style="251" min="2" max="2"/>
    <col width="13" customWidth="1" style="251" min="3" max="3"/>
    <col hidden="1" outlineLevel="1" width="9.5703125" customWidth="1" style="251" min="4" max="4"/>
    <col hidden="1" outlineLevel="1" width="9.5703125" customWidth="1" style="251" min="5" max="5"/>
    <col hidden="1" outlineLevel="1" width="9.5703125" customWidth="1" style="251" min="6" max="6"/>
    <col hidden="1" outlineLevel="1" width="9.5703125" customWidth="1" style="251" min="7" max="7"/>
    <col width="13" customWidth="1" style="251" min="8" max="8"/>
    <col hidden="1" outlineLevel="1" width="9.5703125" customWidth="1" style="251" min="9" max="9"/>
    <col hidden="1" outlineLevel="1" width="9.5703125" customWidth="1" style="251" min="10" max="10"/>
    <col hidden="1" outlineLevel="1" width="9.5703125" customWidth="1" style="251" min="11" max="11"/>
    <col hidden="1" outlineLevel="1" width="9.5703125" customWidth="1" style="251" min="12" max="12"/>
    <col width="13" customWidth="1" style="251" min="13" max="13"/>
    <col hidden="1" outlineLevel="1" width="9.5703125" customWidth="1" style="251" min="14" max="14"/>
    <col hidden="1" outlineLevel="1" width="9.5703125" customWidth="1" style="251" min="15" max="15"/>
    <col hidden="1" outlineLevel="1" width="9.5703125" customWidth="1" style="251" min="16" max="16"/>
    <col hidden="1" outlineLevel="1" width="9.5703125" customWidth="1" style="251" min="17" max="17"/>
    <col width="13" customWidth="1" style="251" min="18" max="18"/>
    <col hidden="1" outlineLevel="1" width="9.5703125" customWidth="1" style="251" min="19" max="19"/>
    <col hidden="1" outlineLevel="1" width="9.5703125" customWidth="1" style="251" min="20" max="20"/>
    <col hidden="1" outlineLevel="1" width="11.42578125" customWidth="1" style="251" min="21" max="21"/>
    <col hidden="1" outlineLevel="1" width="11.42578125" customWidth="1" style="251" min="22" max="22"/>
    <col width="14.140625" customWidth="1" style="251" min="23" max="23"/>
    <col width="13" customWidth="1" style="251" min="24" max="24"/>
    <col width="13" customWidth="1" style="251" min="25" max="25"/>
    <col width="13" customWidth="1" style="251" min="26" max="26"/>
    <col width="13" customWidth="1" style="251" min="27" max="27"/>
    <col width="13" customWidth="1" style="251" min="28" max="28"/>
    <col width="86.85546875" customWidth="1" style="251" min="29" max="29"/>
    <col width="2" customWidth="1" style="251" min="30" max="30"/>
    <col width="14.140625" customWidth="1" style="251" min="31" max="31"/>
    <col width="12.42578125" customWidth="1" style="251" min="32" max="32"/>
    <col width="13.42578125" customWidth="1" style="251" min="33" max="33"/>
    <col width="13" customWidth="1" style="251" min="34" max="34"/>
    <col width="2" customWidth="1" style="251" min="35" max="35"/>
    <col width="6" customWidth="1" style="251" min="36" max="36"/>
    <col width="46" customWidth="1" style="251" min="37" max="37"/>
    <col width="11.5703125" customWidth="1" style="251" min="38" max="38"/>
    <col width="13" customWidth="1" style="251" min="39" max="39"/>
    <col width="13" customWidth="1" style="251" min="40" max="40"/>
    <col width="60" customWidth="1" style="251" min="41" max="41"/>
  </cols>
  <sheetData>
    <row r="1" ht="15" customHeight="1" s="251">
      <c r="AC1" s="1" t="inlineStr">
        <is>
          <t>SCENARIO SWITCH ▼ (Bull / Base / Bear) — drives all scenario-linked forecast drivers</t>
        </is>
      </c>
    </row>
    <row r="2" ht="21" customHeight="1" s="251">
      <c r="B2" s="2" t="inlineStr">
        <is>
          <t>General Electric Company, operating as GE Aerospace (NYSE: GE) — 3-Statement Financial Model</t>
        </is>
      </c>
      <c r="AC2" s="3" t="inlineStr">
        <is>
          <t>Base</t>
        </is>
      </c>
    </row>
    <row r="3" ht="15" customHeight="1" s="251">
      <c r="B3" s="4" t="inlineStr">
        <is>
          <t>US GAAP · USD millions (per-share data in USD; shares in millions) · Calendar fiscal years · Source: General Electric Company Forms 10-K / 10-Q, Form 8-K earnings releases (Ex. 99.1), the 11-Apr-2024 supplemental GE Aerospace financial information (8-K Ex. 99.1) and the CPP deal 8-K (8-Sep-2026), SEC EDGAR (CIK 40545); XBRL company facts (cross-check, dividends per share); investor-relations releases are the same documents as filed on EDGAR</t>
        </is>
      </c>
    </row>
    <row r="4" ht="15" customHeight="1" s="251">
      <c r="B4" s="5" t="inlineStr">
        <is>
          <t>Basis notes: GE Aerospace continuing operations — GE HealthCare spun 3-Jan-2023 and GE Vernova spun 2-Apr-2024 (both discontinued operations). FY2022–23 and the 2023 quarters are the recast comparatives first presented on that basis (2024 10-Qs / 10-K / releases; Q1-23 = H1-23 − Q2-23, Q4 = FY − 9M); Q1-24 from the Q1-25 10-Q; Q2-24+ as originally reported. Balance sheet from 31-Dec-2023; cash flow from Q3-23. Segments CES / DPT (Jan-2026 recast: Aeroderivative to DPT; recast 2025 in memo rows). Run-off insurance and U.S. tax equity outside operating profit. Pending: CPP ($11.75bn, close 2H-27, toggle). Q3/Q4-26E calibrated to the 16-Jul-2026 FY26 guidance.</t>
        </is>
      </c>
    </row>
    <row r="5" ht="15" customHeight="1" s="251">
      <c r="U5" s="153" t="n"/>
      <c r="V5" s="153" t="n"/>
      <c r="W5" s="153" t="n"/>
      <c r="X5" s="153" t="n"/>
      <c r="Y5" s="153" t="n"/>
      <c r="Z5" s="153" t="n"/>
      <c r="AA5" s="153" t="n"/>
      <c r="AB5" s="153" t="n"/>
      <c r="AE5" s="6" t="inlineStr">
        <is>
          <t>Forecast</t>
        </is>
      </c>
      <c r="AF5" s="6" t="inlineStr">
        <is>
          <t>Historical</t>
        </is>
      </c>
      <c r="AG5" s="6" t="inlineStr">
        <is>
          <t>Historical</t>
        </is>
      </c>
      <c r="AH5" s="6" t="inlineStr">
        <is>
          <t>Historical</t>
        </is>
      </c>
    </row>
    <row r="6" ht="15" customHeight="1" s="251">
      <c r="B6" s="7" t="inlineStr">
        <is>
          <t>(USDm)</t>
        </is>
      </c>
      <c r="C6" s="8" t="n">
        <v>2022</v>
      </c>
      <c r="D6" s="8" t="inlineStr">
        <is>
          <t>Q1/23</t>
        </is>
      </c>
      <c r="E6" s="8" t="inlineStr">
        <is>
          <t>Q2/23</t>
        </is>
      </c>
      <c r="F6" s="8" t="inlineStr">
        <is>
          <t>Q3/23</t>
        </is>
      </c>
      <c r="G6" s="8" t="inlineStr">
        <is>
          <t>Q4/23</t>
        </is>
      </c>
      <c r="H6" s="8" t="n">
        <v>2023</v>
      </c>
      <c r="I6" s="8" t="inlineStr">
        <is>
          <t>Q1/24</t>
        </is>
      </c>
      <c r="J6" s="8" t="inlineStr">
        <is>
          <t>Q2/24</t>
        </is>
      </c>
      <c r="K6" s="8" t="inlineStr">
        <is>
          <t>Q3/24</t>
        </is>
      </c>
      <c r="L6" s="8" t="inlineStr">
        <is>
          <t>Q4/24</t>
        </is>
      </c>
      <c r="M6" s="8" t="n">
        <v>2024</v>
      </c>
      <c r="N6" s="8" t="inlineStr">
        <is>
          <t>Q1/25</t>
        </is>
      </c>
      <c r="O6" s="8" t="inlineStr">
        <is>
          <t>Q2/25</t>
        </is>
      </c>
      <c r="P6" s="8" t="inlineStr">
        <is>
          <t>Q3/25</t>
        </is>
      </c>
      <c r="Q6" s="8" t="inlineStr">
        <is>
          <t>Q4/25</t>
        </is>
      </c>
      <c r="R6" s="8" t="n">
        <v>2025</v>
      </c>
      <c r="S6" s="8" t="inlineStr">
        <is>
          <t>Q1/26</t>
        </is>
      </c>
      <c r="T6" s="8" t="inlineStr">
        <is>
          <t>Q2/26</t>
        </is>
      </c>
      <c r="U6" s="8" t="inlineStr">
        <is>
          <t>Q3/26E</t>
        </is>
      </c>
      <c r="V6" s="8" t="inlineStr">
        <is>
          <t>Q4/26E</t>
        </is>
      </c>
      <c r="W6" s="8" t="inlineStr">
        <is>
          <t>2026E</t>
        </is>
      </c>
      <c r="X6" s="8" t="inlineStr">
        <is>
          <t>2027E</t>
        </is>
      </c>
      <c r="Y6" s="8" t="inlineStr">
        <is>
          <t>2028E</t>
        </is>
      </c>
      <c r="Z6" s="8" t="inlineStr">
        <is>
          <t>2029E</t>
        </is>
      </c>
      <c r="AA6" s="8" t="inlineStr">
        <is>
          <t>2030E</t>
        </is>
      </c>
      <c r="AB6" s="8" t="inlineStr">
        <is>
          <t>2031E</t>
        </is>
      </c>
      <c r="AC6" s="8" t="inlineStr">
        <is>
          <t>Modelling Notes</t>
        </is>
      </c>
      <c r="AE6" s="6" t="inlineStr">
        <is>
          <t>5Y CAGR</t>
        </is>
      </c>
      <c r="AF6" s="6" t="inlineStr">
        <is>
          <t>3Y CAGR</t>
        </is>
      </c>
      <c r="AG6" s="6" t="inlineStr">
        <is>
          <t>2Y CAGR</t>
        </is>
      </c>
      <c r="AH6" s="6" t="inlineStr">
        <is>
          <t>1Y / level</t>
        </is>
      </c>
    </row>
    <row r="7" ht="15" customHeight="1" s="251">
      <c r="AE7" s="9" t="inlineStr">
        <is>
          <t>26-'31</t>
        </is>
      </c>
      <c r="AF7" s="9" t="inlineStr">
        <is>
          <t>22-'25</t>
        </is>
      </c>
      <c r="AG7" s="9" t="inlineStr">
        <is>
          <t>23-'25</t>
        </is>
      </c>
      <c r="AH7" s="9" t="inlineStr">
        <is>
          <t>'25-'26E</t>
        </is>
      </c>
    </row>
    <row r="8" ht="15" customHeight="1" s="251">
      <c r="B8" s="10" t="inlineStr">
        <is>
          <t>SEGMENT BUILD — COMMERCIAL ENGINES &amp; SERVICES · DEFENSE &amp; PROPULSION TECHNOLOGIES (revenue × segment operating profit margin)</t>
        </is>
      </c>
      <c r="C8" s="10" t="n"/>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inlineStr">
        <is>
          <t>SEGMENT BUILD — modelling logic (CES services + equipment, DPT → segment revenue × margin → + adjusted Corporate &amp; Other operating costs = operating profit → GAAP P&amp;L)</t>
        </is>
      </c>
    </row>
    <row r="9" ht="15" customHeight="1" s="251">
      <c r="AK9" s="11" t="inlineStr">
        <is>
          <t>SCENARIO INPUT TABLE — driver assumptions per Bull / Base / Bear</t>
        </is>
      </c>
      <c r="AL9" s="12" t="inlineStr">
        <is>
          <t>Bull</t>
        </is>
      </c>
      <c r="AM9" s="12" t="inlineStr">
        <is>
          <t>Base</t>
        </is>
      </c>
      <c r="AN9" s="12" t="inlineStr">
        <is>
          <t>Bear</t>
        </is>
      </c>
      <c r="AO9" s="13" t="inlineStr">
        <is>
          <t>Bull / Bear = Base + Δ (Δ inputs on each block header). Outlook block = high / mid / low end of the FY26 guidance ranges.</t>
        </is>
      </c>
    </row>
    <row r="10" ht="15" customHeight="1" s="251">
      <c r="B10" s="14" t="inlineStr">
        <is>
          <t>Commercial Engines &amp; Services (CES) — commercial and business-jet engines (CFM LEAP / CFM56, GE9X, GEnx, GE90, Passport), services (MRO, spare parts); Aeroderivative moved to DPT from Q1-26</t>
        </is>
      </c>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5" t="inlineStr">
        <is>
          <t>CES — modelling logic</t>
        </is>
      </c>
    </row>
    <row r="11" ht="15" customHeight="1" s="251">
      <c r="B11" s="25" t="inlineStr">
        <is>
          <t xml:space="preserve">  CES services revenue (internal shop visits, spare parts, long-term service agreements)</t>
        </is>
      </c>
      <c r="C11" s="253" t="n">
        <v>13688</v>
      </c>
      <c r="D11" s="253" t="n">
        <v>3933</v>
      </c>
      <c r="E11" s="253" t="n">
        <v>4130</v>
      </c>
      <c r="F11" s="253" t="n">
        <v>4853</v>
      </c>
      <c r="G11" s="253" t="n">
        <v>4770</v>
      </c>
      <c r="H11" s="253" t="n">
        <v>17686</v>
      </c>
      <c r="I11" s="253" t="n">
        <v>4390</v>
      </c>
      <c r="J11" s="253" t="n">
        <v>4705</v>
      </c>
      <c r="K11" s="253" t="n">
        <v>5317</v>
      </c>
      <c r="L11" s="253" t="n">
        <v>5363</v>
      </c>
      <c r="M11" s="253" t="n">
        <v>19775</v>
      </c>
      <c r="N11" s="253" t="n">
        <v>5118</v>
      </c>
      <c r="O11" s="253" t="n">
        <v>6059</v>
      </c>
      <c r="P11" s="253" t="n">
        <v>6820</v>
      </c>
      <c r="Q11" s="253" t="n">
        <v>7012</v>
      </c>
      <c r="R11" s="253" t="n">
        <v>25010</v>
      </c>
      <c r="S11" s="253" t="n">
        <v>6817</v>
      </c>
      <c r="T11" s="253" t="n">
        <v>7434</v>
      </c>
      <c r="U11" s="254">
        <f>($W$14-SUM(S11:T11))*P11/(P11+Q11)</f>
        <v>7480.45003884302</v>
      </c>
      <c r="V11" s="254">
        <f>($W$14-SUM(S11:T11))*Q11/(P11+Q11)</f>
        <v>7691.04335371954</v>
      </c>
      <c r="W11" s="254">
        <f>SUM(S11:V11)</f>
        <v>29422.4933925626</v>
      </c>
      <c r="X11" s="254">
        <f>W11*(1+X12)</f>
        <v>33541.6424675213</v>
      </c>
      <c r="Y11" s="254">
        <f>X11*(1+Y12)</f>
        <v>37231.2231389487</v>
      </c>
      <c r="Z11" s="254">
        <f>Y11*(1+Z12)</f>
        <v>40582.0332214541</v>
      </c>
      <c r="AA11" s="254">
        <f>Z11*(1+AA12)</f>
        <v>43828.5958791704</v>
      </c>
      <c r="AB11" s="254">
        <f>AA11*(1+AB12)</f>
        <v>46896.5975907123</v>
      </c>
      <c r="AC11" s="19" t="inlineStr">
        <is>
          <t>History as reported in each period (Jan-2026 structure from Q1-26). Q3/Q4-26E = (FY26E target − H1-26) × Q3/Q4-25 share of 2H-25. 2027E+: prior year × (1 + scenario growth).</t>
        </is>
      </c>
      <c r="AE11" s="20">
        <f>IFERROR((AB11/W11)^(1/5)-1,"n/m")</f>
        <v>0.097722010209065</v>
      </c>
      <c r="AF11" s="20">
        <f>IFERROR((R11/C11)^(1/3)-1,"n/m")</f>
        <v>0.222525420602872</v>
      </c>
      <c r="AG11" s="20">
        <f>IFERROR((R11/H11)^(1/2)-1,"n/m")</f>
        <v>0.189164773119143</v>
      </c>
      <c r="AH11" s="20">
        <f>IFERROR(W11/R11-1,"n/m")</f>
        <v>0.176429164036888</v>
      </c>
      <c r="AK11" s="15" t="inlineStr">
        <is>
          <t>FY26 guidance — Q2-26 release (16-Jul-2026)</t>
        </is>
      </c>
      <c r="AL11" s="21" t="inlineStr">
        <is>
          <t>High</t>
        </is>
      </c>
      <c r="AM11" s="21" t="inlineStr">
        <is>
          <t>Mid</t>
        </is>
      </c>
      <c r="AN11" s="21" t="inlineStr">
        <is>
          <t>Low</t>
        </is>
      </c>
      <c r="AO11" s="13" t="inlineStr">
        <is>
          <t>Adjusted revenue growth high-teens (prior LDD); operating profit $10.55–10.75B; adjusted EPS $7.65–7.85; FCF $8.9–9.2B. CES revenue ~+20% (services low 20s, equipment ~20%), CES operating profit $10.25–10.35B; DPT revenue LDD, operating profit $1.6–1.7B; Corporate cost &amp; eliminations $(1.2)–(1.3)B (22-Jan-2026). Numeric mapping of qualitative growth guides (high-teens, ~20%, low 20s, LDD) = assumption.</t>
        </is>
      </c>
    </row>
    <row r="12" ht="15" customHeight="1" s="251">
      <c r="B12" s="22" t="inlineStr">
        <is>
          <t xml:space="preserve">    y/y % (2026: vs the recast prior year)</t>
        </is>
      </c>
      <c r="C12" s="23" t="n"/>
      <c r="D12" s="23" t="n"/>
      <c r="E12" s="23" t="n"/>
      <c r="F12" s="23" t="n"/>
      <c r="G12" s="23" t="n"/>
      <c r="H12" s="255">
        <f>IF(AND(ISNUMBER(H11),ISNUMBER(C11)),IFERROR(H11/C11-1,""),"")</f>
        <v>0.29208065458796</v>
      </c>
      <c r="I12" s="255">
        <f>IF(AND(ISNUMBER(I11),ISNUMBER(D11)),IFERROR(I11/D11-1,""),"")</f>
        <v>0.116196287821002</v>
      </c>
      <c r="J12" s="255">
        <f>IF(AND(ISNUMBER(J11),ISNUMBER(E11)),IFERROR(J11/E11-1,""),"")</f>
        <v>0.139225181598063</v>
      </c>
      <c r="K12" s="255">
        <f>IF(AND(ISNUMBER(K11),ISNUMBER(F11)),IFERROR(K11/F11-1,""),"")</f>
        <v>0.0956109622913661</v>
      </c>
      <c r="L12" s="255">
        <f>IF(AND(ISNUMBER(L11),ISNUMBER(G11)),IFERROR(L11/G11-1,""),"")</f>
        <v>0.124318658280922</v>
      </c>
      <c r="M12" s="255">
        <f>IF(AND(ISNUMBER(M11),ISNUMBER(H11)),IFERROR(M11/H11-1,""),"")</f>
        <v>0.118116023973765</v>
      </c>
      <c r="N12" s="255">
        <f>IF(AND(ISNUMBER(N11),ISNUMBER(I11)),IFERROR(N11/I11-1,""),"")</f>
        <v>0.165831435079727</v>
      </c>
      <c r="O12" s="255">
        <f>IF(AND(ISNUMBER(O11),ISNUMBER(J11)),IFERROR(O11/J11-1,""),"")</f>
        <v>0.287778958554729</v>
      </c>
      <c r="P12" s="255">
        <f>IF(AND(ISNUMBER(P11),ISNUMBER(K11)),IFERROR(P11/K11-1,""),"")</f>
        <v>0.282678201993605</v>
      </c>
      <c r="Q12" s="255">
        <f>IF(AND(ISNUMBER(Q11),ISNUMBER(L11)),IFERROR(Q11/L11-1,""),"")</f>
        <v>0.307477158306918</v>
      </c>
      <c r="R12" s="255">
        <f>IF(AND(ISNUMBER(R11),ISNUMBER(M11)),IFERROR(R11/M11-1,""),"")</f>
        <v>0.264728192161821</v>
      </c>
      <c r="S12" s="255">
        <f>IF(AND(ISNUMBER(S11),ISNUMBER(N11)),IFERROR(S11/IF(ISNUMBER(N13),N13,N11)-1,""),"")</f>
        <v>0.386978636826043</v>
      </c>
      <c r="T12" s="255">
        <f>IF(AND(ISNUMBER(T11),ISNUMBER(O11)),IFERROR(T11/IF(ISNUMBER(O13),O13,O11)-1,""),"")</f>
        <v>0.264070736269342</v>
      </c>
      <c r="U12" s="256">
        <f>IF(AND(ISNUMBER(U11),ISNUMBER(P11)),IFERROR(U11/P11-1,""),"")</f>
        <v>0.0968401816485374</v>
      </c>
      <c r="V12" s="256">
        <f>IF(AND(ISNUMBER(V11),ISNUMBER(Q11)),IFERROR(V11/Q11-1,""),"")</f>
        <v>0.0968401816485371</v>
      </c>
      <c r="W12" s="256">
        <f>$W$11/$R$13-1</f>
        <v>0.215805512089362</v>
      </c>
      <c r="X12" s="256">
        <f>CHOOSE(MATCH($AC$2,{"Bull","Base","Bear"},0),$AL$35,$AM$35,$AN$35)</f>
        <v>0.14</v>
      </c>
      <c r="Y12" s="256">
        <f>CHOOSE(MATCH($AC$2,{"Bull","Base","Bear"},0),$AL$36,$AM$36,$AN$36)</f>
        <v>0.11</v>
      </c>
      <c r="Z12" s="256">
        <f>CHOOSE(MATCH($AC$2,{"Bull","Base","Bear"},0),$AL$37,$AM$37,$AN$37)</f>
        <v>0.09</v>
      </c>
      <c r="AA12" s="256">
        <f>CHOOSE(MATCH($AC$2,{"Bull","Base","Bear"},0),$AL$38,$AM$38,$AN$38)</f>
        <v>0.08</v>
      </c>
      <c r="AB12" s="256">
        <f>CHOOSE(MATCH($AC$2,{"Bull","Base","Bear"},0),$AL$39,$AM$39,$AN$39)</f>
        <v>0.07</v>
      </c>
      <c r="AC12" s="153" t="inlineStr">
        <is>
          <t>2026 quarters and FY2026E vs the Jan-2026 recast comparatives (memo row). 2027E+: scenario lever.</t>
        </is>
      </c>
      <c r="AK12" s="25" t="inlineStr">
        <is>
          <t xml:space="preserve">  FY26 adjusted revenue growth (high-teens → 19 / 18 / 17%)</t>
        </is>
      </c>
      <c r="AL12" s="257" t="n">
        <v>0.19</v>
      </c>
      <c r="AM12" s="257" t="n">
        <v>0.18</v>
      </c>
      <c r="AN12" s="257" t="n">
        <v>0.17</v>
      </c>
      <c r="AO12" s="13" t="inlineStr">
        <is>
          <t>Guided "high-teens" (raised from LDD, 16-Jul-2026); numeric mapping is an assumption. Drives the revenue calibration.</t>
        </is>
      </c>
    </row>
    <row r="13" ht="15" customHeight="1" s="251">
      <c r="B13" s="156" t="inlineStr">
        <is>
          <t xml:space="preserve">    Memo: on the Jan-2026 segment structure (Q1–Q2/25 recast in the 2026 10-Qs; FY2025 revised, $bn estimate)</t>
        </is>
      </c>
      <c r="C13" s="34" t="n"/>
      <c r="D13" s="34" t="n"/>
      <c r="E13" s="34" t="n"/>
      <c r="F13" s="34" t="n"/>
      <c r="G13" s="34" t="n"/>
      <c r="H13" s="34" t="n"/>
      <c r="I13" s="34" t="n"/>
      <c r="J13" s="34" t="n"/>
      <c r="K13" s="34" t="n"/>
      <c r="L13" s="34" t="n"/>
      <c r="M13" s="34" t="n"/>
      <c r="N13" s="253" t="n">
        <v>4915</v>
      </c>
      <c r="O13" s="253" t="n">
        <v>5881</v>
      </c>
      <c r="P13" s="34" t="n"/>
      <c r="Q13" s="34" t="n"/>
      <c r="R13" s="253" t="n">
        <v>24200</v>
      </c>
      <c r="S13" s="34" t="n"/>
      <c r="T13" s="34" t="n"/>
      <c r="U13" s="153" t="n"/>
      <c r="V13" s="153" t="n"/>
      <c r="W13" s="153" t="n"/>
      <c r="X13" s="153" t="n"/>
      <c r="Y13" s="153" t="n"/>
      <c r="Z13" s="153" t="n"/>
      <c r="AA13" s="153" t="n"/>
      <c r="AB13" s="153" t="n"/>
      <c r="AC13" s="153" t="n"/>
      <c r="AK13" s="25" t="inlineStr">
        <is>
          <t xml:space="preserve">  FY26 operating profit ($m)</t>
        </is>
      </c>
      <c r="AL13" s="258" t="n">
        <v>10750</v>
      </c>
      <c r="AM13" s="258" t="n">
        <v>10650</v>
      </c>
      <c r="AN13" s="258" t="n">
        <v>10550</v>
      </c>
      <c r="AO13" s="13" t="inlineStr">
        <is>
          <t>Guided $10.55–10.75B. Drives the 2H segment-margin calibration.</t>
        </is>
      </c>
    </row>
    <row r="14" ht="15" customHeight="1" s="251">
      <c r="B14" s="156" t="inlineStr">
        <is>
          <t xml:space="preserve">    FY26E target = FY2025 revised × (1 + guided growth + calibration Δ)</t>
        </is>
      </c>
      <c r="C14" s="44" t="n"/>
      <c r="D14" s="44" t="n"/>
      <c r="E14" s="44" t="n"/>
      <c r="F14" s="44" t="n"/>
      <c r="G14" s="44" t="n"/>
      <c r="H14" s="44" t="n"/>
      <c r="I14" s="44" t="n"/>
      <c r="J14" s="44" t="n"/>
      <c r="K14" s="44" t="n"/>
      <c r="L14" s="44" t="n"/>
      <c r="M14" s="44" t="n"/>
      <c r="N14" s="44" t="n"/>
      <c r="O14" s="44" t="n"/>
      <c r="P14" s="44" t="n"/>
      <c r="Q14" s="44" t="n"/>
      <c r="R14" s="44" t="n"/>
      <c r="S14" s="44" t="n"/>
      <c r="T14" s="44" t="n"/>
      <c r="U14" s="35" t="n"/>
      <c r="V14" s="35" t="n"/>
      <c r="W14" s="254">
        <f>$R$13*(1+W15+W119)</f>
        <v>29422.4933925626</v>
      </c>
      <c r="X14" s="35" t="n"/>
      <c r="Y14" s="35" t="n"/>
      <c r="Z14" s="35" t="n"/>
      <c r="AA14" s="35" t="n"/>
      <c r="AB14" s="35" t="n"/>
      <c r="AC14" s="153" t="n"/>
      <c r="AK14" s="25" t="inlineStr">
        <is>
          <t xml:space="preserve">  FY26 adjusted EPS ($) — memo</t>
        </is>
      </c>
      <c r="AL14" s="259" t="n">
        <v>7.85</v>
      </c>
      <c r="AM14" s="259" t="n">
        <v>7.75</v>
      </c>
      <c r="AN14" s="259" t="n">
        <v>7.65</v>
      </c>
      <c r="AO14" s="13" t="inlineStr">
        <is>
          <t>Guided $7.65–7.85 (information row; compare the model).</t>
        </is>
      </c>
    </row>
    <row r="15" ht="15" customHeight="1" s="251">
      <c r="B15" s="25" t="inlineStr">
        <is>
          <t xml:space="preserve">    FY26 guided growth (scenario end-point; before calibration)</t>
        </is>
      </c>
      <c r="C15" s="36" t="n"/>
      <c r="D15" s="36" t="n"/>
      <c r="E15" s="36" t="n"/>
      <c r="F15" s="36" t="n"/>
      <c r="G15" s="36" t="n"/>
      <c r="H15" s="36" t="n"/>
      <c r="I15" s="36" t="n"/>
      <c r="J15" s="36" t="n"/>
      <c r="K15" s="36" t="n"/>
      <c r="L15" s="36" t="n"/>
      <c r="M15" s="36" t="n"/>
      <c r="N15" s="36" t="n"/>
      <c r="O15" s="36" t="n"/>
      <c r="P15" s="36" t="n"/>
      <c r="Q15" s="36" t="n"/>
      <c r="R15" s="36" t="n"/>
      <c r="S15" s="36" t="n"/>
      <c r="T15" s="36" t="n"/>
      <c r="U15" s="24" t="n"/>
      <c r="V15" s="24" t="n"/>
      <c r="W15" s="256">
        <f>CHOOSE(MATCH($AC$2,{"Bull","Base","Bear"},0),$AL$16,$AM$16,$AN$16)</f>
        <v>0.22</v>
      </c>
      <c r="X15" s="46" t="n"/>
      <c r="Y15" s="46" t="n"/>
      <c r="Z15" s="46" t="n"/>
      <c r="AA15" s="46" t="n"/>
      <c r="AB15" s="46" t="n"/>
      <c r="AC15" s="19" t="n"/>
      <c r="AK15" s="25" t="inlineStr">
        <is>
          <t xml:space="preserve">  FY26 free cash flow ($m)</t>
        </is>
      </c>
      <c r="AL15" s="258" t="n">
        <v>9200</v>
      </c>
      <c r="AM15" s="258" t="n">
        <v>9050</v>
      </c>
      <c r="AN15" s="258" t="n">
        <v>8900</v>
      </c>
      <c r="AO15" s="13" t="inlineStr">
        <is>
          <t>Guided $8.9–9.2B. Drives the 2026E customer-advances calibration (FCF bridge section).</t>
        </is>
      </c>
    </row>
    <row r="16" ht="15" customHeight="1" s="251">
      <c r="B16" s="25" t="inlineStr">
        <is>
          <t xml:space="preserve">  CES equipment revenue (install and spare engines)</t>
        </is>
      </c>
      <c r="C16" s="253" t="n">
        <v>5125</v>
      </c>
      <c r="D16" s="253" t="n">
        <v>1299</v>
      </c>
      <c r="E16" s="253" t="n">
        <v>1607</v>
      </c>
      <c r="F16" s="253" t="n">
        <v>1604</v>
      </c>
      <c r="G16" s="253" t="n">
        <v>1659</v>
      </c>
      <c r="H16" s="253" t="n">
        <v>6169</v>
      </c>
      <c r="I16" s="253" t="n">
        <v>1706</v>
      </c>
      <c r="J16" s="253" t="n">
        <v>1427</v>
      </c>
      <c r="K16" s="253" t="n">
        <v>1686</v>
      </c>
      <c r="L16" s="253" t="n">
        <v>2287</v>
      </c>
      <c r="M16" s="253" t="n">
        <v>7106</v>
      </c>
      <c r="N16" s="253" t="n">
        <v>1858</v>
      </c>
      <c r="O16" s="253" t="n">
        <v>1931</v>
      </c>
      <c r="P16" s="253" t="n">
        <v>2059</v>
      </c>
      <c r="Q16" s="253" t="n">
        <v>2455</v>
      </c>
      <c r="R16" s="253" t="n">
        <v>8304</v>
      </c>
      <c r="S16" s="253" t="n">
        <v>2102</v>
      </c>
      <c r="T16" s="253" t="n">
        <v>2297</v>
      </c>
      <c r="U16" s="254">
        <f>($W$19-SUM(S16:T16))*P16/(P16+Q16)</f>
        <v>2193.42453042055</v>
      </c>
      <c r="V16" s="254">
        <f>($W$19-SUM(S16:T16))*Q16/(P16+Q16)</f>
        <v>2615.27791266754</v>
      </c>
      <c r="W16" s="254">
        <f>SUM(S16:V16)</f>
        <v>9207.70244308809</v>
      </c>
      <c r="X16" s="254">
        <f>W16*(1+X17)</f>
        <v>10312.6267362587</v>
      </c>
      <c r="Y16" s="254">
        <f>X16*(1+Y17)</f>
        <v>11343.8894098845</v>
      </c>
      <c r="Z16" s="254">
        <f>Y16*(1+Z17)</f>
        <v>12251.4005626753</v>
      </c>
      <c r="AA16" s="254">
        <f>Z16*(1+AA17)</f>
        <v>12986.4845964358</v>
      </c>
      <c r="AB16" s="254">
        <f>AA16*(1+AB17)</f>
        <v>13635.8088262576</v>
      </c>
      <c r="AC16" s="19" t="n"/>
      <c r="AE16" s="20">
        <f>IFERROR((AB16/W16)^(1/5)-1,"n/m")</f>
        <v>0.0816977479614276</v>
      </c>
      <c r="AF16" s="20">
        <f>IFERROR((R16/C16)^(1/3)-1,"n/m")</f>
        <v>0.174531017407578</v>
      </c>
      <c r="AG16" s="20">
        <f>IFERROR((R16/H16)^(1/2)-1,"n/m")</f>
        <v>0.160209147108767</v>
      </c>
      <c r="AH16" s="20">
        <f>IFERROR(W16/R16-1,"n/m")</f>
        <v>0.108827365497121</v>
      </c>
      <c r="AK16" s="25" t="inlineStr">
        <is>
          <t xml:space="preserve">  FY26 CES services revenue growth (low 20s → 23 / 22 / 21%)</t>
        </is>
      </c>
      <c r="AL16" s="257" t="n">
        <v>0.23</v>
      </c>
      <c r="AM16" s="257" t="n">
        <v>0.22</v>
      </c>
      <c r="AN16" s="257" t="n">
        <v>0.21</v>
      </c>
      <c r="AO16" s="13" t="inlineStr">
        <is>
          <t>Guided "low 20s" on the FY2025 revised base $24.2B (assumption mapping).</t>
        </is>
      </c>
    </row>
    <row r="17" ht="15" customHeight="1" s="251">
      <c r="B17" s="22" t="inlineStr">
        <is>
          <t xml:space="preserve">    y/y % (2026: vs the recast prior year)</t>
        </is>
      </c>
      <c r="C17" s="23" t="n"/>
      <c r="D17" s="23" t="n"/>
      <c r="E17" s="23" t="n"/>
      <c r="F17" s="23" t="n"/>
      <c r="G17" s="23" t="n"/>
      <c r="H17" s="255">
        <f>IF(AND(ISNUMBER(H16),ISNUMBER(C16)),IFERROR(H16/C16-1,""),"")</f>
        <v>0.203707317073171</v>
      </c>
      <c r="I17" s="255">
        <f>IF(AND(ISNUMBER(I16),ISNUMBER(D16)),IFERROR(I16/D16-1,""),"")</f>
        <v>0.313317936874519</v>
      </c>
      <c r="J17" s="255">
        <f>IF(AND(ISNUMBER(J16),ISNUMBER(E16)),IFERROR(J16/E16-1,""),"")</f>
        <v>-0.112009956440573</v>
      </c>
      <c r="K17" s="255">
        <f>IF(AND(ISNUMBER(K16),ISNUMBER(F16)),IFERROR(K16/F16-1,""),"")</f>
        <v>0.0511221945137157</v>
      </c>
      <c r="L17" s="255">
        <f>IF(AND(ISNUMBER(L16),ISNUMBER(G16)),IFERROR(L16/G16-1,""),"")</f>
        <v>0.378541289933695</v>
      </c>
      <c r="M17" s="255">
        <f>IF(AND(ISNUMBER(M16),ISNUMBER(H16)),IFERROR(M16/H16-1,""),"")</f>
        <v>0.151888474631221</v>
      </c>
      <c r="N17" s="255">
        <f>IF(AND(ISNUMBER(N16),ISNUMBER(I16)),IFERROR(N16/I16-1,""),"")</f>
        <v>0.0890973036342322</v>
      </c>
      <c r="O17" s="255">
        <f>IF(AND(ISNUMBER(O16),ISNUMBER(J16)),IFERROR(O16/J16-1,""),"")</f>
        <v>0.353188507358094</v>
      </c>
      <c r="P17" s="255">
        <f>IF(AND(ISNUMBER(P16),ISNUMBER(K16)),IFERROR(P16/K16-1,""),"")</f>
        <v>0.221233689205219</v>
      </c>
      <c r="Q17" s="255">
        <f>IF(AND(ISNUMBER(Q16),ISNUMBER(L16)),IFERROR(Q16/L16-1,""),"")</f>
        <v>0.0734586794927854</v>
      </c>
      <c r="R17" s="255">
        <f>IF(AND(ISNUMBER(R16),ISNUMBER(M16)),IFERROR(R16/M16-1,""),"")</f>
        <v>0.168589924007881</v>
      </c>
      <c r="S17" s="255">
        <f>IF(AND(ISNUMBER(S16),ISNUMBER(N16)),IFERROR(S16/IF(ISNUMBER(N18),N18,N16)-1,""),"")</f>
        <v>0.201829616923957</v>
      </c>
      <c r="T17" s="255">
        <f>IF(AND(ISNUMBER(T16),ISNUMBER(O16)),IFERROR(T16/IF(ISNUMBER(O18),O18,O16)-1,""),"")</f>
        <v>0.301416430594901</v>
      </c>
      <c r="U17" s="256">
        <f>IF(AND(ISNUMBER(U16),ISNUMBER(P16)),IFERROR(U16/P16-1,""),"")</f>
        <v>0.0652863188055139</v>
      </c>
      <c r="V17" s="256">
        <f>IF(AND(ISNUMBER(V16),ISNUMBER(Q16)),IFERROR(V16/Q16-1,""),"")</f>
        <v>0.0652863188055139</v>
      </c>
      <c r="W17" s="256">
        <f>$W$16/$R$18-1</f>
        <v>0.195805512089362</v>
      </c>
      <c r="X17" s="256">
        <f>CHOOSE(MATCH($AC$2,{"Bull","Base","Bear"},0),$AL$41,$AM$41,$AN$41)</f>
        <v>0.12</v>
      </c>
      <c r="Y17" s="256">
        <f>CHOOSE(MATCH($AC$2,{"Bull","Base","Bear"},0),$AL$42,$AM$42,$AN$42)</f>
        <v>0.1</v>
      </c>
      <c r="Z17" s="256">
        <f>CHOOSE(MATCH($AC$2,{"Bull","Base","Bear"},0),$AL$43,$AM$43,$AN$43)</f>
        <v>0.08</v>
      </c>
      <c r="AA17" s="256">
        <f>CHOOSE(MATCH($AC$2,{"Bull","Base","Bear"},0),$AL$44,$AM$44,$AN$44)</f>
        <v>0.06</v>
      </c>
      <c r="AB17" s="256">
        <f>CHOOSE(MATCH($AC$2,{"Bull","Base","Bear"},0),$AL$45,$AM$45,$AN$45)</f>
        <v>0.05</v>
      </c>
      <c r="AC17" s="153" t="n"/>
      <c r="AK17" s="25" t="inlineStr">
        <is>
          <t xml:space="preserve">  FY26 CES equipment revenue growth (~20% → 21 / 20 / 19%)</t>
        </is>
      </c>
      <c r="AL17" s="257" t="n">
        <v>0.21</v>
      </c>
      <c r="AM17" s="257" t="n">
        <v>0.2</v>
      </c>
      <c r="AN17" s="257" t="n">
        <v>0.19</v>
      </c>
      <c r="AO17" s="13" t="inlineStr">
        <is>
          <t>Guided "~20%" on the FY2025 revised base $7.7B (assumption mapping).</t>
        </is>
      </c>
    </row>
    <row r="18" ht="15" customHeight="1" s="251">
      <c r="B18" s="156" t="inlineStr">
        <is>
          <t xml:space="preserve">    Memo: on the Jan-2026 segment structure (Q1–Q2/25 recast in the 2026 10-Qs; FY2025 revised, $bn estimate)</t>
        </is>
      </c>
      <c r="C18" s="34" t="n"/>
      <c r="D18" s="34" t="n"/>
      <c r="E18" s="34" t="n"/>
      <c r="F18" s="34" t="n"/>
      <c r="G18" s="34" t="n"/>
      <c r="H18" s="34" t="n"/>
      <c r="I18" s="34" t="n"/>
      <c r="J18" s="34" t="n"/>
      <c r="K18" s="34" t="n"/>
      <c r="L18" s="34" t="n"/>
      <c r="M18" s="34" t="n"/>
      <c r="N18" s="253" t="n">
        <v>1749</v>
      </c>
      <c r="O18" s="253" t="n">
        <v>1765</v>
      </c>
      <c r="P18" s="34" t="n"/>
      <c r="Q18" s="34" t="n"/>
      <c r="R18" s="253" t="n">
        <v>7700</v>
      </c>
      <c r="S18" s="34" t="n"/>
      <c r="T18" s="34" t="n"/>
      <c r="U18" s="153" t="n"/>
      <c r="V18" s="153" t="n"/>
      <c r="W18" s="153" t="n"/>
      <c r="X18" s="153" t="n"/>
      <c r="Y18" s="153" t="n"/>
      <c r="Z18" s="153" t="n"/>
      <c r="AA18" s="153" t="n"/>
      <c r="AB18" s="153" t="n"/>
      <c r="AC18" s="153" t="n"/>
      <c r="AK18" s="25" t="inlineStr">
        <is>
          <t xml:space="preserve">  FY26 DPT revenue growth (LDD → 12 / 11 / 10%)</t>
        </is>
      </c>
      <c r="AL18" s="257" t="n">
        <v>0.12</v>
      </c>
      <c r="AM18" s="257" t="n">
        <v>0.11</v>
      </c>
      <c r="AN18" s="257" t="n">
        <v>0.1</v>
      </c>
      <c r="AO18" s="13" t="inlineStr">
        <is>
          <t>Guided "low double digits" on the FY2025 revised base $12.2B (assumption mapping).</t>
        </is>
      </c>
    </row>
    <row r="19" ht="15" customHeight="1" s="251">
      <c r="B19" s="156" t="inlineStr">
        <is>
          <t xml:space="preserve">    FY26E target = FY2025 revised × (1 + guided growth + calibration Δ)</t>
        </is>
      </c>
      <c r="C19" s="44" t="n"/>
      <c r="D19" s="44" t="n"/>
      <c r="E19" s="44" t="n"/>
      <c r="F19" s="44" t="n"/>
      <c r="G19" s="44" t="n"/>
      <c r="H19" s="44" t="n"/>
      <c r="I19" s="44" t="n"/>
      <c r="J19" s="44" t="n"/>
      <c r="K19" s="44" t="n"/>
      <c r="L19" s="44" t="n"/>
      <c r="M19" s="44" t="n"/>
      <c r="N19" s="44" t="n"/>
      <c r="O19" s="44" t="n"/>
      <c r="P19" s="44" t="n"/>
      <c r="Q19" s="44" t="n"/>
      <c r="R19" s="44" t="n"/>
      <c r="S19" s="44" t="n"/>
      <c r="T19" s="44" t="n"/>
      <c r="U19" s="35" t="n"/>
      <c r="V19" s="35" t="n"/>
      <c r="W19" s="254">
        <f>$R$18*(1+W20+W119)</f>
        <v>9207.70244308809</v>
      </c>
      <c r="X19" s="35" t="n"/>
      <c r="Y19" s="35" t="n"/>
      <c r="Z19" s="35" t="n"/>
      <c r="AA19" s="35" t="n"/>
      <c r="AB19" s="35" t="n"/>
      <c r="AC19" s="153" t="n"/>
      <c r="AK19" s="25" t="inlineStr">
        <is>
          <t xml:space="preserve">  FY26 CES operating profit ($m)</t>
        </is>
      </c>
      <c r="AL19" s="258" t="n">
        <v>10350</v>
      </c>
      <c r="AM19" s="258" t="n">
        <v>10300</v>
      </c>
      <c r="AN19" s="258" t="n">
        <v>10250</v>
      </c>
      <c r="AO19" s="13" t="inlineStr">
        <is>
          <t>Guided $10.25–10.35B.</t>
        </is>
      </c>
    </row>
    <row r="20" ht="15" customHeight="1" s="251">
      <c r="B20" s="25" t="inlineStr">
        <is>
          <t xml:space="preserve">    FY26 guided growth (scenario end-point; before calibration)</t>
        </is>
      </c>
      <c r="C20" s="36" t="n"/>
      <c r="D20" s="36" t="n"/>
      <c r="E20" s="36" t="n"/>
      <c r="F20" s="36" t="n"/>
      <c r="G20" s="36" t="n"/>
      <c r="H20" s="36" t="n"/>
      <c r="I20" s="36" t="n"/>
      <c r="J20" s="36" t="n"/>
      <c r="K20" s="36" t="n"/>
      <c r="L20" s="36" t="n"/>
      <c r="M20" s="36" t="n"/>
      <c r="N20" s="36" t="n"/>
      <c r="O20" s="36" t="n"/>
      <c r="P20" s="36" t="n"/>
      <c r="Q20" s="36" t="n"/>
      <c r="R20" s="36" t="n"/>
      <c r="S20" s="36" t="n"/>
      <c r="T20" s="36" t="n"/>
      <c r="U20" s="24" t="n"/>
      <c r="V20" s="24" t="n"/>
      <c r="W20" s="256">
        <f>CHOOSE(MATCH($AC$2,{"Bull","Base","Bear"},0),$AL$17,$AM$17,$AN$17)</f>
        <v>0.2</v>
      </c>
      <c r="X20" s="46" t="n"/>
      <c r="Y20" s="46" t="n"/>
      <c r="Z20" s="46" t="n"/>
      <c r="AA20" s="46" t="n"/>
      <c r="AB20" s="46" t="n"/>
      <c r="AC20" s="19" t="n"/>
      <c r="AK20" s="25" t="inlineStr">
        <is>
          <t xml:space="preserve">  FY26 DPT operating profit ($m)</t>
        </is>
      </c>
      <c r="AL20" s="258" t="n">
        <v>1700</v>
      </c>
      <c r="AM20" s="258" t="n">
        <v>1650</v>
      </c>
      <c r="AN20" s="258" t="n">
        <v>1600</v>
      </c>
      <c r="AO20" s="13" t="inlineStr">
        <is>
          <t>Guided $1.6–1.7B.</t>
        </is>
      </c>
    </row>
    <row r="21" ht="15" customHeight="1" s="251">
      <c r="B21" s="16" t="inlineStr">
        <is>
          <t xml:space="preserve">  CES — segment revenue</t>
        </is>
      </c>
      <c r="C21" s="260">
        <f>C11+C16</f>
        <v>18813</v>
      </c>
      <c r="D21" s="260">
        <f>D11+D16</f>
        <v>5232</v>
      </c>
      <c r="E21" s="260">
        <f>E11+E16</f>
        <v>5737</v>
      </c>
      <c r="F21" s="260">
        <f>F11+F16</f>
        <v>6457</v>
      </c>
      <c r="G21" s="260">
        <f>G11+G16</f>
        <v>6429</v>
      </c>
      <c r="H21" s="260">
        <f>H11+H16</f>
        <v>23855</v>
      </c>
      <c r="I21" s="260">
        <f>I11+I16</f>
        <v>6096</v>
      </c>
      <c r="J21" s="260">
        <f>J11+J16</f>
        <v>6132</v>
      </c>
      <c r="K21" s="260">
        <f>K11+K16</f>
        <v>7003</v>
      </c>
      <c r="L21" s="260">
        <f>L11+L16</f>
        <v>7650</v>
      </c>
      <c r="M21" s="260">
        <f>M11+M16</f>
        <v>26881</v>
      </c>
      <c r="N21" s="260">
        <f>N11+N16</f>
        <v>6976</v>
      </c>
      <c r="O21" s="260">
        <f>O11+O16</f>
        <v>7990</v>
      </c>
      <c r="P21" s="260">
        <f>P11+P16</f>
        <v>8879</v>
      </c>
      <c r="Q21" s="260">
        <f>Q11+Q16</f>
        <v>9467</v>
      </c>
      <c r="R21" s="260">
        <f>R11+R16</f>
        <v>33314</v>
      </c>
      <c r="S21" s="260">
        <f>S11+S16</f>
        <v>8919</v>
      </c>
      <c r="T21" s="260">
        <f>T11+T16</f>
        <v>9731</v>
      </c>
      <c r="U21" s="261">
        <f>U11+U16</f>
        <v>9673.87456926358</v>
      </c>
      <c r="V21" s="261">
        <f>V11+V16</f>
        <v>10306.3212663871</v>
      </c>
      <c r="W21" s="261">
        <f>W11+W16</f>
        <v>38630.1958356507</v>
      </c>
      <c r="X21" s="261">
        <f>X11+X16</f>
        <v>43854.26920378</v>
      </c>
      <c r="Y21" s="261">
        <f>Y11+Y16</f>
        <v>48575.1125488332</v>
      </c>
      <c r="Z21" s="261">
        <f>Z11+Z16</f>
        <v>52833.4337841294</v>
      </c>
      <c r="AA21" s="261">
        <f>AA11+AA16</f>
        <v>56815.0804756062</v>
      </c>
      <c r="AB21" s="261">
        <f>AB11+AB16</f>
        <v>60532.4064169699</v>
      </c>
      <c r="AC21" s="153" t="n"/>
      <c r="AE21" s="20">
        <f>IFERROR((AB21/W21)^(1/5)-1,"n/m")</f>
        <v>0.0939871124715042</v>
      </c>
      <c r="AF21" s="20">
        <f>IFERROR((R21/C21)^(1/3)-1,"n/m")</f>
        <v>0.209825986280572</v>
      </c>
      <c r="AG21" s="20">
        <f>IFERROR((R21/H21)^(1/2)-1,"n/m")</f>
        <v>0.181744746367407</v>
      </c>
      <c r="AH21" s="20">
        <f>IFERROR(W21/R21-1,"n/m")</f>
        <v>0.159578430559244</v>
      </c>
      <c r="AK21" s="25" t="inlineStr">
        <is>
          <t xml:space="preserve">  FY26 Corporate cost &amp; eliminations ($m)</t>
        </is>
      </c>
      <c r="AL21" s="258" t="n">
        <v>-1200</v>
      </c>
      <c r="AM21" s="258" t="n">
        <v>-1250</v>
      </c>
      <c r="AN21" s="258" t="n">
        <v>-1300</v>
      </c>
      <c r="AO21" s="13" t="inlineStr">
        <is>
          <t>Corporate cost &amp; eliminations (adjusted Corporate &amp; Other operating costs): $(1.2)-(1.3)B per the Q4-25 release (22-Jan-2026); not restated in the Q1-26 / Q2-26 releases. The 16-Jul-2026 total and segment ranges imply about $(1.3)B at the mid-points.</t>
        </is>
      </c>
    </row>
    <row r="22" ht="15" customHeight="1" s="251">
      <c r="B22" s="22" t="inlineStr">
        <is>
          <t xml:space="preserve">  CES revenue y/y % (2026: vs recast prior year)</t>
        </is>
      </c>
      <c r="C22" s="23" t="n"/>
      <c r="D22" s="23" t="n"/>
      <c r="E22" s="23" t="n"/>
      <c r="F22" s="23" t="n"/>
      <c r="G22" s="23" t="n"/>
      <c r="H22" s="255">
        <f>IF(AND(ISNUMBER(H21),ISNUMBER(C21)),IFERROR(H21/C21-1,""),"")</f>
        <v>0.268006165949078</v>
      </c>
      <c r="I22" s="255">
        <f>IF(AND(ISNUMBER(I21),ISNUMBER(D21)),IFERROR(I21/D21-1,""),"")</f>
        <v>0.165137614678899</v>
      </c>
      <c r="J22" s="255">
        <f>IF(AND(ISNUMBER(J21),ISNUMBER(E21)),IFERROR(J21/E21-1,""),"")</f>
        <v>0.0688513160188251</v>
      </c>
      <c r="K22" s="255">
        <f>IF(AND(ISNUMBER(K21),ISNUMBER(F21)),IFERROR(K21/F21-1,""),"")</f>
        <v>0.0845593929069228</v>
      </c>
      <c r="L22" s="255">
        <f>IF(AND(ISNUMBER(L21),ISNUMBER(G21)),IFERROR(L21/G21-1,""),"")</f>
        <v>0.189920671955203</v>
      </c>
      <c r="M22" s="255">
        <f>IF(AND(ISNUMBER(M21),ISNUMBER(H21)),IFERROR(M21/H21-1,""),"")</f>
        <v>0.126849717040453</v>
      </c>
      <c r="N22" s="255">
        <f>IF(AND(ISNUMBER(N21),ISNUMBER(I21)),IFERROR(N21/I21-1,""),"")</f>
        <v>0.144356955380577</v>
      </c>
      <c r="O22" s="255">
        <f>IF(AND(ISNUMBER(O21),ISNUMBER(J21)),IFERROR(O21/J21-1,""),"")</f>
        <v>0.303000652315721</v>
      </c>
      <c r="P22" s="255">
        <f>IF(AND(ISNUMBER(P21),ISNUMBER(K21)),IFERROR(P21/K21-1,""),"")</f>
        <v>0.267885192060545</v>
      </c>
      <c r="Q22" s="255">
        <f>IF(AND(ISNUMBER(Q21),ISNUMBER(L21)),IFERROR(Q21/L21-1,""),"")</f>
        <v>0.237516339869281</v>
      </c>
      <c r="R22" s="255">
        <f>IF(AND(ISNUMBER(R21),ISNUMBER(M21)),IFERROR(R21/M21-1,""),"")</f>
        <v>0.239314013615565</v>
      </c>
      <c r="S22" s="255">
        <f>IF(AND(ISNUMBER(S21),ISNUMBER(N21)),IFERROR(S21/IF(ISNUMBER(N23),N23,N21)-1,""),"")</f>
        <v>0.338586222422332</v>
      </c>
      <c r="T22" s="255">
        <f>IF(AND(ISNUMBER(T21),ISNUMBER(O21)),IFERROR(T21/IF(ISNUMBER(O23),O23,O21)-1,""),"")</f>
        <v>0.272691603452786</v>
      </c>
      <c r="U22" s="256">
        <f>IF(AND(ISNUMBER(U21),ISNUMBER(P21)),IFERROR(U21/P21-1,""),"")</f>
        <v>0.089522983361142</v>
      </c>
      <c r="V22" s="256">
        <f>IF(AND(ISNUMBER(V21),ISNUMBER(Q21)),IFERROR(V21/Q21-1,""),"")</f>
        <v>0.0886575754079519</v>
      </c>
      <c r="W22" s="256">
        <f>$W$21/$R$23-1</f>
        <v>0.210977925882466</v>
      </c>
      <c r="X22" s="256">
        <f>IF(AND(ISNUMBER(X21),ISNUMBER(W21)),IFERROR(X21/W21-1,""),"")</f>
        <v>0.135232898905167</v>
      </c>
      <c r="Y22" s="256">
        <f>IF(AND(ISNUMBER(Y21),ISNUMBER(X21)),IFERROR(Y21/X21-1,""),"")</f>
        <v>0.107648432655818</v>
      </c>
      <c r="Z22" s="256">
        <f>IF(AND(ISNUMBER(Z21),ISNUMBER(Y21)),IFERROR(Z21/Y21-1,""),"")</f>
        <v>0.0876646704835775</v>
      </c>
      <c r="AA22" s="256">
        <f>IF(AND(ISNUMBER(AA21),ISNUMBER(Z21)),IFERROR(AA21/Z21-1,""),"")</f>
        <v>0.0753622546614203</v>
      </c>
      <c r="AB22" s="256">
        <f>IF(AND(ISNUMBER(AB21),ISNUMBER(AA21)),IFERROR(AB21/AA21-1,""),"")</f>
        <v>0.0654285078934243</v>
      </c>
      <c r="AC22" s="153" t="n"/>
      <c r="AK22" s="25" t="inlineStr">
        <is>
          <t xml:space="preserve">  2H-26E share repurchases ($m)</t>
        </is>
      </c>
      <c r="AL22" s="258" t="n">
        <v>5000</v>
      </c>
      <c r="AM22" s="258" t="n">
        <v>4000</v>
      </c>
      <c r="AN22" s="258" t="n">
        <v>3000</v>
      </c>
      <c r="AO22" s="13" t="inlineStr">
        <is>
          <t>H1-26 $4,527m (Q2 $2,012m at $292.17); ~$18.0bn left on the $20bn authorization (Dec-2025) at 30-Jun-2026. Scenario input (assumption).</t>
        </is>
      </c>
    </row>
    <row r="23" ht="15" customHeight="1" s="251">
      <c r="B23" s="156" t="inlineStr">
        <is>
          <t xml:space="preserve">  Memo: CES revenue on the Jan-2026 structure (recast)</t>
        </is>
      </c>
      <c r="C23" s="34" t="n"/>
      <c r="D23" s="34" t="n"/>
      <c r="E23" s="34" t="n"/>
      <c r="F23" s="34" t="n"/>
      <c r="G23" s="34" t="n"/>
      <c r="H23" s="34" t="n"/>
      <c r="I23" s="34" t="n"/>
      <c r="J23" s="34" t="n"/>
      <c r="K23" s="34" t="n"/>
      <c r="L23" s="34" t="n"/>
      <c r="M23" s="34" t="n"/>
      <c r="N23" s="253" t="n">
        <v>6663</v>
      </c>
      <c r="O23" s="253" t="n">
        <v>7646</v>
      </c>
      <c r="P23" s="34" t="n"/>
      <c r="Q23" s="34" t="n"/>
      <c r="R23" s="253" t="n">
        <v>31900</v>
      </c>
      <c r="S23" s="34" t="n"/>
      <c r="T23" s="34" t="n"/>
      <c r="U23" s="153" t="n"/>
      <c r="V23" s="153" t="n"/>
      <c r="W23" s="153" t="n"/>
      <c r="X23" s="153" t="n"/>
      <c r="Y23" s="153" t="n"/>
      <c r="Z23" s="153" t="n"/>
      <c r="AA23" s="153" t="n"/>
      <c r="AB23" s="153" t="n"/>
      <c r="AC23" s="153" t="n"/>
    </row>
    <row r="24" ht="15" customHeight="1" s="251">
      <c r="B24" s="156" t="inlineStr">
        <is>
          <t xml:space="preserve">  Memo: CES segment revenue as reported</t>
        </is>
      </c>
      <c r="C24" s="253" t="n">
        <v>18813</v>
      </c>
      <c r="D24" s="253" t="n">
        <v>5232</v>
      </c>
      <c r="E24" s="253" t="n">
        <v>5737</v>
      </c>
      <c r="F24" s="253" t="n">
        <v>6457</v>
      </c>
      <c r="G24" s="253" t="n">
        <v>6429</v>
      </c>
      <c r="H24" s="253" t="n">
        <v>23855</v>
      </c>
      <c r="I24" s="253" t="n">
        <v>6095</v>
      </c>
      <c r="J24" s="253" t="n">
        <v>6132</v>
      </c>
      <c r="K24" s="253" t="n">
        <v>7003</v>
      </c>
      <c r="L24" s="253" t="n">
        <v>7650</v>
      </c>
      <c r="M24" s="253" t="n">
        <v>26881</v>
      </c>
      <c r="N24" s="253" t="n">
        <v>6977</v>
      </c>
      <c r="O24" s="253" t="n">
        <v>7990</v>
      </c>
      <c r="P24" s="253" t="n">
        <v>8880</v>
      </c>
      <c r="Q24" s="253" t="n">
        <v>9468</v>
      </c>
      <c r="R24" s="253" t="n">
        <v>33314</v>
      </c>
      <c r="S24" s="253" t="n">
        <v>8920</v>
      </c>
      <c r="T24" s="253" t="n">
        <v>9731</v>
      </c>
      <c r="U24" s="153" t="n"/>
      <c r="V24" s="153" t="n"/>
      <c r="W24" s="153" t="n"/>
      <c r="X24" s="153" t="n"/>
      <c r="Y24" s="153" t="n"/>
      <c r="Z24" s="153" t="n"/>
      <c r="AA24" s="153" t="n"/>
      <c r="AB24" s="153" t="n"/>
      <c r="AC24" s="153" t="n"/>
      <c r="AK24" s="15" t="inlineStr">
        <is>
          <t>Q3/Q4-26E and FY26 point estimates (all cases)</t>
        </is>
      </c>
      <c r="AL24" s="21" t="n"/>
      <c r="AM24" s="21" t="n"/>
      <c r="AN24" s="21" t="n"/>
    </row>
    <row r="25" ht="15" customHeight="1" s="251">
      <c r="B25" s="57" t="inlineStr">
        <is>
          <t xml:space="preserve">  Check: services + equipment vs CES segment revenue (should be 0)</t>
        </is>
      </c>
      <c r="C25" s="211">
        <f>IF(ISNUMBER(C24),IF(ABS(C21-C24)&lt;=1.01,0,ROUND(C21-C24,0)),"")</f>
        <v>0</v>
      </c>
      <c r="D25" s="211">
        <f>IF(ISNUMBER(D24),IF(ABS(D21-D24)&lt;=1.01,0,ROUND(D21-D24,0)),"")</f>
        <v>0</v>
      </c>
      <c r="E25" s="211">
        <f>IF(ISNUMBER(E24),IF(ABS(E21-E24)&lt;=1.01,0,ROUND(E21-E24,0)),"")</f>
        <v>0</v>
      </c>
      <c r="F25" s="211">
        <f>IF(ISNUMBER(F24),IF(ABS(F21-F24)&lt;=1.01,0,ROUND(F21-F24,0)),"")</f>
        <v>0</v>
      </c>
      <c r="G25" s="211">
        <f>IF(ISNUMBER(G24),IF(ABS(G21-G24)&lt;=1.01,0,ROUND(G21-G24,0)),"")</f>
        <v>0</v>
      </c>
      <c r="H25" s="211">
        <f>IF(ISNUMBER(H24),IF(ABS(H21-H24)&lt;=1.01,0,ROUND(H21-H24,0)),"")</f>
        <v>0</v>
      </c>
      <c r="I25" s="211">
        <f>IF(ISNUMBER(I24),IF(ABS(I21-I24)&lt;=1.01,0,ROUND(I21-I24,0)),"")</f>
        <v>0</v>
      </c>
      <c r="J25" s="211">
        <f>IF(ISNUMBER(J24),IF(ABS(J21-J24)&lt;=1.01,0,ROUND(J21-J24,0)),"")</f>
        <v>0</v>
      </c>
      <c r="K25" s="211">
        <f>IF(ISNUMBER(K24),IF(ABS(K21-K24)&lt;=1.01,0,ROUND(K21-K24,0)),"")</f>
        <v>0</v>
      </c>
      <c r="L25" s="211">
        <f>IF(ISNUMBER(L24),IF(ABS(L21-L24)&lt;=1.01,0,ROUND(L21-L24,0)),"")</f>
        <v>0</v>
      </c>
      <c r="M25" s="211">
        <f>IF(ISNUMBER(M24),IF(ABS(M21-M24)&lt;=1.01,0,ROUND(M21-M24,0)),"")</f>
        <v>0</v>
      </c>
      <c r="N25" s="211">
        <f>IF(ISNUMBER(N24),IF(ABS(N21-N24)&lt;=1.01,0,ROUND(N21-N24,0)),"")</f>
        <v>0</v>
      </c>
      <c r="O25" s="211">
        <f>IF(ISNUMBER(O24),IF(ABS(O21-O24)&lt;=1.01,0,ROUND(O21-O24,0)),"")</f>
        <v>0</v>
      </c>
      <c r="P25" s="211">
        <f>IF(ISNUMBER(P24),IF(ABS(P21-P24)&lt;=1.01,0,ROUND(P21-P24,0)),"")</f>
        <v>0</v>
      </c>
      <c r="Q25" s="211">
        <f>IF(ISNUMBER(Q24),IF(ABS(Q21-Q24)&lt;=1.01,0,ROUND(Q21-Q24,0)),"")</f>
        <v>0</v>
      </c>
      <c r="R25" s="211">
        <f>IF(ISNUMBER(R24),IF(ABS(R21-R24)&lt;=1.01,0,ROUND(R21-R24,0)),"")</f>
        <v>0</v>
      </c>
      <c r="S25" s="211">
        <f>IF(ISNUMBER(S24),IF(ABS(S21-S24)&lt;=1.01,0,ROUND(S21-S24,0)),"")</f>
        <v>0</v>
      </c>
      <c r="T25" s="211">
        <f>IF(ISNUMBER(T24),IF(ABS(T21-T24)&lt;=1.01,0,ROUND(T21-T24,0)),"")</f>
        <v>0</v>
      </c>
      <c r="U25" s="153" t="n"/>
      <c r="V25" s="153" t="n"/>
      <c r="W25" s="153" t="n"/>
      <c r="X25" s="153" t="n"/>
      <c r="Y25" s="153" t="n"/>
      <c r="Z25" s="153" t="n"/>
      <c r="AA25" s="153" t="n"/>
      <c r="AB25" s="153" t="n"/>
      <c r="AC25" s="153" t="n"/>
      <c r="AK25" s="25" t="inlineStr">
        <is>
          <t xml:space="preserve">  Q3/Q4-26E interest and other financial charges ($m per quarter)</t>
        </is>
      </c>
      <c r="AM25" s="258" t="n">
        <v>222</v>
      </c>
      <c r="AO25" s="13" t="inlineStr">
        <is>
          <t>H1-26 $444m (run-rate).</t>
        </is>
      </c>
    </row>
    <row r="26" ht="15" customHeight="1" s="251">
      <c r="B26" s="25" t="inlineStr">
        <is>
          <t xml:space="preserve">  CES segment operating profit</t>
        </is>
      </c>
      <c r="C26" s="253" t="n">
        <v>4164</v>
      </c>
      <c r="D26" s="253" t="n">
        <v>1214</v>
      </c>
      <c r="E26" s="253" t="n">
        <v>1389</v>
      </c>
      <c r="F26" s="253" t="n">
        <v>1545</v>
      </c>
      <c r="G26" s="253" t="n">
        <v>1495</v>
      </c>
      <c r="H26" s="253" t="n">
        <v>5643</v>
      </c>
      <c r="I26" s="253" t="n">
        <v>1419</v>
      </c>
      <c r="J26" s="253" t="n">
        <v>1679</v>
      </c>
      <c r="K26" s="253" t="n">
        <v>1799</v>
      </c>
      <c r="L26" s="253" t="n">
        <v>2158</v>
      </c>
      <c r="M26" s="253" t="n">
        <v>7055</v>
      </c>
      <c r="N26" s="253" t="n">
        <v>1920</v>
      </c>
      <c r="O26" s="253" t="n">
        <v>2232</v>
      </c>
      <c r="P26" s="253" t="n">
        <v>2436</v>
      </c>
      <c r="Q26" s="253" t="n">
        <v>2273</v>
      </c>
      <c r="R26" s="253" t="n">
        <v>8861</v>
      </c>
      <c r="S26" s="253" t="n">
        <v>2356</v>
      </c>
      <c r="T26" s="253" t="n">
        <v>2657</v>
      </c>
      <c r="U26" s="254">
        <f>U21*U27</f>
        <v>2541.7846660092</v>
      </c>
      <c r="V26" s="254">
        <f>V21*V27</f>
        <v>2707.95834391942</v>
      </c>
      <c r="W26" s="254">
        <f>SUM(S26:V26)</f>
        <v>10262.7430099286</v>
      </c>
      <c r="X26" s="254">
        <f>X21*X27</f>
        <v>11752.944146613</v>
      </c>
      <c r="Y26" s="254">
        <f>Y21*Y27</f>
        <v>13212.4306132826</v>
      </c>
      <c r="Z26" s="254">
        <f>Z21*Z27</f>
        <v>14582.0277244197</v>
      </c>
      <c r="AA26" s="254">
        <f>AA21*AA27</f>
        <v>15908.2225331697</v>
      </c>
      <c r="AB26" s="254">
        <f>AB21*AB27</f>
        <v>17070.1386095855</v>
      </c>
      <c r="AC26" s="19" t="inlineStr">
        <is>
          <t>Segment profit as reported (company measure; after amortization and stock-based compensation). Forecast = segment revenue × margin.</t>
        </is>
      </c>
      <c r="AE26" s="20">
        <f>IFERROR((AB26/W26)^(1/5)-1,"n/m")</f>
        <v>0.107120057184644</v>
      </c>
      <c r="AF26" s="20">
        <f>IFERROR((R26/C26)^(1/3)-1,"n/m")</f>
        <v>0.286245905364303</v>
      </c>
      <c r="AG26" s="20">
        <f>IFERROR((R26/H26)^(1/2)-1,"n/m")</f>
        <v>0.253101769190457</v>
      </c>
      <c r="AH26" s="20">
        <f>IFERROR(W26/R26-1,"n/m")</f>
        <v>0.15819241732633</v>
      </c>
      <c r="AK26" s="25" t="inlineStr">
        <is>
          <t xml:space="preserve">  Q3/Q4-26E adjusted effective tax rate</t>
        </is>
      </c>
      <c r="AM26" s="257" t="n">
        <v>0.165</v>
      </c>
      <c r="AO26" s="13" t="inlineStr">
        <is>
          <t>H1-26 15.7% (Q2 16.7%); FY2025 17.3%. Not guided in the releases — assumption.</t>
        </is>
      </c>
    </row>
    <row r="27" ht="15" customHeight="1" s="251">
      <c r="B27" s="25" t="inlineStr">
        <is>
          <t xml:space="preserve">  CES operating profit margin %</t>
        </is>
      </c>
      <c r="C27" s="215">
        <f>IF(AND(ISNUMBER(C26),ISNUMBER(C21)),IFERROR(C26/C21,""),"")</f>
        <v>0.221336309998405</v>
      </c>
      <c r="D27" s="215">
        <f>IF(AND(ISNUMBER(D26),ISNUMBER(D21)),IFERROR(D26/D21,""),"")</f>
        <v>0.232033639143731</v>
      </c>
      <c r="E27" s="215">
        <f>IF(AND(ISNUMBER(E26),ISNUMBER(E21)),IFERROR(E26/E21,""),"")</f>
        <v>0.242112602405438</v>
      </c>
      <c r="F27" s="215">
        <f>IF(AND(ISNUMBER(F26),ISNUMBER(F21)),IFERROR(F26/F21,""),"")</f>
        <v>0.239275205203655</v>
      </c>
      <c r="G27" s="215">
        <f>IF(AND(ISNUMBER(G26),ISNUMBER(G21)),IFERROR(G26/G21,""),"")</f>
        <v>0.232540052885363</v>
      </c>
      <c r="H27" s="215">
        <f>IF(AND(ISNUMBER(H26),ISNUMBER(H21)),IFERROR(H26/H21,""),"")</f>
        <v>0.23655418151331</v>
      </c>
      <c r="I27" s="215">
        <f>IF(AND(ISNUMBER(I26),ISNUMBER(I21)),IFERROR(I26/I21,""),"")</f>
        <v>0.232775590551181</v>
      </c>
      <c r="J27" s="215">
        <f>IF(AND(ISNUMBER(J26),ISNUMBER(J21)),IFERROR(J26/J21,""),"")</f>
        <v>0.273809523809524</v>
      </c>
      <c r="K27" s="215">
        <f>IF(AND(ISNUMBER(K26),ISNUMBER(K21)),IFERROR(K26/K21,""),"")</f>
        <v>0.256889904326717</v>
      </c>
      <c r="L27" s="215">
        <f>IF(AND(ISNUMBER(L26),ISNUMBER(L21)),IFERROR(L26/L21,""),"")</f>
        <v>0.282091503267974</v>
      </c>
      <c r="M27" s="215">
        <f>IF(AND(ISNUMBER(M26),ISNUMBER(M21)),IFERROR(M26/M21,""),"")</f>
        <v>0.262453033741304</v>
      </c>
      <c r="N27" s="215">
        <f>IF(AND(ISNUMBER(N26),ISNUMBER(N21)),IFERROR(N26/N21,""),"")</f>
        <v>0.275229357798165</v>
      </c>
      <c r="O27" s="215">
        <f>IF(AND(ISNUMBER(O26),ISNUMBER(O21)),IFERROR(O26/O21,""),"")</f>
        <v>0.279349186483104</v>
      </c>
      <c r="P27" s="215">
        <f>IF(AND(ISNUMBER(P26),ISNUMBER(P21)),IFERROR(P26/P21,""),"")</f>
        <v>0.274355220182453</v>
      </c>
      <c r="Q27" s="215">
        <f>IF(AND(ISNUMBER(Q26),ISNUMBER(Q21)),IFERROR(Q26/Q21,""),"")</f>
        <v>0.240097179676772</v>
      </c>
      <c r="R27" s="215">
        <f>IF(AND(ISNUMBER(R26),ISNUMBER(R21)),IFERROR(R26/R21,""),"")</f>
        <v>0.265984270877109</v>
      </c>
      <c r="S27" s="215">
        <f>IF(AND(ISNUMBER(S26),ISNUMBER(S21)),IFERROR(S26/S21,""),"")</f>
        <v>0.2641551743469</v>
      </c>
      <c r="T27" s="215">
        <f>IF(AND(ISNUMBER(T26),ISNUMBER(T21)),IFERROR(T26/T21,""),"")</f>
        <v>0.273044908025897</v>
      </c>
      <c r="U27" s="256">
        <f>$W$28+$W$123</f>
        <v>0.262747325056819</v>
      </c>
      <c r="V27" s="256">
        <f>$W$28+$W$123</f>
        <v>0.262747325056819</v>
      </c>
      <c r="W27" s="256">
        <f>IF(AND(ISNUMBER(W26),ISNUMBER(W21)),IFERROR(W26/W21,""),"")</f>
        <v>0.265666346957978</v>
      </c>
      <c r="X27" s="256">
        <f>CHOOSE(MATCH($AC$2,{"Bull","Base","Bear"},0),$AL$53,$AM$53,$AN$53)</f>
        <v>0.268</v>
      </c>
      <c r="Y27" s="256">
        <f>CHOOSE(MATCH($AC$2,{"Bull","Base","Bear"},0),$AL$54,$AM$54,$AN$54)</f>
        <v>0.272</v>
      </c>
      <c r="Z27" s="256">
        <f>CHOOSE(MATCH($AC$2,{"Bull","Base","Bear"},0),$AL$55,$AM$55,$AN$55)</f>
        <v>0.276</v>
      </c>
      <c r="AA27" s="256">
        <f>CHOOSE(MATCH($AC$2,{"Bull","Base","Bear"},0),$AL$56,$AM$56,$AN$56)</f>
        <v>0.28</v>
      </c>
      <c r="AB27" s="256">
        <f>CHOOSE(MATCH($AC$2,{"Bull","Base","Bear"},0),$AL$57,$AM$57,$AN$57)</f>
        <v>0.282</v>
      </c>
      <c r="AC27" s="153" t="inlineStr">
        <is>
          <t>Q3/Q4-26E: 2H margin implied by the CES operating-profit guide end-point + operating-profit calibration Δ (Group block). 2027E+: scenario lever.</t>
        </is>
      </c>
      <c r="AE27" s="37">
        <f>IFERROR(AVERAGE(X27,Y27,Z27,AA27,AB27),"n/m")</f>
        <v>0.2756</v>
      </c>
      <c r="AF27" s="37">
        <f>IFERROR(AVERAGE(H27,M27,R27),"n/m")</f>
        <v>0.254997162043908</v>
      </c>
      <c r="AG27" s="37">
        <f>IFERROR(AVERAGE(M27,R27),"n/m")</f>
        <v>0.264218652309207</v>
      </c>
      <c r="AH27" s="37">
        <f>IFERROR(W27+0,"n/m")</f>
        <v>0.265666346957978</v>
      </c>
      <c r="AK27" s="25" t="inlineStr">
        <is>
          <t xml:space="preserve">  Tax rate on adjusting items</t>
        </is>
      </c>
      <c r="AM27" s="257" t="n">
        <v>0.21</v>
      </c>
      <c r="AO27" s="13" t="inlineStr">
        <is>
          <t>H1-26 company tax effects ~21% (non-operating benefit, separation, restructuring).</t>
        </is>
      </c>
    </row>
    <row r="28" ht="15" customHeight="1" s="251">
      <c r="B28" s="25" t="inlineStr">
        <is>
          <t xml:space="preserve">  2H-26E margin before calibration = (CES operating-profit guide − H1-26) ÷ 2H-26E revenue</t>
        </is>
      </c>
      <c r="C28" s="36" t="n"/>
      <c r="D28" s="36" t="n"/>
      <c r="E28" s="36" t="n"/>
      <c r="F28" s="36" t="n"/>
      <c r="G28" s="36" t="n"/>
      <c r="H28" s="36" t="n"/>
      <c r="I28" s="36" t="n"/>
      <c r="J28" s="36" t="n"/>
      <c r="K28" s="36" t="n"/>
      <c r="L28" s="36" t="n"/>
      <c r="M28" s="36" t="n"/>
      <c r="N28" s="36" t="n"/>
      <c r="O28" s="36" t="n"/>
      <c r="P28" s="36" t="n"/>
      <c r="Q28" s="36" t="n"/>
      <c r="R28" s="36" t="n"/>
      <c r="S28" s="36" t="n"/>
      <c r="T28" s="36" t="n"/>
      <c r="U28" s="24" t="n"/>
      <c r="V28" s="24" t="n"/>
      <c r="W28" s="256">
        <f>(CHOOSE(MATCH($AC$2,{"Bull","Base","Bear"},0),$AL$19,$AM$19,$AN$19)-SUM(S26:T26))/SUM(U21:V21)</f>
        <v>0.264612020997632</v>
      </c>
      <c r="X28" s="46" t="n"/>
      <c r="Y28" s="46" t="n"/>
      <c r="Z28" s="46" t="n"/>
      <c r="AA28" s="46" t="n"/>
      <c r="AB28" s="46" t="n"/>
      <c r="AC28" s="19" t="n"/>
      <c r="AK28" s="25" t="inlineStr">
        <is>
          <t xml:space="preserve">  2H-26E capex % of adjusted revenue</t>
        </is>
      </c>
      <c r="AM28" s="257" t="n">
        <v>0.028</v>
      </c>
      <c r="AO28" s="13" t="inlineStr">
        <is>
          <t>H1-26 2.7%; FY2025 3.0% (not guided).</t>
        </is>
      </c>
    </row>
    <row r="29" ht="15" customHeight="1" s="251">
      <c r="B29" s="156" t="inlineStr">
        <is>
          <t xml:space="preserve">  Memo: CES operating profit on the Jan-2026 structure (recast)</t>
        </is>
      </c>
      <c r="C29" s="34" t="n"/>
      <c r="D29" s="34" t="n"/>
      <c r="E29" s="34" t="n"/>
      <c r="F29" s="34" t="n"/>
      <c r="G29" s="34" t="n"/>
      <c r="H29" s="34" t="n"/>
      <c r="I29" s="34" t="n"/>
      <c r="J29" s="34" t="n"/>
      <c r="K29" s="34" t="n"/>
      <c r="L29" s="34" t="n"/>
      <c r="M29" s="34" t="n"/>
      <c r="N29" s="253" t="n">
        <v>1910</v>
      </c>
      <c r="O29" s="253" t="n">
        <v>2208</v>
      </c>
      <c r="P29" s="34" t="n"/>
      <c r="Q29" s="34" t="n"/>
      <c r="R29" s="253" t="n">
        <v>8600</v>
      </c>
      <c r="S29" s="34" t="n"/>
      <c r="T29" s="34" t="n"/>
      <c r="U29" s="153" t="n"/>
      <c r="V29" s="153" t="n"/>
      <c r="W29" s="153" t="n"/>
      <c r="X29" s="153" t="n"/>
      <c r="Y29" s="153" t="n"/>
      <c r="Z29" s="153" t="n"/>
      <c r="AA29" s="153" t="n"/>
      <c r="AB29" s="153" t="n"/>
      <c r="AC29" s="153" t="n"/>
      <c r="AK29" s="25" t="inlineStr">
        <is>
          <t xml:space="preserve">  2H-26E provision less cash taxes paid ($m)</t>
        </is>
      </c>
      <c r="AM29" s="258" t="n">
        <v>400</v>
      </c>
      <c r="AO29" s="13" t="inlineStr">
        <is>
          <t>H1-26 $517m; FY2025 $666m.</t>
        </is>
      </c>
    </row>
    <row r="30" ht="15" customHeight="1" s="251">
      <c r="B30" s="25" t="inlineStr">
        <is>
          <t xml:space="preserve">  Incremental margin (Δ profit / Δ revenue)</t>
        </is>
      </c>
      <c r="C30" s="36" t="n"/>
      <c r="D30" s="36" t="n"/>
      <c r="E30" s="36" t="n"/>
      <c r="F30" s="36" t="n"/>
      <c r="G30" s="36" t="n"/>
      <c r="H30" s="215">
        <f>IFERROR((H26-C26)/(H21-C21),"")</f>
        <v>0.293335977786593</v>
      </c>
      <c r="I30" s="215">
        <f>IFERROR((I26-D26)/(I21-D21),"")</f>
        <v>0.237268518518519</v>
      </c>
      <c r="J30" s="215">
        <f>IFERROR((J26-E26)/(J21-E21),"")</f>
        <v>0.734177215189873</v>
      </c>
      <c r="K30" s="215">
        <f>IFERROR((K26-F26)/(K21-F21),"")</f>
        <v>0.465201465201465</v>
      </c>
      <c r="L30" s="215">
        <f>IFERROR((L26-G26)/(L21-G21),"")</f>
        <v>0.542997542997543</v>
      </c>
      <c r="M30" s="215">
        <f>IFERROR((M26-H26)/(M21-H21),"")</f>
        <v>0.466622604097819</v>
      </c>
      <c r="N30" s="215">
        <f>IFERROR((N26-I26)/(N21-I21),"")</f>
        <v>0.569318181818182</v>
      </c>
      <c r="O30" s="215">
        <f>IFERROR((O26-J26)/(O21-J21),"")</f>
        <v>0.297631862217438</v>
      </c>
      <c r="P30" s="215">
        <f>IFERROR((P26-K26)/(P21-K21),"")</f>
        <v>0.33955223880597</v>
      </c>
      <c r="Q30" s="215">
        <f>IFERROR((Q26-L26)/(Q21-L21),"")</f>
        <v>0.0632911392405063</v>
      </c>
      <c r="R30" s="215">
        <f>IFERROR((R26-M26)/(R21-M21),"")</f>
        <v>0.280739934711643</v>
      </c>
      <c r="S30" s="215">
        <f>IFERROR((S26-N26)/(S21-N21),"")</f>
        <v>0.22439526505404</v>
      </c>
      <c r="T30" s="215">
        <f>IFERROR((T26-O26)/(T21-O21),"")</f>
        <v>0.244112578977599</v>
      </c>
      <c r="U30" s="256">
        <f>IFERROR((U26-P26)/(U21-P21),"")</f>
        <v>0.133083470146996</v>
      </c>
      <c r="V30" s="256">
        <f>IFERROR((V26-Q26)/(V21-Q21),"")</f>
        <v>0.51822628752364</v>
      </c>
      <c r="W30" s="256">
        <f>IFERROR((W26-R26)/(W21-R21),"")</f>
        <v>0.263674073202582</v>
      </c>
      <c r="X30" s="256">
        <f>IFERROR((X26-W26)/(X21-W21),"")</f>
        <v>0.285256548228389</v>
      </c>
      <c r="Y30" s="256">
        <f>IFERROR((Y26-X26)/(Y21-X21),"")</f>
        <v>0.309157995721026</v>
      </c>
      <c r="Z30" s="256">
        <f>IFERROR((Z26-Y26)/(Z21-Y21),"")</f>
        <v>0.321628415391686</v>
      </c>
      <c r="AA30" s="256">
        <f>IFERROR((AA26-Z26)/(AA21-Z21),"")</f>
        <v>0.333076968277698</v>
      </c>
      <c r="AB30" s="256">
        <f>IFERROR((AB26-AA26)/(AB21-AA21),"")</f>
        <v>0.312567715272641</v>
      </c>
      <c r="AC30" s="153" t="n"/>
      <c r="AK30" s="25" t="inlineStr">
        <is>
          <t xml:space="preserve">  FY26 pension / OPEB cash contributions &amp; payments ($m)</t>
        </is>
      </c>
      <c r="AM30" s="258" t="n">
        <v>350</v>
      </c>
      <c r="AO30" s="13" t="inlineStr">
        <is>
          <t>H1-26: pension line −$526m incl. −$354m non-cash benefit income → ~$170m cash per half.</t>
        </is>
      </c>
    </row>
    <row r="31" ht="15" customHeight="1" s="251">
      <c r="B31" s="25" t="inlineStr">
        <is>
          <t xml:space="preserve">  Operating statistics (memo):</t>
        </is>
      </c>
      <c r="AC31" s="153" t="n"/>
    </row>
    <row r="32" ht="15" customHeight="1" s="251">
      <c r="B32" s="156" t="inlineStr">
        <is>
          <t xml:space="preserve">    Commercial engine deliveries (units; incl. LEAP)</t>
        </is>
      </c>
      <c r="C32" s="253" t="n">
        <v>1663</v>
      </c>
      <c r="D32" s="253" t="n">
        <v>481</v>
      </c>
      <c r="E32" s="253" t="n">
        <v>543</v>
      </c>
      <c r="F32" s="253" t="n">
        <v>520</v>
      </c>
      <c r="G32" s="253" t="n">
        <v>531</v>
      </c>
      <c r="H32" s="253" t="n">
        <v>2075</v>
      </c>
      <c r="I32" s="253" t="n">
        <v>489</v>
      </c>
      <c r="J32" s="253" t="n">
        <v>402</v>
      </c>
      <c r="K32" s="253" t="n">
        <v>501</v>
      </c>
      <c r="L32" s="253" t="n">
        <v>519</v>
      </c>
      <c r="M32" s="253" t="n">
        <v>1911</v>
      </c>
      <c r="N32" s="253" t="n">
        <v>444</v>
      </c>
      <c r="O32" s="253" t="n">
        <v>551</v>
      </c>
      <c r="P32" s="253" t="n">
        <v>664</v>
      </c>
      <c r="Q32" s="253" t="n">
        <v>727</v>
      </c>
      <c r="R32" s="253" t="n">
        <v>2386</v>
      </c>
      <c r="S32" s="253" t="n">
        <v>640</v>
      </c>
      <c r="T32" s="253" t="n">
        <v>659</v>
      </c>
      <c r="U32" s="153" t="n"/>
      <c r="V32" s="153" t="n"/>
      <c r="W32" s="153" t="n"/>
      <c r="X32" s="153" t="n"/>
      <c r="Y32" s="153" t="n"/>
      <c r="Z32" s="153" t="n"/>
      <c r="AA32" s="153" t="n"/>
      <c r="AB32" s="153" t="n"/>
      <c r="AC32" s="153" t="n"/>
      <c r="AK32" s="25" t="inlineStr">
        <is>
          <t xml:space="preserve">  Maximum net debt / adjusted EBITDA before buybacks (x) — buyback floor 2027E+</t>
        </is>
      </c>
      <c r="AL32" s="262" t="n">
        <v>1.5</v>
      </c>
      <c r="AM32" s="262" t="n">
        <v>1</v>
      </c>
      <c r="AN32" s="262" t="n">
        <v>0.5</v>
      </c>
      <c r="AO32" s="13" t="inlineStr">
        <is>
          <t>Net debt ~$9.8bn at 30-Jun-2026 (borrowings $19.2bn − cash $9.3bn) ≈ 0.8x adjusted EBITDA (model definition); ~1.4x pro forma for CPP ($11.75bn, 2H-27). Target = leverage up to which surplus cash is returned via buybacks (assumption; GE publishes no leverage target in its filings).</t>
        </is>
      </c>
    </row>
    <row r="33" ht="15" customHeight="1" s="251">
      <c r="B33" s="156" t="inlineStr">
        <is>
          <t xml:space="preserve">    of which LEAP engines (units)</t>
        </is>
      </c>
      <c r="C33" s="253" t="n">
        <v>1136</v>
      </c>
      <c r="D33" s="253" t="n">
        <v>366</v>
      </c>
      <c r="E33" s="253" t="n">
        <v>419</v>
      </c>
      <c r="F33" s="253" t="n">
        <v>389</v>
      </c>
      <c r="G33" s="253" t="n">
        <v>396</v>
      </c>
      <c r="H33" s="253" t="n">
        <v>1570</v>
      </c>
      <c r="I33" s="253" t="n">
        <v>367</v>
      </c>
      <c r="J33" s="253" t="n">
        <v>297</v>
      </c>
      <c r="K33" s="253" t="n">
        <v>365</v>
      </c>
      <c r="L33" s="253" t="n">
        <v>378</v>
      </c>
      <c r="M33" s="253" t="n">
        <v>1407</v>
      </c>
      <c r="N33" s="253" t="n">
        <v>319</v>
      </c>
      <c r="O33" s="253" t="n">
        <v>410</v>
      </c>
      <c r="P33" s="253" t="n">
        <v>511</v>
      </c>
      <c r="Q33" s="253" t="n">
        <v>562</v>
      </c>
      <c r="R33" s="253" t="n">
        <v>1802</v>
      </c>
      <c r="S33" s="253" t="n">
        <v>520</v>
      </c>
      <c r="T33" s="253" t="n">
        <v>510</v>
      </c>
      <c r="U33" s="153" t="n"/>
      <c r="V33" s="153" t="n"/>
      <c r="W33" s="153" t="n"/>
      <c r="X33" s="153" t="n"/>
      <c r="Y33" s="153" t="n"/>
      <c r="Z33" s="153" t="n"/>
      <c r="AA33" s="153" t="n"/>
      <c r="AB33" s="153" t="n"/>
      <c r="AC33" s="153" t="n"/>
    </row>
    <row r="34" ht="15" customHeight="1" s="251">
      <c r="B34" s="156" t="inlineStr">
        <is>
          <t xml:space="preserve">    Implied CES equipment revenue per commercial engine ($m; incl. spare engines, other equipment)</t>
        </is>
      </c>
      <c r="C34" s="263">
        <f>IF(ISNUMBER(C32),IFERROR(C16/C32,""),"")</f>
        <v>3.08177991581479</v>
      </c>
      <c r="D34" s="263">
        <f>IF(ISNUMBER(D32),IFERROR(D16/D32,""),"")</f>
        <v>2.7006237006237</v>
      </c>
      <c r="E34" s="263">
        <f>IF(ISNUMBER(E32),IFERROR(E16/E32,""),"")</f>
        <v>2.95948434622468</v>
      </c>
      <c r="F34" s="263">
        <f>IF(ISNUMBER(F32),IFERROR(F16/F32,""),"")</f>
        <v>3.08461538461538</v>
      </c>
      <c r="G34" s="263">
        <f>IF(ISNUMBER(G32),IFERROR(G16/G32,""),"")</f>
        <v>3.12429378531073</v>
      </c>
      <c r="H34" s="263">
        <f>IF(ISNUMBER(H32),IFERROR(H16/H32,""),"")</f>
        <v>2.97301204819277</v>
      </c>
      <c r="I34" s="263">
        <f>IF(ISNUMBER(I32),IFERROR(I16/I32,""),"")</f>
        <v>3.48875255623722</v>
      </c>
      <c r="J34" s="263">
        <f>IF(ISNUMBER(J32),IFERROR(J16/J32,""),"")</f>
        <v>3.54975124378109</v>
      </c>
      <c r="K34" s="263">
        <f>IF(ISNUMBER(K32),IFERROR(K16/K32,""),"")</f>
        <v>3.36526946107784</v>
      </c>
      <c r="L34" s="263">
        <f>IF(ISNUMBER(L32),IFERROR(L16/L32,""),"")</f>
        <v>4.40655105973025</v>
      </c>
      <c r="M34" s="263">
        <f>IF(ISNUMBER(M32),IFERROR(M16/M32,""),"")</f>
        <v>3.71847200418629</v>
      </c>
      <c r="N34" s="263">
        <f>IF(ISNUMBER(N32),IFERROR(N16/N32,""),"")</f>
        <v>4.18468468468469</v>
      </c>
      <c r="O34" s="263">
        <f>IF(ISNUMBER(O32),IFERROR(O16/O32,""),"")</f>
        <v>3.50453720508167</v>
      </c>
      <c r="P34" s="263">
        <f>IF(ISNUMBER(P32),IFERROR(P16/P32,""),"")</f>
        <v>3.10090361445783</v>
      </c>
      <c r="Q34" s="263">
        <f>IF(ISNUMBER(Q32),IFERROR(Q16/Q32,""),"")</f>
        <v>3.37689133425034</v>
      </c>
      <c r="R34" s="263">
        <f>IF(ISNUMBER(R32),IFERROR(R16/R32,""),"")</f>
        <v>3.48030176026823</v>
      </c>
      <c r="S34" s="263">
        <f>IF(ISNUMBER(S32),IFERROR(S16/S32,""),"")</f>
        <v>3.284375</v>
      </c>
      <c r="T34" s="263">
        <f>IF(ISNUMBER(T32),IFERROR(T16/T32,""),"")</f>
        <v>3.4855842185129</v>
      </c>
      <c r="U34" s="35" t="n"/>
      <c r="V34" s="35" t="n"/>
      <c r="W34" s="35" t="n"/>
      <c r="X34" s="35" t="n"/>
      <c r="Y34" s="35" t="n"/>
      <c r="Z34" s="35" t="n"/>
      <c r="AA34" s="35" t="n"/>
      <c r="AB34" s="35" t="n"/>
      <c r="AC34" s="153" t="n"/>
      <c r="AK34" s="15" t="inlineStr">
        <is>
          <t>CES_SV (CES services revenue y/y)</t>
        </is>
      </c>
      <c r="AL34" s="41" t="n">
        <v>0.03</v>
      </c>
      <c r="AM34" s="21" t="inlineStr">
        <is>
          <t>Δ →</t>
        </is>
      </c>
      <c r="AN34" s="41" t="n">
        <v>-0.05</v>
      </c>
      <c r="AO34" s="13" t="inlineStr">
        <is>
          <t>FY26 guided low 20s; H1-26 +32% (shop-visit output, spare parts, price). LEAP shop-visit ramp and a young fleet sustain double-digit growth into 2027–28, normalising to high-single digits (assumption).</t>
        </is>
      </c>
    </row>
    <row r="35" ht="15" customHeight="1" s="251">
      <c r="B35" s="156" t="inlineStr">
        <is>
          <t xml:space="preserve">    Internal shop visit revenue growth % (as reported; n/d for derived Q4s)</t>
        </is>
      </c>
      <c r="C35" s="264" t="n">
        <v>0.22</v>
      </c>
      <c r="D35" s="34" t="n"/>
      <c r="E35" s="264" t="n">
        <v>0.12</v>
      </c>
      <c r="F35" s="264" t="n">
        <v>0.02</v>
      </c>
      <c r="G35" s="34" t="n"/>
      <c r="H35" s="264" t="n">
        <v>0.1</v>
      </c>
      <c r="I35" s="264" t="n">
        <v>0.21</v>
      </c>
      <c r="J35" s="264" t="n">
        <v>0.14</v>
      </c>
      <c r="K35" s="264" t="n">
        <v>-0.01</v>
      </c>
      <c r="L35" s="34" t="n"/>
      <c r="M35" s="264" t="n">
        <v>0.03</v>
      </c>
      <c r="N35" s="264" t="n">
        <v>0.11</v>
      </c>
      <c r="O35" s="264" t="n">
        <v>0.22</v>
      </c>
      <c r="P35" s="264" t="n">
        <v>0.33</v>
      </c>
      <c r="Q35" s="34" t="n"/>
      <c r="R35" s="264" t="n">
        <v>0.24</v>
      </c>
      <c r="S35" s="264" t="n">
        <v>0.35</v>
      </c>
      <c r="T35" s="264" t="n">
        <v>0.25</v>
      </c>
      <c r="U35" s="153" t="n"/>
      <c r="V35" s="153" t="n"/>
      <c r="W35" s="153" t="n"/>
      <c r="X35" s="153" t="n"/>
      <c r="Y35" s="153" t="n"/>
      <c r="Z35" s="153" t="n"/>
      <c r="AA35" s="153" t="n"/>
      <c r="AB35" s="153" t="n"/>
      <c r="AC35" s="153" t="n"/>
      <c r="AK35" s="25" t="inlineStr">
        <is>
          <t xml:space="preserve">  2027E</t>
        </is>
      </c>
      <c r="AL35" s="33">
        <f>AM35+$AL$34</f>
        <v>0.17</v>
      </c>
      <c r="AM35" s="42" t="n">
        <v>0.14</v>
      </c>
      <c r="AN35" s="33">
        <f>AM35+$AN$34</f>
        <v>0.09</v>
      </c>
    </row>
    <row r="36" ht="15" customHeight="1" s="251">
      <c r="B36" s="156" t="inlineStr">
        <is>
          <t xml:space="preserve">    CES orders</t>
        </is>
      </c>
      <c r="C36" s="34" t="n"/>
      <c r="D36" s="253" t="n">
        <v>6194</v>
      </c>
      <c r="E36" s="253" t="n">
        <v>6653</v>
      </c>
      <c r="F36" s="253" t="n">
        <v>7603</v>
      </c>
      <c r="G36" s="253" t="n">
        <v>8642</v>
      </c>
      <c r="H36" s="253" t="n">
        <v>29092</v>
      </c>
      <c r="I36" s="253" t="n">
        <v>8315</v>
      </c>
      <c r="J36" s="253" t="n">
        <v>9152</v>
      </c>
      <c r="K36" s="253" t="n">
        <v>9799</v>
      </c>
      <c r="L36" s="253" t="n">
        <v>12947</v>
      </c>
      <c r="M36" s="253" t="n">
        <v>40213</v>
      </c>
      <c r="N36" s="253" t="n">
        <v>9583</v>
      </c>
      <c r="O36" s="253" t="n">
        <v>11690</v>
      </c>
      <c r="P36" s="253" t="n">
        <v>10301</v>
      </c>
      <c r="Q36" s="253" t="n">
        <v>22842</v>
      </c>
      <c r="R36" s="253" t="n">
        <v>54415</v>
      </c>
      <c r="S36" s="253" t="n">
        <v>17331</v>
      </c>
      <c r="T36" s="253" t="n">
        <v>12932</v>
      </c>
      <c r="U36" s="153" t="n"/>
      <c r="V36" s="153" t="n"/>
      <c r="W36" s="153" t="n"/>
      <c r="X36" s="153" t="n"/>
      <c r="Y36" s="153" t="n"/>
      <c r="Z36" s="153" t="n"/>
      <c r="AA36" s="153" t="n"/>
      <c r="AB36" s="153" t="n"/>
      <c r="AC36" s="153" t="n"/>
      <c r="AK36" s="25" t="inlineStr">
        <is>
          <t xml:space="preserve">  2028E</t>
        </is>
      </c>
      <c r="AL36" s="33">
        <f>AM36+$AL$34</f>
        <v>0.14</v>
      </c>
      <c r="AM36" s="42" t="n">
        <v>0.11</v>
      </c>
      <c r="AN36" s="33">
        <f>AM36+$AN$34</f>
        <v>0.06</v>
      </c>
    </row>
    <row r="37" ht="15" customHeight="1" s="251">
      <c r="B37" s="156" t="inlineStr">
        <is>
          <t xml:space="preserve">    CES book-to-bill (orders / revenue)</t>
        </is>
      </c>
      <c r="C37" s="265">
        <f>IF(ISNUMBER(C36),IFERROR(C36/C21,""),"")</f>
      </c>
      <c r="D37" s="265">
        <f>IF(ISNUMBER(D36),IFERROR(D36/D21,""),"")</f>
        <v>1.18386850152905</v>
      </c>
      <c r="E37" s="265">
        <f>IF(ISNUMBER(E36),IFERROR(E36/E21,""),"")</f>
        <v>1.15966533031201</v>
      </c>
      <c r="F37" s="265">
        <f>IF(ISNUMBER(F36),IFERROR(F36/F21,""),"")</f>
        <v>1.17748180269475</v>
      </c>
      <c r="G37" s="265">
        <f>IF(ISNUMBER(G36),IFERROR(G36/G21,""),"")</f>
        <v>1.34422149634469</v>
      </c>
      <c r="H37" s="265">
        <f>IF(ISNUMBER(H36),IFERROR(H36/H21,""),"")</f>
        <v>1.2195346887445</v>
      </c>
      <c r="I37" s="265">
        <f>IF(ISNUMBER(I36),IFERROR(I36/I21,""),"")</f>
        <v>1.36400918635171</v>
      </c>
      <c r="J37" s="265">
        <f>IF(ISNUMBER(J36),IFERROR(J36/J21,""),"")</f>
        <v>1.4924983692107</v>
      </c>
      <c r="K37" s="265">
        <f>IF(ISNUMBER(K36),IFERROR(K36/K21,""),"")</f>
        <v>1.39925746108811</v>
      </c>
      <c r="L37" s="265">
        <f>IF(ISNUMBER(L36),IFERROR(L36/L21,""),"")</f>
        <v>1.69241830065359</v>
      </c>
      <c r="M37" s="265">
        <f>IF(ISNUMBER(M36),IFERROR(M36/M21,""),"")</f>
        <v>1.49596369182694</v>
      </c>
      <c r="N37" s="265">
        <f>IF(ISNUMBER(N36),IFERROR(N36/N21,""),"")</f>
        <v>1.37370986238532</v>
      </c>
      <c r="O37" s="265">
        <f>IF(ISNUMBER(O36),IFERROR(O36/O21,""),"")</f>
        <v>1.4630788485607</v>
      </c>
      <c r="P37" s="265">
        <f>IF(ISNUMBER(P36),IFERROR(P36/P21,""),"")</f>
        <v>1.16015317040207</v>
      </c>
      <c r="Q37" s="265">
        <f>IF(ISNUMBER(Q36),IFERROR(Q36/Q21,""),"")</f>
        <v>2.41280236611387</v>
      </c>
      <c r="R37" s="265">
        <f>IF(ISNUMBER(R36),IFERROR(R36/R21,""),"")</f>
        <v>1.63339737047488</v>
      </c>
      <c r="S37" s="265">
        <f>IF(ISNUMBER(S36),IFERROR(S36/S21,""),"")</f>
        <v>1.94315506222671</v>
      </c>
      <c r="T37" s="265">
        <f>IF(ISNUMBER(T36),IFERROR(T36/T21,""),"")</f>
        <v>1.3289487205837</v>
      </c>
      <c r="U37" s="35" t="n"/>
      <c r="V37" s="35" t="n"/>
      <c r="W37" s="35" t="n"/>
      <c r="X37" s="35" t="n"/>
      <c r="Y37" s="35" t="n"/>
      <c r="Z37" s="35" t="n"/>
      <c r="AA37" s="35" t="n"/>
      <c r="AB37" s="35" t="n"/>
      <c r="AC37" s="153" t="n"/>
      <c r="AK37" s="25" t="inlineStr">
        <is>
          <t xml:space="preserve">  2029E</t>
        </is>
      </c>
      <c r="AL37" s="33">
        <f>AM37+$AL$34</f>
        <v>0.12</v>
      </c>
      <c r="AM37" s="42" t="n">
        <v>0.09</v>
      </c>
      <c r="AN37" s="33">
        <f>AM37+$AN$34</f>
        <v>0.04</v>
      </c>
    </row>
    <row r="38" ht="15" customHeight="1" s="251">
      <c r="B38" s="156" t="inlineStr">
        <is>
          <t xml:space="preserve">    CES remaining performance obligation (period end)</t>
        </is>
      </c>
      <c r="C38" s="34" t="n"/>
      <c r="D38" s="34" t="n"/>
      <c r="E38" s="253" t="n">
        <v>137535</v>
      </c>
      <c r="F38" s="253" t="n">
        <v>137535</v>
      </c>
      <c r="G38" s="34" t="n"/>
      <c r="H38" s="253" t="n">
        <v>137535</v>
      </c>
      <c r="I38" s="253" t="n">
        <v>153644</v>
      </c>
      <c r="J38" s="253" t="n">
        <v>143004</v>
      </c>
      <c r="K38" s="253" t="n">
        <v>148513</v>
      </c>
      <c r="L38" s="34" t="n"/>
      <c r="M38" s="253" t="n">
        <v>153644</v>
      </c>
      <c r="N38" s="253" t="n">
        <v>153752</v>
      </c>
      <c r="O38" s="253" t="n">
        <v>155232</v>
      </c>
      <c r="P38" s="253" t="n">
        <v>157196</v>
      </c>
      <c r="Q38" s="34" t="n"/>
      <c r="R38" s="253" t="n">
        <v>169822</v>
      </c>
      <c r="S38" s="253" t="n">
        <v>181055</v>
      </c>
      <c r="T38" s="253" t="n">
        <v>179900</v>
      </c>
      <c r="U38" s="153" t="n"/>
      <c r="V38" s="153" t="n"/>
      <c r="W38" s="153" t="n"/>
      <c r="X38" s="153" t="n"/>
      <c r="Y38" s="153" t="n"/>
      <c r="Z38" s="153" t="n"/>
      <c r="AA38" s="153" t="n"/>
      <c r="AB38" s="153" t="n"/>
      <c r="AC38" s="153" t="n"/>
      <c r="AK38" s="25" t="inlineStr">
        <is>
          <t xml:space="preserve">  2030E</t>
        </is>
      </c>
      <c r="AL38" s="33">
        <f>AM38+$AL$34</f>
        <v>0.11</v>
      </c>
      <c r="AM38" s="42" t="n">
        <v>0.08</v>
      </c>
      <c r="AN38" s="33">
        <f>AM38+$AN$34</f>
        <v>0.03</v>
      </c>
    </row>
    <row r="39" ht="15" customHeight="1" s="251">
      <c r="AK39" s="25" t="inlineStr">
        <is>
          <t xml:space="preserve">  2031E</t>
        </is>
      </c>
      <c r="AL39" s="33">
        <f>AM39+$AL$34</f>
        <v>0.1</v>
      </c>
      <c r="AM39" s="42" t="n">
        <v>0.07000000000000001</v>
      </c>
      <c r="AN39" s="33">
        <f>AM39+$AN$34</f>
        <v>0.02</v>
      </c>
    </row>
    <row r="40" ht="15" customHeight="1" s="251">
      <c r="B40" s="14" t="inlineStr">
        <is>
          <t>Defense &amp; Propulsion Technologies (DPT) — Defense &amp; Systems (military engines, Aeroderivative from Q1-26) · Propulsion &amp; Additive Technologies (Avio Aero, Unison, Dowty, Colibrium Additive)</t>
        </is>
      </c>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5" t="inlineStr">
        <is>
          <t>DPT — modelling logic</t>
        </is>
      </c>
      <c r="AK40" s="15" t="inlineStr">
        <is>
          <t>CES_EQ (CES equipment revenue y/y)</t>
        </is>
      </c>
      <c r="AL40" s="41" t="n">
        <v>0.04</v>
      </c>
      <c r="AM40" s="21" t="inlineStr">
        <is>
          <t>Δ →</t>
        </is>
      </c>
      <c r="AN40" s="41" t="n">
        <v>-0.08</v>
      </c>
      <c r="AO40" s="13" t="inlineStr">
        <is>
          <t>FY26 guided ~20% (LEAP deliveries +41% in H1-26); airframer rate increases (A320neo / 737 MAX), GE9X entry into service (assumption).</t>
        </is>
      </c>
    </row>
    <row r="41" ht="15" customHeight="1" s="251">
      <c r="B41" s="16" t="inlineStr">
        <is>
          <t xml:space="preserve">  DPT — segment revenue</t>
        </is>
      </c>
      <c r="C41" s="266" t="n">
        <v>7989</v>
      </c>
      <c r="D41" s="266" t="n">
        <v>1966</v>
      </c>
      <c r="E41" s="266" t="n">
        <v>2375</v>
      </c>
      <c r="F41" s="266" t="n">
        <v>2205</v>
      </c>
      <c r="G41" s="266" t="n">
        <v>2415</v>
      </c>
      <c r="H41" s="266" t="n">
        <v>8961</v>
      </c>
      <c r="I41" s="266" t="n">
        <v>2312</v>
      </c>
      <c r="J41" s="266" t="n">
        <v>2401</v>
      </c>
      <c r="K41" s="266" t="n">
        <v>2243</v>
      </c>
      <c r="L41" s="266" t="n">
        <v>2523</v>
      </c>
      <c r="M41" s="266" t="n">
        <v>9478</v>
      </c>
      <c r="N41" s="266" t="n">
        <v>2324</v>
      </c>
      <c r="O41" s="266" t="n">
        <v>2563</v>
      </c>
      <c r="P41" s="266" t="n">
        <v>2828</v>
      </c>
      <c r="Q41" s="266" t="n">
        <v>2839</v>
      </c>
      <c r="R41" s="266" t="n">
        <v>10554</v>
      </c>
      <c r="S41" s="266" t="n">
        <v>3214</v>
      </c>
      <c r="T41" s="266" t="n">
        <v>3443</v>
      </c>
      <c r="U41" s="261">
        <f>($W$44-SUM(S41:T41))*P41/(P41+Q41)</f>
        <v>3410.28118156032</v>
      </c>
      <c r="V41" s="261">
        <f>($W$44-SUM(S41:T41))*Q41/(P41+Q41)</f>
        <v>3423.5460659299</v>
      </c>
      <c r="W41" s="261">
        <f>SUM(S41:V41)</f>
        <v>13490.8272474902</v>
      </c>
      <c r="X41" s="261">
        <f>W41*(1+X42)</f>
        <v>14570.0934272894</v>
      </c>
      <c r="Y41" s="261">
        <f>X41*(1+Y42)</f>
        <v>15589.9999671997</v>
      </c>
      <c r="Z41" s="261">
        <f>Y41*(1+Z42)</f>
        <v>16525.3999652317</v>
      </c>
      <c r="AA41" s="261">
        <f>Z41*(1+AA42)</f>
        <v>17516.9239631456</v>
      </c>
      <c r="AB41" s="261">
        <f>AA41*(1+AB42)</f>
        <v>18392.7701613029</v>
      </c>
      <c r="AC41" s="153" t="inlineStr">
        <is>
          <t>Q3/Q4-26E = (FY26E target − H1-26) × Q3/Q4-25 share of 2H-25. 2027E+: prior year × (1 + scenario growth).</t>
        </is>
      </c>
      <c r="AE41" s="20">
        <f>IFERROR((AB41/W41)^(1/5)-1,"n/m")</f>
        <v>0.0639512093622201</v>
      </c>
      <c r="AF41" s="20">
        <f>IFERROR((R41/C41)^(1/3)-1,"n/m")</f>
        <v>0.0972566532778225</v>
      </c>
      <c r="AG41" s="20">
        <f>IFERROR((R41/H41)^(1/2)-1,"n/m")</f>
        <v>0.0852512787976363</v>
      </c>
      <c r="AH41" s="20">
        <f>IFERROR(W41/R41-1,"n/m")</f>
        <v>0.278266746967048</v>
      </c>
      <c r="AK41" s="25" t="inlineStr">
        <is>
          <t xml:space="preserve">  2027E</t>
        </is>
      </c>
      <c r="AL41" s="33">
        <f>AM41+$AL$40</f>
        <v>0.16</v>
      </c>
      <c r="AM41" s="42" t="n">
        <v>0.12</v>
      </c>
      <c r="AN41" s="33">
        <f>AM41+$AN$40</f>
        <v>0.04</v>
      </c>
    </row>
    <row r="42" ht="15" customHeight="1" s="251">
      <c r="B42" s="22" t="inlineStr">
        <is>
          <t xml:space="preserve">    y/y % (2026: vs the recast prior year)</t>
        </is>
      </c>
      <c r="C42" s="23" t="n"/>
      <c r="D42" s="23" t="n"/>
      <c r="E42" s="23" t="n"/>
      <c r="F42" s="23" t="n"/>
      <c r="G42" s="23" t="n"/>
      <c r="H42" s="255">
        <f>IF(AND(ISNUMBER(H41),ISNUMBER(C41)),IFERROR(H41/C41-1,""),"")</f>
        <v>0.121667292527225</v>
      </c>
      <c r="I42" s="255">
        <f>IF(AND(ISNUMBER(I41),ISNUMBER(D41)),IFERROR(I41/D41-1,""),"")</f>
        <v>0.175991861648016</v>
      </c>
      <c r="J42" s="255">
        <f>IF(AND(ISNUMBER(J41),ISNUMBER(E41)),IFERROR(J41/E41-1,""),"")</f>
        <v>0.0109473684210526</v>
      </c>
      <c r="K42" s="255">
        <f>IF(AND(ISNUMBER(K41),ISNUMBER(F41)),IFERROR(K41/F41-1,""),"")</f>
        <v>0.017233560090703</v>
      </c>
      <c r="L42" s="255">
        <f>IF(AND(ISNUMBER(L41),ISNUMBER(G41)),IFERROR(L41/G41-1,""),"")</f>
        <v>0.0447204968944099</v>
      </c>
      <c r="M42" s="255">
        <f>IF(AND(ISNUMBER(M41),ISNUMBER(H41)),IFERROR(M41/H41-1,""),"")</f>
        <v>0.0576944537440018</v>
      </c>
      <c r="N42" s="255">
        <f>IF(AND(ISNUMBER(N41),ISNUMBER(I41)),IFERROR(N41/I41-1,""),"")</f>
        <v>0.00519031141868509</v>
      </c>
      <c r="O42" s="255">
        <f>IF(AND(ISNUMBER(O41),ISNUMBER(J41)),IFERROR(O41/J41-1,""),"")</f>
        <v>0.0674718867138693</v>
      </c>
      <c r="P42" s="255">
        <f>IF(AND(ISNUMBER(P41),ISNUMBER(K41)),IFERROR(P41/K41-1,""),"")</f>
        <v>0.260811413285778</v>
      </c>
      <c r="Q42" s="255">
        <f>IF(AND(ISNUMBER(Q41),ISNUMBER(L41)),IFERROR(Q41/L41-1,""),"")</f>
        <v>0.125247720967103</v>
      </c>
      <c r="R42" s="255">
        <f>IF(AND(ISNUMBER(R41),ISNUMBER(M41)),IFERROR(R41/M41-1,""),"")</f>
        <v>0.113526060350285</v>
      </c>
      <c r="S42" s="255">
        <f>IF(AND(ISNUMBER(S41),ISNUMBER(N41)),IFERROR(S41/IF(ISNUMBER(N43),N43,N41)-1,""),"")</f>
        <v>0.191252779836916</v>
      </c>
      <c r="T42" s="255">
        <f>IF(AND(ISNUMBER(T41),ISNUMBER(O41)),IFERROR(T41/IF(ISNUMBER(O43),O43,O41)-1,""),"")</f>
        <v>0.156145063801209</v>
      </c>
      <c r="U42" s="256">
        <f>IF(AND(ISNUMBER(U41),ISNUMBER(P41)),IFERROR(U41/P41-1,""),"")</f>
        <v>0.205898579052448</v>
      </c>
      <c r="V42" s="256">
        <f>IF(AND(ISNUMBER(V41),ISNUMBER(Q41)),IFERROR(V41/Q41-1,""),"")</f>
        <v>0.205898579052447</v>
      </c>
      <c r="W42" s="256">
        <f>$W$41/$R$43-1</f>
        <v>0.105805512089362</v>
      </c>
      <c r="X42" s="256">
        <f>CHOOSE(MATCH($AC$2,{"Bull","Base","Bear"},0),$AL$47,$AM$47,$AN$47)</f>
        <v>0.08</v>
      </c>
      <c r="Y42" s="256">
        <f>CHOOSE(MATCH($AC$2,{"Bull","Base","Bear"},0),$AL$48,$AM$48,$AN$48)</f>
        <v>0.07</v>
      </c>
      <c r="Z42" s="256">
        <f>CHOOSE(MATCH($AC$2,{"Bull","Base","Bear"},0),$AL$49,$AM$49,$AN$49)</f>
        <v>0.06</v>
      </c>
      <c r="AA42" s="256">
        <f>CHOOSE(MATCH($AC$2,{"Bull","Base","Bear"},0),$AL$50,$AM$50,$AN$50)</f>
        <v>0.06</v>
      </c>
      <c r="AB42" s="256">
        <f>CHOOSE(MATCH($AC$2,{"Bull","Base","Bear"},0),$AL$51,$AM$51,$AN$51)</f>
        <v>0.05</v>
      </c>
      <c r="AC42" s="153" t="n"/>
      <c r="AK42" s="25" t="inlineStr">
        <is>
          <t xml:space="preserve">  2028E</t>
        </is>
      </c>
      <c r="AL42" s="33">
        <f>AM42+$AL$40</f>
        <v>0.14</v>
      </c>
      <c r="AM42" s="42" t="n">
        <v>0.1</v>
      </c>
      <c r="AN42" s="33">
        <f>AM42+$AN$40</f>
        <v>0.02</v>
      </c>
    </row>
    <row r="43" ht="15" customHeight="1" s="251">
      <c r="B43" s="156" t="inlineStr">
        <is>
          <t xml:space="preserve">    Memo: on the Jan-2026 segment structure (recast)</t>
        </is>
      </c>
      <c r="C43" s="34" t="n"/>
      <c r="D43" s="34" t="n"/>
      <c r="E43" s="34" t="n"/>
      <c r="F43" s="34" t="n"/>
      <c r="G43" s="34" t="n"/>
      <c r="H43" s="34" t="n"/>
      <c r="I43" s="34" t="n"/>
      <c r="J43" s="34" t="n"/>
      <c r="K43" s="34" t="n"/>
      <c r="L43" s="34" t="n"/>
      <c r="M43" s="34" t="n"/>
      <c r="N43" s="253" t="n">
        <v>2698</v>
      </c>
      <c r="O43" s="253" t="n">
        <v>2978</v>
      </c>
      <c r="P43" s="34" t="n"/>
      <c r="Q43" s="34" t="n"/>
      <c r="R43" s="253" t="n">
        <v>12200</v>
      </c>
      <c r="S43" s="34" t="n"/>
      <c r="T43" s="34" t="n"/>
      <c r="U43" s="153" t="n"/>
      <c r="V43" s="153" t="n"/>
      <c r="W43" s="153" t="n"/>
      <c r="X43" s="153" t="n"/>
      <c r="Y43" s="153" t="n"/>
      <c r="Z43" s="153" t="n"/>
      <c r="AA43" s="153" t="n"/>
      <c r="AB43" s="153" t="n"/>
      <c r="AC43" s="153" t="n"/>
      <c r="AK43" s="25" t="inlineStr">
        <is>
          <t xml:space="preserve">  2029E</t>
        </is>
      </c>
      <c r="AL43" s="33">
        <f>AM43+$AL$40</f>
        <v>0.12</v>
      </c>
      <c r="AM43" s="42" t="n">
        <v>0.08</v>
      </c>
      <c r="AN43" s="33">
        <f>AM43+$AN$40</f>
        <v>0</v>
      </c>
    </row>
    <row r="44" ht="15" customHeight="1" s="251">
      <c r="B44" s="156" t="inlineStr">
        <is>
          <t xml:space="preserve">    FY26E target = FY2025 revised × (1 + guided growth + calibration Δ)</t>
        </is>
      </c>
      <c r="C44" s="44" t="n"/>
      <c r="D44" s="44" t="n"/>
      <c r="E44" s="44" t="n"/>
      <c r="F44" s="44" t="n"/>
      <c r="G44" s="44" t="n"/>
      <c r="H44" s="44" t="n"/>
      <c r="I44" s="44" t="n"/>
      <c r="J44" s="44" t="n"/>
      <c r="K44" s="44" t="n"/>
      <c r="L44" s="44" t="n"/>
      <c r="M44" s="44" t="n"/>
      <c r="N44" s="44" t="n"/>
      <c r="O44" s="44" t="n"/>
      <c r="P44" s="44" t="n"/>
      <c r="Q44" s="44" t="n"/>
      <c r="R44" s="44" t="n"/>
      <c r="S44" s="44" t="n"/>
      <c r="T44" s="44" t="n"/>
      <c r="U44" s="35" t="n"/>
      <c r="V44" s="35" t="n"/>
      <c r="W44" s="254">
        <f>$R$43*(1+W45+W119)</f>
        <v>13490.8272474902</v>
      </c>
      <c r="X44" s="35" t="n"/>
      <c r="Y44" s="35" t="n"/>
      <c r="Z44" s="35" t="n"/>
      <c r="AA44" s="35" t="n"/>
      <c r="AB44" s="35" t="n"/>
      <c r="AC44" s="153" t="n"/>
      <c r="AK44" s="25" t="inlineStr">
        <is>
          <t xml:space="preserve">  2030E</t>
        </is>
      </c>
      <c r="AL44" s="33">
        <f>AM44+$AL$40</f>
        <v>0.1</v>
      </c>
      <c r="AM44" s="42" t="n">
        <v>0.06</v>
      </c>
      <c r="AN44" s="33">
        <f>AM44+$AN$40</f>
        <v>-0.02</v>
      </c>
    </row>
    <row r="45" ht="15" customHeight="1" s="251">
      <c r="B45" s="25" t="inlineStr">
        <is>
          <t xml:space="preserve">    FY26 guided growth (scenario end-point; before calibration)</t>
        </is>
      </c>
      <c r="C45" s="36" t="n"/>
      <c r="D45" s="36" t="n"/>
      <c r="E45" s="36" t="n"/>
      <c r="F45" s="36" t="n"/>
      <c r="G45" s="36" t="n"/>
      <c r="H45" s="36" t="n"/>
      <c r="I45" s="36" t="n"/>
      <c r="J45" s="36" t="n"/>
      <c r="K45" s="36" t="n"/>
      <c r="L45" s="36" t="n"/>
      <c r="M45" s="36" t="n"/>
      <c r="N45" s="36" t="n"/>
      <c r="O45" s="36" t="n"/>
      <c r="P45" s="36" t="n"/>
      <c r="Q45" s="36" t="n"/>
      <c r="R45" s="36" t="n"/>
      <c r="S45" s="36" t="n"/>
      <c r="T45" s="36" t="n"/>
      <c r="U45" s="24" t="n"/>
      <c r="V45" s="24" t="n"/>
      <c r="W45" s="256">
        <f>CHOOSE(MATCH($AC$2,{"Bull","Base","Bear"},0),$AL$18,$AM$18,$AN$18)</f>
        <v>0.11</v>
      </c>
      <c r="X45" s="46" t="n"/>
      <c r="Y45" s="46" t="n"/>
      <c r="Z45" s="46" t="n"/>
      <c r="AA45" s="46" t="n"/>
      <c r="AB45" s="46" t="n"/>
      <c r="AC45" s="19" t="n"/>
      <c r="AK45" s="25" t="inlineStr">
        <is>
          <t xml:space="preserve">  2031E</t>
        </is>
      </c>
      <c r="AL45" s="33">
        <f>AM45+$AL$40</f>
        <v>0.09</v>
      </c>
      <c r="AM45" s="42" t="n">
        <v>0.05</v>
      </c>
      <c r="AN45" s="33">
        <f>AM45+$AN$40</f>
        <v>-0.03</v>
      </c>
    </row>
    <row r="46" ht="15" customHeight="1" s="251">
      <c r="B46" s="156" t="inlineStr">
        <is>
          <t xml:space="preserve">    Memo: Defense &amp; Systems revenue</t>
        </is>
      </c>
      <c r="C46" s="253" t="n">
        <v>5426</v>
      </c>
      <c r="D46" s="253" t="n">
        <v>1280</v>
      </c>
      <c r="E46" s="253" t="n">
        <v>1625</v>
      </c>
      <c r="F46" s="253" t="n">
        <v>1455</v>
      </c>
      <c r="G46" s="253" t="n">
        <v>1567</v>
      </c>
      <c r="H46" s="253" t="n">
        <v>5927</v>
      </c>
      <c r="I46" s="253" t="n">
        <v>1495</v>
      </c>
      <c r="J46" s="253" t="n">
        <v>1529</v>
      </c>
      <c r="K46" s="253" t="n">
        <v>1428</v>
      </c>
      <c r="L46" s="253" t="n">
        <v>1657</v>
      </c>
      <c r="M46" s="253" t="n">
        <v>6109</v>
      </c>
      <c r="N46" s="253" t="n">
        <v>1497</v>
      </c>
      <c r="O46" s="253" t="n">
        <v>1614</v>
      </c>
      <c r="P46" s="253" t="n">
        <v>1777</v>
      </c>
      <c r="Q46" s="253" t="n">
        <v>1687</v>
      </c>
      <c r="R46" s="253" t="n">
        <v>6574</v>
      </c>
      <c r="S46" s="253" t="n">
        <v>2090</v>
      </c>
      <c r="T46" s="253" t="n">
        <v>2213</v>
      </c>
      <c r="U46" s="153" t="n"/>
      <c r="V46" s="153" t="n"/>
      <c r="W46" s="153" t="n"/>
      <c r="X46" s="153" t="n"/>
      <c r="Y46" s="153" t="n"/>
      <c r="Z46" s="153" t="n"/>
      <c r="AA46" s="153" t="n"/>
      <c r="AB46" s="153" t="n"/>
      <c r="AC46" s="153" t="n"/>
      <c r="AK46" s="15" t="inlineStr">
        <is>
          <t>DPT_G (DPT revenue y/y)</t>
        </is>
      </c>
      <c r="AL46" s="41" t="n">
        <v>0.03</v>
      </c>
      <c r="AM46" s="21" t="inlineStr">
        <is>
          <t>Δ →</t>
        </is>
      </c>
      <c r="AN46" s="41" t="n">
        <v>-0.04</v>
      </c>
      <c r="AO46" s="13" t="inlineStr">
        <is>
          <t>FY26 guided LDD; defense budgets, F110 / T408 / XA102 programs, Avio Aero; P&amp;AT growth (assumption).</t>
        </is>
      </c>
    </row>
    <row r="47" ht="15" customHeight="1" s="251">
      <c r="B47" s="156" t="inlineStr">
        <is>
          <t xml:space="preserve">    Memo: Propulsion &amp; Additive Technologies revenue</t>
        </is>
      </c>
      <c r="C47" s="253" t="n">
        <v>2563</v>
      </c>
      <c r="D47" s="253" t="n">
        <v>686</v>
      </c>
      <c r="E47" s="253" t="n">
        <v>750</v>
      </c>
      <c r="F47" s="253" t="n">
        <v>750</v>
      </c>
      <c r="G47" s="253" t="n">
        <v>848</v>
      </c>
      <c r="H47" s="253" t="n">
        <v>3034</v>
      </c>
      <c r="I47" s="253" t="n">
        <v>817</v>
      </c>
      <c r="J47" s="253" t="n">
        <v>871</v>
      </c>
      <c r="K47" s="253" t="n">
        <v>815</v>
      </c>
      <c r="L47" s="253" t="n">
        <v>867</v>
      </c>
      <c r="M47" s="253" t="n">
        <v>3370</v>
      </c>
      <c r="N47" s="253" t="n">
        <v>828</v>
      </c>
      <c r="O47" s="253" t="n">
        <v>949</v>
      </c>
      <c r="P47" s="253" t="n">
        <v>1051</v>
      </c>
      <c r="Q47" s="253" t="n">
        <v>1152</v>
      </c>
      <c r="R47" s="253" t="n">
        <v>3980</v>
      </c>
      <c r="S47" s="253" t="n">
        <v>1124</v>
      </c>
      <c r="T47" s="253" t="n">
        <v>1230</v>
      </c>
      <c r="U47" s="153" t="n"/>
      <c r="V47" s="153" t="n"/>
      <c r="W47" s="153" t="n"/>
      <c r="X47" s="153" t="n"/>
      <c r="Y47" s="153" t="n"/>
      <c r="Z47" s="153" t="n"/>
      <c r="AA47" s="153" t="n"/>
      <c r="AB47" s="153" t="n"/>
      <c r="AC47" s="153" t="n"/>
      <c r="AK47" s="25" t="inlineStr">
        <is>
          <t xml:space="preserve">  2027E</t>
        </is>
      </c>
      <c r="AL47" s="33">
        <f>AM47+$AL$46</f>
        <v>0.11</v>
      </c>
      <c r="AM47" s="42" t="n">
        <v>0.08</v>
      </c>
      <c r="AN47" s="33">
        <f>AM47+$AN$46</f>
        <v>0.04</v>
      </c>
    </row>
    <row r="48" ht="15" customHeight="1" s="251">
      <c r="B48" s="156" t="inlineStr">
        <is>
          <t xml:space="preserve">    Memo: DPT equipment revenue</t>
        </is>
      </c>
      <c r="C48" s="253" t="n">
        <v>3405</v>
      </c>
      <c r="D48" s="253" t="n">
        <v>857</v>
      </c>
      <c r="E48" s="253" t="n">
        <v>1137</v>
      </c>
      <c r="F48" s="253" t="n">
        <v>878</v>
      </c>
      <c r="G48" s="253" t="n">
        <v>1129</v>
      </c>
      <c r="H48" s="253" t="n">
        <v>4000</v>
      </c>
      <c r="I48" s="253" t="n">
        <v>1009</v>
      </c>
      <c r="J48" s="253" t="n">
        <v>1071</v>
      </c>
      <c r="K48" s="253" t="n">
        <v>936</v>
      </c>
      <c r="L48" s="253" t="n">
        <v>1191</v>
      </c>
      <c r="M48" s="253" t="n">
        <v>4208</v>
      </c>
      <c r="N48" s="253" t="n">
        <v>1050</v>
      </c>
      <c r="O48" s="253" t="n">
        <v>1233</v>
      </c>
      <c r="P48" s="253" t="n">
        <v>1434</v>
      </c>
      <c r="Q48" s="253" t="n">
        <v>1411</v>
      </c>
      <c r="R48" s="253" t="n">
        <v>5128</v>
      </c>
      <c r="S48" s="253" t="n">
        <v>1605</v>
      </c>
      <c r="T48" s="253" t="n">
        <v>1744</v>
      </c>
      <c r="U48" s="153" t="n"/>
      <c r="V48" s="153" t="n"/>
      <c r="W48" s="153" t="n"/>
      <c r="X48" s="153" t="n"/>
      <c r="Y48" s="153" t="n"/>
      <c r="Z48" s="153" t="n"/>
      <c r="AA48" s="153" t="n"/>
      <c r="AB48" s="153" t="n"/>
      <c r="AC48" s="153" t="n"/>
      <c r="AK48" s="25" t="inlineStr">
        <is>
          <t xml:space="preserve">  2028E</t>
        </is>
      </c>
      <c r="AL48" s="33">
        <f>AM48+$AL$46</f>
        <v>0.1</v>
      </c>
      <c r="AM48" s="42" t="n">
        <v>0.07000000000000001</v>
      </c>
      <c r="AN48" s="33">
        <f>AM48+$AN$46</f>
        <v>0.03</v>
      </c>
    </row>
    <row r="49" ht="15" customHeight="1" s="251">
      <c r="B49" s="156" t="inlineStr">
        <is>
          <t xml:space="preserve">    Memo: DPT services revenue</t>
        </is>
      </c>
      <c r="C49" s="253" t="n">
        <v>4584</v>
      </c>
      <c r="D49" s="253" t="n">
        <v>1109</v>
      </c>
      <c r="E49" s="253" t="n">
        <v>1238</v>
      </c>
      <c r="F49" s="253" t="n">
        <v>1327</v>
      </c>
      <c r="G49" s="253" t="n">
        <v>1287</v>
      </c>
      <c r="H49" s="253" t="n">
        <v>4961</v>
      </c>
      <c r="I49" s="253" t="n">
        <v>1303</v>
      </c>
      <c r="J49" s="253" t="n">
        <v>1329</v>
      </c>
      <c r="K49" s="253" t="n">
        <v>1306</v>
      </c>
      <c r="L49" s="253" t="n">
        <v>1331</v>
      </c>
      <c r="M49" s="253" t="n">
        <v>5270</v>
      </c>
      <c r="N49" s="253" t="n">
        <v>1274</v>
      </c>
      <c r="O49" s="253" t="n">
        <v>1329</v>
      </c>
      <c r="P49" s="253" t="n">
        <v>1394</v>
      </c>
      <c r="Q49" s="253" t="n">
        <v>1428</v>
      </c>
      <c r="R49" s="253" t="n">
        <v>5426</v>
      </c>
      <c r="S49" s="253" t="n">
        <v>1608</v>
      </c>
      <c r="T49" s="253" t="n">
        <v>1699</v>
      </c>
      <c r="U49" s="153" t="n"/>
      <c r="V49" s="153" t="n"/>
      <c r="W49" s="153" t="n"/>
      <c r="X49" s="153" t="n"/>
      <c r="Y49" s="153" t="n"/>
      <c r="Z49" s="153" t="n"/>
      <c r="AA49" s="153" t="n"/>
      <c r="AB49" s="153" t="n"/>
      <c r="AC49" s="153" t="n"/>
      <c r="AK49" s="25" t="inlineStr">
        <is>
          <t xml:space="preserve">  2029E</t>
        </is>
      </c>
      <c r="AL49" s="33">
        <f>AM49+$AL$46</f>
        <v>0.09</v>
      </c>
      <c r="AM49" s="42" t="n">
        <v>0.06</v>
      </c>
      <c r="AN49" s="33">
        <f>AM49+$AN$46</f>
        <v>0.02</v>
      </c>
    </row>
    <row r="50" ht="15" customHeight="1" s="251">
      <c r="B50" s="57" t="inlineStr">
        <is>
          <t xml:space="preserve">  Check: D&amp;S + P&amp;AT vs DPT revenue (should be 0)</t>
        </is>
      </c>
      <c r="C50" s="211">
        <f>IF(ISNUMBER(C46),IF(ABS(C46+C47-C41)&lt;=1.01,0,ROUND(C46+C47-C41,0)),"")</f>
        <v>0</v>
      </c>
      <c r="D50" s="211">
        <f>IF(ISNUMBER(D46),IF(ABS(D46+D47-D41)&lt;=1.01,0,ROUND(D46+D47-D41,0)),"")</f>
        <v>0</v>
      </c>
      <c r="E50" s="211">
        <f>IF(ISNUMBER(E46),IF(ABS(E46+E47-E41)&lt;=1.01,0,ROUND(E46+E47-E41,0)),"")</f>
        <v>0</v>
      </c>
      <c r="F50" s="211">
        <f>IF(ISNUMBER(F46),IF(ABS(F46+F47-F41)&lt;=1.01,0,ROUND(F46+F47-F41,0)),"")</f>
        <v>0</v>
      </c>
      <c r="G50" s="211">
        <f>IF(ISNUMBER(G46),IF(ABS(G46+G47-G41)&lt;=1.01,0,ROUND(G46+G47-G41,0)),"")</f>
        <v>0</v>
      </c>
      <c r="H50" s="211">
        <f>IF(ISNUMBER(H46),IF(ABS(H46+H47-H41)&lt;=1.01,0,ROUND(H46+H47-H41,0)),"")</f>
        <v>0</v>
      </c>
      <c r="I50" s="211">
        <f>IF(ISNUMBER(I46),IF(ABS(I46+I47-I41)&lt;=1.01,0,ROUND(I46+I47-I41,0)),"")</f>
        <v>0</v>
      </c>
      <c r="J50" s="211">
        <f>IF(ISNUMBER(J46),IF(ABS(J46+J47-J41)&lt;=1.01,0,ROUND(J46+J47-J41,0)),"")</f>
        <v>0</v>
      </c>
      <c r="K50" s="211">
        <f>IF(ISNUMBER(K46),IF(ABS(K46+K47-K41)&lt;=1.01,0,ROUND(K46+K47-K41,0)),"")</f>
        <v>0</v>
      </c>
      <c r="L50" s="211">
        <f>IF(ISNUMBER(L46),IF(ABS(L46+L47-L41)&lt;=1.01,0,ROUND(L46+L47-L41,0)),"")</f>
        <v>0</v>
      </c>
      <c r="M50" s="211">
        <f>IF(ISNUMBER(M46),IF(ABS(M46+M47-M41)&lt;=1.01,0,ROUND(M46+M47-M41,0)),"")</f>
        <v>0</v>
      </c>
      <c r="N50" s="211">
        <f>IF(ISNUMBER(N46),IF(ABS(N46+N47-N41)&lt;=1.01,0,ROUND(N46+N47-N41,0)),"")</f>
        <v>0</v>
      </c>
      <c r="O50" s="211">
        <f>IF(ISNUMBER(O46),IF(ABS(O46+O47-O41)&lt;=1.01,0,ROUND(O46+O47-O41,0)),"")</f>
        <v>0</v>
      </c>
      <c r="P50" s="211">
        <f>IF(ISNUMBER(P46),IF(ABS(P46+P47-P41)&lt;=1.01,0,ROUND(P46+P47-P41,0)),"")</f>
        <v>0</v>
      </c>
      <c r="Q50" s="211">
        <f>IF(ISNUMBER(Q46),IF(ABS(Q46+Q47-Q41)&lt;=1.01,0,ROUND(Q46+Q47-Q41,0)),"")</f>
        <v>0</v>
      </c>
      <c r="R50" s="211">
        <f>IF(ISNUMBER(R46),IF(ABS(R46+R47-R41)&lt;=1.01,0,ROUND(R46+R47-R41,0)),"")</f>
        <v>0</v>
      </c>
      <c r="S50" s="211">
        <f>IF(ISNUMBER(S46),IF(ABS(S46+S47-S41)&lt;=1.01,0,ROUND(S46+S47-S41,0)),"")</f>
        <v>0</v>
      </c>
      <c r="T50" s="211">
        <f>IF(ISNUMBER(T46),IF(ABS(T46+T47-T41)&lt;=1.01,0,ROUND(T46+T47-T41,0)),"")</f>
        <v>0</v>
      </c>
      <c r="U50" s="153" t="n"/>
      <c r="V50" s="153" t="n"/>
      <c r="W50" s="153" t="n"/>
      <c r="X50" s="153" t="n"/>
      <c r="Y50" s="153" t="n"/>
      <c r="Z50" s="153" t="n"/>
      <c r="AA50" s="153" t="n"/>
      <c r="AB50" s="153" t="n"/>
      <c r="AC50" s="153" t="n"/>
      <c r="AK50" s="25" t="inlineStr">
        <is>
          <t xml:space="preserve">  2030E</t>
        </is>
      </c>
      <c r="AL50" s="33">
        <f>AM50+$AL$46</f>
        <v>0.09</v>
      </c>
      <c r="AM50" s="42" t="n">
        <v>0.06</v>
      </c>
      <c r="AN50" s="33">
        <f>AM50+$AN$46</f>
        <v>0.02</v>
      </c>
    </row>
    <row r="51" ht="15" customHeight="1" s="251">
      <c r="B51" s="25" t="inlineStr">
        <is>
          <t xml:space="preserve">  DPT segment operating profit</t>
        </is>
      </c>
      <c r="C51" s="253" t="n">
        <v>976</v>
      </c>
      <c r="D51" s="253" t="n">
        <v>201</v>
      </c>
      <c r="E51" s="253" t="n">
        <v>201</v>
      </c>
      <c r="F51" s="253" t="n">
        <v>269</v>
      </c>
      <c r="G51" s="253" t="n">
        <v>237</v>
      </c>
      <c r="H51" s="253" t="n">
        <v>908</v>
      </c>
      <c r="I51" s="253" t="n">
        <v>256</v>
      </c>
      <c r="J51" s="253" t="n">
        <v>344</v>
      </c>
      <c r="K51" s="253" t="n">
        <v>220</v>
      </c>
      <c r="L51" s="253" t="n">
        <v>241</v>
      </c>
      <c r="M51" s="253" t="n">
        <v>1061</v>
      </c>
      <c r="N51" s="253" t="n">
        <v>296</v>
      </c>
      <c r="O51" s="253" t="n">
        <v>362</v>
      </c>
      <c r="P51" s="253" t="n">
        <v>386</v>
      </c>
      <c r="Q51" s="253" t="n">
        <v>252</v>
      </c>
      <c r="R51" s="253" t="n">
        <v>1296</v>
      </c>
      <c r="S51" s="253" t="n">
        <v>379</v>
      </c>
      <c r="T51" s="253" t="n">
        <v>475</v>
      </c>
      <c r="U51" s="254">
        <f>U41*U52</f>
        <v>390.868319732113</v>
      </c>
      <c r="V51" s="254">
        <f>V41*V52</f>
        <v>392.388670339275</v>
      </c>
      <c r="W51" s="254">
        <f>SUM(S51:V51)</f>
        <v>1637.25699007139</v>
      </c>
      <c r="X51" s="254">
        <f>X41*X52</f>
        <v>1894.11214554763</v>
      </c>
      <c r="Y51" s="254">
        <f>Y41*Y52</f>
        <v>2104.64999557196</v>
      </c>
      <c r="Z51" s="254">
        <f>Z41*Z52</f>
        <v>2313.55599513244</v>
      </c>
      <c r="AA51" s="254">
        <f>AA41*AA52</f>
        <v>2539.95397465611</v>
      </c>
      <c r="AB51" s="254">
        <f>AB41*AB52</f>
        <v>2758.91552419543</v>
      </c>
      <c r="AC51" s="19" t="n"/>
      <c r="AE51" s="20">
        <f>IFERROR((AB51/W51)^(1/5)-1,"n/m")</f>
        <v>0.110003402237671</v>
      </c>
      <c r="AF51" s="20">
        <f>IFERROR((R51/C51)^(1/3)-1,"n/m")</f>
        <v>0.0991367476382932</v>
      </c>
      <c r="AG51" s="20">
        <f>IFERROR((R51/H51)^(1/2)-1,"n/m")</f>
        <v>0.19470196087995</v>
      </c>
      <c r="AH51" s="20">
        <f>IFERROR(W51/R51-1,"n/m")</f>
        <v>0.263315578758787</v>
      </c>
      <c r="AK51" s="25" t="inlineStr">
        <is>
          <t xml:space="preserve">  2031E</t>
        </is>
      </c>
      <c r="AL51" s="33">
        <f>AM51+$AL$46</f>
        <v>0.08</v>
      </c>
      <c r="AM51" s="42" t="n">
        <v>0.05</v>
      </c>
      <c r="AN51" s="33">
        <f>AM51+$AN$46</f>
        <v>0.01</v>
      </c>
    </row>
    <row r="52" ht="15" customHeight="1" s="251">
      <c r="B52" s="25" t="inlineStr">
        <is>
          <t xml:space="preserve">  DPT operating profit margin %</t>
        </is>
      </c>
      <c r="C52" s="215">
        <f>IF(AND(ISNUMBER(C51),ISNUMBER(C41)),IFERROR(C51/C41,""),"")</f>
        <v>0.122167980973839</v>
      </c>
      <c r="D52" s="215">
        <f>IF(AND(ISNUMBER(D51),ISNUMBER(D41)),IFERROR(D51/D41,""),"")</f>
        <v>0.102238046795524</v>
      </c>
      <c r="E52" s="215">
        <f>IF(AND(ISNUMBER(E51),ISNUMBER(E41)),IFERROR(E51/E41,""),"")</f>
        <v>0.0846315789473684</v>
      </c>
      <c r="F52" s="215">
        <f>IF(AND(ISNUMBER(F51),ISNUMBER(F41)),IFERROR(F51/F41,""),"")</f>
        <v>0.121995464852608</v>
      </c>
      <c r="G52" s="215">
        <f>IF(AND(ISNUMBER(G51),ISNUMBER(G41)),IFERROR(G51/G41,""),"")</f>
        <v>0.0981366459627329</v>
      </c>
      <c r="H52" s="215">
        <f>IF(AND(ISNUMBER(H51),ISNUMBER(H41)),IFERROR(H51/H41,""),"")</f>
        <v>0.101327976788305</v>
      </c>
      <c r="I52" s="215">
        <f>IF(AND(ISNUMBER(I51),ISNUMBER(I41)),IFERROR(I51/I41,""),"")</f>
        <v>0.110726643598616</v>
      </c>
      <c r="J52" s="215">
        <f>IF(AND(ISNUMBER(J51),ISNUMBER(J41)),IFERROR(J51/J41,""),"")</f>
        <v>0.143273635985006</v>
      </c>
      <c r="K52" s="215">
        <f>IF(AND(ISNUMBER(K51),ISNUMBER(K41)),IFERROR(K51/K41,""),"")</f>
        <v>0.0980829246544806</v>
      </c>
      <c r="L52" s="215">
        <f>IF(AND(ISNUMBER(L51),ISNUMBER(L41)),IFERROR(L51/L41,""),"")</f>
        <v>0.095521204914784</v>
      </c>
      <c r="M52" s="215">
        <f>IF(AND(ISNUMBER(M51),ISNUMBER(M41)),IFERROR(M51/M41,""),"")</f>
        <v>0.111943447984807</v>
      </c>
      <c r="N52" s="215">
        <f>IF(AND(ISNUMBER(N51),ISNUMBER(N41)),IFERROR(N51/N41,""),"")</f>
        <v>0.12736660929432</v>
      </c>
      <c r="O52" s="215">
        <f>IF(AND(ISNUMBER(O51),ISNUMBER(O41)),IFERROR(O51/O41,""),"")</f>
        <v>0.141240733515412</v>
      </c>
      <c r="P52" s="215">
        <f>IF(AND(ISNUMBER(P51),ISNUMBER(P41)),IFERROR(P51/P41,""),"")</f>
        <v>0.136492220650637</v>
      </c>
      <c r="Q52" s="215">
        <f>IF(AND(ISNUMBER(Q51),ISNUMBER(Q41)),IFERROR(Q51/Q41,""),"")</f>
        <v>0.0887636491722438</v>
      </c>
      <c r="R52" s="215">
        <f>IF(AND(ISNUMBER(R51),ISNUMBER(R41)),IFERROR(R51/R41,""),"")</f>
        <v>0.122797043774872</v>
      </c>
      <c r="S52" s="215">
        <f>IF(AND(ISNUMBER(S51),ISNUMBER(S41)),IFERROR(S51/S41,""),"")</f>
        <v>0.117921593030492</v>
      </c>
      <c r="T52" s="215">
        <f>IF(AND(ISNUMBER(T51),ISNUMBER(T41)),IFERROR(T51/T41,""),"")</f>
        <v>0.137961080453093</v>
      </c>
      <c r="U52" s="256">
        <f>$W$53+$W$123</f>
        <v>0.114614689793197</v>
      </c>
      <c r="V52" s="256">
        <f>$W$53+$W$123</f>
        <v>0.114614689793197</v>
      </c>
      <c r="W52" s="256">
        <f>IF(AND(ISNUMBER(W51),ISNUMBER(W41)),IFERROR(W51/W41,""),"")</f>
        <v>0.121360755722076</v>
      </c>
      <c r="X52" s="256">
        <f>CHOOSE(MATCH($AC$2,{"Bull","Base","Bear"},0),$AL$59,$AM$59,$AN$59)</f>
        <v>0.13</v>
      </c>
      <c r="Y52" s="256">
        <f>CHOOSE(MATCH($AC$2,{"Bull","Base","Bear"},0),$AL$60,$AM$60,$AN$60)</f>
        <v>0.135</v>
      </c>
      <c r="Z52" s="256">
        <f>CHOOSE(MATCH($AC$2,{"Bull","Base","Bear"},0),$AL$61,$AM$61,$AN$61)</f>
        <v>0.14</v>
      </c>
      <c r="AA52" s="256">
        <f>CHOOSE(MATCH($AC$2,{"Bull","Base","Bear"},0),$AL$62,$AM$62,$AN$62)</f>
        <v>0.145</v>
      </c>
      <c r="AB52" s="256">
        <f>CHOOSE(MATCH($AC$2,{"Bull","Base","Bear"},0),$AL$63,$AM$63,$AN$63)</f>
        <v>0.15</v>
      </c>
      <c r="AC52" s="153" t="n"/>
      <c r="AE52" s="37">
        <f>IFERROR(AVERAGE(X52,Y52,Z52,AA52,AB52),"n/m")</f>
        <v>0.14</v>
      </c>
      <c r="AF52" s="37">
        <f>IFERROR(AVERAGE(H52,M52,R52),"n/m")</f>
        <v>0.112022822849328</v>
      </c>
      <c r="AG52" s="37">
        <f>IFERROR(AVERAGE(M52,R52),"n/m")</f>
        <v>0.11737024587984</v>
      </c>
      <c r="AH52" s="37">
        <f>IFERROR(W52+0,"n/m")</f>
        <v>0.121360755722076</v>
      </c>
      <c r="AK52" s="15" t="inlineStr">
        <is>
          <t>CES_M (CES operating profit margin)</t>
        </is>
      </c>
      <c r="AL52" s="41" t="n">
        <v>0.01</v>
      </c>
      <c r="AM52" s="21" t="inlineStr">
        <is>
          <t>Δ →</t>
        </is>
      </c>
      <c r="AN52" s="41" t="n">
        <v>-0.02</v>
      </c>
      <c r="AO52" s="13" t="inlineStr">
        <is>
          <t>FY2025 26.6% (as reported; ~27% revised), H1-26 26.9%, FY26 guide ~27%; services mix supports expansion while LEAP / GE9X install engines dilute (assumption).</t>
        </is>
      </c>
    </row>
    <row r="53" ht="15" customHeight="1" s="251">
      <c r="B53" s="25" t="inlineStr">
        <is>
          <t xml:space="preserve">  2H-26E margin before calibration = (DPT operating-profit guide − H1-26) ÷ 2H-26E revenue</t>
        </is>
      </c>
      <c r="C53" s="36" t="n"/>
      <c r="D53" s="36" t="n"/>
      <c r="E53" s="36" t="n"/>
      <c r="F53" s="36" t="n"/>
      <c r="G53" s="36" t="n"/>
      <c r="H53" s="36" t="n"/>
      <c r="I53" s="36" t="n"/>
      <c r="J53" s="36" t="n"/>
      <c r="K53" s="36" t="n"/>
      <c r="L53" s="36" t="n"/>
      <c r="M53" s="36" t="n"/>
      <c r="N53" s="36" t="n"/>
      <c r="O53" s="36" t="n"/>
      <c r="P53" s="36" t="n"/>
      <c r="Q53" s="36" t="n"/>
      <c r="R53" s="36" t="n"/>
      <c r="S53" s="36" t="n"/>
      <c r="T53" s="36" t="n"/>
      <c r="U53" s="24" t="n"/>
      <c r="V53" s="24" t="n"/>
      <c r="W53" s="256">
        <f>(CHOOSE(MATCH($AC$2,{"Bull","Base","Bear"},0),$AL$20,$AM$20,$AN$20)-SUM(S51:T51))/SUM(U41:V41)</f>
        <v>0.11647938573401</v>
      </c>
      <c r="X53" s="46" t="n"/>
      <c r="Y53" s="46" t="n"/>
      <c r="Z53" s="46" t="n"/>
      <c r="AA53" s="46" t="n"/>
      <c r="AB53" s="46" t="n"/>
      <c r="AC53" s="19" t="n"/>
      <c r="AK53" s="25" t="inlineStr">
        <is>
          <t xml:space="preserve">  2027E</t>
        </is>
      </c>
      <c r="AL53" s="33">
        <f>AM53+$AL$52</f>
        <v>0.278</v>
      </c>
      <c r="AM53" s="42" t="n">
        <v>0.268</v>
      </c>
      <c r="AN53" s="33">
        <f>AM53+$AN$52</f>
        <v>0.248</v>
      </c>
    </row>
    <row r="54" collapsed="1" ht="15" customHeight="1" s="251">
      <c r="B54" s="156" t="inlineStr">
        <is>
          <t xml:space="preserve">  Memo: DPT operating profit on the Jan-2026 structure (recast)</t>
        </is>
      </c>
      <c r="C54" s="34" t="n"/>
      <c r="D54" s="34" t="n"/>
      <c r="E54" s="34" t="n"/>
      <c r="F54" s="34" t="n"/>
      <c r="G54" s="34" t="n"/>
      <c r="H54" s="34" t="n"/>
      <c r="I54" s="34" t="n"/>
      <c r="J54" s="34" t="n"/>
      <c r="K54" s="34" t="n"/>
      <c r="L54" s="34" t="n"/>
      <c r="M54" s="34" t="n"/>
      <c r="N54" s="253" t="n">
        <v>325</v>
      </c>
      <c r="O54" s="253" t="n">
        <v>403</v>
      </c>
      <c r="P54" s="34" t="n"/>
      <c r="Q54" s="34" t="n"/>
      <c r="R54" s="253" t="n">
        <v>1500</v>
      </c>
      <c r="S54" s="34" t="n"/>
      <c r="T54" s="34" t="n"/>
      <c r="U54" s="153" t="n"/>
      <c r="V54" s="153" t="n"/>
      <c r="W54" s="153" t="n"/>
      <c r="X54" s="153" t="n"/>
      <c r="Y54" s="153" t="n"/>
      <c r="Z54" s="153" t="n"/>
      <c r="AA54" s="153" t="n"/>
      <c r="AB54" s="153" t="n"/>
      <c r="AC54" s="153" t="n"/>
      <c r="AK54" s="25" t="inlineStr">
        <is>
          <t xml:space="preserve">  2028E</t>
        </is>
      </c>
      <c r="AL54" s="33">
        <f>AM54+$AL$52</f>
        <v>0.282</v>
      </c>
      <c r="AM54" s="42" t="n">
        <v>0.272</v>
      </c>
      <c r="AN54" s="33">
        <f>AM54+$AN$52</f>
        <v>0.252</v>
      </c>
    </row>
    <row r="55" ht="15" customHeight="1" s="251">
      <c r="B55" s="25" t="inlineStr">
        <is>
          <t xml:space="preserve">  Incremental margin (Δ profit / Δ revenue)</t>
        </is>
      </c>
      <c r="C55" s="36" t="n"/>
      <c r="D55" s="36" t="n"/>
      <c r="E55" s="36" t="n"/>
      <c r="F55" s="36" t="n"/>
      <c r="G55" s="36" t="n"/>
      <c r="H55" s="215">
        <f>IFERROR((H51-C51)/(H41-C41),"")</f>
        <v>-0.0699588477366255</v>
      </c>
      <c r="I55" s="215">
        <f>IFERROR((I51-D51)/(I41-D41),"")</f>
        <v>0.158959537572254</v>
      </c>
      <c r="J55" s="215">
        <f>IFERROR((J51-E51)/(J41-E41),"")</f>
        <v>5.5</v>
      </c>
      <c r="K55" s="215">
        <f>IFERROR((K51-F51)/(K41-F41),"")</f>
        <v>-1.28947368421053</v>
      </c>
      <c r="L55" s="215">
        <f>IFERROR((L51-G51)/(L41-G41),"")</f>
        <v>0.037037037037037</v>
      </c>
      <c r="M55" s="215">
        <f>IFERROR((M51-H51)/(M41-H41),"")</f>
        <v>0.295938104448743</v>
      </c>
      <c r="N55" s="215">
        <f>IFERROR((N51-I51)/(N41-I41),"")</f>
        <v>3.33333333333333</v>
      </c>
      <c r="O55" s="215">
        <f>IFERROR((O51-J51)/(O41-J41),"")</f>
        <v>0.111111111111111</v>
      </c>
      <c r="P55" s="215">
        <f>IFERROR((P51-K51)/(P41-K41),"")</f>
        <v>0.283760683760684</v>
      </c>
      <c r="Q55" s="215">
        <f>IFERROR((Q51-L51)/(Q41-L41),"")</f>
        <v>0.0348101265822785</v>
      </c>
      <c r="R55" s="215">
        <f>IFERROR((R51-M51)/(R41-M41),"")</f>
        <v>0.218401486988848</v>
      </c>
      <c r="S55" s="215">
        <f>IFERROR((S51-N51)/(S41-N41),"")</f>
        <v>0.0932584269662921</v>
      </c>
      <c r="T55" s="215">
        <f>IFERROR((T51-O51)/(T41-O41),"")</f>
        <v>0.128409090909091</v>
      </c>
      <c r="U55" s="256">
        <f>IFERROR((U51-P51)/(U41-P41),"")</f>
        <v>0.00836077119831939</v>
      </c>
      <c r="V55" s="256">
        <f>IFERROR((V51-Q51)/(V41-Q41),"")</f>
        <v>0.240166991999071</v>
      </c>
      <c r="W55" s="256">
        <f>IFERROR((W51-R51)/(W41-R41),"")</f>
        <v>0.116199204554174</v>
      </c>
      <c r="X55" s="256">
        <f>IFERROR((X51-W51)/(X41-W41),"")</f>
        <v>0.23799055347405</v>
      </c>
      <c r="Y55" s="256">
        <f>IFERROR((Y51-X51)/(Y41-X41),"")</f>
        <v>0.206428571428571</v>
      </c>
      <c r="Z55" s="256">
        <f>IFERROR((Z51-Y51)/(Z41-Y41),"")</f>
        <v>0.223333333333334</v>
      </c>
      <c r="AA55" s="256">
        <f>IFERROR((AA51-Z51)/(AA41-Z41),"")</f>
        <v>0.228333333333333</v>
      </c>
      <c r="AB55" s="256">
        <f>IFERROR((AB51-AA51)/(AB41-AA41),"")</f>
        <v>0.25</v>
      </c>
      <c r="AC55" s="153" t="n"/>
      <c r="AK55" s="25" t="inlineStr">
        <is>
          <t xml:space="preserve">  2029E</t>
        </is>
      </c>
      <c r="AL55" s="33">
        <f>AM55+$AL$52</f>
        <v>0.286</v>
      </c>
      <c r="AM55" s="42" t="n">
        <v>0.276</v>
      </c>
      <c r="AN55" s="33">
        <f>AM55+$AN$52</f>
        <v>0.256</v>
      </c>
    </row>
    <row r="56" ht="15" customHeight="1" s="251">
      <c r="B56" s="156" t="inlineStr">
        <is>
          <t xml:space="preserve">    Defense engine deliveries (units; incl. Aeroderivative from Q1-26)</t>
        </is>
      </c>
      <c r="C56" s="253" t="n">
        <v>632</v>
      </c>
      <c r="D56" s="253" t="n">
        <v>80</v>
      </c>
      <c r="E56" s="253" t="n">
        <v>228</v>
      </c>
      <c r="F56" s="253" t="n">
        <v>95</v>
      </c>
      <c r="G56" s="253" t="n">
        <v>153</v>
      </c>
      <c r="H56" s="253" t="n">
        <v>556</v>
      </c>
      <c r="I56" s="253" t="n">
        <v>125</v>
      </c>
      <c r="J56" s="253" t="n">
        <v>87</v>
      </c>
      <c r="K56" s="253" t="n">
        <v>94</v>
      </c>
      <c r="L56" s="253" t="n">
        <v>184</v>
      </c>
      <c r="M56" s="253" t="n">
        <v>490</v>
      </c>
      <c r="N56" s="253" t="n">
        <v>131</v>
      </c>
      <c r="O56" s="253" t="n">
        <v>160</v>
      </c>
      <c r="P56" s="253" t="n">
        <v>172</v>
      </c>
      <c r="Q56" s="253" t="n">
        <v>172</v>
      </c>
      <c r="R56" s="253" t="n">
        <v>635</v>
      </c>
      <c r="S56" s="253" t="n">
        <v>185</v>
      </c>
      <c r="T56" s="253" t="n">
        <v>199</v>
      </c>
      <c r="U56" s="153" t="n"/>
      <c r="V56" s="153" t="n"/>
      <c r="W56" s="153" t="n"/>
      <c r="X56" s="153" t="n"/>
      <c r="Y56" s="153" t="n"/>
      <c r="Z56" s="153" t="n"/>
      <c r="AA56" s="153" t="n"/>
      <c r="AB56" s="153" t="n"/>
      <c r="AC56" s="153" t="n"/>
      <c r="AK56" s="25" t="inlineStr">
        <is>
          <t xml:space="preserve">  2030E</t>
        </is>
      </c>
      <c r="AL56" s="33">
        <f>AM56+$AL$52</f>
        <v>0.29</v>
      </c>
      <c r="AM56" s="42" t="n">
        <v>0.28</v>
      </c>
      <c r="AN56" s="33">
        <f>AM56+$AN$52</f>
        <v>0.26</v>
      </c>
    </row>
    <row r="57" ht="15" customHeight="1" s="251">
      <c r="B57" s="156" t="inlineStr">
        <is>
          <t xml:space="preserve">    DPT orders</t>
        </is>
      </c>
      <c r="C57" s="34" t="n"/>
      <c r="D57" s="253" t="n">
        <v>2266</v>
      </c>
      <c r="E57" s="253" t="n">
        <v>3092</v>
      </c>
      <c r="F57" s="253" t="n">
        <v>2548</v>
      </c>
      <c r="G57" s="253" t="n">
        <v>2319</v>
      </c>
      <c r="H57" s="253" t="n">
        <v>10224</v>
      </c>
      <c r="I57" s="253" t="n">
        <v>3029</v>
      </c>
      <c r="J57" s="253" t="n">
        <v>2334</v>
      </c>
      <c r="K57" s="253" t="n">
        <v>3044</v>
      </c>
      <c r="L57" s="253" t="n">
        <v>2840</v>
      </c>
      <c r="M57" s="253" t="n">
        <v>11248</v>
      </c>
      <c r="N57" s="253" t="n">
        <v>3031</v>
      </c>
      <c r="O57" s="253" t="n">
        <v>2897</v>
      </c>
      <c r="P57" s="253" t="n">
        <v>2898</v>
      </c>
      <c r="Q57" s="253" t="n">
        <v>4571</v>
      </c>
      <c r="R57" s="253" t="n">
        <v>13397</v>
      </c>
      <c r="S57" s="253" t="n">
        <v>6174</v>
      </c>
      <c r="T57" s="253" t="n">
        <v>4138</v>
      </c>
      <c r="U57" s="153" t="n"/>
      <c r="V57" s="153" t="n"/>
      <c r="W57" s="153" t="n"/>
      <c r="X57" s="153" t="n"/>
      <c r="Y57" s="153" t="n"/>
      <c r="Z57" s="153" t="n"/>
      <c r="AA57" s="153" t="n"/>
      <c r="AB57" s="153" t="n"/>
      <c r="AC57" s="153" t="n"/>
      <c r="AK57" s="25" t="inlineStr">
        <is>
          <t xml:space="preserve">  2031E</t>
        </is>
      </c>
      <c r="AL57" s="33">
        <f>AM57+$AL$52</f>
        <v>0.292</v>
      </c>
      <c r="AM57" s="42" t="n">
        <v>0.282</v>
      </c>
      <c r="AN57" s="33">
        <f>AM57+$AN$52</f>
        <v>0.262</v>
      </c>
    </row>
    <row r="58" ht="15" customHeight="1" s="251">
      <c r="B58" s="156" t="inlineStr">
        <is>
          <t xml:space="preserve">    DPT book-to-bill (orders / revenue)</t>
        </is>
      </c>
      <c r="C58" s="265">
        <f>IF(ISNUMBER(C57),IFERROR(C57/C41,""),"")</f>
      </c>
      <c r="D58" s="265">
        <f>IF(ISNUMBER(D57),IFERROR(D57/D41,""),"")</f>
        <v>1.15259409969481</v>
      </c>
      <c r="E58" s="265">
        <f>IF(ISNUMBER(E57),IFERROR(E57/E41,""),"")</f>
        <v>1.30189473684211</v>
      </c>
      <c r="F58" s="265">
        <f>IF(ISNUMBER(F57),IFERROR(F57/F41,""),"")</f>
        <v>1.15555555555556</v>
      </c>
      <c r="G58" s="265">
        <f>IF(ISNUMBER(G57),IFERROR(G57/G41,""),"")</f>
        <v>0.960248447204969</v>
      </c>
      <c r="H58" s="265">
        <f>IF(ISNUMBER(H57),IFERROR(H57/H41,""),"")</f>
        <v>1.14094409106127</v>
      </c>
      <c r="I58" s="265">
        <f>IF(ISNUMBER(I57),IFERROR(I57/I41,""),"")</f>
        <v>1.31012110726644</v>
      </c>
      <c r="J58" s="265">
        <f>IF(ISNUMBER(J57),IFERROR(J57/J41,""),"")</f>
        <v>0.972094960433153</v>
      </c>
      <c r="K58" s="265">
        <f>IF(ISNUMBER(K57),IFERROR(K57/K41,""),"")</f>
        <v>1.35711101203745</v>
      </c>
      <c r="L58" s="265">
        <f>IF(ISNUMBER(L57),IFERROR(L57/L41,""),"")</f>
        <v>1.12564407451447</v>
      </c>
      <c r="M58" s="265">
        <f>IF(ISNUMBER(M57),IFERROR(M57/M41,""),"")</f>
        <v>1.1867482591264</v>
      </c>
      <c r="N58" s="265">
        <f>IF(ISNUMBER(N57),IFERROR(N57/N41,""),"")</f>
        <v>1.30421686746988</v>
      </c>
      <c r="O58" s="265">
        <f>IF(ISNUMBER(O57),IFERROR(O57/O41,""),"")</f>
        <v>1.13031603589544</v>
      </c>
      <c r="P58" s="265">
        <f>IF(ISNUMBER(P57),IFERROR(P57/P41,""),"")</f>
        <v>1.02475247524752</v>
      </c>
      <c r="Q58" s="265">
        <f>IF(ISNUMBER(Q57),IFERROR(Q57/Q41,""),"")</f>
        <v>1.61007396970764</v>
      </c>
      <c r="R58" s="265">
        <f>IF(ISNUMBER(R57),IFERROR(R57/R41,""),"")</f>
        <v>1.26937653970059</v>
      </c>
      <c r="S58" s="265">
        <f>IF(ISNUMBER(S57),IFERROR(S57/S41,""),"")</f>
        <v>1.92097075295582</v>
      </c>
      <c r="T58" s="265">
        <f>IF(ISNUMBER(T57),IFERROR(T57/T41,""),"")</f>
        <v>1.20185884403137</v>
      </c>
      <c r="U58" s="35" t="n"/>
      <c r="V58" s="35" t="n"/>
      <c r="W58" s="35" t="n"/>
      <c r="X58" s="35" t="n"/>
      <c r="Y58" s="35" t="n"/>
      <c r="Z58" s="35" t="n"/>
      <c r="AA58" s="35" t="n"/>
      <c r="AB58" s="35" t="n"/>
      <c r="AC58" s="153" t="n"/>
      <c r="AK58" s="15" t="inlineStr">
        <is>
          <t>DPT_M (DPT operating profit margin)</t>
        </is>
      </c>
      <c r="AL58" s="41" t="n">
        <v>0.01</v>
      </c>
      <c r="AM58" s="21" t="inlineStr">
        <is>
          <t>Δ →</t>
        </is>
      </c>
      <c r="AN58" s="41" t="n">
        <v>-0.015</v>
      </c>
      <c r="AO58" s="13" t="inlineStr">
        <is>
          <t>FY2025 12.3% (as reported), H1-26 12.8%, FY26 guide ~12%; volume and price vs next-generation investment (assumption).</t>
        </is>
      </c>
    </row>
    <row r="59" ht="15" customHeight="1" s="251">
      <c r="B59" s="156" t="inlineStr">
        <is>
          <t xml:space="preserve">    DPT remaining performance obligation (period end)</t>
        </is>
      </c>
      <c r="C59" s="34" t="n"/>
      <c r="D59" s="34" t="n"/>
      <c r="E59" s="253" t="n">
        <v>16468</v>
      </c>
      <c r="F59" s="253" t="n">
        <v>16468</v>
      </c>
      <c r="G59" s="34" t="n"/>
      <c r="H59" s="253" t="n">
        <v>16468</v>
      </c>
      <c r="I59" s="253" t="n">
        <v>17991</v>
      </c>
      <c r="J59" s="253" t="n">
        <v>16761</v>
      </c>
      <c r="K59" s="253" t="n">
        <v>17576</v>
      </c>
      <c r="L59" s="34" t="n"/>
      <c r="M59" s="253" t="n">
        <v>17991</v>
      </c>
      <c r="N59" s="253" t="n">
        <v>18847</v>
      </c>
      <c r="O59" s="253" t="n">
        <v>19164</v>
      </c>
      <c r="P59" s="253" t="n">
        <v>19089</v>
      </c>
      <c r="Q59" s="34" t="n"/>
      <c r="R59" s="253" t="n">
        <v>20742</v>
      </c>
      <c r="S59" s="253" t="n">
        <v>30027</v>
      </c>
      <c r="T59" s="253" t="n">
        <v>30663</v>
      </c>
      <c r="U59" s="153" t="n"/>
      <c r="V59" s="153" t="n"/>
      <c r="W59" s="153" t="n"/>
      <c r="X59" s="153" t="n"/>
      <c r="Y59" s="153" t="n"/>
      <c r="Z59" s="153" t="n"/>
      <c r="AA59" s="153" t="n"/>
      <c r="AB59" s="153" t="n"/>
      <c r="AC59" s="153" t="n"/>
      <c r="AK59" s="25" t="inlineStr">
        <is>
          <t xml:space="preserve">  2027E</t>
        </is>
      </c>
      <c r="AL59" s="33">
        <f>AM59+$AL$58</f>
        <v>0.14</v>
      </c>
      <c r="AM59" s="42" t="n">
        <v>0.13</v>
      </c>
      <c r="AN59" s="33">
        <f>AM59+$AN$58</f>
        <v>0.115</v>
      </c>
    </row>
    <row r="60" ht="15" customHeight="1" s="251">
      <c r="AK60" s="25" t="inlineStr">
        <is>
          <t xml:space="preserve">  2028E</t>
        </is>
      </c>
      <c r="AL60" s="33">
        <f>AM60+$AL$58</f>
        <v>0.145</v>
      </c>
      <c r="AM60" s="42" t="n">
        <v>0.135</v>
      </c>
      <c r="AN60" s="33">
        <f>AM60+$AN$58</f>
        <v>0.12</v>
      </c>
    </row>
    <row r="61" ht="15" customHeight="1" s="251">
      <c r="B61" s="14" t="inlineStr">
        <is>
          <t>Eliminations &amp; other (inter-segment revenue eliminations; inside Corporate &amp; Other revenue)</t>
        </is>
      </c>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c r="AA61" s="14" t="n"/>
      <c r="AB61" s="14" t="n"/>
      <c r="AC61" s="15" t="inlineStr">
        <is>
          <t>ELIMINATIONS — % of segment revenue</t>
        </is>
      </c>
      <c r="AK61" s="25" t="inlineStr">
        <is>
          <t xml:space="preserve">  2029E</t>
        </is>
      </c>
      <c r="AL61" s="33">
        <f>AM61+$AL$58</f>
        <v>0.15</v>
      </c>
      <c r="AM61" s="42" t="n">
        <v>0.14</v>
      </c>
      <c r="AN61" s="33">
        <f>AM61+$AN$58</f>
        <v>0.125</v>
      </c>
    </row>
    <row r="62" ht="15" customHeight="1" s="251">
      <c r="B62" s="25" t="inlineStr">
        <is>
          <t xml:space="preserve">  Eliminations and other (revenue)</t>
        </is>
      </c>
      <c r="C62" s="253" t="n">
        <v>-620</v>
      </c>
      <c r="D62" s="253" t="n">
        <v>-153</v>
      </c>
      <c r="E62" s="253" t="n">
        <v>-205</v>
      </c>
      <c r="F62" s="253" t="n">
        <v>-202</v>
      </c>
      <c r="G62" s="253" t="n">
        <v>-297</v>
      </c>
      <c r="H62" s="253" t="n">
        <v>-857</v>
      </c>
      <c r="I62" s="253" t="n">
        <v>-332</v>
      </c>
      <c r="J62" s="253" t="n">
        <v>-310</v>
      </c>
      <c r="K62" s="253" t="n">
        <v>-303</v>
      </c>
      <c r="L62" s="253" t="n">
        <v>-294</v>
      </c>
      <c r="M62" s="253" t="n">
        <v>-1239</v>
      </c>
      <c r="N62" s="253" t="n">
        <v>-300</v>
      </c>
      <c r="O62" s="253" t="n">
        <v>-402</v>
      </c>
      <c r="P62" s="253" t="n">
        <v>-403</v>
      </c>
      <c r="Q62" s="253" t="n">
        <v>-441</v>
      </c>
      <c r="R62" s="253" t="n">
        <v>-1546</v>
      </c>
      <c r="S62" s="253" t="n">
        <v>-519</v>
      </c>
      <c r="T62" s="253" t="n">
        <v>-540</v>
      </c>
      <c r="U62" s="254">
        <f>(U21+U41)*U63</f>
        <v>-547.521276331549</v>
      </c>
      <c r="V62" s="254">
        <f>(V21+V41)*V63</f>
        <v>-574.541806809329</v>
      </c>
      <c r="W62" s="254">
        <f>SUM(S62:V62)</f>
        <v>-2181.06308314088</v>
      </c>
      <c r="X62" s="254">
        <f>(X21+X41)*X63</f>
        <v>-2453.82323050492</v>
      </c>
      <c r="Y62" s="254">
        <f>(Y21+Y41)*Y63</f>
        <v>-2694.93472567338</v>
      </c>
      <c r="Z62" s="254">
        <f>(Z21+Z41)*Z63</f>
        <v>-2913.07101747316</v>
      </c>
      <c r="AA62" s="254">
        <f>(AA21+AA41)*AA63</f>
        <v>-3121.94418642758</v>
      </c>
      <c r="AB62" s="254">
        <f>(AB21+AB41)*AB63</f>
        <v>-3314.85741628746</v>
      </c>
      <c r="AC62" s="19" t="n"/>
      <c r="AK62" s="25" t="inlineStr">
        <is>
          <t xml:space="preserve">  2030E</t>
        </is>
      </c>
      <c r="AL62" s="33">
        <f>AM62+$AL$58</f>
        <v>0.155</v>
      </c>
      <c r="AM62" s="42" t="n">
        <v>0.145</v>
      </c>
      <c r="AN62" s="33">
        <f>AM62+$AN$58</f>
        <v>0.13</v>
      </c>
    </row>
    <row r="63" ht="15" customHeight="1" s="251">
      <c r="B63" s="25" t="inlineStr">
        <is>
          <t xml:space="preserve">  Eliminations % of segment revenue</t>
        </is>
      </c>
      <c r="C63" s="215">
        <f>IFERROR(C62/(C21+C41),"")</f>
        <v>-0.0231326020446235</v>
      </c>
      <c r="D63" s="215">
        <f>IFERROR(D62/(D21+D41),"")</f>
        <v>-0.0212559044178939</v>
      </c>
      <c r="E63" s="215">
        <f>IFERROR(E62/(E21+E41),"")</f>
        <v>-0.0252712031558185</v>
      </c>
      <c r="F63" s="215">
        <f>IFERROR(F62/(F21+F41),"")</f>
        <v>-0.0233202493650427</v>
      </c>
      <c r="G63" s="215">
        <f>IFERROR(G62/(G21+G41),"")</f>
        <v>-0.0335820895522388</v>
      </c>
      <c r="H63" s="215">
        <f>IFERROR(H62/(H21+H41),"")</f>
        <v>-0.0261153096050707</v>
      </c>
      <c r="I63" s="215">
        <f>IFERROR(I62/(I21+I41),"")</f>
        <v>-0.0394862036156042</v>
      </c>
      <c r="J63" s="215">
        <f>IFERROR(J62/(J21+J41),"")</f>
        <v>-0.0363295441228173</v>
      </c>
      <c r="K63" s="215">
        <f>IFERROR(K62/(K21+K41),"")</f>
        <v>-0.0327709279688514</v>
      </c>
      <c r="L63" s="215">
        <f>IFERROR(L62/(L21+L41),"")</f>
        <v>-0.028900029489826</v>
      </c>
      <c r="M63" s="215">
        <f>IFERROR(M62/(M21+M41),"")</f>
        <v>-0.0340768447977117</v>
      </c>
      <c r="N63" s="215">
        <f>IFERROR(N62/(N21+N41),"")</f>
        <v>-0.032258064516129</v>
      </c>
      <c r="O63" s="215">
        <f>IFERROR(O62/(O21+O41),"")</f>
        <v>-0.0380934331469724</v>
      </c>
      <c r="P63" s="215">
        <f>IFERROR(P62/(P21+P41),"")</f>
        <v>-0.0344238489792432</v>
      </c>
      <c r="Q63" s="215">
        <f>IFERROR(Q62/(Q21+Q41),"")</f>
        <v>-0.0358361774744027</v>
      </c>
      <c r="R63" s="215">
        <f>IFERROR(R62/(R21+R41),"")</f>
        <v>-0.0352420899060819</v>
      </c>
      <c r="S63" s="215">
        <f>IFERROR(S62/(S21+S41),"")</f>
        <v>-0.0427759004368252</v>
      </c>
      <c r="T63" s="215">
        <f>IFERROR(T62/(T21+T41),"")</f>
        <v>-0.0409898284499772</v>
      </c>
      <c r="U63" s="256">
        <f>IFERROR(SUM(S62:T62)/(SUM(S21:T21)+SUM(S41:T41)),0)</f>
        <v>-0.0418461295293792</v>
      </c>
      <c r="V63" s="256">
        <f>IFERROR(SUM(S62:T62)/(SUM(S21:T21)+SUM(S41:T41)),0)</f>
        <v>-0.0418461295293792</v>
      </c>
      <c r="W63" s="256">
        <f>IFERROR(W62/(W21+W41),"")</f>
        <v>-0.0418461295293792</v>
      </c>
      <c r="X63" s="267" t="n">
        <v>-0.042</v>
      </c>
      <c r="Y63" s="267" t="n">
        <v>-0.042</v>
      </c>
      <c r="Z63" s="267" t="n">
        <v>-0.042</v>
      </c>
      <c r="AA63" s="267" t="n">
        <v>-0.042</v>
      </c>
      <c r="AB63" s="267" t="n">
        <v>-0.042</v>
      </c>
      <c r="AC63" s="153" t="inlineStr">
        <is>
          <t>Q3/Q4-26E: H1-26 ratio; 2027E+: input (FY2026E level).</t>
        </is>
      </c>
      <c r="AE63" s="37">
        <f>IFERROR(AVERAGE(X63,Y63,Z63,AA63,AB63),"n/m")</f>
        <v>-0.042</v>
      </c>
      <c r="AF63" s="37">
        <f>IFERROR(AVERAGE(H63,M63,R63),"n/m")</f>
        <v>-0.0318114147696214</v>
      </c>
      <c r="AG63" s="37">
        <f>IFERROR(AVERAGE(M63,R63),"n/m")</f>
        <v>-0.0346594673518968</v>
      </c>
      <c r="AH63" s="37">
        <f>IFERROR(W63+0,"n/m")</f>
        <v>-0.0418461295293792</v>
      </c>
      <c r="AK63" s="25" t="inlineStr">
        <is>
          <t xml:space="preserve">  2031E</t>
        </is>
      </c>
      <c r="AL63" s="33">
        <f>AM63+$AL$58</f>
        <v>0.16</v>
      </c>
      <c r="AM63" s="42" t="n">
        <v>0.15</v>
      </c>
      <c r="AN63" s="33">
        <f>AM63+$AN$58</f>
        <v>0.135</v>
      </c>
    </row>
    <row r="64" ht="15" customHeight="1" s="251">
      <c r="AK64" s="15" t="inlineStr">
        <is>
          <t>CPP_SYN (CPP net-synergy realisation multiplier)</t>
        </is>
      </c>
      <c r="AL64" s="41" t="n">
        <v>0.25</v>
      </c>
      <c r="AM64" s="21" t="inlineStr">
        <is>
          <t>Δ →</t>
        </is>
      </c>
      <c r="AN64" s="41" t="n">
        <v>-0.5</v>
      </c>
      <c r="AO64" s="13" t="inlineStr">
        <is>
          <t>Deck: ~$200m net synergies by year 3, &gt;2x by year 6. Multiplier on the phased run-rate (assumption).</t>
        </is>
      </c>
    </row>
    <row r="65" ht="15" customHeight="1" s="251">
      <c r="B65" s="14" t="inlineStr">
        <is>
          <t>Run-off insurance (North American Life &amp; Health; outside operating profit) · U.S. tax equity investments</t>
        </is>
      </c>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c r="AA65" s="14" t="n"/>
      <c r="AB65" s="14" t="n"/>
      <c r="AC65" s="15" t="inlineStr">
        <is>
          <t>INSURANCE / TAX EQUITY — excluded from adjusted revenue, operating profit and adjusted EPS (company definitions)</t>
        </is>
      </c>
      <c r="AK65" s="25" t="inlineStr">
        <is>
          <t xml:space="preserve">  2027E</t>
        </is>
      </c>
      <c r="AL65" s="268">
        <f>MAX(0,AM65+$AL$64)</f>
        <v>1.25</v>
      </c>
      <c r="AM65" s="269" t="n">
        <v>1</v>
      </c>
      <c r="AN65" s="268">
        <f>MAX(0,AM65+$AN$64)</f>
        <v>0.5</v>
      </c>
    </row>
    <row r="66" ht="15" customHeight="1" s="251">
      <c r="B66" s="25" t="inlineStr">
        <is>
          <t xml:space="preserve">  Insurance revenue</t>
        </is>
      </c>
      <c r="C66" s="253" t="n">
        <v>2957</v>
      </c>
      <c r="D66" s="253" t="n">
        <v>792</v>
      </c>
      <c r="E66" s="253" t="n">
        <v>847</v>
      </c>
      <c r="F66" s="253" t="n">
        <v>842</v>
      </c>
      <c r="G66" s="253" t="n">
        <v>909</v>
      </c>
      <c r="H66" s="253" t="n">
        <v>3389</v>
      </c>
      <c r="I66" s="253" t="n">
        <v>879</v>
      </c>
      <c r="J66" s="253" t="n">
        <v>871</v>
      </c>
      <c r="K66" s="253" t="n">
        <v>899</v>
      </c>
      <c r="L66" s="253" t="n">
        <v>932</v>
      </c>
      <c r="M66" s="253" t="n">
        <v>3581</v>
      </c>
      <c r="N66" s="253" t="n">
        <v>934</v>
      </c>
      <c r="O66" s="253" t="n">
        <v>872</v>
      </c>
      <c r="P66" s="253" t="n">
        <v>875</v>
      </c>
      <c r="Q66" s="253" t="n">
        <v>852</v>
      </c>
      <c r="R66" s="253" t="n">
        <v>3533</v>
      </c>
      <c r="S66" s="253" t="n">
        <v>778</v>
      </c>
      <c r="T66" s="253" t="n">
        <v>715</v>
      </c>
      <c r="U66" s="254">
        <f>SUM(S66:T66)/2</f>
        <v>746.5</v>
      </c>
      <c r="V66" s="254">
        <f>SUM(S66:T66)/2</f>
        <v>746.5</v>
      </c>
      <c r="W66" s="254">
        <f>SUM(S66:V66)</f>
        <v>2986</v>
      </c>
      <c r="X66" s="254">
        <f>W66*(1+X67)</f>
        <v>2896.42</v>
      </c>
      <c r="Y66" s="254">
        <f>X66*(1+Y67)</f>
        <v>2809.5274</v>
      </c>
      <c r="Z66" s="254">
        <f>Y66*(1+Z67)</f>
        <v>2725.241578</v>
      </c>
      <c r="AA66" s="254">
        <f>Z66*(1+AA67)</f>
        <v>2643.48433066</v>
      </c>
      <c r="AB66" s="254">
        <f>AA66*(1+AB67)</f>
        <v>2564.1798007402</v>
      </c>
      <c r="AC66" s="19" t="inlineStr">
        <is>
          <t>Q3/Q4-26E: H1-26 run-rate (the annual premium-deficiency / assumption review in Q3 is not forecast). 2027E+: run-off decline (input).</t>
        </is>
      </c>
      <c r="AE66" s="20">
        <f>IFERROR((AB66/W66)^(1/5)-1,"n/m")</f>
        <v>-0.03</v>
      </c>
      <c r="AF66" s="20">
        <f>IFERROR((R66/C66)^(1/3)-1,"n/m")</f>
        <v>0.0611190327020599</v>
      </c>
      <c r="AG66" s="20">
        <f>IFERROR((R66/H66)^(1/2)-1,"n/m")</f>
        <v>0.0210241966527958</v>
      </c>
      <c r="AH66" s="20">
        <f>IFERROR(W66/R66-1,"n/m")</f>
        <v>-0.154825926974243</v>
      </c>
      <c r="AK66" s="25" t="inlineStr">
        <is>
          <t xml:space="preserve">  2028E</t>
        </is>
      </c>
      <c r="AL66" s="268">
        <f>MAX(0,AM66+$AL$64)</f>
        <v>1.25</v>
      </c>
      <c r="AM66" s="269" t="n">
        <v>1</v>
      </c>
      <c r="AN66" s="268">
        <f>MAX(0,AM66+$AN$64)</f>
        <v>0.5</v>
      </c>
    </row>
    <row r="67" ht="15" customHeight="1" s="251">
      <c r="B67" s="22" t="inlineStr">
        <is>
          <t xml:space="preserve">  Insurance revenue y/y %</t>
        </is>
      </c>
      <c r="C67" s="23" t="n"/>
      <c r="D67" s="23" t="n"/>
      <c r="E67" s="23" t="n"/>
      <c r="F67" s="23" t="n"/>
      <c r="G67" s="23" t="n"/>
      <c r="H67" s="255">
        <f>IF(AND(ISNUMBER(H66),ISNUMBER(C66)),IFERROR(H66/C66-1,""),"")</f>
        <v>0.146094014203585</v>
      </c>
      <c r="I67" s="255">
        <f>IF(AND(ISNUMBER(I66),ISNUMBER(D66)),IFERROR(I66/D66-1,""),"")</f>
        <v>0.109848484848485</v>
      </c>
      <c r="J67" s="255">
        <f>IF(AND(ISNUMBER(J66),ISNUMBER(E66)),IFERROR(J66/E66-1,""),"")</f>
        <v>0.0283353010625738</v>
      </c>
      <c r="K67" s="255">
        <f>IF(AND(ISNUMBER(K66),ISNUMBER(F66)),IFERROR(K66/F66-1,""),"")</f>
        <v>0.0676959619952493</v>
      </c>
      <c r="L67" s="255">
        <f>IF(AND(ISNUMBER(L66),ISNUMBER(G66)),IFERROR(L66/G66-1,""),"")</f>
        <v>0.0253025302530252</v>
      </c>
      <c r="M67" s="255">
        <f>IF(AND(ISNUMBER(M66),ISNUMBER(H66)),IFERROR(M66/H66-1,""),"")</f>
        <v>0.0566538802006491</v>
      </c>
      <c r="N67" s="255">
        <f>IF(AND(ISNUMBER(N66),ISNUMBER(I66)),IFERROR(N66/I66-1,""),"")</f>
        <v>0.0625711035267349</v>
      </c>
      <c r="O67" s="255">
        <f>IF(AND(ISNUMBER(O66),ISNUMBER(J66)),IFERROR(O66/J66-1,""),"")</f>
        <v>0.00114810562571765</v>
      </c>
      <c r="P67" s="255">
        <f>IF(AND(ISNUMBER(P66),ISNUMBER(K66)),IFERROR(P66/K66-1,""),"")</f>
        <v>-0.0266963292547274</v>
      </c>
      <c r="Q67" s="255">
        <f>IF(AND(ISNUMBER(Q66),ISNUMBER(L66)),IFERROR(Q66/L66-1,""),"")</f>
        <v>-0.0858369098712446</v>
      </c>
      <c r="R67" s="255">
        <f>IF(AND(ISNUMBER(R66),ISNUMBER(M66)),IFERROR(R66/M66-1,""),"")</f>
        <v>-0.0134040770734432</v>
      </c>
      <c r="S67" s="255">
        <f>IF(AND(ISNUMBER(S66),ISNUMBER(N66)),IFERROR(S66/N66-1,""),"")</f>
        <v>-0.167023554603854</v>
      </c>
      <c r="T67" s="255">
        <f>IF(AND(ISNUMBER(T66),ISNUMBER(O66)),IFERROR(T66/O66-1,""),"")</f>
        <v>-0.180045871559633</v>
      </c>
      <c r="U67" s="256">
        <f>IF(AND(ISNUMBER(U66),ISNUMBER(P66)),IFERROR(U66/P66-1,""),"")</f>
        <v>-0.146857142857143</v>
      </c>
      <c r="V67" s="256">
        <f>IF(AND(ISNUMBER(V66),ISNUMBER(Q66)),IFERROR(V66/Q66-1,""),"")</f>
        <v>-0.123826291079812</v>
      </c>
      <c r="W67" s="256">
        <f>IF(AND(ISNUMBER(W66),ISNUMBER(R66)),IFERROR(W66/R66-1,""),"")</f>
        <v>-0.154825926974243</v>
      </c>
      <c r="X67" s="267" t="n">
        <v>-0.03</v>
      </c>
      <c r="Y67" s="267" t="n">
        <v>-0.03</v>
      </c>
      <c r="Z67" s="267" t="n">
        <v>-0.03</v>
      </c>
      <c r="AA67" s="267" t="n">
        <v>-0.03</v>
      </c>
      <c r="AB67" s="267" t="n">
        <v>-0.03</v>
      </c>
      <c r="AC67" s="153" t="n"/>
      <c r="AK67" s="25" t="inlineStr">
        <is>
          <t xml:space="preserve">  2029E</t>
        </is>
      </c>
      <c r="AL67" s="268">
        <f>MAX(0,AM67+$AL$64)</f>
        <v>1.25</v>
      </c>
      <c r="AM67" s="269" t="n">
        <v>1</v>
      </c>
      <c r="AN67" s="268">
        <f>MAX(0,AM67+$AN$64)</f>
        <v>0.5</v>
      </c>
    </row>
    <row r="68" ht="15" customHeight="1" s="251">
      <c r="B68" s="25" t="inlineStr">
        <is>
          <t xml:space="preserve">  Insurance costs and expenses (company non-GAAP table)</t>
        </is>
      </c>
      <c r="C68" s="34" t="n"/>
      <c r="D68" s="253" t="n">
        <v>721</v>
      </c>
      <c r="E68" s="253" t="n">
        <v>784</v>
      </c>
      <c r="F68" s="253" t="n">
        <v>742</v>
      </c>
      <c r="G68" s="253" t="n">
        <v>810</v>
      </c>
      <c r="H68" s="253" t="n">
        <v>3057</v>
      </c>
      <c r="I68" s="253" t="n">
        <v>679</v>
      </c>
      <c r="J68" s="253" t="n">
        <v>701</v>
      </c>
      <c r="K68" s="253" t="n">
        <v>728</v>
      </c>
      <c r="L68" s="253" t="n">
        <v>452</v>
      </c>
      <c r="M68" s="253" t="n">
        <v>2560</v>
      </c>
      <c r="N68" s="253" t="n">
        <v>728</v>
      </c>
      <c r="O68" s="253" t="n">
        <v>725</v>
      </c>
      <c r="P68" s="253" t="n">
        <v>514</v>
      </c>
      <c r="Q68" s="253" t="n">
        <v>574</v>
      </c>
      <c r="R68" s="253" t="n">
        <v>2541</v>
      </c>
      <c r="S68" s="253" t="n">
        <v>648</v>
      </c>
      <c r="T68" s="253" t="n">
        <v>544</v>
      </c>
      <c r="U68" s="254">
        <f>U66*(1-U70)</f>
        <v>596</v>
      </c>
      <c r="V68" s="254">
        <f>V66*(1-V70)</f>
        <v>596</v>
      </c>
      <c r="W68" s="254">
        <f>SUM(S68:V68)</f>
        <v>2384</v>
      </c>
      <c r="X68" s="254">
        <f>X66*(1-X70)</f>
        <v>2259.2076</v>
      </c>
      <c r="Y68" s="254">
        <f>Y66*(1-Y70)</f>
        <v>2191.431372</v>
      </c>
      <c r="Z68" s="254">
        <f>Z66*(1-Z70)</f>
        <v>2125.68843084</v>
      </c>
      <c r="AA68" s="254">
        <f>AA66*(1-AA70)</f>
        <v>2061.9177779148</v>
      </c>
      <c r="AB68" s="254">
        <f>AB66*(1-AB70)</f>
        <v>2000.06024457736</v>
      </c>
      <c r="AC68" s="19" t="n"/>
      <c r="AK68" s="25" t="inlineStr">
        <is>
          <t xml:space="preserve">  2030E</t>
        </is>
      </c>
      <c r="AL68" s="268">
        <f>MAX(0,AM68+$AL$64)</f>
        <v>1.25</v>
      </c>
      <c r="AM68" s="269" t="n">
        <v>1</v>
      </c>
      <c r="AN68" s="268">
        <f>MAX(0,AM68+$AN$64)</f>
        <v>0.5</v>
      </c>
    </row>
    <row r="69" ht="15" customHeight="1" s="251">
      <c r="B69" s="16" t="inlineStr">
        <is>
          <t xml:space="preserve">  Insurance profit (pre-tax; revenue − costs)</t>
        </is>
      </c>
      <c r="C69" s="260">
        <f>IF(ISNUMBER(C68),C66-C68,"")</f>
      </c>
      <c r="D69" s="260">
        <f>IF(ISNUMBER(D68),D66-D68,"")</f>
        <v>71</v>
      </c>
      <c r="E69" s="260">
        <f>IF(ISNUMBER(E68),E66-E68,"")</f>
        <v>63</v>
      </c>
      <c r="F69" s="260">
        <f>IF(ISNUMBER(F68),F66-F68,"")</f>
        <v>100</v>
      </c>
      <c r="G69" s="260">
        <f>IF(ISNUMBER(G68),G66-G68,"")</f>
        <v>99</v>
      </c>
      <c r="H69" s="260">
        <f>IF(ISNUMBER(H68),H66-H68,"")</f>
        <v>332</v>
      </c>
      <c r="I69" s="260">
        <f>IF(ISNUMBER(I68),I66-I68,"")</f>
        <v>200</v>
      </c>
      <c r="J69" s="260">
        <f>IF(ISNUMBER(J68),J66-J68,"")</f>
        <v>170</v>
      </c>
      <c r="K69" s="260">
        <f>IF(ISNUMBER(K68),K66-K68,"")</f>
        <v>171</v>
      </c>
      <c r="L69" s="260">
        <f>IF(ISNUMBER(L68),L66-L68,"")</f>
        <v>480</v>
      </c>
      <c r="M69" s="260">
        <f>IF(ISNUMBER(M68),M66-M68,"")</f>
        <v>1021</v>
      </c>
      <c r="N69" s="260">
        <f>IF(ISNUMBER(N68),N66-N68,"")</f>
        <v>206</v>
      </c>
      <c r="O69" s="260">
        <f>IF(ISNUMBER(O68),O66-O68,"")</f>
        <v>147</v>
      </c>
      <c r="P69" s="260">
        <f>IF(ISNUMBER(P68),P66-P68,"")</f>
        <v>361</v>
      </c>
      <c r="Q69" s="260">
        <f>IF(ISNUMBER(Q68),Q66-Q68,"")</f>
        <v>278</v>
      </c>
      <c r="R69" s="260">
        <f>IF(ISNUMBER(R68),R66-R68,"")</f>
        <v>992</v>
      </c>
      <c r="S69" s="260">
        <f>IF(ISNUMBER(S68),S66-S68,"")</f>
        <v>130</v>
      </c>
      <c r="T69" s="260">
        <f>IF(ISNUMBER(T68),T66-T68,"")</f>
        <v>171</v>
      </c>
      <c r="U69" s="261">
        <f>IF(ISNUMBER(U68),U66-U68,"")</f>
        <v>150.5</v>
      </c>
      <c r="V69" s="261">
        <f>IF(ISNUMBER(V68),V66-V68,"")</f>
        <v>150.5</v>
      </c>
      <c r="W69" s="261">
        <f>IF(ISNUMBER(W68),W66-W68,"")</f>
        <v>602</v>
      </c>
      <c r="X69" s="261">
        <f>IF(ISNUMBER(X68),X66-X68,"")</f>
        <v>637.2124</v>
      </c>
      <c r="Y69" s="261">
        <f>IF(ISNUMBER(Y68),Y66-Y68,"")</f>
        <v>618.096028</v>
      </c>
      <c r="Z69" s="261">
        <f>IF(ISNUMBER(Z68),Z66-Z68,"")</f>
        <v>599.55314716</v>
      </c>
      <c r="AA69" s="261">
        <f>IF(ISNUMBER(AA68),AA66-AA68,"")</f>
        <v>581.5665527452</v>
      </c>
      <c r="AB69" s="261">
        <f>IF(ISNUMBER(AB68),AB66-AB68,"")</f>
        <v>564.119556162844</v>
      </c>
      <c r="AC69" s="153" t="n"/>
      <c r="AK69" s="25" t="inlineStr">
        <is>
          <t xml:space="preserve">  2031E</t>
        </is>
      </c>
      <c r="AL69" s="268">
        <f>MAX(0,AM69+$AL$64)</f>
        <v>1.25</v>
      </c>
      <c r="AM69" s="269" t="n">
        <v>1</v>
      </c>
      <c r="AN69" s="268">
        <f>MAX(0,AM69+$AN$64)</f>
        <v>0.5</v>
      </c>
    </row>
    <row r="70" ht="15" customHeight="1" s="251">
      <c r="B70" s="25" t="inlineStr">
        <is>
          <t xml:space="preserve">  Insurance profit margin %</t>
        </is>
      </c>
      <c r="C70" s="215">
        <f>IF(AND(ISNUMBER(C69),ISNUMBER(C66)),IFERROR(C69/C66,""),"")</f>
      </c>
      <c r="D70" s="215">
        <f>IF(AND(ISNUMBER(D69),ISNUMBER(D66)),IFERROR(D69/D66,""),"")</f>
        <v>0.0896464646464646</v>
      </c>
      <c r="E70" s="215">
        <f>IF(AND(ISNUMBER(E69),ISNUMBER(E66)),IFERROR(E69/E66,""),"")</f>
        <v>0.0743801652892562</v>
      </c>
      <c r="F70" s="215">
        <f>IF(AND(ISNUMBER(F69),ISNUMBER(F66)),IFERROR(F69/F66,""),"")</f>
        <v>0.118764845605701</v>
      </c>
      <c r="G70" s="215">
        <f>IF(AND(ISNUMBER(G69),ISNUMBER(G66)),IFERROR(G69/G66,""),"")</f>
        <v>0.108910891089109</v>
      </c>
      <c r="H70" s="215">
        <f>IF(AND(ISNUMBER(H69),ISNUMBER(H66)),IFERROR(H69/H66,""),"")</f>
        <v>0.0979640011802892</v>
      </c>
      <c r="I70" s="215">
        <f>IF(AND(ISNUMBER(I69),ISNUMBER(I66)),IFERROR(I69/I66,""),"")</f>
        <v>0.227531285551763</v>
      </c>
      <c r="J70" s="215">
        <f>IF(AND(ISNUMBER(J69),ISNUMBER(J66)),IFERROR(J69/J66,""),"")</f>
        <v>0.195177956371986</v>
      </c>
      <c r="K70" s="215">
        <f>IF(AND(ISNUMBER(K69),ISNUMBER(K66)),IFERROR(K69/K66,""),"")</f>
        <v>0.190211345939933</v>
      </c>
      <c r="L70" s="215">
        <f>IF(AND(ISNUMBER(L69),ISNUMBER(L66)),IFERROR(L69/L66,""),"")</f>
        <v>0.515021459227468</v>
      </c>
      <c r="M70" s="215">
        <f>IF(AND(ISNUMBER(M69),ISNUMBER(M66)),IFERROR(M69/M66,""),"")</f>
        <v>0.285115889416364</v>
      </c>
      <c r="N70" s="215">
        <f>IF(AND(ISNUMBER(N69),ISNUMBER(N66)),IFERROR(N69/N66,""),"")</f>
        <v>0.220556745182013</v>
      </c>
      <c r="O70" s="215">
        <f>IF(AND(ISNUMBER(O69),ISNUMBER(O66)),IFERROR(O69/O66,""),"")</f>
        <v>0.168577981651376</v>
      </c>
      <c r="P70" s="215">
        <f>IF(AND(ISNUMBER(P69),ISNUMBER(P66)),IFERROR(P69/P66,""),"")</f>
        <v>0.412571428571429</v>
      </c>
      <c r="Q70" s="215">
        <f>IF(AND(ISNUMBER(Q69),ISNUMBER(Q66)),IFERROR(Q69/Q66,""),"")</f>
        <v>0.326291079812207</v>
      </c>
      <c r="R70" s="215">
        <f>IF(AND(ISNUMBER(R69),ISNUMBER(R66)),IFERROR(R69/R66,""),"")</f>
        <v>0.28078120577413</v>
      </c>
      <c r="S70" s="215">
        <f>IF(AND(ISNUMBER(S69),ISNUMBER(S66)),IFERROR(S69/S66,""),"")</f>
        <v>0.167095115681234</v>
      </c>
      <c r="T70" s="215">
        <f>IF(AND(ISNUMBER(T69),ISNUMBER(T66)),IFERROR(T69/T66,""),"")</f>
        <v>0.239160839160839</v>
      </c>
      <c r="U70" s="256">
        <f>IFERROR((SUM(S66:T66)-SUM(S68:T68))/SUM(S66:T66),0)</f>
        <v>0.201607501674481</v>
      </c>
      <c r="V70" s="256">
        <f>IFERROR((SUM(S66:T66)-SUM(S68:T68))/SUM(S66:T66),0)</f>
        <v>0.201607501674481</v>
      </c>
      <c r="W70" s="256">
        <f>IF(AND(ISNUMBER(W69),ISNUMBER(W66)),IFERROR(W69/W66,""),"")</f>
        <v>0.201607501674481</v>
      </c>
      <c r="X70" s="267" t="n">
        <v>0.22</v>
      </c>
      <c r="Y70" s="267" t="n">
        <v>0.22</v>
      </c>
      <c r="Z70" s="267" t="n">
        <v>0.22</v>
      </c>
      <c r="AA70" s="267" t="n">
        <v>0.22</v>
      </c>
      <c r="AB70" s="267" t="n">
        <v>0.22</v>
      </c>
      <c r="AC70" s="153" t="n"/>
      <c r="AE70" s="37">
        <f>IFERROR(AVERAGE(X70,Y70,Z70,AA70,AB70),"n/m")</f>
        <v>0.22</v>
      </c>
      <c r="AF70" s="37">
        <f>IFERROR(AVERAGE(H70,M70,R70),"n/m")</f>
        <v>0.221287032123594</v>
      </c>
      <c r="AG70" s="37">
        <f>IFERROR(AVERAGE(M70,R70),"n/m")</f>
        <v>0.282948547595247</v>
      </c>
      <c r="AH70" s="37">
        <f>IFERROR(W70+0,"n/m")</f>
        <v>0.201607501674481</v>
      </c>
      <c r="AK70" s="15" t="inlineStr">
        <is>
          <t>M&amp;A_spend (bolt-ons beyond CPP, $m)</t>
        </is>
      </c>
      <c r="AL70" s="50" t="n">
        <v>500</v>
      </c>
      <c r="AM70" s="21" t="inlineStr">
        <is>
          <t>Δ →</t>
        </is>
      </c>
      <c r="AN70" s="50" t="n">
        <v>-500</v>
      </c>
      <c r="AO70" s="13" t="inlineStr">
        <is>
          <t>No acquisitions disclosed beyond CPP; Base assumes no bolt-ons during CPP integration and $0.5bn a year from 2029 (assumption).</t>
        </is>
      </c>
    </row>
    <row r="71" ht="15" customHeight="1" s="251">
      <c r="B71" s="25" t="inlineStr">
        <is>
          <t xml:space="preserve">  U.S. tax equity profit (loss), pre-tax (adjusted-EPS table)</t>
        </is>
      </c>
      <c r="C71" s="34" t="n"/>
      <c r="D71" s="253" t="n">
        <v>-43</v>
      </c>
      <c r="E71" s="253" t="n">
        <v>-53</v>
      </c>
      <c r="F71" s="253" t="n">
        <v>-47</v>
      </c>
      <c r="G71" s="253" t="n">
        <v>-33</v>
      </c>
      <c r="H71" s="253" t="n">
        <v>-176</v>
      </c>
      <c r="I71" s="253" t="n">
        <v>-43</v>
      </c>
      <c r="J71" s="253" t="n">
        <v>-52</v>
      </c>
      <c r="K71" s="253" t="n">
        <v>-59</v>
      </c>
      <c r="L71" s="253" t="n">
        <v>-37</v>
      </c>
      <c r="M71" s="253" t="n">
        <v>-191</v>
      </c>
      <c r="N71" s="253" t="n">
        <v>-55</v>
      </c>
      <c r="O71" s="253" t="n">
        <v>-66</v>
      </c>
      <c r="P71" s="253" t="n">
        <v>-60</v>
      </c>
      <c r="Q71" s="253" t="n">
        <v>-40</v>
      </c>
      <c r="R71" s="253" t="n">
        <v>-220</v>
      </c>
      <c r="S71" s="253" t="n">
        <v>-67</v>
      </c>
      <c r="T71" s="253" t="n">
        <v>-77</v>
      </c>
      <c r="U71" s="254">
        <f>SUM(S71:T71)/2</f>
        <v>-72</v>
      </c>
      <c r="V71" s="254">
        <f>SUM(S71:T71)/2</f>
        <v>-72</v>
      </c>
      <c r="W71" s="254">
        <f>SUM(S71:V71)</f>
        <v>-288</v>
      </c>
      <c r="X71" s="270" t="n">
        <v>-280</v>
      </c>
      <c r="Y71" s="270" t="n">
        <v>-280</v>
      </c>
      <c r="Z71" s="270" t="n">
        <v>-280</v>
      </c>
      <c r="AA71" s="270" t="n">
        <v>-280</v>
      </c>
      <c r="AB71" s="270" t="n">
        <v>-280</v>
      </c>
      <c r="AC71" s="19" t="inlineStr">
        <is>
          <t>Renewable-energy tax-equity investments retained at the GE Vernova spin; pre-tax losses offset by tax credits (below). Forecast: H1-26 run-rate, then input.</t>
        </is>
      </c>
      <c r="AK71" s="25" t="inlineStr">
        <is>
          <t xml:space="preserve">  2027E</t>
        </is>
      </c>
      <c r="AL71" s="51">
        <f>MAX(0,AM71+$AL$70)</f>
        <v>500</v>
      </c>
      <c r="AM71" s="26" t="n">
        <v>0</v>
      </c>
      <c r="AN71" s="51">
        <f>MAX(0,AM71+$AN$70)</f>
        <v>0</v>
      </c>
    </row>
    <row r="72" collapsed="1" ht="15" customHeight="1" s="251">
      <c r="B72" s="25" t="inlineStr">
        <is>
          <t xml:space="preserve">  U.S. tax equity tax benefit (credits)</t>
        </is>
      </c>
      <c r="C72" s="34" t="n"/>
      <c r="D72" s="253" t="n">
        <v>53</v>
      </c>
      <c r="E72" s="253" t="n">
        <v>66</v>
      </c>
      <c r="F72" s="253" t="n">
        <v>54</v>
      </c>
      <c r="G72" s="253" t="n">
        <v>44</v>
      </c>
      <c r="H72" s="253" t="n">
        <v>217</v>
      </c>
      <c r="I72" s="253" t="n">
        <v>58</v>
      </c>
      <c r="J72" s="253" t="n">
        <v>61</v>
      </c>
      <c r="K72" s="253" t="n">
        <v>70</v>
      </c>
      <c r="L72" s="253" t="n">
        <v>46</v>
      </c>
      <c r="M72" s="253" t="n">
        <v>235</v>
      </c>
      <c r="N72" s="253" t="n">
        <v>63</v>
      </c>
      <c r="O72" s="253" t="n">
        <v>77</v>
      </c>
      <c r="P72" s="253" t="n">
        <v>71</v>
      </c>
      <c r="Q72" s="253" t="n">
        <v>47</v>
      </c>
      <c r="R72" s="253" t="n">
        <v>259</v>
      </c>
      <c r="S72" s="253" t="n">
        <v>75</v>
      </c>
      <c r="T72" s="253" t="n">
        <v>86</v>
      </c>
      <c r="U72" s="254">
        <f>SUM(S72:T72)/2</f>
        <v>80.5</v>
      </c>
      <c r="V72" s="254">
        <f>SUM(S72:T72)/2</f>
        <v>80.5</v>
      </c>
      <c r="W72" s="254">
        <f>SUM(S72:V72)</f>
        <v>322</v>
      </c>
      <c r="X72" s="270" t="n">
        <v>320</v>
      </c>
      <c r="Y72" s="270" t="n">
        <v>320</v>
      </c>
      <c r="Z72" s="270" t="n">
        <v>320</v>
      </c>
      <c r="AA72" s="270" t="n">
        <v>320</v>
      </c>
      <c r="AB72" s="270" t="n">
        <v>320</v>
      </c>
      <c r="AC72" s="19" t="n"/>
      <c r="AK72" s="25" t="inlineStr">
        <is>
          <t xml:space="preserve">  2028E</t>
        </is>
      </c>
      <c r="AL72" s="51">
        <f>MAX(0,AM72+$AL$70)</f>
        <v>500</v>
      </c>
      <c r="AM72" s="26" t="n">
        <v>0</v>
      </c>
      <c r="AN72" s="51">
        <f>MAX(0,AM72+$AN$70)</f>
        <v>0</v>
      </c>
    </row>
    <row r="73" ht="15" customHeight="1" s="251">
      <c r="AK73" s="25" t="inlineStr">
        <is>
          <t xml:space="preserve">  2029E</t>
        </is>
      </c>
      <c r="AL73" s="51">
        <f>MAX(0,AM73+$AL$70)</f>
        <v>1000</v>
      </c>
      <c r="AM73" s="26" t="n">
        <v>500</v>
      </c>
      <c r="AN73" s="51">
        <f>MAX(0,AM73+$AN$70)</f>
        <v>0</v>
      </c>
    </row>
    <row r="74" ht="15" customHeight="1" s="251">
      <c r="B74" s="14" t="inlineStr">
        <is>
          <t>Pending acquisition — Consolidated Precision Products (CPP; castings), $11.75bn cash, close expected 2H-2027 (8-K 8-Sep-2026)</t>
        </is>
      </c>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c r="AA74" s="14" t="n"/>
      <c r="AB74" s="14" t="n"/>
      <c r="AC74" s="15" t="inlineStr">
        <is>
          <t>CPP — deal block (toggle; closing-year share; standalone revenue and EBITDA from the deal deck; synergies phased; PPA assumed)</t>
        </is>
      </c>
      <c r="AK74" s="25" t="inlineStr">
        <is>
          <t xml:space="preserve">  2030E</t>
        </is>
      </c>
      <c r="AL74" s="51">
        <f>MAX(0,AM74+$AL$70)</f>
        <v>1000</v>
      </c>
      <c r="AM74" s="26" t="n">
        <v>500</v>
      </c>
      <c r="AN74" s="51">
        <f>MAX(0,AM74+$AN$70)</f>
        <v>0</v>
      </c>
    </row>
    <row r="75" ht="15" customHeight="1" s="251">
      <c r="B75" s="25" t="inlineStr">
        <is>
          <t xml:space="preserve">  Include CPP (1 = yes, 0 = no)</t>
        </is>
      </c>
      <c r="C75" s="36" t="n"/>
      <c r="D75" s="36" t="n"/>
      <c r="E75" s="36" t="n"/>
      <c r="F75" s="36" t="n"/>
      <c r="G75" s="36" t="n"/>
      <c r="H75" s="36" t="n"/>
      <c r="I75" s="36" t="n"/>
      <c r="J75" s="36" t="n"/>
      <c r="K75" s="36" t="n"/>
      <c r="L75" s="36" t="n"/>
      <c r="M75" s="36" t="n"/>
      <c r="N75" s="36" t="n"/>
      <c r="O75" s="36" t="n"/>
      <c r="P75" s="36" t="n"/>
      <c r="Q75" s="36" t="n"/>
      <c r="R75" s="36" t="n"/>
      <c r="S75" s="36" t="n"/>
      <c r="T75" s="36" t="n"/>
      <c r="U75" s="24" t="n"/>
      <c r="V75" s="24" t="n"/>
      <c r="W75" s="24" t="n"/>
      <c r="X75" s="271" t="n">
        <v>1</v>
      </c>
      <c r="Y75" s="271" t="n">
        <v>1</v>
      </c>
      <c r="Z75" s="271" t="n">
        <v>1</v>
      </c>
      <c r="AA75" s="271" t="n">
        <v>1</v>
      </c>
      <c r="AB75" s="271" t="n">
        <v>1</v>
      </c>
      <c r="AC75" s="19" t="n"/>
      <c r="AK75" s="25" t="inlineStr">
        <is>
          <t xml:space="preserve">  2031E</t>
        </is>
      </c>
      <c r="AL75" s="51">
        <f>MAX(0,AM75+$AL$70)</f>
        <v>1000</v>
      </c>
      <c r="AM75" s="26" t="n">
        <v>500</v>
      </c>
      <c r="AN75" s="51">
        <f>MAX(0,AM75+$AN$70)</f>
        <v>0</v>
      </c>
    </row>
    <row r="76" ht="15" customHeight="1" s="251">
      <c r="B76" s="25" t="inlineStr">
        <is>
          <t xml:space="preserve">  Closing year flag (1 in the closing year)</t>
        </is>
      </c>
      <c r="C76" s="36" t="n"/>
      <c r="D76" s="36" t="n"/>
      <c r="E76" s="36" t="n"/>
      <c r="F76" s="36" t="n"/>
      <c r="G76" s="36" t="n"/>
      <c r="H76" s="36" t="n"/>
      <c r="I76" s="36" t="n"/>
      <c r="J76" s="36" t="n"/>
      <c r="K76" s="36" t="n"/>
      <c r="L76" s="36" t="n"/>
      <c r="M76" s="36" t="n"/>
      <c r="N76" s="36" t="n"/>
      <c r="O76" s="36" t="n"/>
      <c r="P76" s="36" t="n"/>
      <c r="Q76" s="36" t="n"/>
      <c r="R76" s="36" t="n"/>
      <c r="S76" s="36" t="n"/>
      <c r="T76" s="36" t="n"/>
      <c r="U76" s="24" t="n"/>
      <c r="V76" s="24" t="n"/>
      <c r="W76" s="24" t="n"/>
      <c r="X76" s="271" t="n">
        <v>1</v>
      </c>
      <c r="Y76" s="271" t="n">
        <v>0</v>
      </c>
      <c r="Z76" s="271" t="n">
        <v>0</v>
      </c>
      <c r="AA76" s="271" t="n">
        <v>0</v>
      </c>
      <c r="AB76" s="271" t="n">
        <v>0</v>
      </c>
      <c r="AC76" s="19" t="n"/>
    </row>
    <row r="77" ht="15" customHeight="1" s="251">
      <c r="B77" s="25" t="inlineStr">
        <is>
          <t xml:space="preserve">  Share of the year consolidated (closing 30-Sep-2027 assumed → 0.25)</t>
        </is>
      </c>
      <c r="C77" s="36" t="n"/>
      <c r="D77" s="36" t="n"/>
      <c r="E77" s="36" t="n"/>
      <c r="F77" s="36" t="n"/>
      <c r="G77" s="36" t="n"/>
      <c r="H77" s="36" t="n"/>
      <c r="I77" s="36" t="n"/>
      <c r="J77" s="36" t="n"/>
      <c r="K77" s="36" t="n"/>
      <c r="L77" s="36" t="n"/>
      <c r="M77" s="36" t="n"/>
      <c r="N77" s="36" t="n"/>
      <c r="O77" s="36" t="n"/>
      <c r="P77" s="36" t="n"/>
      <c r="Q77" s="36" t="n"/>
      <c r="R77" s="36" t="n"/>
      <c r="S77" s="36" t="n"/>
      <c r="T77" s="36" t="n"/>
      <c r="U77" s="24" t="n"/>
      <c r="V77" s="24" t="n"/>
      <c r="W77" s="24" t="n"/>
      <c r="X77" s="267" t="n">
        <v>0.25</v>
      </c>
      <c r="Y77" s="267" t="n">
        <v>1</v>
      </c>
      <c r="Z77" s="267" t="n">
        <v>1</v>
      </c>
      <c r="AA77" s="267" t="n">
        <v>1</v>
      </c>
      <c r="AB77" s="267" t="n">
        <v>1</v>
      </c>
      <c r="AC77" s="19" t="inlineStr">
        <is>
          <t>Closing date not disclosed beyond "second half of 2027" — assumption.</t>
        </is>
      </c>
    </row>
    <row r="78" ht="15" customHeight="1" s="251">
      <c r="B78" s="25" t="inlineStr">
        <is>
          <t xml:space="preserve">  CPP standalone revenue (full year)</t>
        </is>
      </c>
      <c r="C78" s="34" t="n"/>
      <c r="D78" s="34" t="n"/>
      <c r="E78" s="34" t="n"/>
      <c r="F78" s="34" t="n"/>
      <c r="G78" s="34" t="n"/>
      <c r="H78" s="34" t="n"/>
      <c r="I78" s="34" t="n"/>
      <c r="J78" s="34" t="n"/>
      <c r="K78" s="34" t="n"/>
      <c r="L78" s="34" t="n"/>
      <c r="M78" s="34" t="n"/>
      <c r="N78" s="34" t="n"/>
      <c r="O78" s="34" t="n"/>
      <c r="P78" s="34" t="n"/>
      <c r="Q78" s="34" t="n"/>
      <c r="R78" s="34" t="n"/>
      <c r="S78" s="34" t="n"/>
      <c r="T78" s="34" t="n"/>
      <c r="U78" s="35" t="n"/>
      <c r="V78" s="35" t="n"/>
      <c r="W78" s="35" t="n"/>
      <c r="X78" s="254">
        <f>2000.0</f>
        <v>2000</v>
      </c>
      <c r="Y78" s="254">
        <f>X78*(1+Y79)</f>
        <v>2160</v>
      </c>
      <c r="Z78" s="254">
        <f>Y78*(1+Z79)</f>
        <v>2332.8</v>
      </c>
      <c r="AA78" s="254">
        <f>Z78*(1+AA79)</f>
        <v>2519.424</v>
      </c>
      <c r="AB78" s="254">
        <f>AA78*(1+AB79)</f>
        <v>2720.97792</v>
      </c>
      <c r="AC78" s="19" t="inlineStr">
        <is>
          <t>~$2.0bn 2027E revenue (deal presentation, 8-K 8-Sep-2026). 2028E+: growth input (assumption).</t>
        </is>
      </c>
    </row>
    <row r="79" ht="15" customHeight="1" s="251">
      <c r="B79" s="25" t="inlineStr">
        <is>
          <t xml:space="preserve">  CPP revenue growth %</t>
        </is>
      </c>
      <c r="C79" s="36" t="n"/>
      <c r="D79" s="36" t="n"/>
      <c r="E79" s="36" t="n"/>
      <c r="F79" s="36" t="n"/>
      <c r="G79" s="36" t="n"/>
      <c r="H79" s="36" t="n"/>
      <c r="I79" s="36" t="n"/>
      <c r="J79" s="36" t="n"/>
      <c r="K79" s="36" t="n"/>
      <c r="L79" s="36" t="n"/>
      <c r="M79" s="36" t="n"/>
      <c r="N79" s="36" t="n"/>
      <c r="O79" s="36" t="n"/>
      <c r="P79" s="36" t="n"/>
      <c r="Q79" s="36" t="n"/>
      <c r="R79" s="36" t="n"/>
      <c r="S79" s="36" t="n"/>
      <c r="T79" s="36" t="n"/>
      <c r="U79" s="24" t="n"/>
      <c r="V79" s="24" t="n"/>
      <c r="W79" s="24" t="n"/>
      <c r="X79" s="267" t="n">
        <v>0.08</v>
      </c>
      <c r="Y79" s="267" t="n">
        <v>0.08</v>
      </c>
      <c r="Z79" s="267" t="n">
        <v>0.08</v>
      </c>
      <c r="AA79" s="267" t="n">
        <v>0.08</v>
      </c>
      <c r="AB79" s="267" t="n">
        <v>0.08</v>
      </c>
      <c r="AC79" s="19" t="n"/>
    </row>
    <row r="80" collapsed="1" ht="15" customHeight="1" s="251">
      <c r="B80" s="25" t="inlineStr">
        <is>
          <t xml:space="preserve">  Share of CPP revenue sold to GE Aerospace (eliminated on consolidation; assumption — not disclosed)</t>
        </is>
      </c>
      <c r="C80" s="36" t="n"/>
      <c r="D80" s="36" t="n"/>
      <c r="E80" s="36" t="n"/>
      <c r="F80" s="36" t="n"/>
      <c r="G80" s="36" t="n"/>
      <c r="H80" s="36" t="n"/>
      <c r="I80" s="36" t="n"/>
      <c r="J80" s="36" t="n"/>
      <c r="K80" s="36" t="n"/>
      <c r="L80" s="36" t="n"/>
      <c r="M80" s="36" t="n"/>
      <c r="N80" s="36" t="n"/>
      <c r="O80" s="36" t="n"/>
      <c r="P80" s="36" t="n"/>
      <c r="Q80" s="36" t="n"/>
      <c r="R80" s="36" t="n"/>
      <c r="S80" s="36" t="n"/>
      <c r="T80" s="36" t="n"/>
      <c r="U80" s="24" t="n"/>
      <c r="V80" s="24" t="n"/>
      <c r="W80" s="24" t="n"/>
      <c r="X80" s="267" t="n">
        <v>0.25</v>
      </c>
      <c r="Y80" s="267" t="n">
        <v>0.25</v>
      </c>
      <c r="Z80" s="267" t="n">
        <v>0.25</v>
      </c>
      <c r="AA80" s="267" t="n">
        <v>0.25</v>
      </c>
      <c r="AB80" s="267" t="n">
        <v>0.25</v>
      </c>
      <c r="AC80" s="19" t="n"/>
    </row>
    <row r="81" ht="15" customHeight="1" s="251">
      <c r="B81" s="16" t="inlineStr">
        <is>
          <t xml:space="preserve">  CPP revenue consolidated (external)</t>
        </is>
      </c>
      <c r="C81" s="43" t="n"/>
      <c r="D81" s="43" t="n"/>
      <c r="E81" s="43" t="n"/>
      <c r="F81" s="43" t="n"/>
      <c r="G81" s="43" t="n"/>
      <c r="H81" s="43" t="n"/>
      <c r="I81" s="43" t="n"/>
      <c r="J81" s="43" t="n"/>
      <c r="K81" s="43" t="n"/>
      <c r="L81" s="43" t="n"/>
      <c r="M81" s="43" t="n"/>
      <c r="N81" s="43" t="n"/>
      <c r="O81" s="43" t="n"/>
      <c r="P81" s="43" t="n"/>
      <c r="Q81" s="43" t="n"/>
      <c r="R81" s="43" t="n"/>
      <c r="S81" s="43" t="n"/>
      <c r="T81" s="43" t="n"/>
      <c r="U81" s="32" t="n"/>
      <c r="V81" s="32" t="n"/>
      <c r="W81" s="32" t="n"/>
      <c r="X81" s="261">
        <f>X75*X77*X78*(1-X80)</f>
        <v>375</v>
      </c>
      <c r="Y81" s="261">
        <f>Y75*Y77*Y78*(1-Y80)</f>
        <v>1620</v>
      </c>
      <c r="Z81" s="261">
        <f>Z75*Z77*Z78*(1-Z80)</f>
        <v>1749.6</v>
      </c>
      <c r="AA81" s="261">
        <f>AA75*AA77*AA78*(1-AA80)</f>
        <v>1889.568</v>
      </c>
      <c r="AB81" s="261">
        <f>AB75*AB77*AB78*(1-AB80)</f>
        <v>2040.73344</v>
      </c>
      <c r="AC81" s="153" t="n"/>
    </row>
    <row r="82" ht="15" customHeight="1" s="251">
      <c r="B82" s="25" t="inlineStr">
        <is>
          <t xml:space="preserve">  CPP EBITDA margin before synergies % ($11.75bn ÷ ~26x ≈ $452m on ~$2.0bn)</t>
        </is>
      </c>
      <c r="C82" s="36" t="n"/>
      <c r="D82" s="36" t="n"/>
      <c r="E82" s="36" t="n"/>
      <c r="F82" s="36" t="n"/>
      <c r="G82" s="36" t="n"/>
      <c r="H82" s="36" t="n"/>
      <c r="I82" s="36" t="n"/>
      <c r="J82" s="36" t="n"/>
      <c r="K82" s="36" t="n"/>
      <c r="L82" s="36" t="n"/>
      <c r="M82" s="36" t="n"/>
      <c r="N82" s="36" t="n"/>
      <c r="O82" s="36" t="n"/>
      <c r="P82" s="36" t="n"/>
      <c r="Q82" s="36" t="n"/>
      <c r="R82" s="36" t="n"/>
      <c r="S82" s="36" t="n"/>
      <c r="T82" s="36" t="n"/>
      <c r="U82" s="24" t="n"/>
      <c r="V82" s="24" t="n"/>
      <c r="W82" s="24" t="n"/>
      <c r="X82" s="267" t="n">
        <v>0.226</v>
      </c>
      <c r="Y82" s="267" t="n">
        <v>0.226</v>
      </c>
      <c r="Z82" s="267" t="n">
        <v>0.226</v>
      </c>
      <c r="AA82" s="267" t="n">
        <v>0.226</v>
      </c>
      <c r="AB82" s="267" t="n">
        <v>0.226</v>
      </c>
      <c r="AC82" s="19" t="n"/>
    </row>
    <row r="83" ht="15" customHeight="1" s="251">
      <c r="B83" s="25" t="inlineStr">
        <is>
          <t xml:space="preserve">  Net synergies (run-rate ~$200m by year 3 × phasing × scenario realisation)</t>
        </is>
      </c>
      <c r="C83" s="34" t="n"/>
      <c r="D83" s="34" t="n"/>
      <c r="E83" s="34" t="n"/>
      <c r="F83" s="34" t="n"/>
      <c r="G83" s="34" t="n"/>
      <c r="H83" s="34" t="n"/>
      <c r="I83" s="34" t="n"/>
      <c r="J83" s="34" t="n"/>
      <c r="K83" s="34" t="n"/>
      <c r="L83" s="34" t="n"/>
      <c r="M83" s="34" t="n"/>
      <c r="N83" s="34" t="n"/>
      <c r="O83" s="34" t="n"/>
      <c r="P83" s="34" t="n"/>
      <c r="Q83" s="34" t="n"/>
      <c r="R83" s="34" t="n"/>
      <c r="S83" s="34" t="n"/>
      <c r="T83" s="34" t="n"/>
      <c r="U83" s="35" t="n"/>
      <c r="V83" s="35" t="n"/>
      <c r="W83" s="35" t="n"/>
      <c r="X83" s="254">
        <f>X75*200.0*0.0*CHOOSE(MATCH($AC$2,{"Bull","Base","Bear"},0),$AL$65,$AM$65,$AN$65)</f>
        <v>0</v>
      </c>
      <c r="Y83" s="254">
        <f>Y75*200.0*0.25*CHOOSE(MATCH($AC$2,{"Bull","Base","Bear"},0),$AL$66,$AM$66,$AN$66)</f>
        <v>50</v>
      </c>
      <c r="Z83" s="254">
        <f>Z75*200.0*0.6*CHOOSE(MATCH($AC$2,{"Bull","Base","Bear"},0),$AL$67,$AM$67,$AN$67)</f>
        <v>120</v>
      </c>
      <c r="AA83" s="254">
        <f>AA75*200.0*1.0*CHOOSE(MATCH($AC$2,{"Bull","Base","Bear"},0),$AL$68,$AM$68,$AN$68)</f>
        <v>200</v>
      </c>
      <c r="AB83" s="254">
        <f>AB75*200.0*1.2*CHOOSE(MATCH($AC$2,{"Bull","Base","Bear"},0),$AL$69,$AM$69,$AN$69)</f>
        <v>240</v>
      </c>
      <c r="AC83" s="19" t="inlineStr">
        <is>
          <t>Deck: ~$200m net synergies by year 3, &gt;2x by year 6. Phasing 0% / 25% / 60% / 100% / 120% for 2027E–31E (assumption); realisation = scenario multiplier.</t>
        </is>
      </c>
    </row>
    <row r="84" ht="15" customHeight="1" s="251">
      <c r="B84" s="25" t="inlineStr">
        <is>
          <t xml:space="preserve">  CPP depreciation (% of standalone revenue; assumption)</t>
        </is>
      </c>
      <c r="C84" s="34" t="n"/>
      <c r="D84" s="34" t="n"/>
      <c r="E84" s="34" t="n"/>
      <c r="F84" s="34" t="n"/>
      <c r="G84" s="34" t="n"/>
      <c r="H84" s="34" t="n"/>
      <c r="I84" s="34" t="n"/>
      <c r="J84" s="34" t="n"/>
      <c r="K84" s="34" t="n"/>
      <c r="L84" s="34" t="n"/>
      <c r="M84" s="34" t="n"/>
      <c r="N84" s="34" t="n"/>
      <c r="O84" s="34" t="n"/>
      <c r="P84" s="34" t="n"/>
      <c r="Q84" s="34" t="n"/>
      <c r="R84" s="34" t="n"/>
      <c r="S84" s="34" t="n"/>
      <c r="T84" s="34" t="n"/>
      <c r="U84" s="35" t="n"/>
      <c r="V84" s="35" t="n"/>
      <c r="W84" s="35" t="n"/>
      <c r="X84" s="254">
        <f>X75*X77*X78*0.05</f>
        <v>25</v>
      </c>
      <c r="Y84" s="254">
        <f>Y75*Y77*Y78*0.05</f>
        <v>108</v>
      </c>
      <c r="Z84" s="254">
        <f>Z75*Z77*Z78*0.05</f>
        <v>116.64</v>
      </c>
      <c r="AA84" s="254">
        <f>AA75*AA77*AA78*0.05</f>
        <v>125.9712</v>
      </c>
      <c r="AB84" s="254">
        <f>AB75*AB77*AB78*0.05</f>
        <v>136.048896</v>
      </c>
      <c r="AC84" s="19" t="n"/>
    </row>
    <row r="85" ht="15" customHeight="1" s="251">
      <c r="B85" s="25" t="inlineStr">
        <is>
          <t xml:space="preserve">  Amortization of acquired CPP intangibles (PPA; 35% of price over 15 years — assumption)</t>
        </is>
      </c>
      <c r="C85" s="34" t="n"/>
      <c r="D85" s="34" t="n"/>
      <c r="E85" s="34" t="n"/>
      <c r="F85" s="34" t="n"/>
      <c r="G85" s="34" t="n"/>
      <c r="H85" s="34" t="n"/>
      <c r="I85" s="34" t="n"/>
      <c r="J85" s="34" t="n"/>
      <c r="K85" s="34" t="n"/>
      <c r="L85" s="34" t="n"/>
      <c r="M85" s="34" t="n"/>
      <c r="N85" s="34" t="n"/>
      <c r="O85" s="34" t="n"/>
      <c r="P85" s="34" t="n"/>
      <c r="Q85" s="34" t="n"/>
      <c r="R85" s="34" t="n"/>
      <c r="S85" s="34" t="n"/>
      <c r="T85" s="34" t="n"/>
      <c r="U85" s="35" t="n"/>
      <c r="V85" s="35" t="n"/>
      <c r="W85" s="35" t="n"/>
      <c r="X85" s="254">
        <f>X75*X77*11750.0*0.35/15</f>
        <v>68.5416666666667</v>
      </c>
      <c r="Y85" s="254">
        <f>Y75*Y77*11750.0*0.35/15</f>
        <v>274.166666666667</v>
      </c>
      <c r="Z85" s="254">
        <f>Z75*Z77*11750.0*0.35/15</f>
        <v>274.166666666667</v>
      </c>
      <c r="AA85" s="254">
        <f>AA75*AA77*11750.0*0.35/15</f>
        <v>274.166666666667</v>
      </c>
      <c r="AB85" s="254">
        <f>AB75*AB77*11750.0*0.35/15</f>
        <v>274.166666666667</v>
      </c>
      <c r="AC85" s="19" t="n"/>
    </row>
    <row r="86" ht="15" customHeight="1" s="251">
      <c r="B86" s="16" t="inlineStr">
        <is>
          <t xml:space="preserve">  CPP operating profit (EBITDA incl. inter-company sales − depreciation − PPA amortization + synergies)</t>
        </is>
      </c>
      <c r="C86" s="43" t="n"/>
      <c r="D86" s="43" t="n"/>
      <c r="E86" s="43" t="n"/>
      <c r="F86" s="43" t="n"/>
      <c r="G86" s="43" t="n"/>
      <c r="H86" s="43" t="n"/>
      <c r="I86" s="43" t="n"/>
      <c r="J86" s="43" t="n"/>
      <c r="K86" s="43" t="n"/>
      <c r="L86" s="43" t="n"/>
      <c r="M86" s="43" t="n"/>
      <c r="N86" s="43" t="n"/>
      <c r="O86" s="43" t="n"/>
      <c r="P86" s="43" t="n"/>
      <c r="Q86" s="43" t="n"/>
      <c r="R86" s="43" t="n"/>
      <c r="S86" s="43" t="n"/>
      <c r="T86" s="43" t="n"/>
      <c r="U86" s="32" t="n"/>
      <c r="V86" s="32" t="n"/>
      <c r="W86" s="32" t="n"/>
      <c r="X86" s="261">
        <f>X75*X77*X78*X82-X84-X85+X83</f>
        <v>19.4583333333333</v>
      </c>
      <c r="Y86" s="261">
        <f>Y75*Y77*Y78*Y82-Y84-Y85+Y83</f>
        <v>155.993333333333</v>
      </c>
      <c r="Z86" s="261">
        <f>Z75*Z77*Z78*Z82-Z84-Z85+Z83</f>
        <v>256.406133333333</v>
      </c>
      <c r="AA86" s="261">
        <f>AA75*AA77*AA78*AA82-AA84-AA85+AA83</f>
        <v>369.251957333333</v>
      </c>
      <c r="AB86" s="261">
        <f>AB75*AB77*AB78*AB82-AB84-AB85+AB83</f>
        <v>444.725447253333</v>
      </c>
      <c r="AC86" s="153" t="inlineStr">
        <is>
          <t>Margin on sales to GE Aerospace stays in the group (lower GE cost of sales), so the full standalone EBITDA is consolidated while only external revenue is. GE operating profit is after amortization; the deck's accretion basis excludes deal amortization.</t>
        </is>
      </c>
    </row>
    <row r="87" ht="15" customHeight="1" s="251">
      <c r="B87" s="156" t="inlineStr">
        <is>
          <t xml:space="preserve">  Memo: CPP EBITDA for the full closing year (pro forma; leverage / EV)</t>
        </is>
      </c>
      <c r="C87" s="44" t="n"/>
      <c r="D87" s="44" t="n"/>
      <c r="E87" s="44" t="n"/>
      <c r="F87" s="44" t="n"/>
      <c r="G87" s="44" t="n"/>
      <c r="H87" s="44" t="n"/>
      <c r="I87" s="44" t="n"/>
      <c r="J87" s="44" t="n"/>
      <c r="K87" s="44" t="n"/>
      <c r="L87" s="44" t="n"/>
      <c r="M87" s="44" t="n"/>
      <c r="N87" s="44" t="n"/>
      <c r="O87" s="44" t="n"/>
      <c r="P87" s="44" t="n"/>
      <c r="Q87" s="44" t="n"/>
      <c r="R87" s="44" t="n"/>
      <c r="S87" s="44" t="n"/>
      <c r="T87" s="44" t="n"/>
      <c r="U87" s="35" t="n"/>
      <c r="V87" s="35" t="n"/>
      <c r="W87" s="35" t="n"/>
      <c r="X87" s="254">
        <f>X75*X78*X82+X83</f>
        <v>452</v>
      </c>
      <c r="Y87" s="254">
        <f>Y75*Y78*Y82+Y83</f>
        <v>538.16</v>
      </c>
      <c r="Z87" s="254">
        <f>Z75*Z78*Z82+Z83</f>
        <v>647.2128</v>
      </c>
      <c r="AA87" s="254">
        <f>AA75*AA78*AA82+AA83</f>
        <v>769.389824</v>
      </c>
      <c r="AB87" s="254">
        <f>AB75*AB78*AB82+AB83</f>
        <v>854.94100992</v>
      </c>
      <c r="AC87" s="153" t="n"/>
    </row>
    <row r="88" collapsed="1" ht="15" customHeight="1" s="251">
      <c r="AK88" s="11" t="n"/>
      <c r="AL88" s="12" t="n"/>
      <c r="AM88" s="12" t="n"/>
      <c r="AN88" s="12" t="n"/>
      <c r="AO88" s="13" t="n"/>
    </row>
    <row r="89" ht="15" customHeight="1" s="251">
      <c r="B89" s="14" t="inlineStr">
        <is>
          <t>Future acquisitions (M&amp;A lever — bolt-ons beyond CPP; deals closed from 2027E)</t>
        </is>
      </c>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c r="AA89" s="14" t="n"/>
      <c r="AB89" s="14" t="n"/>
      <c r="AC89" s="15" t="inlineStr">
        <is>
          <t>M&amp;A LEVER — acquired revenue = spend ÷ EV/sales; mid-year convention</t>
        </is>
      </c>
    </row>
    <row r="90" ht="15" customHeight="1" s="251">
      <c r="B90" s="25" t="inlineStr">
        <is>
          <t xml:space="preserve">  Acquisition spend (USDm, scenario)</t>
        </is>
      </c>
      <c r="C90" s="34" t="n"/>
      <c r="D90" s="34" t="n"/>
      <c r="E90" s="34" t="n"/>
      <c r="F90" s="34" t="n"/>
      <c r="G90" s="34" t="n"/>
      <c r="H90" s="34" t="n"/>
      <c r="I90" s="34" t="n"/>
      <c r="J90" s="34" t="n"/>
      <c r="K90" s="34" t="n"/>
      <c r="L90" s="34" t="n"/>
      <c r="M90" s="34" t="n"/>
      <c r="N90" s="34" t="n"/>
      <c r="O90" s="34" t="n"/>
      <c r="P90" s="34" t="n"/>
      <c r="Q90" s="34" t="n"/>
      <c r="R90" s="34" t="n"/>
      <c r="S90" s="34" t="n"/>
      <c r="T90" s="34" t="n"/>
      <c r="U90" s="35" t="n"/>
      <c r="V90" s="35" t="n"/>
      <c r="W90" s="35" t="n"/>
      <c r="X90" s="254">
        <f>MAX(0,CHOOSE(MATCH($AC$2,{"Bull","Base","Bear"},0),$AL$71,$AM$71,$AN$71))</f>
        <v>0</v>
      </c>
      <c r="Y90" s="254">
        <f>MAX(0,CHOOSE(MATCH($AC$2,{"Bull","Base","Bear"},0),$AL$72,$AM$72,$AN$72))</f>
        <v>0</v>
      </c>
      <c r="Z90" s="254">
        <f>MAX(0,CHOOSE(MATCH($AC$2,{"Bull","Base","Bear"},0),$AL$73,$AM$73,$AN$73))</f>
        <v>500</v>
      </c>
      <c r="AA90" s="254">
        <f>MAX(0,CHOOSE(MATCH($AC$2,{"Bull","Base","Bear"},0),$AL$74,$AM$74,$AN$74))</f>
        <v>500</v>
      </c>
      <c r="AB90" s="254">
        <f>MAX(0,CHOOSE(MATCH($AC$2,{"Bull","Base","Bear"},0),$AL$75,$AM$75,$AN$75))</f>
        <v>500</v>
      </c>
      <c r="AC90" s="19" t="inlineStr">
        <is>
          <t>Scenario lever M&amp;A_spend (bolt-ons beyond CPP). Funded from cash / revolver (debt schedule).</t>
        </is>
      </c>
    </row>
    <row r="91" ht="15" customHeight="1" s="251">
      <c r="B91" s="25" t="inlineStr">
        <is>
          <t xml:space="preserve">  Purchase multiple — EV / sales (x)</t>
        </is>
      </c>
      <c r="C91" s="36" t="n"/>
      <c r="D91" s="36" t="n"/>
      <c r="E91" s="36" t="n"/>
      <c r="F91" s="36" t="n"/>
      <c r="G91" s="36" t="n"/>
      <c r="H91" s="36" t="n"/>
      <c r="I91" s="36" t="n"/>
      <c r="J91" s="36" t="n"/>
      <c r="K91" s="36" t="n"/>
      <c r="L91" s="36" t="n"/>
      <c r="M91" s="36" t="n"/>
      <c r="N91" s="36" t="n"/>
      <c r="O91" s="36" t="n"/>
      <c r="P91" s="36" t="n"/>
      <c r="Q91" s="36" t="n"/>
      <c r="R91" s="36" t="n"/>
      <c r="S91" s="36" t="n"/>
      <c r="T91" s="36" t="n"/>
      <c r="U91" s="24" t="n"/>
      <c r="V91" s="24" t="n"/>
      <c r="W91" s="24" t="n"/>
      <c r="X91" s="272" t="n">
        <v>4</v>
      </c>
      <c r="Y91" s="272" t="n">
        <v>4</v>
      </c>
      <c r="Z91" s="272" t="n">
        <v>4</v>
      </c>
      <c r="AA91" s="272" t="n">
        <v>4</v>
      </c>
      <c r="AB91" s="272" t="n">
        <v>4</v>
      </c>
      <c r="AC91" s="19" t="inlineStr">
        <is>
          <t>Aerospace components bolt-ons; CPP at ~5.9x 2027E sales. 4.0x input (assumption).</t>
        </is>
      </c>
    </row>
    <row r="92" ht="15" customHeight="1" s="251">
      <c r="B92" s="25" t="inlineStr">
        <is>
          <t xml:space="preserve">  Annualised revenue acquired in the year</t>
        </is>
      </c>
      <c r="C92" s="34" t="n"/>
      <c r="D92" s="34" t="n"/>
      <c r="E92" s="34" t="n"/>
      <c r="F92" s="34" t="n"/>
      <c r="G92" s="34" t="n"/>
      <c r="H92" s="34" t="n"/>
      <c r="I92" s="34" t="n"/>
      <c r="J92" s="34" t="n"/>
      <c r="K92" s="34" t="n"/>
      <c r="L92" s="34" t="n"/>
      <c r="M92" s="34" t="n"/>
      <c r="N92" s="34" t="n"/>
      <c r="O92" s="34" t="n"/>
      <c r="P92" s="34" t="n"/>
      <c r="Q92" s="34" t="n"/>
      <c r="R92" s="34" t="n"/>
      <c r="S92" s="34" t="n"/>
      <c r="T92" s="34" t="n"/>
      <c r="U92" s="35" t="n"/>
      <c r="V92" s="35" t="n"/>
      <c r="W92" s="35" t="n"/>
      <c r="X92" s="254">
        <f>IFERROR(X90/X91,0)</f>
        <v>0</v>
      </c>
      <c r="Y92" s="254">
        <f>IFERROR(Y90/Y91,0)</f>
        <v>0</v>
      </c>
      <c r="Z92" s="254">
        <f>IFERROR(Z90/Z91,0)</f>
        <v>125</v>
      </c>
      <c r="AA92" s="254">
        <f>IFERROR(AA90/AA91,0)</f>
        <v>125</v>
      </c>
      <c r="AB92" s="254">
        <f>IFERROR(AB90/AB91,0)</f>
        <v>125</v>
      </c>
      <c r="AC92" s="19" t="n"/>
    </row>
    <row r="93" ht="15" customHeight="1" s="251">
      <c r="B93" s="25" t="inlineStr">
        <is>
          <t xml:space="preserve">  Growth of acquired businesses after acquisition %</t>
        </is>
      </c>
      <c r="C93" s="36" t="n"/>
      <c r="D93" s="36" t="n"/>
      <c r="E93" s="36" t="n"/>
      <c r="F93" s="36" t="n"/>
      <c r="G93" s="36" t="n"/>
      <c r="H93" s="36" t="n"/>
      <c r="I93" s="36" t="n"/>
      <c r="J93" s="36" t="n"/>
      <c r="K93" s="36" t="n"/>
      <c r="L93" s="36" t="n"/>
      <c r="M93" s="36" t="n"/>
      <c r="N93" s="36" t="n"/>
      <c r="O93" s="36" t="n"/>
      <c r="P93" s="36" t="n"/>
      <c r="Q93" s="36" t="n"/>
      <c r="R93" s="36" t="n"/>
      <c r="S93" s="36" t="n"/>
      <c r="T93" s="36" t="n"/>
      <c r="U93" s="24" t="n"/>
      <c r="V93" s="24" t="n"/>
      <c r="W93" s="24" t="n"/>
      <c r="X93" s="267" t="n">
        <v>0.06</v>
      </c>
      <c r="Y93" s="267" t="n">
        <v>0.06</v>
      </c>
      <c r="Z93" s="267" t="n">
        <v>0.06</v>
      </c>
      <c r="AA93" s="267" t="n">
        <v>0.06</v>
      </c>
      <c r="AB93" s="267" t="n">
        <v>0.06</v>
      </c>
      <c r="AC93" s="19" t="n"/>
    </row>
    <row r="94" ht="15" customHeight="1" s="251">
      <c r="B94" s="25" t="inlineStr">
        <is>
          <t xml:space="preserve">  Run-rate revenue of businesses acquired (year end)</t>
        </is>
      </c>
      <c r="C94" s="34" t="n"/>
      <c r="D94" s="34" t="n"/>
      <c r="E94" s="34" t="n"/>
      <c r="F94" s="34" t="n"/>
      <c r="G94" s="34" t="n"/>
      <c r="H94" s="34" t="n"/>
      <c r="I94" s="34" t="n"/>
      <c r="J94" s="34" t="n"/>
      <c r="K94" s="34" t="n"/>
      <c r="L94" s="34" t="n"/>
      <c r="M94" s="34" t="n"/>
      <c r="N94" s="34" t="n"/>
      <c r="O94" s="34" t="n"/>
      <c r="P94" s="34" t="n"/>
      <c r="Q94" s="34" t="n"/>
      <c r="R94" s="34" t="n"/>
      <c r="S94" s="34" t="n"/>
      <c r="T94" s="34" t="n"/>
      <c r="U94" s="35" t="n"/>
      <c r="V94" s="35" t="n"/>
      <c r="W94" s="35" t="n"/>
      <c r="X94" s="254">
        <f>N(W94)*(1+X93)+X92</f>
        <v>0</v>
      </c>
      <c r="Y94" s="254">
        <f>N(X94)*(1+Y93)+Y92</f>
        <v>0</v>
      </c>
      <c r="Z94" s="254">
        <f>N(Y94)*(1+Z93)+Z92</f>
        <v>125</v>
      </c>
      <c r="AA94" s="254">
        <f>N(Z94)*(1+AA93)+AA92</f>
        <v>257.5</v>
      </c>
      <c r="AB94" s="254">
        <f>N(AA94)*(1+AB93)+AB92</f>
        <v>397.95</v>
      </c>
      <c r="AC94" s="19" t="n"/>
    </row>
    <row r="95" ht="15" customHeight="1" s="251">
      <c r="B95" s="16" t="inlineStr">
        <is>
          <t xml:space="preserve">  Revenue from future acquisitions</t>
        </is>
      </c>
      <c r="C95" s="43" t="n"/>
      <c r="D95" s="43" t="n"/>
      <c r="E95" s="43" t="n"/>
      <c r="F95" s="43" t="n"/>
      <c r="G95" s="43" t="n"/>
      <c r="H95" s="43" t="n"/>
      <c r="I95" s="43" t="n"/>
      <c r="J95" s="43" t="n"/>
      <c r="K95" s="43" t="n"/>
      <c r="L95" s="43" t="n"/>
      <c r="M95" s="43" t="n"/>
      <c r="N95" s="43" t="n"/>
      <c r="O95" s="43" t="n"/>
      <c r="P95" s="43" t="n"/>
      <c r="Q95" s="43" t="n"/>
      <c r="R95" s="43" t="n"/>
      <c r="S95" s="43" t="n"/>
      <c r="T95" s="43" t="n"/>
      <c r="U95" s="32" t="n"/>
      <c r="V95" s="32" t="n"/>
      <c r="W95" s="32" t="n"/>
      <c r="X95" s="261">
        <f>N(W94)*(1+X93)+0.5*X92</f>
        <v>0</v>
      </c>
      <c r="Y95" s="261">
        <f>N(X94)*(1+Y93)+0.5*Y92</f>
        <v>0</v>
      </c>
      <c r="Z95" s="261">
        <f>N(Y94)*(1+Z93)+0.5*Z92</f>
        <v>62.5</v>
      </c>
      <c r="AA95" s="261">
        <f>N(Z94)*(1+AA93)+0.5*AA92</f>
        <v>195</v>
      </c>
      <c r="AB95" s="261">
        <f>N(AA94)*(1+AB93)+0.5*AB92</f>
        <v>335.45</v>
      </c>
      <c r="AC95" s="153" t="inlineStr">
        <is>
          <t>Mid-year convention.</t>
        </is>
      </c>
    </row>
    <row r="96" ht="15" customHeight="1" s="251">
      <c r="B96" s="25" t="inlineStr">
        <is>
          <t xml:space="preserve">  Operating margin of acquired businesses (after amortization) %</t>
        </is>
      </c>
      <c r="C96" s="36" t="n"/>
      <c r="D96" s="36" t="n"/>
      <c r="E96" s="36" t="n"/>
      <c r="F96" s="36" t="n"/>
      <c r="G96" s="36" t="n"/>
      <c r="H96" s="36" t="n"/>
      <c r="I96" s="36" t="n"/>
      <c r="J96" s="36" t="n"/>
      <c r="K96" s="36" t="n"/>
      <c r="L96" s="36" t="n"/>
      <c r="M96" s="36" t="n"/>
      <c r="N96" s="36" t="n"/>
      <c r="O96" s="36" t="n"/>
      <c r="P96" s="36" t="n"/>
      <c r="Q96" s="36" t="n"/>
      <c r="R96" s="36" t="n"/>
      <c r="S96" s="36" t="n"/>
      <c r="T96" s="36" t="n"/>
      <c r="U96" s="24" t="n"/>
      <c r="V96" s="24" t="n"/>
      <c r="W96" s="24" t="n"/>
      <c r="X96" s="267" t="n">
        <v>0.16</v>
      </c>
      <c r="Y96" s="267" t="n">
        <v>0.16</v>
      </c>
      <c r="Z96" s="267" t="n">
        <v>0.16</v>
      </c>
      <c r="AA96" s="267" t="n">
        <v>0.16</v>
      </c>
      <c r="AB96" s="267" t="n">
        <v>0.16</v>
      </c>
      <c r="AC96" s="19" t="n"/>
    </row>
    <row r="97" ht="15" customHeight="1" s="251">
      <c r="B97" s="25" t="inlineStr">
        <is>
          <t xml:space="preserve">  Operating profit from future acquisitions</t>
        </is>
      </c>
      <c r="C97" s="34" t="n"/>
      <c r="D97" s="34" t="n"/>
      <c r="E97" s="34" t="n"/>
      <c r="F97" s="34" t="n"/>
      <c r="G97" s="34" t="n"/>
      <c r="H97" s="34" t="n"/>
      <c r="I97" s="34" t="n"/>
      <c r="J97" s="34" t="n"/>
      <c r="K97" s="34" t="n"/>
      <c r="L97" s="34" t="n"/>
      <c r="M97" s="34" t="n"/>
      <c r="N97" s="34" t="n"/>
      <c r="O97" s="34" t="n"/>
      <c r="P97" s="34" t="n"/>
      <c r="Q97" s="34" t="n"/>
      <c r="R97" s="34" t="n"/>
      <c r="S97" s="34" t="n"/>
      <c r="T97" s="34" t="n"/>
      <c r="U97" s="35" t="n"/>
      <c r="V97" s="35" t="n"/>
      <c r="W97" s="35" t="n"/>
      <c r="X97" s="254">
        <f>X95*X96</f>
        <v>0</v>
      </c>
      <c r="Y97" s="254">
        <f>Y95*Y96</f>
        <v>0</v>
      </c>
      <c r="Z97" s="254">
        <f>Z95*Z96</f>
        <v>10</v>
      </c>
      <c r="AA97" s="254">
        <f>AA95*AA96</f>
        <v>31.2</v>
      </c>
      <c r="AB97" s="254">
        <f>AB95*AB96</f>
        <v>53.672</v>
      </c>
      <c r="AC97" s="19" t="n"/>
    </row>
    <row r="98" ht="15" customHeight="1" s="251">
      <c r="B98" s="25" t="inlineStr">
        <is>
          <t xml:space="preserve">  PP&amp;E % of spend</t>
        </is>
      </c>
      <c r="C98" s="36" t="n"/>
      <c r="D98" s="36" t="n"/>
      <c r="E98" s="36" t="n"/>
      <c r="F98" s="36" t="n"/>
      <c r="G98" s="36" t="n"/>
      <c r="H98" s="36" t="n"/>
      <c r="I98" s="36" t="n"/>
      <c r="J98" s="36" t="n"/>
      <c r="K98" s="36" t="n"/>
      <c r="L98" s="36" t="n"/>
      <c r="M98" s="36" t="n"/>
      <c r="N98" s="36" t="n"/>
      <c r="O98" s="36" t="n"/>
      <c r="P98" s="36" t="n"/>
      <c r="Q98" s="36" t="n"/>
      <c r="R98" s="36" t="n"/>
      <c r="S98" s="36" t="n"/>
      <c r="T98" s="36" t="n"/>
      <c r="U98" s="24" t="n"/>
      <c r="V98" s="24" t="n"/>
      <c r="W98" s="24" t="n"/>
      <c r="X98" s="267" t="n">
        <v>0.15</v>
      </c>
      <c r="Y98" s="267" t="n">
        <v>0.15</v>
      </c>
      <c r="Z98" s="267" t="n">
        <v>0.15</v>
      </c>
      <c r="AA98" s="267" t="n">
        <v>0.15</v>
      </c>
      <c r="AB98" s="267" t="n">
        <v>0.15</v>
      </c>
      <c r="AC98" s="19" t="n"/>
    </row>
    <row r="99" ht="15" customHeight="1" s="251">
      <c r="B99" s="25" t="inlineStr">
        <is>
          <t xml:space="preserve">  Acquired intangibles % of spend</t>
        </is>
      </c>
      <c r="C99" s="36" t="n"/>
      <c r="D99" s="36" t="n"/>
      <c r="E99" s="36" t="n"/>
      <c r="F99" s="36" t="n"/>
      <c r="G99" s="36" t="n"/>
      <c r="H99" s="36" t="n"/>
      <c r="I99" s="36" t="n"/>
      <c r="J99" s="36" t="n"/>
      <c r="K99" s="36" t="n"/>
      <c r="L99" s="36" t="n"/>
      <c r="M99" s="36" t="n"/>
      <c r="N99" s="36" t="n"/>
      <c r="O99" s="36" t="n"/>
      <c r="P99" s="36" t="n"/>
      <c r="Q99" s="36" t="n"/>
      <c r="R99" s="36" t="n"/>
      <c r="S99" s="36" t="n"/>
      <c r="T99" s="36" t="n"/>
      <c r="U99" s="24" t="n"/>
      <c r="V99" s="24" t="n"/>
      <c r="W99" s="24" t="n"/>
      <c r="X99" s="267" t="n">
        <v>0.35</v>
      </c>
      <c r="Y99" s="267" t="n">
        <v>0.35</v>
      </c>
      <c r="Z99" s="267" t="n">
        <v>0.35</v>
      </c>
      <c r="AA99" s="267" t="n">
        <v>0.35</v>
      </c>
      <c r="AB99" s="267" t="n">
        <v>0.35</v>
      </c>
      <c r="AC99" s="19" t="n"/>
    </row>
    <row r="100" ht="15" customHeight="1" s="251">
      <c r="B100" s="25" t="inlineStr">
        <is>
          <t xml:space="preserve">  Intangible amortization life (years)</t>
        </is>
      </c>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24" t="n"/>
      <c r="V100" s="24" t="n"/>
      <c r="W100" s="24" t="n"/>
      <c r="X100" s="271" t="n">
        <v>15</v>
      </c>
      <c r="Y100" s="271" t="n">
        <v>15</v>
      </c>
      <c r="Z100" s="271" t="n">
        <v>15</v>
      </c>
      <c r="AA100" s="271" t="n">
        <v>15</v>
      </c>
      <c r="AB100" s="271" t="n">
        <v>15</v>
      </c>
      <c r="AC100" s="19" t="n"/>
    </row>
    <row r="101" ht="15" customHeight="1" s="251">
      <c r="B101" s="25" t="inlineStr">
        <is>
          <t xml:space="preserve">  Cumulative acquired intangibles (gross)</t>
        </is>
      </c>
      <c r="C101" s="34" t="n"/>
      <c r="D101" s="34" t="n"/>
      <c r="E101" s="34" t="n"/>
      <c r="F101" s="34" t="n"/>
      <c r="G101" s="34" t="n"/>
      <c r="H101" s="34" t="n"/>
      <c r="I101" s="34" t="n"/>
      <c r="J101" s="34" t="n"/>
      <c r="K101" s="34" t="n"/>
      <c r="L101" s="34" t="n"/>
      <c r="M101" s="34" t="n"/>
      <c r="N101" s="34" t="n"/>
      <c r="O101" s="34" t="n"/>
      <c r="P101" s="34" t="n"/>
      <c r="Q101" s="34" t="n"/>
      <c r="R101" s="34" t="n"/>
      <c r="S101" s="34" t="n"/>
      <c r="T101" s="34" t="n"/>
      <c r="U101" s="35" t="n"/>
      <c r="V101" s="35" t="n"/>
      <c r="W101" s="35" t="n"/>
      <c r="X101" s="254">
        <f>N(W101)+X90*X99</f>
        <v>0</v>
      </c>
      <c r="Y101" s="254">
        <f>N(X101)+Y90*Y99</f>
        <v>0</v>
      </c>
      <c r="Z101" s="254">
        <f>N(Y101)+Z90*Z99</f>
        <v>175</v>
      </c>
      <c r="AA101" s="254">
        <f>N(Z101)+AA90*AA99</f>
        <v>350</v>
      </c>
      <c r="AB101" s="254">
        <f>N(AA101)+AB90*AB99</f>
        <v>525</v>
      </c>
      <c r="AC101" s="19" t="n"/>
    </row>
    <row r="102" ht="15" customHeight="1" s="251">
      <c r="B102" s="25" t="inlineStr">
        <is>
          <t xml:space="preserve">  Amortization of future-acquisition intangibles (inside operating profit)</t>
        </is>
      </c>
      <c r="C102" s="34" t="n"/>
      <c r="D102" s="34" t="n"/>
      <c r="E102" s="34" t="n"/>
      <c r="F102" s="34" t="n"/>
      <c r="G102" s="34" t="n"/>
      <c r="H102" s="34" t="n"/>
      <c r="I102" s="34" t="n"/>
      <c r="J102" s="34" t="n"/>
      <c r="K102" s="34" t="n"/>
      <c r="L102" s="34" t="n"/>
      <c r="M102" s="34" t="n"/>
      <c r="N102" s="34" t="n"/>
      <c r="O102" s="34" t="n"/>
      <c r="P102" s="34" t="n"/>
      <c r="Q102" s="34" t="n"/>
      <c r="R102" s="34" t="n"/>
      <c r="S102" s="34" t="n"/>
      <c r="T102" s="34" t="n"/>
      <c r="U102" s="35" t="n"/>
      <c r="V102" s="35" t="n"/>
      <c r="W102" s="35" t="n"/>
      <c r="X102" s="254">
        <f>IFERROR((N(W101)+0.5*X90*X99)/X100,0)</f>
        <v>0</v>
      </c>
      <c r="Y102" s="254">
        <f>IFERROR((N(X101)+0.5*Y90*Y99)/Y100,0)</f>
        <v>0</v>
      </c>
      <c r="Z102" s="254">
        <f>IFERROR((N(Y101)+0.5*Z90*Z99)/Z100,0)</f>
        <v>5.83333333333333</v>
      </c>
      <c r="AA102" s="254">
        <f>IFERROR((N(Z101)+0.5*AA90*AA99)/AA100,0)</f>
        <v>17.5</v>
      </c>
      <c r="AB102" s="254">
        <f>IFERROR((N(AA101)+0.5*AB90*AB99)/AB100,0)</f>
        <v>29.1666666666667</v>
      </c>
      <c r="AC102" s="19" t="n"/>
    </row>
    <row r="103" ht="15" customHeight="1" s="251">
      <c r="AK103" s="11" t="n"/>
      <c r="AL103" s="12" t="n"/>
      <c r="AM103" s="12" t="n"/>
      <c r="AN103" s="12" t="n"/>
      <c r="AO103" s="13" t="n"/>
    </row>
    <row r="104" ht="15" customHeight="1" s="251">
      <c r="B104" s="14" t="inlineStr">
        <is>
          <t>Group Total — adjusted revenue &amp; operating profit (segment build) → FY26 guidance calibration (2H-26E)</t>
        </is>
      </c>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c r="AA104" s="14" t="n"/>
      <c r="AB104" s="14" t="n"/>
      <c r="AC104" s="15" t="inlineStr">
        <is>
          <t>GROUP TOTAL (CONSOLIDATED) — modelling logic</t>
        </is>
      </c>
    </row>
    <row r="105" ht="15" customHeight="1" s="251">
      <c r="B105" s="55" t="inlineStr">
        <is>
          <t>Adjusted revenue (segment build; total revenue excl. insurance)</t>
        </is>
      </c>
      <c r="C105" s="273">
        <f>C21+C41+C62</f>
        <v>26182</v>
      </c>
      <c r="D105" s="273">
        <f>D21+D41+D62</f>
        <v>7045</v>
      </c>
      <c r="E105" s="273">
        <f>E21+E41+E62</f>
        <v>7907</v>
      </c>
      <c r="F105" s="273">
        <f>F21+F41+F62</f>
        <v>8460</v>
      </c>
      <c r="G105" s="273">
        <f>G21+G41+G62</f>
        <v>8547</v>
      </c>
      <c r="H105" s="273">
        <f>H21+H41+H62</f>
        <v>31959</v>
      </c>
      <c r="I105" s="273">
        <f>I21+I41+I62</f>
        <v>8076</v>
      </c>
      <c r="J105" s="273">
        <f>J21+J41+J62</f>
        <v>8223</v>
      </c>
      <c r="K105" s="273">
        <f>K21+K41+K62</f>
        <v>8943</v>
      </c>
      <c r="L105" s="273">
        <f>L21+L41+L62</f>
        <v>9879</v>
      </c>
      <c r="M105" s="273">
        <f>M21+M41+M62</f>
        <v>35120</v>
      </c>
      <c r="N105" s="273">
        <f>N21+N41+N62</f>
        <v>9000</v>
      </c>
      <c r="O105" s="273">
        <f>O21+O41+O62</f>
        <v>10151</v>
      </c>
      <c r="P105" s="273">
        <f>P21+P41+P62</f>
        <v>11304</v>
      </c>
      <c r="Q105" s="273">
        <f>Q21+Q41+Q62</f>
        <v>11865</v>
      </c>
      <c r="R105" s="273">
        <f>R21+R41+R62</f>
        <v>42322</v>
      </c>
      <c r="S105" s="273">
        <f>S21+S41+S62</f>
        <v>11614</v>
      </c>
      <c r="T105" s="273">
        <f>T21+T41+T62</f>
        <v>12634</v>
      </c>
      <c r="U105" s="273">
        <f>U21+U41+U62+N(U81)+N(U95)</f>
        <v>12536.6344744924</v>
      </c>
      <c r="V105" s="273">
        <f>V21+V41+V62+N(V81)+N(V95)</f>
        <v>13155.3255255077</v>
      </c>
      <c r="W105" s="273">
        <f>W21+W41+W62+N(W81)+N(W95)</f>
        <v>49939.96</v>
      </c>
      <c r="X105" s="273">
        <f>X21+X41+X62+N(X81)+N(X95)</f>
        <v>56345.5394005645</v>
      </c>
      <c r="Y105" s="273">
        <f>Y21+Y41+Y62+N(Y81)+N(Y95)</f>
        <v>63090.1777903595</v>
      </c>
      <c r="Z105" s="273">
        <f>Z21+Z41+Z62+N(Z81)+N(Z95)</f>
        <v>68257.8627318879</v>
      </c>
      <c r="AA105" s="273">
        <f>AA21+AA41+AA62+N(AA81)+N(AA95)</f>
        <v>73294.6282523242</v>
      </c>
      <c r="AB105" s="273">
        <f>AB21+AB41+AB62+N(AB81)+N(AB95)</f>
        <v>77986.5026019853</v>
      </c>
      <c r="AC105" s="153" t="inlineStr">
        <is>
          <t>Σ CES + DPT + eliminations (+ CPP from closing + future acquisitions). Company non-GAAP "adjusted revenue".</t>
        </is>
      </c>
      <c r="AE105" s="20">
        <f>IFERROR((AB105/W105)^(1/5)-1,"n/m")</f>
        <v>0.0932368215425474</v>
      </c>
      <c r="AF105" s="20">
        <f>IFERROR((R105/C105)^(1/3)-1,"n/m")</f>
        <v>0.173602758008138</v>
      </c>
      <c r="AG105" s="20">
        <f>IFERROR((R105/H105)^(1/2)-1,"n/m")</f>
        <v>0.150764618464223</v>
      </c>
      <c r="AH105" s="20">
        <f>IFERROR(W105/R105-1,"n/m")</f>
        <v>0.18</v>
      </c>
    </row>
    <row r="106" ht="15" customHeight="1" s="251">
      <c r="B106" s="22" t="inlineStr">
        <is>
          <t xml:space="preserve">  Adjusted revenue y/y %</t>
        </is>
      </c>
      <c r="C106" s="23" t="n"/>
      <c r="D106" s="23" t="n"/>
      <c r="E106" s="23" t="n"/>
      <c r="F106" s="23" t="n"/>
      <c r="G106" s="23" t="n"/>
      <c r="H106" s="255">
        <f>IF(AND(ISNUMBER(H105),ISNUMBER(C105)),IFERROR(H105/C105-1,""),"")</f>
        <v>0.220647773279352</v>
      </c>
      <c r="I106" s="255">
        <f>IF(AND(ISNUMBER(I105),ISNUMBER(D105)),IFERROR(I105/D105-1,""),"")</f>
        <v>0.146344925479063</v>
      </c>
      <c r="J106" s="255">
        <f>IF(AND(ISNUMBER(J105),ISNUMBER(E105)),IFERROR(J105/E105-1,""),"")</f>
        <v>0.0399645883394462</v>
      </c>
      <c r="K106" s="255">
        <f>IF(AND(ISNUMBER(K105),ISNUMBER(F105)),IFERROR(K105/F105-1,""),"")</f>
        <v>0.0570921985815602</v>
      </c>
      <c r="L106" s="255">
        <f>IF(AND(ISNUMBER(L105),ISNUMBER(G105)),IFERROR(L105/G105-1,""),"")</f>
        <v>0.155844155844156</v>
      </c>
      <c r="M106" s="255">
        <f>IF(AND(ISNUMBER(M105),ISNUMBER(H105)),IFERROR(M105/H105-1,""),"")</f>
        <v>0.0989079758440501</v>
      </c>
      <c r="N106" s="255">
        <f>IF(AND(ISNUMBER(N105),ISNUMBER(I105)),IFERROR(N105/I105-1,""),"")</f>
        <v>0.114413075780089</v>
      </c>
      <c r="O106" s="255">
        <f>IF(AND(ISNUMBER(O105),ISNUMBER(J105)),IFERROR(O105/J105-1,""),"")</f>
        <v>0.234464307430378</v>
      </c>
      <c r="P106" s="255">
        <f>IF(AND(ISNUMBER(P105),ISNUMBER(K105)),IFERROR(P105/K105-1,""),"")</f>
        <v>0.2640053673264</v>
      </c>
      <c r="Q106" s="255">
        <f>IF(AND(ISNUMBER(Q105),ISNUMBER(L105)),IFERROR(Q105/L105-1,""),"")</f>
        <v>0.201032493167325</v>
      </c>
      <c r="R106" s="255">
        <f>IF(AND(ISNUMBER(R105),ISNUMBER(M105)),IFERROR(R105/M105-1,""),"")</f>
        <v>0.205068337129841</v>
      </c>
      <c r="S106" s="255">
        <f>IF(AND(ISNUMBER(S105),ISNUMBER(N105)),IFERROR(S105/N105-1,""),"")</f>
        <v>0.290444444444445</v>
      </c>
      <c r="T106" s="255">
        <f>IF(AND(ISNUMBER(T105),ISNUMBER(O105)),IFERROR(T105/O105-1,""),"")</f>
        <v>0.244606442715003</v>
      </c>
      <c r="U106" s="256">
        <f>IF(AND(ISNUMBER(U105),ISNUMBER(P105)),IFERROR(U105/P105-1,""),"")</f>
        <v>0.109044097177313</v>
      </c>
      <c r="V106" s="256">
        <f>IF(AND(ISNUMBER(V105),ISNUMBER(Q105)),IFERROR(V105/Q105-1,""),"")</f>
        <v>0.108750571049949</v>
      </c>
      <c r="W106" s="256">
        <f>IF(AND(ISNUMBER(W105),ISNUMBER(R105)),IFERROR(W105/R105-1,""),"")</f>
        <v>0.18</v>
      </c>
      <c r="X106" s="256">
        <f>IF(AND(ISNUMBER(X105),ISNUMBER(W105)),IFERROR(X105/W105-1,""),"")</f>
        <v>0.128265609355004</v>
      </c>
      <c r="Y106" s="256">
        <f>IF(AND(ISNUMBER(Y105),ISNUMBER(X105)),IFERROR(Y105/X105-1,""),"")</f>
        <v>0.119701372310005</v>
      </c>
      <c r="Z106" s="256">
        <f>IF(AND(ISNUMBER(Z105),ISNUMBER(Y105)),IFERROR(Z105/Y105-1,""),"")</f>
        <v>0.0819095003773791</v>
      </c>
      <c r="AA106" s="256">
        <f>IF(AND(ISNUMBER(AA105),ISNUMBER(Z105)),IFERROR(AA105/Z105-1,""),"")</f>
        <v>0.0737902612072749</v>
      </c>
      <c r="AB106" s="256">
        <f>IF(AND(ISNUMBER(AB105),ISNUMBER(AA105)),IFERROR(AB105/AA105-1,""),"")</f>
        <v>0.0640138910795598</v>
      </c>
      <c r="AC106" s="153" t="n"/>
    </row>
    <row r="107" ht="15" customHeight="1" s="251">
      <c r="B107" s="57" t="inlineStr">
        <is>
          <t xml:space="preserve">  Check: segment build vs adjusted revenue (total revenue − insurance) (should be 0; ±2 company rounding)</t>
        </is>
      </c>
      <c r="C107" s="211">
        <f>IF(ISNUMBER(C105),IF(ABS(C105-C158)&lt;=2.01,0,ROUND(C105-C158,0)),"")</f>
        <v>0</v>
      </c>
      <c r="D107" s="211">
        <f>IF(ISNUMBER(D105),IF(ABS(D105-D158)&lt;=2.01,0,ROUND(D105-D158,0)),"")</f>
        <v>0</v>
      </c>
      <c r="E107" s="211">
        <f>IF(ISNUMBER(E105),IF(ABS(E105-E158)&lt;=2.01,0,ROUND(E105-E158,0)),"")</f>
        <v>0</v>
      </c>
      <c r="F107" s="211">
        <f>IF(ISNUMBER(F105),IF(ABS(F105-F158)&lt;=2.01,0,ROUND(F105-F158,0)),"")</f>
        <v>0</v>
      </c>
      <c r="G107" s="211">
        <f>IF(ISNUMBER(G105),IF(ABS(G105-G158)&lt;=2.01,0,ROUND(G105-G158,0)),"")</f>
        <v>0</v>
      </c>
      <c r="H107" s="211">
        <f>IF(ISNUMBER(H105),IF(ABS(H105-H158)&lt;=2.01,0,ROUND(H105-H158,0)),"")</f>
        <v>0</v>
      </c>
      <c r="I107" s="211">
        <f>IF(ISNUMBER(I105),IF(ABS(I105-I158)&lt;=2.01,0,ROUND(I105-I158,0)),"")</f>
        <v>0</v>
      </c>
      <c r="J107" s="211">
        <f>IF(ISNUMBER(J105),IF(ABS(J105-J158)&lt;=2.01,0,ROUND(J105-J158,0)),"")</f>
        <v>0</v>
      </c>
      <c r="K107" s="211">
        <f>IF(ISNUMBER(K105),IF(ABS(K105-K158)&lt;=2.01,0,ROUND(K105-K158,0)),"")</f>
        <v>0</v>
      </c>
      <c r="L107" s="211">
        <f>IF(ISNUMBER(L105),IF(ABS(L105-L158)&lt;=2.01,0,ROUND(L105-L158,0)),"")</f>
        <v>0</v>
      </c>
      <c r="M107" s="211">
        <f>IF(ISNUMBER(M105),IF(ABS(M105-M158)&lt;=2.01,0,ROUND(M105-M158,0)),"")</f>
        <v>0</v>
      </c>
      <c r="N107" s="211">
        <f>IF(ISNUMBER(N105),IF(ABS(N105-N158)&lt;=2.01,0,ROUND(N105-N158,0)),"")</f>
        <v>0</v>
      </c>
      <c r="O107" s="211">
        <f>IF(ISNUMBER(O105),IF(ABS(O105-O158)&lt;=2.01,0,ROUND(O105-O158,0)),"")</f>
        <v>0</v>
      </c>
      <c r="P107" s="211">
        <f>IF(ISNUMBER(P105),IF(ABS(P105-P158)&lt;=2.01,0,ROUND(P105-P158,0)),"")</f>
        <v>0</v>
      </c>
      <c r="Q107" s="211">
        <f>IF(ISNUMBER(Q105),IF(ABS(Q105-Q158)&lt;=2.01,0,ROUND(Q105-Q158,0)),"")</f>
        <v>0</v>
      </c>
      <c r="R107" s="211">
        <f>IF(ISNUMBER(R105),IF(ABS(R105-R158)&lt;=2.01,0,ROUND(R105-R158,0)),"")</f>
        <v>0</v>
      </c>
      <c r="S107" s="211">
        <f>IF(ISNUMBER(S105),IF(ABS(S105-S158)&lt;=2.01,0,ROUND(S105-S158,0)),"")</f>
        <v>0</v>
      </c>
      <c r="T107" s="211">
        <f>IF(ISNUMBER(T105),IF(ABS(T105-T158)&lt;=2.01,0,ROUND(T105-T158,0)),"")</f>
        <v>0</v>
      </c>
      <c r="U107" s="274">
        <f>IF(ISNUMBER(U105),IF(ABS(U105-U158)&lt;=2.01,0,ROUND(U105-U158,0)),"")</f>
        <v>0</v>
      </c>
      <c r="V107" s="274">
        <f>IF(ISNUMBER(V105),IF(ABS(V105-V158)&lt;=2.01,0,ROUND(V105-V158,0)),"")</f>
        <v>0</v>
      </c>
      <c r="W107" s="274">
        <f>IF(ISNUMBER(W105),IF(ABS(W105-W158)&lt;=2.01,0,ROUND(W105-W158,0)),"")</f>
        <v>0</v>
      </c>
      <c r="X107" s="274">
        <f>IF(ISNUMBER(X105),IF(ABS(X105-X158)&lt;=2.01,0,ROUND(X105-X158,0)),"")</f>
        <v>0</v>
      </c>
      <c r="Y107" s="274">
        <f>IF(ISNUMBER(Y105),IF(ABS(Y105-Y158)&lt;=2.01,0,ROUND(Y105-Y158,0)),"")</f>
        <v>0</v>
      </c>
      <c r="Z107" s="274">
        <f>IF(ISNUMBER(Z105),IF(ABS(Z105-Z158)&lt;=2.01,0,ROUND(Z105-Z158,0)),"")</f>
        <v>0</v>
      </c>
      <c r="AA107" s="274">
        <f>IF(ISNUMBER(AA105),IF(ABS(AA105-AA158)&lt;=2.01,0,ROUND(AA105-AA158,0)),"")</f>
        <v>0</v>
      </c>
      <c r="AB107" s="274">
        <f>IF(ISNUMBER(AB105),IF(ABS(AB105-AB158)&lt;=2.01,0,ROUND(AB105-AB158,0)),"")</f>
        <v>0</v>
      </c>
      <c r="AC107" s="153" t="n"/>
    </row>
    <row r="108" ht="15" customHeight="1" s="251">
      <c r="B108" s="25" t="inlineStr">
        <is>
          <t xml:space="preserve">  Adjusted Corporate &amp; Other operating costs (corporate costs + eliminations)</t>
        </is>
      </c>
      <c r="C108" s="253" t="n">
        <v>-912</v>
      </c>
      <c r="D108" s="253" t="n">
        <v>-168</v>
      </c>
      <c r="E108" s="253" t="n">
        <v>-205</v>
      </c>
      <c r="F108" s="253" t="n">
        <v>-220</v>
      </c>
      <c r="G108" s="253" t="n">
        <v>-397</v>
      </c>
      <c r="H108" s="253" t="n">
        <v>-990</v>
      </c>
      <c r="I108" s="253" t="n">
        <v>-125</v>
      </c>
      <c r="J108" s="253" t="n">
        <v>-126</v>
      </c>
      <c r="K108" s="253" t="n">
        <v>-201</v>
      </c>
      <c r="L108" s="253" t="n">
        <v>-412</v>
      </c>
      <c r="M108" s="253" t="n">
        <v>-864</v>
      </c>
      <c r="N108" s="253" t="n">
        <v>-70</v>
      </c>
      <c r="O108" s="253" t="n">
        <v>-257</v>
      </c>
      <c r="P108" s="253" t="n">
        <v>-523</v>
      </c>
      <c r="Q108" s="253" t="n">
        <v>-252</v>
      </c>
      <c r="R108" s="253" t="n">
        <v>-1102</v>
      </c>
      <c r="S108" s="253" t="n">
        <v>-206</v>
      </c>
      <c r="T108" s="253" t="n">
        <v>-386</v>
      </c>
      <c r="U108" s="254">
        <f>(CHOOSE(MATCH($AC$2,{"Bull","Base","Bear"},0),$AL$21,$AM$21,$AN$21)-SUM(S108:T108))/2</f>
        <v>-329</v>
      </c>
      <c r="V108" s="254">
        <f>(CHOOSE(MATCH($AC$2,{"Bull","Base","Bear"},0),$AL$21,$AM$21,$AN$21)-SUM(S108:T108))/2</f>
        <v>-329</v>
      </c>
      <c r="W108" s="254">
        <f>SUM(S108:V108)</f>
        <v>-1250</v>
      </c>
      <c r="X108" s="254">
        <f>X105*X109</f>
        <v>-1408.63848501411</v>
      </c>
      <c r="Y108" s="254">
        <f>Y105*Y109</f>
        <v>-1577.25444475899</v>
      </c>
      <c r="Z108" s="254">
        <f>Z105*Z109</f>
        <v>-1706.4465682972</v>
      </c>
      <c r="AA108" s="254">
        <f>AA105*AA109</f>
        <v>-1832.36570630811</v>
      </c>
      <c r="AB108" s="254">
        <f>AB105*AB109</f>
        <v>-1949.66256504963</v>
      </c>
      <c r="AC108" s="19" t="inlineStr">
        <is>
          <t>Company non-GAAP (excludes insurance, U.S. tax equity, gains, restructuring, separation, impairments). Q3/Q4-26E: (FY26 guide − H1-26) ÷ 2. 2027E+: % of adjusted revenue.</t>
        </is>
      </c>
    </row>
    <row r="109" ht="15" customHeight="1" s="251">
      <c r="B109" s="25" t="inlineStr">
        <is>
          <t xml:space="preserve">  Adjusted Corporate &amp; Other operating costs % of adjusted revenue</t>
        </is>
      </c>
      <c r="C109" s="215">
        <f>IF(AND(ISNUMBER(C108),ISNUMBER(C105)),IFERROR(C108/C105,""),"")</f>
        <v>-0.034833091436865</v>
      </c>
      <c r="D109" s="215">
        <f>IF(AND(ISNUMBER(D108),ISNUMBER(D105)),IFERROR(D108/D105,""),"")</f>
        <v>-0.023846699787083</v>
      </c>
      <c r="E109" s="215">
        <f>IF(AND(ISNUMBER(E108),ISNUMBER(E105)),IFERROR(E108/E105,""),"")</f>
        <v>-0.0259263943341343</v>
      </c>
      <c r="F109" s="215">
        <f>IF(AND(ISNUMBER(F108),ISNUMBER(F105)),IFERROR(F108/F105,""),"")</f>
        <v>-0.0260047281323877</v>
      </c>
      <c r="G109" s="215">
        <f>IF(AND(ISNUMBER(G108),ISNUMBER(G105)),IFERROR(G108/G105,""),"")</f>
        <v>-0.0464490464490465</v>
      </c>
      <c r="H109" s="215">
        <f>IF(AND(ISNUMBER(H108),ISNUMBER(H105)),IFERROR(H108/H105,""),"")</f>
        <v>-0.0309771895240777</v>
      </c>
      <c r="I109" s="215">
        <f>IF(AND(ISNUMBER(I108),ISNUMBER(I105)),IFERROR(I108/I105,""),"")</f>
        <v>-0.0154779593858346</v>
      </c>
      <c r="J109" s="215">
        <f>IF(AND(ISNUMBER(J108),ISNUMBER(J105)),IFERROR(J108/J105,""),"")</f>
        <v>-0.0153228748631886</v>
      </c>
      <c r="K109" s="215">
        <f>IF(AND(ISNUMBER(K108),ISNUMBER(K105)),IFERROR(K108/K105,""),"")</f>
        <v>-0.0224756793022476</v>
      </c>
      <c r="L109" s="215">
        <f>IF(AND(ISNUMBER(L108),ISNUMBER(L105)),IFERROR(L108/L105,""),"")</f>
        <v>-0.0417046259742889</v>
      </c>
      <c r="M109" s="215">
        <f>IF(AND(ISNUMBER(M108),ISNUMBER(M105)),IFERROR(M108/M105,""),"")</f>
        <v>-0.0246013667425968</v>
      </c>
      <c r="N109" s="215">
        <f>IF(AND(ISNUMBER(N108),ISNUMBER(N105)),IFERROR(N108/N105,""),"")</f>
        <v>-0.00777777777777778</v>
      </c>
      <c r="O109" s="215">
        <f>IF(AND(ISNUMBER(O108),ISNUMBER(O105)),IFERROR(O108/O105,""),"")</f>
        <v>-0.0253177026893902</v>
      </c>
      <c r="P109" s="215">
        <f>IF(AND(ISNUMBER(P108),ISNUMBER(P105)),IFERROR(P108/P105,""),"")</f>
        <v>-0.0462668082094834</v>
      </c>
      <c r="Q109" s="215">
        <f>IF(AND(ISNUMBER(Q108),ISNUMBER(Q105)),IFERROR(Q108/Q105,""),"")</f>
        <v>-0.0212389380530973</v>
      </c>
      <c r="R109" s="215">
        <f>IF(AND(ISNUMBER(R108),ISNUMBER(R105)),IFERROR(R108/R105,""),"")</f>
        <v>-0.026038466991163</v>
      </c>
      <c r="S109" s="215">
        <f>IF(AND(ISNUMBER(S108),ISNUMBER(S105)),IFERROR(S108/S105,""),"")</f>
        <v>-0.0177372137075943</v>
      </c>
      <c r="T109" s="215">
        <f>IF(AND(ISNUMBER(T108),ISNUMBER(T105)),IFERROR(T108/T105,""),"")</f>
        <v>-0.0305524774418237</v>
      </c>
      <c r="U109" s="256">
        <f>IF(AND(ISNUMBER(U108),ISNUMBER(U105)),IFERROR(U108/U105,""),"")</f>
        <v>-0.0262430878613714</v>
      </c>
      <c r="V109" s="256">
        <f>IF(AND(ISNUMBER(V108),ISNUMBER(V105)),IFERROR(V108/V105,""),"")</f>
        <v>-0.0250088832360767</v>
      </c>
      <c r="W109" s="256">
        <f>IF(AND(ISNUMBER(W108),ISNUMBER(W105)),IFERROR(W108/W105,""),"")</f>
        <v>-0.0250300560913545</v>
      </c>
      <c r="X109" s="267" t="n">
        <v>-0.025</v>
      </c>
      <c r="Y109" s="267" t="n">
        <v>-0.025</v>
      </c>
      <c r="Z109" s="267" t="n">
        <v>-0.025</v>
      </c>
      <c r="AA109" s="267" t="n">
        <v>-0.025</v>
      </c>
      <c r="AB109" s="267" t="n">
        <v>-0.025</v>
      </c>
      <c r="AC109" s="153" t="n"/>
      <c r="AE109" s="37">
        <f>IFERROR(AVERAGE(X109,Y109,Z109,AA109,AB109),"n/m")</f>
        <v>-0.025</v>
      </c>
      <c r="AF109" s="37">
        <f>IFERROR(AVERAGE(H109,M109,R109),"n/m")</f>
        <v>-0.0272056744192792</v>
      </c>
      <c r="AG109" s="37">
        <f>IFERROR(AVERAGE(M109,R109),"n/m")</f>
        <v>-0.0253199168668799</v>
      </c>
      <c r="AH109" s="37">
        <f>IFERROR(W109+0,"n/m")</f>
        <v>-0.0250300560913545</v>
      </c>
    </row>
    <row r="110" ht="15" customHeight="1" s="251">
      <c r="B110" s="156" t="inlineStr">
        <is>
          <t xml:space="preserve">  Memo: on the Jan-2026 segment structure (recast; FY2025 revised $(1.0)bn)</t>
        </is>
      </c>
      <c r="C110" s="34" t="n"/>
      <c r="D110" s="34" t="n"/>
      <c r="E110" s="34" t="n"/>
      <c r="F110" s="34" t="n"/>
      <c r="G110" s="34" t="n"/>
      <c r="H110" s="34" t="n"/>
      <c r="I110" s="34" t="n"/>
      <c r="J110" s="34" t="n"/>
      <c r="K110" s="34" t="n"/>
      <c r="L110" s="34" t="n"/>
      <c r="M110" s="34" t="n"/>
      <c r="N110" s="253" t="n">
        <v>-89</v>
      </c>
      <c r="O110" s="253" t="n">
        <v>-274</v>
      </c>
      <c r="P110" s="34" t="n"/>
      <c r="Q110" s="34" t="n"/>
      <c r="R110" s="253" t="n">
        <v>-1000</v>
      </c>
      <c r="S110" s="34" t="n"/>
      <c r="T110" s="34" t="n"/>
      <c r="U110" s="153" t="n"/>
      <c r="V110" s="153" t="n"/>
      <c r="W110" s="153" t="n"/>
      <c r="X110" s="153" t="n"/>
      <c r="Y110" s="153" t="n"/>
      <c r="Z110" s="153" t="n"/>
      <c r="AA110" s="153" t="n"/>
      <c r="AB110" s="153" t="n"/>
      <c r="AC110" s="153" t="n"/>
    </row>
    <row r="111" ht="15" customHeight="1" s="251">
      <c r="B111" s="55" t="inlineStr">
        <is>
          <t>Operating profit (segment build; company non-GAAP)</t>
        </is>
      </c>
      <c r="C111" s="273">
        <f>IF(ISNUMBER(C26),C26+C51+C108+N(C86)+N(C97),"")</f>
        <v>4228</v>
      </c>
      <c r="D111" s="273">
        <f>IF(ISNUMBER(D26),D26+D51+D108+N(D86)+N(D97),"")</f>
        <v>1247</v>
      </c>
      <c r="E111" s="273">
        <f>IF(ISNUMBER(E26),E26+E51+E108+N(E86)+N(E97),"")</f>
        <v>1385</v>
      </c>
      <c r="F111" s="273">
        <f>IF(ISNUMBER(F26),F26+F51+F108+N(F86)+N(F97),"")</f>
        <v>1594</v>
      </c>
      <c r="G111" s="273">
        <f>IF(ISNUMBER(G26),G26+G51+G108+N(G86)+N(G97),"")</f>
        <v>1335</v>
      </c>
      <c r="H111" s="273">
        <f>IF(ISNUMBER(H26),H26+H51+H108+N(H86)+N(H97),"")</f>
        <v>5561</v>
      </c>
      <c r="I111" s="273">
        <f>IF(ISNUMBER(I26),I26+I51+I108+N(I86)+N(I97),"")</f>
        <v>1550</v>
      </c>
      <c r="J111" s="273">
        <f>IF(ISNUMBER(J26),J26+J51+J108+N(J86)+N(J97),"")</f>
        <v>1897</v>
      </c>
      <c r="K111" s="273">
        <f>IF(ISNUMBER(K26),K26+K51+K108+N(K86)+N(K97),"")</f>
        <v>1818</v>
      </c>
      <c r="L111" s="273">
        <f>IF(ISNUMBER(L26),L26+L51+L108+N(L86)+N(L97),"")</f>
        <v>1987</v>
      </c>
      <c r="M111" s="273">
        <f>IF(ISNUMBER(M26),M26+M51+M108+N(M86)+N(M97),"")</f>
        <v>7252</v>
      </c>
      <c r="N111" s="273">
        <f>IF(ISNUMBER(N26),N26+N51+N108+N(N86)+N(N97),"")</f>
        <v>2146</v>
      </c>
      <c r="O111" s="273">
        <f>IF(ISNUMBER(O26),O26+O51+O108+N(O86)+N(O97),"")</f>
        <v>2337</v>
      </c>
      <c r="P111" s="273">
        <f>IF(ISNUMBER(P26),P26+P51+P108+N(P86)+N(P97),"")</f>
        <v>2299</v>
      </c>
      <c r="Q111" s="273">
        <f>IF(ISNUMBER(Q26),Q26+Q51+Q108+N(Q86)+N(Q97),"")</f>
        <v>2273</v>
      </c>
      <c r="R111" s="273">
        <f>IF(ISNUMBER(R26),R26+R51+R108+N(R86)+N(R97),"")</f>
        <v>9055</v>
      </c>
      <c r="S111" s="273">
        <f>IF(ISNUMBER(S26),S26+S51+S108+N(S86)+N(S97),"")</f>
        <v>2529</v>
      </c>
      <c r="T111" s="273">
        <f>IF(ISNUMBER(T26),T26+T51+T108+N(T86)+N(T97),"")</f>
        <v>2746</v>
      </c>
      <c r="U111" s="273">
        <f>IF(ISNUMBER(U26),U26+U51+U108+N(U86)+N(U97),"")</f>
        <v>2603.65298574131</v>
      </c>
      <c r="V111" s="273">
        <f>IF(ISNUMBER(V26),V26+V51+V108+N(V86)+N(V97),"")</f>
        <v>2771.34701425869</v>
      </c>
      <c r="W111" s="273">
        <f>IF(ISNUMBER(W26),W26+W51+W108+N(W86)+N(W97),"")</f>
        <v>10650</v>
      </c>
      <c r="X111" s="273">
        <f>IF(ISNUMBER(X26),X26+X51+X108+N(X86)+N(X97),"")</f>
        <v>12257.8761404799</v>
      </c>
      <c r="Y111" s="273">
        <f>IF(ISNUMBER(Y26),Y26+Y51+Y108+N(Y86)+N(Y97),"")</f>
        <v>13895.8194974289</v>
      </c>
      <c r="Z111" s="273">
        <f>IF(ISNUMBER(Z26),Z26+Z51+Z108+N(Z86)+N(Z97),"")</f>
        <v>15455.5432845883</v>
      </c>
      <c r="AA111" s="273">
        <f>IF(ISNUMBER(AA26),AA26+AA51+AA108+N(AA86)+N(AA97),"")</f>
        <v>17016.2627588511</v>
      </c>
      <c r="AB111" s="273">
        <f>IF(ISNUMBER(AB26),AB26+AB51+AB108+N(AB86)+N(AB97),"")</f>
        <v>18377.7890159846</v>
      </c>
      <c r="AC111" s="153" t="inlineStr">
        <is>
          <t>Σ segment operating profit + adjusted Corporate &amp; Other costs (+ CPP + future acquisitions). Drives the GAAP P&amp;L below.</t>
        </is>
      </c>
      <c r="AE111" s="20">
        <f>IFERROR((AB111/W111)^(1/5)-1,"n/m")</f>
        <v>0.115292369035686</v>
      </c>
      <c r="AF111" s="20">
        <f>IFERROR((R111/C111)^(1/3)-1,"n/m")</f>
        <v>0.288994780186264</v>
      </c>
      <c r="AG111" s="20">
        <f>IFERROR((R111/H111)^(1/2)-1,"n/m")</f>
        <v>0.27605025834542</v>
      </c>
      <c r="AH111" s="20">
        <f>IFERROR(W111/R111-1,"n/m")</f>
        <v>0.176145775814467</v>
      </c>
    </row>
    <row r="112" ht="15" customHeight="1" s="251">
      <c r="B112" s="25" t="inlineStr">
        <is>
          <t xml:space="preserve">  Operating profit margin % (of adjusted revenue)</t>
        </is>
      </c>
      <c r="C112" s="215">
        <f>IF(AND(ISNUMBER(C111),ISNUMBER(C105)),IFERROR(C111/C105,""),"")</f>
        <v>0.161484989687572</v>
      </c>
      <c r="D112" s="215">
        <f>IF(AND(ISNUMBER(D111),ISNUMBER(D105)),IFERROR(D111/D105,""),"")</f>
        <v>0.177004968062456</v>
      </c>
      <c r="E112" s="215">
        <f>IF(AND(ISNUMBER(E111),ISNUMBER(E105)),IFERROR(E111/E105,""),"")</f>
        <v>0.175161249525737</v>
      </c>
      <c r="F112" s="215">
        <f>IF(AND(ISNUMBER(F111),ISNUMBER(F105)),IFERROR(F111/F105,""),"")</f>
        <v>0.188416075650118</v>
      </c>
      <c r="G112" s="215">
        <f>IF(AND(ISNUMBER(G111),ISNUMBER(G105)),IFERROR(G111/G105,""),"")</f>
        <v>0.156195156195156</v>
      </c>
      <c r="H112" s="215">
        <f>IF(AND(ISNUMBER(H111),ISNUMBER(H105)),IFERROR(H111/H105,""),"")</f>
        <v>0.174004192872117</v>
      </c>
      <c r="I112" s="215">
        <f>IF(AND(ISNUMBER(I111),ISNUMBER(I105)),IFERROR(I111/I105,""),"")</f>
        <v>0.191926696384349</v>
      </c>
      <c r="J112" s="215">
        <f>IF(AND(ISNUMBER(J111),ISNUMBER(J105)),IFERROR(J111/J105,""),"")</f>
        <v>0.230694393773562</v>
      </c>
      <c r="K112" s="215">
        <f>IF(AND(ISNUMBER(K111),ISNUMBER(K105)),IFERROR(K111/K105,""),"")</f>
        <v>0.203287487420329</v>
      </c>
      <c r="L112" s="215">
        <f>IF(AND(ISNUMBER(L111),ISNUMBER(L105)),IFERROR(L111/L105,""),"")</f>
        <v>0.201133717987651</v>
      </c>
      <c r="M112" s="215">
        <f>IF(AND(ISNUMBER(M111),ISNUMBER(M105)),IFERROR(M111/M105,""),"")</f>
        <v>0.206492027334852</v>
      </c>
      <c r="N112" s="215">
        <f>IF(AND(ISNUMBER(N111),ISNUMBER(N105)),IFERROR(N111/N105,""),"")</f>
        <v>0.238444444444444</v>
      </c>
      <c r="O112" s="215">
        <f>IF(AND(ISNUMBER(O111),ISNUMBER(O105)),IFERROR(O111/O105,""),"")</f>
        <v>0.230223623288346</v>
      </c>
      <c r="P112" s="215">
        <f>IF(AND(ISNUMBER(P111),ISNUMBER(P105)),IFERROR(P111/P105,""),"")</f>
        <v>0.203379334748762</v>
      </c>
      <c r="Q112" s="215">
        <f>IF(AND(ISNUMBER(Q111),ISNUMBER(Q105)),IFERROR(Q111/Q105,""),"")</f>
        <v>0.19157184997893</v>
      </c>
      <c r="R112" s="215">
        <f>IF(AND(ISNUMBER(R111),ISNUMBER(R105)),IFERROR(R111/R105,""),"")</f>
        <v>0.213954917064411</v>
      </c>
      <c r="S112" s="215">
        <f>IF(AND(ISNUMBER(S111),ISNUMBER(S105)),IFERROR(S111/S105,""),"")</f>
        <v>0.217754434303427</v>
      </c>
      <c r="T112" s="215">
        <f>IF(AND(ISNUMBER(T111),ISNUMBER(T105)),IFERROR(T111/T105,""),"")</f>
        <v>0.21735000791515</v>
      </c>
      <c r="U112" s="256">
        <f>IF(AND(ISNUMBER(U111),ISNUMBER(U105)),IFERROR(U111/U105,""),"")</f>
        <v>0.207683568587632</v>
      </c>
      <c r="V112" s="256">
        <f>IF(AND(ISNUMBER(V111),ISNUMBER(V105)),IFERROR(V111/V105,""),"")</f>
        <v>0.210663507253025</v>
      </c>
      <c r="W112" s="256">
        <f>IF(AND(ISNUMBER(W111),ISNUMBER(W105)),IFERROR(W111/W105,""),"")</f>
        <v>0.21325607789834</v>
      </c>
      <c r="X112" s="256">
        <f>IF(AND(ISNUMBER(X111),ISNUMBER(X105)),IFERROR(X111/X105,""),"")</f>
        <v>0.217548297006046</v>
      </c>
      <c r="Y112" s="256">
        <f>IF(AND(ISNUMBER(Y111),ISNUMBER(Y105)),IFERROR(Y111/Y105,""),"")</f>
        <v>0.220253294317904</v>
      </c>
      <c r="Z112" s="256">
        <f>IF(AND(ISNUMBER(Z111),ISNUMBER(Z105)),IFERROR(Z111/Z105,""),"")</f>
        <v>0.226428760966287</v>
      </c>
      <c r="AA112" s="256">
        <f>IF(AND(ISNUMBER(AA111),ISNUMBER(AA105)),IFERROR(AA111/AA105,""),"")</f>
        <v>0.232162481270399</v>
      </c>
      <c r="AB112" s="256">
        <f>IF(AND(ISNUMBER(AB111),ISNUMBER(AB105)),IFERROR(AB111/AB105,""),"")</f>
        <v>0.235653458006422</v>
      </c>
      <c r="AC112" s="153" t="n"/>
      <c r="AE112" s="37">
        <f>IFERROR(AVERAGE(X112,Y112,Z112,AA112,AB112),"n/m")</f>
        <v>0.226409258313412</v>
      </c>
      <c r="AF112" s="37">
        <f>IFERROR(AVERAGE(H112,M112,R112),"n/m")</f>
        <v>0.19815037909046</v>
      </c>
      <c r="AG112" s="37">
        <f>IFERROR(AVERAGE(M112,R112),"n/m")</f>
        <v>0.210223472199631</v>
      </c>
      <c r="AH112" s="37">
        <f>IFERROR(W112+0,"n/m")</f>
        <v>0.21325607789834</v>
      </c>
    </row>
    <row r="113" ht="15" customHeight="1" s="251">
      <c r="B113" s="22" t="inlineStr">
        <is>
          <t xml:space="preserve">  Operating profit y/y %</t>
        </is>
      </c>
      <c r="C113" s="23" t="n"/>
      <c r="D113" s="23" t="n"/>
      <c r="E113" s="23" t="n"/>
      <c r="F113" s="23" t="n"/>
      <c r="G113" s="23" t="n"/>
      <c r="H113" s="255">
        <f>IF(AND(ISNUMBER(H111),ISNUMBER(C111)),IFERROR(H111/C111-1,""),"")</f>
        <v>0.315279091769158</v>
      </c>
      <c r="I113" s="255">
        <f>IF(AND(ISNUMBER(I111),ISNUMBER(D111)),IFERROR(I111/D111-1,""),"")</f>
        <v>0.242983159582999</v>
      </c>
      <c r="J113" s="255">
        <f>IF(AND(ISNUMBER(J111),ISNUMBER(E111)),IFERROR(J111/E111-1,""),"")</f>
        <v>0.369675090252708</v>
      </c>
      <c r="K113" s="255">
        <f>IF(AND(ISNUMBER(K111),ISNUMBER(F111)),IFERROR(K111/F111-1,""),"")</f>
        <v>0.140526976160602</v>
      </c>
      <c r="L113" s="255">
        <f>IF(AND(ISNUMBER(L111),ISNUMBER(G111)),IFERROR(L111/G111-1,""),"")</f>
        <v>0.488389513108614</v>
      </c>
      <c r="M113" s="255">
        <f>IF(AND(ISNUMBER(M111),ISNUMBER(H111)),IFERROR(M111/H111-1,""),"")</f>
        <v>0.304081999640353</v>
      </c>
      <c r="N113" s="255">
        <f>IF(AND(ISNUMBER(N111),ISNUMBER(I111)),IFERROR(N111/I111-1,""),"")</f>
        <v>0.384516129032258</v>
      </c>
      <c r="O113" s="255">
        <f>IF(AND(ISNUMBER(O111),ISNUMBER(J111)),IFERROR(O111/J111-1,""),"")</f>
        <v>0.231945176594623</v>
      </c>
      <c r="P113" s="255">
        <f>IF(AND(ISNUMBER(P111),ISNUMBER(K111)),IFERROR(P111/K111-1,""),"")</f>
        <v>0.264576457645765</v>
      </c>
      <c r="Q113" s="255">
        <f>IF(AND(ISNUMBER(Q111),ISNUMBER(L111)),IFERROR(Q111/L111-1,""),"")</f>
        <v>0.143935581278309</v>
      </c>
      <c r="R113" s="255">
        <f>IF(AND(ISNUMBER(R111),ISNUMBER(M111)),IFERROR(R111/M111-1,""),"")</f>
        <v>0.248621070049641</v>
      </c>
      <c r="S113" s="255">
        <f>IF(AND(ISNUMBER(S111),ISNUMBER(N111)),IFERROR(S111/N111-1,""),"")</f>
        <v>0.178471575023299</v>
      </c>
      <c r="T113" s="255">
        <f>IF(AND(ISNUMBER(T111),ISNUMBER(O111)),IFERROR(T111/O111-1,""),"")</f>
        <v>0.175010697475396</v>
      </c>
      <c r="U113" s="256">
        <f>IF(AND(ISNUMBER(U111),ISNUMBER(P111)),IFERROR(U111/P111-1,""),"")</f>
        <v>0.132515435294175</v>
      </c>
      <c r="V113" s="256">
        <f>IF(AND(ISNUMBER(V111),ISNUMBER(Q111)),IFERROR(V111/Q111-1,""),"")</f>
        <v>0.219246376708619</v>
      </c>
      <c r="W113" s="256">
        <f>IF(AND(ISNUMBER(W111),ISNUMBER(R111)),IFERROR(W111/R111-1,""),"")</f>
        <v>0.176145775814467</v>
      </c>
      <c r="X113" s="256">
        <f>IF(AND(ISNUMBER(X111),ISNUMBER(W111)),IFERROR(X111/W111-1,""),"")</f>
        <v>0.150974285491069</v>
      </c>
      <c r="Y113" s="256">
        <f>IF(AND(ISNUMBER(Y111),ISNUMBER(X111)),IFERROR(Y111/X111-1,""),"")</f>
        <v>0.13362374837024</v>
      </c>
      <c r="Z113" s="256">
        <f>IF(AND(ISNUMBER(Z111),ISNUMBER(Y111)),IFERROR(Z111/Y111-1,""),"")</f>
        <v>0.112244102440156</v>
      </c>
      <c r="AA113" s="256">
        <f>IF(AND(ISNUMBER(AA111),ISNUMBER(Z111)),IFERROR(AA111/Z111-1,""),"")</f>
        <v>0.100981210787918</v>
      </c>
      <c r="AB113" s="256">
        <f>IF(AND(ISNUMBER(AB111),ISNUMBER(AA111)),IFERROR(AB111/AA111-1,""),"")</f>
        <v>0.0800132365389907</v>
      </c>
      <c r="AC113" s="153" t="n"/>
    </row>
    <row r="114" ht="15" customHeight="1" s="251">
      <c r="B114" s="57" t="inlineStr">
        <is>
          <t xml:space="preserve">  Check: segment build vs operating-profit bridge (should be 0; ±3 company rounding / derived quarters)</t>
        </is>
      </c>
      <c r="C114" s="211">
        <f>IF(AND(ISNUMBER(C111),ISNUMBER(C209)),IF(ABS(C111-C209)&lt;=3.01,0,ROUND(C111-C209,0)),"")</f>
      </c>
      <c r="D114" s="211">
        <f>IF(AND(ISNUMBER(D111),ISNUMBER(D209)),IF(ABS(D111-D209)&lt;=3.01,0,ROUND(D111-D209,0)),"")</f>
        <v>0</v>
      </c>
      <c r="E114" s="211">
        <f>IF(AND(ISNUMBER(E111),ISNUMBER(E209)),IF(ABS(E111-E209)&lt;=3.01,0,ROUND(E111-E209,0)),"")</f>
        <v>0</v>
      </c>
      <c r="F114" s="211">
        <f>IF(AND(ISNUMBER(F111),ISNUMBER(F209)),IF(ABS(F111-F209)&lt;=3.01,0,ROUND(F111-F209,0)),"")</f>
        <v>0</v>
      </c>
      <c r="G114" s="211">
        <f>IF(AND(ISNUMBER(G111),ISNUMBER(G209)),IF(ABS(G111-G209)&lt;=3.01,0,ROUND(G111-G209,0)),"")</f>
        <v>0</v>
      </c>
      <c r="H114" s="211">
        <f>IF(AND(ISNUMBER(H111),ISNUMBER(H209)),IF(ABS(H111-H209)&lt;=3.01,0,ROUND(H111-H209,0)),"")</f>
        <v>0</v>
      </c>
      <c r="I114" s="211">
        <f>IF(AND(ISNUMBER(I111),ISNUMBER(I209)),IF(ABS(I111-I209)&lt;=3.01,0,ROUND(I111-I209,0)),"")</f>
        <v>0</v>
      </c>
      <c r="J114" s="211">
        <f>IF(AND(ISNUMBER(J111),ISNUMBER(J209)),IF(ABS(J111-J209)&lt;=3.01,0,ROUND(J111-J209,0)),"")</f>
        <v>0</v>
      </c>
      <c r="K114" s="211">
        <f>IF(AND(ISNUMBER(K111),ISNUMBER(K209)),IF(ABS(K111-K209)&lt;=3.01,0,ROUND(K111-K209,0)),"")</f>
        <v>0</v>
      </c>
      <c r="L114" s="211">
        <f>IF(AND(ISNUMBER(L111),ISNUMBER(L209)),IF(ABS(L111-L209)&lt;=3.01,0,ROUND(L111-L209,0)),"")</f>
        <v>0</v>
      </c>
      <c r="M114" s="211">
        <f>IF(AND(ISNUMBER(M111),ISNUMBER(M209)),IF(ABS(M111-M209)&lt;=3.01,0,ROUND(M111-M209,0)),"")</f>
        <v>0</v>
      </c>
      <c r="N114" s="211">
        <f>IF(AND(ISNUMBER(N111),ISNUMBER(N209)),IF(ABS(N111-N209)&lt;=3.01,0,ROUND(N111-N209,0)),"")</f>
        <v>0</v>
      </c>
      <c r="O114" s="211">
        <f>IF(AND(ISNUMBER(O111),ISNUMBER(O209)),IF(ABS(O111-O209)&lt;=3.01,0,ROUND(O111-O209,0)),"")</f>
        <v>0</v>
      </c>
      <c r="P114" s="211">
        <f>IF(AND(ISNUMBER(P111),ISNUMBER(P209)),IF(ABS(P111-P209)&lt;=3.01,0,ROUND(P111-P209,0)),"")</f>
        <v>0</v>
      </c>
      <c r="Q114" s="211">
        <f>IF(AND(ISNUMBER(Q111),ISNUMBER(Q209)),IF(ABS(Q111-Q209)&lt;=3.01,0,ROUND(Q111-Q209,0)),"")</f>
        <v>0</v>
      </c>
      <c r="R114" s="211">
        <f>IF(AND(ISNUMBER(R111),ISNUMBER(R209)),IF(ABS(R111-R209)&lt;=3.01,0,ROUND(R111-R209,0)),"")</f>
        <v>0</v>
      </c>
      <c r="S114" s="211">
        <f>IF(AND(ISNUMBER(S111),ISNUMBER(S209)),IF(ABS(S111-S209)&lt;=3.01,0,ROUND(S111-S209,0)),"")</f>
        <v>0</v>
      </c>
      <c r="T114" s="211">
        <f>IF(AND(ISNUMBER(T111),ISNUMBER(T209)),IF(ABS(T111-T209)&lt;=3.01,0,ROUND(T111-T209,0)),"")</f>
        <v>0</v>
      </c>
      <c r="U114" s="274">
        <f>IF(AND(ISNUMBER(U111),ISNUMBER(U209)),IF(ABS(U111-U209)&lt;=3.01,0,ROUND(U111-U209,0)),"")</f>
        <v>0</v>
      </c>
      <c r="V114" s="274">
        <f>IF(AND(ISNUMBER(V111),ISNUMBER(V209)),IF(ABS(V111-V209)&lt;=3.01,0,ROUND(V111-V209,0)),"")</f>
        <v>0</v>
      </c>
      <c r="W114" s="274">
        <f>IF(AND(ISNUMBER(W111),ISNUMBER(W209)),IF(ABS(W111-W209)&lt;=3.01,0,ROUND(W111-W209,0)),"")</f>
        <v>0</v>
      </c>
      <c r="X114" s="274">
        <f>IF(AND(ISNUMBER(X111),ISNUMBER(X209)),IF(ABS(X111-X209)&lt;=3.01,0,ROUND(X111-X209,0)),"")</f>
        <v>0</v>
      </c>
      <c r="Y114" s="274">
        <f>IF(AND(ISNUMBER(Y111),ISNUMBER(Y209)),IF(ABS(Y111-Y209)&lt;=3.01,0,ROUND(Y111-Y209,0)),"")</f>
        <v>0</v>
      </c>
      <c r="Z114" s="274">
        <f>IF(AND(ISNUMBER(Z111),ISNUMBER(Z209)),IF(ABS(Z111-Z209)&lt;=3.01,0,ROUND(Z111-Z209,0)),"")</f>
        <v>0</v>
      </c>
      <c r="AA114" s="274">
        <f>IF(AND(ISNUMBER(AA111),ISNUMBER(AA209)),IF(ABS(AA111-AA209)&lt;=3.01,0,ROUND(AA111-AA209,0)),"")</f>
        <v>0</v>
      </c>
      <c r="AB114" s="274">
        <f>IF(AND(ISNUMBER(AB111),ISNUMBER(AB209)),IF(ABS(AB111-AB209)&lt;=3.01,0,ROUND(AB111-AB209,0)),"")</f>
        <v>0</v>
      </c>
      <c r="AC114" s="153" t="n"/>
    </row>
    <row r="115" ht="15" customHeight="1" s="251">
      <c r="B115" s="25" t="inlineStr">
        <is>
          <t xml:space="preserve">  FY26 guidance calibration (16-Jul-2026 guide; 2H-26E):</t>
        </is>
      </c>
      <c r="AC115" s="153" t="n"/>
    </row>
    <row r="116" ht="15" customHeight="1" s="251">
      <c r="B116" s="156" t="inlineStr">
        <is>
          <t xml:space="preserve">  Memo: FY26 adjusted revenue guidance end-point (FY2025 $42,322m × (1 + guided growth))</t>
        </is>
      </c>
      <c r="C116" s="34" t="n"/>
      <c r="D116" s="34" t="n"/>
      <c r="E116" s="34" t="n"/>
      <c r="F116" s="34" t="n"/>
      <c r="G116" s="34" t="n"/>
      <c r="H116" s="34" t="n"/>
      <c r="I116" s="34" t="n"/>
      <c r="J116" s="34" t="n"/>
      <c r="K116" s="34" t="n"/>
      <c r="L116" s="34" t="n"/>
      <c r="M116" s="34" t="n"/>
      <c r="N116" s="34" t="n"/>
      <c r="O116" s="34" t="n"/>
      <c r="P116" s="34" t="n"/>
      <c r="Q116" s="34" t="n"/>
      <c r="R116" s="34" t="n"/>
      <c r="S116" s="34" t="n"/>
      <c r="T116" s="34" t="n"/>
      <c r="U116" s="153" t="n"/>
      <c r="V116" s="153" t="n"/>
      <c r="W116" s="274">
        <f>R105*(1+CHOOSE(MATCH($AC$2,{"Bull","Base","Bear"},0),$AL$12,$AM$12,$AN$12))</f>
        <v>49939.96</v>
      </c>
      <c r="X116" s="153" t="n"/>
      <c r="Y116" s="153" t="n"/>
      <c r="Z116" s="153" t="n"/>
      <c r="AA116" s="153" t="n"/>
      <c r="AB116" s="153" t="n"/>
      <c r="AC116" s="153" t="inlineStr">
        <is>
          <t>Company FY26 adjusted revenue growth guidance "high-teens" (raised from LDD, 16-Jul-2026) on FY2025 adjusted revenue $42,322m. Drives the revenue calibration.</t>
        </is>
      </c>
    </row>
    <row r="117" ht="15" customHeight="1" s="251">
      <c r="B117" s="25" t="inlineStr">
        <is>
          <t xml:space="preserve">  Adjusted revenue before calibration (FY26E helper)</t>
        </is>
      </c>
      <c r="C117" s="34" t="n"/>
      <c r="D117" s="34" t="n"/>
      <c r="E117" s="34" t="n"/>
      <c r="F117" s="34" t="n"/>
      <c r="G117" s="34" t="n"/>
      <c r="H117" s="34" t="n"/>
      <c r="I117" s="34" t="n"/>
      <c r="J117" s="34" t="n"/>
      <c r="K117" s="34" t="n"/>
      <c r="L117" s="34" t="n"/>
      <c r="M117" s="34" t="n"/>
      <c r="N117" s="34" t="n"/>
      <c r="O117" s="34" t="n"/>
      <c r="P117" s="34" t="n"/>
      <c r="Q117" s="34" t="n"/>
      <c r="R117" s="34" t="n"/>
      <c r="S117" s="34" t="n"/>
      <c r="T117" s="34" t="n"/>
      <c r="U117" s="35" t="n"/>
      <c r="V117" s="35" t="n"/>
      <c r="W117" s="254">
        <f>SUM(S105:T105)+($R$13*(1+W15)-SUM(S11:T11)+$R$18*(1+W20)-SUM(S16:T16)+$R$43*(1+W45)-SUM(S41:T41))*(1+U63)</f>
        <v>50117.1963488363</v>
      </c>
      <c r="X117" s="35" t="n"/>
      <c r="Y117" s="35" t="n"/>
      <c r="Z117" s="35" t="n"/>
      <c r="AA117" s="35" t="n"/>
      <c r="AB117" s="35" t="n"/>
      <c r="AC117" s="19" t="n"/>
    </row>
    <row r="118" ht="15" customHeight="1" s="251">
      <c r="B118" s="25" t="inlineStr">
        <is>
          <t xml:space="preserve">  Adjusted revenue sensitivity to +1.00 of growth (FY26E helper)</t>
        </is>
      </c>
      <c r="C118" s="34" t="n"/>
      <c r="D118" s="34" t="n"/>
      <c r="E118" s="34" t="n"/>
      <c r="F118" s="34" t="n"/>
      <c r="G118" s="34" t="n"/>
      <c r="H118" s="34" t="n"/>
      <c r="I118" s="34" t="n"/>
      <c r="J118" s="34" t="n"/>
      <c r="K118" s="34" t="n"/>
      <c r="L118" s="34" t="n"/>
      <c r="M118" s="34" t="n"/>
      <c r="N118" s="34" t="n"/>
      <c r="O118" s="34" t="n"/>
      <c r="P118" s="34" t="n"/>
      <c r="Q118" s="34" t="n"/>
      <c r="R118" s="34" t="n"/>
      <c r="S118" s="34" t="n"/>
      <c r="T118" s="34" t="n"/>
      <c r="U118" s="35" t="n"/>
      <c r="V118" s="35" t="n"/>
      <c r="W118" s="254">
        <f>($R$13+$R$18+$R$43)*(1+U63)</f>
        <v>42254.5856877544</v>
      </c>
      <c r="X118" s="35" t="n"/>
      <c r="Y118" s="35" t="n"/>
      <c r="Z118" s="35" t="n"/>
      <c r="AA118" s="35" t="n"/>
      <c r="AB118" s="35" t="n"/>
      <c r="AC118" s="19" t="n"/>
    </row>
    <row r="119" ht="15" customHeight="1" s="251">
      <c r="B119" s="25" t="inlineStr">
        <is>
          <t xml:space="preserve">  Guidance calibration: Δ growth applied to CES services, CES equipment and DPT (FY26E)</t>
        </is>
      </c>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24" t="n"/>
      <c r="V119" s="24" t="n"/>
      <c r="W119" s="256">
        <f>(W116-W117)/W118</f>
        <v>-0.00419448791063768</v>
      </c>
      <c r="X119" s="46" t="n"/>
      <c r="Y119" s="46" t="n"/>
      <c r="Z119" s="46" t="n"/>
      <c r="AA119" s="46" t="n"/>
      <c r="AB119" s="46" t="n"/>
      <c r="AC119" s="19" t="inlineStr">
        <is>
          <t>Solves the uniform growth shift (vs the guided segment growth rates) so that FY26 adjusted revenue = the company guidance end-point for the active scenario.</t>
        </is>
      </c>
    </row>
    <row r="120" ht="15" customHeight="1" s="251">
      <c r="B120" s="57" t="inlineStr">
        <is>
          <t xml:space="preserve">  Check: FY26 adjusted revenue vs guidance end-point (should be 0)</t>
        </is>
      </c>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153" t="n"/>
      <c r="V120" s="153" t="n"/>
      <c r="W120" s="274">
        <f>ROUND(W105-W116,0)</f>
        <v>0</v>
      </c>
      <c r="X120" s="153" t="n"/>
      <c r="Y120" s="153" t="n"/>
      <c r="Z120" s="153" t="n"/>
      <c r="AA120" s="153" t="n"/>
      <c r="AB120" s="153" t="n"/>
      <c r="AC120" s="153" t="n"/>
    </row>
    <row r="121" ht="15" customHeight="1" s="251">
      <c r="B121" s="156" t="inlineStr">
        <is>
          <t xml:space="preserve">  Memo: FY26 operating profit guidance (scenario end-point)</t>
        </is>
      </c>
      <c r="C121" s="34" t="n"/>
      <c r="D121" s="34" t="n"/>
      <c r="E121" s="34" t="n"/>
      <c r="F121" s="34" t="n"/>
      <c r="G121" s="34" t="n"/>
      <c r="H121" s="34" t="n"/>
      <c r="I121" s="34" t="n"/>
      <c r="J121" s="34" t="n"/>
      <c r="K121" s="34" t="n"/>
      <c r="L121" s="34" t="n"/>
      <c r="M121" s="34" t="n"/>
      <c r="N121" s="34" t="n"/>
      <c r="O121" s="34" t="n"/>
      <c r="P121" s="34" t="n"/>
      <c r="Q121" s="34" t="n"/>
      <c r="R121" s="34" t="n"/>
      <c r="S121" s="34" t="n"/>
      <c r="T121" s="34" t="n"/>
      <c r="U121" s="153" t="n"/>
      <c r="V121" s="153" t="n"/>
      <c r="W121" s="274">
        <f>CHOOSE(MATCH($AC$2,{"Bull","Base","Bear"},0),$AL$13,$AM$13,$AN$13)</f>
        <v>10650</v>
      </c>
      <c r="X121" s="153" t="n"/>
      <c r="Y121" s="153" t="n"/>
      <c r="Z121" s="153" t="n"/>
      <c r="AA121" s="153" t="n"/>
      <c r="AB121" s="153" t="n"/>
      <c r="AC121" s="153" t="inlineStr">
        <is>
          <t>Company FY26 operating profit guidance $10.55–10.75B (raised from $9.85–10.25B, 16-Jul-2026). Drives the margin calibration.</t>
        </is>
      </c>
    </row>
    <row r="122" ht="15" customHeight="1" s="251">
      <c r="B122" s="25" t="inlineStr">
        <is>
          <t xml:space="preserve">  Operating profit before calibration = CES + DPT operating-profit guides + Corporate cost guide (FY26E helper)</t>
        </is>
      </c>
      <c r="C122" s="34" t="n"/>
      <c r="D122" s="34" t="n"/>
      <c r="E122" s="34" t="n"/>
      <c r="F122" s="34" t="n"/>
      <c r="G122" s="34" t="n"/>
      <c r="H122" s="34" t="n"/>
      <c r="I122" s="34" t="n"/>
      <c r="J122" s="34" t="n"/>
      <c r="K122" s="34" t="n"/>
      <c r="L122" s="34" t="n"/>
      <c r="M122" s="34" t="n"/>
      <c r="N122" s="34" t="n"/>
      <c r="O122" s="34" t="n"/>
      <c r="P122" s="34" t="n"/>
      <c r="Q122" s="34" t="n"/>
      <c r="R122" s="34" t="n"/>
      <c r="S122" s="34" t="n"/>
      <c r="T122" s="34" t="n"/>
      <c r="U122" s="35" t="n"/>
      <c r="V122" s="35" t="n"/>
      <c r="W122" s="254">
        <f>CHOOSE(MATCH($AC$2,{"Bull","Base","Bear"},0),$AL$19,$AM$19,$AN$19)+CHOOSE(MATCH($AC$2,{"Bull","Base","Bear"},0),$AL$20,$AM$20,$AN$20)+CHOOSE(MATCH($AC$2,{"Bull","Base","Bear"},0),$AL$21,$AM$21,$AN$21)</f>
        <v>10700</v>
      </c>
      <c r="X122" s="35" t="n"/>
      <c r="Y122" s="35" t="n"/>
      <c r="Z122" s="35" t="n"/>
      <c r="AA122" s="35" t="n"/>
      <c r="AB122" s="35" t="n"/>
      <c r="AC122" s="19" t="n"/>
    </row>
    <row r="123" ht="15" customHeight="1" s="251">
      <c r="B123" s="25" t="inlineStr">
        <is>
          <t xml:space="preserve">  Guidance calibration: Δ segment margin (2H-26E, CES and DPT)</t>
        </is>
      </c>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24" t="n"/>
      <c r="V123" s="24" t="n"/>
      <c r="W123" s="256">
        <f>(W121-W122)/(SUM(U21:V21)+SUM(U41:V41))</f>
        <v>-0.00186469594081304</v>
      </c>
      <c r="X123" s="46" t="n"/>
      <c r="Y123" s="46" t="n"/>
      <c r="Z123" s="46" t="n"/>
      <c r="AA123" s="46" t="n"/>
      <c r="AB123" s="46" t="n"/>
      <c r="AC123" s="19" t="inlineStr">
        <is>
          <t>Segment and corporate guides do not sum exactly to the total; one uniform margin Δ on 2H CES and DPT revenue closes FY26 operating profit to the total guide end-point.</t>
        </is>
      </c>
    </row>
    <row r="124" ht="15" customHeight="1" s="251">
      <c r="B124" s="57" t="inlineStr">
        <is>
          <t xml:space="preserve">  Check: FY26 operating profit vs guidance end-point (should be 0)</t>
        </is>
      </c>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153" t="n"/>
      <c r="V124" s="153" t="n"/>
      <c r="W124" s="274">
        <f>ROUND(W111-W121,0)</f>
        <v>0</v>
      </c>
      <c r="X124" s="153" t="n"/>
      <c r="Y124" s="153" t="n"/>
      <c r="Z124" s="153" t="n"/>
      <c r="AA124" s="153" t="n"/>
      <c r="AB124" s="153" t="n"/>
      <c r="AC124" s="153" t="n"/>
    </row>
    <row r="125" ht="15" customHeight="1" s="251">
      <c r="B125" s="25" t="inlineStr">
        <is>
          <t xml:space="preserve">  Information rows (not forced):</t>
        </is>
      </c>
      <c r="AC125" s="153" t="n"/>
    </row>
    <row r="126" ht="15" customHeight="1" s="251">
      <c r="B126" s="156" t="inlineStr">
        <is>
          <t xml:space="preserve">    Model CES operating profit − CES guide end-point</t>
        </is>
      </c>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35" t="n"/>
      <c r="V126" s="35" t="n"/>
      <c r="W126" s="254">
        <f>W26-CHOOSE(MATCH($AC$2,{"Bull","Base","Bear"},0),$AL$19,$AM$19,$AN$19)</f>
        <v>-37.2569900713879</v>
      </c>
      <c r="X126" s="35" t="n"/>
      <c r="Y126" s="35" t="n"/>
      <c r="Z126" s="35" t="n"/>
      <c r="AA126" s="35" t="n"/>
      <c r="AB126" s="35" t="n"/>
      <c r="AC126" s="153" t="n"/>
    </row>
    <row r="127" ht="15" customHeight="1" s="251">
      <c r="B127" s="156" t="inlineStr">
        <is>
          <t xml:space="preserve">    Model DPT operating profit − DPT guide end-point</t>
        </is>
      </c>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35" t="n"/>
      <c r="V127" s="35" t="n"/>
      <c r="W127" s="254">
        <f>W51-CHOOSE(MATCH($AC$2,{"Bull","Base","Bear"},0),$AL$20,$AM$20,$AN$20)</f>
        <v>-12.7430099286125</v>
      </c>
      <c r="X127" s="35" t="n"/>
      <c r="Y127" s="35" t="n"/>
      <c r="Z127" s="35" t="n"/>
      <c r="AA127" s="35" t="n"/>
      <c r="AB127" s="35" t="n"/>
      <c r="AC127" s="153" t="n"/>
    </row>
    <row r="128" ht="15" customHeight="1" s="251">
      <c r="B128" s="156" t="inlineStr">
        <is>
          <t xml:space="preserve">    Memo: FY26 adjusted EPS guidance (scenario end-point, $)</t>
        </is>
      </c>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153" t="n"/>
      <c r="V128" s="153" t="n"/>
      <c r="W128" s="275">
        <f>CHOOSE(MATCH($AC$2,{"Bull","Base","Bear"},0),$AL$14,$AM$14,$AN$14)</f>
        <v>7.75</v>
      </c>
      <c r="X128" s="153" t="n"/>
      <c r="Y128" s="153" t="n"/>
      <c r="Z128" s="153" t="n"/>
      <c r="AA128" s="153" t="n"/>
      <c r="AB128" s="153" t="n"/>
      <c r="AC128" s="153" t="n"/>
    </row>
    <row r="129" ht="15" customHeight="1" s="251">
      <c r="B129" s="156" t="inlineStr">
        <is>
          <t xml:space="preserve">    Model FY26 adjusted EPS − guidance ($)</t>
        </is>
      </c>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35" t="n"/>
      <c r="V129" s="35" t="n"/>
      <c r="W129" s="276">
        <f>W248-W128</f>
        <v>0.0931341338662177</v>
      </c>
      <c r="X129" s="35" t="n"/>
      <c r="Y129" s="35" t="n"/>
      <c r="Z129" s="35" t="n"/>
      <c r="AA129" s="35" t="n"/>
      <c r="AB129" s="35" t="n"/>
      <c r="AC129" s="153" t="n"/>
    </row>
    <row r="130" ht="15" customHeight="1" s="251">
      <c r="AK130" s="11" t="n"/>
      <c r="AL130" s="12" t="n"/>
      <c r="AM130" s="12" t="n"/>
      <c r="AN130" s="12" t="n"/>
      <c r="AO130" s="13" t="n"/>
    </row>
    <row r="131" ht="15" customHeight="1" s="251">
      <c r="B131" s="14" t="inlineStr">
        <is>
          <t>Cost drivers, D&amp;A and items outside operating profit</t>
        </is>
      </c>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c r="AA131" s="14" t="n"/>
      <c r="AB131" s="14" t="n"/>
      <c r="AC131" s="15" t="inlineStr">
        <is>
          <t>COST DRIVERS — Q3/Q4-26E: H1-26 run-rate point estimates; 2027E+: % of adjusted revenue or inputs</t>
        </is>
      </c>
    </row>
    <row r="132" ht="15" customHeight="1" s="251">
      <c r="B132" s="25" t="inlineStr">
        <is>
          <t xml:space="preserve">  Depreciation &amp; amortization (total; cash-flow statement)</t>
        </is>
      </c>
      <c r="C132" s="211">
        <f>IF(AND(ISNUMBER(C133),ISNUMBER(C135)),C133+C135,"")</f>
        <v>1184</v>
      </c>
      <c r="D132" s="211">
        <f>IF(AND(ISNUMBER(D133),ISNUMBER(D135)),D133+D135,"")</f>
      </c>
      <c r="E132" s="211">
        <f>IF(AND(ISNUMBER(E133),ISNUMBER(E135)),E133+E135,"")</f>
      </c>
      <c r="F132" s="211">
        <f>IF(AND(ISNUMBER(F133),ISNUMBER(F135)),F133+F135,"")</f>
        <v>292</v>
      </c>
      <c r="G132" s="211">
        <f>IF(AND(ISNUMBER(G133),ISNUMBER(G135)),G133+G135,"")</f>
        <v>309</v>
      </c>
      <c r="H132" s="211">
        <f>IF(AND(ISNUMBER(H133),ISNUMBER(H135)),H133+H135,"")</f>
        <v>1179</v>
      </c>
      <c r="I132" s="211">
        <f>IF(AND(ISNUMBER(I133),ISNUMBER(I135)),I133+I135,"")</f>
        <v>290</v>
      </c>
      <c r="J132" s="211">
        <f>IF(AND(ISNUMBER(J133),ISNUMBER(J135)),J133+J135,"")</f>
        <v>283</v>
      </c>
      <c r="K132" s="211">
        <f>IF(AND(ISNUMBER(K133),ISNUMBER(K135)),K133+K135,"")</f>
        <v>313</v>
      </c>
      <c r="L132" s="211">
        <f>IF(AND(ISNUMBER(L133),ISNUMBER(L135)),L133+L135,"")</f>
        <v>298</v>
      </c>
      <c r="M132" s="211">
        <f>IF(AND(ISNUMBER(M133),ISNUMBER(M135)),M133+M135,"")</f>
        <v>1184</v>
      </c>
      <c r="N132" s="211">
        <f>IF(AND(ISNUMBER(N133),ISNUMBER(N135)),N133+N135,"")</f>
        <v>299</v>
      </c>
      <c r="O132" s="211">
        <f>IF(AND(ISNUMBER(O133),ISNUMBER(O135)),O133+O135,"")</f>
        <v>311</v>
      </c>
      <c r="P132" s="211">
        <f>IF(AND(ISNUMBER(P133),ISNUMBER(P135)),P133+P135,"")</f>
        <v>303</v>
      </c>
      <c r="Q132" s="211">
        <f>IF(AND(ISNUMBER(Q133),ISNUMBER(Q135)),Q133+Q135,"")</f>
        <v>307</v>
      </c>
      <c r="R132" s="211">
        <f>IF(AND(ISNUMBER(R133),ISNUMBER(R135)),R133+R135,"")</f>
        <v>1220</v>
      </c>
      <c r="S132" s="211">
        <f>IF(AND(ISNUMBER(S133),ISNUMBER(S135)),S133+S135,"")</f>
        <v>312</v>
      </c>
      <c r="T132" s="211">
        <f>IF(AND(ISNUMBER(T133),ISNUMBER(T135)),T133+T135,"")</f>
        <v>313</v>
      </c>
      <c r="U132" s="254">
        <f>IF(AND(ISNUMBER(U133),ISNUMBER(U135)),U133+U135,"")</f>
        <v>315</v>
      </c>
      <c r="V132" s="254">
        <f>IF(AND(ISNUMBER(V133),ISNUMBER(V135)),V133+V135,"")</f>
        <v>315</v>
      </c>
      <c r="W132" s="254">
        <f>IF(AND(ISNUMBER(W133),ISNUMBER(W135)),W133+W135,"")</f>
        <v>1255</v>
      </c>
      <c r="X132" s="254">
        <f>IF(AND(ISNUMBER(X133),ISNUMBER(X135)),X133+X135,"")</f>
        <v>1520.10691527739</v>
      </c>
      <c r="Y132" s="254">
        <f>IF(AND(ISNUMBER(Y133),ISNUMBER(Y135)),Y133+Y135,"")</f>
        <v>1937.8800446835</v>
      </c>
      <c r="Z132" s="254">
        <f>IF(AND(ISNUMBER(Z133),ISNUMBER(Z135)),Z133+Z135,"")</f>
        <v>2069.53939190587</v>
      </c>
      <c r="AA132" s="254">
        <f>IF(AND(ISNUMBER(AA133),ISNUMBER(AA135)),AA133+AA135,"")</f>
        <v>2181.23580346083</v>
      </c>
      <c r="AB132" s="254">
        <f>IF(AND(ISNUMBER(AB133),ISNUMBER(AB135)),AB133+AB135,"")</f>
        <v>2281.12577877105</v>
      </c>
      <c r="AC132" s="19" t="n"/>
      <c r="AE132" s="20">
        <f>IFERROR((AB132/W132)^(1/5)-1,"n/m")</f>
        <v>0.126940797056248</v>
      </c>
      <c r="AF132" s="20">
        <f>IFERROR((R132/C132)^(1/3)-1,"n/m")</f>
        <v>0.0100341149165011</v>
      </c>
      <c r="AG132" s="20">
        <f>IFERROR((R132/H132)^(1/2)-1,"n/m")</f>
        <v>0.0172390246390057</v>
      </c>
      <c r="AH132" s="20">
        <f>IFERROR(W132/R132-1,"n/m")</f>
        <v>0.028688524590164</v>
      </c>
    </row>
    <row r="133" ht="15" customHeight="1" s="251">
      <c r="B133" s="25" t="inlineStr">
        <is>
          <t xml:space="preserve">  Depreciation &amp; amortization of PP&amp;E</t>
        </is>
      </c>
      <c r="C133" s="253" t="n">
        <v>846</v>
      </c>
      <c r="D133" s="34" t="n"/>
      <c r="E133" s="34" t="n"/>
      <c r="F133" s="253" t="n">
        <v>198</v>
      </c>
      <c r="G133" s="253" t="n">
        <v>205</v>
      </c>
      <c r="H133" s="253" t="n">
        <v>797</v>
      </c>
      <c r="I133" s="253" t="n">
        <v>202</v>
      </c>
      <c r="J133" s="253" t="n">
        <v>199</v>
      </c>
      <c r="K133" s="253" t="n">
        <v>224</v>
      </c>
      <c r="L133" s="253" t="n">
        <v>209</v>
      </c>
      <c r="M133" s="253" t="n">
        <v>834</v>
      </c>
      <c r="N133" s="253" t="n">
        <v>210</v>
      </c>
      <c r="O133" s="253" t="n">
        <v>218</v>
      </c>
      <c r="P133" s="253" t="n">
        <v>215</v>
      </c>
      <c r="Q133" s="253" t="n">
        <v>220</v>
      </c>
      <c r="R133" s="253" t="n">
        <v>863</v>
      </c>
      <c r="S133" s="253" t="n">
        <v>227</v>
      </c>
      <c r="T133" s="253" t="n">
        <v>225</v>
      </c>
      <c r="U133" s="254">
        <f>SUM(S133:T133)/2</f>
        <v>226</v>
      </c>
      <c r="V133" s="254">
        <f>SUM(S133:T133)/2</f>
        <v>226</v>
      </c>
      <c r="W133" s="254">
        <f>SUM(S133:V133)</f>
        <v>904</v>
      </c>
      <c r="X133" s="254">
        <f>X105*X134+N(X84)</f>
        <v>1095.56524861073</v>
      </c>
      <c r="Y133" s="254">
        <f>Y105*Y134+N(Y84)</f>
        <v>1306.71337801683</v>
      </c>
      <c r="Z133" s="254">
        <f>Z105*Z134+N(Z84)</f>
        <v>1413.53939190587</v>
      </c>
      <c r="AA133" s="254">
        <f>AA105*AA134+N(AA84)</f>
        <v>1518.56913679416</v>
      </c>
      <c r="AB133" s="254">
        <f>AB105*AB134+N(AB84)</f>
        <v>1617.79244543772</v>
      </c>
      <c r="AC133" s="19" t="n"/>
      <c r="AE133" s="20">
        <f>IFERROR((AB133/W133)^(1/5)-1,"n/m")</f>
        <v>0.123442565297345</v>
      </c>
      <c r="AF133" s="20">
        <f>IFERROR((R133/C133)^(1/3)-1,"n/m")</f>
        <v>0.0066538160853582</v>
      </c>
      <c r="AG133" s="20">
        <f>IFERROR((R133/H133)^(1/2)-1,"n/m")</f>
        <v>0.0405818274038865</v>
      </c>
      <c r="AH133" s="20">
        <f>IFERROR(W133/R133-1,"n/m")</f>
        <v>0.0475086906141367</v>
      </c>
    </row>
    <row r="134" ht="15" customHeight="1" s="251">
      <c r="B134" s="25" t="inlineStr">
        <is>
          <t xml:space="preserve">  PP&amp;E depreciation % of adjusted revenue (excl. CPP)</t>
        </is>
      </c>
      <c r="C134" s="215">
        <f>IFERROR((C133-N(C84))/C105,"")</f>
        <v>0.0323122756091972</v>
      </c>
      <c r="D134" s="215">
        <f>IFERROR((D133-N(D84))/D105,"")</f>
        <v>0</v>
      </c>
      <c r="E134" s="215">
        <f>IFERROR((E133-N(E84))/E105,"")</f>
        <v>0</v>
      </c>
      <c r="F134" s="215">
        <f>IFERROR((F133-N(F84))/F105,"")</f>
        <v>0.0234042553191489</v>
      </c>
      <c r="G134" s="215">
        <f>IFERROR((G133-N(G84))/G105,"")</f>
        <v>0.023985023985024</v>
      </c>
      <c r="H134" s="215">
        <f>IFERROR((H133-N(H84))/H105,"")</f>
        <v>0.024938202071404</v>
      </c>
      <c r="I134" s="215">
        <f>IFERROR((I133-N(I84))/I105,"")</f>
        <v>0.0250123823675087</v>
      </c>
      <c r="J134" s="215">
        <f>IFERROR((J133-N(J84))/J105,"")</f>
        <v>0.0242004134744011</v>
      </c>
      <c r="K134" s="215">
        <f>IFERROR((K133-N(K84))/K105,"")</f>
        <v>0.0250475232025048</v>
      </c>
      <c r="L134" s="215">
        <f>IFERROR((L133-N(L84))/L105,"")</f>
        <v>0.0211559874481223</v>
      </c>
      <c r="M134" s="215">
        <f>IFERROR((M133-N(M84))/M105,"")</f>
        <v>0.02374715261959</v>
      </c>
      <c r="N134" s="215">
        <f>IFERROR((N133-N(N84))/N105,"")</f>
        <v>0.0233333333333333</v>
      </c>
      <c r="O134" s="215">
        <f>IFERROR((O133-N(O84))/O105,"")</f>
        <v>0.0214757166781598</v>
      </c>
      <c r="P134" s="215">
        <f>IFERROR((P133-N(P84))/P105,"")</f>
        <v>0.0190198159943383</v>
      </c>
      <c r="Q134" s="215">
        <f>IFERROR((Q133-N(Q84))/Q105,"")</f>
        <v>0.0185419300463548</v>
      </c>
      <c r="R134" s="215">
        <f>IFERROR((R133-N(R84))/R105,"")</f>
        <v>0.020391285856056</v>
      </c>
      <c r="S134" s="215">
        <f>IFERROR((S133-N(S84))/S105,"")</f>
        <v>0.0195453762700189</v>
      </c>
      <c r="T134" s="215">
        <f>IFERROR((T133-N(T84))/T105,"")</f>
        <v>0.0178090865917366</v>
      </c>
      <c r="U134" s="256">
        <f>IFERROR((U133-N(U84))/U105,"")</f>
        <v>0.0180271667375986</v>
      </c>
      <c r="V134" s="256">
        <f>IFERROR((V133-N(V84))/V105,"")</f>
        <v>0.0171793544418034</v>
      </c>
      <c r="W134" s="256">
        <f>IFERROR((W133-N(W84))/W105,"")</f>
        <v>0.0181017365652676</v>
      </c>
      <c r="X134" s="267" t="n">
        <v>0.019</v>
      </c>
      <c r="Y134" s="267" t="n">
        <v>0.019</v>
      </c>
      <c r="Z134" s="267" t="n">
        <v>0.019</v>
      </c>
      <c r="AA134" s="267" t="n">
        <v>0.019</v>
      </c>
      <c r="AB134" s="267" t="n">
        <v>0.019</v>
      </c>
      <c r="AC134" s="153" t="n"/>
      <c r="AE134" s="37">
        <f>IFERROR(AVERAGE(X134,Y134,Z134,AA134,AB134),"n/m")</f>
        <v>0.019</v>
      </c>
      <c r="AF134" s="37">
        <f>IFERROR(AVERAGE(H134,M134,R134),"n/m")</f>
        <v>0.0230255468490166</v>
      </c>
      <c r="AG134" s="37">
        <f>IFERROR(AVERAGE(M134,R134),"n/m")</f>
        <v>0.022069219237823</v>
      </c>
      <c r="AH134" s="37">
        <f>IFERROR(W134+0,"n/m")</f>
        <v>0.0181017365652676</v>
      </c>
    </row>
    <row r="135" ht="15" customHeight="1" s="251">
      <c r="B135" s="25" t="inlineStr">
        <is>
          <t xml:space="preserve">  Amortization of intangible assets</t>
        </is>
      </c>
      <c r="C135" s="253" t="n">
        <v>338</v>
      </c>
      <c r="D135" s="34" t="n"/>
      <c r="E135" s="34" t="n"/>
      <c r="F135" s="253" t="n">
        <v>94</v>
      </c>
      <c r="G135" s="253" t="n">
        <v>104</v>
      </c>
      <c r="H135" s="253" t="n">
        <v>382</v>
      </c>
      <c r="I135" s="253" t="n">
        <v>88</v>
      </c>
      <c r="J135" s="253" t="n">
        <v>84</v>
      </c>
      <c r="K135" s="253" t="n">
        <v>89</v>
      </c>
      <c r="L135" s="253" t="n">
        <v>89</v>
      </c>
      <c r="M135" s="253" t="n">
        <v>350</v>
      </c>
      <c r="N135" s="253" t="n">
        <v>89</v>
      </c>
      <c r="O135" s="253" t="n">
        <v>93</v>
      </c>
      <c r="P135" s="253" t="n">
        <v>88</v>
      </c>
      <c r="Q135" s="253" t="n">
        <v>87</v>
      </c>
      <c r="R135" s="253" t="n">
        <v>357</v>
      </c>
      <c r="S135" s="253" t="n">
        <v>85</v>
      </c>
      <c r="T135" s="253" t="n">
        <v>88</v>
      </c>
      <c r="U135" s="254">
        <f>(351.0-SUM(S135:T135))/2</f>
        <v>89</v>
      </c>
      <c r="V135" s="254">
        <f>(351.0-SUM(S135:T135))/2</f>
        <v>89</v>
      </c>
      <c r="W135" s="254">
        <f>SUM(S135:V135)</f>
        <v>351</v>
      </c>
      <c r="X135" s="254">
        <f>X136+N(X85)+N(X102)</f>
        <v>424.541666666667</v>
      </c>
      <c r="Y135" s="254">
        <f>Y136+N(Y85)+N(Y102)</f>
        <v>631.166666666667</v>
      </c>
      <c r="Z135" s="254">
        <f>Z136+N(Z85)+N(Z102)</f>
        <v>656</v>
      </c>
      <c r="AA135" s="254">
        <f>AA136+N(AA85)+N(AA102)</f>
        <v>662.666666666667</v>
      </c>
      <c r="AB135" s="254">
        <f>AB136+N(AB85)+N(AB102)</f>
        <v>663.333333333333</v>
      </c>
      <c r="AC135" s="19" t="inlineStr">
        <is>
          <t>Q3/Q4-26E: (FY2025 10-K schedule for 2026, $351m − H1-26) ÷ 2. 2027E+: 10-K schedule + CPP PPA + future-acquisition amortization.</t>
        </is>
      </c>
      <c r="AE135" s="20">
        <f>IFERROR((AB135/W135)^(1/5)-1,"n/m")</f>
        <v>0.135755741752683</v>
      </c>
      <c r="AF135" s="20">
        <f>IFERROR((R135/C135)^(1/3)-1,"n/m")</f>
        <v>0.0183971422084392</v>
      </c>
      <c r="AG135" s="20">
        <f>IFERROR((R135/H135)^(1/2)-1,"n/m")</f>
        <v>-0.0332761646561157</v>
      </c>
      <c r="AH135" s="20">
        <f>IFERROR(W135/R135-1,"n/m")</f>
        <v>-0.0168067226890757</v>
      </c>
    </row>
    <row r="136" ht="15" customHeight="1" s="251">
      <c r="B136" s="25" t="inlineStr">
        <is>
          <t xml:space="preserve">  Amortization schedule — intangibles held at 31-Dec-2025 (10-K, input)</t>
        </is>
      </c>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24" t="n"/>
      <c r="V136" s="24" t="n"/>
      <c r="W136" s="24" t="n"/>
      <c r="X136" s="270" t="n">
        <v>356</v>
      </c>
      <c r="Y136" s="270" t="n">
        <v>357</v>
      </c>
      <c r="Z136" s="270" t="n">
        <v>376</v>
      </c>
      <c r="AA136" s="270" t="n">
        <v>371</v>
      </c>
      <c r="AB136" s="270" t="n">
        <v>360</v>
      </c>
      <c r="AC136" s="19" t="inlineStr">
        <is>
          <t>FY2025 Form 10-K Note 7: estimated annual pre-tax amortization of intangible assets (2026 $351m, 2027 $356m, 2028 $357m, 2029 $376m, 2030 $371m). 2031E $360m assumed.</t>
        </is>
      </c>
    </row>
    <row r="137" ht="15" customHeight="1" s="251">
      <c r="B137" s="25" t="inlineStr">
        <is>
          <t xml:space="preserve">  SG&amp;A % of adjusted revenue</t>
        </is>
      </c>
      <c r="C137" s="215">
        <f>IF(AND(ISNUMBER(C162),ISNUMBER(C105)),IFERROR(C162/C105,""),"")</f>
        <v>0.14024902604843</v>
      </c>
      <c r="D137" s="215">
        <f>IF(AND(ISNUMBER(D162),ISNUMBER(D105)),IFERROR(D162/D105,""),"")</f>
        <v>0.132292405961675</v>
      </c>
      <c r="E137" s="215">
        <f>IF(AND(ISNUMBER(E162),ISNUMBER(E105)),IFERROR(E162/E105,""),"")</f>
        <v>0.115467307449096</v>
      </c>
      <c r="F137" s="215">
        <f>IF(AND(ISNUMBER(F162),ISNUMBER(F105)),IFERROR(F162/F105,""),"")</f>
        <v>0.118321513002364</v>
      </c>
      <c r="G137" s="215">
        <f>IF(AND(ISNUMBER(G162),ISNUMBER(G105)),IFERROR(G162/G105,""),"")</f>
        <v>0.14028314028314</v>
      </c>
      <c r="H137" s="215">
        <f>IF(AND(ISNUMBER(H162),ISNUMBER(H105)),IFERROR(H162/H105,""),"")</f>
        <v>0.126568415782722</v>
      </c>
      <c r="I137" s="215">
        <f>IF(AND(ISNUMBER(I162),ISNUMBER(I105)),IFERROR(I162/I105,""),"")</f>
        <v>0.12704309063893</v>
      </c>
      <c r="J137" s="215">
        <f>IF(AND(ISNUMBER(J162),ISNUMBER(J105)),IFERROR(J162/J105,""),"")</f>
        <v>0.112367748996717</v>
      </c>
      <c r="K137" s="215">
        <f>IF(AND(ISNUMBER(K162),ISNUMBER(K105)),IFERROR(K162/K105,""),"")</f>
        <v>0.148719669014872</v>
      </c>
      <c r="L137" s="215">
        <f>IF(AND(ISNUMBER(L162),ISNUMBER(L105)),IFERROR(L162/L105,""),"")</f>
        <v>0.117117117117117</v>
      </c>
      <c r="M137" s="215">
        <f>IF(AND(ISNUMBER(M162),ISNUMBER(M105)),IFERROR(M162/M105,""),"")</f>
        <v>0.126338268792711</v>
      </c>
      <c r="N137" s="215">
        <f>IF(AND(ISNUMBER(N162),ISNUMBER(N105)),IFERROR(N162/N105,""),"")</f>
        <v>0.0973333333333333</v>
      </c>
      <c r="O137" s="215">
        <f>IF(AND(ISNUMBER(O162),ISNUMBER(O105)),IFERROR(O162/O105,""),"")</f>
        <v>0.100482711062949</v>
      </c>
      <c r="P137" s="215">
        <f>IF(AND(ISNUMBER(P162),ISNUMBER(P105)),IFERROR(P162/P105,""),"")</f>
        <v>0.105714791224345</v>
      </c>
      <c r="Q137" s="215">
        <f>IF(AND(ISNUMBER(Q162),ISNUMBER(Q105)),IFERROR(Q162/Q105,""),"")</f>
        <v>0.0840286557100716</v>
      </c>
      <c r="R137" s="215">
        <f>IF(AND(ISNUMBER(R162),ISNUMBER(R105)),IFERROR(R162/R105,""),"")</f>
        <v>0.0965927886205756</v>
      </c>
      <c r="S137" s="215">
        <f>IF(AND(ISNUMBER(S162),ISNUMBER(S105)),IFERROR(S162/S105,""),"")</f>
        <v>0.0933356294127777</v>
      </c>
      <c r="T137" s="215">
        <f>IF(AND(ISNUMBER(T162),ISNUMBER(T105)),IFERROR(T162/T105,""),"")</f>
        <v>0.0895203419344626</v>
      </c>
      <c r="U137" s="256">
        <f>IFERROR(SUM(S162:T162)/SUM(S105:T105),"")</f>
        <v>0.0913477400197955</v>
      </c>
      <c r="V137" s="256">
        <f>IFERROR(SUM(S162:T162)/SUM(S105:T105),"")</f>
        <v>0.0913477400197955</v>
      </c>
      <c r="W137" s="256">
        <f>IF(AND(ISNUMBER(W162),ISNUMBER(W105)),IFERROR(W162/W105,""),"")</f>
        <v>0.0913477400197955</v>
      </c>
      <c r="X137" s="267" t="n">
        <v>0.09</v>
      </c>
      <c r="Y137" s="267" t="n">
        <v>0.09</v>
      </c>
      <c r="Z137" s="267" t="n">
        <v>0.09</v>
      </c>
      <c r="AA137" s="267" t="n">
        <v>0.09</v>
      </c>
      <c r="AB137" s="267" t="n">
        <v>0.09</v>
      </c>
      <c r="AC137" s="153" t="n"/>
      <c r="AE137" s="37">
        <f>IFERROR(AVERAGE(X137,Y137,Z137,AA137,AB137),"n/m")</f>
        <v>0.09</v>
      </c>
      <c r="AF137" s="37">
        <f>IFERROR(AVERAGE(H137,M137,R137),"n/m")</f>
        <v>0.116499824398669</v>
      </c>
      <c r="AG137" s="37">
        <f>IFERROR(AVERAGE(M137,R137),"n/m")</f>
        <v>0.111465528706643</v>
      </c>
      <c r="AH137" s="37">
        <f>IFERROR(W137+0,"n/m")</f>
        <v>0.0913477400197955</v>
      </c>
    </row>
    <row r="138" ht="15" customHeight="1" s="251">
      <c r="B138" s="25" t="inlineStr">
        <is>
          <t xml:space="preserve">  R&amp;D % of adjusted revenue (company-funded)</t>
        </is>
      </c>
      <c r="C138" s="215">
        <f>IF(AND(ISNUMBER(C166),ISNUMBER(C105)),IFERROR(C166/C105,""),"")</f>
        <v>0.0308608967993278</v>
      </c>
      <c r="D138" s="215">
        <f>IF(AND(ISNUMBER(D166),ISNUMBER(D105)),IFERROR(D166/D105,""),"")</f>
        <v>0.0325053229240596</v>
      </c>
      <c r="E138" s="215">
        <f>IF(AND(ISNUMBER(E166),ISNUMBER(E105)),IFERROR(E166/E105,""),"")</f>
        <v>0.0302263816871127</v>
      </c>
      <c r="F138" s="215">
        <f>IF(AND(ISNUMBER(F166),ISNUMBER(F105)),IFERROR(F166/F105,""),"")</f>
        <v>0.0291962174940898</v>
      </c>
      <c r="G138" s="215">
        <f>IF(AND(ISNUMBER(G166),ISNUMBER(G105)),IFERROR(G166/G105,""),"")</f>
        <v>0.0346320346320346</v>
      </c>
      <c r="H138" s="215">
        <f>IF(AND(ISNUMBER(H166),ISNUMBER(H105)),IFERROR(H166/H105,""),"")</f>
        <v>0.0316342814230733</v>
      </c>
      <c r="I138" s="215">
        <f>IF(AND(ISNUMBER(I166),ISNUMBER(I105)),IFERROR(I166/I105,""),"")</f>
        <v>0.0334323922734027</v>
      </c>
      <c r="J138" s="215">
        <f>IF(AND(ISNUMBER(J166),ISNUMBER(J105)),IFERROR(J166/J105,""),"")</f>
        <v>0.0364830353885443</v>
      </c>
      <c r="K138" s="215">
        <f>IF(AND(ISNUMBER(K166),ISNUMBER(K105)),IFERROR(K166/K105,""),"")</f>
        <v>0.0370121883037012</v>
      </c>
      <c r="L138" s="215">
        <f>IF(AND(ISNUMBER(L166),ISNUMBER(L105)),IFERROR(L166/L105,""),"")</f>
        <v>0.0389715558254884</v>
      </c>
      <c r="M138" s="215">
        <f>IF(AND(ISNUMBER(M166),ISNUMBER(M105)),IFERROR(M166/M105,""),"")</f>
        <v>0.0366173120728929</v>
      </c>
      <c r="N138" s="215">
        <f>IF(AND(ISNUMBER(N166),ISNUMBER(N105)),IFERROR(N166/N105,""),"")</f>
        <v>0.0398888888888889</v>
      </c>
      <c r="O138" s="215">
        <f>IF(AND(ISNUMBER(O166),ISNUMBER(O105)),IFERROR(O166/O105,""),"")</f>
        <v>0.0353659737956852</v>
      </c>
      <c r="P138" s="215">
        <f>IF(AND(ISNUMBER(P166),ISNUMBER(P105)),IFERROR(P166/P105,""),"")</f>
        <v>0.0367126680820948</v>
      </c>
      <c r="Q138" s="215">
        <f>IF(AND(ISNUMBER(Q166),ISNUMBER(Q105)),IFERROR(Q166/Q105,""),"")</f>
        <v>0.0377581120943953</v>
      </c>
      <c r="R138" s="215">
        <f>IF(AND(ISNUMBER(R166),ISNUMBER(R105)),IFERROR(R166/R105,""),"")</f>
        <v>0.0373328292613771</v>
      </c>
      <c r="S138" s="215">
        <f>IF(AND(ISNUMBER(S166),ISNUMBER(S105)),IFERROR(S166/S105,""),"")</f>
        <v>0.0378853108317548</v>
      </c>
      <c r="T138" s="215">
        <f>IF(AND(ISNUMBER(T166),ISNUMBER(T105)),IFERROR(T166/T105,""),"")</f>
        <v>0.0364096881431059</v>
      </c>
      <c r="U138" s="256">
        <f>IFERROR(SUM(S166:T166)/SUM(S105:T105),"")</f>
        <v>0.0371164632134609</v>
      </c>
      <c r="V138" s="256">
        <f>IFERROR(SUM(S166:T166)/SUM(S105:T105),"")</f>
        <v>0.0371164632134609</v>
      </c>
      <c r="W138" s="256">
        <f>IF(AND(ISNUMBER(W166),ISNUMBER(W105)),IFERROR(W166/W105,""),"")</f>
        <v>0.0371164632134609</v>
      </c>
      <c r="X138" s="267" t="n">
        <v>0.037</v>
      </c>
      <c r="Y138" s="267" t="n">
        <v>0.037</v>
      </c>
      <c r="Z138" s="267" t="n">
        <v>0.037</v>
      </c>
      <c r="AA138" s="267" t="n">
        <v>0.037</v>
      </c>
      <c r="AB138" s="267" t="n">
        <v>0.037</v>
      </c>
      <c r="AC138" s="153" t="n"/>
      <c r="AE138" s="37">
        <f>IFERROR(AVERAGE(X138,Y138,Z138,AA138,AB138),"n/m")</f>
        <v>0.037</v>
      </c>
      <c r="AF138" s="37">
        <f>IFERROR(AVERAGE(H138,M138,R138),"n/m")</f>
        <v>0.0351948075857811</v>
      </c>
      <c r="AG138" s="37">
        <f>IFERROR(AVERAGE(M138,R138),"n/m")</f>
        <v>0.036975070667135</v>
      </c>
      <c r="AH138" s="37">
        <f>IFERROR(W138+0,"n/m")</f>
        <v>0.0371164632134609</v>
      </c>
    </row>
    <row r="139" ht="15" customHeight="1" s="251">
      <c r="B139" s="25" t="inlineStr">
        <is>
          <t xml:space="preserve">  Sales of equipment % of adjusted revenue</t>
        </is>
      </c>
      <c r="C139" s="215">
        <f>IF(AND(ISNUMBER(C154),ISNUMBER(C105)),IFERROR(C154/C105,""),"")</f>
        <v>0.299327782445955</v>
      </c>
      <c r="D139" s="215">
        <f>IF(AND(ISNUMBER(D154),ISNUMBER(D105)),IFERROR(D154/D105,""),"")</f>
        <v>0.280198722498226</v>
      </c>
      <c r="E139" s="215">
        <f>IF(AND(ISNUMBER(E154),ISNUMBER(E105)),IFERROR(E154/E105,""),"")</f>
        <v>0.320222587580625</v>
      </c>
      <c r="F139" s="215">
        <f>IF(AND(ISNUMBER(F154),ISNUMBER(F105)),IFERROR(F154/F105,""),"")</f>
        <v>0.271631205673759</v>
      </c>
      <c r="G139" s="215">
        <f>IF(AND(ISNUMBER(G154),ISNUMBER(G105)),IFERROR(G154/G105,""),"")</f>
        <v>0.294138294138294</v>
      </c>
      <c r="H139" s="215">
        <f>IF(AND(ISNUMBER(H154),ISNUMBER(H105)),IFERROR(H154/H105,""),"")</f>
        <v>0.291561062611471</v>
      </c>
      <c r="I139" s="215">
        <f>IF(AND(ISNUMBER(I154),ISNUMBER(I105)),IFERROR(I154/I105,""),"")</f>
        <v>0.299777117384844</v>
      </c>
      <c r="J139" s="215">
        <f>IF(AND(ISNUMBER(J154),ISNUMBER(J105)),IFERROR(J154/J105,""),"")</f>
        <v>0.264502006566946</v>
      </c>
      <c r="K139" s="215">
        <f>IF(AND(ISNUMBER(K154),ISNUMBER(K105)),IFERROR(K154/K105,""),"")</f>
        <v>0.273733646427373</v>
      </c>
      <c r="L139" s="215">
        <f>IF(AND(ISNUMBER(L154),ISNUMBER(L105)),IFERROR(L154/L105,""),"")</f>
        <v>0.326956169652799</v>
      </c>
      <c r="M139" s="215">
        <f>IF(AND(ISNUMBER(M154),ISNUMBER(M105)),IFERROR(M154/M105,""),"")</f>
        <v>0.29253986332574</v>
      </c>
      <c r="N139" s="215">
        <f>IF(AND(ISNUMBER(N154),ISNUMBER(N105)),IFERROR(N154/N105,""),"")</f>
        <v>0.294777777777778</v>
      </c>
      <c r="O139" s="215">
        <f>IF(AND(ISNUMBER(O154),ISNUMBER(O105)),IFERROR(O154/O105,""),"")</f>
        <v>0.279972416510689</v>
      </c>
      <c r="P139" s="215">
        <f>IF(AND(ISNUMBER(P154),ISNUMBER(P105)),IFERROR(P154/P105,""),"")</f>
        <v>0.27981245576787</v>
      </c>
      <c r="Q139" s="215">
        <f>IF(AND(ISNUMBER(Q154),ISNUMBER(Q105)),IFERROR(Q154/Q105,""),"")</f>
        <v>0.294985250737463</v>
      </c>
      <c r="R139" s="215">
        <f>IF(AND(ISNUMBER(R154),ISNUMBER(R105)),IFERROR(R154/R105,""),"")</f>
        <v>0.287297386701952</v>
      </c>
      <c r="S139" s="215">
        <f>IF(AND(ISNUMBER(S154),ISNUMBER(S105)),IFERROR(S154/S105,""),"")</f>
        <v>0.281384535904942</v>
      </c>
      <c r="T139" s="215">
        <f>IF(AND(ISNUMBER(T154),ISNUMBER(T105)),IFERROR(T154/T105,""),"")</f>
        <v>0.285103688459712</v>
      </c>
      <c r="U139" s="256">
        <f>IFERROR(SUM(S154:T154)/SUM(S105:T105),"")</f>
        <v>0.283322335862752</v>
      </c>
      <c r="V139" s="256">
        <f>IFERROR(SUM(S154:T154)/SUM(S105:T105),"")</f>
        <v>0.283322335862752</v>
      </c>
      <c r="W139" s="256">
        <f>IF(AND(ISNUMBER(W154),ISNUMBER(W105)),IFERROR(W154/W105,""),"")</f>
        <v>0.283322335862752</v>
      </c>
      <c r="X139" s="267" t="n">
        <v>0.285</v>
      </c>
      <c r="Y139" s="267" t="n">
        <v>0.285</v>
      </c>
      <c r="Z139" s="267" t="n">
        <v>0.285</v>
      </c>
      <c r="AA139" s="267" t="n">
        <v>0.285</v>
      </c>
      <c r="AB139" s="267" t="n">
        <v>0.285</v>
      </c>
      <c r="AC139" s="153" t="n"/>
    </row>
    <row r="140" ht="15" customHeight="1" s="251">
      <c r="B140" s="25" t="inlineStr">
        <is>
          <t xml:space="preserve">  Cost of equipment sold % of sales of equipment</t>
        </is>
      </c>
      <c r="C140" s="215">
        <f>IF(AND(ISNUMBER(C159),ISNUMBER(C154)),IFERROR(C159/C154,""),"")</f>
        <v>1.04006635192038</v>
      </c>
      <c r="D140" s="215">
        <f>IF(AND(ISNUMBER(D159),ISNUMBER(D154)),IFERROR(D159/D154,""),"")</f>
        <v>1.07294832826748</v>
      </c>
      <c r="E140" s="215">
        <f>IF(AND(ISNUMBER(E159),ISNUMBER(E154)),IFERROR(E159/E154,""),"")</f>
        <v>1.03712480252765</v>
      </c>
      <c r="F140" s="215">
        <f>IF(AND(ISNUMBER(F159),ISNUMBER(F154)),IFERROR(F159/F154,""),"")</f>
        <v>1.06309834638816</v>
      </c>
      <c r="G140" s="215">
        <f>IF(AND(ISNUMBER(G159),ISNUMBER(G154)),IFERROR(G159/G154,""),"")</f>
        <v>1.07915672235481</v>
      </c>
      <c r="H140" s="215">
        <f>IF(AND(ISNUMBER(H159),ISNUMBER(H154)),IFERROR(H159/H154,""),"")</f>
        <v>1.0624597553123</v>
      </c>
      <c r="I140" s="215">
        <f>IF(AND(ISNUMBER(I159),ISNUMBER(I154)),IFERROR(I159/I154,""),"")</f>
        <v>1.01817430813713</v>
      </c>
      <c r="J140" s="215">
        <f>IF(AND(ISNUMBER(J159),ISNUMBER(J154)),IFERROR(J159/J154,""),"")</f>
        <v>1.0583908045977</v>
      </c>
      <c r="K140" s="215">
        <f>IF(AND(ISNUMBER(K159),ISNUMBER(K154)),IFERROR(K159/K154,""),"")</f>
        <v>1.07230392156863</v>
      </c>
      <c r="L140" s="215">
        <f>IF(AND(ISNUMBER(L159),ISNUMBER(L154)),IFERROR(L159/L154,""),"")</f>
        <v>0.913312693498452</v>
      </c>
      <c r="M140" s="215">
        <f>IF(AND(ISNUMBER(M159),ISNUMBER(M154)),IFERROR(M159/M154,""),"")</f>
        <v>1.00652131594316</v>
      </c>
      <c r="N140" s="215">
        <f>IF(AND(ISNUMBER(N159),ISNUMBER(N154)),IFERROR(N159/N154,""),"")</f>
        <v>0.880135695439126</v>
      </c>
      <c r="O140" s="215">
        <f>IF(AND(ISNUMBER(O159),ISNUMBER(O154)),IFERROR(O159/O154,""),"")</f>
        <v>0.969035890218156</v>
      </c>
      <c r="P140" s="215">
        <f>IF(AND(ISNUMBER(P159),ISNUMBER(P154)),IFERROR(P159/P154,""),"")</f>
        <v>1.06259879860892</v>
      </c>
      <c r="Q140" s="215">
        <f>IF(AND(ISNUMBER(Q159),ISNUMBER(Q154)),IFERROR(Q159/Q154,""),"")</f>
        <v>1.12314285714286</v>
      </c>
      <c r="R140" s="215">
        <f>IF(AND(ISNUMBER(R159),ISNUMBER(R154)),IFERROR(R159/R154,""),"")</f>
        <v>1.01834032403981</v>
      </c>
      <c r="S140" s="215">
        <f>IF(AND(ISNUMBER(S159),ISNUMBER(S154)),IFERROR(S159/S154,""),"")</f>
        <v>1.00397796817625</v>
      </c>
      <c r="T140" s="215">
        <f>IF(AND(ISNUMBER(T159),ISNUMBER(T154)),IFERROR(T159/T154,""),"")</f>
        <v>1.05968906163243</v>
      </c>
      <c r="U140" s="256">
        <f>IFERROR(SUM(S159:T159)/SUM(S154:T154),"")</f>
        <v>1.03318777292576</v>
      </c>
      <c r="V140" s="256">
        <f>IFERROR(SUM(S159:T159)/SUM(S154:T154),"")</f>
        <v>1.03318777292576</v>
      </c>
      <c r="W140" s="256">
        <f>IF(AND(ISNUMBER(W159),ISNUMBER(W154)),IFERROR(W159/W154,""),"")</f>
        <v>1.03318777292576</v>
      </c>
      <c r="X140" s="267" t="n">
        <v>1.03</v>
      </c>
      <c r="Y140" s="267" t="n">
        <v>1.03</v>
      </c>
      <c r="Z140" s="267" t="n">
        <v>1.03</v>
      </c>
      <c r="AA140" s="267" t="n">
        <v>1.03</v>
      </c>
      <c r="AB140" s="267" t="n">
        <v>1.03</v>
      </c>
      <c r="AC140" s="153" t="inlineStr">
        <is>
          <t>New engines (LEAP, GE9X) are sold near or below cost; profit comes from services. Cost of services sold is the implied balancing line.</t>
        </is>
      </c>
    </row>
    <row r="141" ht="15" customHeight="1" s="251">
      <c r="B141" s="25" t="inlineStr">
        <is>
          <t xml:space="preserve">  Adjusted other income (inside operating profit: interest &amp; investment income, equity-method income, licensing)</t>
        </is>
      </c>
      <c r="C141" s="34" t="n"/>
      <c r="D141" s="253" t="n">
        <v>287</v>
      </c>
      <c r="E141" s="253" t="n">
        <v>231</v>
      </c>
      <c r="F141" s="253" t="n">
        <v>299</v>
      </c>
      <c r="G141" s="253" t="n">
        <v>362</v>
      </c>
      <c r="H141" s="253" t="n">
        <v>1179</v>
      </c>
      <c r="I141" s="253" t="n">
        <v>397</v>
      </c>
      <c r="J141" s="253" t="n">
        <v>359</v>
      </c>
      <c r="K141" s="253" t="n">
        <v>356</v>
      </c>
      <c r="L141" s="253" t="n">
        <v>368</v>
      </c>
      <c r="M141" s="253" t="n">
        <v>1480</v>
      </c>
      <c r="N141" s="253" t="n">
        <v>337</v>
      </c>
      <c r="O141" s="253" t="n">
        <v>347</v>
      </c>
      <c r="P141" s="253" t="n">
        <v>322</v>
      </c>
      <c r="Q141" s="253" t="n">
        <v>333</v>
      </c>
      <c r="R141" s="253" t="n">
        <v>1339</v>
      </c>
      <c r="S141" s="253" t="n">
        <v>325</v>
      </c>
      <c r="T141" s="253" t="n">
        <v>314</v>
      </c>
      <c r="U141" s="254">
        <f>SUM(S141:T141)/2</f>
        <v>319.5</v>
      </c>
      <c r="V141" s="254">
        <f>SUM(S141:T141)/2</f>
        <v>319.5</v>
      </c>
      <c r="W141" s="254">
        <f>SUM(S141:V141)</f>
        <v>1278</v>
      </c>
      <c r="X141" s="254">
        <f>X105*X142</f>
        <v>1464.98402441468</v>
      </c>
      <c r="Y141" s="254">
        <f>Y105*Y142</f>
        <v>1640.34462254935</v>
      </c>
      <c r="Z141" s="254">
        <f>Z105*Z142</f>
        <v>1774.70443102909</v>
      </c>
      <c r="AA141" s="254">
        <f>AA105*AA142</f>
        <v>1905.66033456043</v>
      </c>
      <c r="AB141" s="254">
        <f>AB105*AB142</f>
        <v>2027.64906765162</v>
      </c>
      <c r="AC141" s="19" t="n"/>
    </row>
    <row r="142" ht="15" customHeight="1" s="251">
      <c r="B142" s="25" t="inlineStr">
        <is>
          <t xml:space="preserve">  Adjusted other income % of adjusted revenue</t>
        </is>
      </c>
      <c r="C142" s="215">
        <f>IF(AND(ISNUMBER(C141),ISNUMBER(C105)),IFERROR(C141/C105,""),"")</f>
      </c>
      <c r="D142" s="215">
        <f>IF(AND(ISNUMBER(D141),ISNUMBER(D105)),IFERROR(D141/D105,""),"")</f>
        <v>0.0407381121362669</v>
      </c>
      <c r="E142" s="215">
        <f>IF(AND(ISNUMBER(E141),ISNUMBER(E105)),IFERROR(E141/E105,""),"")</f>
        <v>0.0292146199570001</v>
      </c>
      <c r="F142" s="215">
        <f>IF(AND(ISNUMBER(F141),ISNUMBER(F105)),IFERROR(F141/F105,""),"")</f>
        <v>0.0353427895981088</v>
      </c>
      <c r="G142" s="215">
        <f>IF(AND(ISNUMBER(G141),ISNUMBER(G105)),IFERROR(G141/G105,""),"")</f>
        <v>0.0423540423540424</v>
      </c>
      <c r="H142" s="215">
        <f>IF(AND(ISNUMBER(H141),ISNUMBER(H105)),IFERROR(H141/H105,""),"")</f>
        <v>0.036891016615038</v>
      </c>
      <c r="I142" s="215">
        <f>IF(AND(ISNUMBER(I141),ISNUMBER(I105)),IFERROR(I141/I105,""),"")</f>
        <v>0.0491579990094106</v>
      </c>
      <c r="J142" s="215">
        <f>IF(AND(ISNUMBER(J141),ISNUMBER(J105)),IFERROR(J141/J105,""),"")</f>
        <v>0.0436580323482914</v>
      </c>
      <c r="K142" s="215">
        <f>IF(AND(ISNUMBER(K141),ISNUMBER(K105)),IFERROR(K141/K105,""),"")</f>
        <v>0.0398076708039808</v>
      </c>
      <c r="L142" s="215">
        <f>IF(AND(ISNUMBER(L141),ISNUMBER(L105)),IFERROR(L141/L105,""),"")</f>
        <v>0.0372507338799474</v>
      </c>
      <c r="M142" s="215">
        <f>IF(AND(ISNUMBER(M141),ISNUMBER(M105)),IFERROR(M141/M105,""),"")</f>
        <v>0.0421412300683371</v>
      </c>
      <c r="N142" s="215">
        <f>IF(AND(ISNUMBER(N141),ISNUMBER(N105)),IFERROR(N141/N105,""),"")</f>
        <v>0.0374444444444445</v>
      </c>
      <c r="O142" s="215">
        <f>IF(AND(ISNUMBER(O141),ISNUMBER(O105)),IFERROR(O141/O105,""),"")</f>
        <v>0.0341838242537681</v>
      </c>
      <c r="P142" s="215">
        <f>IF(AND(ISNUMBER(P141),ISNUMBER(P105)),IFERROR(P141/P105,""),"")</f>
        <v>0.028485491861288</v>
      </c>
      <c r="Q142" s="215">
        <f>IF(AND(ISNUMBER(Q141),ISNUMBER(Q105)),IFERROR(Q141/Q105,""),"")</f>
        <v>0.0280657395701644</v>
      </c>
      <c r="R142" s="215">
        <f>IF(AND(ISNUMBER(R141),ISNUMBER(R105)),IFERROR(R141/R105,""),"")</f>
        <v>0.0316383913803696</v>
      </c>
      <c r="S142" s="215">
        <f>IF(AND(ISNUMBER(S141),ISNUMBER(S105)),IFERROR(S141/S105,""),"")</f>
        <v>0.0279834682280007</v>
      </c>
      <c r="T142" s="215">
        <f>IF(AND(ISNUMBER(T141),ISNUMBER(T105)),IFERROR(T141/T105,""),"")</f>
        <v>0.0248535697324679</v>
      </c>
      <c r="U142" s="256">
        <f>IF(AND(ISNUMBER(U141),ISNUMBER(U105)),IFERROR(U141/U105,""),"")</f>
        <v>0.0254853087285962</v>
      </c>
      <c r="V142" s="256">
        <f>IF(AND(ISNUMBER(V141),ISNUMBER(V105)),IFERROR(V141/V105,""),"")</f>
        <v>0.0242867422307796</v>
      </c>
      <c r="W142" s="256">
        <f>IF(AND(ISNUMBER(W141),ISNUMBER(W105)),IFERROR(W141/W105,""),"")</f>
        <v>0.0255907293478008</v>
      </c>
      <c r="X142" s="267" t="n">
        <v>0.026</v>
      </c>
      <c r="Y142" s="267" t="n">
        <v>0.026</v>
      </c>
      <c r="Z142" s="267" t="n">
        <v>0.026</v>
      </c>
      <c r="AA142" s="267" t="n">
        <v>0.026</v>
      </c>
      <c r="AB142" s="267" t="n">
        <v>0.026</v>
      </c>
      <c r="AC142" s="153" t="n"/>
    </row>
    <row r="143" ht="15" customHeight="1" s="251">
      <c r="B143" s="25" t="inlineStr">
        <is>
          <t xml:space="preserve">  Non-operating benefit income (pension / OPEB; outside operating profit; income +)</t>
        </is>
      </c>
      <c r="C143" s="211">
        <f>-C169</f>
        <v>60</v>
      </c>
      <c r="D143" s="211">
        <f>-D169</f>
        <v>239</v>
      </c>
      <c r="E143" s="211">
        <f>-E169</f>
        <v>249</v>
      </c>
      <c r="F143" s="211">
        <f>-F169</f>
        <v>244</v>
      </c>
      <c r="G143" s="211">
        <f>-G169</f>
        <v>247</v>
      </c>
      <c r="H143" s="211">
        <f>-H169</f>
        <v>978</v>
      </c>
      <c r="I143" s="211">
        <f>-I169</f>
        <v>217</v>
      </c>
      <c r="J143" s="211">
        <f>-J169</f>
        <v>204</v>
      </c>
      <c r="K143" s="211">
        <f>-K169</f>
        <v>207</v>
      </c>
      <c r="L143" s="211">
        <f>-L169</f>
        <v>214</v>
      </c>
      <c r="M143" s="211">
        <f>-M169</f>
        <v>842</v>
      </c>
      <c r="N143" s="211">
        <f>-N169</f>
        <v>201</v>
      </c>
      <c r="O143" s="211">
        <f>-O169</f>
        <v>197</v>
      </c>
      <c r="P143" s="211">
        <f>-P169</f>
        <v>198</v>
      </c>
      <c r="Q143" s="211">
        <f>-Q169</f>
        <v>192</v>
      </c>
      <c r="R143" s="211">
        <f>-R169</f>
        <v>788</v>
      </c>
      <c r="S143" s="211">
        <f>-S169</f>
        <v>176</v>
      </c>
      <c r="T143" s="211">
        <f>-T169</f>
        <v>177</v>
      </c>
      <c r="U143" s="254">
        <f>SUM(S143:T143)/2</f>
        <v>176.5</v>
      </c>
      <c r="V143" s="254">
        <f>SUM(S143:T143)/2</f>
        <v>176.5</v>
      </c>
      <c r="W143" s="254">
        <f>SUM(S143:V143)</f>
        <v>706</v>
      </c>
      <c r="X143" s="270" t="n">
        <v>680</v>
      </c>
      <c r="Y143" s="270" t="n">
        <v>660</v>
      </c>
      <c r="Z143" s="270" t="n">
        <v>640</v>
      </c>
      <c r="AA143" s="270" t="n">
        <v>620</v>
      </c>
      <c r="AB143" s="270" t="n">
        <v>600</v>
      </c>
      <c r="AC143" s="19" t="n"/>
    </row>
    <row r="144" ht="15" customHeight="1" s="251">
      <c r="B144" s="25" t="inlineStr">
        <is>
          <t xml:space="preserve">  Items excluded from operating profit / adjusted EPS (pre-tax; forecast inputs):</t>
        </is>
      </c>
      <c r="AC144" s="153" t="n"/>
    </row>
    <row r="145" ht="15" customHeight="1" s="251">
      <c r="B145" s="25" t="inlineStr">
        <is>
          <t xml:space="preserve">  Restructuring &amp; other charges (company non-GAAP item)</t>
        </is>
      </c>
      <c r="C145" s="34" t="n"/>
      <c r="D145" s="253" t="n">
        <v>41</v>
      </c>
      <c r="E145" s="253" t="n">
        <v>45</v>
      </c>
      <c r="F145" s="253" t="n">
        <v>44</v>
      </c>
      <c r="G145" s="253" t="n">
        <v>116</v>
      </c>
      <c r="H145" s="253" t="n">
        <v>246</v>
      </c>
      <c r="I145" s="253" t="n">
        <v>70</v>
      </c>
      <c r="J145" s="253" t="n">
        <v>77</v>
      </c>
      <c r="K145" s="253" t="n">
        <v>378</v>
      </c>
      <c r="L145" s="253" t="n">
        <v>0</v>
      </c>
      <c r="M145" s="253" t="n">
        <v>525</v>
      </c>
      <c r="N145" s="253" t="n">
        <v>1</v>
      </c>
      <c r="O145" s="253" t="n">
        <v>26</v>
      </c>
      <c r="P145" s="253" t="n">
        <v>22</v>
      </c>
      <c r="Q145" s="253" t="n">
        <v>-136</v>
      </c>
      <c r="R145" s="253" t="n">
        <v>-87</v>
      </c>
      <c r="S145" s="253" t="n">
        <v>24</v>
      </c>
      <c r="T145" s="253" t="n">
        <v>27</v>
      </c>
      <c r="U145" s="254">
        <f>SUM(S145:T145)/2</f>
        <v>25.5</v>
      </c>
      <c r="V145" s="254">
        <f>SUM(S145:T145)/2</f>
        <v>25.5</v>
      </c>
      <c r="W145" s="254">
        <f>SUM(S145:V145)</f>
        <v>102</v>
      </c>
      <c r="X145" s="270" t="n">
        <v>100</v>
      </c>
      <c r="Y145" s="270" t="n">
        <v>250</v>
      </c>
      <c r="Z145" s="270" t="n">
        <v>100</v>
      </c>
      <c r="AA145" s="270" t="n">
        <v>100</v>
      </c>
      <c r="AB145" s="270" t="n">
        <v>100</v>
      </c>
      <c r="AC145" s="19" t="inlineStr">
        <is>
          <t>2028E includes ~$150m of CPP one-time integration costs (assumption).</t>
        </is>
      </c>
    </row>
    <row r="146" ht="15" customHeight="1" s="251">
      <c r="B146" s="25" t="inlineStr">
        <is>
          <t xml:space="preserve">  Separation costs (GE HealthCare / GE Vernova)</t>
        </is>
      </c>
      <c r="C146" s="34" t="n"/>
      <c r="D146" s="253" t="n">
        <v>164</v>
      </c>
      <c r="E146" s="253" t="n">
        <v>163</v>
      </c>
      <c r="F146" s="253" t="n">
        <v>147</v>
      </c>
      <c r="G146" s="253" t="n">
        <v>217</v>
      </c>
      <c r="H146" s="253" t="n">
        <v>692</v>
      </c>
      <c r="I146" s="253" t="n">
        <v>259</v>
      </c>
      <c r="J146" s="253" t="n">
        <v>75</v>
      </c>
      <c r="K146" s="253" t="n">
        <v>74</v>
      </c>
      <c r="L146" s="253" t="n">
        <v>83</v>
      </c>
      <c r="M146" s="253" t="n">
        <v>492</v>
      </c>
      <c r="N146" s="253" t="n">
        <v>51</v>
      </c>
      <c r="O146" s="253" t="n">
        <v>47</v>
      </c>
      <c r="P146" s="253" t="n">
        <v>53</v>
      </c>
      <c r="Q146" s="253" t="n">
        <v>52</v>
      </c>
      <c r="R146" s="253" t="n">
        <v>202</v>
      </c>
      <c r="S146" s="253" t="n">
        <v>55</v>
      </c>
      <c r="T146" s="253" t="n">
        <v>34</v>
      </c>
      <c r="U146" s="254">
        <f>SUM(S146:T146)/2</f>
        <v>44.5</v>
      </c>
      <c r="V146" s="254">
        <f>SUM(S146:T146)/2</f>
        <v>44.5</v>
      </c>
      <c r="W146" s="254">
        <f>SUM(S146:V146)</f>
        <v>178</v>
      </c>
      <c r="X146" s="270" t="n">
        <v>50</v>
      </c>
      <c r="Y146" s="270" t="n">
        <v>0</v>
      </c>
      <c r="Z146" s="270" t="n">
        <v>0</v>
      </c>
      <c r="AA146" s="270" t="n">
        <v>0</v>
      </c>
      <c r="AB146" s="270" t="n">
        <v>0</v>
      </c>
      <c r="AC146" s="19" t="n"/>
    </row>
    <row r="147" ht="15" customHeight="1" s="251">
      <c r="B147" s="25" t="inlineStr">
        <is>
          <t xml:space="preserve">  Goodwill impairments (Q3-24 Colibrium Additive $251m)</t>
        </is>
      </c>
      <c r="C147" s="34" t="n"/>
      <c r="D147" s="253" t="n">
        <v>0</v>
      </c>
      <c r="E147" s="253" t="n">
        <v>0</v>
      </c>
      <c r="F147" s="253" t="n">
        <v>0</v>
      </c>
      <c r="G147" s="253" t="n">
        <v>0</v>
      </c>
      <c r="H147" s="253" t="n">
        <v>0</v>
      </c>
      <c r="I147" s="253" t="n">
        <v>0</v>
      </c>
      <c r="J147" s="253" t="n">
        <v>0</v>
      </c>
      <c r="K147" s="253" t="n">
        <v>251</v>
      </c>
      <c r="L147" s="253" t="n">
        <v>0</v>
      </c>
      <c r="M147" s="253" t="n">
        <v>251</v>
      </c>
      <c r="N147" s="253" t="n">
        <v>0</v>
      </c>
      <c r="O147" s="253" t="n">
        <v>0</v>
      </c>
      <c r="P147" s="253" t="n">
        <v>0</v>
      </c>
      <c r="Q147" s="253" t="n">
        <v>0</v>
      </c>
      <c r="R147" s="253" t="n">
        <v>0</v>
      </c>
      <c r="S147" s="253" t="n">
        <v>0</v>
      </c>
      <c r="T147" s="253" t="n">
        <v>0</v>
      </c>
      <c r="U147" s="254">
        <f>0</f>
        <v>0</v>
      </c>
      <c r="V147" s="254">
        <f>0</f>
        <v>0</v>
      </c>
      <c r="W147" s="254">
        <f>SUM(S147:V147)</f>
        <v>0</v>
      </c>
      <c r="X147" s="254">
        <f>0</f>
        <v>0</v>
      </c>
      <c r="Y147" s="254">
        <f>0</f>
        <v>0</v>
      </c>
      <c r="Z147" s="254">
        <f>0</f>
        <v>0</v>
      </c>
      <c r="AA147" s="254">
        <f>0</f>
        <v>0</v>
      </c>
      <c r="AB147" s="254">
        <f>0</f>
        <v>0</v>
      </c>
      <c r="AC147" s="19" t="n"/>
    </row>
    <row r="148" ht="15" customHeight="1" s="251">
      <c r="B148" s="25" t="inlineStr">
        <is>
          <t xml:space="preserve">  Gains (losses) on retained / sold ownership interests and other equity securities (GE HealthCare, AerCap, BETA)</t>
        </is>
      </c>
      <c r="C148" s="34" t="n"/>
      <c r="D148" s="253" t="n">
        <v>5905</v>
      </c>
      <c r="E148" s="253" t="n">
        <v>360</v>
      </c>
      <c r="F148" s="253" t="n">
        <v>-1110</v>
      </c>
      <c r="G148" s="253" t="n">
        <v>621</v>
      </c>
      <c r="H148" s="253" t="n">
        <v>5776</v>
      </c>
      <c r="I148" s="253" t="n">
        <v>635</v>
      </c>
      <c r="J148" s="253" t="n">
        <v>-393</v>
      </c>
      <c r="K148" s="253" t="n">
        <v>357</v>
      </c>
      <c r="L148" s="253" t="n">
        <v>-66</v>
      </c>
      <c r="M148" s="253" t="n">
        <v>532</v>
      </c>
      <c r="N148" s="253" t="n">
        <v>7</v>
      </c>
      <c r="O148" s="253" t="n">
        <v>3</v>
      </c>
      <c r="P148" s="253" t="n">
        <v>8</v>
      </c>
      <c r="Q148" s="253" t="n">
        <v>294</v>
      </c>
      <c r="R148" s="253" t="n">
        <v>312</v>
      </c>
      <c r="S148" s="253" t="n">
        <v>-309</v>
      </c>
      <c r="T148" s="253" t="n">
        <v>65</v>
      </c>
      <c r="U148" s="254">
        <f>0</f>
        <v>0</v>
      </c>
      <c r="V148" s="254">
        <f>0</f>
        <v>0</v>
      </c>
      <c r="W148" s="254">
        <f>SUM(S148:V148)</f>
        <v>-244</v>
      </c>
      <c r="X148" s="254">
        <f>0</f>
        <v>0</v>
      </c>
      <c r="Y148" s="254">
        <f>0</f>
        <v>0</v>
      </c>
      <c r="Z148" s="254">
        <f>0</f>
        <v>0</v>
      </c>
      <c r="AA148" s="254">
        <f>0</f>
        <v>0</v>
      </c>
      <c r="AB148" s="254">
        <f>0</f>
        <v>0</v>
      </c>
      <c r="AC148" s="19" t="inlineStr">
        <is>
          <t>Mark-to-market gains / losses are not forecast (BETA Technologies investment marked to market from 2026).</t>
        </is>
      </c>
    </row>
    <row r="149" collapsed="1" ht="15" customHeight="1" s="251">
      <c r="B149" s="25" t="inlineStr">
        <is>
          <t xml:space="preserve">  Gains (losses) on purchases and sales of business interests</t>
        </is>
      </c>
      <c r="C149" s="34" t="n"/>
      <c r="D149" s="253" t="n">
        <v>-54</v>
      </c>
      <c r="E149" s="253" t="n">
        <v>-54</v>
      </c>
      <c r="F149" s="253" t="n">
        <v>0</v>
      </c>
      <c r="G149" s="253" t="n">
        <v>4</v>
      </c>
      <c r="H149" s="253" t="n">
        <v>-104</v>
      </c>
      <c r="I149" s="253" t="n">
        <v>10</v>
      </c>
      <c r="J149" s="253" t="n">
        <v>10</v>
      </c>
      <c r="K149" s="253" t="n">
        <v>356</v>
      </c>
      <c r="L149" s="253" t="n">
        <v>23</v>
      </c>
      <c r="M149" s="253" t="n">
        <v>398</v>
      </c>
      <c r="N149" s="253" t="n">
        <v>0</v>
      </c>
      <c r="O149" s="253" t="n">
        <v>0</v>
      </c>
      <c r="P149" s="253" t="n">
        <v>3</v>
      </c>
      <c r="Q149" s="253" t="n">
        <v>2</v>
      </c>
      <c r="R149" s="253" t="n">
        <v>5</v>
      </c>
      <c r="S149" s="253" t="n">
        <v>24</v>
      </c>
      <c r="T149" s="253" t="n">
        <v>0</v>
      </c>
      <c r="U149" s="254">
        <f>0</f>
        <v>0</v>
      </c>
      <c r="V149" s="254">
        <f>0</f>
        <v>0</v>
      </c>
      <c r="W149" s="254">
        <f>SUM(S149:V149)</f>
        <v>24</v>
      </c>
      <c r="X149" s="254">
        <f>0</f>
        <v>0</v>
      </c>
      <c r="Y149" s="254">
        <f>0</f>
        <v>0</v>
      </c>
      <c r="Z149" s="254">
        <f>0</f>
        <v>0</v>
      </c>
      <c r="AA149" s="254">
        <f>0</f>
        <v>0</v>
      </c>
      <c r="AB149" s="254">
        <f>0</f>
        <v>0</v>
      </c>
      <c r="AC149" s="19" t="n"/>
    </row>
    <row r="150" ht="15" customHeight="1" s="251">
      <c r="B150" s="25" t="inlineStr">
        <is>
          <t xml:space="preserve">  Noncontrolling interests in operating profit (bridge "add" line)</t>
        </is>
      </c>
      <c r="C150" s="34" t="n"/>
      <c r="D150" s="253" t="n">
        <v>4</v>
      </c>
      <c r="E150" s="253" t="n">
        <v>2</v>
      </c>
      <c r="F150" s="253" t="n">
        <v>1</v>
      </c>
      <c r="G150" s="253" t="n">
        <v>-9</v>
      </c>
      <c r="H150" s="253" t="n">
        <v>-1</v>
      </c>
      <c r="I150" s="253" t="n">
        <v>3</v>
      </c>
      <c r="J150" s="253" t="n">
        <v>2</v>
      </c>
      <c r="K150" s="253" t="n">
        <v>-10</v>
      </c>
      <c r="L150" s="253" t="n">
        <v>-8</v>
      </c>
      <c r="M150" s="253" t="n">
        <v>-13</v>
      </c>
      <c r="N150" s="253" t="n">
        <v>-5</v>
      </c>
      <c r="O150" s="253" t="n">
        <v>-7</v>
      </c>
      <c r="P150" s="253" t="n">
        <v>-3</v>
      </c>
      <c r="Q150" s="253" t="n">
        <v>10</v>
      </c>
      <c r="R150" s="253" t="n">
        <v>-6</v>
      </c>
      <c r="S150" s="253" t="n">
        <v>16</v>
      </c>
      <c r="T150" s="253" t="n">
        <v>-13</v>
      </c>
      <c r="U150" s="254">
        <f>0</f>
        <v>0</v>
      </c>
      <c r="V150" s="254">
        <f>0</f>
        <v>0</v>
      </c>
      <c r="W150" s="254">
        <f>SUM(S150:V150)</f>
        <v>3</v>
      </c>
      <c r="X150" s="254">
        <f>0</f>
        <v>0</v>
      </c>
      <c r="Y150" s="254">
        <f>0</f>
        <v>0</v>
      </c>
      <c r="Z150" s="254">
        <f>0</f>
        <v>0</v>
      </c>
      <c r="AA150" s="254">
        <f>0</f>
        <v>0</v>
      </c>
      <c r="AB150" s="254">
        <f>0</f>
        <v>0</v>
      </c>
      <c r="AC150" s="19" t="n"/>
    </row>
    <row r="151" ht="15" customHeight="1" s="251">
      <c r="B151" s="25" t="inlineStr">
        <is>
          <t xml:space="preserve">  Tax rate on adjusting items (insurance, non-operating benefit, restructuring, separation)</t>
        </is>
      </c>
      <c r="C151" s="36" t="n"/>
      <c r="D151" s="36" t="n"/>
      <c r="E151" s="36" t="n"/>
      <c r="F151" s="36" t="n"/>
      <c r="G151" s="36" t="n"/>
      <c r="H151" s="36" t="n"/>
      <c r="I151" s="36" t="n"/>
      <c r="J151" s="36" t="n"/>
      <c r="K151" s="36" t="n"/>
      <c r="L151" s="36" t="n"/>
      <c r="M151" s="36" t="n"/>
      <c r="N151" s="36" t="n"/>
      <c r="O151" s="36" t="n"/>
      <c r="P151" s="36" t="n"/>
      <c r="Q151" s="36" t="n"/>
      <c r="R151" s="36" t="n"/>
      <c r="S151" s="36" t="n"/>
      <c r="T151" s="36" t="n"/>
      <c r="U151" s="256">
        <f>$AM$27</f>
        <v>0.21</v>
      </c>
      <c r="V151" s="256">
        <f>$AM$27</f>
        <v>0.21</v>
      </c>
      <c r="W151" s="256">
        <f>$AM$27</f>
        <v>0.21</v>
      </c>
      <c r="X151" s="256">
        <f>$AM$27</f>
        <v>0.21</v>
      </c>
      <c r="Y151" s="256">
        <f>$AM$27</f>
        <v>0.21</v>
      </c>
      <c r="Z151" s="256">
        <f>$AM$27</f>
        <v>0.21</v>
      </c>
      <c r="AA151" s="256">
        <f>$AM$27</f>
        <v>0.21</v>
      </c>
      <c r="AB151" s="256">
        <f>$AM$27</f>
        <v>0.21</v>
      </c>
      <c r="AC151" s="153" t="inlineStr">
        <is>
          <t>H1-26 company tax effects: ~21% on non-operating benefit income, separation and restructuring.</t>
        </is>
      </c>
    </row>
    <row r="152" ht="15" customHeight="1" s="251">
      <c r="AK152" s="11" t="n"/>
      <c r="AL152" s="12" t="n"/>
      <c r="AM152" s="12" t="n"/>
      <c r="AN152" s="12" t="n"/>
      <c r="AO152" s="13" t="n"/>
    </row>
    <row r="153" ht="15" customHeight="1" s="251">
      <c r="B153" s="10" t="inlineStr">
        <is>
          <t>STATEMENT OF OPERATIONS (US GAAP; GE Aerospace continuing operations)</t>
        </is>
      </c>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inlineStr">
        <is>
          <t>CONSOLIDATED IS — forecast logic (profit before tax = operating profit + items outside operating profit; cost of services sold is implied)</t>
        </is>
      </c>
    </row>
    <row r="154" ht="15" customHeight="1" s="251">
      <c r="B154" s="25" t="inlineStr">
        <is>
          <t>Sales of equipment</t>
        </is>
      </c>
      <c r="C154" s="253" t="n">
        <v>7837</v>
      </c>
      <c r="D154" s="253" t="n">
        <v>1974</v>
      </c>
      <c r="E154" s="253" t="n">
        <v>2532</v>
      </c>
      <c r="F154" s="253" t="n">
        <v>2298</v>
      </c>
      <c r="G154" s="253" t="n">
        <v>2514</v>
      </c>
      <c r="H154" s="253" t="n">
        <v>9318</v>
      </c>
      <c r="I154" s="253" t="n">
        <v>2421</v>
      </c>
      <c r="J154" s="253" t="n">
        <v>2175</v>
      </c>
      <c r="K154" s="253" t="n">
        <v>2448</v>
      </c>
      <c r="L154" s="253" t="n">
        <v>3230</v>
      </c>
      <c r="M154" s="253" t="n">
        <v>10274</v>
      </c>
      <c r="N154" s="253" t="n">
        <v>2653</v>
      </c>
      <c r="O154" s="253" t="n">
        <v>2842</v>
      </c>
      <c r="P154" s="253" t="n">
        <v>3163</v>
      </c>
      <c r="Q154" s="253" t="n">
        <v>3500</v>
      </c>
      <c r="R154" s="253" t="n">
        <v>12159</v>
      </c>
      <c r="S154" s="253" t="n">
        <v>3268</v>
      </c>
      <c r="T154" s="253" t="n">
        <v>3602</v>
      </c>
      <c r="U154" s="254">
        <f>U105*U139</f>
        <v>3551.90856317067</v>
      </c>
      <c r="V154" s="254">
        <f>V105*V139</f>
        <v>3727.19755692171</v>
      </c>
      <c r="W154" s="254">
        <f>SUM(S154:V154)</f>
        <v>14149.1061200924</v>
      </c>
      <c r="X154" s="254">
        <f>X105*X139</f>
        <v>16058.4787291609</v>
      </c>
      <c r="Y154" s="254">
        <f>Y105*Y139</f>
        <v>17980.7006702525</v>
      </c>
      <c r="Z154" s="254">
        <f>Z105*Z139</f>
        <v>19453.490878588</v>
      </c>
      <c r="AA154" s="254">
        <f>AA105*AA139</f>
        <v>20888.9690519124</v>
      </c>
      <c r="AB154" s="254">
        <f>AB105*AB139</f>
        <v>22226.1532415658</v>
      </c>
      <c r="AC154" s="19" t="n"/>
    </row>
    <row r="155" ht="15" customHeight="1" s="251">
      <c r="B155" s="25" t="inlineStr">
        <is>
          <t>Sales of services</t>
        </is>
      </c>
      <c r="C155" s="253" t="n">
        <v>18345</v>
      </c>
      <c r="D155" s="253" t="n">
        <v>5071</v>
      </c>
      <c r="E155" s="253" t="n">
        <v>5375</v>
      </c>
      <c r="F155" s="253" t="n">
        <v>6162</v>
      </c>
      <c r="G155" s="253" t="n">
        <v>6033</v>
      </c>
      <c r="H155" s="253" t="n">
        <v>22641</v>
      </c>
      <c r="I155" s="253" t="n">
        <v>5655</v>
      </c>
      <c r="J155" s="253" t="n">
        <v>6047</v>
      </c>
      <c r="K155" s="253" t="n">
        <v>6495</v>
      </c>
      <c r="L155" s="253" t="n">
        <v>6649</v>
      </c>
      <c r="M155" s="253" t="n">
        <v>24847</v>
      </c>
      <c r="N155" s="253" t="n">
        <v>6347</v>
      </c>
      <c r="O155" s="253" t="n">
        <v>7308</v>
      </c>
      <c r="P155" s="253" t="n">
        <v>8143</v>
      </c>
      <c r="Q155" s="253" t="n">
        <v>8365</v>
      </c>
      <c r="R155" s="253" t="n">
        <v>30163</v>
      </c>
      <c r="S155" s="253" t="n">
        <v>8346</v>
      </c>
      <c r="T155" s="253" t="n">
        <v>9031</v>
      </c>
      <c r="U155" s="254">
        <f>U105-U154</f>
        <v>8984.72591132168</v>
      </c>
      <c r="V155" s="254">
        <f>V105-V154</f>
        <v>9428.12796858594</v>
      </c>
      <c r="W155" s="254">
        <f>SUM(S155:V155)</f>
        <v>35789.8538799076</v>
      </c>
      <c r="X155" s="254">
        <f>X105-X154</f>
        <v>40287.0606714036</v>
      </c>
      <c r="Y155" s="254">
        <f>Y105-Y154</f>
        <v>45109.4771201071</v>
      </c>
      <c r="Z155" s="254">
        <f>Z105-Z154</f>
        <v>48804.3718532998</v>
      </c>
      <c r="AA155" s="254">
        <f>AA105-AA154</f>
        <v>52405.6592004118</v>
      </c>
      <c r="AB155" s="254">
        <f>AB105-AB154</f>
        <v>55760.3493604195</v>
      </c>
      <c r="AC155" s="19" t="n"/>
    </row>
    <row r="156" collapsed="1" ht="15" customHeight="1" s="251">
      <c r="B156" s="25" t="inlineStr">
        <is>
          <t>Insurance revenue</t>
        </is>
      </c>
      <c r="C156" s="253" t="n">
        <v>2957</v>
      </c>
      <c r="D156" s="253" t="n">
        <v>792</v>
      </c>
      <c r="E156" s="253" t="n">
        <v>847</v>
      </c>
      <c r="F156" s="253" t="n">
        <v>842</v>
      </c>
      <c r="G156" s="253" t="n">
        <v>909</v>
      </c>
      <c r="H156" s="253" t="n">
        <v>3389</v>
      </c>
      <c r="I156" s="253" t="n">
        <v>879</v>
      </c>
      <c r="J156" s="253" t="n">
        <v>871</v>
      </c>
      <c r="K156" s="253" t="n">
        <v>899</v>
      </c>
      <c r="L156" s="253" t="n">
        <v>932</v>
      </c>
      <c r="M156" s="253" t="n">
        <v>3581</v>
      </c>
      <c r="N156" s="253" t="n">
        <v>934</v>
      </c>
      <c r="O156" s="253" t="n">
        <v>872</v>
      </c>
      <c r="P156" s="253" t="n">
        <v>875</v>
      </c>
      <c r="Q156" s="253" t="n">
        <v>852</v>
      </c>
      <c r="R156" s="253" t="n">
        <v>3533</v>
      </c>
      <c r="S156" s="253" t="n">
        <v>778</v>
      </c>
      <c r="T156" s="253" t="n">
        <v>715</v>
      </c>
      <c r="U156" s="254">
        <f>U66</f>
        <v>746.5</v>
      </c>
      <c r="V156" s="254">
        <f>V66</f>
        <v>746.5</v>
      </c>
      <c r="W156" s="254">
        <f>SUM(S156:V156)</f>
        <v>2986</v>
      </c>
      <c r="X156" s="254">
        <f>X66</f>
        <v>2896.42</v>
      </c>
      <c r="Y156" s="254">
        <f>Y66</f>
        <v>2809.5274</v>
      </c>
      <c r="Z156" s="254">
        <f>Z66</f>
        <v>2725.241578</v>
      </c>
      <c r="AA156" s="254">
        <f>AA66</f>
        <v>2643.48433066</v>
      </c>
      <c r="AB156" s="254">
        <f>AB66</f>
        <v>2564.1798007402</v>
      </c>
      <c r="AC156" s="19" t="n"/>
    </row>
    <row r="157" ht="15" customHeight="1" s="251">
      <c r="B157" s="55" t="inlineStr">
        <is>
          <t>Total revenue</t>
        </is>
      </c>
      <c r="C157" s="277" t="n">
        <v>29139</v>
      </c>
      <c r="D157" s="277" t="n">
        <v>7836</v>
      </c>
      <c r="E157" s="277" t="n">
        <v>8755</v>
      </c>
      <c r="F157" s="277" t="n">
        <v>9302</v>
      </c>
      <c r="G157" s="277" t="n">
        <v>9455</v>
      </c>
      <c r="H157" s="277" t="n">
        <v>35348</v>
      </c>
      <c r="I157" s="277" t="n">
        <v>8955</v>
      </c>
      <c r="J157" s="277" t="n">
        <v>9094</v>
      </c>
      <c r="K157" s="277" t="n">
        <v>9842</v>
      </c>
      <c r="L157" s="277" t="n">
        <v>10812</v>
      </c>
      <c r="M157" s="277" t="n">
        <v>38702</v>
      </c>
      <c r="N157" s="277" t="n">
        <v>9935</v>
      </c>
      <c r="O157" s="277" t="n">
        <v>11023</v>
      </c>
      <c r="P157" s="277" t="n">
        <v>12181</v>
      </c>
      <c r="Q157" s="277" t="n">
        <v>12717</v>
      </c>
      <c r="R157" s="277" t="n">
        <v>45855</v>
      </c>
      <c r="S157" s="277" t="n">
        <v>12392</v>
      </c>
      <c r="T157" s="277" t="n">
        <v>13349</v>
      </c>
      <c r="U157" s="273">
        <f>U154+U155+U156</f>
        <v>13283.1344744924</v>
      </c>
      <c r="V157" s="273">
        <f>V154+V155+V156</f>
        <v>13901.8255255077</v>
      </c>
      <c r="W157" s="273">
        <f>SUM(S157:V157)</f>
        <v>52925.96</v>
      </c>
      <c r="X157" s="273">
        <f>X154+X155+X156</f>
        <v>59241.9594005645</v>
      </c>
      <c r="Y157" s="273">
        <f>Y154+Y155+Y156</f>
        <v>65899.7051903595</v>
      </c>
      <c r="Z157" s="273">
        <f>Z154+Z155+Z156</f>
        <v>70983.1043098879</v>
      </c>
      <c r="AA157" s="273">
        <f>AA154+AA155+AA156</f>
        <v>75938.1125829842</v>
      </c>
      <c r="AB157" s="273">
        <f>AB154+AB155+AB156</f>
        <v>80550.6824027255</v>
      </c>
      <c r="AC157" s="153" t="n"/>
      <c r="AE157" s="20">
        <f>IFERROR((AB157/W157)^(1/5)-1,"n/m")</f>
        <v>0.0876272896977859</v>
      </c>
      <c r="AF157" s="20">
        <f>IFERROR((R157/C157)^(1/3)-1,"n/m")</f>
        <v>0.163154355970344</v>
      </c>
      <c r="AG157" s="20">
        <f>IFERROR((R157/H157)^(1/2)-1,"n/m")</f>
        <v>0.138966434976142</v>
      </c>
      <c r="AH157" s="20">
        <f>IFERROR(W157/R157-1,"n/m")</f>
        <v>0.154202595136845</v>
      </c>
    </row>
    <row r="158" ht="15" customHeight="1" s="251">
      <c r="B158" s="156" t="inlineStr">
        <is>
          <t xml:space="preserve">  Memo: adjusted revenue (total revenue − insurance revenue)</t>
        </is>
      </c>
      <c r="C158" s="211">
        <f>IF(ISNUMBER(C157),C157-C156,"")</f>
        <v>26182</v>
      </c>
      <c r="D158" s="211">
        <f>IF(ISNUMBER(D157),D157-D156,"")</f>
        <v>7044</v>
      </c>
      <c r="E158" s="211">
        <f>IF(ISNUMBER(E157),E157-E156,"")</f>
        <v>7908</v>
      </c>
      <c r="F158" s="211">
        <f>IF(ISNUMBER(F157),F157-F156,"")</f>
        <v>8460</v>
      </c>
      <c r="G158" s="211">
        <f>IF(ISNUMBER(G157),G157-G156,"")</f>
        <v>8546</v>
      </c>
      <c r="H158" s="211">
        <f>IF(ISNUMBER(H157),H157-H156,"")</f>
        <v>31959</v>
      </c>
      <c r="I158" s="211">
        <f>IF(ISNUMBER(I157),I157-I156,"")</f>
        <v>8076</v>
      </c>
      <c r="J158" s="211">
        <f>IF(ISNUMBER(J157),J157-J156,"")</f>
        <v>8223</v>
      </c>
      <c r="K158" s="211">
        <f>IF(ISNUMBER(K157),K157-K156,"")</f>
        <v>8943</v>
      </c>
      <c r="L158" s="211">
        <f>IF(ISNUMBER(L157),L157-L156,"")</f>
        <v>9880</v>
      </c>
      <c r="M158" s="211">
        <f>IF(ISNUMBER(M157),M157-M156,"")</f>
        <v>35121</v>
      </c>
      <c r="N158" s="211">
        <f>IF(ISNUMBER(N157),N157-N156,"")</f>
        <v>9001</v>
      </c>
      <c r="O158" s="211">
        <f>IF(ISNUMBER(O157),O157-O156,"")</f>
        <v>10151</v>
      </c>
      <c r="P158" s="211">
        <f>IF(ISNUMBER(P157),P157-P156,"")</f>
        <v>11306</v>
      </c>
      <c r="Q158" s="211">
        <f>IF(ISNUMBER(Q157),Q157-Q156,"")</f>
        <v>11865</v>
      </c>
      <c r="R158" s="211">
        <f>IF(ISNUMBER(R157),R157-R156,"")</f>
        <v>42322</v>
      </c>
      <c r="S158" s="211">
        <f>IF(ISNUMBER(S157),S157-S156,"")</f>
        <v>11614</v>
      </c>
      <c r="T158" s="211">
        <f>IF(ISNUMBER(T157),T157-T156,"")</f>
        <v>12634</v>
      </c>
      <c r="U158" s="254">
        <f>IF(ISNUMBER(U157),U157-U156,"")</f>
        <v>12536.6344744924</v>
      </c>
      <c r="V158" s="254">
        <f>IF(ISNUMBER(V157),V157-V156,"")</f>
        <v>13155.3255255077</v>
      </c>
      <c r="W158" s="254">
        <f>IF(ISNUMBER(W157),W157-W156,"")</f>
        <v>49939.96</v>
      </c>
      <c r="X158" s="254">
        <f>IF(ISNUMBER(X157),X157-X156,"")</f>
        <v>56345.5394005645</v>
      </c>
      <c r="Y158" s="254">
        <f>IF(ISNUMBER(Y157),Y157-Y156,"")</f>
        <v>63090.1777903595</v>
      </c>
      <c r="Z158" s="254">
        <f>IF(ISNUMBER(Z157),Z157-Z156,"")</f>
        <v>68257.8627318879</v>
      </c>
      <c r="AA158" s="254">
        <f>IF(ISNUMBER(AA157),AA157-AA156,"")</f>
        <v>73294.6282523242</v>
      </c>
      <c r="AB158" s="254">
        <f>IF(ISNUMBER(AB157),AB157-AB156,"")</f>
        <v>77986.5026019853</v>
      </c>
      <c r="AC158" s="153" t="n"/>
    </row>
    <row r="159" ht="15" customHeight="1" s="251">
      <c r="B159" s="25" t="inlineStr">
        <is>
          <t>Cost of equipment sold</t>
        </is>
      </c>
      <c r="C159" s="253" t="n">
        <v>8151</v>
      </c>
      <c r="D159" s="253" t="n">
        <v>2118</v>
      </c>
      <c r="E159" s="253" t="n">
        <v>2626</v>
      </c>
      <c r="F159" s="253" t="n">
        <v>2443</v>
      </c>
      <c r="G159" s="253" t="n">
        <v>2713</v>
      </c>
      <c r="H159" s="253" t="n">
        <v>9900</v>
      </c>
      <c r="I159" s="253" t="n">
        <v>2465</v>
      </c>
      <c r="J159" s="253" t="n">
        <v>2302</v>
      </c>
      <c r="K159" s="253" t="n">
        <v>2625</v>
      </c>
      <c r="L159" s="253" t="n">
        <v>2950</v>
      </c>
      <c r="M159" s="253" t="n">
        <v>10341</v>
      </c>
      <c r="N159" s="253" t="n">
        <v>2335</v>
      </c>
      <c r="O159" s="253" t="n">
        <v>2754</v>
      </c>
      <c r="P159" s="253" t="n">
        <v>3361</v>
      </c>
      <c r="Q159" s="253" t="n">
        <v>3931</v>
      </c>
      <c r="R159" s="253" t="n">
        <v>12382</v>
      </c>
      <c r="S159" s="253" t="n">
        <v>3281</v>
      </c>
      <c r="T159" s="253" t="n">
        <v>3817</v>
      </c>
      <c r="U159" s="254">
        <f>U154*U140</f>
        <v>3669.78849801826</v>
      </c>
      <c r="V159" s="254">
        <f>V154*V140</f>
        <v>3850.89494309029</v>
      </c>
      <c r="W159" s="254">
        <f>SUM(S159:V159)</f>
        <v>14618.6834411085</v>
      </c>
      <c r="X159" s="254">
        <f>X154*X140</f>
        <v>16540.2330910357</v>
      </c>
      <c r="Y159" s="254">
        <f>Y154*Y140</f>
        <v>18520.12169036</v>
      </c>
      <c r="Z159" s="254">
        <f>Z154*Z140</f>
        <v>20037.0956049457</v>
      </c>
      <c r="AA159" s="254">
        <f>AA154*AA140</f>
        <v>21515.6381234698</v>
      </c>
      <c r="AB159" s="254">
        <f>AB154*AB140</f>
        <v>22892.9378388128</v>
      </c>
      <c r="AC159" s="19" t="n"/>
    </row>
    <row r="160" ht="15" customHeight="1" s="251">
      <c r="B160" s="25" t="inlineStr">
        <is>
          <t>Cost of services sold</t>
        </is>
      </c>
      <c r="C160" s="253" t="n">
        <v>10836</v>
      </c>
      <c r="D160" s="253" t="n">
        <v>2881</v>
      </c>
      <c r="E160" s="253" t="n">
        <v>3066</v>
      </c>
      <c r="F160" s="253" t="n">
        <v>3549</v>
      </c>
      <c r="G160" s="253" t="n">
        <v>3543</v>
      </c>
      <c r="H160" s="253" t="n">
        <v>13039</v>
      </c>
      <c r="I160" s="253" t="n">
        <v>3281</v>
      </c>
      <c r="J160" s="253" t="n">
        <v>3273</v>
      </c>
      <c r="K160" s="253" t="n">
        <v>3601</v>
      </c>
      <c r="L160" s="253" t="n">
        <v>3812</v>
      </c>
      <c r="M160" s="253" t="n">
        <v>13967</v>
      </c>
      <c r="N160" s="253" t="n">
        <v>3660</v>
      </c>
      <c r="O160" s="253" t="n">
        <v>4092</v>
      </c>
      <c r="P160" s="253" t="n">
        <v>4401</v>
      </c>
      <c r="Q160" s="253" t="n">
        <v>4432</v>
      </c>
      <c r="R160" s="253" t="n">
        <v>16586</v>
      </c>
      <c r="S160" s="253" t="n">
        <v>4641</v>
      </c>
      <c r="T160" s="253" t="n">
        <v>4856</v>
      </c>
      <c r="U160" s="254">
        <f>U157+U171-U172-U159-U162-U163-U164-U165-U166-U167-U168-U169</f>
        <v>4997.68423174055</v>
      </c>
      <c r="V160" s="254">
        <f>V157+V171-V172-V159-V162-V163-V164-V165-V166-V167-V168-V169</f>
        <v>5188.09515625021</v>
      </c>
      <c r="W160" s="254">
        <f>SUM(S160:V160)</f>
        <v>19682.7793879908</v>
      </c>
      <c r="X160" s="254">
        <f>X157+X171-X172-X159-X162-X163-X164-X165-X166-X167-X168-X169</f>
        <v>21956.5306895919</v>
      </c>
      <c r="Y160" s="254">
        <f>Y157+Y171-Y172-Y159-Y162-Y163-Y164-Y165-Y166-Y167-Y168-Y169</f>
        <v>24552.1286457442</v>
      </c>
      <c r="Z160" s="254">
        <f>Z157+Z171-Z172-Z159-Z162-Z163-Z164-Z165-Z166-Z167-Z168-Z169</f>
        <v>25971.1797064332</v>
      </c>
      <c r="AA160" s="254">
        <f>AA157+AA171-AA172-AA159-AA162-AA163-AA164-AA165-AA166-AA167-AA168-AA169</f>
        <v>27459.9699165186</v>
      </c>
      <c r="AB160" s="254">
        <f>AB157+AB171-AB172-AB159-AB162-AB163-AB164-AB165-AB166-AB167-AB168-AB169</f>
        <v>28939.1389843874</v>
      </c>
      <c r="AC160" s="19" t="inlineStr">
        <is>
          <t>Forecast = implied balancing line (revenue + other income − profit before tax − other costs); absorbs restructuring &amp; other charges.</t>
        </is>
      </c>
    </row>
    <row r="161" ht="15" customHeight="1" s="251">
      <c r="B161" s="25" t="inlineStr">
        <is>
          <t xml:space="preserve">  Gross margin % (total revenue − cost of equipment and services sold)</t>
        </is>
      </c>
      <c r="C161" s="215">
        <f>IFERROR((C157-C156-C159-C160)/(C157-C156),"")</f>
        <v>0.274807119395004</v>
      </c>
      <c r="D161" s="215">
        <f>IFERROR((D157-D156-D159-D160)/(D157-D156),"")</f>
        <v>0.290318001135718</v>
      </c>
      <c r="E161" s="215">
        <f>IFERROR((E157-E156-E159-E160)/(E157-E156),"")</f>
        <v>0.280222559433485</v>
      </c>
      <c r="F161" s="215">
        <f>IFERROR((F157-F156-F159-F160)/(F157-F156),"")</f>
        <v>0.291725768321513</v>
      </c>
      <c r="G161" s="215">
        <f>IFERROR((G157-G156-G159-G160)/(G157-G156),"")</f>
        <v>0.267961619471098</v>
      </c>
      <c r="H161" s="215">
        <f>IFERROR((H157-H156-H159-H160)/(H157-H156),"")</f>
        <v>0.282236615663819</v>
      </c>
      <c r="I161" s="215">
        <f>IFERROR((I157-I156-I159-I160)/(I157-I156),"")</f>
        <v>0.288509162951956</v>
      </c>
      <c r="J161" s="215">
        <f>IFERROR((J157-J156-J159-J160)/(J157-J156),"")</f>
        <v>0.322023592362885</v>
      </c>
      <c r="K161" s="215">
        <f>IFERROR((K157-K156-K159-K160)/(K157-K156),"")</f>
        <v>0.303813038130381</v>
      </c>
      <c r="L161" s="215">
        <f>IFERROR((L157-L156-L159-L160)/(L157-L156),"")</f>
        <v>0.315587044534413</v>
      </c>
      <c r="M161" s="215">
        <f>IFERROR((M157-M156-M159-M160)/(M157-M156),"")</f>
        <v>0.307878477264315</v>
      </c>
      <c r="N161" s="215">
        <f>IFERROR((N157-N156-N159-N160)/(N157-N156),"")</f>
        <v>0.333962893011888</v>
      </c>
      <c r="O161" s="215">
        <f>IFERROR((O157-O156-O159-O160)/(O157-O156),"")</f>
        <v>0.325583686336322</v>
      </c>
      <c r="P161" s="215">
        <f>IFERROR((P157-P156-P159-P160)/(P157-P156),"")</f>
        <v>0.313461878648505</v>
      </c>
      <c r="Q161" s="215">
        <f>IFERROR((Q157-Q156-Q159-Q160)/(Q157-Q156),"")</f>
        <v>0.295153813737885</v>
      </c>
      <c r="R161" s="215">
        <f>IFERROR((R157-R156-R159-R160)/(R157-R156),"")</f>
        <v>0.315533292377487</v>
      </c>
      <c r="S161" s="215">
        <f>IFERROR((S157-S156-S159-S160)/(S157-S156),"")</f>
        <v>0.317892199070088</v>
      </c>
      <c r="T161" s="215">
        <f>IFERROR((T157-T156-T159-T160)/(T157-T156),"")</f>
        <v>0.313519075510527</v>
      </c>
      <c r="U161" s="256">
        <f>IFERROR((U157-U156-U159-U160)/(U157-U156),"")</f>
        <v>0.308628424367475</v>
      </c>
      <c r="V161" s="256">
        <f>IFERROR((V157-V156-V159-V160)/(V157-V156),"")</f>
        <v>0.312902589767599</v>
      </c>
      <c r="W161" s="256">
        <f>IFERROR((W157-W156-W159-W160)/(W157-W156),"")</f>
        <v>0.313145969097706</v>
      </c>
      <c r="X161" s="256">
        <f>IFERROR((X157-X156-X159-X160)/(X157-X156),"")</f>
        <v>0.316773533625238</v>
      </c>
      <c r="Y161" s="256">
        <f>IFERROR((Y157-Y156-Y159-Y160)/(Y157-Y156),"")</f>
        <v>0.317290712363693</v>
      </c>
      <c r="Z161" s="256">
        <f>IFERROR((Z157-Z156-Z159-Z160)/(Z157-Z156),"")</f>
        <v>0.325963728279975</v>
      </c>
      <c r="AA161" s="256">
        <f>IFERROR((AA157-AA156-AA159-AA160)/(AA157-AA156),"")</f>
        <v>0.331798124804114</v>
      </c>
      <c r="AB161" s="256">
        <f>IFERROR((AB157-AB156-AB159-AB160)/(AB157-AB156),"")</f>
        <v>0.335371184835251</v>
      </c>
      <c r="AC161" s="153" t="n"/>
      <c r="AE161" s="37">
        <f>IFERROR(AVERAGE(X161,Y161,Z161,AA161,AB161),"n/m")</f>
        <v>0.325439456781654</v>
      </c>
      <c r="AF161" s="37">
        <f>IFERROR(AVERAGE(H161,M161,R161),"n/m")</f>
        <v>0.301882795101874</v>
      </c>
      <c r="AG161" s="37">
        <f>IFERROR(AVERAGE(M161,R161),"n/m")</f>
        <v>0.311705884820901</v>
      </c>
      <c r="AH161" s="37">
        <f>IFERROR(W161+0,"n/m")</f>
        <v>0.313145969097706</v>
      </c>
    </row>
    <row r="162" ht="15" customHeight="1" s="251">
      <c r="B162" s="25" t="inlineStr">
        <is>
          <t>Selling, general and administrative expenses</t>
        </is>
      </c>
      <c r="C162" s="253" t="n">
        <v>3672</v>
      </c>
      <c r="D162" s="253" t="n">
        <v>932</v>
      </c>
      <c r="E162" s="253" t="n">
        <v>913</v>
      </c>
      <c r="F162" s="253" t="n">
        <v>1001</v>
      </c>
      <c r="G162" s="253" t="n">
        <v>1199</v>
      </c>
      <c r="H162" s="253" t="n">
        <v>4045</v>
      </c>
      <c r="I162" s="253" t="n">
        <v>1026</v>
      </c>
      <c r="J162" s="253" t="n">
        <v>924</v>
      </c>
      <c r="K162" s="253" t="n">
        <v>1330</v>
      </c>
      <c r="L162" s="253" t="n">
        <v>1157</v>
      </c>
      <c r="M162" s="253" t="n">
        <v>4437</v>
      </c>
      <c r="N162" s="253" t="n">
        <v>876</v>
      </c>
      <c r="O162" s="253" t="n">
        <v>1020</v>
      </c>
      <c r="P162" s="253" t="n">
        <v>1195</v>
      </c>
      <c r="Q162" s="253" t="n">
        <v>997</v>
      </c>
      <c r="R162" s="253" t="n">
        <v>4088</v>
      </c>
      <c r="S162" s="253" t="n">
        <v>1084</v>
      </c>
      <c r="T162" s="253" t="n">
        <v>1131</v>
      </c>
      <c r="U162" s="254">
        <f>U105*U137</f>
        <v>1145.19322669913</v>
      </c>
      <c r="V162" s="254">
        <f>V105*V137</f>
        <v>1201.70925597985</v>
      </c>
      <c r="W162" s="254">
        <f>SUM(S162:V162)</f>
        <v>4561.90248267899</v>
      </c>
      <c r="X162" s="254">
        <f>X105*X137</f>
        <v>5071.09854605081</v>
      </c>
      <c r="Y162" s="254">
        <f>Y105*Y137</f>
        <v>5678.11600113236</v>
      </c>
      <c r="Z162" s="254">
        <f>Z105*Z137</f>
        <v>6143.20764586991</v>
      </c>
      <c r="AA162" s="254">
        <f>AA105*AA137</f>
        <v>6596.51654270918</v>
      </c>
      <c r="AB162" s="254">
        <f>AB105*AB137</f>
        <v>7018.78523417868</v>
      </c>
      <c r="AC162" s="19" t="n"/>
    </row>
    <row r="163" ht="15" customHeight="1" s="251">
      <c r="B163" s="25" t="inlineStr">
        <is>
          <t>Separation costs</t>
        </is>
      </c>
      <c r="C163" s="253" t="n">
        <v>625</v>
      </c>
      <c r="D163" s="253" t="n">
        <v>164</v>
      </c>
      <c r="E163" s="253" t="n">
        <v>163</v>
      </c>
      <c r="F163" s="253" t="n">
        <v>147</v>
      </c>
      <c r="G163" s="253" t="n">
        <v>218</v>
      </c>
      <c r="H163" s="253" t="n">
        <v>692</v>
      </c>
      <c r="I163" s="253" t="n">
        <v>259</v>
      </c>
      <c r="J163" s="253" t="n">
        <v>75</v>
      </c>
      <c r="K163" s="253" t="n">
        <v>74</v>
      </c>
      <c r="L163" s="253" t="n">
        <v>84</v>
      </c>
      <c r="M163" s="253" t="n">
        <v>492</v>
      </c>
      <c r="N163" s="253" t="n">
        <v>51</v>
      </c>
      <c r="O163" s="253" t="n">
        <v>47</v>
      </c>
      <c r="P163" s="253" t="n">
        <v>53</v>
      </c>
      <c r="Q163" s="253" t="n">
        <v>52</v>
      </c>
      <c r="R163" s="253" t="n">
        <v>202</v>
      </c>
      <c r="S163" s="253" t="n">
        <v>55</v>
      </c>
      <c r="T163" s="253" t="n">
        <v>34</v>
      </c>
      <c r="U163" s="254">
        <f>U146</f>
        <v>44.5</v>
      </c>
      <c r="V163" s="254">
        <f>V146</f>
        <v>44.5</v>
      </c>
      <c r="W163" s="254">
        <f>SUM(S163:V163)</f>
        <v>178</v>
      </c>
      <c r="X163" s="254">
        <f>X146</f>
        <v>50</v>
      </c>
      <c r="Y163" s="254">
        <f>Y146</f>
        <v>0</v>
      </c>
      <c r="Z163" s="254">
        <f>Z146</f>
        <v>0</v>
      </c>
      <c r="AA163" s="254">
        <f>AA146</f>
        <v>0</v>
      </c>
      <c r="AB163" s="254">
        <f>AB146</f>
        <v>0</v>
      </c>
      <c r="AC163" s="19" t="n"/>
    </row>
    <row r="164" ht="15" customHeight="1" s="251">
      <c r="B164" s="25" t="inlineStr">
        <is>
          <t>Goodwill impairments</t>
        </is>
      </c>
      <c r="C164" s="253" t="n">
        <v>0</v>
      </c>
      <c r="D164" s="253" t="n">
        <v>0</v>
      </c>
      <c r="E164" s="253" t="n">
        <v>0</v>
      </c>
      <c r="F164" s="253" t="n">
        <v>0</v>
      </c>
      <c r="G164" s="253" t="n">
        <v>0</v>
      </c>
      <c r="H164" s="253" t="n">
        <v>0</v>
      </c>
      <c r="I164" s="253" t="n">
        <v>0</v>
      </c>
      <c r="J164" s="253" t="n">
        <v>0</v>
      </c>
      <c r="K164" s="253" t="n">
        <v>251</v>
      </c>
      <c r="L164" s="253" t="n">
        <v>0</v>
      </c>
      <c r="M164" s="253" t="n">
        <v>251</v>
      </c>
      <c r="N164" s="253" t="n">
        <v>0</v>
      </c>
      <c r="O164" s="253" t="n">
        <v>0</v>
      </c>
      <c r="P164" s="253" t="n">
        <v>0</v>
      </c>
      <c r="Q164" s="253" t="n">
        <v>0</v>
      </c>
      <c r="R164" s="253" t="n">
        <v>0</v>
      </c>
      <c r="S164" s="253" t="n">
        <v>0</v>
      </c>
      <c r="T164" s="253" t="n">
        <v>0</v>
      </c>
      <c r="U164" s="254">
        <f>U147</f>
        <v>0</v>
      </c>
      <c r="V164" s="254">
        <f>V147</f>
        <v>0</v>
      </c>
      <c r="W164" s="254">
        <f>SUM(S164:V164)</f>
        <v>0</v>
      </c>
      <c r="X164" s="254">
        <f>X147</f>
        <v>0</v>
      </c>
      <c r="Y164" s="254">
        <f>Y147</f>
        <v>0</v>
      </c>
      <c r="Z164" s="254">
        <f>Z147</f>
        <v>0</v>
      </c>
      <c r="AA164" s="254">
        <f>AA147</f>
        <v>0</v>
      </c>
      <c r="AB164" s="254">
        <f>AB147</f>
        <v>0</v>
      </c>
      <c r="AC164" s="19" t="n"/>
    </row>
    <row r="165" ht="15" customHeight="1" s="251">
      <c r="B165" s="25" t="inlineStr">
        <is>
          <t>Debt extinguishment costs (2022)</t>
        </is>
      </c>
      <c r="C165" s="253" t="n">
        <v>465</v>
      </c>
      <c r="D165" s="253" t="n">
        <v>0</v>
      </c>
      <c r="E165" s="253" t="n">
        <v>0</v>
      </c>
      <c r="F165" s="253" t="n">
        <v>0</v>
      </c>
      <c r="G165" s="253" t="n">
        <v>0</v>
      </c>
      <c r="H165" s="253" t="n">
        <v>0</v>
      </c>
      <c r="I165" s="253" t="n">
        <v>0</v>
      </c>
      <c r="J165" s="253" t="n">
        <v>0</v>
      </c>
      <c r="K165" s="253" t="n">
        <v>0</v>
      </c>
      <c r="L165" s="253" t="n">
        <v>0</v>
      </c>
      <c r="M165" s="253" t="n">
        <v>0</v>
      </c>
      <c r="N165" s="253" t="n">
        <v>0</v>
      </c>
      <c r="O165" s="253" t="n">
        <v>0</v>
      </c>
      <c r="P165" s="253" t="n">
        <v>0</v>
      </c>
      <c r="Q165" s="253" t="n">
        <v>0</v>
      </c>
      <c r="R165" s="253" t="n">
        <v>0</v>
      </c>
      <c r="S165" s="253" t="n">
        <v>0</v>
      </c>
      <c r="T165" s="253" t="n">
        <v>0</v>
      </c>
      <c r="U165" s="254">
        <f>0</f>
        <v>0</v>
      </c>
      <c r="V165" s="254">
        <f>0</f>
        <v>0</v>
      </c>
      <c r="W165" s="254">
        <f>SUM(S165:V165)</f>
        <v>0</v>
      </c>
      <c r="X165" s="254">
        <f>0</f>
        <v>0</v>
      </c>
      <c r="Y165" s="254">
        <f>0</f>
        <v>0</v>
      </c>
      <c r="Z165" s="254">
        <f>0</f>
        <v>0</v>
      </c>
      <c r="AA165" s="254">
        <f>0</f>
        <v>0</v>
      </c>
      <c r="AB165" s="254">
        <f>0</f>
        <v>0</v>
      </c>
      <c r="AC165" s="19" t="n"/>
    </row>
    <row r="166" ht="15" customHeight="1" s="251">
      <c r="B166" s="25" t="inlineStr">
        <is>
          <t>Research and development</t>
        </is>
      </c>
      <c r="C166" s="253" t="n">
        <v>808</v>
      </c>
      <c r="D166" s="253" t="n">
        <v>229</v>
      </c>
      <c r="E166" s="253" t="n">
        <v>239</v>
      </c>
      <c r="F166" s="253" t="n">
        <v>247</v>
      </c>
      <c r="G166" s="253" t="n">
        <v>296</v>
      </c>
      <c r="H166" s="253" t="n">
        <v>1011</v>
      </c>
      <c r="I166" s="253" t="n">
        <v>270</v>
      </c>
      <c r="J166" s="253" t="n">
        <v>300</v>
      </c>
      <c r="K166" s="253" t="n">
        <v>331</v>
      </c>
      <c r="L166" s="253" t="n">
        <v>385</v>
      </c>
      <c r="M166" s="253" t="n">
        <v>1286</v>
      </c>
      <c r="N166" s="253" t="n">
        <v>359</v>
      </c>
      <c r="O166" s="253" t="n">
        <v>359</v>
      </c>
      <c r="P166" s="253" t="n">
        <v>415</v>
      </c>
      <c r="Q166" s="253" t="n">
        <v>448</v>
      </c>
      <c r="R166" s="253" t="n">
        <v>1580</v>
      </c>
      <c r="S166" s="253" t="n">
        <v>440</v>
      </c>
      <c r="T166" s="253" t="n">
        <v>460</v>
      </c>
      <c r="U166" s="254">
        <f>U105*U138</f>
        <v>465.315532293101</v>
      </c>
      <c r="V166" s="254">
        <f>V105*V138</f>
        <v>488.279155928608</v>
      </c>
      <c r="W166" s="254">
        <f>SUM(S166:V166)</f>
        <v>1853.59468822171</v>
      </c>
      <c r="X166" s="254">
        <f>X105*X138</f>
        <v>2084.78495782089</v>
      </c>
      <c r="Y166" s="254">
        <f>Y105*Y138</f>
        <v>2334.3365782433</v>
      </c>
      <c r="Z166" s="254">
        <f>Z105*Z138</f>
        <v>2525.54092107985</v>
      </c>
      <c r="AA166" s="254">
        <f>AA105*AA138</f>
        <v>2711.901245336</v>
      </c>
      <c r="AB166" s="254">
        <f>AB105*AB138</f>
        <v>2885.50059627346</v>
      </c>
      <c r="AC166" s="19" t="n"/>
    </row>
    <row r="167" ht="15" customHeight="1" s="251">
      <c r="B167" s="25" t="inlineStr">
        <is>
          <t>Interest and other financial charges</t>
        </is>
      </c>
      <c r="C167" s="253" t="n">
        <v>1339</v>
      </c>
      <c r="D167" s="253" t="n">
        <v>248</v>
      </c>
      <c r="E167" s="253" t="n">
        <v>249</v>
      </c>
      <c r="F167" s="253" t="n">
        <v>270</v>
      </c>
      <c r="G167" s="253" t="n">
        <v>262</v>
      </c>
      <c r="H167" s="253" t="n">
        <v>1029</v>
      </c>
      <c r="I167" s="253" t="n">
        <v>263</v>
      </c>
      <c r="J167" s="253" t="n">
        <v>248</v>
      </c>
      <c r="K167" s="253" t="n">
        <v>251</v>
      </c>
      <c r="L167" s="253" t="n">
        <v>224</v>
      </c>
      <c r="M167" s="253" t="n">
        <v>986</v>
      </c>
      <c r="N167" s="253" t="n">
        <v>210</v>
      </c>
      <c r="O167" s="253" t="n">
        <v>158</v>
      </c>
      <c r="P167" s="253" t="n">
        <v>225</v>
      </c>
      <c r="Q167" s="253" t="n">
        <v>250</v>
      </c>
      <c r="R167" s="253" t="n">
        <v>843</v>
      </c>
      <c r="S167" s="253" t="n">
        <v>230</v>
      </c>
      <c r="T167" s="253" t="n">
        <v>215</v>
      </c>
      <c r="U167" s="254">
        <f>$AM$25</f>
        <v>222</v>
      </c>
      <c r="V167" s="254">
        <f>$AM$25</f>
        <v>222</v>
      </c>
      <c r="W167" s="254">
        <f>SUM(S167:V167)</f>
        <v>889</v>
      </c>
      <c r="X167" s="254">
        <f>W418*X427+W424*X428+X429</f>
        <v>879.550518975225</v>
      </c>
      <c r="Y167" s="254">
        <f>X418*Y427+X424*Y428+Y429</f>
        <v>1100.696</v>
      </c>
      <c r="Z167" s="254">
        <f>Y418*Z427+Y424*Z428+Z429</f>
        <v>1125.97247939506</v>
      </c>
      <c r="AA167" s="254">
        <f>Z418*AA427+Z424*AA428+AA429</f>
        <v>1225.35672044224</v>
      </c>
      <c r="AB167" s="254">
        <f>AA418*AB427+AA424*AB428+AB429</f>
        <v>1300.61543530404</v>
      </c>
      <c r="AC167" s="19" t="inlineStr">
        <is>
          <t>Q3/Q4-26E: point estimate (H1-26 run-rate). 2027E+ = rate × opening notes + rate × opening revolver / CP + other financial charges (no circularity).</t>
        </is>
      </c>
    </row>
    <row r="168" ht="15" customHeight="1" s="251">
      <c r="B168" s="25" t="inlineStr">
        <is>
          <t>Insurance losses, annuity benefits and other costs</t>
        </is>
      </c>
      <c r="C168" s="253" t="n">
        <v>2592</v>
      </c>
      <c r="D168" s="253" t="n">
        <v>683</v>
      </c>
      <c r="E168" s="253" t="n">
        <v>735</v>
      </c>
      <c r="F168" s="253" t="n">
        <v>710</v>
      </c>
      <c r="G168" s="253" t="n">
        <v>757</v>
      </c>
      <c r="H168" s="253" t="n">
        <v>2886</v>
      </c>
      <c r="I168" s="253" t="n">
        <v>627</v>
      </c>
      <c r="J168" s="253" t="n">
        <v>667</v>
      </c>
      <c r="K168" s="253" t="n">
        <v>714</v>
      </c>
      <c r="L168" s="253" t="n">
        <v>421</v>
      </c>
      <c r="M168" s="253" t="n">
        <v>2429</v>
      </c>
      <c r="N168" s="253" t="n">
        <v>701</v>
      </c>
      <c r="O168" s="253" t="n">
        <v>698</v>
      </c>
      <c r="P168" s="253" t="n">
        <v>500</v>
      </c>
      <c r="Q168" s="253" t="n">
        <v>550</v>
      </c>
      <c r="R168" s="253" t="n">
        <v>2449</v>
      </c>
      <c r="S168" s="253" t="n">
        <v>624</v>
      </c>
      <c r="T168" s="253" t="n">
        <v>524</v>
      </c>
      <c r="U168" s="254">
        <f>U68</f>
        <v>596</v>
      </c>
      <c r="V168" s="254">
        <f>V68</f>
        <v>596</v>
      </c>
      <c r="W168" s="254">
        <f>SUM(S168:V168)</f>
        <v>2340</v>
      </c>
      <c r="X168" s="254">
        <f>X68</f>
        <v>2259.2076</v>
      </c>
      <c r="Y168" s="254">
        <f>Y68</f>
        <v>2191.431372</v>
      </c>
      <c r="Z168" s="254">
        <f>Z68</f>
        <v>2125.68843084</v>
      </c>
      <c r="AA168" s="254">
        <f>AA68</f>
        <v>2061.9177779148</v>
      </c>
      <c r="AB168" s="254">
        <f>AB68</f>
        <v>2000.06024457736</v>
      </c>
      <c r="AC168" s="19" t="inlineStr">
        <is>
          <t>Forecast = insurance costs from the run-off block (the company table also includes small insurance costs in other lines).</t>
        </is>
      </c>
    </row>
    <row r="169" ht="15" customHeight="1" s="251">
      <c r="B169" s="25" t="inlineStr">
        <is>
          <t>Non-operating benefit cost (income)</t>
        </is>
      </c>
      <c r="C169" s="253" t="n">
        <v>-60</v>
      </c>
      <c r="D169" s="253" t="n">
        <v>-239</v>
      </c>
      <c r="E169" s="253" t="n">
        <v>-249</v>
      </c>
      <c r="F169" s="253" t="n">
        <v>-244</v>
      </c>
      <c r="G169" s="253" t="n">
        <v>-247</v>
      </c>
      <c r="H169" s="253" t="n">
        <v>-978</v>
      </c>
      <c r="I169" s="253" t="n">
        <v>-217</v>
      </c>
      <c r="J169" s="253" t="n">
        <v>-204</v>
      </c>
      <c r="K169" s="253" t="n">
        <v>-207</v>
      </c>
      <c r="L169" s="253" t="n">
        <v>-214</v>
      </c>
      <c r="M169" s="253" t="n">
        <v>-842</v>
      </c>
      <c r="N169" s="253" t="n">
        <v>-201</v>
      </c>
      <c r="O169" s="253" t="n">
        <v>-197</v>
      </c>
      <c r="P169" s="253" t="n">
        <v>-198</v>
      </c>
      <c r="Q169" s="253" t="n">
        <v>-192</v>
      </c>
      <c r="R169" s="253" t="n">
        <v>-788</v>
      </c>
      <c r="S169" s="253" t="n">
        <v>-176</v>
      </c>
      <c r="T169" s="253" t="n">
        <v>-177</v>
      </c>
      <c r="U169" s="254">
        <f>-U143</f>
        <v>-176.5</v>
      </c>
      <c r="V169" s="254">
        <f>-V143</f>
        <v>-176.5</v>
      </c>
      <c r="W169" s="254">
        <f>SUM(S169:V169)</f>
        <v>-706</v>
      </c>
      <c r="X169" s="254">
        <f>-X143</f>
        <v>-680</v>
      </c>
      <c r="Y169" s="254">
        <f>-Y143</f>
        <v>-660</v>
      </c>
      <c r="Z169" s="254">
        <f>-Z143</f>
        <v>-640</v>
      </c>
      <c r="AA169" s="254">
        <f>-AA143</f>
        <v>-620</v>
      </c>
      <c r="AB169" s="254">
        <f>-AB143</f>
        <v>-600</v>
      </c>
      <c r="AC169" s="19" t="n"/>
    </row>
    <row r="170" ht="15" customHeight="1" s="251">
      <c r="B170" s="16" t="inlineStr">
        <is>
          <t>Total costs and expenses</t>
        </is>
      </c>
      <c r="C170" s="266" t="n">
        <v>28428</v>
      </c>
      <c r="D170" s="266" t="n">
        <v>7017</v>
      </c>
      <c r="E170" s="266" t="n">
        <v>7742</v>
      </c>
      <c r="F170" s="266" t="n">
        <v>8124</v>
      </c>
      <c r="G170" s="266" t="n">
        <v>8742</v>
      </c>
      <c r="H170" s="266" t="n">
        <v>31625</v>
      </c>
      <c r="I170" s="266" t="n">
        <v>7974</v>
      </c>
      <c r="J170" s="266" t="n">
        <v>7584</v>
      </c>
      <c r="K170" s="266" t="n">
        <v>8970</v>
      </c>
      <c r="L170" s="266" t="n">
        <v>8817</v>
      </c>
      <c r="M170" s="266" t="n">
        <v>33346</v>
      </c>
      <c r="N170" s="266" t="n">
        <v>7992</v>
      </c>
      <c r="O170" s="266" t="n">
        <v>8932</v>
      </c>
      <c r="P170" s="266" t="n">
        <v>9951</v>
      </c>
      <c r="Q170" s="266" t="n">
        <v>10468</v>
      </c>
      <c r="R170" s="266" t="n">
        <v>37342</v>
      </c>
      <c r="S170" s="266" t="n">
        <v>10178</v>
      </c>
      <c r="T170" s="266" t="n">
        <v>10860</v>
      </c>
      <c r="U170" s="261">
        <f>U159+U160+U162+U163+U164+U165+U166+U167+U168+U169</f>
        <v>10963.981488751</v>
      </c>
      <c r="V170" s="261">
        <f>V159+V160+V162+V163+V164+V165+V166+V167+V168+V169</f>
        <v>11414.978511249</v>
      </c>
      <c r="W170" s="261">
        <f>SUM(S170:V170)</f>
        <v>43416.96</v>
      </c>
      <c r="X170" s="261">
        <f>X159+X160+X162+X163+X164+X165+X166+X167+X168+X169</f>
        <v>48161.4054034745</v>
      </c>
      <c r="Y170" s="261">
        <f>Y159+Y160+Y162+Y163+Y164+Y165+Y166+Y167+Y168+Y169</f>
        <v>53716.83028748</v>
      </c>
      <c r="Z170" s="261">
        <f>Z159+Z160+Z162+Z163+Z164+Z165+Z166+Z167+Z168+Z169</f>
        <v>57288.6847885638</v>
      </c>
      <c r="AA170" s="261">
        <f>AA159+AA160+AA162+AA163+AA164+AA165+AA166+AA167+AA168+AA169</f>
        <v>60951.3003263906</v>
      </c>
      <c r="AB170" s="261">
        <f>AB159+AB160+AB162+AB163+AB164+AB165+AB166+AB167+AB168+AB169</f>
        <v>64437.0383335337</v>
      </c>
      <c r="AC170" s="153" t="n"/>
    </row>
    <row r="171" ht="15" customHeight="1" s="251">
      <c r="B171" s="25" t="inlineStr">
        <is>
          <t>Other income (loss)</t>
        </is>
      </c>
      <c r="C171" s="253" t="n">
        <v>811</v>
      </c>
      <c r="D171" s="253" t="n">
        <v>6104</v>
      </c>
      <c r="E171" s="253" t="n">
        <v>496</v>
      </c>
      <c r="F171" s="253" t="n">
        <v>-845</v>
      </c>
      <c r="G171" s="253" t="n">
        <v>963</v>
      </c>
      <c r="H171" s="253" t="n">
        <v>6718</v>
      </c>
      <c r="I171" s="253" t="n">
        <v>1007</v>
      </c>
      <c r="J171" s="253" t="n">
        <v>-63</v>
      </c>
      <c r="K171" s="253" t="n">
        <v>1021</v>
      </c>
      <c r="L171" s="253" t="n">
        <v>299</v>
      </c>
      <c r="M171" s="253" t="n">
        <v>2264</v>
      </c>
      <c r="N171" s="253" t="n">
        <v>302</v>
      </c>
      <c r="O171" s="253" t="n">
        <v>298</v>
      </c>
      <c r="P171" s="253" t="n">
        <v>285</v>
      </c>
      <c r="Q171" s="253" t="n">
        <v>602</v>
      </c>
      <c r="R171" s="253" t="n">
        <v>1487</v>
      </c>
      <c r="S171" s="253" t="n">
        <v>-16</v>
      </c>
      <c r="T171" s="253" t="n">
        <v>313</v>
      </c>
      <c r="U171" s="254">
        <f>U141+U71+U148+U149</f>
        <v>247.5</v>
      </c>
      <c r="V171" s="254">
        <f>V141+V71+V148+V149</f>
        <v>247.5</v>
      </c>
      <c r="W171" s="254">
        <f>SUM(S171:V171)</f>
        <v>792</v>
      </c>
      <c r="X171" s="254">
        <f>X141+X71+X148+X149</f>
        <v>1184.98402441468</v>
      </c>
      <c r="Y171" s="254">
        <f>Y141+Y71+Y148+Y149</f>
        <v>1360.34462254935</v>
      </c>
      <c r="Z171" s="254">
        <f>Z141+Z71+Z148+Z149</f>
        <v>1494.70443102909</v>
      </c>
      <c r="AA171" s="254">
        <f>AA141+AA71+AA148+AA149</f>
        <v>1625.66033456043</v>
      </c>
      <c r="AB171" s="254">
        <f>AB141+AB71+AB148+AB149</f>
        <v>1747.64906765162</v>
      </c>
      <c r="AC171" s="19" t="inlineStr">
        <is>
          <t>Forecast = adjusted other income + U.S. tax equity result + gains (nil). Historically includes AerCap / GE HealthCare / BETA marks.</t>
        </is>
      </c>
    </row>
    <row r="172" ht="15" customHeight="1" s="251">
      <c r="B172" s="55" t="inlineStr">
        <is>
          <t>Profit before income taxes (continuing operations) — "Profit (GAAP)"</t>
        </is>
      </c>
      <c r="C172" s="273">
        <f>IF(ISNUMBER(C157),C157-C170+C171,"")</f>
        <v>1522</v>
      </c>
      <c r="D172" s="273">
        <f>IF(ISNUMBER(D157),D157-D170+D171,"")</f>
        <v>6923</v>
      </c>
      <c r="E172" s="273">
        <f>IF(ISNUMBER(E157),E157-E170+E171,"")</f>
        <v>1509</v>
      </c>
      <c r="F172" s="273">
        <f>IF(ISNUMBER(F157),F157-F170+F171,"")</f>
        <v>333</v>
      </c>
      <c r="G172" s="273">
        <f>IF(ISNUMBER(G157),G157-G170+G171,"")</f>
        <v>1676</v>
      </c>
      <c r="H172" s="273">
        <f>IF(ISNUMBER(H157),H157-H170+H171,"")</f>
        <v>10441</v>
      </c>
      <c r="I172" s="273">
        <f>IF(ISNUMBER(I157),I157-I170+I171,"")</f>
        <v>1988</v>
      </c>
      <c r="J172" s="273">
        <f>IF(ISNUMBER(J157),J157-J170+J171,"")</f>
        <v>1447</v>
      </c>
      <c r="K172" s="273">
        <f>IF(ISNUMBER(K157),K157-K170+K171,"")</f>
        <v>1893</v>
      </c>
      <c r="L172" s="273">
        <f>IF(ISNUMBER(L157),L157-L170+L171,"")</f>
        <v>2294</v>
      </c>
      <c r="M172" s="273">
        <f>IF(ISNUMBER(M157),M157-M170+M171,"")</f>
        <v>7620</v>
      </c>
      <c r="N172" s="273">
        <f>IF(ISNUMBER(N157),N157-N170+N171,"")</f>
        <v>2245</v>
      </c>
      <c r="O172" s="273">
        <f>IF(ISNUMBER(O157),O157-O170+O171,"")</f>
        <v>2389</v>
      </c>
      <c r="P172" s="273">
        <f>IF(ISNUMBER(P157),P157-P170+P171,"")</f>
        <v>2515</v>
      </c>
      <c r="Q172" s="273">
        <f>IF(ISNUMBER(Q157),Q157-Q170+Q171,"")</f>
        <v>2851</v>
      </c>
      <c r="R172" s="273">
        <f>IF(ISNUMBER(R157),R157-R170+R171,"")</f>
        <v>10000</v>
      </c>
      <c r="S172" s="273">
        <f>IF(ISNUMBER(S157),S157-S170+S171,"")</f>
        <v>2198</v>
      </c>
      <c r="T172" s="273">
        <f>IF(ISNUMBER(T157),T157-T170+T171,"")</f>
        <v>2802</v>
      </c>
      <c r="U172" s="273">
        <f>U111+U69+U71-U167+U143-U145-U146-U147+U148+U149+U150</f>
        <v>2566.65298574131</v>
      </c>
      <c r="V172" s="273">
        <f>V111+V69+V71-V167+V143-V145-V146-V147+V148+V149+V150</f>
        <v>2734.34701425869</v>
      </c>
      <c r="W172" s="273">
        <f>SUM(S172:V172)</f>
        <v>10301</v>
      </c>
      <c r="X172" s="273">
        <f>X111+X69+X71-X167+X143-X145-X146-X147+X148+X149+X150</f>
        <v>12265.5380215047</v>
      </c>
      <c r="Y172" s="273">
        <f>Y111+Y69+Y71-Y167+Y143-Y145-Y146-Y147+Y148+Y149+Y150</f>
        <v>13543.2195254289</v>
      </c>
      <c r="Z172" s="273">
        <f>Z111+Z69+Z71-Z167+Z143-Z145-Z146-Z147+Z148+Z149+Z150</f>
        <v>15189.1239523532</v>
      </c>
      <c r="AA172" s="273">
        <f>AA111+AA69+AA71-AA167+AA143-AA145-AA146-AA147+AA148+AA149+AA150</f>
        <v>16612.472591154</v>
      </c>
      <c r="AB172" s="273">
        <f>AB111+AB69+AB71-AB167+AB143-AB145-AB146-AB147+AB148+AB149+AB150</f>
        <v>17861.2931368435</v>
      </c>
      <c r="AC172" s="153" t="inlineStr">
        <is>
          <t>Forecast = operating profit + insurance profit + tax equity − interest + non-operating benefit income − restructuring − separation (+ gains).</t>
        </is>
      </c>
      <c r="AE172" s="20">
        <f>IFERROR((AB172/W172)^(1/5)-1,"n/m")</f>
        <v>0.116366259687568</v>
      </c>
      <c r="AF172" s="20">
        <f>IFERROR((R172/C172)^(1/3)-1,"n/m")</f>
        <v>0.87295977037037</v>
      </c>
      <c r="AG172" s="20">
        <f>IFERROR((R172/H172)^(1/2)-1,"n/m")</f>
        <v>-0.0213465033980294</v>
      </c>
      <c r="AH172" s="20">
        <f>IFERROR(W172/R172-1,"n/m")</f>
        <v>0.0301</v>
      </c>
    </row>
    <row r="173" ht="15" customHeight="1" s="251">
      <c r="B173" s="25" t="inlineStr">
        <is>
          <t xml:space="preserve">  Profit margin (GAAP) %</t>
        </is>
      </c>
      <c r="C173" s="215">
        <f>IF(AND(ISNUMBER(C172),ISNUMBER(C157)),IFERROR(C172/C157,""),"")</f>
        <v>0.052232403308281</v>
      </c>
      <c r="D173" s="215">
        <f>IF(AND(ISNUMBER(D172),ISNUMBER(D157)),IFERROR(D172/D157,""),"")</f>
        <v>0.883486472690148</v>
      </c>
      <c r="E173" s="215">
        <f>IF(AND(ISNUMBER(E172),ISNUMBER(E157)),IFERROR(E172/E157,""),"")</f>
        <v>0.172358652198744</v>
      </c>
      <c r="F173" s="215">
        <f>IF(AND(ISNUMBER(F172),ISNUMBER(F157)),IFERROR(F172/F157,""),"")</f>
        <v>0.0357987529563535</v>
      </c>
      <c r="G173" s="215">
        <f>IF(AND(ISNUMBER(G172),ISNUMBER(G157)),IFERROR(G172/G157,""),"")</f>
        <v>0.177260708619778</v>
      </c>
      <c r="H173" s="215">
        <f>IF(AND(ISNUMBER(H172),ISNUMBER(H157)),IFERROR(H172/H157,""),"")</f>
        <v>0.295377390517144</v>
      </c>
      <c r="I173" s="215">
        <f>IF(AND(ISNUMBER(I172),ISNUMBER(I157)),IFERROR(I172/I157,""),"")</f>
        <v>0.221998883305416</v>
      </c>
      <c r="J173" s="215">
        <f>IF(AND(ISNUMBER(J172),ISNUMBER(J157)),IFERROR(J172/J157,""),"")</f>
        <v>0.159115900593798</v>
      </c>
      <c r="K173" s="215">
        <f>IF(AND(ISNUMBER(K172),ISNUMBER(K157)),IFERROR(K172/K157,""),"")</f>
        <v>0.19233895549685</v>
      </c>
      <c r="L173" s="215">
        <f>IF(AND(ISNUMBER(L172),ISNUMBER(L157)),IFERROR(L172/L157,""),"")</f>
        <v>0.212171661117277</v>
      </c>
      <c r="M173" s="215">
        <f>IF(AND(ISNUMBER(M172),ISNUMBER(M157)),IFERROR(M172/M157,""),"")</f>
        <v>0.196889049661516</v>
      </c>
      <c r="N173" s="215">
        <f>IF(AND(ISNUMBER(N172),ISNUMBER(N157)),IFERROR(N172/N157,""),"")</f>
        <v>0.225968797181681</v>
      </c>
      <c r="O173" s="215">
        <f>IF(AND(ISNUMBER(O172),ISNUMBER(O157)),IFERROR(O172/O157,""),"")</f>
        <v>0.216728658260002</v>
      </c>
      <c r="P173" s="215">
        <f>IF(AND(ISNUMBER(P172),ISNUMBER(P157)),IFERROR(P172/P157,""),"")</f>
        <v>0.206469091207618</v>
      </c>
      <c r="Q173" s="215">
        <f>IF(AND(ISNUMBER(Q172),ISNUMBER(Q157)),IFERROR(Q172/Q157,""),"")</f>
        <v>0.224188094676417</v>
      </c>
      <c r="R173" s="215">
        <f>IF(AND(ISNUMBER(R172),ISNUMBER(R157)),IFERROR(R172/R157,""),"")</f>
        <v>0.218078726420238</v>
      </c>
      <c r="S173" s="215">
        <f>IF(AND(ISNUMBER(S172),ISNUMBER(S157)),IFERROR(S172/S157,""),"")</f>
        <v>0.177372498386056</v>
      </c>
      <c r="T173" s="215">
        <f>IF(AND(ISNUMBER(T172),ISNUMBER(T157)),IFERROR(T172/T157,""),"")</f>
        <v>0.209903363547831</v>
      </c>
      <c r="U173" s="256">
        <f>IF(AND(ISNUMBER(U172),ISNUMBER(U157)),IFERROR(U172/U157,""),"")</f>
        <v>0.193226454996</v>
      </c>
      <c r="V173" s="256">
        <f>IF(AND(ISNUMBER(V172),ISNUMBER(V157)),IFERROR(V172/V157,""),"")</f>
        <v>0.196689780722798</v>
      </c>
      <c r="W173" s="256">
        <f>IF(AND(ISNUMBER(W172),ISNUMBER(W157)),IFERROR(W172/W157,""),"")</f>
        <v>0.194630385542369</v>
      </c>
      <c r="X173" s="256">
        <f>IF(AND(ISNUMBER(X172),ISNUMBER(X157)),IFERROR(X172/X157,""),"")</f>
        <v>0.207041396766964</v>
      </c>
      <c r="Y173" s="256">
        <f>IF(AND(ISNUMBER(Y172),ISNUMBER(Y157)),IFERROR(Y172/Y157,""),"")</f>
        <v>0.205512596548158</v>
      </c>
      <c r="Z173" s="256">
        <f>IF(AND(ISNUMBER(Z172),ISNUMBER(Z157)),IFERROR(Z172/Z157,""),"")</f>
        <v>0.213982244085053</v>
      </c>
      <c r="AA173" s="256">
        <f>IF(AND(ISNUMBER(AA172),ISNUMBER(AA157)),IFERROR(AA172/AA157,""),"")</f>
        <v>0.218763306409547</v>
      </c>
      <c r="AB173" s="256">
        <f>IF(AND(ISNUMBER(AB172),ISNUMBER(AB157)),IFERROR(AB172/AB157,""),"")</f>
        <v>0.221739811557935</v>
      </c>
      <c r="AC173" s="153" t="n"/>
      <c r="AE173" s="37">
        <f>IFERROR(AVERAGE(X173,Y173,Z173,AA173,AB173),"n/m")</f>
        <v>0.213407871073532</v>
      </c>
      <c r="AF173" s="37">
        <f>IFERROR(AVERAGE(H173,M173,R173),"n/m")</f>
        <v>0.236781722199633</v>
      </c>
      <c r="AG173" s="37">
        <f>IFERROR(AVERAGE(M173,R173),"n/m")</f>
        <v>0.207483888040877</v>
      </c>
      <c r="AH173" s="37">
        <f>IFERROR(W173+0,"n/m")</f>
        <v>0.194630385542369</v>
      </c>
    </row>
    <row r="174" ht="15" customHeight="1" s="251">
      <c r="B174" s="57" t="inlineStr">
        <is>
          <t xml:space="preserve">  Check: profit before tax vs reported (should be 0; ±1 rounding)</t>
        </is>
      </c>
      <c r="C174" s="211">
        <f>IF(ISNUMBER(C175),IF(ABS(C172-C175)&lt;=1.01,0,ROUND(C172-C175,0)),"")</f>
        <v>0</v>
      </c>
      <c r="D174" s="211">
        <f>IF(ISNUMBER(D175),IF(ABS(D172-D175)&lt;=1.01,0,ROUND(D172-D175,0)),"")</f>
        <v>0</v>
      </c>
      <c r="E174" s="211">
        <f>IF(ISNUMBER(E175),IF(ABS(E172-E175)&lt;=1.01,0,ROUND(E172-E175,0)),"")</f>
        <v>0</v>
      </c>
      <c r="F174" s="211">
        <f>IF(ISNUMBER(F175),IF(ABS(F172-F175)&lt;=1.01,0,ROUND(F172-F175,0)),"")</f>
        <v>0</v>
      </c>
      <c r="G174" s="211">
        <f>IF(ISNUMBER(G175),IF(ABS(G172-G175)&lt;=1.01,0,ROUND(G172-G175,0)),"")</f>
        <v>0</v>
      </c>
      <c r="H174" s="211">
        <f>IF(ISNUMBER(H175),IF(ABS(H172-H175)&lt;=1.01,0,ROUND(H172-H175,0)),"")</f>
        <v>0</v>
      </c>
      <c r="I174" s="211">
        <f>IF(ISNUMBER(I175),IF(ABS(I172-I175)&lt;=1.01,0,ROUND(I172-I175,0)),"")</f>
        <v>0</v>
      </c>
      <c r="J174" s="211">
        <f>IF(ISNUMBER(J175),IF(ABS(J172-J175)&lt;=1.01,0,ROUND(J172-J175,0)),"")</f>
        <v>0</v>
      </c>
      <c r="K174" s="211">
        <f>IF(ISNUMBER(K175),IF(ABS(K172-K175)&lt;=1.01,0,ROUND(K172-K175,0)),"")</f>
        <v>0</v>
      </c>
      <c r="L174" s="211">
        <f>IF(ISNUMBER(L175),IF(ABS(L172-L175)&lt;=1.01,0,ROUND(L172-L175,0)),"")</f>
        <v>0</v>
      </c>
      <c r="M174" s="211">
        <f>IF(ISNUMBER(M175),IF(ABS(M172-M175)&lt;=1.01,0,ROUND(M172-M175,0)),"")</f>
        <v>0</v>
      </c>
      <c r="N174" s="211">
        <f>IF(ISNUMBER(N175),IF(ABS(N172-N175)&lt;=1.01,0,ROUND(N172-N175,0)),"")</f>
        <v>0</v>
      </c>
      <c r="O174" s="211">
        <f>IF(ISNUMBER(O175),IF(ABS(O172-O175)&lt;=1.01,0,ROUND(O172-O175,0)),"")</f>
        <v>0</v>
      </c>
      <c r="P174" s="211">
        <f>IF(ISNUMBER(P175),IF(ABS(P172-P175)&lt;=1.01,0,ROUND(P172-P175,0)),"")</f>
        <v>0</v>
      </c>
      <c r="Q174" s="211">
        <f>IF(ISNUMBER(Q175),IF(ABS(Q172-Q175)&lt;=1.01,0,ROUND(Q172-Q175,0)),"")</f>
        <v>0</v>
      </c>
      <c r="R174" s="211">
        <f>IF(ISNUMBER(R175),IF(ABS(R172-R175)&lt;=1.01,0,ROUND(R172-R175,0)),"")</f>
        <v>0</v>
      </c>
      <c r="S174" s="211">
        <f>IF(ISNUMBER(S175),IF(ABS(S172-S175)&lt;=1.01,0,ROUND(S172-S175,0)),"")</f>
        <v>0</v>
      </c>
      <c r="T174" s="211">
        <f>IF(ISNUMBER(T175),IF(ABS(T172-T175)&lt;=1.01,0,ROUND(T172-T175,0)),"")</f>
        <v>0</v>
      </c>
      <c r="U174" s="153" t="n"/>
      <c r="V174" s="153" t="n"/>
      <c r="W174" s="153" t="n"/>
      <c r="X174" s="153" t="n"/>
      <c r="Y174" s="153" t="n"/>
      <c r="Z174" s="153" t="n"/>
      <c r="AA174" s="153" t="n"/>
      <c r="AB174" s="153" t="n"/>
      <c r="AC174" s="153" t="n"/>
    </row>
    <row r="175" ht="15" customHeight="1" s="251">
      <c r="B175" s="156" t="inlineStr">
        <is>
          <t xml:space="preserve">  Memo: profit before income taxes as reported</t>
        </is>
      </c>
      <c r="C175" s="253" t="n">
        <v>1522</v>
      </c>
      <c r="D175" s="253" t="n">
        <v>6923</v>
      </c>
      <c r="E175" s="253" t="n">
        <v>1509</v>
      </c>
      <c r="F175" s="253" t="n">
        <v>333</v>
      </c>
      <c r="G175" s="253" t="n">
        <v>1676</v>
      </c>
      <c r="H175" s="253" t="n">
        <v>10441</v>
      </c>
      <c r="I175" s="253" t="n">
        <v>1987</v>
      </c>
      <c r="J175" s="253" t="n">
        <v>1447</v>
      </c>
      <c r="K175" s="253" t="n">
        <v>1893</v>
      </c>
      <c r="L175" s="253" t="n">
        <v>2293</v>
      </c>
      <c r="M175" s="253" t="n">
        <v>7620</v>
      </c>
      <c r="N175" s="253" t="n">
        <v>2245</v>
      </c>
      <c r="O175" s="253" t="n">
        <v>2389</v>
      </c>
      <c r="P175" s="253" t="n">
        <v>2515</v>
      </c>
      <c r="Q175" s="253" t="n">
        <v>2851</v>
      </c>
      <c r="R175" s="253" t="n">
        <v>10000</v>
      </c>
      <c r="S175" s="253" t="n">
        <v>2198</v>
      </c>
      <c r="T175" s="253" t="n">
        <v>2801</v>
      </c>
      <c r="U175" s="153" t="n"/>
      <c r="V175" s="153" t="n"/>
      <c r="W175" s="153" t="n"/>
      <c r="X175" s="153" t="n"/>
      <c r="Y175" s="153" t="n"/>
      <c r="Z175" s="153" t="n"/>
      <c r="AA175" s="153" t="n"/>
      <c r="AB175" s="153" t="n"/>
      <c r="AC175" s="153" t="n"/>
    </row>
    <row r="176" ht="15" customHeight="1" s="251">
      <c r="B176" s="25" t="inlineStr">
        <is>
          <t>Provision (benefit) for income taxes</t>
        </is>
      </c>
      <c r="C176" s="253" t="n">
        <v>169</v>
      </c>
      <c r="D176" s="253" t="n">
        <v>214</v>
      </c>
      <c r="E176" s="253" t="n">
        <v>253</v>
      </c>
      <c r="F176" s="253" t="n">
        <v>26</v>
      </c>
      <c r="G176" s="253" t="n">
        <v>501</v>
      </c>
      <c r="H176" s="253" t="n">
        <v>994</v>
      </c>
      <c r="I176" s="253" t="n">
        <v>244</v>
      </c>
      <c r="J176" s="253" t="n">
        <v>125</v>
      </c>
      <c r="K176" s="253" t="n">
        <v>198</v>
      </c>
      <c r="L176" s="253" t="n">
        <v>395</v>
      </c>
      <c r="M176" s="253" t="n">
        <v>962</v>
      </c>
      <c r="N176" s="253" t="n">
        <v>283</v>
      </c>
      <c r="O176" s="253" t="n">
        <v>388</v>
      </c>
      <c r="P176" s="253" t="n">
        <v>344</v>
      </c>
      <c r="Q176" s="253" t="n">
        <v>390</v>
      </c>
      <c r="R176" s="253" t="n">
        <v>1405</v>
      </c>
      <c r="S176" s="253" t="n">
        <v>252</v>
      </c>
      <c r="T176" s="253" t="n">
        <v>407</v>
      </c>
      <c r="U176" s="254">
        <f>U172-U178</f>
        <v>366.442742647316</v>
      </c>
      <c r="V176" s="254">
        <f>V172-V178</f>
        <v>394.112257352684</v>
      </c>
      <c r="W176" s="254">
        <f>SUM(S176:V176)</f>
        <v>1419.555</v>
      </c>
      <c r="X176" s="254">
        <f>X172-X178</f>
        <v>1859.42995965579</v>
      </c>
      <c r="Y176" s="254">
        <f>Y172-Y178</f>
        <v>2071.07116044292</v>
      </c>
      <c r="Z176" s="254">
        <f>Z172-Z178</f>
        <v>2355.33319778645</v>
      </c>
      <c r="AA176" s="254">
        <f>AA172-AA178</f>
        <v>2595.783002606</v>
      </c>
      <c r="AB176" s="254">
        <f>AB172-AB178</f>
        <v>2806.5846155099</v>
      </c>
      <c r="AC176" s="19" t="n"/>
    </row>
    <row r="177" ht="15" customHeight="1" s="251">
      <c r="B177" s="25" t="inlineStr">
        <is>
          <t xml:space="preserve">  Effective tax rate</t>
        </is>
      </c>
      <c r="C177" s="215">
        <f>IF(AND(ISNUMBER(C176),ISNUMBER(C172)),IFERROR(C176/C172,""),"")</f>
        <v>0.111038107752957</v>
      </c>
      <c r="D177" s="215">
        <f>IF(AND(ISNUMBER(D176),ISNUMBER(D172)),IFERROR(D176/D172,""),"")</f>
        <v>0.0309114545717175</v>
      </c>
      <c r="E177" s="215">
        <f>IF(AND(ISNUMBER(E176),ISNUMBER(E172)),IFERROR(E176/E172,""),"")</f>
        <v>0.167660702451955</v>
      </c>
      <c r="F177" s="215">
        <f>IF(AND(ISNUMBER(F176),ISNUMBER(F172)),IFERROR(F176/F172,""),"")</f>
        <v>0.0780780780780781</v>
      </c>
      <c r="G177" s="215">
        <f>IF(AND(ISNUMBER(G176),ISNUMBER(G172)),IFERROR(G176/G172,""),"")</f>
        <v>0.298926014319809</v>
      </c>
      <c r="H177" s="215">
        <f>IF(AND(ISNUMBER(H176),ISNUMBER(H172)),IFERROR(H176/H172,""),"")</f>
        <v>0.0952016090412796</v>
      </c>
      <c r="I177" s="215">
        <f>IF(AND(ISNUMBER(I176),ISNUMBER(I172)),IFERROR(I176/I172,""),"")</f>
        <v>0.122736418511066</v>
      </c>
      <c r="J177" s="215">
        <f>IF(AND(ISNUMBER(J176),ISNUMBER(J172)),IFERROR(J176/J172,""),"")</f>
        <v>0.0863856254319281</v>
      </c>
      <c r="K177" s="215">
        <f>IF(AND(ISNUMBER(K176),ISNUMBER(K172)),IFERROR(K176/K172,""),"")</f>
        <v>0.10459587955626</v>
      </c>
      <c r="L177" s="215">
        <f>IF(AND(ISNUMBER(L176),ISNUMBER(L172)),IFERROR(L176/L172,""),"")</f>
        <v>0.172188317349608</v>
      </c>
      <c r="M177" s="215">
        <f>IF(AND(ISNUMBER(M176),ISNUMBER(M172)),IFERROR(M176/M172,""),"")</f>
        <v>0.126246719160105</v>
      </c>
      <c r="N177" s="215">
        <f>IF(AND(ISNUMBER(N176),ISNUMBER(N172)),IFERROR(N176/N172,""),"")</f>
        <v>0.126057906458797</v>
      </c>
      <c r="O177" s="215">
        <f>IF(AND(ISNUMBER(O176),ISNUMBER(O172)),IFERROR(O176/O172,""),"")</f>
        <v>0.162411050648807</v>
      </c>
      <c r="P177" s="215">
        <f>IF(AND(ISNUMBER(P176),ISNUMBER(P172)),IFERROR(P176/P172,""),"")</f>
        <v>0.136779324055666</v>
      </c>
      <c r="Q177" s="215">
        <f>IF(AND(ISNUMBER(Q176),ISNUMBER(Q172)),IFERROR(Q176/Q172,""),"")</f>
        <v>0.136794107330761</v>
      </c>
      <c r="R177" s="215">
        <f>IF(AND(ISNUMBER(R176),ISNUMBER(R172)),IFERROR(R176/R172,""),"")</f>
        <v>0.1405</v>
      </c>
      <c r="S177" s="215">
        <f>IF(AND(ISNUMBER(S176),ISNUMBER(S172)),IFERROR(S176/S172,""),"")</f>
        <v>0.114649681528662</v>
      </c>
      <c r="T177" s="215">
        <f>IF(AND(ISNUMBER(T176),ISNUMBER(T172)),IFERROR(T176/T172,""),"")</f>
        <v>0.145253390435403</v>
      </c>
      <c r="U177" s="256">
        <f>IF(AND(ISNUMBER(U176),ISNUMBER(U172)),IFERROR(U176/U172,""),"")</f>
        <v>0.142770660733273</v>
      </c>
      <c r="V177" s="256">
        <f>IF(AND(ISNUMBER(V176),ISNUMBER(V172)),IFERROR(V176/V172,""),"")</f>
        <v>0.144133957869108</v>
      </c>
      <c r="W177" s="256">
        <f>IF(AND(ISNUMBER(W176),ISNUMBER(W172)),IFERROR(W176/W172,""),"")</f>
        <v>0.137807494418018</v>
      </c>
      <c r="X177" s="256">
        <f>IF(AND(ISNUMBER(X176),ISNUMBER(X172)),IFERROR(X176/X172,""),"")</f>
        <v>0.151597912492361</v>
      </c>
      <c r="Y177" s="256">
        <f>IF(AND(ISNUMBER(Y176),ISNUMBER(Y172)),IFERROR(Y176/Y172,""),"")</f>
        <v>0.152923103443332</v>
      </c>
      <c r="Z177" s="256">
        <f>IF(AND(ISNUMBER(Z176),ISNUMBER(Z172)),IFERROR(Z176/Z172,""),"")</f>
        <v>0.155067086500505</v>
      </c>
      <c r="AA177" s="256">
        <f>IF(AND(ISNUMBER(AA176),ISNUMBER(AA172)),IFERROR(AA176/AA172,""),"")</f>
        <v>0.156255066087406</v>
      </c>
      <c r="AB177" s="256">
        <f>IF(AND(ISNUMBER(AB176),ISNUMBER(AB172)),IFERROR(AB176/AB172,""),"")</f>
        <v>0.157132218479781</v>
      </c>
      <c r="AC177" s="153" t="n"/>
      <c r="AE177" s="37">
        <f>IFERROR(AVERAGE(X177,Y177,Z177,AA177,AB177),"n/m")</f>
        <v>0.154595077400677</v>
      </c>
      <c r="AF177" s="37">
        <f>IFERROR(AVERAGE(H177,M177,R177),"n/m")</f>
        <v>0.120649442733795</v>
      </c>
      <c r="AG177" s="37">
        <f>IFERROR(AVERAGE(M177,R177),"n/m")</f>
        <v>0.133373359580053</v>
      </c>
      <c r="AH177" s="37">
        <f>IFERROR(W177+0,"n/m")</f>
        <v>0.137807494418018</v>
      </c>
    </row>
    <row r="178" ht="15" customHeight="1" s="251">
      <c r="B178" s="16" t="inlineStr">
        <is>
          <t>Net income from continuing operations</t>
        </is>
      </c>
      <c r="C178" s="260">
        <f>IF(ISNUMBER(C172),C172-C176,"")</f>
        <v>1353</v>
      </c>
      <c r="D178" s="260">
        <f>IF(ISNUMBER(D172),D172-D176,"")</f>
        <v>6709</v>
      </c>
      <c r="E178" s="260">
        <f>IF(ISNUMBER(E172),E172-E176,"")</f>
        <v>1256</v>
      </c>
      <c r="F178" s="260">
        <f>IF(ISNUMBER(F172),F172-F176,"")</f>
        <v>307</v>
      </c>
      <c r="G178" s="260">
        <f>IF(ISNUMBER(G172),G172-G176,"")</f>
        <v>1175</v>
      </c>
      <c r="H178" s="260">
        <f>IF(ISNUMBER(H172),H172-H176,"")</f>
        <v>9447</v>
      </c>
      <c r="I178" s="260">
        <f>IF(ISNUMBER(I172),I172-I176,"")</f>
        <v>1744</v>
      </c>
      <c r="J178" s="260">
        <f>IF(ISNUMBER(J172),J172-J176,"")</f>
        <v>1322</v>
      </c>
      <c r="K178" s="260">
        <f>IF(ISNUMBER(K172),K172-K176,"")</f>
        <v>1695</v>
      </c>
      <c r="L178" s="260">
        <f>IF(ISNUMBER(L172),L172-L176,"")</f>
        <v>1899</v>
      </c>
      <c r="M178" s="260">
        <f>IF(ISNUMBER(M172),M172-M176,"")</f>
        <v>6658</v>
      </c>
      <c r="N178" s="260">
        <f>IF(ISNUMBER(N172),N172-N176,"")</f>
        <v>1962</v>
      </c>
      <c r="O178" s="260">
        <f>IF(ISNUMBER(O172),O172-O176,"")</f>
        <v>2001</v>
      </c>
      <c r="P178" s="260">
        <f>IF(ISNUMBER(P172),P172-P176,"")</f>
        <v>2171</v>
      </c>
      <c r="Q178" s="260">
        <f>IF(ISNUMBER(Q172),Q172-Q176,"")</f>
        <v>2461</v>
      </c>
      <c r="R178" s="260">
        <f>IF(ISNUMBER(R172),R172-R176,"")</f>
        <v>8595</v>
      </c>
      <c r="S178" s="260">
        <f>IF(ISNUMBER(S172),S172-S176,"")</f>
        <v>1946</v>
      </c>
      <c r="T178" s="260">
        <f>IF(ISNUMBER(T172),T172-T176,"")</f>
        <v>2395</v>
      </c>
      <c r="U178" s="261">
        <f>U183+U181+U182</f>
        <v>2200.21024309399</v>
      </c>
      <c r="V178" s="261">
        <f>V183+V181+V182</f>
        <v>2340.23475690601</v>
      </c>
      <c r="W178" s="261">
        <f>SUM(S178:V178)</f>
        <v>8881.445</v>
      </c>
      <c r="X178" s="261">
        <f>X183+X181+X182</f>
        <v>10406.1080618489</v>
      </c>
      <c r="Y178" s="261">
        <f>Y183+Y181+Y182</f>
        <v>11472.148364986</v>
      </c>
      <c r="Z178" s="261">
        <f>Z183+Z181+Z182</f>
        <v>12833.7907545668</v>
      </c>
      <c r="AA178" s="261">
        <f>AA183+AA181+AA182</f>
        <v>14016.689588548</v>
      </c>
      <c r="AB178" s="261">
        <f>AB183+AB181+AB182</f>
        <v>15054.7085213336</v>
      </c>
      <c r="AC178" s="153" t="inlineStr">
        <is>
          <t>Forecast = adjusted net income + after-tax items (adjusted-EPS bridge) + NCI; tax is the residual vs profit before tax.</t>
        </is>
      </c>
    </row>
    <row r="179" ht="15" customHeight="1" s="251">
      <c r="B179" s="57" t="inlineStr">
        <is>
          <t xml:space="preserve">  Check: net income from continuing operations vs reported (should be 0; ±1, ±2 in derived quarters)</t>
        </is>
      </c>
      <c r="C179" s="211">
        <f>IF(ISNUMBER(C180),IF(ABS(C178-C180)&lt;=2.01,0,ROUND(C178-C180,0)),"")</f>
        <v>0</v>
      </c>
      <c r="D179" s="211">
        <f>IF(ISNUMBER(D180),IF(ABS(D178-D180)&lt;=2.01,0,ROUND(D178-D180,0)),"")</f>
        <v>0</v>
      </c>
      <c r="E179" s="211">
        <f>IF(ISNUMBER(E180),IF(ABS(E178-E180)&lt;=2.01,0,ROUND(E178-E180,0)),"")</f>
        <v>0</v>
      </c>
      <c r="F179" s="211">
        <f>IF(ISNUMBER(F180),IF(ABS(F178-F180)&lt;=2.01,0,ROUND(F178-F180,0)),"")</f>
        <v>0</v>
      </c>
      <c r="G179" s="211">
        <f>IF(ISNUMBER(G180),IF(ABS(G178-G180)&lt;=2.01,0,ROUND(G178-G180,0)),"")</f>
        <v>0</v>
      </c>
      <c r="H179" s="211">
        <f>IF(ISNUMBER(H180),IF(ABS(H178-H180)&lt;=2.01,0,ROUND(H178-H180,0)),"")</f>
        <v>0</v>
      </c>
      <c r="I179" s="211">
        <f>IF(ISNUMBER(I180),IF(ABS(I178-I180)&lt;=2.01,0,ROUND(I178-I180,0)),"")</f>
        <v>0</v>
      </c>
      <c r="J179" s="211">
        <f>IF(ISNUMBER(J180),IF(ABS(J178-J180)&lt;=2.01,0,ROUND(J178-J180,0)),"")</f>
        <v>0</v>
      </c>
      <c r="K179" s="211">
        <f>IF(ISNUMBER(K180),IF(ABS(K178-K180)&lt;=2.01,0,ROUND(K178-K180,0)),"")</f>
        <v>0</v>
      </c>
      <c r="L179" s="211">
        <f>IF(ISNUMBER(L180),IF(ABS(L178-L180)&lt;=2.01,0,ROUND(L178-L180,0)),"")</f>
        <v>0</v>
      </c>
      <c r="M179" s="211">
        <f>IF(ISNUMBER(M180),IF(ABS(M178-M180)&lt;=2.01,0,ROUND(M178-M180,0)),"")</f>
        <v>0</v>
      </c>
      <c r="N179" s="211">
        <f>IF(ISNUMBER(N180),IF(ABS(N178-N180)&lt;=2.01,0,ROUND(N178-N180,0)),"")</f>
        <v>0</v>
      </c>
      <c r="O179" s="211">
        <f>IF(ISNUMBER(O180),IF(ABS(O178-O180)&lt;=2.01,0,ROUND(O178-O180,0)),"")</f>
        <v>0</v>
      </c>
      <c r="P179" s="211">
        <f>IF(ISNUMBER(P180),IF(ABS(P178-P180)&lt;=2.01,0,ROUND(P178-P180,0)),"")</f>
        <v>0</v>
      </c>
      <c r="Q179" s="211">
        <f>IF(ISNUMBER(Q180),IF(ABS(Q178-Q180)&lt;=2.01,0,ROUND(Q178-Q180,0)),"")</f>
        <v>0</v>
      </c>
      <c r="R179" s="211">
        <f>IF(ISNUMBER(R180),IF(ABS(R178-R180)&lt;=2.01,0,ROUND(R178-R180,0)),"")</f>
        <v>0</v>
      </c>
      <c r="S179" s="211">
        <f>IF(ISNUMBER(S180),IF(ABS(S178-S180)&lt;=2.01,0,ROUND(S178-S180,0)),"")</f>
        <v>0</v>
      </c>
      <c r="T179" s="211">
        <f>IF(ISNUMBER(T180),IF(ABS(T178-T180)&lt;=2.01,0,ROUND(T178-T180,0)),"")</f>
        <v>0</v>
      </c>
      <c r="U179" s="153" t="n"/>
      <c r="V179" s="153" t="n"/>
      <c r="W179" s="153" t="n"/>
      <c r="X179" s="153" t="n"/>
      <c r="Y179" s="153" t="n"/>
      <c r="Z179" s="153" t="n"/>
      <c r="AA179" s="153" t="n"/>
      <c r="AB179" s="153" t="n"/>
      <c r="AC179" s="153" t="n"/>
    </row>
    <row r="180" ht="15" customHeight="1" s="251">
      <c r="B180" s="156" t="inlineStr">
        <is>
          <t xml:space="preserve">  Memo: net income from continuing operations as reported</t>
        </is>
      </c>
      <c r="C180" s="253" t="n">
        <v>1353</v>
      </c>
      <c r="D180" s="253" t="n">
        <v>6709</v>
      </c>
      <c r="E180" s="253" t="n">
        <v>1256</v>
      </c>
      <c r="F180" s="253" t="n">
        <v>307</v>
      </c>
      <c r="G180" s="253" t="n">
        <v>1176</v>
      </c>
      <c r="H180" s="253" t="n">
        <v>9448</v>
      </c>
      <c r="I180" s="253" t="n">
        <v>1744</v>
      </c>
      <c r="J180" s="253" t="n">
        <v>1322</v>
      </c>
      <c r="K180" s="253" t="n">
        <v>1695</v>
      </c>
      <c r="L180" s="253" t="n">
        <v>1897</v>
      </c>
      <c r="M180" s="253" t="n">
        <v>6657</v>
      </c>
      <c r="N180" s="253" t="n">
        <v>1962</v>
      </c>
      <c r="O180" s="253" t="n">
        <v>2000</v>
      </c>
      <c r="P180" s="253" t="n">
        <v>2171</v>
      </c>
      <c r="Q180" s="253" t="n">
        <v>2462</v>
      </c>
      <c r="R180" s="253" t="n">
        <v>8595</v>
      </c>
      <c r="S180" s="253" t="n">
        <v>1946</v>
      </c>
      <c r="T180" s="253" t="n">
        <v>2395</v>
      </c>
      <c r="U180" s="153" t="n"/>
      <c r="V180" s="153" t="n"/>
      <c r="W180" s="153" t="n"/>
      <c r="X180" s="153" t="n"/>
      <c r="Y180" s="153" t="n"/>
      <c r="Z180" s="153" t="n"/>
      <c r="AA180" s="153" t="n"/>
      <c r="AB180" s="153" t="n"/>
      <c r="AC180" s="153" t="n"/>
    </row>
    <row r="181" ht="15" customHeight="1" s="251">
      <c r="B181" s="25" t="inlineStr">
        <is>
          <t xml:space="preserve">  Less: noncontrolling interests (continuing operations)</t>
        </is>
      </c>
      <c r="C181" s="253" t="n">
        <v>2</v>
      </c>
      <c r="D181" s="253" t="n">
        <v>4</v>
      </c>
      <c r="E181" s="253" t="n">
        <v>2</v>
      </c>
      <c r="F181" s="253" t="n">
        <v>1</v>
      </c>
      <c r="G181" s="253" t="n">
        <v>-8</v>
      </c>
      <c r="H181" s="253" t="n">
        <v>-1</v>
      </c>
      <c r="I181" s="253" t="n">
        <v>3</v>
      </c>
      <c r="J181" s="253" t="n">
        <v>2</v>
      </c>
      <c r="K181" s="253" t="n">
        <v>-10</v>
      </c>
      <c r="L181" s="253" t="n">
        <v>-8</v>
      </c>
      <c r="M181" s="253" t="n">
        <v>-13</v>
      </c>
      <c r="N181" s="253" t="n">
        <v>-5</v>
      </c>
      <c r="O181" s="253" t="n">
        <v>-7</v>
      </c>
      <c r="P181" s="253" t="n">
        <v>-3</v>
      </c>
      <c r="Q181" s="253" t="n">
        <v>10</v>
      </c>
      <c r="R181" s="253" t="n">
        <v>-6</v>
      </c>
      <c r="S181" s="253" t="n">
        <v>16</v>
      </c>
      <c r="T181" s="253" t="n">
        <v>-13</v>
      </c>
      <c r="U181" s="254">
        <f>0</f>
        <v>0</v>
      </c>
      <c r="V181" s="254">
        <f>0</f>
        <v>0</v>
      </c>
      <c r="W181" s="254">
        <f>SUM(S181:V181)</f>
        <v>3</v>
      </c>
      <c r="X181" s="254">
        <f>0</f>
        <v>0</v>
      </c>
      <c r="Y181" s="254">
        <f>0</f>
        <v>0</v>
      </c>
      <c r="Z181" s="254">
        <f>0</f>
        <v>0</v>
      </c>
      <c r="AA181" s="254">
        <f>0</f>
        <v>0</v>
      </c>
      <c r="AB181" s="254">
        <f>0</f>
        <v>0</v>
      </c>
      <c r="AC181" s="19" t="n"/>
    </row>
    <row r="182" ht="15" customHeight="1" s="251">
      <c r="B182" s="25" t="inlineStr">
        <is>
          <t xml:space="preserve">  Less: preferred dividends, excise tax / accretion on preferred redemption &amp; rounding (derived)</t>
        </is>
      </c>
      <c r="C182" s="211">
        <f>IF(ISNUMBER(C184),C178-C181-C184,0)</f>
        <v>286</v>
      </c>
      <c r="D182" s="211">
        <f>IF(ISNUMBER(D184),D178-D181-D184,0)</f>
        <v>145</v>
      </c>
      <c r="E182" s="211">
        <f>IF(ISNUMBER(E184),E178-E181-E184,0)</f>
        <v>59</v>
      </c>
      <c r="F182" s="211">
        <f>IF(ISNUMBER(F184),F178-F181-F184,0)</f>
        <v>91</v>
      </c>
      <c r="G182" s="211">
        <f>IF(ISNUMBER(G184),G178-G181-G184,0)</f>
        <v>-1</v>
      </c>
      <c r="H182" s="211">
        <f>IF(ISNUMBER(H184),H178-H181-H184,0)</f>
        <v>297</v>
      </c>
      <c r="I182" s="211">
        <f>IF(ISNUMBER(I184),I178-I181-I184,0)</f>
        <v>0</v>
      </c>
      <c r="J182" s="211">
        <f>IF(ISNUMBER(J184),J178-J181-J184,0)</f>
        <v>0</v>
      </c>
      <c r="K182" s="211">
        <f>IF(ISNUMBER(K184),K178-K181-K184,0)</f>
        <v>0</v>
      </c>
      <c r="L182" s="211">
        <f>IF(ISNUMBER(L184),L178-L181-L184,0)</f>
        <v>3</v>
      </c>
      <c r="M182" s="211">
        <f>IF(ISNUMBER(M184),M178-M181-M184,0)</f>
        <v>1</v>
      </c>
      <c r="N182" s="211">
        <f>IF(ISNUMBER(N184),N178-N181-N184,0)</f>
        <v>0</v>
      </c>
      <c r="O182" s="211">
        <f>IF(ISNUMBER(O184),O178-O181-O184,0)</f>
        <v>1</v>
      </c>
      <c r="P182" s="211">
        <f>IF(ISNUMBER(P184),P178-P181-P184,0)</f>
        <v>4</v>
      </c>
      <c r="Q182" s="211">
        <f>IF(ISNUMBER(Q184),Q178-Q181-Q184,0)</f>
        <v>-1</v>
      </c>
      <c r="R182" s="211">
        <f>IF(ISNUMBER(R184),R178-R181-R184,0)</f>
        <v>3</v>
      </c>
      <c r="S182" s="211">
        <f>IF(ISNUMBER(S184),S178-S181-S184,0)</f>
        <v>0</v>
      </c>
      <c r="T182" s="211">
        <f>IF(ISNUMBER(T184),T178-T181-T184,0)</f>
        <v>3</v>
      </c>
      <c r="U182" s="254">
        <f>0</f>
        <v>0</v>
      </c>
      <c r="V182" s="254">
        <f>0</f>
        <v>0</v>
      </c>
      <c r="W182" s="254">
        <f>SUM(S182:V182)</f>
        <v>3</v>
      </c>
      <c r="X182" s="254">
        <f>0</f>
        <v>0</v>
      </c>
      <c r="Y182" s="254">
        <f>0</f>
        <v>0</v>
      </c>
      <c r="Z182" s="254">
        <f>0</f>
        <v>0</v>
      </c>
      <c r="AA182" s="254">
        <f>0</f>
        <v>0</v>
      </c>
      <c r="AB182" s="254">
        <f>0</f>
        <v>0</v>
      </c>
      <c r="AC182" s="19" t="inlineStr">
        <is>
          <t>Preferred stock redeemed in 2023 (dividends and $58m excise tax in 2023); small differences are company rounding in the EPS note.</t>
        </is>
      </c>
    </row>
    <row r="183" ht="15" customHeight="1" s="251">
      <c r="B183" s="55" t="inlineStr">
        <is>
          <t>Net income from continuing operations attributable to common shareholders</t>
        </is>
      </c>
      <c r="C183" s="273">
        <f>IF(ISNUMBER(C178),C178-C181-C182,"")</f>
        <v>1065</v>
      </c>
      <c r="D183" s="273">
        <f>IF(ISNUMBER(D178),D178-D181-D182,"")</f>
        <v>6560</v>
      </c>
      <c r="E183" s="273">
        <f>IF(ISNUMBER(E178),E178-E181-E182,"")</f>
        <v>1195</v>
      </c>
      <c r="F183" s="273">
        <f>IF(ISNUMBER(F178),F178-F181-F182,"")</f>
        <v>215</v>
      </c>
      <c r="G183" s="273">
        <f>IF(ISNUMBER(G178),G178-G181-G182,"")</f>
        <v>1184</v>
      </c>
      <c r="H183" s="273">
        <f>IF(ISNUMBER(H178),H178-H181-H182,"")</f>
        <v>9151</v>
      </c>
      <c r="I183" s="273">
        <f>IF(ISNUMBER(I178),I178-I181-I182,"")</f>
        <v>1741</v>
      </c>
      <c r="J183" s="273">
        <f>IF(ISNUMBER(J178),J178-J181-J182,"")</f>
        <v>1320</v>
      </c>
      <c r="K183" s="273">
        <f>IF(ISNUMBER(K178),K178-K181-K182,"")</f>
        <v>1705</v>
      </c>
      <c r="L183" s="273">
        <f>IF(ISNUMBER(L178),L178-L181-L182,"")</f>
        <v>1904</v>
      </c>
      <c r="M183" s="273">
        <f>IF(ISNUMBER(M178),M178-M181-M182,"")</f>
        <v>6670</v>
      </c>
      <c r="N183" s="273">
        <f>IF(ISNUMBER(N178),N178-N181-N182,"")</f>
        <v>1967</v>
      </c>
      <c r="O183" s="273">
        <f>IF(ISNUMBER(O178),O178-O181-O182,"")</f>
        <v>2007</v>
      </c>
      <c r="P183" s="273">
        <f>IF(ISNUMBER(P178),P178-P181-P182,"")</f>
        <v>2170</v>
      </c>
      <c r="Q183" s="273">
        <f>IF(ISNUMBER(Q178),Q178-Q181-Q182,"")</f>
        <v>2452</v>
      </c>
      <c r="R183" s="273">
        <f>IF(ISNUMBER(R178),R178-R181-R182,"")</f>
        <v>8598</v>
      </c>
      <c r="S183" s="273">
        <f>IF(ISNUMBER(S178),S178-S181-S182,"")</f>
        <v>1930</v>
      </c>
      <c r="T183" s="273">
        <f>IF(ISNUMBER(T178),T178-T181-T182,"")</f>
        <v>2405</v>
      </c>
      <c r="U183" s="273">
        <f>U243-(U236+U237+U238+U239+U240+U241+U242)</f>
        <v>2200.21024309399</v>
      </c>
      <c r="V183" s="273">
        <f>V243-(V236+V237+V238+V239+V240+V241+V242)</f>
        <v>2340.23475690601</v>
      </c>
      <c r="W183" s="273">
        <f>SUM(S183:V183)</f>
        <v>8875.445</v>
      </c>
      <c r="X183" s="273">
        <f>X243-(X236+X237+X238+X239+X240+X241+X242)</f>
        <v>10406.1080618489</v>
      </c>
      <c r="Y183" s="273">
        <f>Y243-(Y236+Y237+Y238+Y239+Y240+Y241+Y242)</f>
        <v>11472.148364986</v>
      </c>
      <c r="Z183" s="273">
        <f>Z243-(Z236+Z237+Z238+Z239+Z240+Z241+Z242)</f>
        <v>12833.7907545668</v>
      </c>
      <c r="AA183" s="273">
        <f>AA243-(AA236+AA237+AA238+AA239+AA240+AA241+AA242)</f>
        <v>14016.689588548</v>
      </c>
      <c r="AB183" s="273">
        <f>AB243-(AB236+AB237+AB238+AB239+AB240+AB241+AB242)</f>
        <v>15054.7085213336</v>
      </c>
      <c r="AC183" s="153" t="n"/>
      <c r="AE183" s="20">
        <f>IFERROR((AB183/W183)^(1/5)-1,"n/m")</f>
        <v>0.111466667451795</v>
      </c>
      <c r="AF183" s="20">
        <f>IFERROR((R183/C183)^(1/3)-1,"n/m")</f>
        <v>1.00608475548668</v>
      </c>
      <c r="AG183" s="20">
        <f>IFERROR((R183/H183)^(1/2)-1,"n/m")</f>
        <v>-0.0306860952394266</v>
      </c>
      <c r="AH183" s="20">
        <f>IFERROR(W183/R183-1,"n/m")</f>
        <v>0.0322685508257734</v>
      </c>
    </row>
    <row r="184" ht="15" customHeight="1" s="251">
      <c r="B184" s="156" t="inlineStr">
        <is>
          <t xml:space="preserve">  Memo: as reported (EPS-note numerator)</t>
        </is>
      </c>
      <c r="C184" s="253" t="n">
        <v>1065</v>
      </c>
      <c r="D184" s="253" t="n">
        <v>6560</v>
      </c>
      <c r="E184" s="253" t="n">
        <v>1195</v>
      </c>
      <c r="F184" s="253" t="n">
        <v>215</v>
      </c>
      <c r="G184" s="253" t="n">
        <v>1184</v>
      </c>
      <c r="H184" s="253" t="n">
        <v>9151</v>
      </c>
      <c r="I184" s="253" t="n">
        <v>1741</v>
      </c>
      <c r="J184" s="253" t="n">
        <v>1320</v>
      </c>
      <c r="K184" s="253" t="n">
        <v>1705</v>
      </c>
      <c r="L184" s="253" t="n">
        <v>1904</v>
      </c>
      <c r="M184" s="253" t="n">
        <v>6670</v>
      </c>
      <c r="N184" s="253" t="n">
        <v>1967</v>
      </c>
      <c r="O184" s="253" t="n">
        <v>2007</v>
      </c>
      <c r="P184" s="253" t="n">
        <v>2170</v>
      </c>
      <c r="Q184" s="253" t="n">
        <v>2452</v>
      </c>
      <c r="R184" s="253" t="n">
        <v>8598</v>
      </c>
      <c r="S184" s="253" t="n">
        <v>1930</v>
      </c>
      <c r="T184" s="253" t="n">
        <v>2405</v>
      </c>
      <c r="U184" s="153" t="n"/>
      <c r="V184" s="153" t="n"/>
      <c r="W184" s="153" t="n"/>
      <c r="X184" s="153" t="n"/>
      <c r="Y184" s="153" t="n"/>
      <c r="Z184" s="153" t="n"/>
      <c r="AA184" s="153" t="n"/>
      <c r="AB184" s="153" t="n"/>
      <c r="AC184" s="153" t="n"/>
    </row>
    <row r="185" ht="15" customHeight="1" s="251">
      <c r="B185" s="25" t="inlineStr">
        <is>
          <t>Net income (loss) from discontinued operations (GE Vernova, GE HealthCare, Bank BPH)</t>
        </is>
      </c>
      <c r="C185" s="253" t="n">
        <v>-949</v>
      </c>
      <c r="D185" s="253" t="n">
        <v>771</v>
      </c>
      <c r="E185" s="253" t="n">
        <v>-1218</v>
      </c>
      <c r="F185" s="253" t="n">
        <v>31</v>
      </c>
      <c r="G185" s="253" t="n">
        <v>412</v>
      </c>
      <c r="H185" s="253" t="n">
        <v>-3</v>
      </c>
      <c r="I185" s="253" t="n">
        <v>-178</v>
      </c>
      <c r="J185" s="253" t="n">
        <v>-54</v>
      </c>
      <c r="K185" s="253" t="n">
        <v>147</v>
      </c>
      <c r="L185" s="253" t="n">
        <v>-6</v>
      </c>
      <c r="M185" s="253" t="n">
        <v>-91</v>
      </c>
      <c r="N185" s="253" t="n">
        <v>10</v>
      </c>
      <c r="O185" s="253" t="n">
        <v>21</v>
      </c>
      <c r="P185" s="253" t="n">
        <v>-17</v>
      </c>
      <c r="Q185" s="253" t="n">
        <v>89</v>
      </c>
      <c r="R185" s="253" t="n">
        <v>103</v>
      </c>
      <c r="S185" s="253" t="n">
        <v>-26</v>
      </c>
      <c r="T185" s="253" t="n">
        <v>-38</v>
      </c>
      <c r="U185" s="254">
        <f>0</f>
        <v>0</v>
      </c>
      <c r="V185" s="254">
        <f>0</f>
        <v>0</v>
      </c>
      <c r="W185" s="254">
        <f>SUM(S185:V185)</f>
        <v>-64</v>
      </c>
      <c r="X185" s="254">
        <f>0</f>
        <v>0</v>
      </c>
      <c r="Y185" s="254">
        <f>0</f>
        <v>0</v>
      </c>
      <c r="Z185" s="254">
        <f>0</f>
        <v>0</v>
      </c>
      <c r="AA185" s="254">
        <f>0</f>
        <v>0</v>
      </c>
      <c r="AB185" s="254">
        <f>0</f>
        <v>0</v>
      </c>
      <c r="AC185" s="19" t="n"/>
    </row>
    <row r="186" ht="15" customHeight="1" s="251">
      <c r="B186" s="16" t="inlineStr">
        <is>
          <t>Net income (incl. discontinued operations and NCI)</t>
        </is>
      </c>
      <c r="C186" s="260">
        <f>IF(ISNUMBER(C178),C178+C185,"")</f>
        <v>404</v>
      </c>
      <c r="D186" s="260">
        <f>IF(ISNUMBER(D178),D178+D185,"")</f>
        <v>7480</v>
      </c>
      <c r="E186" s="260">
        <f>IF(ISNUMBER(E178),E178+E185,"")</f>
        <v>38</v>
      </c>
      <c r="F186" s="260">
        <f>IF(ISNUMBER(F178),F178+F185,"")</f>
        <v>338</v>
      </c>
      <c r="G186" s="260">
        <f>IF(ISNUMBER(G178),G178+G185,"")</f>
        <v>1587</v>
      </c>
      <c r="H186" s="260">
        <f>IF(ISNUMBER(H178),H178+H185,"")</f>
        <v>9444</v>
      </c>
      <c r="I186" s="260">
        <f>IF(ISNUMBER(I178),I178+I185,"")</f>
        <v>1566</v>
      </c>
      <c r="J186" s="260">
        <f>IF(ISNUMBER(J178),J178+J185,"")</f>
        <v>1268</v>
      </c>
      <c r="K186" s="260">
        <f>IF(ISNUMBER(K178),K178+K185,"")</f>
        <v>1842</v>
      </c>
      <c r="L186" s="260">
        <f>IF(ISNUMBER(L178),L178+L185,"")</f>
        <v>1893</v>
      </c>
      <c r="M186" s="260">
        <f>IF(ISNUMBER(M178),M178+M185,"")</f>
        <v>6567</v>
      </c>
      <c r="N186" s="260">
        <f>IF(ISNUMBER(N178),N178+N185,"")</f>
        <v>1972</v>
      </c>
      <c r="O186" s="260">
        <f>IF(ISNUMBER(O178),O178+O185,"")</f>
        <v>2022</v>
      </c>
      <c r="P186" s="260">
        <f>IF(ISNUMBER(P178),P178+P185,"")</f>
        <v>2154</v>
      </c>
      <c r="Q186" s="260">
        <f>IF(ISNUMBER(Q178),Q178+Q185,"")</f>
        <v>2550</v>
      </c>
      <c r="R186" s="260">
        <f>IF(ISNUMBER(R178),R178+R185,"")</f>
        <v>8698</v>
      </c>
      <c r="S186" s="260">
        <f>IF(ISNUMBER(S178),S178+S185,"")</f>
        <v>1920</v>
      </c>
      <c r="T186" s="260">
        <f>IF(ISNUMBER(T178),T178+T185,"")</f>
        <v>2357</v>
      </c>
      <c r="U186" s="261">
        <f>IF(ISNUMBER(U178),U178+U185,"")</f>
        <v>2200.21024309399</v>
      </c>
      <c r="V186" s="261">
        <f>IF(ISNUMBER(V178),V178+V185,"")</f>
        <v>2340.23475690601</v>
      </c>
      <c r="W186" s="261">
        <f>IF(ISNUMBER(W178),W178+W185,"")</f>
        <v>8817.445</v>
      </c>
      <c r="X186" s="261">
        <f>IF(ISNUMBER(X178),X178+X185,"")</f>
        <v>10406.1080618489</v>
      </c>
      <c r="Y186" s="261">
        <f>IF(ISNUMBER(Y178),Y178+Y185,"")</f>
        <v>11472.148364986</v>
      </c>
      <c r="Z186" s="261">
        <f>IF(ISNUMBER(Z178),Z178+Z185,"")</f>
        <v>12833.7907545668</v>
      </c>
      <c r="AA186" s="261">
        <f>IF(ISNUMBER(AA178),AA178+AA185,"")</f>
        <v>14016.689588548</v>
      </c>
      <c r="AB186" s="261">
        <f>IF(ISNUMBER(AB178),AB178+AB185,"")</f>
        <v>15054.7085213336</v>
      </c>
      <c r="AC186" s="153" t="n"/>
    </row>
    <row r="187" ht="15" customHeight="1" s="251">
      <c r="B187" s="156" t="inlineStr">
        <is>
          <t xml:space="preserve">  Memo: depreciation &amp; amortization (total)</t>
        </is>
      </c>
      <c r="C187" s="211">
        <f>C132</f>
        <v>1184</v>
      </c>
      <c r="D187" s="211">
        <f>D132</f>
      </c>
      <c r="E187" s="211">
        <f>E132</f>
      </c>
      <c r="F187" s="211">
        <f>F132</f>
        <v>292</v>
      </c>
      <c r="G187" s="211">
        <f>G132</f>
        <v>309</v>
      </c>
      <c r="H187" s="211">
        <f>H132</f>
        <v>1179</v>
      </c>
      <c r="I187" s="211">
        <f>I132</f>
        <v>290</v>
      </c>
      <c r="J187" s="211">
        <f>J132</f>
        <v>283</v>
      </c>
      <c r="K187" s="211">
        <f>K132</f>
        <v>313</v>
      </c>
      <c r="L187" s="211">
        <f>L132</f>
        <v>298</v>
      </c>
      <c r="M187" s="211">
        <f>M132</f>
        <v>1184</v>
      </c>
      <c r="N187" s="211">
        <f>N132</f>
        <v>299</v>
      </c>
      <c r="O187" s="211">
        <f>O132</f>
        <v>311</v>
      </c>
      <c r="P187" s="211">
        <f>P132</f>
        <v>303</v>
      </c>
      <c r="Q187" s="211">
        <f>Q132</f>
        <v>307</v>
      </c>
      <c r="R187" s="211">
        <f>R132</f>
        <v>1220</v>
      </c>
      <c r="S187" s="211">
        <f>S132</f>
        <v>312</v>
      </c>
      <c r="T187" s="211">
        <f>T132</f>
        <v>313</v>
      </c>
      <c r="U187" s="254">
        <f>U132</f>
        <v>315</v>
      </c>
      <c r="V187" s="254">
        <f>V132</f>
        <v>315</v>
      </c>
      <c r="W187" s="254">
        <f>W132</f>
        <v>1255</v>
      </c>
      <c r="X187" s="254">
        <f>X132</f>
        <v>1520.10691527739</v>
      </c>
      <c r="Y187" s="254">
        <f>Y132</f>
        <v>1937.8800446835</v>
      </c>
      <c r="Z187" s="254">
        <f>Z132</f>
        <v>2069.53939190587</v>
      </c>
      <c r="AA187" s="254">
        <f>AA132</f>
        <v>2181.23580346083</v>
      </c>
      <c r="AB187" s="254">
        <f>AB132</f>
        <v>2281.12577877105</v>
      </c>
      <c r="AC187" s="153" t="n"/>
    </row>
    <row r="188" ht="15" customHeight="1" s="251">
      <c r="B188" s="25" t="inlineStr">
        <is>
          <t>(Earnings per share — continuing operations)</t>
        </is>
      </c>
      <c r="AC188" s="153" t="n"/>
    </row>
    <row r="189" ht="15" customHeight="1" s="251">
      <c r="B189" s="25" t="inlineStr">
        <is>
          <t xml:space="preserve">  Weighted-average basic shares (m)</t>
        </is>
      </c>
      <c r="C189" s="278" t="n">
        <v>1096</v>
      </c>
      <c r="D189" s="278" t="n">
        <v>1089</v>
      </c>
      <c r="E189" s="278" t="n">
        <v>1089</v>
      </c>
      <c r="F189" s="278" t="n">
        <v>1088</v>
      </c>
      <c r="G189" s="278" t="n">
        <v>1090</v>
      </c>
      <c r="H189" s="278" t="n">
        <v>1089</v>
      </c>
      <c r="I189" s="278" t="n">
        <v>1091</v>
      </c>
      <c r="J189" s="278" t="n">
        <v>1089</v>
      </c>
      <c r="K189" s="278" t="n">
        <v>1083</v>
      </c>
      <c r="L189" s="278" t="n">
        <v>1077</v>
      </c>
      <c r="M189" s="278" t="n">
        <v>1085</v>
      </c>
      <c r="N189" s="278" t="n">
        <v>1070</v>
      </c>
      <c r="O189" s="278" t="n">
        <v>1063</v>
      </c>
      <c r="P189" s="278" t="n">
        <v>1058</v>
      </c>
      <c r="Q189" s="278" t="n">
        <v>1053</v>
      </c>
      <c r="R189" s="278" t="n">
        <v>1061</v>
      </c>
      <c r="S189" s="278" t="n">
        <v>1046</v>
      </c>
      <c r="T189" s="278" t="n">
        <v>1040</v>
      </c>
      <c r="U189" s="279">
        <f>T389-$W$339*0.25+$W$340*0.25</f>
        <v>1034.81575975325</v>
      </c>
      <c r="V189" s="279">
        <f>T389-$W$339*0.75+$W$340*0.75</f>
        <v>1029.32225325974</v>
      </c>
      <c r="W189" s="279">
        <f>AVERAGE(S189:V189)</f>
        <v>1037.53450325325</v>
      </c>
      <c r="X189" s="279">
        <f>AVERAGE(X341,X342)</f>
        <v>1027.82664678633</v>
      </c>
      <c r="Y189" s="279">
        <f>AVERAGE(Y341,Y342)</f>
        <v>1015.34891913683</v>
      </c>
      <c r="Z189" s="279">
        <f>AVERAGE(Z341,Z342)</f>
        <v>988.665752636583</v>
      </c>
      <c r="AA189" s="279">
        <f>AVERAGE(AA341,AA342)</f>
        <v>962.869279455679</v>
      </c>
      <c r="AB189" s="279">
        <f>AVERAGE(AB341,AB342)</f>
        <v>937.903574027256</v>
      </c>
      <c r="AC189" s="19" t="inlineStr">
        <is>
          <t>Q3/Q4-26E: shares outstanding at 30-Jun-2026 − 2H buybacks (¼ weighted in Q3, ¾ in Q4) + equity-plan issuance. 2027E+: average of beginning and ending shares. Q4 history = 4 × FY − (Q1 + Q2 + Q3).</t>
        </is>
      </c>
    </row>
    <row r="190" ht="15" customHeight="1" s="251">
      <c r="B190" s="25" t="inlineStr">
        <is>
          <t xml:space="preserve">  Weighted-average diluted shares (m)</t>
        </is>
      </c>
      <c r="C190" s="278" t="n">
        <v>1101</v>
      </c>
      <c r="D190" s="278" t="n">
        <v>1097</v>
      </c>
      <c r="E190" s="278" t="n">
        <v>1098</v>
      </c>
      <c r="F190" s="278" t="n">
        <v>1099</v>
      </c>
      <c r="G190" s="278" t="n">
        <v>1102</v>
      </c>
      <c r="H190" s="278" t="n">
        <v>1099</v>
      </c>
      <c r="I190" s="278" t="n">
        <v>1103</v>
      </c>
      <c r="J190" s="278" t="n">
        <v>1100</v>
      </c>
      <c r="K190" s="278" t="n">
        <v>1093</v>
      </c>
      <c r="L190" s="278" t="n">
        <v>1080</v>
      </c>
      <c r="M190" s="278" t="n">
        <v>1094</v>
      </c>
      <c r="N190" s="278" t="n">
        <v>1078</v>
      </c>
      <c r="O190" s="278" t="n">
        <v>1071</v>
      </c>
      <c r="P190" s="278" t="n">
        <v>1065</v>
      </c>
      <c r="Q190" s="278" t="n">
        <v>1058</v>
      </c>
      <c r="R190" s="278" t="n">
        <v>1068</v>
      </c>
      <c r="S190" s="278" t="n">
        <v>1054</v>
      </c>
      <c r="T190" s="278" t="n">
        <v>1047</v>
      </c>
      <c r="U190" s="279">
        <f>U189+(T190-T189)</f>
        <v>1041.81575975325</v>
      </c>
      <c r="V190" s="279">
        <f>V189+(T190-T189)</f>
        <v>1036.32225325974</v>
      </c>
      <c r="W190" s="279">
        <f>AVERAGE(S190:V190)</f>
        <v>1044.78450325325</v>
      </c>
      <c r="X190" s="279">
        <f>X189+X414</f>
        <v>1034.82664678633</v>
      </c>
      <c r="Y190" s="279">
        <f>Y189+Y414</f>
        <v>1022.34891913683</v>
      </c>
      <c r="Z190" s="279">
        <f>Z189+Z414</f>
        <v>995.665752636583</v>
      </c>
      <c r="AA190" s="279">
        <f>AA189+AA414</f>
        <v>969.869279455679</v>
      </c>
      <c r="AB190" s="279">
        <f>AB189+AB414</f>
        <v>944.903574027256</v>
      </c>
      <c r="AC190" s="19" t="n"/>
      <c r="AE190" s="20">
        <f>IFERROR((AB190/W190)^(1/5)-1,"n/m")</f>
        <v>-0.0198960175309191</v>
      </c>
      <c r="AF190" s="20">
        <f>IFERROR((R190/C190)^(1/3)-1,"n/m")</f>
        <v>-0.0100924318666283</v>
      </c>
      <c r="AG190" s="20">
        <f>IFERROR((R190/H190)^(1/2)-1,"n/m")</f>
        <v>-0.0142046162252941</v>
      </c>
      <c r="AH190" s="20">
        <f>IFERROR(W190/R190-1,"n/m")</f>
        <v>-0.0217373565044505</v>
      </c>
    </row>
    <row r="191" ht="15" customHeight="1" s="251">
      <c r="B191" s="55" t="inlineStr">
        <is>
          <t>EPS from continuing operations – diluted ($)</t>
        </is>
      </c>
      <c r="C191" s="280">
        <f>IF(ISNUMBER(C190),IFERROR(C183/C190,""),"")</f>
        <v>0.967302452316076</v>
      </c>
      <c r="D191" s="280">
        <f>IF(ISNUMBER(D190),IFERROR(D183/D190,""),"")</f>
        <v>5.97994530537831</v>
      </c>
      <c r="E191" s="280">
        <f>IF(ISNUMBER(E190),IFERROR(E183/E190,""),"")</f>
        <v>1.08834244080146</v>
      </c>
      <c r="F191" s="280">
        <f>IF(ISNUMBER(F190),IFERROR(F183/F190,""),"")</f>
        <v>0.195632393084622</v>
      </c>
      <c r="G191" s="280">
        <f>IF(ISNUMBER(G190),IFERROR(G183/G190,""),"")</f>
        <v>1.07441016333938</v>
      </c>
      <c r="H191" s="280">
        <f>IF(ISNUMBER(H190),IFERROR(H183/H190,""),"")</f>
        <v>8.32666060054595</v>
      </c>
      <c r="I191" s="280">
        <f>IF(ISNUMBER(I190),IFERROR(I183/I190,""),"")</f>
        <v>1.57842248413418</v>
      </c>
      <c r="J191" s="280">
        <f>IF(ISNUMBER(J190),IFERROR(J183/J190,""),"")</f>
        <v>1.2</v>
      </c>
      <c r="K191" s="280">
        <f>IF(ISNUMBER(K190),IFERROR(K183/K190,""),"")</f>
        <v>1.55992680695334</v>
      </c>
      <c r="L191" s="280">
        <f>IF(ISNUMBER(L190),IFERROR(L183/L190,""),"")</f>
        <v>1.76296296296296</v>
      </c>
      <c r="M191" s="280">
        <f>IF(ISNUMBER(M190),IFERROR(M183/M190,""),"")</f>
        <v>6.09689213893967</v>
      </c>
      <c r="N191" s="280">
        <f>IF(ISNUMBER(N190),IFERROR(N183/N190,""),"")</f>
        <v>1.82467532467532</v>
      </c>
      <c r="O191" s="280">
        <f>IF(ISNUMBER(O190),IFERROR(O183/O190,""),"")</f>
        <v>1.87394957983193</v>
      </c>
      <c r="P191" s="280">
        <f>IF(ISNUMBER(P190),IFERROR(P183/P190,""),"")</f>
        <v>2.03755868544601</v>
      </c>
      <c r="Q191" s="280">
        <f>IF(ISNUMBER(Q190),IFERROR(Q183/Q190,""),"")</f>
        <v>2.31758034026465</v>
      </c>
      <c r="R191" s="280">
        <f>IF(ISNUMBER(R190),IFERROR(R183/R190,""),"")</f>
        <v>8.05056179775281</v>
      </c>
      <c r="S191" s="280">
        <f>IF(ISNUMBER(S190),IFERROR(S183/S190,""),"")</f>
        <v>1.83111954459203</v>
      </c>
      <c r="T191" s="280">
        <f>IF(ISNUMBER(T190),IFERROR(T183/T190,""),"")</f>
        <v>2.29703915950334</v>
      </c>
      <c r="U191" s="280">
        <f>IF(ISNUMBER(U190),IFERROR(U183/U190,""),"")</f>
        <v>2.11189955853145</v>
      </c>
      <c r="V191" s="280">
        <f>IF(ISNUMBER(V190),IFERROR(V183/V190,""),"")</f>
        <v>2.25821142945143</v>
      </c>
      <c r="W191" s="280">
        <f>IF(ISNUMBER(W190),IFERROR(W183/W190,""),"")</f>
        <v>8.4950006172217</v>
      </c>
      <c r="X191" s="280">
        <f>IF(ISNUMBER(X190),IFERROR(X183/X190,""),"")</f>
        <v>10.055894959958</v>
      </c>
      <c r="Y191" s="280">
        <f>IF(ISNUMBER(Y190),IFERROR(Y183/Y190,""),"")</f>
        <v>11.221363030023</v>
      </c>
      <c r="Z191" s="280">
        <f>IF(ISNUMBER(Z190),IFERROR(Z183/Z190,""),"")</f>
        <v>12.8896577195531</v>
      </c>
      <c r="AA191" s="280">
        <f>IF(ISNUMBER(AA190),IFERROR(AA183/AA190,""),"")</f>
        <v>14.4521430727393</v>
      </c>
      <c r="AB191" s="280">
        <f>IF(ISNUMBER(AB190),IFERROR(AB183/AB190,""),"")</f>
        <v>15.9325342131675</v>
      </c>
      <c r="AC191" s="19" t="n"/>
      <c r="AE191" s="20">
        <f>IFERROR((AB191/W191)^(1/5)-1,"n/m")</f>
        <v>0.134029334981157</v>
      </c>
      <c r="AF191" s="20">
        <f>IFERROR((R191/C191)^(1/3)-1,"n/m")</f>
        <v>1.02653744659158</v>
      </c>
      <c r="AG191" s="20">
        <f>IFERROR((R191/H191)^(1/2)-1,"n/m")</f>
        <v>-0.0167189655027834</v>
      </c>
      <c r="AH191" s="20">
        <f>IFERROR(W191/R191-1,"n/m")</f>
        <v>0.0552059384964847</v>
      </c>
    </row>
    <row r="192" ht="15" customHeight="1" s="251">
      <c r="B192" s="22" t="inlineStr">
        <is>
          <t xml:space="preserve">  EPS y/y %</t>
        </is>
      </c>
      <c r="C192" s="23" t="n"/>
      <c r="D192" s="23" t="n"/>
      <c r="E192" s="23" t="n"/>
      <c r="F192" s="23" t="n"/>
      <c r="G192" s="23" t="n"/>
      <c r="H192" s="255">
        <f>IF(AND(ISNUMBER(H191),ISNUMBER(C191)),IFERROR(H191/C191-1,""),"")</f>
        <v>7.60812518422638</v>
      </c>
      <c r="I192" s="255">
        <f>IF(AND(ISNUMBER(I191),ISNUMBER(D191)),IFERROR(I191/D191-1,""),"")</f>
        <v>-0.736047337637928</v>
      </c>
      <c r="J192" s="255">
        <f>IF(AND(ISNUMBER(J191),ISNUMBER(E191)),IFERROR(J191/E191-1,""),"")</f>
        <v>0.102594142259414</v>
      </c>
      <c r="K192" s="255">
        <f>IF(AND(ISNUMBER(K191),ISNUMBER(F191)),IFERROR(K191/F191-1,""),"")</f>
        <v>6.97376539926381</v>
      </c>
      <c r="L192" s="255">
        <f>IF(AND(ISNUMBER(L191),ISNUMBER(G191)),IFERROR(L191/G191-1,""),"")</f>
        <v>0.640865865865866</v>
      </c>
      <c r="M192" s="255">
        <f>IF(AND(ISNUMBER(M191),ISNUMBER(H191)),IFERROR(M191/H191-1,""),"")</f>
        <v>-0.267786639635592</v>
      </c>
      <c r="N192" s="255">
        <f>IF(AND(ISNUMBER(N191),ISNUMBER(I191)),IFERROR(N191/I191-1,""),"")</f>
        <v>0.156011994897693</v>
      </c>
      <c r="O192" s="255">
        <f>IF(AND(ISNUMBER(O191),ISNUMBER(J191)),IFERROR(O191/J191-1,""),"")</f>
        <v>0.561624649859944</v>
      </c>
      <c r="P192" s="255">
        <f>IF(AND(ISNUMBER(P191),ISNUMBER(K191)),IFERROR(P191/K191-1,""),"")</f>
        <v>0.306188647033718</v>
      </c>
      <c r="Q192" s="255">
        <f>IF(AND(ISNUMBER(Q191),ISNUMBER(L191)),IFERROR(Q191/L191-1,""),"")</f>
        <v>0.314593890486251</v>
      </c>
      <c r="R192" s="255">
        <f>IF(AND(ISNUMBER(R191),ISNUMBER(M191)),IFERROR(R191/M191-1,""),"")</f>
        <v>0.320436972524974</v>
      </c>
      <c r="S192" s="255">
        <f>IF(AND(ISNUMBER(S191),ISNUMBER(N191)),IFERROR(S191/N191-1,""),"")</f>
        <v>0.00353170771235822</v>
      </c>
      <c r="T192" s="255">
        <f>IF(AND(ISNUMBER(T191),ISNUMBER(O191)),IFERROR(T191/O191-1,""),"")</f>
        <v>0.225774260004026</v>
      </c>
      <c r="U192" s="256">
        <f>IF(AND(ISNUMBER(U191),ISNUMBER(P191)),IFERROR(U191/P191-1,""),"")</f>
        <v>0.0364852672055291</v>
      </c>
      <c r="V192" s="256">
        <f>IF(AND(ISNUMBER(V191),ISNUMBER(Q191)),IFERROR(V191/Q191-1,""),"")</f>
        <v>-0.025616764943061</v>
      </c>
      <c r="W192" s="256">
        <f>IF(AND(ISNUMBER(W191),ISNUMBER(R191)),IFERROR(W191/R191-1,""),"")</f>
        <v>0.0552059384964847</v>
      </c>
      <c r="X192" s="256">
        <f>IF(AND(ISNUMBER(X191),ISNUMBER(W191)),IFERROR(X191/W191-1,""),"")</f>
        <v>0.183742699155539</v>
      </c>
      <c r="Y192" s="256">
        <f>IF(AND(ISNUMBER(Y191),ISNUMBER(X191)),IFERROR(Y191/X191-1,""),"")</f>
        <v>0.11589899006561</v>
      </c>
      <c r="Z192" s="256">
        <f>IF(AND(ISNUMBER(Z191),ISNUMBER(Y191)),IFERROR(Z191/Y191-1,""),"")</f>
        <v>0.148671305354489</v>
      </c>
      <c r="AA192" s="256">
        <f>IF(AND(ISNUMBER(AA191),ISNUMBER(Z191)),IFERROR(AA191/Z191-1,""),"")</f>
        <v>0.121220081027906</v>
      </c>
      <c r="AB192" s="256">
        <f>IF(AND(ISNUMBER(AB191),ISNUMBER(AA191)),IFERROR(AB191/AA191-1,""),"")</f>
        <v>0.1024340219286</v>
      </c>
      <c r="AC192" s="153" t="n"/>
    </row>
    <row r="193" ht="15" customHeight="1" s="251">
      <c r="B193" s="156" t="inlineStr">
        <is>
          <t xml:space="preserve">  Memo: continuing EPS – diluted as reported ($)</t>
        </is>
      </c>
      <c r="C193" s="281" t="n">
        <v>0.97</v>
      </c>
      <c r="D193" s="281" t="n">
        <v>5.98</v>
      </c>
      <c r="E193" s="281" t="n">
        <v>1.09</v>
      </c>
      <c r="F193" s="281" t="n">
        <v>0.2</v>
      </c>
      <c r="G193" s="281" t="n">
        <v>1.08</v>
      </c>
      <c r="H193" s="281" t="n">
        <v>8.33</v>
      </c>
      <c r="I193" s="281" t="n">
        <v>1.58</v>
      </c>
      <c r="J193" s="281" t="n">
        <v>1.2</v>
      </c>
      <c r="K193" s="281" t="n">
        <v>1.56</v>
      </c>
      <c r="L193" s="281" t="n">
        <v>1.75</v>
      </c>
      <c r="M193" s="281" t="n">
        <v>6.09</v>
      </c>
      <c r="N193" s="281" t="n">
        <v>1.83</v>
      </c>
      <c r="O193" s="281" t="n">
        <v>1.87</v>
      </c>
      <c r="P193" s="281" t="n">
        <v>2.04</v>
      </c>
      <c r="Q193" s="281" t="n">
        <v>2.31</v>
      </c>
      <c r="R193" s="281" t="n">
        <v>8.050000000000001</v>
      </c>
      <c r="S193" s="281" t="n">
        <v>1.83</v>
      </c>
      <c r="T193" s="281" t="n">
        <v>2.3</v>
      </c>
      <c r="U193" s="153" t="n"/>
      <c r="V193" s="153" t="n"/>
      <c r="W193" s="153" t="n"/>
      <c r="X193" s="153" t="n"/>
      <c r="Y193" s="153" t="n"/>
      <c r="Z193" s="153" t="n"/>
      <c r="AA193" s="153" t="n"/>
      <c r="AB193" s="153" t="n"/>
      <c r="AC193" s="153" t="n"/>
    </row>
    <row r="194" ht="15" customHeight="1" s="251">
      <c r="B194" s="57" t="inlineStr">
        <is>
          <t xml:space="preserve">  Check: model vs reported diluted EPS (should be 0.00; ±0.01, ±0.03 where Q4 shares are derived)</t>
        </is>
      </c>
      <c r="C194" s="282">
        <f>IF(AND(ISNUMBER(C193),ISNUMBER(C191)),IF(ABS(C191-C193)&lt;=0.0101,0,ROUND(C191-C193,2)),"n/p")</f>
        <v>0</v>
      </c>
      <c r="D194" s="282">
        <f>IF(AND(ISNUMBER(D193),ISNUMBER(D191)),IF(ABS(D191-D193)&lt;=0.0101,0,ROUND(D191-D193,2)),"n/p")</f>
        <v>0</v>
      </c>
      <c r="E194" s="282">
        <f>IF(AND(ISNUMBER(E193),ISNUMBER(E191)),IF(ABS(E191-E193)&lt;=0.0101,0,ROUND(E191-E193,2)),"n/p")</f>
        <v>0</v>
      </c>
      <c r="F194" s="282">
        <f>IF(AND(ISNUMBER(F193),ISNUMBER(F191)),IF(ABS(F191-F193)&lt;=0.0101,0,ROUND(F191-F193,2)),"n/p")</f>
        <v>0</v>
      </c>
      <c r="G194" s="282">
        <f>IF(AND(ISNUMBER(G193),ISNUMBER(G191)),IF(ABS(G191-G193)&lt;=0.0301,0,ROUND(G191-G193,2)),"n/p")</f>
        <v>0</v>
      </c>
      <c r="H194" s="282">
        <f>IF(AND(ISNUMBER(H193),ISNUMBER(H191)),IF(ABS(H191-H193)&lt;=0.0101,0,ROUND(H191-H193,2)),"n/p")</f>
        <v>0</v>
      </c>
      <c r="I194" s="282">
        <f>IF(AND(ISNUMBER(I193),ISNUMBER(I191)),IF(ABS(I191-I193)&lt;=0.0101,0,ROUND(I191-I193,2)),"n/p")</f>
        <v>0</v>
      </c>
      <c r="J194" s="282">
        <f>IF(AND(ISNUMBER(J193),ISNUMBER(J191)),IF(ABS(J191-J193)&lt;=0.0101,0,ROUND(J191-J193,2)),"n/p")</f>
        <v>0</v>
      </c>
      <c r="K194" s="282">
        <f>IF(AND(ISNUMBER(K193),ISNUMBER(K191)),IF(ABS(K191-K193)&lt;=0.0101,0,ROUND(K191-K193,2)),"n/p")</f>
        <v>0</v>
      </c>
      <c r="L194" s="282">
        <f>IF(AND(ISNUMBER(L193),ISNUMBER(L191)),IF(ABS(L191-L193)&lt;=0.0301,0,ROUND(L191-L193,2)),"n/p")</f>
        <v>0</v>
      </c>
      <c r="M194" s="282">
        <f>IF(AND(ISNUMBER(M193),ISNUMBER(M191)),IF(ABS(M191-M193)&lt;=0.0101,0,ROUND(M191-M193,2)),"n/p")</f>
        <v>0</v>
      </c>
      <c r="N194" s="282">
        <f>IF(AND(ISNUMBER(N193),ISNUMBER(N191)),IF(ABS(N191-N193)&lt;=0.0101,0,ROUND(N191-N193,2)),"n/p")</f>
        <v>0</v>
      </c>
      <c r="O194" s="282">
        <f>IF(AND(ISNUMBER(O193),ISNUMBER(O191)),IF(ABS(O191-O193)&lt;=0.0101,0,ROUND(O191-O193,2)),"n/p")</f>
        <v>0</v>
      </c>
      <c r="P194" s="282">
        <f>IF(AND(ISNUMBER(P193),ISNUMBER(P191)),IF(ABS(P191-P193)&lt;=0.0101,0,ROUND(P191-P193,2)),"n/p")</f>
        <v>0</v>
      </c>
      <c r="Q194" s="282">
        <f>IF(AND(ISNUMBER(Q193),ISNUMBER(Q191)),IF(ABS(Q191-Q193)&lt;=0.0301,0,ROUND(Q191-Q193,2)),"n/p")</f>
        <v>0</v>
      </c>
      <c r="R194" s="282">
        <f>IF(AND(ISNUMBER(R193),ISNUMBER(R191)),IF(ABS(R191-R193)&lt;=0.0101,0,ROUND(R191-R193,2)),"n/p")</f>
        <v>0</v>
      </c>
      <c r="S194" s="282">
        <f>IF(AND(ISNUMBER(S193),ISNUMBER(S191)),IF(ABS(S191-S193)&lt;=0.0101,0,ROUND(S191-S193,2)),"n/p")</f>
        <v>0</v>
      </c>
      <c r="T194" s="282">
        <f>IF(AND(ISNUMBER(T193),ISNUMBER(T191)),IF(ABS(T191-T193)&lt;=0.0101,0,ROUND(T191-T193,2)),"n/p")</f>
        <v>0</v>
      </c>
      <c r="U194" s="153" t="n"/>
      <c r="V194" s="153" t="n"/>
      <c r="W194" s="153" t="n"/>
      <c r="X194" s="153" t="n"/>
      <c r="Y194" s="153" t="n"/>
      <c r="Z194" s="153" t="n"/>
      <c r="AA194" s="153" t="n"/>
      <c r="AB194" s="153" t="n"/>
      <c r="AC194" s="153" t="n"/>
    </row>
    <row r="195" ht="15" customHeight="1" s="251">
      <c r="B195" s="25" t="inlineStr">
        <is>
          <t xml:space="preserve">  Dividends declared per share ($)</t>
        </is>
      </c>
      <c r="C195" s="34" t="n"/>
      <c r="D195" s="281" t="n">
        <v>0.08</v>
      </c>
      <c r="E195" s="281" t="n">
        <v>0.08</v>
      </c>
      <c r="F195" s="281" t="n">
        <v>0.08</v>
      </c>
      <c r="G195" s="281" t="n">
        <v>0.08</v>
      </c>
      <c r="H195" s="281" t="n">
        <v>0.32</v>
      </c>
      <c r="I195" s="281" t="n">
        <v>0</v>
      </c>
      <c r="J195" s="281" t="n">
        <v>0.5600000000000001</v>
      </c>
      <c r="K195" s="281" t="n">
        <v>0.28</v>
      </c>
      <c r="L195" s="281" t="n">
        <v>0.28</v>
      </c>
      <c r="M195" s="281" t="n">
        <v>1.12</v>
      </c>
      <c r="N195" s="281" t="n">
        <v>0.36</v>
      </c>
      <c r="O195" s="281" t="n">
        <v>0.36</v>
      </c>
      <c r="P195" s="281" t="n">
        <v>0.36</v>
      </c>
      <c r="Q195" s="281" t="n">
        <v>0.36</v>
      </c>
      <c r="R195" s="281" t="n">
        <v>1.44</v>
      </c>
      <c r="S195" s="281" t="n">
        <v>0.47</v>
      </c>
      <c r="T195" s="281" t="n">
        <v>0.47</v>
      </c>
      <c r="U195" s="283" t="n">
        <v>0.47</v>
      </c>
      <c r="V195" s="283" t="n">
        <v>0.47</v>
      </c>
      <c r="W195" s="276">
        <f>SUM(S195:V195)</f>
        <v>1.88</v>
      </c>
      <c r="X195" s="276">
        <f>W195*(1+X196)</f>
        <v>2.162</v>
      </c>
      <c r="Y195" s="276">
        <f>X195*(1+Y196)</f>
        <v>2.4863</v>
      </c>
      <c r="Z195" s="276">
        <f>Y195*(1+Z196)</f>
        <v>2.859245</v>
      </c>
      <c r="AA195" s="276">
        <f>Z195*(1+AA196)</f>
        <v>3.28813175</v>
      </c>
      <c r="AB195" s="276">
        <f>AA195*(1+AB196)</f>
        <v>3.7813515125</v>
      </c>
      <c r="AC195" s="19" t="inlineStr">
        <is>
          <t>$0.47 a quarter in 2026 (XBRL; Q1/Q2-26). 2027E+: prior year × (1 + growth).</t>
        </is>
      </c>
      <c r="AE195" s="20">
        <f>IFERROR((AB195/W195)^(1/5)-1,"n/m")</f>
        <v>0.15</v>
      </c>
      <c r="AF195" s="20" t="str">
        <f>IFERROR((R195/C195)^(1/3)-1,"n/m")</f>
        <v>n/m</v>
      </c>
      <c r="AG195" s="20">
        <f>IFERROR((R195/H195)^(1/2)-1,"n/m")</f>
        <v>1.12132034355964</v>
      </c>
      <c r="AH195" s="20">
        <f>IFERROR(W195/R195-1,"n/m")</f>
        <v>0.305555555555556</v>
      </c>
    </row>
    <row r="196" ht="15" customHeight="1" s="251">
      <c r="B196" s="25" t="inlineStr">
        <is>
          <t xml:space="preserve">  Dividend per share growth %</t>
        </is>
      </c>
      <c r="C196" s="36" t="n"/>
      <c r="D196" s="36" t="n"/>
      <c r="E196" s="36" t="n"/>
      <c r="F196" s="36" t="n"/>
      <c r="G196" s="36" t="n"/>
      <c r="H196" s="215">
        <f>IF(AND(ISNUMBER(H195),ISNUMBER(C195)),IFERROR(H195/C195-1,""),"")</f>
      </c>
      <c r="I196" s="215">
        <f>IF(AND(ISNUMBER(I195),ISNUMBER(D195)),IFERROR(I195/D195-1,""),"")</f>
        <v>-1</v>
      </c>
      <c r="J196" s="215">
        <f>IF(AND(ISNUMBER(J195),ISNUMBER(E195)),IFERROR(J195/E195-1,""),"")</f>
        <v>6</v>
      </c>
      <c r="K196" s="215">
        <f>IF(AND(ISNUMBER(K195),ISNUMBER(F195)),IFERROR(K195/F195-1,""),"")</f>
        <v>2.5</v>
      </c>
      <c r="L196" s="215">
        <f>IF(AND(ISNUMBER(L195),ISNUMBER(G195)),IFERROR(L195/G195-1,""),"")</f>
        <v>2.5</v>
      </c>
      <c r="M196" s="215">
        <f>IF(AND(ISNUMBER(M195),ISNUMBER(H195)),IFERROR(M195/H195-1,""),"")</f>
        <v>2.5</v>
      </c>
      <c r="N196" s="215">
        <f>IF(AND(ISNUMBER(N195),ISNUMBER(I195)),IFERROR(N195/I195-1,""),"")</f>
      </c>
      <c r="O196" s="215">
        <f>IF(AND(ISNUMBER(O195),ISNUMBER(J195)),IFERROR(O195/J195-1,""),"")</f>
        <v>-0.357142857142857</v>
      </c>
      <c r="P196" s="215">
        <f>IF(AND(ISNUMBER(P195),ISNUMBER(K195)),IFERROR(P195/K195-1,""),"")</f>
        <v>0.285714285714286</v>
      </c>
      <c r="Q196" s="215">
        <f>IF(AND(ISNUMBER(Q195),ISNUMBER(L195)),IFERROR(Q195/L195-1,""),"")</f>
        <v>0.285714285714286</v>
      </c>
      <c r="R196" s="215">
        <f>IF(AND(ISNUMBER(R195),ISNUMBER(M195)),IFERROR(R195/M195-1,""),"")</f>
        <v>0.285714285714286</v>
      </c>
      <c r="S196" s="215">
        <f>IF(AND(ISNUMBER(S195),ISNUMBER(N195)),IFERROR(S195/N195-1,""),"")</f>
        <v>0.305555555555556</v>
      </c>
      <c r="T196" s="215">
        <f>IF(AND(ISNUMBER(T195),ISNUMBER(O195)),IFERROR(T195/O195-1,""),"")</f>
        <v>0.305555555555556</v>
      </c>
      <c r="U196" s="256">
        <f>IF(AND(ISNUMBER(U195),ISNUMBER(P195)),IFERROR(U195/P195-1,""),"")</f>
        <v>0.305555555555556</v>
      </c>
      <c r="V196" s="256">
        <f>IF(AND(ISNUMBER(V195),ISNUMBER(Q195)),IFERROR(V195/Q195-1,""),"")</f>
        <v>0.305555555555556</v>
      </c>
      <c r="W196" s="256">
        <f>IF(AND(ISNUMBER(W195),ISNUMBER(R195)),IFERROR(W195/R195-1,""),"")</f>
        <v>0.305555555555556</v>
      </c>
      <c r="X196" s="267" t="n">
        <v>0.15</v>
      </c>
      <c r="Y196" s="267" t="n">
        <v>0.15</v>
      </c>
      <c r="Z196" s="267" t="n">
        <v>0.15</v>
      </c>
      <c r="AA196" s="267" t="n">
        <v>0.15</v>
      </c>
      <c r="AB196" s="267" t="n">
        <v>0.15</v>
      </c>
      <c r="AC196" s="19" t="n"/>
    </row>
    <row r="197" ht="15" customHeight="1" s="251">
      <c r="AK197" s="11" t="n"/>
      <c r="AL197" s="12" t="n"/>
      <c r="AM197" s="12" t="n"/>
      <c r="AN197" s="12" t="n"/>
      <c r="AO197" s="13" t="n"/>
    </row>
    <row r="198" ht="15" customHeight="1" s="251">
      <c r="B198" s="10" t="inlineStr">
        <is>
          <t>RECONCILIATION: PROFIT (GAAP) → OPERATING PROFIT (company non-GAAP, as published)</t>
        </is>
      </c>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inlineStr">
        <is>
          <t>OPERATING PROFIT — per the release reconciliation "Adjusted revenue, operating profit and profit margin" (GE Aerospace basis from 2023)</t>
        </is>
      </c>
    </row>
    <row r="199" ht="15" customHeight="1" s="251">
      <c r="B199" s="16" t="inlineStr">
        <is>
          <t>Profit before income taxes (GAAP)</t>
        </is>
      </c>
      <c r="C199" s="260">
        <f>C172</f>
        <v>1522</v>
      </c>
      <c r="D199" s="260">
        <f>D172</f>
        <v>6923</v>
      </c>
      <c r="E199" s="260">
        <f>E172</f>
        <v>1509</v>
      </c>
      <c r="F199" s="260">
        <f>F172</f>
        <v>333</v>
      </c>
      <c r="G199" s="260">
        <f>G172</f>
        <v>1676</v>
      </c>
      <c r="H199" s="260">
        <f>H172</f>
        <v>10441</v>
      </c>
      <c r="I199" s="260">
        <f>I172</f>
        <v>1988</v>
      </c>
      <c r="J199" s="260">
        <f>J172</f>
        <v>1447</v>
      </c>
      <c r="K199" s="260">
        <f>K172</f>
        <v>1893</v>
      </c>
      <c r="L199" s="260">
        <f>L172</f>
        <v>2294</v>
      </c>
      <c r="M199" s="260">
        <f>M172</f>
        <v>7620</v>
      </c>
      <c r="N199" s="260">
        <f>N172</f>
        <v>2245</v>
      </c>
      <c r="O199" s="260">
        <f>O172</f>
        <v>2389</v>
      </c>
      <c r="P199" s="260">
        <f>P172</f>
        <v>2515</v>
      </c>
      <c r="Q199" s="260">
        <f>Q172</f>
        <v>2851</v>
      </c>
      <c r="R199" s="260">
        <f>R172</f>
        <v>10000</v>
      </c>
      <c r="S199" s="260">
        <f>S172</f>
        <v>2198</v>
      </c>
      <c r="T199" s="260">
        <f>T172</f>
        <v>2802</v>
      </c>
      <c r="U199" s="261">
        <f>U172</f>
        <v>2566.65298574131</v>
      </c>
      <c r="V199" s="261">
        <f>V172</f>
        <v>2734.34701425869</v>
      </c>
      <c r="W199" s="261">
        <f>W172</f>
        <v>10301</v>
      </c>
      <c r="X199" s="261">
        <f>X172</f>
        <v>12265.5380215047</v>
      </c>
      <c r="Y199" s="261">
        <f>Y172</f>
        <v>13543.2195254289</v>
      </c>
      <c r="Z199" s="261">
        <f>Z172</f>
        <v>15189.1239523532</v>
      </c>
      <c r="AA199" s="261">
        <f>AA172</f>
        <v>16612.472591154</v>
      </c>
      <c r="AB199" s="261">
        <f>AB172</f>
        <v>17861.2931368435</v>
      </c>
      <c r="AC199" s="153" t="n"/>
    </row>
    <row r="200" ht="15" customHeight="1" s="251">
      <c r="B200" s="25" t="inlineStr">
        <is>
          <t xml:space="preserve">  (−) Insurance profit (insurance revenue − insurance costs)</t>
        </is>
      </c>
      <c r="C200" s="211">
        <f>IF(ISNUMBER(C211),-(C156-C68),"")</f>
      </c>
      <c r="D200" s="211">
        <f>IF(ISNUMBER(D211),-(D156-D68),"")</f>
        <v>-71</v>
      </c>
      <c r="E200" s="211">
        <f>IF(ISNUMBER(E211),-(E156-E68),"")</f>
        <v>-63</v>
      </c>
      <c r="F200" s="211">
        <f>IF(ISNUMBER(F211),-(F156-F68),"")</f>
        <v>-100</v>
      </c>
      <c r="G200" s="211">
        <f>IF(ISNUMBER(G211),-(G156-G68),"")</f>
        <v>-99</v>
      </c>
      <c r="H200" s="211">
        <f>IF(ISNUMBER(H211),-(H156-H68),"")</f>
        <v>-332</v>
      </c>
      <c r="I200" s="211">
        <f>IF(ISNUMBER(I211),-(I156-I68),"")</f>
        <v>-200</v>
      </c>
      <c r="J200" s="211">
        <f>IF(ISNUMBER(J211),-(J156-J68),"")</f>
        <v>-170</v>
      </c>
      <c r="K200" s="211">
        <f>IF(ISNUMBER(K211),-(K156-K68),"")</f>
        <v>-171</v>
      </c>
      <c r="L200" s="211">
        <f>IF(ISNUMBER(L211),-(L156-L68),"")</f>
        <v>-480</v>
      </c>
      <c r="M200" s="211">
        <f>IF(ISNUMBER(M211),-(M156-M68),"")</f>
        <v>-1021</v>
      </c>
      <c r="N200" s="211">
        <f>IF(ISNUMBER(N211),-(N156-N68),"")</f>
        <v>-206</v>
      </c>
      <c r="O200" s="211">
        <f>IF(ISNUMBER(O211),-(O156-O68),"")</f>
        <v>-147</v>
      </c>
      <c r="P200" s="211">
        <f>IF(ISNUMBER(P211),-(P156-P68),"")</f>
        <v>-361</v>
      </c>
      <c r="Q200" s="211">
        <f>IF(ISNUMBER(Q211),-(Q156-Q68),"")</f>
        <v>-278</v>
      </c>
      <c r="R200" s="211">
        <f>IF(ISNUMBER(R211),-(R156-R68),"")</f>
        <v>-992</v>
      </c>
      <c r="S200" s="211">
        <f>IF(ISNUMBER(S211),-(S156-S68),"")</f>
        <v>-130</v>
      </c>
      <c r="T200" s="211">
        <f>IF(ISNUMBER(T211),-(T156-T68),"")</f>
        <v>-171</v>
      </c>
      <c r="U200" s="254">
        <f>-U69</f>
        <v>-150.5</v>
      </c>
      <c r="V200" s="254">
        <f>-V69</f>
        <v>-150.5</v>
      </c>
      <c r="W200" s="254">
        <f>SUM(S200:V200)</f>
        <v>-602</v>
      </c>
      <c r="X200" s="254">
        <f>-X69</f>
        <v>-637.2124</v>
      </c>
      <c r="Y200" s="254">
        <f>-Y69</f>
        <v>-618.096028</v>
      </c>
      <c r="Z200" s="254">
        <f>-Z69</f>
        <v>-599.55314716</v>
      </c>
      <c r="AA200" s="254">
        <f>-AA69</f>
        <v>-581.5665527452</v>
      </c>
      <c r="AB200" s="254">
        <f>-AB69</f>
        <v>-564.119556162844</v>
      </c>
      <c r="AC200" s="19" t="n"/>
    </row>
    <row r="201" ht="15" customHeight="1" s="251">
      <c r="B201" s="25" t="inlineStr">
        <is>
          <t xml:space="preserve">  (−) U.S. tax equity profit (loss) (other income − costs)</t>
        </is>
      </c>
      <c r="C201" s="34" t="n"/>
      <c r="D201" s="253" t="n">
        <v>33</v>
      </c>
      <c r="E201" s="253" t="n">
        <v>41</v>
      </c>
      <c r="F201" s="253" t="n">
        <v>34</v>
      </c>
      <c r="G201" s="253" t="n">
        <v>24</v>
      </c>
      <c r="H201" s="253" t="n">
        <v>132</v>
      </c>
      <c r="I201" s="253" t="n">
        <v>35</v>
      </c>
      <c r="J201" s="253" t="n">
        <v>43</v>
      </c>
      <c r="K201" s="253" t="n">
        <v>53</v>
      </c>
      <c r="L201" s="253" t="n">
        <v>30</v>
      </c>
      <c r="M201" s="253" t="n">
        <v>160</v>
      </c>
      <c r="N201" s="253" t="n">
        <v>47</v>
      </c>
      <c r="O201" s="253" t="n">
        <v>58</v>
      </c>
      <c r="P201" s="253" t="n">
        <v>53</v>
      </c>
      <c r="Q201" s="253" t="n">
        <v>32</v>
      </c>
      <c r="R201" s="253" t="n">
        <v>189</v>
      </c>
      <c r="S201" s="253" t="n">
        <v>59</v>
      </c>
      <c r="T201" s="253" t="n">
        <v>70</v>
      </c>
      <c r="U201" s="254">
        <f>-U71</f>
        <v>72</v>
      </c>
      <c r="V201" s="254">
        <f>-V71</f>
        <v>72</v>
      </c>
      <c r="W201" s="254">
        <f>SUM(S201:V201)</f>
        <v>273</v>
      </c>
      <c r="X201" s="254">
        <f>-X71</f>
        <v>280</v>
      </c>
      <c r="Y201" s="254">
        <f>-Y71</f>
        <v>280</v>
      </c>
      <c r="Z201" s="254">
        <f>-Z71</f>
        <v>280</v>
      </c>
      <c r="AA201" s="254">
        <f>-AA71</f>
        <v>280</v>
      </c>
      <c r="AB201" s="254">
        <f>-AB71</f>
        <v>280</v>
      </c>
      <c r="AC201" s="19" t="n"/>
    </row>
    <row r="202" ht="15" customHeight="1" s="251">
      <c r="B202" s="25" t="inlineStr">
        <is>
          <t xml:space="preserve">  (+) Interest and other financial charges</t>
        </is>
      </c>
      <c r="C202" s="211">
        <f>IF(ISNUMBER(C211),C167,"")</f>
      </c>
      <c r="D202" s="211">
        <f>IF(ISNUMBER(D211),D167,"")</f>
        <v>248</v>
      </c>
      <c r="E202" s="211">
        <f>IF(ISNUMBER(E211),E167,"")</f>
        <v>249</v>
      </c>
      <c r="F202" s="211">
        <f>IF(ISNUMBER(F211),F167,"")</f>
        <v>270</v>
      </c>
      <c r="G202" s="211">
        <f>IF(ISNUMBER(G211),G167,"")</f>
        <v>262</v>
      </c>
      <c r="H202" s="211">
        <f>IF(ISNUMBER(H211),H167,"")</f>
        <v>1029</v>
      </c>
      <c r="I202" s="211">
        <f>IF(ISNUMBER(I211),I167,"")</f>
        <v>263</v>
      </c>
      <c r="J202" s="211">
        <f>IF(ISNUMBER(J211),J167,"")</f>
        <v>248</v>
      </c>
      <c r="K202" s="211">
        <f>IF(ISNUMBER(K211),K167,"")</f>
        <v>251</v>
      </c>
      <c r="L202" s="211">
        <f>IF(ISNUMBER(L211),L167,"")</f>
        <v>224</v>
      </c>
      <c r="M202" s="211">
        <f>IF(ISNUMBER(M211),M167,"")</f>
        <v>986</v>
      </c>
      <c r="N202" s="211">
        <f>IF(ISNUMBER(N211),N167,"")</f>
        <v>210</v>
      </c>
      <c r="O202" s="211">
        <f>IF(ISNUMBER(O211),O167,"")</f>
        <v>158</v>
      </c>
      <c r="P202" s="211">
        <f>IF(ISNUMBER(P211),P167,"")</f>
        <v>225</v>
      </c>
      <c r="Q202" s="211">
        <f>IF(ISNUMBER(Q211),Q167,"")</f>
        <v>250</v>
      </c>
      <c r="R202" s="211">
        <f>IF(ISNUMBER(R211),R167,"")</f>
        <v>843</v>
      </c>
      <c r="S202" s="211">
        <f>IF(ISNUMBER(S211),S167,"")</f>
        <v>230</v>
      </c>
      <c r="T202" s="211">
        <f>IF(ISNUMBER(T211),T167,"")</f>
        <v>215</v>
      </c>
      <c r="U202" s="254">
        <f>U167</f>
        <v>222</v>
      </c>
      <c r="V202" s="254">
        <f>V167</f>
        <v>222</v>
      </c>
      <c r="W202" s="254">
        <f>SUM(S202:V202)</f>
        <v>889</v>
      </c>
      <c r="X202" s="254">
        <f>X167</f>
        <v>879.550518975225</v>
      </c>
      <c r="Y202" s="254">
        <f>Y167</f>
        <v>1100.696</v>
      </c>
      <c r="Z202" s="254">
        <f>Z167</f>
        <v>1125.97247939506</v>
      </c>
      <c r="AA202" s="254">
        <f>AA167</f>
        <v>1225.35672044224</v>
      </c>
      <c r="AB202" s="254">
        <f>AB167</f>
        <v>1300.61543530404</v>
      </c>
      <c r="AC202" s="19" t="n"/>
    </row>
    <row r="203" ht="15" customHeight="1" s="251">
      <c r="B203" s="25" t="inlineStr">
        <is>
          <t xml:space="preserve">  (+) Non-operating benefit cost (income)</t>
        </is>
      </c>
      <c r="C203" s="211">
        <f>IF(ISNUMBER(C211),C169,"")</f>
      </c>
      <c r="D203" s="211">
        <f>IF(ISNUMBER(D211),D169,"")</f>
        <v>-239</v>
      </c>
      <c r="E203" s="211">
        <f>IF(ISNUMBER(E211),E169,"")</f>
        <v>-249</v>
      </c>
      <c r="F203" s="211">
        <f>IF(ISNUMBER(F211),F169,"")</f>
        <v>-244</v>
      </c>
      <c r="G203" s="211">
        <f>IF(ISNUMBER(G211),G169,"")</f>
        <v>-247</v>
      </c>
      <c r="H203" s="211">
        <f>IF(ISNUMBER(H211),H169,"")</f>
        <v>-978</v>
      </c>
      <c r="I203" s="211">
        <f>IF(ISNUMBER(I211),I169,"")</f>
        <v>-217</v>
      </c>
      <c r="J203" s="211">
        <f>IF(ISNUMBER(J211),J169,"")</f>
        <v>-204</v>
      </c>
      <c r="K203" s="211">
        <f>IF(ISNUMBER(K211),K169,"")</f>
        <v>-207</v>
      </c>
      <c r="L203" s="211">
        <f>IF(ISNUMBER(L211),L169,"")</f>
        <v>-214</v>
      </c>
      <c r="M203" s="211">
        <f>IF(ISNUMBER(M211),M169,"")</f>
        <v>-842</v>
      </c>
      <c r="N203" s="211">
        <f>IF(ISNUMBER(N211),N169,"")</f>
        <v>-201</v>
      </c>
      <c r="O203" s="211">
        <f>IF(ISNUMBER(O211),O169,"")</f>
        <v>-197</v>
      </c>
      <c r="P203" s="211">
        <f>IF(ISNUMBER(P211),P169,"")</f>
        <v>-198</v>
      </c>
      <c r="Q203" s="211">
        <f>IF(ISNUMBER(Q211),Q169,"")</f>
        <v>-192</v>
      </c>
      <c r="R203" s="211">
        <f>IF(ISNUMBER(R211),R169,"")</f>
        <v>-788</v>
      </c>
      <c r="S203" s="211">
        <f>IF(ISNUMBER(S211),S169,"")</f>
        <v>-176</v>
      </c>
      <c r="T203" s="211">
        <f>IF(ISNUMBER(T211),T169,"")</f>
        <v>-177</v>
      </c>
      <c r="U203" s="254">
        <f>U169</f>
        <v>-176.5</v>
      </c>
      <c r="V203" s="254">
        <f>V169</f>
        <v>-176.5</v>
      </c>
      <c r="W203" s="254">
        <f>SUM(S203:V203)</f>
        <v>-706</v>
      </c>
      <c r="X203" s="254">
        <f>X169</f>
        <v>-680</v>
      </c>
      <c r="Y203" s="254">
        <f>Y169</f>
        <v>-660</v>
      </c>
      <c r="Z203" s="254">
        <f>Z169</f>
        <v>-640</v>
      </c>
      <c r="AA203" s="254">
        <f>AA169</f>
        <v>-620</v>
      </c>
      <c r="AB203" s="254">
        <f>AB169</f>
        <v>-600</v>
      </c>
      <c r="AC203" s="19" t="n"/>
    </row>
    <row r="204" ht="15" customHeight="1" s="251">
      <c r="B204" s="25" t="inlineStr">
        <is>
          <t xml:space="preserve">  (+) Restructuring &amp; other</t>
        </is>
      </c>
      <c r="C204" s="211">
        <f>IF(ISNUMBER(C211),C145,"")</f>
      </c>
      <c r="D204" s="211">
        <f>IF(ISNUMBER(D211),D145,"")</f>
        <v>41</v>
      </c>
      <c r="E204" s="211">
        <f>IF(ISNUMBER(E211),E145,"")</f>
        <v>45</v>
      </c>
      <c r="F204" s="211">
        <f>IF(ISNUMBER(F211),F145,"")</f>
        <v>44</v>
      </c>
      <c r="G204" s="211">
        <f>IF(ISNUMBER(G211),G145,"")</f>
        <v>116</v>
      </c>
      <c r="H204" s="211">
        <f>IF(ISNUMBER(H211),H145,"")</f>
        <v>246</v>
      </c>
      <c r="I204" s="211">
        <f>IF(ISNUMBER(I211),I145,"")</f>
        <v>70</v>
      </c>
      <c r="J204" s="211">
        <f>IF(ISNUMBER(J211),J145,"")</f>
        <v>77</v>
      </c>
      <c r="K204" s="211">
        <f>IF(ISNUMBER(K211),K145,"")</f>
        <v>378</v>
      </c>
      <c r="L204" s="211">
        <f>IF(ISNUMBER(L211),L145,"")</f>
        <v>0</v>
      </c>
      <c r="M204" s="211">
        <f>IF(ISNUMBER(M211),M145,"")</f>
        <v>525</v>
      </c>
      <c r="N204" s="211">
        <f>IF(ISNUMBER(N211),N145,"")</f>
        <v>1</v>
      </c>
      <c r="O204" s="211">
        <f>IF(ISNUMBER(O211),O145,"")</f>
        <v>26</v>
      </c>
      <c r="P204" s="211">
        <f>IF(ISNUMBER(P211),P145,"")</f>
        <v>22</v>
      </c>
      <c r="Q204" s="211">
        <f>IF(ISNUMBER(Q211),Q145,"")</f>
        <v>-136</v>
      </c>
      <c r="R204" s="211">
        <f>IF(ISNUMBER(R211),R145,"")</f>
        <v>-87</v>
      </c>
      <c r="S204" s="211">
        <f>IF(ISNUMBER(S211),S145,"")</f>
        <v>24</v>
      </c>
      <c r="T204" s="211">
        <f>IF(ISNUMBER(T211),T145,"")</f>
        <v>27</v>
      </c>
      <c r="U204" s="254">
        <f>U145</f>
        <v>25.5</v>
      </c>
      <c r="V204" s="254">
        <f>V145</f>
        <v>25.5</v>
      </c>
      <c r="W204" s="254">
        <f>SUM(S204:V204)</f>
        <v>102</v>
      </c>
      <c r="X204" s="254">
        <f>X145</f>
        <v>100</v>
      </c>
      <c r="Y204" s="254">
        <f>Y145</f>
        <v>250</v>
      </c>
      <c r="Z204" s="254">
        <f>Z145</f>
        <v>100</v>
      </c>
      <c r="AA204" s="254">
        <f>AA145</f>
        <v>100</v>
      </c>
      <c r="AB204" s="254">
        <f>AB145</f>
        <v>100</v>
      </c>
      <c r="AC204" s="19" t="n"/>
    </row>
    <row r="205" ht="15" customHeight="1" s="251">
      <c r="B205" s="25" t="inlineStr">
        <is>
          <t xml:space="preserve">  (+) Separation costs</t>
        </is>
      </c>
      <c r="C205" s="211">
        <f>IF(ISNUMBER(C211),C146,"")</f>
      </c>
      <c r="D205" s="211">
        <f>IF(ISNUMBER(D211),D146,"")</f>
        <v>164</v>
      </c>
      <c r="E205" s="211">
        <f>IF(ISNUMBER(E211),E146,"")</f>
        <v>163</v>
      </c>
      <c r="F205" s="211">
        <f>IF(ISNUMBER(F211),F146,"")</f>
        <v>147</v>
      </c>
      <c r="G205" s="211">
        <f>IF(ISNUMBER(G211),G146,"")</f>
        <v>217</v>
      </c>
      <c r="H205" s="211">
        <f>IF(ISNUMBER(H211),H146,"")</f>
        <v>692</v>
      </c>
      <c r="I205" s="211">
        <f>IF(ISNUMBER(I211),I146,"")</f>
        <v>259</v>
      </c>
      <c r="J205" s="211">
        <f>IF(ISNUMBER(J211),J146,"")</f>
        <v>75</v>
      </c>
      <c r="K205" s="211">
        <f>IF(ISNUMBER(K211),K146,"")</f>
        <v>74</v>
      </c>
      <c r="L205" s="211">
        <f>IF(ISNUMBER(L211),L146,"")</f>
        <v>83</v>
      </c>
      <c r="M205" s="211">
        <f>IF(ISNUMBER(M211),M146,"")</f>
        <v>492</v>
      </c>
      <c r="N205" s="211">
        <f>IF(ISNUMBER(N211),N146,"")</f>
        <v>51</v>
      </c>
      <c r="O205" s="211">
        <f>IF(ISNUMBER(O211),O146,"")</f>
        <v>47</v>
      </c>
      <c r="P205" s="211">
        <f>IF(ISNUMBER(P211),P146,"")</f>
        <v>53</v>
      </c>
      <c r="Q205" s="211">
        <f>IF(ISNUMBER(Q211),Q146,"")</f>
        <v>52</v>
      </c>
      <c r="R205" s="211">
        <f>IF(ISNUMBER(R211),R146,"")</f>
        <v>202</v>
      </c>
      <c r="S205" s="211">
        <f>IF(ISNUMBER(S211),S146,"")</f>
        <v>55</v>
      </c>
      <c r="T205" s="211">
        <f>IF(ISNUMBER(T211),T146,"")</f>
        <v>34</v>
      </c>
      <c r="U205" s="254">
        <f>U146</f>
        <v>44.5</v>
      </c>
      <c r="V205" s="254">
        <f>V146</f>
        <v>44.5</v>
      </c>
      <c r="W205" s="254">
        <f>SUM(S205:V205)</f>
        <v>178</v>
      </c>
      <c r="X205" s="254">
        <f>X146</f>
        <v>50</v>
      </c>
      <c r="Y205" s="254">
        <f>Y146</f>
        <v>0</v>
      </c>
      <c r="Z205" s="254">
        <f>Z146</f>
        <v>0</v>
      </c>
      <c r="AA205" s="254">
        <f>AA146</f>
        <v>0</v>
      </c>
      <c r="AB205" s="254">
        <f>AB146</f>
        <v>0</v>
      </c>
      <c r="AC205" s="19" t="n"/>
    </row>
    <row r="206" ht="15" customHeight="1" s="251">
      <c r="B206" s="25" t="inlineStr">
        <is>
          <t xml:space="preserve">  (+) Goodwill impairments</t>
        </is>
      </c>
      <c r="C206" s="211">
        <f>IF(ISNUMBER(C211),C147,"")</f>
      </c>
      <c r="D206" s="211">
        <f>IF(ISNUMBER(D211),D147,"")</f>
        <v>0</v>
      </c>
      <c r="E206" s="211">
        <f>IF(ISNUMBER(E211),E147,"")</f>
        <v>0</v>
      </c>
      <c r="F206" s="211">
        <f>IF(ISNUMBER(F211),F147,"")</f>
        <v>0</v>
      </c>
      <c r="G206" s="211">
        <f>IF(ISNUMBER(G211),G147,"")</f>
        <v>0</v>
      </c>
      <c r="H206" s="211">
        <f>IF(ISNUMBER(H211),H147,"")</f>
        <v>0</v>
      </c>
      <c r="I206" s="211">
        <f>IF(ISNUMBER(I211),I147,"")</f>
        <v>0</v>
      </c>
      <c r="J206" s="211">
        <f>IF(ISNUMBER(J211),J147,"")</f>
        <v>0</v>
      </c>
      <c r="K206" s="211">
        <f>IF(ISNUMBER(K211),K147,"")</f>
        <v>251</v>
      </c>
      <c r="L206" s="211">
        <f>IF(ISNUMBER(L211),L147,"")</f>
        <v>0</v>
      </c>
      <c r="M206" s="211">
        <f>IF(ISNUMBER(M211),M147,"")</f>
        <v>251</v>
      </c>
      <c r="N206" s="211">
        <f>IF(ISNUMBER(N211),N147,"")</f>
        <v>0</v>
      </c>
      <c r="O206" s="211">
        <f>IF(ISNUMBER(O211),O147,"")</f>
        <v>0</v>
      </c>
      <c r="P206" s="211">
        <f>IF(ISNUMBER(P211),P147,"")</f>
        <v>0</v>
      </c>
      <c r="Q206" s="211">
        <f>IF(ISNUMBER(Q211),Q147,"")</f>
        <v>0</v>
      </c>
      <c r="R206" s="211">
        <f>IF(ISNUMBER(R211),R147,"")</f>
        <v>0</v>
      </c>
      <c r="S206" s="211">
        <f>IF(ISNUMBER(S211),S147,"")</f>
        <v>0</v>
      </c>
      <c r="T206" s="211">
        <f>IF(ISNUMBER(T211),T147,"")</f>
        <v>0</v>
      </c>
      <c r="U206" s="254">
        <f>U147</f>
        <v>0</v>
      </c>
      <c r="V206" s="254">
        <f>V147</f>
        <v>0</v>
      </c>
      <c r="W206" s="254">
        <f>SUM(S206:V206)</f>
        <v>0</v>
      </c>
      <c r="X206" s="254">
        <f>X147</f>
        <v>0</v>
      </c>
      <c r="Y206" s="254">
        <f>Y147</f>
        <v>0</v>
      </c>
      <c r="Z206" s="254">
        <f>Z147</f>
        <v>0</v>
      </c>
      <c r="AA206" s="254">
        <f>AA147</f>
        <v>0</v>
      </c>
      <c r="AB206" s="254">
        <f>AB147</f>
        <v>0</v>
      </c>
      <c r="AC206" s="19" t="n"/>
    </row>
    <row r="207" ht="15" customHeight="1" s="251">
      <c r="B207" s="25" t="inlineStr">
        <is>
          <t xml:space="preserve">  (−) Gains (losses) on equity securities and business interests</t>
        </is>
      </c>
      <c r="C207" s="211">
        <f>IF(ISNUMBER(C211),-(C148+C149),"")</f>
      </c>
      <c r="D207" s="211">
        <f>IF(ISNUMBER(D211),-(D148+D149),"")</f>
        <v>-5851</v>
      </c>
      <c r="E207" s="211">
        <f>IF(ISNUMBER(E211),-(E148+E149),"")</f>
        <v>-306</v>
      </c>
      <c r="F207" s="211">
        <f>IF(ISNUMBER(F211),-(F148+F149),"")</f>
        <v>1110</v>
      </c>
      <c r="G207" s="211">
        <f>IF(ISNUMBER(G211),-(G148+G149),"")</f>
        <v>-625</v>
      </c>
      <c r="H207" s="211">
        <f>IF(ISNUMBER(H211),-(H148+H149),"")</f>
        <v>-5672</v>
      </c>
      <c r="I207" s="211">
        <f>IF(ISNUMBER(I211),-(I148+I149),"")</f>
        <v>-645</v>
      </c>
      <c r="J207" s="211">
        <f>IF(ISNUMBER(J211),-(J148+J149),"")</f>
        <v>383</v>
      </c>
      <c r="K207" s="211">
        <f>IF(ISNUMBER(K211),-(K148+K149),"")</f>
        <v>-713</v>
      </c>
      <c r="L207" s="211">
        <f>IF(ISNUMBER(L211),-(L148+L149),"")</f>
        <v>43</v>
      </c>
      <c r="M207" s="211">
        <f>IF(ISNUMBER(M211),-(M148+M149),"")</f>
        <v>-930</v>
      </c>
      <c r="N207" s="211">
        <f>IF(ISNUMBER(N211),-(N148+N149),"")</f>
        <v>-7</v>
      </c>
      <c r="O207" s="211">
        <f>IF(ISNUMBER(O211),-(O148+O149),"")</f>
        <v>-3</v>
      </c>
      <c r="P207" s="211">
        <f>IF(ISNUMBER(P211),-(P148+P149),"")</f>
        <v>-11</v>
      </c>
      <c r="Q207" s="211">
        <f>IF(ISNUMBER(Q211),-(Q148+Q149),"")</f>
        <v>-296</v>
      </c>
      <c r="R207" s="211">
        <f>IF(ISNUMBER(R211),-(R148+R149),"")</f>
        <v>-317</v>
      </c>
      <c r="S207" s="211">
        <f>IF(ISNUMBER(S211),-(S148+S149),"")</f>
        <v>285</v>
      </c>
      <c r="T207" s="211">
        <f>IF(ISNUMBER(T211),-(T148+T149),"")</f>
        <v>-65</v>
      </c>
      <c r="U207" s="254">
        <f>-(U148+U149)</f>
        <v>0</v>
      </c>
      <c r="V207" s="254">
        <f>-(V148+V149)</f>
        <v>0</v>
      </c>
      <c r="W207" s="254">
        <f>SUM(S207:V207)</f>
        <v>220</v>
      </c>
      <c r="X207" s="254">
        <f>-(X148+X149)</f>
        <v>0</v>
      </c>
      <c r="Y207" s="254">
        <f>-(Y148+Y149)</f>
        <v>0</v>
      </c>
      <c r="Z207" s="254">
        <f>-(Z148+Z149)</f>
        <v>0</v>
      </c>
      <c r="AA207" s="254">
        <f>-(AA148+AA149)</f>
        <v>0</v>
      </c>
      <c r="AB207" s="254">
        <f>-(AB148+AB149)</f>
        <v>0</v>
      </c>
      <c r="AC207" s="19" t="n"/>
    </row>
    <row r="208" ht="15" customHeight="1" s="251">
      <c r="B208" s="25" t="inlineStr">
        <is>
          <t xml:space="preserve">  (−) Noncontrolling interests</t>
        </is>
      </c>
      <c r="C208" s="211">
        <f>IF(ISNUMBER(C211),-C150,"")</f>
      </c>
      <c r="D208" s="211">
        <f>IF(ISNUMBER(D211),-D150,"")</f>
        <v>-4</v>
      </c>
      <c r="E208" s="211">
        <f>IF(ISNUMBER(E211),-E150,"")</f>
        <v>-2</v>
      </c>
      <c r="F208" s="211">
        <f>IF(ISNUMBER(F211),-F150,"")</f>
        <v>-1</v>
      </c>
      <c r="G208" s="211">
        <f>IF(ISNUMBER(G211),-G150,"")</f>
        <v>9</v>
      </c>
      <c r="H208" s="211">
        <f>IF(ISNUMBER(H211),-H150,"")</f>
        <v>1</v>
      </c>
      <c r="I208" s="211">
        <f>IF(ISNUMBER(I211),-I150,"")</f>
        <v>-3</v>
      </c>
      <c r="J208" s="211">
        <f>IF(ISNUMBER(J211),-J150,"")</f>
        <v>-2</v>
      </c>
      <c r="K208" s="211">
        <f>IF(ISNUMBER(K211),-K150,"")</f>
        <v>10</v>
      </c>
      <c r="L208" s="211">
        <f>IF(ISNUMBER(L211),-L150,"")</f>
        <v>8</v>
      </c>
      <c r="M208" s="211">
        <f>IF(ISNUMBER(M211),-M150,"")</f>
        <v>13</v>
      </c>
      <c r="N208" s="211">
        <f>IF(ISNUMBER(N211),-N150,"")</f>
        <v>5</v>
      </c>
      <c r="O208" s="211">
        <f>IF(ISNUMBER(O211),-O150,"")</f>
        <v>7</v>
      </c>
      <c r="P208" s="211">
        <f>IF(ISNUMBER(P211),-P150,"")</f>
        <v>3</v>
      </c>
      <c r="Q208" s="211">
        <f>IF(ISNUMBER(Q211),-Q150,"")</f>
        <v>-10</v>
      </c>
      <c r="R208" s="211">
        <f>IF(ISNUMBER(R211),-R150,"")</f>
        <v>6</v>
      </c>
      <c r="S208" s="211">
        <f>IF(ISNUMBER(S211),-S150,"")</f>
        <v>-16</v>
      </c>
      <c r="T208" s="211">
        <f>IF(ISNUMBER(T211),-T150,"")</f>
        <v>13</v>
      </c>
      <c r="U208" s="254">
        <f>-U150</f>
        <v>0</v>
      </c>
      <c r="V208" s="254">
        <f>-V150</f>
        <v>0</v>
      </c>
      <c r="W208" s="254">
        <f>SUM(S208:V208)</f>
        <v>-3</v>
      </c>
      <c r="X208" s="254">
        <f>-X150</f>
        <v>0</v>
      </c>
      <c r="Y208" s="254">
        <f>-Y150</f>
        <v>0</v>
      </c>
      <c r="Z208" s="254">
        <f>-Z150</f>
        <v>0</v>
      </c>
      <c r="AA208" s="254">
        <f>-AA150</f>
        <v>0</v>
      </c>
      <c r="AB208" s="254">
        <f>-AB150</f>
        <v>0</v>
      </c>
      <c r="AC208" s="19" t="n"/>
    </row>
    <row r="209" ht="15" customHeight="1" s="251">
      <c r="B209" s="55" t="inlineStr">
        <is>
          <t xml:space="preserve">  = Operating profit (model bridge)</t>
        </is>
      </c>
      <c r="C209" s="273">
        <f>IF(ISNUMBER(C200),C199+C200+C201+C202+C203+C204+C205+C206+C207+C208,"")</f>
      </c>
      <c r="D209" s="273">
        <f>IF(ISNUMBER(D200),D199+D200+D201+D202+D203+D204+D205+D206+D207+D208,"")</f>
        <v>1244</v>
      </c>
      <c r="E209" s="273">
        <f>IF(ISNUMBER(E200),E199+E200+E201+E202+E203+E204+E205+E206+E207+E208,"")</f>
        <v>1387</v>
      </c>
      <c r="F209" s="273">
        <f>IF(ISNUMBER(F200),F199+F200+F201+F202+F203+F204+F205+F206+F207+F208,"")</f>
        <v>1593</v>
      </c>
      <c r="G209" s="273">
        <f>IF(ISNUMBER(G200),G199+G200+G201+G202+G203+G204+G205+G206+G207+G208,"")</f>
        <v>1333</v>
      </c>
      <c r="H209" s="273">
        <f>IF(ISNUMBER(H200),H199+H200+H201+H202+H203+H204+H205+H206+H207+H208,"")</f>
        <v>5559</v>
      </c>
      <c r="I209" s="273">
        <f>IF(ISNUMBER(I200),I199+I200+I201+I202+I203+I204+I205+I206+I207+I208,"")</f>
        <v>1550</v>
      </c>
      <c r="J209" s="273">
        <f>IF(ISNUMBER(J200),J199+J200+J201+J202+J203+J204+J205+J206+J207+J208,"")</f>
        <v>1897</v>
      </c>
      <c r="K209" s="273">
        <f>IF(ISNUMBER(K200),K199+K200+K201+K202+K203+K204+K205+K206+K207+K208,"")</f>
        <v>1819</v>
      </c>
      <c r="L209" s="273">
        <f>IF(ISNUMBER(L200),L199+L200+L201+L202+L203+L204+L205+L206+L207+L208,"")</f>
        <v>1988</v>
      </c>
      <c r="M209" s="273">
        <f>IF(ISNUMBER(M200),M199+M200+M201+M202+M203+M204+M205+M206+M207+M208,"")</f>
        <v>7254</v>
      </c>
      <c r="N209" s="273">
        <f>IF(ISNUMBER(N200),N199+N200+N201+N202+N203+N204+N205+N206+N207+N208,"")</f>
        <v>2145</v>
      </c>
      <c r="O209" s="273">
        <f>IF(ISNUMBER(O200),O199+O200+O201+O202+O203+O204+O205+O206+O207+O208,"")</f>
        <v>2338</v>
      </c>
      <c r="P209" s="273">
        <f>IF(ISNUMBER(P200),P199+P200+P201+P202+P203+P204+P205+P206+P207+P208,"")</f>
        <v>2301</v>
      </c>
      <c r="Q209" s="273">
        <f>IF(ISNUMBER(Q200),Q199+Q200+Q201+Q202+Q203+Q204+Q205+Q206+Q207+Q208,"")</f>
        <v>2273</v>
      </c>
      <c r="R209" s="273">
        <f>IF(ISNUMBER(R200),R199+R200+R201+R202+R203+R204+R205+R206+R207+R208,"")</f>
        <v>9056</v>
      </c>
      <c r="S209" s="273">
        <f>IF(ISNUMBER(S200),S199+S200+S201+S202+S203+S204+S205+S206+S207+S208,"")</f>
        <v>2529</v>
      </c>
      <c r="T209" s="273">
        <f>IF(ISNUMBER(T200),T199+T200+T201+T202+T203+T204+T205+T206+T207+T208,"")</f>
        <v>2748</v>
      </c>
      <c r="U209" s="273">
        <f>IF(ISNUMBER(U200),U199+U200+U201+U202+U203+U204+U205+U206+U207+U208,"")</f>
        <v>2603.65298574131</v>
      </c>
      <c r="V209" s="273">
        <f>IF(ISNUMBER(V200),V199+V200+V201+V202+V203+V204+V205+V206+V207+V208,"")</f>
        <v>2771.34701425869</v>
      </c>
      <c r="W209" s="273">
        <f>IF(ISNUMBER(W200),W199+W200+W201+W202+W203+W204+W205+W206+W207+W208,"")</f>
        <v>10652</v>
      </c>
      <c r="X209" s="273">
        <f>IF(ISNUMBER(X200),X199+X200+X201+X202+X203+X204+X205+X206+X207+X208,"")</f>
        <v>12257.8761404799</v>
      </c>
      <c r="Y209" s="273">
        <f>IF(ISNUMBER(Y200),Y199+Y200+Y201+Y202+Y203+Y204+Y205+Y206+Y207+Y208,"")</f>
        <v>13895.8194974289</v>
      </c>
      <c r="Z209" s="273">
        <f>IF(ISNUMBER(Z200),Z199+Z200+Z201+Z202+Z203+Z204+Z205+Z206+Z207+Z208,"")</f>
        <v>15455.5432845883</v>
      </c>
      <c r="AA209" s="273">
        <f>IF(ISNUMBER(AA200),AA199+AA200+AA201+AA202+AA203+AA204+AA205+AA206+AA207+AA208,"")</f>
        <v>17016.2627588511</v>
      </c>
      <c r="AB209" s="273">
        <f>IF(ISNUMBER(AB200),AB199+AB200+AB201+AB202+AB203+AB204+AB205+AB206+AB207+AB208,"")</f>
        <v>18377.7890159846</v>
      </c>
      <c r="AC209" s="153" t="inlineStr">
        <is>
          <t>Forecast equals the segment build (check in the Group block).</t>
        </is>
      </c>
      <c r="AE209" s="20">
        <f>IFERROR((AB209/W209)^(1/5)-1,"n/m")</f>
        <v>0.115250484839645</v>
      </c>
      <c r="AF209" s="20" t="str">
        <f>IFERROR((R209/C209)^(1/3)-1,"n/m")</f>
        <v>n/m</v>
      </c>
      <c r="AG209" s="20">
        <f>IFERROR((R209/H209)^(1/2)-1,"n/m")</f>
        <v>0.276350256244147</v>
      </c>
      <c r="AH209" s="20">
        <f>IFERROR(W209/R209-1,"n/m")</f>
        <v>0.176236749116608</v>
      </c>
    </row>
    <row r="210" ht="15" customHeight="1" s="251">
      <c r="B210" s="25" t="inlineStr">
        <is>
          <t xml:space="preserve">  Operating profit margin % (of adjusted revenue)</t>
        </is>
      </c>
      <c r="C210" s="215">
        <f>IF(AND(ISNUMBER(C209),ISNUMBER(C105)),IFERROR(C209/C105,""),"")</f>
      </c>
      <c r="D210" s="215">
        <f>IF(AND(ISNUMBER(D209),ISNUMBER(D105)),IFERROR(D209/D105,""),"")</f>
        <v>0.176579134137686</v>
      </c>
      <c r="E210" s="215">
        <f>IF(AND(ISNUMBER(E209),ISNUMBER(E105)),IFERROR(E209/E105,""),"")</f>
        <v>0.175414189958265</v>
      </c>
      <c r="F210" s="215">
        <f>IF(AND(ISNUMBER(F209),ISNUMBER(F105)),IFERROR(F209/F105,""),"")</f>
        <v>0.188297872340426</v>
      </c>
      <c r="G210" s="215">
        <f>IF(AND(ISNUMBER(G209),ISNUMBER(G105)),IFERROR(G209/G105,""),"")</f>
        <v>0.155961155961156</v>
      </c>
      <c r="H210" s="215">
        <f>IF(AND(ISNUMBER(H209),ISNUMBER(H105)),IFERROR(H209/H105,""),"")</f>
        <v>0.173941612691261</v>
      </c>
      <c r="I210" s="215">
        <f>IF(AND(ISNUMBER(I209),ISNUMBER(I105)),IFERROR(I209/I105,""),"")</f>
        <v>0.191926696384349</v>
      </c>
      <c r="J210" s="215">
        <f>IF(AND(ISNUMBER(J209),ISNUMBER(J105)),IFERROR(J209/J105,""),"")</f>
        <v>0.230694393773562</v>
      </c>
      <c r="K210" s="215">
        <f>IF(AND(ISNUMBER(K209),ISNUMBER(K105)),IFERROR(K209/K105,""),"")</f>
        <v>0.20339930672034</v>
      </c>
      <c r="L210" s="215">
        <f>IF(AND(ISNUMBER(L209),ISNUMBER(L105)),IFERROR(L209/L105,""),"")</f>
        <v>0.201234942807977</v>
      </c>
      <c r="M210" s="215">
        <f>IF(AND(ISNUMBER(M209),ISNUMBER(M105)),IFERROR(M209/M105,""),"")</f>
        <v>0.206548974943052</v>
      </c>
      <c r="N210" s="215">
        <f>IF(AND(ISNUMBER(N209),ISNUMBER(N105)),IFERROR(N209/N105,""),"")</f>
        <v>0.238333333333333</v>
      </c>
      <c r="O210" s="215">
        <f>IF(AND(ISNUMBER(O209),ISNUMBER(O105)),IFERROR(O209/O105,""),"")</f>
        <v>0.230322135750172</v>
      </c>
      <c r="P210" s="215">
        <f>IF(AND(ISNUMBER(P209),ISNUMBER(P105)),IFERROR(P209/P105,""),"")</f>
        <v>0.203556263269639</v>
      </c>
      <c r="Q210" s="215">
        <f>IF(AND(ISNUMBER(Q209),ISNUMBER(Q105)),IFERROR(Q209/Q105,""),"")</f>
        <v>0.19157184997893</v>
      </c>
      <c r="R210" s="215">
        <f>IF(AND(ISNUMBER(R209),ISNUMBER(R105)),IFERROR(R209/R105,""),"")</f>
        <v>0.213978545437361</v>
      </c>
      <c r="S210" s="215">
        <f>IF(AND(ISNUMBER(S209),ISNUMBER(S105)),IFERROR(S209/S105,""),"")</f>
        <v>0.217754434303427</v>
      </c>
      <c r="T210" s="215">
        <f>IF(AND(ISNUMBER(T209),ISNUMBER(T105)),IFERROR(T209/T105,""),"")</f>
        <v>0.217508310907076</v>
      </c>
      <c r="U210" s="256">
        <f>IF(AND(ISNUMBER(U209),ISNUMBER(U105)),IFERROR(U209/U105,""),"")</f>
        <v>0.207683568587632</v>
      </c>
      <c r="V210" s="256">
        <f>IF(AND(ISNUMBER(V209),ISNUMBER(V105)),IFERROR(V209/V105,""),"")</f>
        <v>0.210663507253025</v>
      </c>
      <c r="W210" s="256">
        <f>IF(AND(ISNUMBER(W209),ISNUMBER(W105)),IFERROR(W209/W105,""),"")</f>
        <v>0.213296125988087</v>
      </c>
      <c r="X210" s="256">
        <f>IF(AND(ISNUMBER(X209),ISNUMBER(X105)),IFERROR(X209/X105,""),"")</f>
        <v>0.217548297006046</v>
      </c>
      <c r="Y210" s="256">
        <f>IF(AND(ISNUMBER(Y209),ISNUMBER(Y105)),IFERROR(Y209/Y105,""),"")</f>
        <v>0.220253294317904</v>
      </c>
      <c r="Z210" s="256">
        <f>IF(AND(ISNUMBER(Z209),ISNUMBER(Z105)),IFERROR(Z209/Z105,""),"")</f>
        <v>0.226428760966287</v>
      </c>
      <c r="AA210" s="256">
        <f>IF(AND(ISNUMBER(AA209),ISNUMBER(AA105)),IFERROR(AA209/AA105,""),"")</f>
        <v>0.232162481270399</v>
      </c>
      <c r="AB210" s="256">
        <f>IF(AND(ISNUMBER(AB209),ISNUMBER(AB105)),IFERROR(AB209/AB105,""),"")</f>
        <v>0.235653458006422</v>
      </c>
      <c r="AC210" s="153" t="n"/>
      <c r="AE210" s="37">
        <f>IFERROR(AVERAGE(X210,Y210,Z210,AA210,AB210),"n/m")</f>
        <v>0.226409258313412</v>
      </c>
      <c r="AF210" s="37">
        <f>IFERROR(AVERAGE(H210,M210,R210),"n/m")</f>
        <v>0.198156377690558</v>
      </c>
      <c r="AG210" s="37">
        <f>IFERROR(AVERAGE(M210,R210),"n/m")</f>
        <v>0.210263760190207</v>
      </c>
      <c r="AH210" s="37">
        <f>IFERROR(W210+0,"n/m")</f>
        <v>0.213296125988087</v>
      </c>
    </row>
    <row r="211" ht="15" customHeight="1" s="251">
      <c r="B211" s="156" t="inlineStr">
        <is>
          <t xml:space="preserve">  Company-published operating profit</t>
        </is>
      </c>
      <c r="C211" s="34" t="n"/>
      <c r="D211" s="253" t="n">
        <v>1247</v>
      </c>
      <c r="E211" s="253" t="n">
        <v>1385</v>
      </c>
      <c r="F211" s="253" t="n">
        <v>1594</v>
      </c>
      <c r="G211" s="253" t="n">
        <v>1335</v>
      </c>
      <c r="H211" s="253" t="n">
        <v>5561</v>
      </c>
      <c r="I211" s="253" t="n">
        <v>1550</v>
      </c>
      <c r="J211" s="253" t="n">
        <v>1897</v>
      </c>
      <c r="K211" s="253" t="n">
        <v>1818</v>
      </c>
      <c r="L211" s="253" t="n">
        <v>1988</v>
      </c>
      <c r="M211" s="253" t="n">
        <v>7253</v>
      </c>
      <c r="N211" s="253" t="n">
        <v>2146</v>
      </c>
      <c r="O211" s="253" t="n">
        <v>2337</v>
      </c>
      <c r="P211" s="253" t="n">
        <v>2299</v>
      </c>
      <c r="Q211" s="253" t="n">
        <v>2273</v>
      </c>
      <c r="R211" s="253" t="n">
        <v>9055</v>
      </c>
      <c r="S211" s="253" t="n">
        <v>2528</v>
      </c>
      <c r="T211" s="253" t="n">
        <v>2746</v>
      </c>
      <c r="U211" s="153" t="n"/>
      <c r="V211" s="153" t="n"/>
      <c r="W211" s="153" t="n"/>
      <c r="X211" s="153" t="n"/>
      <c r="Y211" s="153" t="n"/>
      <c r="Z211" s="153" t="n"/>
      <c r="AA211" s="153" t="n"/>
      <c r="AB211" s="153" t="n"/>
      <c r="AC211" s="153" t="n"/>
    </row>
    <row r="212" ht="15" customHeight="1" s="251">
      <c r="B212" s="57" t="inlineStr">
        <is>
          <t xml:space="preserve">  Check: model bridge vs company-published (should be 0; ±3 company rounding)</t>
        </is>
      </c>
      <c r="C212" s="211" t="str">
        <f>IF(ISNUMBER(C211),IF(ABS(C209-C211)&lt;=3.01,0,ROUND(C209-C211,0)),"n/p")</f>
        <v>n/p</v>
      </c>
      <c r="D212" s="211">
        <f>IF(ISNUMBER(D211),IF(ABS(D209-D211)&lt;=3.01,0,ROUND(D209-D211,0)),"n/p")</f>
        <v>0</v>
      </c>
      <c r="E212" s="211">
        <f>IF(ISNUMBER(E211),IF(ABS(E209-E211)&lt;=3.01,0,ROUND(E209-E211,0)),"n/p")</f>
        <v>0</v>
      </c>
      <c r="F212" s="211">
        <f>IF(ISNUMBER(F211),IF(ABS(F209-F211)&lt;=3.01,0,ROUND(F209-F211,0)),"n/p")</f>
        <v>0</v>
      </c>
      <c r="G212" s="211">
        <f>IF(ISNUMBER(G211),IF(ABS(G209-G211)&lt;=3.01,0,ROUND(G209-G211,0)),"n/p")</f>
        <v>0</v>
      </c>
      <c r="H212" s="211">
        <f>IF(ISNUMBER(H211),IF(ABS(H209-H211)&lt;=3.01,0,ROUND(H209-H211,0)),"n/p")</f>
        <v>0</v>
      </c>
      <c r="I212" s="211">
        <f>IF(ISNUMBER(I211),IF(ABS(I209-I211)&lt;=3.01,0,ROUND(I209-I211,0)),"n/p")</f>
        <v>0</v>
      </c>
      <c r="J212" s="211">
        <f>IF(ISNUMBER(J211),IF(ABS(J209-J211)&lt;=3.01,0,ROUND(J209-J211,0)),"n/p")</f>
        <v>0</v>
      </c>
      <c r="K212" s="211">
        <f>IF(ISNUMBER(K211),IF(ABS(K209-K211)&lt;=3.01,0,ROUND(K209-K211,0)),"n/p")</f>
        <v>0</v>
      </c>
      <c r="L212" s="211">
        <f>IF(ISNUMBER(L211),IF(ABS(L209-L211)&lt;=3.01,0,ROUND(L209-L211,0)),"n/p")</f>
        <v>0</v>
      </c>
      <c r="M212" s="211">
        <f>IF(ISNUMBER(M211),IF(ABS(M209-M211)&lt;=3.01,0,ROUND(M209-M211,0)),"n/p")</f>
        <v>0</v>
      </c>
      <c r="N212" s="211">
        <f>IF(ISNUMBER(N211),IF(ABS(N209-N211)&lt;=3.01,0,ROUND(N209-N211,0)),"n/p")</f>
        <v>0</v>
      </c>
      <c r="O212" s="211">
        <f>IF(ISNUMBER(O211),IF(ABS(O209-O211)&lt;=3.01,0,ROUND(O209-O211,0)),"n/p")</f>
        <v>0</v>
      </c>
      <c r="P212" s="211">
        <f>IF(ISNUMBER(P211),IF(ABS(P209-P211)&lt;=3.01,0,ROUND(P209-P211,0)),"n/p")</f>
        <v>0</v>
      </c>
      <c r="Q212" s="211">
        <f>IF(ISNUMBER(Q211),IF(ABS(Q209-Q211)&lt;=3.01,0,ROUND(Q209-Q211,0)),"n/p")</f>
        <v>0</v>
      </c>
      <c r="R212" s="211">
        <f>IF(ISNUMBER(R211),IF(ABS(R209-R211)&lt;=3.01,0,ROUND(R209-R211,0)),"n/p")</f>
        <v>0</v>
      </c>
      <c r="S212" s="211">
        <f>IF(ISNUMBER(S211),IF(ABS(S209-S211)&lt;=3.01,0,ROUND(S209-S211,0)),"n/p")</f>
        <v>0</v>
      </c>
      <c r="T212" s="211">
        <f>IF(ISNUMBER(T211),IF(ABS(T209-T211)&lt;=3.01,0,ROUND(T209-T211,0)),"n/p")</f>
        <v>0</v>
      </c>
      <c r="U212" s="153" t="n"/>
      <c r="V212" s="153" t="n"/>
      <c r="W212" s="153" t="n"/>
      <c r="X212" s="153" t="n"/>
      <c r="Y212" s="153" t="n"/>
      <c r="Z212" s="153" t="n"/>
      <c r="AA212" s="153" t="n"/>
      <c r="AB212" s="153" t="n"/>
      <c r="AC212" s="153" t="n"/>
    </row>
    <row r="213" ht="15" customHeight="1" s="251">
      <c r="B213" s="158" t="inlineStr">
        <is>
          <t xml:space="preserve">  Definition / basis (company operating-profit definition in force)</t>
        </is>
      </c>
      <c r="C213" s="284" t="inlineStr">
        <is>
          <t>FY2022: operating profit not published on the GE Aerospace basis (segment build only: segment profit + adjusted Corporate &amp; Other costs, FY2024 10-K)</t>
        </is>
      </c>
      <c r="D213" s="284" t="inlineStr">
        <is>
          <t>2023: GE Aerospace operating profit as re-presented in the 2024 releases (GE Vernova in discontinued operations); Q1-23 = H1-23 − Q2-23</t>
        </is>
      </c>
      <c r="I213" s="284" t="inlineStr">
        <is>
          <t>Q1-24: from the Q1-25 release (the Q1-24 release reported GE consolidated incl. GE Vernova)</t>
        </is>
      </c>
      <c r="J213" s="284" t="inlineStr">
        <is>
          <t>Q2-24+: operating profit = adjusted revenue − adjusted costs + adjusted other income (excl. insurance, U.S. tax equity, interest, non-operating benefit, restructuring, separation, gains, impairments, NCI)</t>
        </is>
      </c>
      <c r="S213" s="284" t="inlineStr">
        <is>
          <t>Q1-26: Jan-2026 segment recast (Aeroderivative CES → DPT; T&amp;O site revenue / cost to segments) — total operating profit unchanged</t>
        </is>
      </c>
      <c r="U213" s="153" t="n"/>
      <c r="V213" s="153" t="n"/>
      <c r="W213" s="153" t="n"/>
      <c r="X213" s="153" t="n"/>
      <c r="Y213" s="153" t="n"/>
      <c r="Z213" s="153" t="n"/>
      <c r="AA213" s="153" t="n"/>
      <c r="AB213" s="153" t="n"/>
      <c r="AC213" s="19" t="inlineStr">
        <is>
          <t>Basis changes are flagged in the column where they take effect (cell comment gives the detail).</t>
        </is>
      </c>
    </row>
    <row r="214" ht="15" customHeight="1" s="251">
      <c r="B214" s="22" t="inlineStr">
        <is>
          <t xml:space="preserve">  Operating profit y/y %</t>
        </is>
      </c>
      <c r="C214" s="23" t="n"/>
      <c r="D214" s="23" t="n"/>
      <c r="E214" s="23" t="n"/>
      <c r="F214" s="23" t="n"/>
      <c r="G214" s="23" t="n"/>
      <c r="H214" s="255">
        <f>IF(AND(ISNUMBER(H209),ISNUMBER(C209)),IFERROR(H209/C209-1,""),"")</f>
      </c>
      <c r="I214" s="255">
        <f>IF(AND(ISNUMBER(I209),ISNUMBER(D209)),IFERROR(I209/D209-1,""),"")</f>
        <v>0.245980707395499</v>
      </c>
      <c r="J214" s="255">
        <f>IF(AND(ISNUMBER(J209),ISNUMBER(E209)),IFERROR(J209/E209-1,""),"")</f>
        <v>0.367700072098053</v>
      </c>
      <c r="K214" s="255">
        <f>IF(AND(ISNUMBER(K209),ISNUMBER(F209)),IFERROR(K209/F209-1,""),"")</f>
        <v>0.141870684243566</v>
      </c>
      <c r="L214" s="255">
        <f>IF(AND(ISNUMBER(L209),ISNUMBER(G209)),IFERROR(L209/G209-1,""),"")</f>
        <v>0.491372843210803</v>
      </c>
      <c r="M214" s="255">
        <f>IF(AND(ISNUMBER(M209),ISNUMBER(H209)),IFERROR(M209/H209-1,""),"")</f>
        <v>0.304910955207771</v>
      </c>
      <c r="N214" s="255">
        <f>IF(AND(ISNUMBER(N209),ISNUMBER(I209)),IFERROR(N209/I209-1,""),"")</f>
        <v>0.383870967741935</v>
      </c>
      <c r="O214" s="255">
        <f>IF(AND(ISNUMBER(O209),ISNUMBER(J209)),IFERROR(O209/J209-1,""),"")</f>
        <v>0.232472324723247</v>
      </c>
      <c r="P214" s="255">
        <f>IF(AND(ISNUMBER(P209),ISNUMBER(K209)),IFERROR(P209/K209-1,""),"")</f>
        <v>0.264980758658604</v>
      </c>
      <c r="Q214" s="255">
        <f>IF(AND(ISNUMBER(Q209),ISNUMBER(L209)),IFERROR(Q209/L209-1,""),"")</f>
        <v>0.143360160965795</v>
      </c>
      <c r="R214" s="255">
        <f>IF(AND(ISNUMBER(R209),ISNUMBER(M209)),IFERROR(R209/M209-1,""),"")</f>
        <v>0.248414667769507</v>
      </c>
      <c r="S214" s="255">
        <f>IF(AND(ISNUMBER(S209),ISNUMBER(N209)),IFERROR(S209/N209-1,""),"")</f>
        <v>0.179020979020979</v>
      </c>
      <c r="T214" s="255">
        <f>IF(AND(ISNUMBER(T209),ISNUMBER(O209)),IFERROR(T209/O209-1,""),"")</f>
        <v>0.175363558597092</v>
      </c>
      <c r="U214" s="256">
        <f>IF(AND(ISNUMBER(U209),ISNUMBER(P209)),IFERROR(U209/P209-1,""),"")</f>
        <v>0.131531067249591</v>
      </c>
      <c r="V214" s="256">
        <f>IF(AND(ISNUMBER(V209),ISNUMBER(Q209)),IFERROR(V209/Q209-1,""),"")</f>
        <v>0.219246376708619</v>
      </c>
      <c r="W214" s="256">
        <f>IF(AND(ISNUMBER(W209),ISNUMBER(R209)),IFERROR(W209/R209-1,""),"")</f>
        <v>0.176236749116608</v>
      </c>
      <c r="X214" s="256">
        <f>IF(AND(ISNUMBER(X209),ISNUMBER(W209)),IFERROR(X209/W209-1,""),"")</f>
        <v>0.150758180668408</v>
      </c>
      <c r="Y214" s="256">
        <f>IF(AND(ISNUMBER(Y209),ISNUMBER(X209)),IFERROR(Y209/X209-1,""),"")</f>
        <v>0.13362374837024</v>
      </c>
      <c r="Z214" s="256">
        <f>IF(AND(ISNUMBER(Z209),ISNUMBER(Y209)),IFERROR(Z209/Y209-1,""),"")</f>
        <v>0.112244102440156</v>
      </c>
      <c r="AA214" s="256">
        <f>IF(AND(ISNUMBER(AA209),ISNUMBER(Z209)),IFERROR(AA209/Z209-1,""),"")</f>
        <v>0.100981210787918</v>
      </c>
      <c r="AB214" s="256">
        <f>IF(AND(ISNUMBER(AB209),ISNUMBER(AA209)),IFERROR(AB209/AA209-1,""),"")</f>
        <v>0.0800132365389907</v>
      </c>
      <c r="AC214" s="153" t="n"/>
    </row>
    <row r="215" ht="15" customHeight="1" s="251">
      <c r="B215" s="25" t="inlineStr">
        <is>
          <t xml:space="preserve">  Incremental operating margin (Δ operating profit / Δ adjusted revenue)</t>
        </is>
      </c>
      <c r="C215" s="36" t="n"/>
      <c r="D215" s="36" t="n"/>
      <c r="E215" s="36" t="n"/>
      <c r="F215" s="36" t="n"/>
      <c r="G215" s="36" t="n"/>
      <c r="H215" s="215">
        <f>IFERROR((H209-C209)/(H105-C105),"")</f>
      </c>
      <c r="I215" s="215">
        <f>IFERROR((I209-D209)/(I105-D105),"")</f>
        <v>0.296799224054316</v>
      </c>
      <c r="J215" s="215">
        <f>IFERROR((J209-E209)/(J105-E105),"")</f>
        <v>1.61392405063291</v>
      </c>
      <c r="K215" s="215">
        <f>IFERROR((K209-F209)/(K105-F105),"")</f>
        <v>0.467908902691511</v>
      </c>
      <c r="L215" s="215">
        <f>IFERROR((L209-G209)/(L105-G105),"")</f>
        <v>0.491741741741742</v>
      </c>
      <c r="M215" s="215">
        <f>IFERROR((M209-H209)/(M105-H105),"")</f>
        <v>0.536222714330908</v>
      </c>
      <c r="N215" s="215">
        <f>IFERROR((N209-I209)/(N105-I105),"")</f>
        <v>0.643939393939394</v>
      </c>
      <c r="O215" s="215">
        <f>IFERROR((O209-J209)/(O105-J105),"")</f>
        <v>0.228734439834025</v>
      </c>
      <c r="P215" s="215">
        <f>IFERROR((P209-K209)/(P105-K105),"")</f>
        <v>0.204150783566285</v>
      </c>
      <c r="Q215" s="215">
        <f>IFERROR((Q209-L209)/(Q105-L105),"")</f>
        <v>0.143504531722054</v>
      </c>
      <c r="R215" s="215">
        <f>IFERROR((R209-M209)/(R105-M105),"")</f>
        <v>0.250208275479034</v>
      </c>
      <c r="S215" s="215">
        <f>IFERROR((S209-N209)/(S105-N105),"")</f>
        <v>0.1469013006886</v>
      </c>
      <c r="T215" s="215">
        <f>IFERROR((T209-O209)/(T105-O105),"")</f>
        <v>0.165122835279903</v>
      </c>
      <c r="U215" s="256">
        <f>IFERROR((U209-P209)/(U105-P105),"")</f>
        <v>0.24553344239861</v>
      </c>
      <c r="V215" s="256">
        <f>IFERROR((V209-Q209)/(V105-Q105),"")</f>
        <v>0.386218054597213</v>
      </c>
      <c r="W215" s="256">
        <f>IFERROR((W209-R209)/(W105-R105),"")</f>
        <v>0.209504906825449</v>
      </c>
      <c r="X215" s="256">
        <f>IFERROR((X209-W209)/(X105-W105),"")</f>
        <v>0.250699591724421</v>
      </c>
      <c r="Y215" s="256">
        <f>IFERROR((Y209-X209)/(Y105-X105),"")</f>
        <v>0.242851174857253</v>
      </c>
      <c r="Z215" s="256">
        <f>IFERROR((Z209-Y209)/(Z105-Y105),"")</f>
        <v>0.3018225384882</v>
      </c>
      <c r="AA215" s="256">
        <f>IFERROR((AA209-Z209)/(AA105-Z105),"")</f>
        <v>0.309865422150444</v>
      </c>
      <c r="AB215" s="256">
        <f>IFERROR((AB209-AA209)/(AB105-AA105),"")</f>
        <v>0.290188132858228</v>
      </c>
      <c r="AC215" s="153" t="n"/>
    </row>
    <row r="216" ht="15" customHeight="1" s="251">
      <c r="AK216" s="11" t="n"/>
      <c r="AL216" s="12" t="n"/>
      <c r="AM216" s="12" t="n"/>
      <c r="AN216" s="12" t="n"/>
      <c r="AO216" s="13" t="n"/>
    </row>
    <row r="217" ht="15" customHeight="1" s="251">
      <c r="B217" s="10" t="inlineStr">
        <is>
          <t>RECONCILIATION: NET INCOME → EBITDA → ADJUSTED EBITDA (model definition — GE Aerospace publishes no EBITDA)</t>
        </is>
      </c>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inlineStr">
        <is>
          <t>EBITDA — net income from continuing operations + tax + interest + D&amp;A = EBITDA; + operating-profit adjustments = adjusted EBITDA (= operating profit + D&amp;A)</t>
        </is>
      </c>
    </row>
    <row r="218" ht="15" customHeight="1" s="251">
      <c r="B218" s="16" t="inlineStr">
        <is>
          <t>Net income from continuing operations (GAAP)</t>
        </is>
      </c>
      <c r="C218" s="260">
        <f>C178</f>
        <v>1353</v>
      </c>
      <c r="D218" s="260">
        <f>D178</f>
        <v>6709</v>
      </c>
      <c r="E218" s="260">
        <f>E178</f>
        <v>1256</v>
      </c>
      <c r="F218" s="260">
        <f>F178</f>
        <v>307</v>
      </c>
      <c r="G218" s="260">
        <f>G178</f>
        <v>1175</v>
      </c>
      <c r="H218" s="260">
        <f>H178</f>
        <v>9447</v>
      </c>
      <c r="I218" s="260">
        <f>I178</f>
        <v>1744</v>
      </c>
      <c r="J218" s="260">
        <f>J178</f>
        <v>1322</v>
      </c>
      <c r="K218" s="260">
        <f>K178</f>
        <v>1695</v>
      </c>
      <c r="L218" s="260">
        <f>L178</f>
        <v>1899</v>
      </c>
      <c r="M218" s="260">
        <f>M178</f>
        <v>6658</v>
      </c>
      <c r="N218" s="260">
        <f>N178</f>
        <v>1962</v>
      </c>
      <c r="O218" s="260">
        <f>O178</f>
        <v>2001</v>
      </c>
      <c r="P218" s="260">
        <f>P178</f>
        <v>2171</v>
      </c>
      <c r="Q218" s="260">
        <f>Q178</f>
        <v>2461</v>
      </c>
      <c r="R218" s="260">
        <f>R178</f>
        <v>8595</v>
      </c>
      <c r="S218" s="260">
        <f>S178</f>
        <v>1946</v>
      </c>
      <c r="T218" s="260">
        <f>T178</f>
        <v>2395</v>
      </c>
      <c r="U218" s="261">
        <f>U178</f>
        <v>2200.21024309399</v>
      </c>
      <c r="V218" s="261">
        <f>V178</f>
        <v>2340.23475690601</v>
      </c>
      <c r="W218" s="261">
        <f>W178</f>
        <v>8881.445</v>
      </c>
      <c r="X218" s="261">
        <f>X178</f>
        <v>10406.1080618489</v>
      </c>
      <c r="Y218" s="261">
        <f>Y178</f>
        <v>11472.148364986</v>
      </c>
      <c r="Z218" s="261">
        <f>Z178</f>
        <v>12833.7907545668</v>
      </c>
      <c r="AA218" s="261">
        <f>AA178</f>
        <v>14016.689588548</v>
      </c>
      <c r="AB218" s="261">
        <f>AB178</f>
        <v>15054.7085213336</v>
      </c>
      <c r="AC218" s="153" t="n"/>
    </row>
    <row r="219" ht="15" customHeight="1" s="251">
      <c r="B219" s="25" t="inlineStr">
        <is>
          <t xml:space="preserve">  (+) Income taxes</t>
        </is>
      </c>
      <c r="C219" s="211">
        <f>C176</f>
        <v>169</v>
      </c>
      <c r="D219" s="211">
        <f>D176</f>
        <v>214</v>
      </c>
      <c r="E219" s="211">
        <f>E176</f>
        <v>253</v>
      </c>
      <c r="F219" s="211">
        <f>F176</f>
        <v>26</v>
      </c>
      <c r="G219" s="211">
        <f>G176</f>
        <v>501</v>
      </c>
      <c r="H219" s="211">
        <f>H176</f>
        <v>994</v>
      </c>
      <c r="I219" s="211">
        <f>I176</f>
        <v>244</v>
      </c>
      <c r="J219" s="211">
        <f>J176</f>
        <v>125</v>
      </c>
      <c r="K219" s="211">
        <f>K176</f>
        <v>198</v>
      </c>
      <c r="L219" s="211">
        <f>L176</f>
        <v>395</v>
      </c>
      <c r="M219" s="211">
        <f>M176</f>
        <v>962</v>
      </c>
      <c r="N219" s="211">
        <f>N176</f>
        <v>283</v>
      </c>
      <c r="O219" s="211">
        <f>O176</f>
        <v>388</v>
      </c>
      <c r="P219" s="211">
        <f>P176</f>
        <v>344</v>
      </c>
      <c r="Q219" s="211">
        <f>Q176</f>
        <v>390</v>
      </c>
      <c r="R219" s="211">
        <f>R176</f>
        <v>1405</v>
      </c>
      <c r="S219" s="211">
        <f>S176</f>
        <v>252</v>
      </c>
      <c r="T219" s="211">
        <f>T176</f>
        <v>407</v>
      </c>
      <c r="U219" s="254">
        <f>U176</f>
        <v>366.442742647316</v>
      </c>
      <c r="V219" s="254">
        <f>V176</f>
        <v>394.112257352684</v>
      </c>
      <c r="W219" s="254">
        <f>W176</f>
        <v>1419.555</v>
      </c>
      <c r="X219" s="254">
        <f>X176</f>
        <v>1859.42995965579</v>
      </c>
      <c r="Y219" s="254">
        <f>Y176</f>
        <v>2071.07116044292</v>
      </c>
      <c r="Z219" s="254">
        <f>Z176</f>
        <v>2355.33319778645</v>
      </c>
      <c r="AA219" s="254">
        <f>AA176</f>
        <v>2595.783002606</v>
      </c>
      <c r="AB219" s="254">
        <f>AB176</f>
        <v>2806.5846155099</v>
      </c>
      <c r="AC219" s="19" t="n"/>
    </row>
    <row r="220" ht="15" customHeight="1" s="251">
      <c r="B220" s="25" t="inlineStr">
        <is>
          <t xml:space="preserve">  (+) Interest and other financial charges</t>
        </is>
      </c>
      <c r="C220" s="211">
        <f>C167</f>
        <v>1339</v>
      </c>
      <c r="D220" s="211">
        <f>D167</f>
        <v>248</v>
      </c>
      <c r="E220" s="211">
        <f>E167</f>
        <v>249</v>
      </c>
      <c r="F220" s="211">
        <f>F167</f>
        <v>270</v>
      </c>
      <c r="G220" s="211">
        <f>G167</f>
        <v>262</v>
      </c>
      <c r="H220" s="211">
        <f>H167</f>
        <v>1029</v>
      </c>
      <c r="I220" s="211">
        <f>I167</f>
        <v>263</v>
      </c>
      <c r="J220" s="211">
        <f>J167</f>
        <v>248</v>
      </c>
      <c r="K220" s="211">
        <f>K167</f>
        <v>251</v>
      </c>
      <c r="L220" s="211">
        <f>L167</f>
        <v>224</v>
      </c>
      <c r="M220" s="211">
        <f>M167</f>
        <v>986</v>
      </c>
      <c r="N220" s="211">
        <f>N167</f>
        <v>210</v>
      </c>
      <c r="O220" s="211">
        <f>O167</f>
        <v>158</v>
      </c>
      <c r="P220" s="211">
        <f>P167</f>
        <v>225</v>
      </c>
      <c r="Q220" s="211">
        <f>Q167</f>
        <v>250</v>
      </c>
      <c r="R220" s="211">
        <f>R167</f>
        <v>843</v>
      </c>
      <c r="S220" s="211">
        <f>S167</f>
        <v>230</v>
      </c>
      <c r="T220" s="211">
        <f>T167</f>
        <v>215</v>
      </c>
      <c r="U220" s="254">
        <f>U167</f>
        <v>222</v>
      </c>
      <c r="V220" s="254">
        <f>V167</f>
        <v>222</v>
      </c>
      <c r="W220" s="254">
        <f>W167</f>
        <v>889</v>
      </c>
      <c r="X220" s="254">
        <f>X167</f>
        <v>879.550518975225</v>
      </c>
      <c r="Y220" s="254">
        <f>Y167</f>
        <v>1100.696</v>
      </c>
      <c r="Z220" s="254">
        <f>Z167</f>
        <v>1125.97247939506</v>
      </c>
      <c r="AA220" s="254">
        <f>AA167</f>
        <v>1225.35672044224</v>
      </c>
      <c r="AB220" s="254">
        <f>AB167</f>
        <v>1300.61543530404</v>
      </c>
      <c r="AC220" s="19" t="n"/>
    </row>
    <row r="221" ht="15" customHeight="1" s="251">
      <c r="B221" s="25" t="inlineStr">
        <is>
          <t xml:space="preserve">  (+) Depreciation &amp; amortization</t>
        </is>
      </c>
      <c r="C221" s="211">
        <f>C132</f>
        <v>1184</v>
      </c>
      <c r="D221" s="211">
        <f>D132</f>
      </c>
      <c r="E221" s="211">
        <f>E132</f>
      </c>
      <c r="F221" s="211">
        <f>F132</f>
        <v>292</v>
      </c>
      <c r="G221" s="211">
        <f>G132</f>
        <v>309</v>
      </c>
      <c r="H221" s="211">
        <f>H132</f>
        <v>1179</v>
      </c>
      <c r="I221" s="211">
        <f>I132</f>
        <v>290</v>
      </c>
      <c r="J221" s="211">
        <f>J132</f>
        <v>283</v>
      </c>
      <c r="K221" s="211">
        <f>K132</f>
        <v>313</v>
      </c>
      <c r="L221" s="211">
        <f>L132</f>
        <v>298</v>
      </c>
      <c r="M221" s="211">
        <f>M132</f>
        <v>1184</v>
      </c>
      <c r="N221" s="211">
        <f>N132</f>
        <v>299</v>
      </c>
      <c r="O221" s="211">
        <f>O132</f>
        <v>311</v>
      </c>
      <c r="P221" s="211">
        <f>P132</f>
        <v>303</v>
      </c>
      <c r="Q221" s="211">
        <f>Q132</f>
        <v>307</v>
      </c>
      <c r="R221" s="211">
        <f>R132</f>
        <v>1220</v>
      </c>
      <c r="S221" s="211">
        <f>S132</f>
        <v>312</v>
      </c>
      <c r="T221" s="211">
        <f>T132</f>
        <v>313</v>
      </c>
      <c r="U221" s="254">
        <f>U132</f>
        <v>315</v>
      </c>
      <c r="V221" s="254">
        <f>V132</f>
        <v>315</v>
      </c>
      <c r="W221" s="254">
        <f>W132</f>
        <v>1255</v>
      </c>
      <c r="X221" s="254">
        <f>X132</f>
        <v>1520.10691527739</v>
      </c>
      <c r="Y221" s="254">
        <f>Y132</f>
        <v>1937.8800446835</v>
      </c>
      <c r="Z221" s="254">
        <f>Z132</f>
        <v>2069.53939190587</v>
      </c>
      <c r="AA221" s="254">
        <f>AA132</f>
        <v>2181.23580346083</v>
      </c>
      <c r="AB221" s="254">
        <f>AB132</f>
        <v>2281.12577877105</v>
      </c>
      <c r="AC221" s="19" t="n"/>
    </row>
    <row r="222" collapsed="1" ht="15" customHeight="1" s="251">
      <c r="B222" s="55" t="inlineStr">
        <is>
          <t xml:space="preserve">  = EBITDA (model)</t>
        </is>
      </c>
      <c r="C222" s="273">
        <f>IF(AND(ISNUMBER(C218),ISNUMBER(C221)),C218+C219+C220+C221,"")</f>
        <v>4045</v>
      </c>
      <c r="D222" s="273">
        <f>IF(AND(ISNUMBER(D218),ISNUMBER(D221)),D218+D219+D220+D221,"")</f>
      </c>
      <c r="E222" s="273">
        <f>IF(AND(ISNUMBER(E218),ISNUMBER(E221)),E218+E219+E220+E221,"")</f>
      </c>
      <c r="F222" s="273">
        <f>IF(AND(ISNUMBER(F218),ISNUMBER(F221)),F218+F219+F220+F221,"")</f>
        <v>895</v>
      </c>
      <c r="G222" s="273">
        <f>IF(AND(ISNUMBER(G218),ISNUMBER(G221)),G218+G219+G220+G221,"")</f>
        <v>2247</v>
      </c>
      <c r="H222" s="273">
        <f>IF(AND(ISNUMBER(H218),ISNUMBER(H221)),H218+H219+H220+H221,"")</f>
        <v>12649</v>
      </c>
      <c r="I222" s="273">
        <f>IF(AND(ISNUMBER(I218),ISNUMBER(I221)),I218+I219+I220+I221,"")</f>
        <v>2541</v>
      </c>
      <c r="J222" s="273">
        <f>IF(AND(ISNUMBER(J218),ISNUMBER(J221)),J218+J219+J220+J221,"")</f>
        <v>1978</v>
      </c>
      <c r="K222" s="273">
        <f>IF(AND(ISNUMBER(K218),ISNUMBER(K221)),K218+K219+K220+K221,"")</f>
        <v>2457</v>
      </c>
      <c r="L222" s="273">
        <f>IF(AND(ISNUMBER(L218),ISNUMBER(L221)),L218+L219+L220+L221,"")</f>
        <v>2816</v>
      </c>
      <c r="M222" s="273">
        <f>IF(AND(ISNUMBER(M218),ISNUMBER(M221)),M218+M219+M220+M221,"")</f>
        <v>9790</v>
      </c>
      <c r="N222" s="273">
        <f>IF(AND(ISNUMBER(N218),ISNUMBER(N221)),N218+N219+N220+N221,"")</f>
        <v>2754</v>
      </c>
      <c r="O222" s="273">
        <f>IF(AND(ISNUMBER(O218),ISNUMBER(O221)),O218+O219+O220+O221,"")</f>
        <v>2858</v>
      </c>
      <c r="P222" s="273">
        <f>IF(AND(ISNUMBER(P218),ISNUMBER(P221)),P218+P219+P220+P221,"")</f>
        <v>3043</v>
      </c>
      <c r="Q222" s="273">
        <f>IF(AND(ISNUMBER(Q218),ISNUMBER(Q221)),Q218+Q219+Q220+Q221,"")</f>
        <v>3408</v>
      </c>
      <c r="R222" s="273">
        <f>IF(AND(ISNUMBER(R218),ISNUMBER(R221)),R218+R219+R220+R221,"")</f>
        <v>12063</v>
      </c>
      <c r="S222" s="273">
        <f>IF(AND(ISNUMBER(S218),ISNUMBER(S221)),S218+S219+S220+S221,"")</f>
        <v>2740</v>
      </c>
      <c r="T222" s="273">
        <f>IF(AND(ISNUMBER(T218),ISNUMBER(T221)),T218+T219+T220+T221,"")</f>
        <v>3330</v>
      </c>
      <c r="U222" s="273">
        <f>IF(AND(ISNUMBER(U218),ISNUMBER(U221)),U218+U219+U220+U221,"")</f>
        <v>3103.65298574131</v>
      </c>
      <c r="V222" s="273">
        <f>IF(AND(ISNUMBER(V218),ISNUMBER(V221)),V218+V219+V220+V221,"")</f>
        <v>3271.34701425869</v>
      </c>
      <c r="W222" s="273">
        <f>IF(AND(ISNUMBER(W218),ISNUMBER(W221)),W218+W219+W220+W221,"")</f>
        <v>12445</v>
      </c>
      <c r="X222" s="273">
        <f>IF(AND(ISNUMBER(X218),ISNUMBER(X221)),X218+X219+X220+X221,"")</f>
        <v>14665.1954557573</v>
      </c>
      <c r="Y222" s="273">
        <f>IF(AND(ISNUMBER(Y218),ISNUMBER(Y221)),Y218+Y219+Y220+Y221,"")</f>
        <v>16581.7955701124</v>
      </c>
      <c r="Z222" s="273">
        <f>IF(AND(ISNUMBER(Z218),ISNUMBER(Z221)),Z218+Z219+Z220+Z221,"")</f>
        <v>18384.6358236541</v>
      </c>
      <c r="AA222" s="273">
        <f>IF(AND(ISNUMBER(AA218),ISNUMBER(AA221)),AA218+AA219+AA220+AA221,"")</f>
        <v>20019.0651150571</v>
      </c>
      <c r="AB222" s="273">
        <f>IF(AND(ISNUMBER(AB218),ISNUMBER(AB221)),AB218+AB219+AB220+AB221,"")</f>
        <v>21443.0343509185</v>
      </c>
      <c r="AC222" s="153" t="n"/>
      <c r="AE222" s="20">
        <f>IFERROR((AB222/W222)^(1/5)-1,"n/m")</f>
        <v>0.114957384035947</v>
      </c>
      <c r="AF222" s="20">
        <f>IFERROR((R222/C222)^(1/3)-1,"n/m")</f>
        <v>0.439391500751017</v>
      </c>
      <c r="AG222" s="20">
        <f>IFERROR((R222/H222)^(1/2)-1,"n/m")</f>
        <v>-0.0234385697491826</v>
      </c>
      <c r="AH222" s="20">
        <f>IFERROR(W222/R222-1,"n/m")</f>
        <v>0.0316670811572577</v>
      </c>
    </row>
    <row r="223" ht="15" customHeight="1" s="251">
      <c r="B223" s="25" t="inlineStr">
        <is>
          <t xml:space="preserve">  (+) Operating-profit adjustments (insurance, tax equity, non-operating benefit, restructuring, separation, impairments, gains, NCI)</t>
        </is>
      </c>
      <c r="C223" s="211">
        <f>IF(ISNUMBER(C209),C209-C199-C202,"")</f>
      </c>
      <c r="D223" s="211">
        <f>IF(ISNUMBER(D209),D209-D199-D202,"")</f>
        <v>-5927</v>
      </c>
      <c r="E223" s="211">
        <f>IF(ISNUMBER(E209),E209-E199-E202,"")</f>
        <v>-371</v>
      </c>
      <c r="F223" s="211">
        <f>IF(ISNUMBER(F209),F209-F199-F202,"")</f>
        <v>990</v>
      </c>
      <c r="G223" s="211">
        <f>IF(ISNUMBER(G209),G209-G199-G202,"")</f>
        <v>-605</v>
      </c>
      <c r="H223" s="211">
        <f>IF(ISNUMBER(H209),H209-H199-H202,"")</f>
        <v>-5911</v>
      </c>
      <c r="I223" s="211">
        <f>IF(ISNUMBER(I209),I209-I199-I202,"")</f>
        <v>-701</v>
      </c>
      <c r="J223" s="211">
        <f>IF(ISNUMBER(J209),J209-J199-J202,"")</f>
        <v>202</v>
      </c>
      <c r="K223" s="211">
        <f>IF(ISNUMBER(K209),K209-K199-K202,"")</f>
        <v>-325</v>
      </c>
      <c r="L223" s="211">
        <f>IF(ISNUMBER(L209),L209-L199-L202,"")</f>
        <v>-530</v>
      </c>
      <c r="M223" s="211">
        <f>IF(ISNUMBER(M209),M209-M199-M202,"")</f>
        <v>-1352</v>
      </c>
      <c r="N223" s="211">
        <f>IF(ISNUMBER(N209),N209-N199-N202,"")</f>
        <v>-310</v>
      </c>
      <c r="O223" s="211">
        <f>IF(ISNUMBER(O209),O209-O199-O202,"")</f>
        <v>-209</v>
      </c>
      <c r="P223" s="211">
        <f>IF(ISNUMBER(P209),P209-P199-P202,"")</f>
        <v>-439</v>
      </c>
      <c r="Q223" s="211">
        <f>IF(ISNUMBER(Q209),Q209-Q199-Q202,"")</f>
        <v>-828</v>
      </c>
      <c r="R223" s="211">
        <f>IF(ISNUMBER(R209),R209-R199-R202,"")</f>
        <v>-1787</v>
      </c>
      <c r="S223" s="211">
        <f>IF(ISNUMBER(S209),S209-S199-S202,"")</f>
        <v>101</v>
      </c>
      <c r="T223" s="211">
        <f>IF(ISNUMBER(T209),T209-T199-T202,"")</f>
        <v>-269</v>
      </c>
      <c r="U223" s="254">
        <f>IF(ISNUMBER(U209),U209-U199-U202,"")</f>
        <v>-185</v>
      </c>
      <c r="V223" s="254">
        <f>IF(ISNUMBER(V209),V209-V199-V202,"")</f>
        <v>-185</v>
      </c>
      <c r="W223" s="254">
        <f>IF(ISNUMBER(W209),W209-W199-W202,"")</f>
        <v>-538</v>
      </c>
      <c r="X223" s="254">
        <f>IF(ISNUMBER(X209),X209-X199-X202,"")</f>
        <v>-887.212399999999</v>
      </c>
      <c r="Y223" s="254">
        <f>IF(ISNUMBER(Y209),Y209-Y199-Y202,"")</f>
        <v>-748.096028</v>
      </c>
      <c r="Z223" s="254">
        <f>IF(ISNUMBER(Z209),Z209-Z199-Z202,"")</f>
        <v>-859.553147160001</v>
      </c>
      <c r="AA223" s="254">
        <f>IF(ISNUMBER(AA209),AA209-AA199-AA202,"")</f>
        <v>-821.566552745201</v>
      </c>
      <c r="AB223" s="254">
        <f>IF(ISNUMBER(AB209),AB209-AB199-AB202,"")</f>
        <v>-784.119556162844</v>
      </c>
      <c r="AC223" s="19" t="n"/>
    </row>
    <row r="224" ht="15" customHeight="1" s="251">
      <c r="B224" s="55" t="inlineStr">
        <is>
          <t xml:space="preserve">  = Adjusted EBITDA (model: operating profit + D&amp;A)</t>
        </is>
      </c>
      <c r="C224" s="273">
        <f>IF(AND(ISNUMBER(C222),ISNUMBER(C223)),C222+C223,"")</f>
      </c>
      <c r="D224" s="273">
        <f>IF(AND(ISNUMBER(D222),ISNUMBER(D223)),D222+D223,"")</f>
      </c>
      <c r="E224" s="273">
        <f>IF(AND(ISNUMBER(E222),ISNUMBER(E223)),E222+E223,"")</f>
      </c>
      <c r="F224" s="273">
        <f>IF(AND(ISNUMBER(F222),ISNUMBER(F223)),F222+F223,"")</f>
        <v>1885</v>
      </c>
      <c r="G224" s="273">
        <f>IF(AND(ISNUMBER(G222),ISNUMBER(G223)),G222+G223,"")</f>
        <v>1642</v>
      </c>
      <c r="H224" s="273">
        <f>IF(AND(ISNUMBER(H222),ISNUMBER(H223)),H222+H223,"")</f>
        <v>6738</v>
      </c>
      <c r="I224" s="273">
        <f>IF(AND(ISNUMBER(I222),ISNUMBER(I223)),I222+I223,"")</f>
        <v>1840</v>
      </c>
      <c r="J224" s="273">
        <f>IF(AND(ISNUMBER(J222),ISNUMBER(J223)),J222+J223,"")</f>
        <v>2180</v>
      </c>
      <c r="K224" s="273">
        <f>IF(AND(ISNUMBER(K222),ISNUMBER(K223)),K222+K223,"")</f>
        <v>2132</v>
      </c>
      <c r="L224" s="273">
        <f>IF(AND(ISNUMBER(L222),ISNUMBER(L223)),L222+L223,"")</f>
        <v>2286</v>
      </c>
      <c r="M224" s="273">
        <f>IF(AND(ISNUMBER(M222),ISNUMBER(M223)),M222+M223,"")</f>
        <v>8438</v>
      </c>
      <c r="N224" s="273">
        <f>IF(AND(ISNUMBER(N222),ISNUMBER(N223)),N222+N223,"")</f>
        <v>2444</v>
      </c>
      <c r="O224" s="273">
        <f>IF(AND(ISNUMBER(O222),ISNUMBER(O223)),O222+O223,"")</f>
        <v>2649</v>
      </c>
      <c r="P224" s="273">
        <f>IF(AND(ISNUMBER(P222),ISNUMBER(P223)),P222+P223,"")</f>
        <v>2604</v>
      </c>
      <c r="Q224" s="273">
        <f>IF(AND(ISNUMBER(Q222),ISNUMBER(Q223)),Q222+Q223,"")</f>
        <v>2580</v>
      </c>
      <c r="R224" s="273">
        <f>IF(AND(ISNUMBER(R222),ISNUMBER(R223)),R222+R223,"")</f>
        <v>10276</v>
      </c>
      <c r="S224" s="273">
        <f>IF(AND(ISNUMBER(S222),ISNUMBER(S223)),S222+S223,"")</f>
        <v>2841</v>
      </c>
      <c r="T224" s="273">
        <f>IF(AND(ISNUMBER(T222),ISNUMBER(T223)),T222+T223,"")</f>
        <v>3061</v>
      </c>
      <c r="U224" s="273">
        <f>IF(AND(ISNUMBER(U222),ISNUMBER(U223)),U222+U223,"")</f>
        <v>2918.65298574131</v>
      </c>
      <c r="V224" s="273">
        <f>IF(AND(ISNUMBER(V222),ISNUMBER(V223)),V222+V223,"")</f>
        <v>3086.34701425869</v>
      </c>
      <c r="W224" s="273">
        <f>IF(AND(ISNUMBER(W222),ISNUMBER(W223)),W222+W223,"")</f>
        <v>11907</v>
      </c>
      <c r="X224" s="273">
        <f>IF(AND(ISNUMBER(X222),ISNUMBER(X223)),X222+X223,"")</f>
        <v>13777.9830557573</v>
      </c>
      <c r="Y224" s="273">
        <f>IF(AND(ISNUMBER(Y222),ISNUMBER(Y223)),Y222+Y223,"")</f>
        <v>15833.6995421124</v>
      </c>
      <c r="Z224" s="273">
        <f>IF(AND(ISNUMBER(Z222),ISNUMBER(Z223)),Z222+Z223,"")</f>
        <v>17525.0826764941</v>
      </c>
      <c r="AA224" s="273">
        <f>IF(AND(ISNUMBER(AA222),ISNUMBER(AA223)),AA222+AA223,"")</f>
        <v>19197.4985623119</v>
      </c>
      <c r="AB224" s="273">
        <f>IF(AND(ISNUMBER(AB222),ISNUMBER(AB223)),AB222+AB223,"")</f>
        <v>20658.9147947557</v>
      </c>
      <c r="AC224" s="153" t="inlineStr">
        <is>
          <t>Model definition (operating profit, company definition, + depreciation &amp; amortization). Used for leverage and EV / EBITDA.</t>
        </is>
      </c>
      <c r="AE224" s="20">
        <f>IFERROR((AB224/W224)^(1/5)-1,"n/m")</f>
        <v>0.116505920028545</v>
      </c>
      <c r="AF224" s="20" t="str">
        <f>IFERROR((R224/C224)^(1/3)-1,"n/m")</f>
        <v>n/m</v>
      </c>
      <c r="AG224" s="20">
        <f>IFERROR((R224/H224)^(1/2)-1,"n/m")</f>
        <v>0.234941952723054</v>
      </c>
      <c r="AH224" s="20">
        <f>IFERROR(W224/R224-1,"n/m")</f>
        <v>0.158719346049046</v>
      </c>
    </row>
    <row r="225" ht="15" customHeight="1" s="251">
      <c r="B225" s="25" t="inlineStr">
        <is>
          <t xml:space="preserve">  Adjusted EBITDA margin % (of adjusted revenue)</t>
        </is>
      </c>
      <c r="C225" s="215">
        <f>IF(AND(ISNUMBER(C224),ISNUMBER(C105)),IFERROR(C224/C105,""),"")</f>
      </c>
      <c r="D225" s="215">
        <f>IF(AND(ISNUMBER(D224),ISNUMBER(D105)),IFERROR(D224/D105,""),"")</f>
      </c>
      <c r="E225" s="215">
        <f>IF(AND(ISNUMBER(E224),ISNUMBER(E105)),IFERROR(E224/E105,""),"")</f>
      </c>
      <c r="F225" s="215">
        <f>IF(AND(ISNUMBER(F224),ISNUMBER(F105)),IFERROR(F224/F105,""),"")</f>
        <v>0.222813238770686</v>
      </c>
      <c r="G225" s="215">
        <f>IF(AND(ISNUMBER(G224),ISNUMBER(G105)),IFERROR(G224/G105,""),"")</f>
        <v>0.192114192114192</v>
      </c>
      <c r="H225" s="215">
        <f>IF(AND(ISNUMBER(H224),ISNUMBER(H105)),IFERROR(H224/H105,""),"")</f>
        <v>0.210832629306299</v>
      </c>
      <c r="I225" s="215">
        <f>IF(AND(ISNUMBER(I224),ISNUMBER(I105)),IFERROR(I224/I105,""),"")</f>
        <v>0.227835562159485</v>
      </c>
      <c r="J225" s="215">
        <f>IF(AND(ISNUMBER(J224),ISNUMBER(J105)),IFERROR(J224/J105,""),"")</f>
        <v>0.265110057156755</v>
      </c>
      <c r="K225" s="215">
        <f>IF(AND(ISNUMBER(K224),ISNUMBER(K105)),IFERROR(K224/K105,""),"")</f>
        <v>0.23839874762384</v>
      </c>
      <c r="L225" s="215">
        <f>IF(AND(ISNUMBER(L224),ISNUMBER(L105)),IFERROR(L224/L105,""),"")</f>
        <v>0.231399939265108</v>
      </c>
      <c r="M225" s="215">
        <f>IF(AND(ISNUMBER(M224),ISNUMBER(M105)),IFERROR(M224/M105,""),"")</f>
        <v>0.240261958997722</v>
      </c>
      <c r="N225" s="215">
        <f>IF(AND(ISNUMBER(N224),ISNUMBER(N105)),IFERROR(N224/N105,""),"")</f>
        <v>0.271555555555556</v>
      </c>
      <c r="O225" s="215">
        <f>IF(AND(ISNUMBER(O224),ISNUMBER(O105)),IFERROR(O224/O105,""),"")</f>
        <v>0.260959511378189</v>
      </c>
      <c r="P225" s="215">
        <f>IF(AND(ISNUMBER(P224),ISNUMBER(P105)),IFERROR(P224/P105,""),"")</f>
        <v>0.23036093418259</v>
      </c>
      <c r="Q225" s="215">
        <f>IF(AND(ISNUMBER(Q224),ISNUMBER(Q105)),IFERROR(Q224/Q105,""),"")</f>
        <v>0.217446270543616</v>
      </c>
      <c r="R225" s="215">
        <f>IF(AND(ISNUMBER(R224),ISNUMBER(R105)),IFERROR(R224/R105,""),"")</f>
        <v>0.242805160436652</v>
      </c>
      <c r="S225" s="215">
        <f>IF(AND(ISNUMBER(S224),ISNUMBER(S105)),IFERROR(S224/S105,""),"")</f>
        <v>0.244618563802308</v>
      </c>
      <c r="T225" s="215">
        <f>IF(AND(ISNUMBER(T224),ISNUMBER(T105)),IFERROR(T224/T105,""),"")</f>
        <v>0.242282729143581</v>
      </c>
      <c r="U225" s="256">
        <f>IF(AND(ISNUMBER(U224),ISNUMBER(U105)),IFERROR(U224/U105,""),"")</f>
        <v>0.232809929305967</v>
      </c>
      <c r="V225" s="256">
        <f>IF(AND(ISNUMBER(V224),ISNUMBER(V105)),IFERROR(V224/V105,""),"")</f>
        <v>0.234608182691822</v>
      </c>
      <c r="W225" s="256">
        <f>IF(AND(ISNUMBER(W224),ISNUMBER(W105)),IFERROR(W224/W105,""),"")</f>
        <v>0.238426302303806</v>
      </c>
      <c r="X225" s="256">
        <f>IF(AND(ISNUMBER(X224),ISNUMBER(X105)),IFERROR(X224/X105,""),"")</f>
        <v>0.24452659788752</v>
      </c>
      <c r="Y225" s="256">
        <f>IF(AND(ISNUMBER(Y224),ISNUMBER(Y105)),IFERROR(Y224/Y105,""),"")</f>
        <v>0.250969328295852</v>
      </c>
      <c r="Z225" s="256">
        <f>IF(AND(ISNUMBER(Z224),ISNUMBER(Z105)),IFERROR(Z224/Z105,""),"")</f>
        <v>0.256748189513807</v>
      </c>
      <c r="AA225" s="256">
        <f>IF(AND(ISNUMBER(AA224),ISNUMBER(AA105)),IFERROR(AA224/AA105,""),"")</f>
        <v>0.261922312999836</v>
      </c>
      <c r="AB225" s="256">
        <f>IF(AND(ISNUMBER(AB224),ISNUMBER(AB105)),IFERROR(AB224/AB105,""),"")</f>
        <v>0.264903721868273</v>
      </c>
      <c r="AC225" s="153" t="n"/>
      <c r="AE225" s="37">
        <f>IFERROR(AVERAGE(X225,Y225,Z225,AA225,AB225),"n/m")</f>
        <v>0.255814030113058</v>
      </c>
      <c r="AF225" s="37">
        <f>IFERROR(AVERAGE(H225,M225,R225),"n/m")</f>
        <v>0.231299916246891</v>
      </c>
      <c r="AG225" s="37">
        <f>IFERROR(AVERAGE(M225,R225),"n/m")</f>
        <v>0.241533559717187</v>
      </c>
      <c r="AH225" s="37">
        <f>IFERROR(W225+0,"n/m")</f>
        <v>0.238426302303806</v>
      </c>
    </row>
    <row r="226" ht="15" customHeight="1" s="251">
      <c r="B226" s="57" t="inlineStr">
        <is>
          <t xml:space="preserve">  Check: adjusted EBITDA vs operating profit + D&amp;A (should be 0)</t>
        </is>
      </c>
      <c r="C226" s="211">
        <f>IF(ISNUMBER(C224),ROUND(C224-C209-C132,0),"")</f>
      </c>
      <c r="D226" s="211">
        <f>IF(ISNUMBER(D224),ROUND(D224-D209-D132,0),"")</f>
      </c>
      <c r="E226" s="211">
        <f>IF(ISNUMBER(E224),ROUND(E224-E209-E132,0),"")</f>
      </c>
      <c r="F226" s="211">
        <f>IF(ISNUMBER(F224),ROUND(F224-F209-F132,0),"")</f>
        <v>0</v>
      </c>
      <c r="G226" s="211">
        <f>IF(ISNUMBER(G224),ROUND(G224-G209-G132,0),"")</f>
        <v>0</v>
      </c>
      <c r="H226" s="211">
        <f>IF(ISNUMBER(H224),ROUND(H224-H209-H132,0),"")</f>
        <v>0</v>
      </c>
      <c r="I226" s="211">
        <f>IF(ISNUMBER(I224),ROUND(I224-I209-I132,0),"")</f>
        <v>0</v>
      </c>
      <c r="J226" s="211">
        <f>IF(ISNUMBER(J224),ROUND(J224-J209-J132,0),"")</f>
        <v>0</v>
      </c>
      <c r="K226" s="211">
        <f>IF(ISNUMBER(K224),ROUND(K224-K209-K132,0),"")</f>
        <v>0</v>
      </c>
      <c r="L226" s="211">
        <f>IF(ISNUMBER(L224),ROUND(L224-L209-L132,0),"")</f>
        <v>0</v>
      </c>
      <c r="M226" s="211">
        <f>IF(ISNUMBER(M224),ROUND(M224-M209-M132,0),"")</f>
        <v>0</v>
      </c>
      <c r="N226" s="211">
        <f>IF(ISNUMBER(N224),ROUND(N224-N209-N132,0),"")</f>
        <v>0</v>
      </c>
      <c r="O226" s="211">
        <f>IF(ISNUMBER(O224),ROUND(O224-O209-O132,0),"")</f>
        <v>0</v>
      </c>
      <c r="P226" s="211">
        <f>IF(ISNUMBER(P224),ROUND(P224-P209-P132,0),"")</f>
        <v>0</v>
      </c>
      <c r="Q226" s="211">
        <f>IF(ISNUMBER(Q224),ROUND(Q224-Q209-Q132,0),"")</f>
        <v>0</v>
      </c>
      <c r="R226" s="211">
        <f>IF(ISNUMBER(R224),ROUND(R224-R209-R132,0),"")</f>
        <v>0</v>
      </c>
      <c r="S226" s="211">
        <f>IF(ISNUMBER(S224),ROUND(S224-S209-S132,0),"")</f>
        <v>0</v>
      </c>
      <c r="T226" s="211">
        <f>IF(ISNUMBER(T224),ROUND(T224-T209-T132,0),"")</f>
        <v>0</v>
      </c>
      <c r="U226" s="274">
        <f>IF(ISNUMBER(U224),ROUND(U224-U209-U132,0),"")</f>
        <v>0</v>
      </c>
      <c r="V226" s="274">
        <f>IF(ISNUMBER(V224),ROUND(V224-V209-V132,0),"")</f>
        <v>0</v>
      </c>
      <c r="W226" s="274">
        <f>IF(ISNUMBER(W224),ROUND(W224-W209-W132,0),"")</f>
        <v>0</v>
      </c>
      <c r="X226" s="274">
        <f>IF(ISNUMBER(X224),ROUND(X224-X209-X132,0),"")</f>
        <v>0</v>
      </c>
      <c r="Y226" s="274">
        <f>IF(ISNUMBER(Y224),ROUND(Y224-Y209-Y132,0),"")</f>
        <v>0</v>
      </c>
      <c r="Z226" s="274">
        <f>IF(ISNUMBER(Z224),ROUND(Z224-Z209-Z132,0),"")</f>
        <v>0</v>
      </c>
      <c r="AA226" s="274">
        <f>IF(ISNUMBER(AA224),ROUND(AA224-AA209-AA132,0),"")</f>
        <v>0</v>
      </c>
      <c r="AB226" s="274">
        <f>IF(ISNUMBER(AB224),ROUND(AB224-AB209-AB132,0),"")</f>
        <v>0</v>
      </c>
      <c r="AC226" s="153" t="n"/>
    </row>
    <row r="227" ht="15" customHeight="1" s="251">
      <c r="B227" s="156" t="inlineStr">
        <is>
          <t xml:space="preserve">  Memo: adjusted EBITDA pro forma (closing year incl. CPP full year), for leverage &amp; valuation</t>
        </is>
      </c>
      <c r="C227" s="211">
        <f>IF(ISNUMBER(C224),C224+N(C76)*N(C87)*(1-N(C77)),"")</f>
      </c>
      <c r="D227" s="211">
        <f>IF(ISNUMBER(D224),D224+N(D76)*N(D87)*(1-N(D77)),"")</f>
      </c>
      <c r="E227" s="211">
        <f>IF(ISNUMBER(E224),E224+N(E76)*N(E87)*(1-N(E77)),"")</f>
      </c>
      <c r="F227" s="211">
        <f>IF(ISNUMBER(F224),F224+N(F76)*N(F87)*(1-N(F77)),"")</f>
        <v>1885</v>
      </c>
      <c r="G227" s="211">
        <f>IF(ISNUMBER(G224),G224+N(G76)*N(G87)*(1-N(G77)),"")</f>
        <v>1642</v>
      </c>
      <c r="H227" s="211">
        <f>IF(ISNUMBER(H224),H224+N(H76)*N(H87)*(1-N(H77)),"")</f>
        <v>6738</v>
      </c>
      <c r="I227" s="211">
        <f>IF(ISNUMBER(I224),I224+N(I76)*N(I87)*(1-N(I77)),"")</f>
        <v>1840</v>
      </c>
      <c r="J227" s="211">
        <f>IF(ISNUMBER(J224),J224+N(J76)*N(J87)*(1-N(J77)),"")</f>
        <v>2180</v>
      </c>
      <c r="K227" s="211">
        <f>IF(ISNUMBER(K224),K224+N(K76)*N(K87)*(1-N(K77)),"")</f>
        <v>2132</v>
      </c>
      <c r="L227" s="211">
        <f>IF(ISNUMBER(L224),L224+N(L76)*N(L87)*(1-N(L77)),"")</f>
        <v>2286</v>
      </c>
      <c r="M227" s="211">
        <f>IF(ISNUMBER(M224),M224+N(M76)*N(M87)*(1-N(M77)),"")</f>
        <v>8438</v>
      </c>
      <c r="N227" s="211">
        <f>IF(ISNUMBER(N224),N224+N(N76)*N(N87)*(1-N(N77)),"")</f>
        <v>2444</v>
      </c>
      <c r="O227" s="211">
        <f>IF(ISNUMBER(O224),O224+N(O76)*N(O87)*(1-N(O77)),"")</f>
        <v>2649</v>
      </c>
      <c r="P227" s="211">
        <f>IF(ISNUMBER(P224),P224+N(P76)*N(P87)*(1-N(P77)),"")</f>
        <v>2604</v>
      </c>
      <c r="Q227" s="211">
        <f>IF(ISNUMBER(Q224),Q224+N(Q76)*N(Q87)*(1-N(Q77)),"")</f>
        <v>2580</v>
      </c>
      <c r="R227" s="211">
        <f>IF(ISNUMBER(R224),R224+N(R76)*N(R87)*(1-N(R77)),"")</f>
        <v>10276</v>
      </c>
      <c r="S227" s="211">
        <f>IF(ISNUMBER(S224),S224+N(S76)*N(S87)*(1-N(S77)),"")</f>
        <v>2841</v>
      </c>
      <c r="T227" s="211">
        <f>IF(ISNUMBER(T224),T224+N(T76)*N(T87)*(1-N(T77)),"")</f>
        <v>3061</v>
      </c>
      <c r="U227" s="254">
        <f>IF(ISNUMBER(U224),U224+N(U76)*N(U87)*(1-N(U77)),"")</f>
        <v>2918.65298574131</v>
      </c>
      <c r="V227" s="254">
        <f>IF(ISNUMBER(V224),V224+N(V76)*N(V87)*(1-N(V77)),"")</f>
        <v>3086.34701425869</v>
      </c>
      <c r="W227" s="254">
        <f>IF(ISNUMBER(W224),W224+N(W76)*N(W87)*(1-N(W77)),"")</f>
        <v>11907</v>
      </c>
      <c r="X227" s="254">
        <f>IF(ISNUMBER(X224),X224+N(X76)*N(X87)*(1-N(X77)),"")</f>
        <v>14116.9830557573</v>
      </c>
      <c r="Y227" s="254">
        <f>IF(ISNUMBER(Y224),Y224+N(Y76)*N(Y87)*(1-N(Y77)),"")</f>
        <v>15833.6995421124</v>
      </c>
      <c r="Z227" s="254">
        <f>IF(ISNUMBER(Z224),Z224+N(Z76)*N(Z87)*(1-N(Z77)),"")</f>
        <v>17525.0826764941</v>
      </c>
      <c r="AA227" s="254">
        <f>IF(ISNUMBER(AA224),AA224+N(AA76)*N(AA87)*(1-N(AA77)),"")</f>
        <v>19197.4985623119</v>
      </c>
      <c r="AB227" s="254">
        <f>IF(ISNUMBER(AB224),AB224+N(AB76)*N(AB87)*(1-N(AB77)),"")</f>
        <v>20658.9147947557</v>
      </c>
      <c r="AC227" s="153" t="n"/>
    </row>
    <row r="228" ht="15" customHeight="1" s="251">
      <c r="B228" s="25" t="inlineStr">
        <is>
          <t>Adjusted EBIT, full-cost (for NOPAT, ROIC and the DCF):</t>
        </is>
      </c>
      <c r="AC228" s="153" t="n"/>
    </row>
    <row r="229" ht="15" customHeight="1" s="251">
      <c r="B229" s="55" t="inlineStr">
        <is>
          <t xml:space="preserve">  = Adjusted EBIT, full-cost (= operating profit; after amortization and stock-based compensation)</t>
        </is>
      </c>
      <c r="C229" s="273">
        <f>C209</f>
      </c>
      <c r="D229" s="273">
        <f>D209</f>
        <v>1244</v>
      </c>
      <c r="E229" s="273">
        <f>E209</f>
        <v>1387</v>
      </c>
      <c r="F229" s="273">
        <f>F209</f>
        <v>1593</v>
      </c>
      <c r="G229" s="273">
        <f>G209</f>
        <v>1333</v>
      </c>
      <c r="H229" s="273">
        <f>H209</f>
        <v>5559</v>
      </c>
      <c r="I229" s="273">
        <f>I209</f>
        <v>1550</v>
      </c>
      <c r="J229" s="273">
        <f>J209</f>
        <v>1897</v>
      </c>
      <c r="K229" s="273">
        <f>K209</f>
        <v>1819</v>
      </c>
      <c r="L229" s="273">
        <f>L209</f>
        <v>1988</v>
      </c>
      <c r="M229" s="273">
        <f>M209</f>
        <v>7254</v>
      </c>
      <c r="N229" s="273">
        <f>N209</f>
        <v>2145</v>
      </c>
      <c r="O229" s="273">
        <f>O209</f>
        <v>2338</v>
      </c>
      <c r="P229" s="273">
        <f>P209</f>
        <v>2301</v>
      </c>
      <c r="Q229" s="273">
        <f>Q209</f>
        <v>2273</v>
      </c>
      <c r="R229" s="273">
        <f>R209</f>
        <v>9056</v>
      </c>
      <c r="S229" s="273">
        <f>S209</f>
        <v>2529</v>
      </c>
      <c r="T229" s="273">
        <f>T209</f>
        <v>2748</v>
      </c>
      <c r="U229" s="273">
        <f>U209</f>
        <v>2603.65298574131</v>
      </c>
      <c r="V229" s="273">
        <f>V209</f>
        <v>2771.34701425869</v>
      </c>
      <c r="W229" s="273">
        <f>W209</f>
        <v>10652</v>
      </c>
      <c r="X229" s="273">
        <f>X209</f>
        <v>12257.8761404799</v>
      </c>
      <c r="Y229" s="273">
        <f>Y209</f>
        <v>13895.8194974289</v>
      </c>
      <c r="Z229" s="273">
        <f>Z209</f>
        <v>15455.5432845883</v>
      </c>
      <c r="AA229" s="273">
        <f>AA209</f>
        <v>17016.2627588511</v>
      </c>
      <c r="AB229" s="273">
        <f>AB209</f>
        <v>18377.7890159846</v>
      </c>
      <c r="AC229" s="153" t="inlineStr">
        <is>
          <t>GE Aerospace does not adjust out amortization or stock-based compensation, so operating profit is already full-cost.</t>
        </is>
      </c>
    </row>
    <row r="230" ht="15" customHeight="1" s="251">
      <c r="B230" s="25" t="inlineStr">
        <is>
          <t xml:space="preserve">  Adjusted EBIT margin %</t>
        </is>
      </c>
      <c r="C230" s="215">
        <f>IF(AND(ISNUMBER(C229),ISNUMBER(C105)),IFERROR(C229/C105,""),"")</f>
      </c>
      <c r="D230" s="215">
        <f>IF(AND(ISNUMBER(D229),ISNUMBER(D105)),IFERROR(D229/D105,""),"")</f>
        <v>0.176579134137686</v>
      </c>
      <c r="E230" s="215">
        <f>IF(AND(ISNUMBER(E229),ISNUMBER(E105)),IFERROR(E229/E105,""),"")</f>
        <v>0.175414189958265</v>
      </c>
      <c r="F230" s="215">
        <f>IF(AND(ISNUMBER(F229),ISNUMBER(F105)),IFERROR(F229/F105,""),"")</f>
        <v>0.188297872340426</v>
      </c>
      <c r="G230" s="215">
        <f>IF(AND(ISNUMBER(G229),ISNUMBER(G105)),IFERROR(G229/G105,""),"")</f>
        <v>0.155961155961156</v>
      </c>
      <c r="H230" s="215">
        <f>IF(AND(ISNUMBER(H229),ISNUMBER(H105)),IFERROR(H229/H105,""),"")</f>
        <v>0.173941612691261</v>
      </c>
      <c r="I230" s="215">
        <f>IF(AND(ISNUMBER(I229),ISNUMBER(I105)),IFERROR(I229/I105,""),"")</f>
        <v>0.191926696384349</v>
      </c>
      <c r="J230" s="215">
        <f>IF(AND(ISNUMBER(J229),ISNUMBER(J105)),IFERROR(J229/J105,""),"")</f>
        <v>0.230694393773562</v>
      </c>
      <c r="K230" s="215">
        <f>IF(AND(ISNUMBER(K229),ISNUMBER(K105)),IFERROR(K229/K105,""),"")</f>
        <v>0.20339930672034</v>
      </c>
      <c r="L230" s="215">
        <f>IF(AND(ISNUMBER(L229),ISNUMBER(L105)),IFERROR(L229/L105,""),"")</f>
        <v>0.201234942807977</v>
      </c>
      <c r="M230" s="215">
        <f>IF(AND(ISNUMBER(M229),ISNUMBER(M105)),IFERROR(M229/M105,""),"")</f>
        <v>0.206548974943052</v>
      </c>
      <c r="N230" s="215">
        <f>IF(AND(ISNUMBER(N229),ISNUMBER(N105)),IFERROR(N229/N105,""),"")</f>
        <v>0.238333333333333</v>
      </c>
      <c r="O230" s="215">
        <f>IF(AND(ISNUMBER(O229),ISNUMBER(O105)),IFERROR(O229/O105,""),"")</f>
        <v>0.230322135750172</v>
      </c>
      <c r="P230" s="215">
        <f>IF(AND(ISNUMBER(P229),ISNUMBER(P105)),IFERROR(P229/P105,""),"")</f>
        <v>0.203556263269639</v>
      </c>
      <c r="Q230" s="215">
        <f>IF(AND(ISNUMBER(Q229),ISNUMBER(Q105)),IFERROR(Q229/Q105,""),"")</f>
        <v>0.19157184997893</v>
      </c>
      <c r="R230" s="215">
        <f>IF(AND(ISNUMBER(R229),ISNUMBER(R105)),IFERROR(R229/R105,""),"")</f>
        <v>0.213978545437361</v>
      </c>
      <c r="S230" s="215">
        <f>IF(AND(ISNUMBER(S229),ISNUMBER(S105)),IFERROR(S229/S105,""),"")</f>
        <v>0.217754434303427</v>
      </c>
      <c r="T230" s="215">
        <f>IF(AND(ISNUMBER(T229),ISNUMBER(T105)),IFERROR(T229/T105,""),"")</f>
        <v>0.217508310907076</v>
      </c>
      <c r="U230" s="256">
        <f>IF(AND(ISNUMBER(U229),ISNUMBER(U105)),IFERROR(U229/U105,""),"")</f>
        <v>0.207683568587632</v>
      </c>
      <c r="V230" s="256">
        <f>IF(AND(ISNUMBER(V229),ISNUMBER(V105)),IFERROR(V229/V105,""),"")</f>
        <v>0.210663507253025</v>
      </c>
      <c r="W230" s="256">
        <f>IF(AND(ISNUMBER(W229),ISNUMBER(W105)),IFERROR(W229/W105,""),"")</f>
        <v>0.213296125988087</v>
      </c>
      <c r="X230" s="256">
        <f>IF(AND(ISNUMBER(X229),ISNUMBER(X105)),IFERROR(X229/X105,""),"")</f>
        <v>0.217548297006046</v>
      </c>
      <c r="Y230" s="256">
        <f>IF(AND(ISNUMBER(Y229),ISNUMBER(Y105)),IFERROR(Y229/Y105,""),"")</f>
        <v>0.220253294317904</v>
      </c>
      <c r="Z230" s="256">
        <f>IF(AND(ISNUMBER(Z229),ISNUMBER(Z105)),IFERROR(Z229/Z105,""),"")</f>
        <v>0.226428760966287</v>
      </c>
      <c r="AA230" s="256">
        <f>IF(AND(ISNUMBER(AA229),ISNUMBER(AA105)),IFERROR(AA229/AA105,""),"")</f>
        <v>0.232162481270399</v>
      </c>
      <c r="AB230" s="256">
        <f>IF(AND(ISNUMBER(AB229),ISNUMBER(AB105)),IFERROR(AB229/AB105,""),"")</f>
        <v>0.235653458006422</v>
      </c>
      <c r="AC230" s="153" t="n"/>
      <c r="AE230" s="37">
        <f>IFERROR(AVERAGE(X230,Y230,Z230,AA230,AB230),"n/m")</f>
        <v>0.226409258313412</v>
      </c>
      <c r="AF230" s="37">
        <f>IFERROR(AVERAGE(H230,M230,R230),"n/m")</f>
        <v>0.198156377690558</v>
      </c>
      <c r="AG230" s="37">
        <f>IFERROR(AVERAGE(M230,R230),"n/m")</f>
        <v>0.210263760190207</v>
      </c>
      <c r="AH230" s="37">
        <f>IFERROR(W230+0,"n/m")</f>
        <v>0.213296125988087</v>
      </c>
    </row>
    <row r="231" ht="15" customHeight="1" s="251">
      <c r="B231" s="156" t="inlineStr">
        <is>
          <t xml:space="preserve">  Memo: restructuring &amp; separation costs (cash costs adjusted out; deducted in the DCF)</t>
        </is>
      </c>
      <c r="C231" s="211">
        <f>IF(ISNUMBER(C145),C145+C146,"")</f>
      </c>
      <c r="D231" s="211">
        <f>IF(ISNUMBER(D145),D145+D146,"")</f>
        <v>205</v>
      </c>
      <c r="E231" s="211">
        <f>IF(ISNUMBER(E145),E145+E146,"")</f>
        <v>208</v>
      </c>
      <c r="F231" s="211">
        <f>IF(ISNUMBER(F145),F145+F146,"")</f>
        <v>191</v>
      </c>
      <c r="G231" s="211">
        <f>IF(ISNUMBER(G145),G145+G146,"")</f>
        <v>333</v>
      </c>
      <c r="H231" s="211">
        <f>IF(ISNUMBER(H145),H145+H146,"")</f>
        <v>938</v>
      </c>
      <c r="I231" s="211">
        <f>IF(ISNUMBER(I145),I145+I146,"")</f>
        <v>329</v>
      </c>
      <c r="J231" s="211">
        <f>IF(ISNUMBER(J145),J145+J146,"")</f>
        <v>152</v>
      </c>
      <c r="K231" s="211">
        <f>IF(ISNUMBER(K145),K145+K146,"")</f>
        <v>452</v>
      </c>
      <c r="L231" s="211">
        <f>IF(ISNUMBER(L145),L145+L146,"")</f>
        <v>83</v>
      </c>
      <c r="M231" s="211">
        <f>IF(ISNUMBER(M145),M145+M146,"")</f>
        <v>1017</v>
      </c>
      <c r="N231" s="211">
        <f>IF(ISNUMBER(N145),N145+N146,"")</f>
        <v>52</v>
      </c>
      <c r="O231" s="211">
        <f>IF(ISNUMBER(O145),O145+O146,"")</f>
        <v>73</v>
      </c>
      <c r="P231" s="211">
        <f>IF(ISNUMBER(P145),P145+P146,"")</f>
        <v>75</v>
      </c>
      <c r="Q231" s="211">
        <f>IF(ISNUMBER(Q145),Q145+Q146,"")</f>
        <v>-84</v>
      </c>
      <c r="R231" s="211">
        <f>IF(ISNUMBER(R145),R145+R146,"")</f>
        <v>115</v>
      </c>
      <c r="S231" s="211">
        <f>IF(ISNUMBER(S145),S145+S146,"")</f>
        <v>79</v>
      </c>
      <c r="T231" s="211">
        <f>IF(ISNUMBER(T145),T145+T146,"")</f>
        <v>61</v>
      </c>
      <c r="U231" s="254">
        <f>IF(ISNUMBER(U145),U145+U146,"")</f>
        <v>70</v>
      </c>
      <c r="V231" s="254">
        <f>IF(ISNUMBER(V145),V145+V146,"")</f>
        <v>70</v>
      </c>
      <c r="W231" s="254">
        <f>IF(ISNUMBER(W145),W145+W146,"")</f>
        <v>280</v>
      </c>
      <c r="X231" s="254">
        <f>IF(ISNUMBER(X145),X145+X146,"")</f>
        <v>150</v>
      </c>
      <c r="Y231" s="254">
        <f>IF(ISNUMBER(Y145),Y145+Y146,"")</f>
        <v>250</v>
      </c>
      <c r="Z231" s="254">
        <f>IF(ISNUMBER(Z145),Z145+Z146,"")</f>
        <v>100</v>
      </c>
      <c r="AA231" s="254">
        <f>IF(ISNUMBER(AA145),AA145+AA146,"")</f>
        <v>100</v>
      </c>
      <c r="AB231" s="254">
        <f>IF(ISNUMBER(AB145),AB145+AB146,"")</f>
        <v>100</v>
      </c>
      <c r="AC231" s="153" t="n"/>
    </row>
    <row r="232" ht="15" customHeight="1" s="251">
      <c r="AK232" s="11" t="n"/>
      <c r="AL232" s="12" t="n"/>
      <c r="AM232" s="12" t="n"/>
      <c r="AN232" s="12" t="n"/>
      <c r="AO232" s="13" t="n"/>
    </row>
    <row r="233" ht="15" customHeight="1" s="251">
      <c r="B233" s="10" t="inlineStr">
        <is>
          <t>RECONCILIATION: NET INCOME FROM CONTINUING OPERATIONS → ADJUSTED NET INCOME → ADJUSTED EPS (company definition)</t>
        </is>
      </c>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inlineStr">
        <is>
          <t>ADJUSTED EPS — continuing net income to common − insurance − U.S. tax equity − non-operating benefit − gains + restructuring + separation + impairments (each net of tax)</t>
        </is>
      </c>
    </row>
    <row r="234" ht="15" customHeight="1" s="251">
      <c r="B234" s="16" t="inlineStr">
        <is>
          <t>Net income from continuing operations attributable to common shareholders (GAAP)</t>
        </is>
      </c>
      <c r="C234" s="260">
        <f>C183</f>
        <v>1065</v>
      </c>
      <c r="D234" s="260">
        <f>D183</f>
        <v>6560</v>
      </c>
      <c r="E234" s="260">
        <f>E183</f>
        <v>1195</v>
      </c>
      <c r="F234" s="260">
        <f>F183</f>
        <v>215</v>
      </c>
      <c r="G234" s="260">
        <f>G183</f>
        <v>1184</v>
      </c>
      <c r="H234" s="260">
        <f>H183</f>
        <v>9151</v>
      </c>
      <c r="I234" s="260">
        <f>I183</f>
        <v>1741</v>
      </c>
      <c r="J234" s="260">
        <f>J183</f>
        <v>1320</v>
      </c>
      <c r="K234" s="260">
        <f>K183</f>
        <v>1705</v>
      </c>
      <c r="L234" s="260">
        <f>L183</f>
        <v>1904</v>
      </c>
      <c r="M234" s="260">
        <f>M183</f>
        <v>6670</v>
      </c>
      <c r="N234" s="260">
        <f>N183</f>
        <v>1967</v>
      </c>
      <c r="O234" s="260">
        <f>O183</f>
        <v>2007</v>
      </c>
      <c r="P234" s="260">
        <f>P183</f>
        <v>2170</v>
      </c>
      <c r="Q234" s="260">
        <f>Q183</f>
        <v>2452</v>
      </c>
      <c r="R234" s="260">
        <f>R183</f>
        <v>8598</v>
      </c>
      <c r="S234" s="260">
        <f>S183</f>
        <v>1930</v>
      </c>
      <c r="T234" s="260">
        <f>T183</f>
        <v>2405</v>
      </c>
      <c r="U234" s="261">
        <f>U183</f>
        <v>2200.21024309399</v>
      </c>
      <c r="V234" s="261">
        <f>V183</f>
        <v>2340.23475690601</v>
      </c>
      <c r="W234" s="261">
        <f>W183</f>
        <v>8875.445</v>
      </c>
      <c r="X234" s="261">
        <f>X183</f>
        <v>10406.1080618489</v>
      </c>
      <c r="Y234" s="261">
        <f>Y183</f>
        <v>11472.148364986</v>
      </c>
      <c r="Z234" s="261">
        <f>Z183</f>
        <v>12833.7907545668</v>
      </c>
      <c r="AA234" s="261">
        <f>AA183</f>
        <v>14016.689588548</v>
      </c>
      <c r="AB234" s="261">
        <f>AB183</f>
        <v>15054.7085213336</v>
      </c>
      <c r="AC234" s="153" t="n"/>
    </row>
    <row r="235" ht="15" customHeight="1" s="251">
      <c r="B235" s="25" t="inlineStr">
        <is>
          <t xml:space="preserve">  (±) Basis difference: company starting figure − model (rounding / two-class effects)</t>
        </is>
      </c>
      <c r="C235" s="211">
        <f>IF(ISNUMBER(C246),C246-C234,"")</f>
      </c>
      <c r="D235" s="211">
        <f>IF(ISNUMBER(D246),D246-D234,"")</f>
        <v>-8</v>
      </c>
      <c r="E235" s="211">
        <f>IF(ISNUMBER(E246),E246-E234,"")</f>
        <v>0</v>
      </c>
      <c r="F235" s="211">
        <f>IF(ISNUMBER(F246),F246-F234,"")</f>
        <v>0</v>
      </c>
      <c r="G235" s="211">
        <f>IF(ISNUMBER(G246),G246-G234,"")</f>
        <v>1</v>
      </c>
      <c r="H235" s="211">
        <f>IF(ISNUMBER(H246),H246-H234,"")</f>
        <v>0</v>
      </c>
      <c r="I235" s="211">
        <f>IF(ISNUMBER(I246),I246-I234,"")</f>
        <v>0</v>
      </c>
      <c r="J235" s="211">
        <f>IF(ISNUMBER(J246),J246-J234,"")</f>
        <v>0</v>
      </c>
      <c r="K235" s="211">
        <f>IF(ISNUMBER(K246),K246-K234,"")</f>
        <v>0</v>
      </c>
      <c r="L235" s="211">
        <f>IF(ISNUMBER(L246),L246-L234,"")</f>
        <v>1</v>
      </c>
      <c r="M235" s="211">
        <f>IF(ISNUMBER(M246),M246-M234,"")</f>
        <v>0</v>
      </c>
      <c r="N235" s="211">
        <f>IF(ISNUMBER(N246),N246-N234,"")</f>
        <v>0</v>
      </c>
      <c r="O235" s="211">
        <f>IF(ISNUMBER(O246),O246-O234,"")</f>
        <v>0</v>
      </c>
      <c r="P235" s="211">
        <f>IF(ISNUMBER(P246),P246-P234,"")</f>
        <v>0</v>
      </c>
      <c r="Q235" s="211">
        <f>IF(ISNUMBER(Q246),Q246-Q234,"")</f>
        <v>0</v>
      </c>
      <c r="R235" s="211">
        <f>IF(ISNUMBER(R246),R246-R234,"")</f>
        <v>0</v>
      </c>
      <c r="S235" s="211">
        <f>IF(ISNUMBER(S246),S246-S234,"")</f>
        <v>0</v>
      </c>
      <c r="T235" s="211">
        <f>IF(ISNUMBER(T246),T246-T234,"")</f>
        <v>0</v>
      </c>
      <c r="U235" s="254">
        <f>0</f>
        <v>0</v>
      </c>
      <c r="V235" s="254">
        <f>0</f>
        <v>0</v>
      </c>
      <c r="W235" s="254">
        <f>SUM(S235:V235)</f>
        <v>0</v>
      </c>
      <c r="X235" s="254">
        <f>0</f>
        <v>0</v>
      </c>
      <c r="Y235" s="254">
        <f>0</f>
        <v>0</v>
      </c>
      <c r="Z235" s="254">
        <f>0</f>
        <v>0</v>
      </c>
      <c r="AA235" s="254">
        <f>0</f>
        <v>0</v>
      </c>
      <c r="AB235" s="254">
        <f>0</f>
        <v>0</v>
      </c>
      <c r="AC235" s="19" t="n"/>
    </row>
    <row r="236" ht="15" customHeight="1" s="251">
      <c r="B236" s="25" t="inlineStr">
        <is>
          <t xml:space="preserve">  (−) Insurance net income (net of tax)</t>
        </is>
      </c>
      <c r="C236" s="34" t="n"/>
      <c r="D236" s="253" t="n">
        <v>-55</v>
      </c>
      <c r="E236" s="253" t="n">
        <v>-49</v>
      </c>
      <c r="F236" s="253" t="n">
        <v>-77</v>
      </c>
      <c r="G236" s="253" t="n">
        <v>-79</v>
      </c>
      <c r="H236" s="253" t="n">
        <v>-260</v>
      </c>
      <c r="I236" s="253" t="n">
        <v>-158</v>
      </c>
      <c r="J236" s="253" t="n">
        <v>-135</v>
      </c>
      <c r="K236" s="253" t="n">
        <v>-135</v>
      </c>
      <c r="L236" s="253" t="n">
        <v>-379</v>
      </c>
      <c r="M236" s="253" t="n">
        <v>-806</v>
      </c>
      <c r="N236" s="253" t="n">
        <v>-231</v>
      </c>
      <c r="O236" s="253" t="n">
        <v>-117</v>
      </c>
      <c r="P236" s="253" t="n">
        <v>-286</v>
      </c>
      <c r="Q236" s="253" t="n">
        <v>-242</v>
      </c>
      <c r="R236" s="253" t="n">
        <v>-877</v>
      </c>
      <c r="S236" s="253" t="n">
        <v>-105</v>
      </c>
      <c r="T236" s="253" t="n">
        <v>-137</v>
      </c>
      <c r="U236" s="254">
        <f>-(U69-U69*U151)</f>
        <v>-118.895</v>
      </c>
      <c r="V236" s="254">
        <f>-(V69-V69*V151)</f>
        <v>-118.895</v>
      </c>
      <c r="W236" s="254">
        <f>SUM(S236:V236)</f>
        <v>-479.79</v>
      </c>
      <c r="X236" s="254">
        <f>-(X69-X69*X151)</f>
        <v>-503.397796</v>
      </c>
      <c r="Y236" s="254">
        <f>-(Y69-Y69*Y151)</f>
        <v>-488.29586212</v>
      </c>
      <c r="Z236" s="254">
        <f>-(Z69-Z69*Z151)</f>
        <v>-473.6469862564</v>
      </c>
      <c r="AA236" s="254">
        <f>-(AA69-AA69*AA151)</f>
        <v>-459.437576668708</v>
      </c>
      <c r="AB236" s="254">
        <f>-(AB69-AB69*AB151)</f>
        <v>-445.654449368647</v>
      </c>
      <c r="AC236" s="19" t="n"/>
    </row>
    <row r="237" ht="15" customHeight="1" s="251">
      <c r="B237" s="25" t="inlineStr">
        <is>
          <t xml:space="preserve">  (−) U.S. tax equity net income (net of tax)</t>
        </is>
      </c>
      <c r="C237" s="34" t="n"/>
      <c r="D237" s="253" t="n">
        <v>-10</v>
      </c>
      <c r="E237" s="253" t="n">
        <v>-13</v>
      </c>
      <c r="F237" s="253" t="n">
        <v>-7</v>
      </c>
      <c r="G237" s="253" t="n">
        <v>-11</v>
      </c>
      <c r="H237" s="253" t="n">
        <v>-41</v>
      </c>
      <c r="I237" s="253" t="n">
        <v>-15</v>
      </c>
      <c r="J237" s="253" t="n">
        <v>-9</v>
      </c>
      <c r="K237" s="253" t="n">
        <v>-11</v>
      </c>
      <c r="L237" s="253" t="n">
        <v>-9</v>
      </c>
      <c r="M237" s="253" t="n">
        <v>-44</v>
      </c>
      <c r="N237" s="253" t="n">
        <v>-8</v>
      </c>
      <c r="O237" s="253" t="n">
        <v>-11</v>
      </c>
      <c r="P237" s="253" t="n">
        <v>-11</v>
      </c>
      <c r="Q237" s="253" t="n">
        <v>-7</v>
      </c>
      <c r="R237" s="253" t="n">
        <v>-39</v>
      </c>
      <c r="S237" s="253" t="n">
        <v>-8</v>
      </c>
      <c r="T237" s="253" t="n">
        <v>-9</v>
      </c>
      <c r="U237" s="254">
        <f>-(U71+U72)</f>
        <v>-8.5</v>
      </c>
      <c r="V237" s="254">
        <f>-(V71+V72)</f>
        <v>-8.5</v>
      </c>
      <c r="W237" s="254">
        <f>SUM(S237:V237)</f>
        <v>-34</v>
      </c>
      <c r="X237" s="254">
        <f>-(X71+X72)</f>
        <v>-40</v>
      </c>
      <c r="Y237" s="254">
        <f>-(Y71+Y72)</f>
        <v>-40</v>
      </c>
      <c r="Z237" s="254">
        <f>-(Z71+Z72)</f>
        <v>-40</v>
      </c>
      <c r="AA237" s="254">
        <f>-(AA71+AA72)</f>
        <v>-40</v>
      </c>
      <c r="AB237" s="254">
        <f>-(AB71+AB72)</f>
        <v>-40</v>
      </c>
      <c r="AC237" s="19" t="n"/>
    </row>
    <row r="238" ht="15" customHeight="1" s="251">
      <c r="B238" s="25" t="inlineStr">
        <is>
          <t xml:space="preserve">  (−) Non-operating benefit income (net of tax)</t>
        </is>
      </c>
      <c r="C238" s="34" t="n"/>
      <c r="D238" s="253" t="n">
        <v>-189</v>
      </c>
      <c r="E238" s="253" t="n">
        <v>-197</v>
      </c>
      <c r="F238" s="253" t="n">
        <v>-193</v>
      </c>
      <c r="G238" s="253" t="n">
        <v>-194</v>
      </c>
      <c r="H238" s="253" t="n">
        <v>-773</v>
      </c>
      <c r="I238" s="253" t="n">
        <v>-171</v>
      </c>
      <c r="J238" s="253" t="n">
        <v>-161</v>
      </c>
      <c r="K238" s="253" t="n">
        <v>-164</v>
      </c>
      <c r="L238" s="253" t="n">
        <v>-168</v>
      </c>
      <c r="M238" s="253" t="n">
        <v>-665</v>
      </c>
      <c r="N238" s="253" t="n">
        <v>-159</v>
      </c>
      <c r="O238" s="253" t="n">
        <v>-156</v>
      </c>
      <c r="P238" s="253" t="n">
        <v>-156</v>
      </c>
      <c r="Q238" s="253" t="n">
        <v>-152</v>
      </c>
      <c r="R238" s="253" t="n">
        <v>-622</v>
      </c>
      <c r="S238" s="253" t="n">
        <v>-139</v>
      </c>
      <c r="T238" s="253" t="n">
        <v>-140</v>
      </c>
      <c r="U238" s="254">
        <f>-U143*(1-U151)</f>
        <v>-139.435</v>
      </c>
      <c r="V238" s="254">
        <f>-V143*(1-V151)</f>
        <v>-139.435</v>
      </c>
      <c r="W238" s="254">
        <f>SUM(S238:V238)</f>
        <v>-557.87</v>
      </c>
      <c r="X238" s="254">
        <f>-X143*(1-X151)</f>
        <v>-537.2</v>
      </c>
      <c r="Y238" s="254">
        <f>-Y143*(1-Y151)</f>
        <v>-521.4</v>
      </c>
      <c r="Z238" s="254">
        <f>-Z143*(1-Z151)</f>
        <v>-505.6</v>
      </c>
      <c r="AA238" s="254">
        <f>-AA143*(1-AA151)</f>
        <v>-489.8</v>
      </c>
      <c r="AB238" s="254">
        <f>-AB143*(1-AB151)</f>
        <v>-474</v>
      </c>
      <c r="AC238" s="19" t="n"/>
    </row>
    <row r="239" ht="15" customHeight="1" s="251">
      <c r="B239" s="25" t="inlineStr">
        <is>
          <t xml:space="preserve">  (−) Gains (losses) on equity securities and business interests (net of tax)</t>
        </is>
      </c>
      <c r="C239" s="34" t="n"/>
      <c r="D239" s="253" t="n">
        <v>-5852</v>
      </c>
      <c r="E239" s="253" t="n">
        <v>-308</v>
      </c>
      <c r="F239" s="253" t="n">
        <v>1116</v>
      </c>
      <c r="G239" s="253" t="n">
        <v>-624</v>
      </c>
      <c r="H239" s="253" t="n">
        <v>-5669</v>
      </c>
      <c r="I239" s="253" t="n">
        <v>-651</v>
      </c>
      <c r="J239" s="253" t="n">
        <v>385</v>
      </c>
      <c r="K239" s="253" t="n">
        <v>-703</v>
      </c>
      <c r="L239" s="253" t="n">
        <v>42</v>
      </c>
      <c r="M239" s="253" t="n">
        <v>-925</v>
      </c>
      <c r="N239" s="253" t="n">
        <v>-11</v>
      </c>
      <c r="O239" s="253" t="n">
        <v>-3</v>
      </c>
      <c r="P239" s="253" t="n">
        <v>-9</v>
      </c>
      <c r="Q239" s="253" t="n">
        <v>-234</v>
      </c>
      <c r="R239" s="253" t="n">
        <v>-258</v>
      </c>
      <c r="S239" s="253" t="n">
        <v>223</v>
      </c>
      <c r="T239" s="253" t="n">
        <v>-54</v>
      </c>
      <c r="U239" s="254">
        <f>0</f>
        <v>0</v>
      </c>
      <c r="V239" s="254">
        <f>0</f>
        <v>0</v>
      </c>
      <c r="W239" s="254">
        <f>SUM(S239:V239)</f>
        <v>169</v>
      </c>
      <c r="X239" s="254">
        <f>0</f>
        <v>0</v>
      </c>
      <c r="Y239" s="254">
        <f>0</f>
        <v>0</v>
      </c>
      <c r="Z239" s="254">
        <f>0</f>
        <v>0</v>
      </c>
      <c r="AA239" s="254">
        <f>0</f>
        <v>0</v>
      </c>
      <c r="AB239" s="254">
        <f>0</f>
        <v>0</v>
      </c>
      <c r="AC239" s="19" t="n"/>
    </row>
    <row r="240" ht="15" customHeight="1" s="251">
      <c r="B240" s="25" t="inlineStr">
        <is>
          <t xml:space="preserve">  (+) Restructuring &amp; other (net of tax)</t>
        </is>
      </c>
      <c r="C240" s="34" t="n"/>
      <c r="D240" s="253" t="n">
        <v>32</v>
      </c>
      <c r="E240" s="253" t="n">
        <v>36</v>
      </c>
      <c r="F240" s="253" t="n">
        <v>35</v>
      </c>
      <c r="G240" s="253" t="n">
        <v>92</v>
      </c>
      <c r="H240" s="253" t="n">
        <v>194</v>
      </c>
      <c r="I240" s="253" t="n">
        <v>55</v>
      </c>
      <c r="J240" s="253" t="n">
        <v>61</v>
      </c>
      <c r="K240" s="253" t="n">
        <v>299</v>
      </c>
      <c r="L240" s="253" t="n">
        <v>0</v>
      </c>
      <c r="M240" s="253" t="n">
        <v>415</v>
      </c>
      <c r="N240" s="253" t="n">
        <v>1</v>
      </c>
      <c r="O240" s="253" t="n">
        <v>21</v>
      </c>
      <c r="P240" s="253" t="n">
        <v>17</v>
      </c>
      <c r="Q240" s="253" t="n">
        <v>-107</v>
      </c>
      <c r="R240" s="253" t="n">
        <v>-69</v>
      </c>
      <c r="S240" s="253" t="n">
        <v>19</v>
      </c>
      <c r="T240" s="253" t="n">
        <v>21</v>
      </c>
      <c r="U240" s="254">
        <f>U145*(1-U151)</f>
        <v>20.145</v>
      </c>
      <c r="V240" s="254">
        <f>V145*(1-V151)</f>
        <v>20.145</v>
      </c>
      <c r="W240" s="254">
        <f>SUM(S240:V240)</f>
        <v>80.29</v>
      </c>
      <c r="X240" s="254">
        <f>X145*(1-X151)</f>
        <v>79</v>
      </c>
      <c r="Y240" s="254">
        <f>Y145*(1-Y151)</f>
        <v>197.5</v>
      </c>
      <c r="Z240" s="254">
        <f>Z145*(1-Z151)</f>
        <v>79</v>
      </c>
      <c r="AA240" s="254">
        <f>AA145*(1-AA151)</f>
        <v>79</v>
      </c>
      <c r="AB240" s="254">
        <f>AB145*(1-AB151)</f>
        <v>79</v>
      </c>
      <c r="AC240" s="19" t="n"/>
    </row>
    <row r="241" ht="15" customHeight="1" s="251">
      <c r="B241" s="25" t="inlineStr">
        <is>
          <t xml:space="preserve">  (+) Separation costs (net of tax)</t>
        </is>
      </c>
      <c r="C241" s="34" t="n"/>
      <c r="D241" s="253" t="n">
        <v>181</v>
      </c>
      <c r="E241" s="253" t="n">
        <v>149</v>
      </c>
      <c r="F241" s="253" t="n">
        <v>-100</v>
      </c>
      <c r="G241" s="253" t="n">
        <v>348</v>
      </c>
      <c r="H241" s="253" t="n">
        <v>579</v>
      </c>
      <c r="I241" s="253" t="n">
        <v>225</v>
      </c>
      <c r="J241" s="253" t="n">
        <v>-141</v>
      </c>
      <c r="K241" s="253" t="n">
        <v>13</v>
      </c>
      <c r="L241" s="253" t="n">
        <v>46</v>
      </c>
      <c r="M241" s="253" t="n">
        <v>143</v>
      </c>
      <c r="N241" s="253" t="n">
        <v>41</v>
      </c>
      <c r="O241" s="253" t="n">
        <v>37</v>
      </c>
      <c r="P241" s="253" t="n">
        <v>42</v>
      </c>
      <c r="Q241" s="253" t="n">
        <v>-41</v>
      </c>
      <c r="R241" s="253" t="n">
        <v>78</v>
      </c>
      <c r="S241" s="253" t="n">
        <v>44</v>
      </c>
      <c r="T241" s="253" t="n">
        <v>27</v>
      </c>
      <c r="U241" s="254">
        <f>U146*(1-U151)</f>
        <v>35.155</v>
      </c>
      <c r="V241" s="254">
        <f>V146*(1-V151)</f>
        <v>35.155</v>
      </c>
      <c r="W241" s="254">
        <f>SUM(S241:V241)</f>
        <v>141.31</v>
      </c>
      <c r="X241" s="254">
        <f>X146*(1-X151)</f>
        <v>39.5</v>
      </c>
      <c r="Y241" s="254">
        <f>Y146*(1-Y151)</f>
        <v>0</v>
      </c>
      <c r="Z241" s="254">
        <f>Z146*(1-Z151)</f>
        <v>0</v>
      </c>
      <c r="AA241" s="254">
        <f>AA146*(1-AA151)</f>
        <v>0</v>
      </c>
      <c r="AB241" s="254">
        <f>AB146*(1-AB151)</f>
        <v>0</v>
      </c>
      <c r="AC241" s="19" t="n"/>
    </row>
    <row r="242" ht="15" customHeight="1" s="251">
      <c r="B242" s="25" t="inlineStr">
        <is>
          <t xml:space="preserve">  (+) Goodwill impairments, Russia &amp; Ukraine charges, preferred excise / accretion (net of tax)</t>
        </is>
      </c>
      <c r="C242" s="34" t="n"/>
      <c r="D242" s="253" t="n">
        <v>30</v>
      </c>
      <c r="E242" s="253" t="n">
        <v>0</v>
      </c>
      <c r="F242" s="253" t="n">
        <v>28</v>
      </c>
      <c r="G242" s="253" t="n">
        <v>0</v>
      </c>
      <c r="H242" s="253" t="n">
        <v>58</v>
      </c>
      <c r="I242" s="253" t="n">
        <v>0</v>
      </c>
      <c r="J242" s="253" t="n">
        <v>0</v>
      </c>
      <c r="K242" s="253" t="n">
        <v>251</v>
      </c>
      <c r="L242" s="253" t="n">
        <v>-3</v>
      </c>
      <c r="M242" s="253" t="n">
        <v>248</v>
      </c>
      <c r="N242" s="253" t="n">
        <v>0</v>
      </c>
      <c r="O242" s="253" t="n">
        <v>0</v>
      </c>
      <c r="P242" s="253" t="n">
        <v>0</v>
      </c>
      <c r="Q242" s="253" t="n">
        <v>0</v>
      </c>
      <c r="R242" s="253" t="n">
        <v>0</v>
      </c>
      <c r="S242" s="253" t="n">
        <v>0</v>
      </c>
      <c r="T242" s="253" t="n">
        <v>0</v>
      </c>
      <c r="U242" s="254">
        <f>0</f>
        <v>0</v>
      </c>
      <c r="V242" s="254">
        <f>0</f>
        <v>0</v>
      </c>
      <c r="W242" s="254">
        <f>SUM(S242:V242)</f>
        <v>0</v>
      </c>
      <c r="X242" s="254">
        <f>0</f>
        <v>0</v>
      </c>
      <c r="Y242" s="254">
        <f>0</f>
        <v>0</v>
      </c>
      <c r="Z242" s="254">
        <f>0</f>
        <v>0</v>
      </c>
      <c r="AA242" s="254">
        <f>0</f>
        <v>0</v>
      </c>
      <c r="AB242" s="254">
        <f>0</f>
        <v>0</v>
      </c>
      <c r="AC242" s="19" t="n"/>
    </row>
    <row r="243" ht="15" customHeight="1" s="251">
      <c r="B243" s="55" t="inlineStr">
        <is>
          <t xml:space="preserve">  = Adjusted net income (model)</t>
        </is>
      </c>
      <c r="C243" s="273">
        <f>IF(ISNUMBER(C235),C234+C235+C236+C237+C238+C239+C240+C241+C242,"")</f>
      </c>
      <c r="D243" s="273">
        <f>IF(ISNUMBER(D235),D234+D235+D236+D237+D238+D239+D240+D241+D242,"")</f>
        <v>689</v>
      </c>
      <c r="E243" s="273">
        <f>IF(ISNUMBER(E235),E234+E235+E236+E237+E238+E239+E240+E241+E242,"")</f>
        <v>813</v>
      </c>
      <c r="F243" s="273">
        <f>IF(ISNUMBER(F235),F234+F235+F236+F237+F238+F239+F240+F241+F242,"")</f>
        <v>1017</v>
      </c>
      <c r="G243" s="273">
        <f>IF(ISNUMBER(G235),G234+G235+G236+G237+G238+G239+G240+G241+G242,"")</f>
        <v>717</v>
      </c>
      <c r="H243" s="273">
        <f>IF(ISNUMBER(H235),H234+H235+H236+H237+H238+H239+H240+H241+H242,"")</f>
        <v>3239</v>
      </c>
      <c r="I243" s="273">
        <f>IF(ISNUMBER(I235),I234+I235+I236+I237+I238+I239+I240+I241+I242,"")</f>
        <v>1026</v>
      </c>
      <c r="J243" s="273">
        <f>IF(ISNUMBER(J235),J234+J235+J236+J237+J238+J239+J240+J241+J242,"")</f>
        <v>1320</v>
      </c>
      <c r="K243" s="273">
        <f>IF(ISNUMBER(K235),K234+K235+K236+K237+K238+K239+K240+K241+K242,"")</f>
        <v>1255</v>
      </c>
      <c r="L243" s="273">
        <f>IF(ISNUMBER(L235),L234+L235+L236+L237+L238+L239+L240+L241+L242,"")</f>
        <v>1434</v>
      </c>
      <c r="M243" s="273">
        <f>IF(ISNUMBER(M235),M234+M235+M236+M237+M238+M239+M240+M241+M242,"")</f>
        <v>5036</v>
      </c>
      <c r="N243" s="273">
        <f>IF(ISNUMBER(N235),N234+N235+N236+N237+N238+N239+N240+N241+N242,"")</f>
        <v>1600</v>
      </c>
      <c r="O243" s="273">
        <f>IF(ISNUMBER(O235),O234+O235+O236+O237+O238+O239+O240+O241+O242,"")</f>
        <v>1778</v>
      </c>
      <c r="P243" s="273">
        <f>IF(ISNUMBER(P235),P234+P235+P236+P237+P238+P239+P240+P241+P242,"")</f>
        <v>1767</v>
      </c>
      <c r="Q243" s="273">
        <f>IF(ISNUMBER(Q235),Q234+Q235+Q236+Q237+Q238+Q239+Q240+Q241+Q242,"")</f>
        <v>1669</v>
      </c>
      <c r="R243" s="273">
        <f>IF(ISNUMBER(R235),R234+R235+R236+R237+R238+R239+R240+R241+R242,"")</f>
        <v>6811</v>
      </c>
      <c r="S243" s="273">
        <f>IF(ISNUMBER(S235),S234+S235+S236+S237+S238+S239+S240+S241+S242,"")</f>
        <v>1964</v>
      </c>
      <c r="T243" s="273">
        <f>IF(ISNUMBER(T235),T234+T235+T236+T237+T238+T239+T240+T241+T242,"")</f>
        <v>2113</v>
      </c>
      <c r="U243" s="273">
        <f>U252-U253</f>
        <v>1988.68024309399</v>
      </c>
      <c r="V243" s="273">
        <f>V252-V253</f>
        <v>2128.70475690601</v>
      </c>
      <c r="W243" s="273">
        <f>SUM(S243:V243)</f>
        <v>8194.385</v>
      </c>
      <c r="X243" s="273">
        <f>X252-X253</f>
        <v>9444.01026584887</v>
      </c>
      <c r="Y243" s="273">
        <f>Y252-Y253</f>
        <v>10619.952502866</v>
      </c>
      <c r="Z243" s="273">
        <f>Z252-Z253</f>
        <v>11893.5437683104</v>
      </c>
      <c r="AA243" s="273">
        <f>AA252-AA253</f>
        <v>13106.4520118793</v>
      </c>
      <c r="AB243" s="273">
        <f>AB252-AB253</f>
        <v>14174.0540719649</v>
      </c>
      <c r="AC243" s="153" t="inlineStr">
        <is>
          <t>Historical: rebuilt from the published items. Forecast: (operating profit − interest) × (1 − adjusted tax rate); GAAP net income = adjusted − items.</t>
        </is>
      </c>
      <c r="AE243" s="20">
        <f>IFERROR((AB243/W243)^(1/5)-1,"n/m")</f>
        <v>0.115823603767715</v>
      </c>
      <c r="AF243" s="20" t="str">
        <f>IFERROR((R243/C243)^(1/3)-1,"n/m")</f>
        <v>n/m</v>
      </c>
      <c r="AG243" s="20">
        <f>IFERROR((R243/H243)^(1/2)-1,"n/m")</f>
        <v>0.450106723350992</v>
      </c>
      <c r="AH243" s="20">
        <f>IFERROR(W243/R243-1,"n/m")</f>
        <v>0.203110409631478</v>
      </c>
    </row>
    <row r="244" ht="15" customHeight="1" s="251">
      <c r="B244" s="156" t="inlineStr">
        <is>
          <t xml:space="preserve">  Company-published adjusted net income</t>
        </is>
      </c>
      <c r="C244" s="34" t="n"/>
      <c r="D244" s="253" t="n">
        <v>691</v>
      </c>
      <c r="E244" s="253" t="n">
        <v>812</v>
      </c>
      <c r="F244" s="253" t="n">
        <v>1016</v>
      </c>
      <c r="G244" s="253" t="n">
        <v>718</v>
      </c>
      <c r="H244" s="253" t="n">
        <v>3241</v>
      </c>
      <c r="I244" s="253" t="n">
        <v>1026</v>
      </c>
      <c r="J244" s="253" t="n">
        <v>1321</v>
      </c>
      <c r="K244" s="253" t="n">
        <v>1255</v>
      </c>
      <c r="L244" s="253" t="n">
        <v>1433</v>
      </c>
      <c r="M244" s="253" t="n">
        <v>5035</v>
      </c>
      <c r="N244" s="253" t="n">
        <v>1601</v>
      </c>
      <c r="O244" s="253" t="n">
        <v>1777</v>
      </c>
      <c r="P244" s="253" t="n">
        <v>1764</v>
      </c>
      <c r="Q244" s="253" t="n">
        <v>1667</v>
      </c>
      <c r="R244" s="253" t="n">
        <v>6812</v>
      </c>
      <c r="S244" s="253" t="n">
        <v>1963</v>
      </c>
      <c r="T244" s="253" t="n">
        <v>2114</v>
      </c>
      <c r="U244" s="153" t="n"/>
      <c r="V244" s="153" t="n"/>
      <c r="W244" s="153" t="n"/>
      <c r="X244" s="153" t="n"/>
      <c r="Y244" s="153" t="n"/>
      <c r="Z244" s="153" t="n"/>
      <c r="AA244" s="153" t="n"/>
      <c r="AB244" s="153" t="n"/>
      <c r="AC244" s="153" t="n"/>
    </row>
    <row r="245" ht="15" customHeight="1" s="251">
      <c r="B245" s="57" t="inlineStr">
        <is>
          <t xml:space="preserve">  Check: model vs company-published adjusted net income (should be 0; ±4 company rounding)</t>
        </is>
      </c>
      <c r="C245" s="211" t="str">
        <f>IF(ISNUMBER(C244),IF(ABS(C243-C244)&lt;=4.01,0,ROUND(C243-C244,0)),"n/p")</f>
        <v>n/p</v>
      </c>
      <c r="D245" s="211">
        <f>IF(ISNUMBER(D244),IF(ABS(D243-D244)&lt;=4.01,0,ROUND(D243-D244,0)),"n/p")</f>
        <v>0</v>
      </c>
      <c r="E245" s="211">
        <f>IF(ISNUMBER(E244),IF(ABS(E243-E244)&lt;=4.01,0,ROUND(E243-E244,0)),"n/p")</f>
        <v>0</v>
      </c>
      <c r="F245" s="211">
        <f>IF(ISNUMBER(F244),IF(ABS(F243-F244)&lt;=4.01,0,ROUND(F243-F244,0)),"n/p")</f>
        <v>0</v>
      </c>
      <c r="G245" s="211">
        <f>IF(ISNUMBER(G244),IF(ABS(G243-G244)&lt;=4.01,0,ROUND(G243-G244,0)),"n/p")</f>
        <v>0</v>
      </c>
      <c r="H245" s="211">
        <f>IF(ISNUMBER(H244),IF(ABS(H243-H244)&lt;=4.01,0,ROUND(H243-H244,0)),"n/p")</f>
        <v>0</v>
      </c>
      <c r="I245" s="211">
        <f>IF(ISNUMBER(I244),IF(ABS(I243-I244)&lt;=4.01,0,ROUND(I243-I244,0)),"n/p")</f>
        <v>0</v>
      </c>
      <c r="J245" s="211">
        <f>IF(ISNUMBER(J244),IF(ABS(J243-J244)&lt;=4.01,0,ROUND(J243-J244,0)),"n/p")</f>
        <v>0</v>
      </c>
      <c r="K245" s="211">
        <f>IF(ISNUMBER(K244),IF(ABS(K243-K244)&lt;=4.01,0,ROUND(K243-K244,0)),"n/p")</f>
        <v>0</v>
      </c>
      <c r="L245" s="211">
        <f>IF(ISNUMBER(L244),IF(ABS(L243-L244)&lt;=4.01,0,ROUND(L243-L244,0)),"n/p")</f>
        <v>0</v>
      </c>
      <c r="M245" s="211">
        <f>IF(ISNUMBER(M244),IF(ABS(M243-M244)&lt;=4.01,0,ROUND(M243-M244,0)),"n/p")</f>
        <v>0</v>
      </c>
      <c r="N245" s="211">
        <f>IF(ISNUMBER(N244),IF(ABS(N243-N244)&lt;=4.01,0,ROUND(N243-N244,0)),"n/p")</f>
        <v>0</v>
      </c>
      <c r="O245" s="211">
        <f>IF(ISNUMBER(O244),IF(ABS(O243-O244)&lt;=4.01,0,ROUND(O243-O244,0)),"n/p")</f>
        <v>0</v>
      </c>
      <c r="P245" s="211">
        <f>IF(ISNUMBER(P244),IF(ABS(P243-P244)&lt;=4.01,0,ROUND(P243-P244,0)),"n/p")</f>
        <v>0</v>
      </c>
      <c r="Q245" s="211">
        <f>IF(ISNUMBER(Q244),IF(ABS(Q243-Q244)&lt;=4.01,0,ROUND(Q243-Q244,0)),"n/p")</f>
        <v>0</v>
      </c>
      <c r="R245" s="211">
        <f>IF(ISNUMBER(R244),IF(ABS(R243-R244)&lt;=4.01,0,ROUND(R243-R244,0)),"n/p")</f>
        <v>0</v>
      </c>
      <c r="S245" s="211">
        <f>IF(ISNUMBER(S244),IF(ABS(S243-S244)&lt;=4.01,0,ROUND(S243-S244,0)),"n/p")</f>
        <v>0</v>
      </c>
      <c r="T245" s="211">
        <f>IF(ISNUMBER(T244),IF(ABS(T243-T244)&lt;=4.01,0,ROUND(T243-T244,0)),"n/p")</f>
        <v>0</v>
      </c>
      <c r="U245" s="153" t="n"/>
      <c r="V245" s="153" t="n"/>
      <c r="W245" s="153" t="n"/>
      <c r="X245" s="153" t="n"/>
      <c r="Y245" s="153" t="n"/>
      <c r="Z245" s="153" t="n"/>
      <c r="AA245" s="153" t="n"/>
      <c r="AB245" s="153" t="n"/>
      <c r="AC245" s="153" t="n"/>
    </row>
    <row r="246" ht="15" customHeight="1" s="251">
      <c r="B246" s="156" t="inlineStr">
        <is>
          <t xml:space="preserve">  Memo: company starting figure (continuing net income to common, release table)</t>
        </is>
      </c>
      <c r="C246" s="34" t="n"/>
      <c r="D246" s="253" t="n">
        <v>6552</v>
      </c>
      <c r="E246" s="253" t="n">
        <v>1195</v>
      </c>
      <c r="F246" s="253" t="n">
        <v>215</v>
      </c>
      <c r="G246" s="253" t="n">
        <v>1185</v>
      </c>
      <c r="H246" s="253" t="n">
        <v>9151</v>
      </c>
      <c r="I246" s="253" t="n">
        <v>1741</v>
      </c>
      <c r="J246" s="253" t="n">
        <v>1320</v>
      </c>
      <c r="K246" s="253" t="n">
        <v>1705</v>
      </c>
      <c r="L246" s="253" t="n">
        <v>1905</v>
      </c>
      <c r="M246" s="253" t="n">
        <v>6670</v>
      </c>
      <c r="N246" s="253" t="n">
        <v>1967</v>
      </c>
      <c r="O246" s="253" t="n">
        <v>2007</v>
      </c>
      <c r="P246" s="253" t="n">
        <v>2170</v>
      </c>
      <c r="Q246" s="253" t="n">
        <v>2452</v>
      </c>
      <c r="R246" s="253" t="n">
        <v>8598</v>
      </c>
      <c r="S246" s="253" t="n">
        <v>1930</v>
      </c>
      <c r="T246" s="253" t="n">
        <v>2405</v>
      </c>
      <c r="U246" s="153" t="n"/>
      <c r="V246" s="153" t="n"/>
      <c r="W246" s="153" t="n"/>
      <c r="X246" s="153" t="n"/>
      <c r="Y246" s="153" t="n"/>
      <c r="Z246" s="153" t="n"/>
      <c r="AA246" s="153" t="n"/>
      <c r="AB246" s="153" t="n"/>
      <c r="AC246" s="153" t="n"/>
    </row>
    <row r="247" ht="15" customHeight="1" s="251">
      <c r="B247" s="25" t="inlineStr">
        <is>
          <t xml:space="preserve">  Weighted-average diluted shares (m)</t>
        </is>
      </c>
      <c r="C247" s="285">
        <f>IF(ISNUMBER(C190),C190,"")</f>
        <v>1101</v>
      </c>
      <c r="D247" s="285">
        <f>IF(ISNUMBER(D190),D190,"")</f>
        <v>1097</v>
      </c>
      <c r="E247" s="285">
        <f>IF(ISNUMBER(E190),E190,"")</f>
        <v>1098</v>
      </c>
      <c r="F247" s="285">
        <f>IF(ISNUMBER(F190),F190,"")</f>
        <v>1099</v>
      </c>
      <c r="G247" s="285">
        <f>IF(ISNUMBER(G190),G190,"")</f>
        <v>1102</v>
      </c>
      <c r="H247" s="285">
        <f>IF(ISNUMBER(H190),H190,"")</f>
        <v>1099</v>
      </c>
      <c r="I247" s="285">
        <f>IF(ISNUMBER(I190),I190,"")</f>
        <v>1103</v>
      </c>
      <c r="J247" s="285">
        <f>IF(ISNUMBER(J190),J190,"")</f>
        <v>1100</v>
      </c>
      <c r="K247" s="285">
        <f>IF(ISNUMBER(K190),K190,"")</f>
        <v>1093</v>
      </c>
      <c r="L247" s="285">
        <f>IF(ISNUMBER(L190),L190,"")</f>
        <v>1080</v>
      </c>
      <c r="M247" s="285">
        <f>IF(ISNUMBER(M190),M190,"")</f>
        <v>1094</v>
      </c>
      <c r="N247" s="285">
        <f>IF(ISNUMBER(N190),N190,"")</f>
        <v>1078</v>
      </c>
      <c r="O247" s="285">
        <f>IF(ISNUMBER(O190),O190,"")</f>
        <v>1071</v>
      </c>
      <c r="P247" s="285">
        <f>IF(ISNUMBER(P190),P190,"")</f>
        <v>1065</v>
      </c>
      <c r="Q247" s="285">
        <f>IF(ISNUMBER(Q190),Q190,"")</f>
        <v>1058</v>
      </c>
      <c r="R247" s="285">
        <f>IF(ISNUMBER(R190),R190,"")</f>
        <v>1068</v>
      </c>
      <c r="S247" s="285">
        <f>IF(ISNUMBER(S190),S190,"")</f>
        <v>1054</v>
      </c>
      <c r="T247" s="285">
        <f>IF(ISNUMBER(T190),T190,"")</f>
        <v>1047</v>
      </c>
      <c r="U247" s="279">
        <f>IF(ISNUMBER(U190),U190,"")</f>
        <v>1041.81575975325</v>
      </c>
      <c r="V247" s="279">
        <f>IF(ISNUMBER(V190),V190,"")</f>
        <v>1036.32225325974</v>
      </c>
      <c r="W247" s="279">
        <f>IF(ISNUMBER(W190),W190,"")</f>
        <v>1044.78450325325</v>
      </c>
      <c r="X247" s="279">
        <f>IF(ISNUMBER(X190),X190,"")</f>
        <v>1034.82664678633</v>
      </c>
      <c r="Y247" s="279">
        <f>IF(ISNUMBER(Y190),Y190,"")</f>
        <v>1022.34891913683</v>
      </c>
      <c r="Z247" s="279">
        <f>IF(ISNUMBER(Z190),Z190,"")</f>
        <v>995.665752636583</v>
      </c>
      <c r="AA247" s="279">
        <f>IF(ISNUMBER(AA190),AA190,"")</f>
        <v>969.869279455679</v>
      </c>
      <c r="AB247" s="279">
        <f>IF(ISNUMBER(AB190),AB190,"")</f>
        <v>944.903574027256</v>
      </c>
      <c r="AC247" s="19" t="n"/>
    </row>
    <row r="248" ht="15" customHeight="1" s="251">
      <c r="B248" s="55" t="inlineStr">
        <is>
          <t>Adjusted EPS – diluted ($) (model bridge)</t>
        </is>
      </c>
      <c r="C248" s="280">
        <f>IF(AND(ISNUMBER(C243),ISNUMBER(C247)),IFERROR(C243/C247,""),"")</f>
      </c>
      <c r="D248" s="280">
        <f>IF(AND(ISNUMBER(D243),ISNUMBER(D247)),IFERROR(D243/D247,""),"")</f>
        <v>0.628076572470374</v>
      </c>
      <c r="E248" s="280">
        <f>IF(AND(ISNUMBER(E243),ISNUMBER(E247)),IFERROR(E243/E247,""),"")</f>
        <v>0.740437158469945</v>
      </c>
      <c r="F248" s="280">
        <f>IF(AND(ISNUMBER(F243),ISNUMBER(F247)),IFERROR(F243/F247,""),"")</f>
        <v>0.925386715195632</v>
      </c>
      <c r="G248" s="280">
        <f>IF(AND(ISNUMBER(G243),ISNUMBER(G247)),IFERROR(G243/G247,""),"")</f>
        <v>0.650635208711434</v>
      </c>
      <c r="H248" s="280">
        <f>IF(AND(ISNUMBER(H243),ISNUMBER(H247)),IFERROR(H243/H247,""),"")</f>
        <v>2.94722474977252</v>
      </c>
      <c r="I248" s="280">
        <f>IF(AND(ISNUMBER(I243),ISNUMBER(I247)),IFERROR(I243/I247,""),"")</f>
        <v>0.930190389845875</v>
      </c>
      <c r="J248" s="280">
        <f>IF(AND(ISNUMBER(J243),ISNUMBER(J247)),IFERROR(J243/J247,""),"")</f>
        <v>1.2</v>
      </c>
      <c r="K248" s="280">
        <f>IF(AND(ISNUMBER(K243),ISNUMBER(K247)),IFERROR(K243/K247,""),"")</f>
        <v>1.14821591948765</v>
      </c>
      <c r="L248" s="280">
        <f>IF(AND(ISNUMBER(L243),ISNUMBER(L247)),IFERROR(L243/L247,""),"")</f>
        <v>1.32777777777778</v>
      </c>
      <c r="M248" s="280">
        <f>IF(AND(ISNUMBER(M243),ISNUMBER(M247)),IFERROR(M243/M247,""),"")</f>
        <v>4.60329067641682</v>
      </c>
      <c r="N248" s="280">
        <f>IF(AND(ISNUMBER(N243),ISNUMBER(N247)),IFERROR(N243/N247,""),"")</f>
        <v>1.48423005565863</v>
      </c>
      <c r="O248" s="280">
        <f>IF(AND(ISNUMBER(O243),ISNUMBER(O247)),IFERROR(O243/O247,""),"")</f>
        <v>1.66013071895425</v>
      </c>
      <c r="P248" s="280">
        <f>IF(AND(ISNUMBER(P243),ISNUMBER(P247)),IFERROR(P243/P247,""),"")</f>
        <v>1.65915492957746</v>
      </c>
      <c r="Q248" s="280">
        <f>IF(AND(ISNUMBER(Q243),ISNUMBER(Q247)),IFERROR(Q243/Q247,""),"")</f>
        <v>1.57750472589792</v>
      </c>
      <c r="R248" s="280">
        <f>IF(AND(ISNUMBER(R243),ISNUMBER(R247)),IFERROR(R243/R247,""),"")</f>
        <v>6.37734082397004</v>
      </c>
      <c r="S248" s="280">
        <f>IF(AND(ISNUMBER(S243),ISNUMBER(S247)),IFERROR(S243/S247,""),"")</f>
        <v>1.86337760910816</v>
      </c>
      <c r="T248" s="280">
        <f>IF(AND(ISNUMBER(T243),ISNUMBER(T247)),IFERROR(T243/T247,""),"")</f>
        <v>2.018147086915</v>
      </c>
      <c r="U248" s="280">
        <f>IF(AND(ISNUMBER(U243),ISNUMBER(U247)),IFERROR(U243/U247,""),"")</f>
        <v>1.90885981947999</v>
      </c>
      <c r="V248" s="280">
        <f>IF(AND(ISNUMBER(V243),ISNUMBER(V247)),IFERROR(V243/V247,""),"")</f>
        <v>2.05409538414348</v>
      </c>
      <c r="W248" s="280">
        <f>IF(AND(ISNUMBER(W243),ISNUMBER(W247)),IFERROR(W243/W247,""),"")</f>
        <v>7.84313413386622</v>
      </c>
      <c r="X248" s="280">
        <f>IF(AND(ISNUMBER(X243),ISNUMBER(X247)),IFERROR(X243/X247,""),"")</f>
        <v>9.12617615247675</v>
      </c>
      <c r="Y248" s="280">
        <f>IF(AND(ISNUMBER(Y243),ISNUMBER(Y247)),IFERROR(Y243/Y247,""),"")</f>
        <v>10.3877964793394</v>
      </c>
      <c r="Z248" s="280">
        <f>IF(AND(ISNUMBER(Z243),ISNUMBER(Z247)),IFERROR(Z243/Z247,""),"")</f>
        <v>11.9453177301876</v>
      </c>
      <c r="AA248" s="280">
        <f>IF(AND(ISNUMBER(AA243),ISNUMBER(AA247)),IFERROR(AA243/AA247,""),"")</f>
        <v>13.5136273408259</v>
      </c>
      <c r="AB248" s="280">
        <f>IF(AND(ISNUMBER(AB243),ISNUMBER(AB247)),IFERROR(AB243/AB247,""),"")</f>
        <v>15.000529642992</v>
      </c>
      <c r="AC248" s="19" t="n"/>
      <c r="AE248" s="20">
        <f>IFERROR((AB248/W248)^(1/5)-1,"n/m")</f>
        <v>0.138474716689477</v>
      </c>
      <c r="AF248" s="20" t="str">
        <f>IFERROR((R248/C248)^(1/3)-1,"n/m")</f>
        <v>n/m</v>
      </c>
      <c r="AG248" s="20">
        <f>IFERROR((R248/H248)^(1/2)-1,"n/m")</f>
        <v>0.471001738513314</v>
      </c>
      <c r="AH248" s="20">
        <f>IFERROR(W248/R248-1,"n/m")</f>
        <v>0.229843966373384</v>
      </c>
    </row>
    <row r="249" ht="15" customHeight="1" s="251">
      <c r="B249" s="156" t="inlineStr">
        <is>
          <t xml:space="preserve">  Company-published adjusted EPS ($)</t>
        </is>
      </c>
      <c r="C249" s="27" t="n"/>
      <c r="D249" s="281" t="n">
        <v>0.63</v>
      </c>
      <c r="E249" s="281" t="n">
        <v>0.74</v>
      </c>
      <c r="F249" s="281" t="n">
        <v>0.92</v>
      </c>
      <c r="G249" s="281" t="n">
        <v>0.65</v>
      </c>
      <c r="H249" s="281" t="n">
        <v>2.95</v>
      </c>
      <c r="I249" s="281" t="n">
        <v>0.93</v>
      </c>
      <c r="J249" s="281" t="n">
        <v>1.2</v>
      </c>
      <c r="K249" s="281" t="n">
        <v>1.15</v>
      </c>
      <c r="L249" s="281" t="n">
        <v>1.32</v>
      </c>
      <c r="M249" s="281" t="n">
        <v>4.6</v>
      </c>
      <c r="N249" s="281" t="n">
        <v>1.49</v>
      </c>
      <c r="O249" s="281" t="n">
        <v>1.66</v>
      </c>
      <c r="P249" s="281" t="n">
        <v>1.66</v>
      </c>
      <c r="Q249" s="281" t="n">
        <v>1.57</v>
      </c>
      <c r="R249" s="281" t="n">
        <v>6.37</v>
      </c>
      <c r="S249" s="281" t="n">
        <v>1.86</v>
      </c>
      <c r="T249" s="281" t="n">
        <v>2.02</v>
      </c>
      <c r="U249" s="153" t="n"/>
      <c r="V249" s="153" t="n"/>
      <c r="W249" s="153" t="n"/>
      <c r="X249" s="153" t="n"/>
      <c r="Y249" s="153" t="n"/>
      <c r="Z249" s="153" t="n"/>
      <c r="AA249" s="153" t="n"/>
      <c r="AB249" s="153" t="n"/>
      <c r="AC249" s="153" t="n"/>
    </row>
    <row r="250" ht="15" customHeight="1" s="251">
      <c r="B250" s="57" t="inlineStr">
        <is>
          <t xml:space="preserve">  Check: model vs company-published (should be 0.00; ±0.01, ±0.03 where Q4 shares are derived)</t>
        </is>
      </c>
      <c r="C250" s="282" t="str">
        <f>IF(AND(ISNUMBER(C249),ISNUMBER(C248)),IF(ABS(C248-C249)&lt;=0.0101,0,ROUND(C248-C249,2)),"n/p")</f>
        <v>n/p</v>
      </c>
      <c r="D250" s="282">
        <f>IF(AND(ISNUMBER(D249),ISNUMBER(D248)),IF(ABS(D248-D249)&lt;=0.0101,0,ROUND(D248-D249,2)),"n/p")</f>
        <v>0</v>
      </c>
      <c r="E250" s="282">
        <f>IF(AND(ISNUMBER(E249),ISNUMBER(E248)),IF(ABS(E248-E249)&lt;=0.0101,0,ROUND(E248-E249,2)),"n/p")</f>
        <v>0</v>
      </c>
      <c r="F250" s="282">
        <f>IF(AND(ISNUMBER(F249),ISNUMBER(F248)),IF(ABS(F248-F249)&lt;=0.0101,0,ROUND(F248-F249,2)),"n/p")</f>
        <v>0</v>
      </c>
      <c r="G250" s="282">
        <f>IF(AND(ISNUMBER(G249),ISNUMBER(G248)),IF(ABS(G248-G249)&lt;=0.0301,0,ROUND(G248-G249,2)),"n/p")</f>
        <v>0</v>
      </c>
      <c r="H250" s="282">
        <f>IF(AND(ISNUMBER(H249),ISNUMBER(H248)),IF(ABS(H248-H249)&lt;=0.0101,0,ROUND(H248-H249,2)),"n/p")</f>
        <v>0</v>
      </c>
      <c r="I250" s="282">
        <f>IF(AND(ISNUMBER(I249),ISNUMBER(I248)),IF(ABS(I248-I249)&lt;=0.0101,0,ROUND(I248-I249,2)),"n/p")</f>
        <v>0</v>
      </c>
      <c r="J250" s="282">
        <f>IF(AND(ISNUMBER(J249),ISNUMBER(J248)),IF(ABS(J248-J249)&lt;=0.0101,0,ROUND(J248-J249,2)),"n/p")</f>
        <v>0</v>
      </c>
      <c r="K250" s="282">
        <f>IF(AND(ISNUMBER(K249),ISNUMBER(K248)),IF(ABS(K248-K249)&lt;=0.0101,0,ROUND(K248-K249,2)),"n/p")</f>
        <v>0</v>
      </c>
      <c r="L250" s="282">
        <f>IF(AND(ISNUMBER(L249),ISNUMBER(L248)),IF(ABS(L248-L249)&lt;=0.0301,0,ROUND(L248-L249,2)),"n/p")</f>
        <v>0</v>
      </c>
      <c r="M250" s="282">
        <f>IF(AND(ISNUMBER(M249),ISNUMBER(M248)),IF(ABS(M248-M249)&lt;=0.0101,0,ROUND(M248-M249,2)),"n/p")</f>
        <v>0</v>
      </c>
      <c r="N250" s="282">
        <f>IF(AND(ISNUMBER(N249),ISNUMBER(N248)),IF(ABS(N248-N249)&lt;=0.0101,0,ROUND(N248-N249,2)),"n/p")</f>
        <v>0</v>
      </c>
      <c r="O250" s="282">
        <f>IF(AND(ISNUMBER(O249),ISNUMBER(O248)),IF(ABS(O248-O249)&lt;=0.0101,0,ROUND(O248-O249,2)),"n/p")</f>
        <v>0</v>
      </c>
      <c r="P250" s="282">
        <f>IF(AND(ISNUMBER(P249),ISNUMBER(P248)),IF(ABS(P248-P249)&lt;=0.0101,0,ROUND(P248-P249,2)),"n/p")</f>
        <v>0</v>
      </c>
      <c r="Q250" s="282">
        <f>IF(AND(ISNUMBER(Q249),ISNUMBER(Q248)),IF(ABS(Q248-Q249)&lt;=0.0301,0,ROUND(Q248-Q249,2)),"n/p")</f>
        <v>0</v>
      </c>
      <c r="R250" s="282">
        <f>IF(AND(ISNUMBER(R249),ISNUMBER(R248)),IF(ABS(R248-R249)&lt;=0.0101,0,ROUND(R248-R249,2)),"n/p")</f>
        <v>0</v>
      </c>
      <c r="S250" s="282">
        <f>IF(AND(ISNUMBER(S249),ISNUMBER(S248)),IF(ABS(S248-S249)&lt;=0.0101,0,ROUND(S248-S249,2)),"n/p")</f>
        <v>0</v>
      </c>
      <c r="T250" s="282">
        <f>IF(AND(ISNUMBER(T249),ISNUMBER(T248)),IF(ABS(T248-T249)&lt;=0.0101,0,ROUND(T248-T249,2)),"n/p")</f>
        <v>0</v>
      </c>
      <c r="U250" s="153" t="n"/>
      <c r="V250" s="153" t="n"/>
      <c r="W250" s="153" t="n"/>
      <c r="X250" s="153" t="n"/>
      <c r="Y250" s="153" t="n"/>
      <c r="Z250" s="153" t="n"/>
      <c r="AA250" s="153" t="n"/>
      <c r="AB250" s="153" t="n"/>
      <c r="AC250" s="153" t="n"/>
    </row>
    <row r="251" ht="15" customHeight="1" s="251">
      <c r="B251" s="22" t="inlineStr">
        <is>
          <t xml:space="preserve">  Adjusted EPS y/y %</t>
        </is>
      </c>
      <c r="C251" s="23" t="n"/>
      <c r="D251" s="23" t="n"/>
      <c r="E251" s="23" t="n"/>
      <c r="F251" s="23" t="n"/>
      <c r="G251" s="23" t="n"/>
      <c r="H251" s="255">
        <f>IF(AND(ISNUMBER(H248),ISNUMBER(C248)),IFERROR(H248/C248-1,""),"")</f>
      </c>
      <c r="I251" s="255">
        <f>IF(AND(ISNUMBER(I248),ISNUMBER(D248)),IFERROR(I248/D248-1,""),"")</f>
        <v>0.481014307200181</v>
      </c>
      <c r="J251" s="255">
        <f>IF(AND(ISNUMBER(J248),ISNUMBER(E248)),IFERROR(J248/E248-1,""),"")</f>
        <v>0.620664206642066</v>
      </c>
      <c r="K251" s="255">
        <f>IF(AND(ISNUMBER(K248),ISNUMBER(F248)),IFERROR(K248/F248-1,""),"")</f>
        <v>0.240795767469937</v>
      </c>
      <c r="L251" s="255">
        <f>IF(AND(ISNUMBER(L248),ISNUMBER(G248)),IFERROR(L248/G248-1,""),"")</f>
        <v>1.04074074074074</v>
      </c>
      <c r="M251" s="255">
        <f>IF(AND(ISNUMBER(M248),ISNUMBER(H248)),IFERROR(M248/H248-1,""),"")</f>
        <v>0.561906901322039</v>
      </c>
      <c r="N251" s="255">
        <f>IF(AND(ISNUMBER(N248),ISNUMBER(I248)),IFERROR(N248/I248-1,""),"")</f>
        <v>0.595619640732423</v>
      </c>
      <c r="O251" s="255">
        <f>IF(AND(ISNUMBER(O248),ISNUMBER(J248)),IFERROR(O248/J248-1,""),"")</f>
        <v>0.383442265795207</v>
      </c>
      <c r="P251" s="255">
        <f>IF(AND(ISNUMBER(P248),ISNUMBER(K248)),IFERROR(P248/K248-1,""),"")</f>
        <v>0.444985129902924</v>
      </c>
      <c r="Q251" s="255">
        <f>IF(AND(ISNUMBER(Q248),ISNUMBER(L248)),IFERROR(Q248/L248-1,""),"")</f>
        <v>0.188078873061196</v>
      </c>
      <c r="R251" s="255">
        <f>IF(AND(ISNUMBER(R248),ISNUMBER(M248)),IFERROR(R248/M248-1,""),"")</f>
        <v>0.385387383126136</v>
      </c>
      <c r="S251" s="255">
        <f>IF(AND(ISNUMBER(S248),ISNUMBER(N248)),IFERROR(S248/N248-1,""),"")</f>
        <v>0.255450664136622</v>
      </c>
      <c r="T251" s="255">
        <f>IF(AND(ISNUMBER(T248),ISNUMBER(O248)),IFERROR(T248/O248-1,""),"")</f>
        <v>0.215655528732261</v>
      </c>
      <c r="U251" s="256">
        <f>IF(AND(ISNUMBER(U248),ISNUMBER(P248)),IFERROR(U248/P248-1,""),"")</f>
        <v>0.150501249431913</v>
      </c>
      <c r="V251" s="256">
        <f>IF(AND(ISNUMBER(V248),ISNUMBER(Q248)),IFERROR(V248/Q248-1,""),"")</f>
        <v>0.302116786353388</v>
      </c>
      <c r="W251" s="256">
        <f>IF(AND(ISNUMBER(W248),ISNUMBER(R248)),IFERROR(W248/R248-1,""),"")</f>
        <v>0.229843966373384</v>
      </c>
      <c r="X251" s="256">
        <f>IF(AND(ISNUMBER(X248),ISNUMBER(W248)),IFERROR(X248/W248-1,""),"")</f>
        <v>0.163587922469721</v>
      </c>
      <c r="Y251" s="256">
        <f>IF(AND(ISNUMBER(Y248),ISNUMBER(X248)),IFERROR(Y248/X248-1,""),"")</f>
        <v>0.1382419433708</v>
      </c>
      <c r="Z251" s="256">
        <f>IF(AND(ISNUMBER(Z248),ISNUMBER(Y248)),IFERROR(Z248/Y248-1,""),"")</f>
        <v>0.149937597828957</v>
      </c>
      <c r="AA251" s="256">
        <f>IF(AND(ISNUMBER(AA248),ISNUMBER(Z248)),IFERROR(AA248/Z248-1,""),"")</f>
        <v>0.131290740527972</v>
      </c>
      <c r="AB251" s="256">
        <f>IF(AND(ISNUMBER(AB248),ISNUMBER(AA248)),IFERROR(AB248/AA248-1,""),"")</f>
        <v>0.11002984355459</v>
      </c>
      <c r="AC251" s="153" t="n"/>
    </row>
    <row r="252" ht="15" customHeight="1" s="251">
      <c r="B252" s="25" t="inlineStr">
        <is>
          <t xml:space="preserve">  Adjusted earnings before tax (operating profit − interest and other financial charges)</t>
        </is>
      </c>
      <c r="C252" s="211">
        <f>IF(ISNUMBER(C209),C209-C167,"")</f>
      </c>
      <c r="D252" s="211">
        <f>IF(ISNUMBER(D209),D209-D167,"")</f>
        <v>996</v>
      </c>
      <c r="E252" s="211">
        <f>IF(ISNUMBER(E209),E209-E167,"")</f>
        <v>1138</v>
      </c>
      <c r="F252" s="211">
        <f>IF(ISNUMBER(F209),F209-F167,"")</f>
        <v>1323</v>
      </c>
      <c r="G252" s="211">
        <f>IF(ISNUMBER(G209),G209-G167,"")</f>
        <v>1071</v>
      </c>
      <c r="H252" s="211">
        <f>IF(ISNUMBER(H209),H209-H167,"")</f>
        <v>4530</v>
      </c>
      <c r="I252" s="211">
        <f>IF(ISNUMBER(I209),I209-I167,"")</f>
        <v>1287</v>
      </c>
      <c r="J252" s="211">
        <f>IF(ISNUMBER(J209),J209-J167,"")</f>
        <v>1649</v>
      </c>
      <c r="K252" s="211">
        <f>IF(ISNUMBER(K209),K209-K167,"")</f>
        <v>1568</v>
      </c>
      <c r="L252" s="211">
        <f>IF(ISNUMBER(L209),L209-L167,"")</f>
        <v>1764</v>
      </c>
      <c r="M252" s="211">
        <f>IF(ISNUMBER(M209),M209-M167,"")</f>
        <v>6268</v>
      </c>
      <c r="N252" s="211">
        <f>IF(ISNUMBER(N209),N209-N167,"")</f>
        <v>1935</v>
      </c>
      <c r="O252" s="211">
        <f>IF(ISNUMBER(O209),O209-O167,"")</f>
        <v>2180</v>
      </c>
      <c r="P252" s="211">
        <f>IF(ISNUMBER(P209),P209-P167,"")</f>
        <v>2076</v>
      </c>
      <c r="Q252" s="211">
        <f>IF(ISNUMBER(Q209),Q209-Q167,"")</f>
        <v>2023</v>
      </c>
      <c r="R252" s="211">
        <f>IF(ISNUMBER(R209),R209-R167,"")</f>
        <v>8213</v>
      </c>
      <c r="S252" s="211">
        <f>IF(ISNUMBER(S209),S209-S167,"")</f>
        <v>2299</v>
      </c>
      <c r="T252" s="211">
        <f>IF(ISNUMBER(T209),T209-T167,"")</f>
        <v>2533</v>
      </c>
      <c r="U252" s="254">
        <f>IF(ISNUMBER(U209),U209-U167,"")</f>
        <v>2381.65298574131</v>
      </c>
      <c r="V252" s="254">
        <f>IF(ISNUMBER(V209),V209-V167,"")</f>
        <v>2549.34701425869</v>
      </c>
      <c r="W252" s="254">
        <f>IF(ISNUMBER(W209),W209-W167,"")</f>
        <v>9763</v>
      </c>
      <c r="X252" s="254">
        <f>IF(ISNUMBER(X209),X209-X167,"")</f>
        <v>11378.3256215047</v>
      </c>
      <c r="Y252" s="254">
        <f>IF(ISNUMBER(Y209),Y209-Y167,"")</f>
        <v>12795.1234974289</v>
      </c>
      <c r="Z252" s="254">
        <f>IF(ISNUMBER(Z209),Z209-Z167,"")</f>
        <v>14329.5708051932</v>
      </c>
      <c r="AA252" s="254">
        <f>IF(ISNUMBER(AA209),AA209-AA167,"")</f>
        <v>15790.9060384088</v>
      </c>
      <c r="AB252" s="254">
        <f>IF(ISNUMBER(AB209),AB209-AB167,"")</f>
        <v>17077.1735806806</v>
      </c>
      <c r="AC252" s="19" t="n"/>
    </row>
    <row r="253" ht="15" customHeight="1" s="251">
      <c r="B253" s="25" t="inlineStr">
        <is>
          <t xml:space="preserve">  Adjusted income tax (adjusted earnings before tax − adjusted net income)</t>
        </is>
      </c>
      <c r="C253" s="211">
        <f>IF(AND(ISNUMBER(C243),ISNUMBER(C252)),C252-C243,"")</f>
      </c>
      <c r="D253" s="211">
        <f>IF(AND(ISNUMBER(D243),ISNUMBER(D252)),D252-D243,"")</f>
        <v>307</v>
      </c>
      <c r="E253" s="211">
        <f>IF(AND(ISNUMBER(E243),ISNUMBER(E252)),E252-E243,"")</f>
        <v>325</v>
      </c>
      <c r="F253" s="211">
        <f>IF(AND(ISNUMBER(F243),ISNUMBER(F252)),F252-F243,"")</f>
        <v>306</v>
      </c>
      <c r="G253" s="211">
        <f>IF(AND(ISNUMBER(G243),ISNUMBER(G252)),G252-G243,"")</f>
        <v>354</v>
      </c>
      <c r="H253" s="211">
        <f>IF(AND(ISNUMBER(H243),ISNUMBER(H252)),H252-H243,"")</f>
        <v>1291</v>
      </c>
      <c r="I253" s="211">
        <f>IF(AND(ISNUMBER(I243),ISNUMBER(I252)),I252-I243,"")</f>
        <v>261</v>
      </c>
      <c r="J253" s="211">
        <f>IF(AND(ISNUMBER(J243),ISNUMBER(J252)),J252-J243,"")</f>
        <v>329</v>
      </c>
      <c r="K253" s="211">
        <f>IF(AND(ISNUMBER(K243),ISNUMBER(K252)),K252-K243,"")</f>
        <v>313</v>
      </c>
      <c r="L253" s="211">
        <f>IF(AND(ISNUMBER(L243),ISNUMBER(L252)),L252-L243,"")</f>
        <v>330</v>
      </c>
      <c r="M253" s="211">
        <f>IF(AND(ISNUMBER(M243),ISNUMBER(M252)),M252-M243,"")</f>
        <v>1232</v>
      </c>
      <c r="N253" s="211">
        <f>IF(AND(ISNUMBER(N243),ISNUMBER(N252)),N252-N243,"")</f>
        <v>335</v>
      </c>
      <c r="O253" s="211">
        <f>IF(AND(ISNUMBER(O243),ISNUMBER(O252)),O252-O243,"")</f>
        <v>402</v>
      </c>
      <c r="P253" s="211">
        <f>IF(AND(ISNUMBER(P243),ISNUMBER(P252)),P252-P243,"")</f>
        <v>309</v>
      </c>
      <c r="Q253" s="211">
        <f>IF(AND(ISNUMBER(Q243),ISNUMBER(Q252)),Q252-Q243,"")</f>
        <v>354</v>
      </c>
      <c r="R253" s="211">
        <f>IF(AND(ISNUMBER(R243),ISNUMBER(R252)),R252-R243,"")</f>
        <v>1402</v>
      </c>
      <c r="S253" s="211">
        <f>IF(AND(ISNUMBER(S243),ISNUMBER(S252)),S252-S243,"")</f>
        <v>335</v>
      </c>
      <c r="T253" s="211">
        <f>IF(AND(ISNUMBER(T243),ISNUMBER(T252)),T252-T243,"")</f>
        <v>420</v>
      </c>
      <c r="U253" s="254">
        <f>U252*U254</f>
        <v>392.972742647316</v>
      </c>
      <c r="V253" s="254">
        <f>V252*V254</f>
        <v>420.642257352684</v>
      </c>
      <c r="W253" s="254">
        <f>SUM(S253:V253)</f>
        <v>1568.615</v>
      </c>
      <c r="X253" s="254">
        <f>X252*X254</f>
        <v>1934.31535565579</v>
      </c>
      <c r="Y253" s="254">
        <f>Y252*Y254</f>
        <v>2175.17099456292</v>
      </c>
      <c r="Z253" s="254">
        <f>Z252*Z254</f>
        <v>2436.02703688285</v>
      </c>
      <c r="AA253" s="254">
        <f>AA252*AA254</f>
        <v>2684.4540265295</v>
      </c>
      <c r="AB253" s="254">
        <f>AB252*AB254</f>
        <v>2903.1195087157</v>
      </c>
      <c r="AC253" s="19" t="n"/>
    </row>
    <row r="254" ht="15" customHeight="1" s="251">
      <c r="B254" s="25" t="inlineStr">
        <is>
          <t xml:space="preserve">  Adjusted effective tax rate (model basis)</t>
        </is>
      </c>
      <c r="C254" s="215">
        <f>IF(AND(ISNUMBER(C253),ISNUMBER(C252)),IFERROR(C253/C252,""),"")</f>
      </c>
      <c r="D254" s="215">
        <f>IF(AND(ISNUMBER(D253),ISNUMBER(D252)),IFERROR(D253/D252,""),"")</f>
        <v>0.308232931726908</v>
      </c>
      <c r="E254" s="215">
        <f>IF(AND(ISNUMBER(E253),ISNUMBER(E252)),IFERROR(E253/E252,""),"")</f>
        <v>0.285588752196837</v>
      </c>
      <c r="F254" s="215">
        <f>IF(AND(ISNUMBER(F253),ISNUMBER(F252)),IFERROR(F253/F252,""),"")</f>
        <v>0.231292517006803</v>
      </c>
      <c r="G254" s="215">
        <f>IF(AND(ISNUMBER(G253),ISNUMBER(G252)),IFERROR(G253/G252,""),"")</f>
        <v>0.330532212885154</v>
      </c>
      <c r="H254" s="215">
        <f>IF(AND(ISNUMBER(H253),ISNUMBER(H252)),IFERROR(H253/H252,""),"")</f>
        <v>0.284988962472406</v>
      </c>
      <c r="I254" s="215">
        <f>IF(AND(ISNUMBER(I253),ISNUMBER(I252)),IFERROR(I253/I252,""),"")</f>
        <v>0.202797202797203</v>
      </c>
      <c r="J254" s="215">
        <f>IF(AND(ISNUMBER(J253),ISNUMBER(J252)),IFERROR(J253/J252,""),"")</f>
        <v>0.199514857489388</v>
      </c>
      <c r="K254" s="215">
        <f>IF(AND(ISNUMBER(K253),ISNUMBER(K252)),IFERROR(K253/K252,""),"")</f>
        <v>0.199617346938776</v>
      </c>
      <c r="L254" s="215">
        <f>IF(AND(ISNUMBER(L253),ISNUMBER(L252)),IFERROR(L253/L252,""),"")</f>
        <v>0.187074829931973</v>
      </c>
      <c r="M254" s="215">
        <f>IF(AND(ISNUMBER(M253),ISNUMBER(M252)),IFERROR(M253/M252,""),"")</f>
        <v>0.196553924696873</v>
      </c>
      <c r="N254" s="215">
        <f>IF(AND(ISNUMBER(N253),ISNUMBER(N252)),IFERROR(N253/N252,""),"")</f>
        <v>0.17312661498708</v>
      </c>
      <c r="O254" s="215">
        <f>IF(AND(ISNUMBER(O253),ISNUMBER(O252)),IFERROR(O253/O252,""),"")</f>
        <v>0.184403669724771</v>
      </c>
      <c r="P254" s="215">
        <f>IF(AND(ISNUMBER(P253),ISNUMBER(P252)),IFERROR(P253/P252,""),"")</f>
        <v>0.148843930635838</v>
      </c>
      <c r="Q254" s="215">
        <f>IF(AND(ISNUMBER(Q253),ISNUMBER(Q252)),IFERROR(Q253/Q252,""),"")</f>
        <v>0.17498764211567</v>
      </c>
      <c r="R254" s="215">
        <f>IF(AND(ISNUMBER(R253),ISNUMBER(R252)),IFERROR(R253/R252,""),"")</f>
        <v>0.170704979909899</v>
      </c>
      <c r="S254" s="215">
        <f>IF(AND(ISNUMBER(S253),ISNUMBER(S252)),IFERROR(S253/S252,""),"")</f>
        <v>0.145715528490648</v>
      </c>
      <c r="T254" s="215">
        <f>IF(AND(ISNUMBER(T253),ISNUMBER(T252)),IFERROR(T253/T252,""),"")</f>
        <v>0.165811290959337</v>
      </c>
      <c r="U254" s="256">
        <f>$AM$26</f>
        <v>0.165</v>
      </c>
      <c r="V254" s="256">
        <f>$AM$26</f>
        <v>0.165</v>
      </c>
      <c r="W254" s="256">
        <f>IF(AND(ISNUMBER(W253),ISNUMBER(W252)),IFERROR(W253/W252,""),"")</f>
        <v>0.160669363925023</v>
      </c>
      <c r="X254" s="267" t="n">
        <v>0.17</v>
      </c>
      <c r="Y254" s="267" t="n">
        <v>0.17</v>
      </c>
      <c r="Z254" s="267" t="n">
        <v>0.17</v>
      </c>
      <c r="AA254" s="267" t="n">
        <v>0.17</v>
      </c>
      <c r="AB254" s="267" t="n">
        <v>0.17</v>
      </c>
      <c r="AC254" s="153" t="inlineStr">
        <is>
          <t>Company adjusted ETR: 17.3% FY2025, 15.7% H1-26 (OBBBA, tax benefits on global activities). Forecast input.</t>
        </is>
      </c>
      <c r="AE254" s="37">
        <f>IFERROR(AVERAGE(X254,Y254,Z254,AA254,AB254),"n/m")</f>
        <v>0.17</v>
      </c>
      <c r="AF254" s="37">
        <f>IFERROR(AVERAGE(H254,M254,R254),"n/m")</f>
        <v>0.217415955693059</v>
      </c>
      <c r="AG254" s="37">
        <f>IFERROR(AVERAGE(M254,R254),"n/m")</f>
        <v>0.183629452303386</v>
      </c>
      <c r="AH254" s="37">
        <f>IFERROR(W254+0,"n/m")</f>
        <v>0.160669363925023</v>
      </c>
    </row>
    <row r="255" ht="15" customHeight="1" s="251">
      <c r="B255" s="158" t="inlineStr">
        <is>
          <t xml:space="preserve">  Definition / basis (company adjusted EPS definition)</t>
        </is>
      </c>
      <c r="C255" s="284" t="inlineStr">
        <is>
          <t>FY2022: adjusted EPS not published on the GE Aerospace basis</t>
        </is>
      </c>
      <c r="D255" s="284" t="inlineStr">
        <is>
          <t>2023: adjusted earnings excl. insurance, U.S. tax equity, non-operating benefit, gains, restructuring, separation, Russia &amp; Ukraine, preferred excise / accretion (re-presented in the 2024 releases)</t>
        </is>
      </c>
      <c r="K255" s="284" t="inlineStr">
        <is>
          <t>Q3-24: goodwill impairment ($251m, Colibrium Additive) excluded</t>
        </is>
      </c>
      <c r="S255" s="284" t="inlineStr">
        <is>
          <t>Q1-26: renamed "adjusted net income" (definition unchanged)</t>
        </is>
      </c>
      <c r="U255" s="153" t="n"/>
      <c r="V255" s="153" t="n"/>
      <c r="W255" s="153" t="n"/>
      <c r="X255" s="153" t="n"/>
      <c r="Y255" s="153" t="n"/>
      <c r="Z255" s="153" t="n"/>
      <c r="AA255" s="153" t="n"/>
      <c r="AB255" s="153" t="n"/>
      <c r="AC255" s="19" t="n"/>
    </row>
    <row r="256" ht="15" customHeight="1" s="251">
      <c r="AK256" s="11" t="n"/>
      <c r="AL256" s="12" t="n"/>
      <c r="AM256" s="12" t="n"/>
      <c r="AN256" s="12" t="n"/>
      <c r="AO256" s="13" t="n"/>
    </row>
    <row r="257" ht="15" customHeight="1" s="251">
      <c r="B257" s="10" t="inlineStr">
        <is>
          <t>GROWTH &amp; MARGINS</t>
        </is>
      </c>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c r="AA257" s="10" t="n"/>
      <c r="AB257" s="10" t="n"/>
      <c r="AC257" s="10" t="inlineStr">
        <is>
          <t>GROWTH &amp; MARGINS (consolidated) — forecast outputs</t>
        </is>
      </c>
    </row>
    <row r="258" ht="15" customHeight="1" s="251">
      <c r="B258" s="22" t="inlineStr">
        <is>
          <t xml:space="preserve">  Adjusted revenue y/y %</t>
        </is>
      </c>
      <c r="C258" s="23" t="n"/>
      <c r="D258" s="23" t="n"/>
      <c r="E258" s="23" t="n"/>
      <c r="F258" s="23" t="n"/>
      <c r="G258" s="23" t="n"/>
      <c r="H258" s="255">
        <f>IF(AND(ISNUMBER(H105),ISNUMBER(C105)),IFERROR(H105/C105-1,""),"")</f>
        <v>0.220647773279352</v>
      </c>
      <c r="I258" s="255">
        <f>IF(AND(ISNUMBER(I105),ISNUMBER(D105)),IFERROR(I105/D105-1,""),"")</f>
        <v>0.146344925479063</v>
      </c>
      <c r="J258" s="255">
        <f>IF(AND(ISNUMBER(J105),ISNUMBER(E105)),IFERROR(J105/E105-1,""),"")</f>
        <v>0.0399645883394462</v>
      </c>
      <c r="K258" s="255">
        <f>IF(AND(ISNUMBER(K105),ISNUMBER(F105)),IFERROR(K105/F105-1,""),"")</f>
        <v>0.0570921985815602</v>
      </c>
      <c r="L258" s="255">
        <f>IF(AND(ISNUMBER(L105),ISNUMBER(G105)),IFERROR(L105/G105-1,""),"")</f>
        <v>0.155844155844156</v>
      </c>
      <c r="M258" s="255">
        <f>IF(AND(ISNUMBER(M105),ISNUMBER(H105)),IFERROR(M105/H105-1,""),"")</f>
        <v>0.0989079758440501</v>
      </c>
      <c r="N258" s="255">
        <f>IF(AND(ISNUMBER(N105),ISNUMBER(I105)),IFERROR(N105/I105-1,""),"")</f>
        <v>0.114413075780089</v>
      </c>
      <c r="O258" s="255">
        <f>IF(AND(ISNUMBER(O105),ISNUMBER(J105)),IFERROR(O105/J105-1,""),"")</f>
        <v>0.234464307430378</v>
      </c>
      <c r="P258" s="255">
        <f>IF(AND(ISNUMBER(P105),ISNUMBER(K105)),IFERROR(P105/K105-1,""),"")</f>
        <v>0.2640053673264</v>
      </c>
      <c r="Q258" s="255">
        <f>IF(AND(ISNUMBER(Q105),ISNUMBER(L105)),IFERROR(Q105/L105-1,""),"")</f>
        <v>0.201032493167325</v>
      </c>
      <c r="R258" s="255">
        <f>IF(AND(ISNUMBER(R105),ISNUMBER(M105)),IFERROR(R105/M105-1,""),"")</f>
        <v>0.205068337129841</v>
      </c>
      <c r="S258" s="255">
        <f>IF(AND(ISNUMBER(S105),ISNUMBER(N105)),IFERROR(S105/N105-1,""),"")</f>
        <v>0.290444444444445</v>
      </c>
      <c r="T258" s="255">
        <f>IF(AND(ISNUMBER(T105),ISNUMBER(O105)),IFERROR(T105/O105-1,""),"")</f>
        <v>0.244606442715003</v>
      </c>
      <c r="U258" s="256">
        <f>IF(AND(ISNUMBER(U105),ISNUMBER(P105)),IFERROR(U105/P105-1,""),"")</f>
        <v>0.109044097177313</v>
      </c>
      <c r="V258" s="256">
        <f>IF(AND(ISNUMBER(V105),ISNUMBER(Q105)),IFERROR(V105/Q105-1,""),"")</f>
        <v>0.108750571049949</v>
      </c>
      <c r="W258" s="256">
        <f>IF(AND(ISNUMBER(W105),ISNUMBER(R105)),IFERROR(W105/R105-1,""),"")</f>
        <v>0.18</v>
      </c>
      <c r="X258" s="256">
        <f>IF(AND(ISNUMBER(X105),ISNUMBER(W105)),IFERROR(X105/W105-1,""),"")</f>
        <v>0.128265609355004</v>
      </c>
      <c r="Y258" s="256">
        <f>IF(AND(ISNUMBER(Y105),ISNUMBER(X105)),IFERROR(Y105/X105-1,""),"")</f>
        <v>0.119701372310005</v>
      </c>
      <c r="Z258" s="256">
        <f>IF(AND(ISNUMBER(Z105),ISNUMBER(Y105)),IFERROR(Z105/Y105-1,""),"")</f>
        <v>0.0819095003773791</v>
      </c>
      <c r="AA258" s="256">
        <f>IF(AND(ISNUMBER(AA105),ISNUMBER(Z105)),IFERROR(AA105/Z105-1,""),"")</f>
        <v>0.0737902612072749</v>
      </c>
      <c r="AB258" s="256">
        <f>IF(AND(ISNUMBER(AB105),ISNUMBER(AA105)),IFERROR(AB105/AA105-1,""),"")</f>
        <v>0.0640138910795598</v>
      </c>
      <c r="AC258" s="153" t="n"/>
      <c r="AE258" s="37">
        <f>IFERROR(AVERAGE(X258,Y258,Z258,AA258,AB258),"n/m")</f>
        <v>0.0935361268658444</v>
      </c>
      <c r="AF258" s="37">
        <f>IFERROR(AVERAGE(H258,M258,R258),"n/m")</f>
        <v>0.174874695417748</v>
      </c>
      <c r="AG258" s="37">
        <f>IFERROR(AVERAGE(M258,R258),"n/m")</f>
        <v>0.151988156486945</v>
      </c>
      <c r="AH258" s="37">
        <f>IFERROR(W258+0,"n/m")</f>
        <v>0.18</v>
      </c>
    </row>
    <row r="259" ht="15" customHeight="1" s="251">
      <c r="B259" s="22" t="inlineStr">
        <is>
          <t xml:space="preserve">  CES revenue y/y %</t>
        </is>
      </c>
      <c r="C259" s="23" t="n"/>
      <c r="D259" s="23" t="n"/>
      <c r="E259" s="23" t="n"/>
      <c r="F259" s="23" t="n"/>
      <c r="G259" s="23" t="n"/>
      <c r="H259" s="255">
        <f>IF(AND(ISNUMBER(H21),ISNUMBER(C21)),IFERROR(H21/C21-1,""),"")</f>
        <v>0.268006165949078</v>
      </c>
      <c r="I259" s="255">
        <f>IF(AND(ISNUMBER(I21),ISNUMBER(D21)),IFERROR(I21/D21-1,""),"")</f>
        <v>0.165137614678899</v>
      </c>
      <c r="J259" s="255">
        <f>IF(AND(ISNUMBER(J21),ISNUMBER(E21)),IFERROR(J21/E21-1,""),"")</f>
        <v>0.0688513160188251</v>
      </c>
      <c r="K259" s="255">
        <f>IF(AND(ISNUMBER(K21),ISNUMBER(F21)),IFERROR(K21/F21-1,""),"")</f>
        <v>0.0845593929069228</v>
      </c>
      <c r="L259" s="255">
        <f>IF(AND(ISNUMBER(L21),ISNUMBER(G21)),IFERROR(L21/G21-1,""),"")</f>
        <v>0.189920671955203</v>
      </c>
      <c r="M259" s="255">
        <f>IF(AND(ISNUMBER(M21),ISNUMBER(H21)),IFERROR(M21/H21-1,""),"")</f>
        <v>0.126849717040453</v>
      </c>
      <c r="N259" s="255">
        <f>IF(AND(ISNUMBER(N21),ISNUMBER(I21)),IFERROR(N21/I21-1,""),"")</f>
        <v>0.144356955380577</v>
      </c>
      <c r="O259" s="255">
        <f>IF(AND(ISNUMBER(O21),ISNUMBER(J21)),IFERROR(O21/J21-1,""),"")</f>
        <v>0.303000652315721</v>
      </c>
      <c r="P259" s="255">
        <f>IF(AND(ISNUMBER(P21),ISNUMBER(K21)),IFERROR(P21/K21-1,""),"")</f>
        <v>0.267885192060545</v>
      </c>
      <c r="Q259" s="255">
        <f>IF(AND(ISNUMBER(Q21),ISNUMBER(L21)),IFERROR(Q21/L21-1,""),"")</f>
        <v>0.237516339869281</v>
      </c>
      <c r="R259" s="255">
        <f>IF(AND(ISNUMBER(R21),ISNUMBER(M21)),IFERROR(R21/M21-1,""),"")</f>
        <v>0.239314013615565</v>
      </c>
      <c r="S259" s="255">
        <f>IF(AND(ISNUMBER(S21),ISNUMBER(N21)),IFERROR(S21/IF(ISNUMBER(N23),N23,N21)-1,""),"")</f>
        <v>0.338586222422332</v>
      </c>
      <c r="T259" s="255">
        <f>IF(AND(ISNUMBER(T21),ISNUMBER(O21)),IFERROR(T21/IF(ISNUMBER(O23),O23,O21)-1,""),"")</f>
        <v>0.272691603452786</v>
      </c>
      <c r="U259" s="256">
        <f>IF(AND(ISNUMBER(U21),ISNUMBER(P21)),IFERROR(U21/P21-1,""),"")</f>
        <v>0.089522983361142</v>
      </c>
      <c r="V259" s="256">
        <f>IF(AND(ISNUMBER(V21),ISNUMBER(Q21)),IFERROR(V21/Q21-1,""),"")</f>
        <v>0.0886575754079519</v>
      </c>
      <c r="W259" s="256">
        <f>$W$21/$R$23-1</f>
        <v>0.210977925882466</v>
      </c>
      <c r="X259" s="256">
        <f>IF(AND(ISNUMBER(X21),ISNUMBER(W21)),IFERROR(X21/W21-1,""),"")</f>
        <v>0.135232898905167</v>
      </c>
      <c r="Y259" s="256">
        <f>IF(AND(ISNUMBER(Y21),ISNUMBER(X21)),IFERROR(Y21/X21-1,""),"")</f>
        <v>0.107648432655818</v>
      </c>
      <c r="Z259" s="256">
        <f>IF(AND(ISNUMBER(Z21),ISNUMBER(Y21)),IFERROR(Z21/Y21-1,""),"")</f>
        <v>0.0876646704835775</v>
      </c>
      <c r="AA259" s="256">
        <f>IF(AND(ISNUMBER(AA21),ISNUMBER(Z21)),IFERROR(AA21/Z21-1,""),"")</f>
        <v>0.0753622546614203</v>
      </c>
      <c r="AB259" s="256">
        <f>IF(AND(ISNUMBER(AB21),ISNUMBER(AA21)),IFERROR(AB21/AA21-1,""),"")</f>
        <v>0.0654285078934243</v>
      </c>
      <c r="AC259" s="153" t="n"/>
      <c r="AE259" s="37">
        <f>IFERROR(AVERAGE(X259,Y259,Z259,AA259,AB259),"n/m")</f>
        <v>0.0942673529198813</v>
      </c>
      <c r="AF259" s="37">
        <f>IFERROR(AVERAGE(H259,M259,R259),"n/m")</f>
        <v>0.211389965535032</v>
      </c>
      <c r="AG259" s="37">
        <f>IFERROR(AVERAGE(M259,R259),"n/m")</f>
        <v>0.183081865328009</v>
      </c>
      <c r="AH259" s="37">
        <f>IFERROR(W259+0,"n/m")</f>
        <v>0.210977925882466</v>
      </c>
    </row>
    <row r="260" ht="15" customHeight="1" s="251">
      <c r="B260" s="22" t="inlineStr">
        <is>
          <t xml:space="preserve">  DPT revenue y/y %</t>
        </is>
      </c>
      <c r="C260" s="23" t="n"/>
      <c r="D260" s="23" t="n"/>
      <c r="E260" s="23" t="n"/>
      <c r="F260" s="23" t="n"/>
      <c r="G260" s="23" t="n"/>
      <c r="H260" s="255">
        <f>IF(AND(ISNUMBER(H41),ISNUMBER(C41)),IFERROR(H41/C41-1,""),"")</f>
        <v>0.121667292527225</v>
      </c>
      <c r="I260" s="255">
        <f>IF(AND(ISNUMBER(I41),ISNUMBER(D41)),IFERROR(I41/D41-1,""),"")</f>
        <v>0.175991861648016</v>
      </c>
      <c r="J260" s="255">
        <f>IF(AND(ISNUMBER(J41),ISNUMBER(E41)),IFERROR(J41/E41-1,""),"")</f>
        <v>0.0109473684210526</v>
      </c>
      <c r="K260" s="255">
        <f>IF(AND(ISNUMBER(K41),ISNUMBER(F41)),IFERROR(K41/F41-1,""),"")</f>
        <v>0.017233560090703</v>
      </c>
      <c r="L260" s="255">
        <f>IF(AND(ISNUMBER(L41),ISNUMBER(G41)),IFERROR(L41/G41-1,""),"")</f>
        <v>0.0447204968944099</v>
      </c>
      <c r="M260" s="255">
        <f>IF(AND(ISNUMBER(M41),ISNUMBER(H41)),IFERROR(M41/H41-1,""),"")</f>
        <v>0.0576944537440018</v>
      </c>
      <c r="N260" s="255">
        <f>IF(AND(ISNUMBER(N41),ISNUMBER(I41)),IFERROR(N41/I41-1,""),"")</f>
        <v>0.00519031141868509</v>
      </c>
      <c r="O260" s="255">
        <f>IF(AND(ISNUMBER(O41),ISNUMBER(J41)),IFERROR(O41/J41-1,""),"")</f>
        <v>0.0674718867138693</v>
      </c>
      <c r="P260" s="255">
        <f>IF(AND(ISNUMBER(P41),ISNUMBER(K41)),IFERROR(P41/K41-1,""),"")</f>
        <v>0.260811413285778</v>
      </c>
      <c r="Q260" s="255">
        <f>IF(AND(ISNUMBER(Q41),ISNUMBER(L41)),IFERROR(Q41/L41-1,""),"")</f>
        <v>0.125247720967103</v>
      </c>
      <c r="R260" s="255">
        <f>IF(AND(ISNUMBER(R41),ISNUMBER(M41)),IFERROR(R41/M41-1,""),"")</f>
        <v>0.113526060350285</v>
      </c>
      <c r="S260" s="255">
        <f>IF(AND(ISNUMBER(S41),ISNUMBER(N41)),IFERROR(S41/IF(ISNUMBER(N43),N43,N41)-1,""),"")</f>
        <v>0.191252779836916</v>
      </c>
      <c r="T260" s="255">
        <f>IF(AND(ISNUMBER(T41),ISNUMBER(O41)),IFERROR(T41/IF(ISNUMBER(O43),O43,O41)-1,""),"")</f>
        <v>0.156145063801209</v>
      </c>
      <c r="U260" s="256">
        <f>IF(AND(ISNUMBER(U41),ISNUMBER(P41)),IFERROR(U41/P41-1,""),"")</f>
        <v>0.205898579052448</v>
      </c>
      <c r="V260" s="256">
        <f>IF(AND(ISNUMBER(V41),ISNUMBER(Q41)),IFERROR(V41/Q41-1,""),"")</f>
        <v>0.205898579052447</v>
      </c>
      <c r="W260" s="256">
        <f>$W$41/$R$43-1</f>
        <v>0.105805512089362</v>
      </c>
      <c r="X260" s="256">
        <f>IF(AND(ISNUMBER(X41),ISNUMBER(W41)),IFERROR(X41/W41-1,""),"")</f>
        <v>0.0800000000000001</v>
      </c>
      <c r="Y260" s="256">
        <f>IF(AND(ISNUMBER(Y41),ISNUMBER(X41)),IFERROR(Y41/X41-1,""),"")</f>
        <v>0.0700000000000001</v>
      </c>
      <c r="Z260" s="256">
        <f>IF(AND(ISNUMBER(Z41),ISNUMBER(Y41)),IFERROR(Z41/Y41-1,""),"")</f>
        <v>0.0600000000000001</v>
      </c>
      <c r="AA260" s="256">
        <f>IF(AND(ISNUMBER(AA41),ISNUMBER(Z41)),IFERROR(AA41/Z41-1,""),"")</f>
        <v>0.0600000000000001</v>
      </c>
      <c r="AB260" s="256">
        <f>IF(AND(ISNUMBER(AB41),ISNUMBER(AA41)),IFERROR(AB41/AA41-1,""),"")</f>
        <v>0.05</v>
      </c>
      <c r="AC260" s="153" t="n"/>
      <c r="AE260" s="37">
        <f>IFERROR(AVERAGE(X260,Y260,Z260,AA260,AB260),"n/m")</f>
        <v>0.0640000000000001</v>
      </c>
      <c r="AF260" s="37">
        <f>IFERROR(AVERAGE(H260,M260,R260),"n/m")</f>
        <v>0.0976292688738372</v>
      </c>
      <c r="AG260" s="37">
        <f>IFERROR(AVERAGE(M260,R260),"n/m")</f>
        <v>0.0856102570471433</v>
      </c>
      <c r="AH260" s="37">
        <f>IFERROR(W260+0,"n/m")</f>
        <v>0.105805512089362</v>
      </c>
    </row>
    <row r="261" ht="15" customHeight="1" s="251">
      <c r="B261" s="22" t="inlineStr">
        <is>
          <t xml:space="preserve">  Operating profit y/y %</t>
        </is>
      </c>
      <c r="C261" s="23" t="n"/>
      <c r="D261" s="23" t="n"/>
      <c r="E261" s="23" t="n"/>
      <c r="F261" s="23" t="n"/>
      <c r="G261" s="23" t="n"/>
      <c r="H261" s="255">
        <f>IF(AND(ISNUMBER(H209),ISNUMBER(C209)),IFERROR(H209/C209-1,""),"")</f>
      </c>
      <c r="I261" s="255">
        <f>IF(AND(ISNUMBER(I209),ISNUMBER(D209)),IFERROR(I209/D209-1,""),"")</f>
        <v>0.245980707395499</v>
      </c>
      <c r="J261" s="255">
        <f>IF(AND(ISNUMBER(J209),ISNUMBER(E209)),IFERROR(J209/E209-1,""),"")</f>
        <v>0.367700072098053</v>
      </c>
      <c r="K261" s="255">
        <f>IF(AND(ISNUMBER(K209),ISNUMBER(F209)),IFERROR(K209/F209-1,""),"")</f>
        <v>0.141870684243566</v>
      </c>
      <c r="L261" s="255">
        <f>IF(AND(ISNUMBER(L209),ISNUMBER(G209)),IFERROR(L209/G209-1,""),"")</f>
        <v>0.491372843210803</v>
      </c>
      <c r="M261" s="255">
        <f>IF(AND(ISNUMBER(M209),ISNUMBER(H209)),IFERROR(M209/H209-1,""),"")</f>
        <v>0.304910955207771</v>
      </c>
      <c r="N261" s="255">
        <f>IF(AND(ISNUMBER(N209),ISNUMBER(I209)),IFERROR(N209/I209-1,""),"")</f>
        <v>0.383870967741935</v>
      </c>
      <c r="O261" s="255">
        <f>IF(AND(ISNUMBER(O209),ISNUMBER(J209)),IFERROR(O209/J209-1,""),"")</f>
        <v>0.232472324723247</v>
      </c>
      <c r="P261" s="255">
        <f>IF(AND(ISNUMBER(P209),ISNUMBER(K209)),IFERROR(P209/K209-1,""),"")</f>
        <v>0.264980758658604</v>
      </c>
      <c r="Q261" s="255">
        <f>IF(AND(ISNUMBER(Q209),ISNUMBER(L209)),IFERROR(Q209/L209-1,""),"")</f>
        <v>0.143360160965795</v>
      </c>
      <c r="R261" s="255">
        <f>IF(AND(ISNUMBER(R209),ISNUMBER(M209)),IFERROR(R209/M209-1,""),"")</f>
        <v>0.248414667769507</v>
      </c>
      <c r="S261" s="255">
        <f>IF(AND(ISNUMBER(S209),ISNUMBER(N209)),IFERROR(S209/N209-1,""),"")</f>
        <v>0.179020979020979</v>
      </c>
      <c r="T261" s="255">
        <f>IF(AND(ISNUMBER(T209),ISNUMBER(O209)),IFERROR(T209/O209-1,""),"")</f>
        <v>0.175363558597092</v>
      </c>
      <c r="U261" s="256">
        <f>IF(AND(ISNUMBER(U209),ISNUMBER(P209)),IFERROR(U209/P209-1,""),"")</f>
        <v>0.131531067249591</v>
      </c>
      <c r="V261" s="256">
        <f>IF(AND(ISNUMBER(V209),ISNUMBER(Q209)),IFERROR(V209/Q209-1,""),"")</f>
        <v>0.219246376708619</v>
      </c>
      <c r="W261" s="256">
        <f>IF(AND(ISNUMBER(W209),ISNUMBER(R209)),IFERROR(W209/R209-1,""),"")</f>
        <v>0.176236749116608</v>
      </c>
      <c r="X261" s="256">
        <f>IF(AND(ISNUMBER(X209),ISNUMBER(W209)),IFERROR(X209/W209-1,""),"")</f>
        <v>0.150758180668408</v>
      </c>
      <c r="Y261" s="256">
        <f>IF(AND(ISNUMBER(Y209),ISNUMBER(X209)),IFERROR(Y209/X209-1,""),"")</f>
        <v>0.13362374837024</v>
      </c>
      <c r="Z261" s="256">
        <f>IF(AND(ISNUMBER(Z209),ISNUMBER(Y209)),IFERROR(Z209/Y209-1,""),"")</f>
        <v>0.112244102440156</v>
      </c>
      <c r="AA261" s="256">
        <f>IF(AND(ISNUMBER(AA209),ISNUMBER(Z209)),IFERROR(AA209/Z209-1,""),"")</f>
        <v>0.100981210787918</v>
      </c>
      <c r="AB261" s="256">
        <f>IF(AND(ISNUMBER(AB209),ISNUMBER(AA209)),IFERROR(AB209/AA209-1,""),"")</f>
        <v>0.0800132365389907</v>
      </c>
      <c r="AC261" s="153" t="n"/>
    </row>
    <row r="262" ht="15" customHeight="1" s="251">
      <c r="B262" s="22" t="inlineStr">
        <is>
          <t xml:space="preserve">  Adjusted EBITDA y/y %</t>
        </is>
      </c>
      <c r="C262" s="23" t="n"/>
      <c r="D262" s="23" t="n"/>
      <c r="E262" s="23" t="n"/>
      <c r="F262" s="23" t="n"/>
      <c r="G262" s="23" t="n"/>
      <c r="H262" s="255">
        <f>IF(AND(ISNUMBER(H224),ISNUMBER(C224)),IFERROR(H224/C224-1,""),"")</f>
      </c>
      <c r="I262" s="255">
        <f>IF(AND(ISNUMBER(I224),ISNUMBER(D224)),IFERROR(I224/D224-1,""),"")</f>
      </c>
      <c r="J262" s="255">
        <f>IF(AND(ISNUMBER(J224),ISNUMBER(E224)),IFERROR(J224/E224-1,""),"")</f>
      </c>
      <c r="K262" s="255">
        <f>IF(AND(ISNUMBER(K224),ISNUMBER(F224)),IFERROR(K224/F224-1,""),"")</f>
        <v>0.131034482758621</v>
      </c>
      <c r="L262" s="255">
        <f>IF(AND(ISNUMBER(L224),ISNUMBER(G224)),IFERROR(L224/G224-1,""),"")</f>
        <v>0.392204628501827</v>
      </c>
      <c r="M262" s="255">
        <f>IF(AND(ISNUMBER(M224),ISNUMBER(H224)),IFERROR(M224/H224-1,""),"")</f>
        <v>0.252300385871178</v>
      </c>
      <c r="N262" s="255">
        <f>IF(AND(ISNUMBER(N224),ISNUMBER(I224)),IFERROR(N224/I224-1,""),"")</f>
        <v>0.328260869565217</v>
      </c>
      <c r="O262" s="255">
        <f>IF(AND(ISNUMBER(O224),ISNUMBER(J224)),IFERROR(O224/J224-1,""),"")</f>
        <v>0.215137614678899</v>
      </c>
      <c r="P262" s="255">
        <f>IF(AND(ISNUMBER(P224),ISNUMBER(K224)),IFERROR(P224/K224-1,""),"")</f>
        <v>0.221388367729831</v>
      </c>
      <c r="Q262" s="255">
        <f>IF(AND(ISNUMBER(Q224),ISNUMBER(L224)),IFERROR(Q224/L224-1,""),"")</f>
        <v>0.128608923884515</v>
      </c>
      <c r="R262" s="255">
        <f>IF(AND(ISNUMBER(R224),ISNUMBER(M224)),IFERROR(R224/M224-1,""),"")</f>
        <v>0.217824128940507</v>
      </c>
      <c r="S262" s="255">
        <f>IF(AND(ISNUMBER(S224),ISNUMBER(N224)),IFERROR(S224/N224-1,""),"")</f>
        <v>0.162438625204583</v>
      </c>
      <c r="T262" s="255">
        <f>IF(AND(ISNUMBER(T224),ISNUMBER(O224)),IFERROR(T224/O224-1,""),"")</f>
        <v>0.155530388825972</v>
      </c>
      <c r="U262" s="256">
        <f>IF(AND(ISNUMBER(U224),ISNUMBER(P224)),IFERROR(U224/P224-1,""),"")</f>
        <v>0.120834479931378</v>
      </c>
      <c r="V262" s="256">
        <f>IF(AND(ISNUMBER(V224),ISNUMBER(Q224)),IFERROR(V224/Q224-1,""),"")</f>
        <v>0.196258532658407</v>
      </c>
      <c r="W262" s="256">
        <f>IF(AND(ISNUMBER(W224),ISNUMBER(R224)),IFERROR(W224/R224-1,""),"")</f>
        <v>0.158719346049046</v>
      </c>
      <c r="X262" s="256">
        <f>IF(AND(ISNUMBER(X224),ISNUMBER(W224)),IFERROR(X224/W224-1,""),"")</f>
        <v>0.157133035672905</v>
      </c>
      <c r="Y262" s="256">
        <f>IF(AND(ISNUMBER(Y224),ISNUMBER(X224)),IFERROR(Y224/X224-1,""),"")</f>
        <v>0.149203005841712</v>
      </c>
      <c r="Z262" s="256">
        <f>IF(AND(ISNUMBER(Z224),ISNUMBER(Y224)),IFERROR(Z224/Y224-1,""),"")</f>
        <v>0.106821727283834</v>
      </c>
      <c r="AA262" s="256">
        <f>IF(AND(ISNUMBER(AA224),ISNUMBER(Z224)),IFERROR(AA224/Z224-1,""),"")</f>
        <v>0.0954298428538039</v>
      </c>
      <c r="AB262" s="256">
        <f>IF(AND(ISNUMBER(AB224),ISNUMBER(AA224)),IFERROR(AB224/AA224-1,""),"")</f>
        <v>0.076125346627858</v>
      </c>
      <c r="AC262" s="153" t="n"/>
    </row>
    <row r="263" ht="15" customHeight="1" s="251">
      <c r="B263" s="22" t="inlineStr">
        <is>
          <t xml:space="preserve">  Profit before tax (GAAP) y/y %</t>
        </is>
      </c>
      <c r="C263" s="23" t="n"/>
      <c r="D263" s="23" t="n"/>
      <c r="E263" s="23" t="n"/>
      <c r="F263" s="23" t="n"/>
      <c r="G263" s="23" t="n"/>
      <c r="H263" s="255">
        <f>IF(AND(ISNUMBER(H172),ISNUMBER(C172)),IFERROR(H172/C172-1,""),"")</f>
        <v>5.86005256241787</v>
      </c>
      <c r="I263" s="255">
        <f>IF(AND(ISNUMBER(I172),ISNUMBER(D172)),IFERROR(I172/D172-1,""),"")</f>
        <v>-0.712841253791709</v>
      </c>
      <c r="J263" s="255">
        <f>IF(AND(ISNUMBER(J172),ISNUMBER(E172)),IFERROR(J172/E172-1,""),"")</f>
        <v>-0.0410868124585818</v>
      </c>
      <c r="K263" s="255">
        <f>IF(AND(ISNUMBER(K172),ISNUMBER(F172)),IFERROR(K172/F172-1,""),"")</f>
        <v>4.68468468468469</v>
      </c>
      <c r="L263" s="255">
        <f>IF(AND(ISNUMBER(L172),ISNUMBER(G172)),IFERROR(L172/G172-1,""),"")</f>
        <v>0.36873508353222</v>
      </c>
      <c r="M263" s="255">
        <f>IF(AND(ISNUMBER(M172),ISNUMBER(H172)),IFERROR(M172/H172-1,""),"")</f>
        <v>-0.270184848194617</v>
      </c>
      <c r="N263" s="255">
        <f>IF(AND(ISNUMBER(N172),ISNUMBER(I172)),IFERROR(N172/I172-1,""),"")</f>
        <v>0.129275653923541</v>
      </c>
      <c r="O263" s="255">
        <f>IF(AND(ISNUMBER(O172),ISNUMBER(J172)),IFERROR(O172/J172-1,""),"")</f>
        <v>0.65100207325501</v>
      </c>
      <c r="P263" s="255">
        <f>IF(AND(ISNUMBER(P172),ISNUMBER(K172)),IFERROR(P172/K172-1,""),"")</f>
        <v>0.328578975171685</v>
      </c>
      <c r="Q263" s="255">
        <f>IF(AND(ISNUMBER(Q172),ISNUMBER(L172)),IFERROR(Q172/L172-1,""),"")</f>
        <v>0.242807323452485</v>
      </c>
      <c r="R263" s="255">
        <f>IF(AND(ISNUMBER(R172),ISNUMBER(M172)),IFERROR(R172/M172-1,""),"")</f>
        <v>0.312335958005249</v>
      </c>
      <c r="S263" s="255">
        <f>IF(AND(ISNUMBER(S172),ISNUMBER(N172)),IFERROR(S172/N172-1,""),"")</f>
        <v>-0.0209354120267261</v>
      </c>
      <c r="T263" s="255">
        <f>IF(AND(ISNUMBER(T172),ISNUMBER(O172)),IFERROR(T172/O172-1,""),"")</f>
        <v>0.172875680200921</v>
      </c>
      <c r="U263" s="256">
        <f>IF(AND(ISNUMBER(U172),ISNUMBER(P172)),IFERROR(U172/P172-1,""),"")</f>
        <v>0.0205379664975383</v>
      </c>
      <c r="V263" s="256">
        <f>IF(AND(ISNUMBER(V172),ISNUMBER(Q172)),IFERROR(V172/Q172-1,""),"")</f>
        <v>-0.0409165155178216</v>
      </c>
      <c r="W263" s="256">
        <f>IF(AND(ISNUMBER(W172),ISNUMBER(R172)),IFERROR(W172/R172-1,""),"")</f>
        <v>0.0301</v>
      </c>
      <c r="X263" s="256">
        <f>IF(AND(ISNUMBER(X172),ISNUMBER(W172)),IFERROR(X172/W172-1,""),"")</f>
        <v>0.190713330890657</v>
      </c>
      <c r="Y263" s="256">
        <f>IF(AND(ISNUMBER(Y172),ISNUMBER(X172)),IFERROR(Y172/X172-1,""),"")</f>
        <v>0.104168402697393</v>
      </c>
      <c r="Z263" s="256">
        <f>IF(AND(ISNUMBER(Z172),ISNUMBER(Y172)),IFERROR(Z172/Y172-1,""),"")</f>
        <v>0.121529775385676</v>
      </c>
      <c r="AA263" s="256">
        <f>IF(AND(ISNUMBER(AA172),ISNUMBER(Z172)),IFERROR(AA172/Z172-1,""),"")</f>
        <v>0.0937084089421962</v>
      </c>
      <c r="AB263" s="256">
        <f>IF(AND(ISNUMBER(AB172),ISNUMBER(AA172)),IFERROR(AB172/AA172-1,""),"")</f>
        <v>0.0751736707968684</v>
      </c>
      <c r="AC263" s="153" t="n"/>
    </row>
    <row r="264" ht="15" customHeight="1" s="251">
      <c r="B264" s="22" t="inlineStr">
        <is>
          <t xml:space="preserve">  Adjusted EPS y/y %</t>
        </is>
      </c>
      <c r="C264" s="23" t="n"/>
      <c r="D264" s="23" t="n"/>
      <c r="E264" s="23" t="n"/>
      <c r="F264" s="23" t="n"/>
      <c r="G264" s="23" t="n"/>
      <c r="H264" s="255">
        <f>IF(AND(ISNUMBER(H248),ISNUMBER(C248)),IFERROR(H248/C248-1,""),"")</f>
      </c>
      <c r="I264" s="255">
        <f>IF(AND(ISNUMBER(I248),ISNUMBER(D248)),IFERROR(I248/D248-1,""),"")</f>
        <v>0.481014307200181</v>
      </c>
      <c r="J264" s="255">
        <f>IF(AND(ISNUMBER(J248),ISNUMBER(E248)),IFERROR(J248/E248-1,""),"")</f>
        <v>0.620664206642066</v>
      </c>
      <c r="K264" s="255">
        <f>IF(AND(ISNUMBER(K248),ISNUMBER(F248)),IFERROR(K248/F248-1,""),"")</f>
        <v>0.240795767469937</v>
      </c>
      <c r="L264" s="255">
        <f>IF(AND(ISNUMBER(L248),ISNUMBER(G248)),IFERROR(L248/G248-1,""),"")</f>
        <v>1.04074074074074</v>
      </c>
      <c r="M264" s="255">
        <f>IF(AND(ISNUMBER(M248),ISNUMBER(H248)),IFERROR(M248/H248-1,""),"")</f>
        <v>0.561906901322039</v>
      </c>
      <c r="N264" s="255">
        <f>IF(AND(ISNUMBER(N248),ISNUMBER(I248)),IFERROR(N248/I248-1,""),"")</f>
        <v>0.595619640732423</v>
      </c>
      <c r="O264" s="255">
        <f>IF(AND(ISNUMBER(O248),ISNUMBER(J248)),IFERROR(O248/J248-1,""),"")</f>
        <v>0.383442265795207</v>
      </c>
      <c r="P264" s="255">
        <f>IF(AND(ISNUMBER(P248),ISNUMBER(K248)),IFERROR(P248/K248-1,""),"")</f>
        <v>0.444985129902924</v>
      </c>
      <c r="Q264" s="255">
        <f>IF(AND(ISNUMBER(Q248),ISNUMBER(L248)),IFERROR(Q248/L248-1,""),"")</f>
        <v>0.188078873061196</v>
      </c>
      <c r="R264" s="255">
        <f>IF(AND(ISNUMBER(R248),ISNUMBER(M248)),IFERROR(R248/M248-1,""),"")</f>
        <v>0.385387383126136</v>
      </c>
      <c r="S264" s="255">
        <f>IF(AND(ISNUMBER(S248),ISNUMBER(N248)),IFERROR(S248/N248-1,""),"")</f>
        <v>0.255450664136622</v>
      </c>
      <c r="T264" s="255">
        <f>IF(AND(ISNUMBER(T248),ISNUMBER(O248)),IFERROR(T248/O248-1,""),"")</f>
        <v>0.215655528732261</v>
      </c>
      <c r="U264" s="256">
        <f>IF(AND(ISNUMBER(U248),ISNUMBER(P248)),IFERROR(U248/P248-1,""),"")</f>
        <v>0.150501249431913</v>
      </c>
      <c r="V264" s="256">
        <f>IF(AND(ISNUMBER(V248),ISNUMBER(Q248)),IFERROR(V248/Q248-1,""),"")</f>
        <v>0.302116786353388</v>
      </c>
      <c r="W264" s="256">
        <f>IF(AND(ISNUMBER(W248),ISNUMBER(R248)),IFERROR(W248/R248-1,""),"")</f>
        <v>0.229843966373384</v>
      </c>
      <c r="X264" s="256">
        <f>IF(AND(ISNUMBER(X248),ISNUMBER(W248)),IFERROR(X248/W248-1,""),"")</f>
        <v>0.163587922469721</v>
      </c>
      <c r="Y264" s="256">
        <f>IF(AND(ISNUMBER(Y248),ISNUMBER(X248)),IFERROR(Y248/X248-1,""),"")</f>
        <v>0.1382419433708</v>
      </c>
      <c r="Z264" s="256">
        <f>IF(AND(ISNUMBER(Z248),ISNUMBER(Y248)),IFERROR(Z248/Y248-1,""),"")</f>
        <v>0.149937597828957</v>
      </c>
      <c r="AA264" s="256">
        <f>IF(AND(ISNUMBER(AA248),ISNUMBER(Z248)),IFERROR(AA248/Z248-1,""),"")</f>
        <v>0.131290740527972</v>
      </c>
      <c r="AB264" s="256">
        <f>IF(AND(ISNUMBER(AB248),ISNUMBER(AA248)),IFERROR(AB248/AA248-1,""),"")</f>
        <v>0.11002984355459</v>
      </c>
      <c r="AC264" s="153" t="n"/>
    </row>
    <row r="265" ht="15" customHeight="1" s="251">
      <c r="B265" s="25" t="inlineStr">
        <is>
          <t xml:space="preserve">  Operating profit margin %</t>
        </is>
      </c>
      <c r="C265" s="215">
        <f>IF(AND(ISNUMBER(C209),ISNUMBER(C105)),IFERROR(C209/C105,""),"")</f>
      </c>
      <c r="D265" s="215">
        <f>IF(AND(ISNUMBER(D209),ISNUMBER(D105)),IFERROR(D209/D105,""),"")</f>
        <v>0.176579134137686</v>
      </c>
      <c r="E265" s="215">
        <f>IF(AND(ISNUMBER(E209),ISNUMBER(E105)),IFERROR(E209/E105,""),"")</f>
        <v>0.175414189958265</v>
      </c>
      <c r="F265" s="215">
        <f>IF(AND(ISNUMBER(F209),ISNUMBER(F105)),IFERROR(F209/F105,""),"")</f>
        <v>0.188297872340426</v>
      </c>
      <c r="G265" s="215">
        <f>IF(AND(ISNUMBER(G209),ISNUMBER(G105)),IFERROR(G209/G105,""),"")</f>
        <v>0.155961155961156</v>
      </c>
      <c r="H265" s="215">
        <f>IF(AND(ISNUMBER(H209),ISNUMBER(H105)),IFERROR(H209/H105,""),"")</f>
        <v>0.173941612691261</v>
      </c>
      <c r="I265" s="215">
        <f>IF(AND(ISNUMBER(I209),ISNUMBER(I105)),IFERROR(I209/I105,""),"")</f>
        <v>0.191926696384349</v>
      </c>
      <c r="J265" s="215">
        <f>IF(AND(ISNUMBER(J209),ISNUMBER(J105)),IFERROR(J209/J105,""),"")</f>
        <v>0.230694393773562</v>
      </c>
      <c r="K265" s="215">
        <f>IF(AND(ISNUMBER(K209),ISNUMBER(K105)),IFERROR(K209/K105,""),"")</f>
        <v>0.20339930672034</v>
      </c>
      <c r="L265" s="215">
        <f>IF(AND(ISNUMBER(L209),ISNUMBER(L105)),IFERROR(L209/L105,""),"")</f>
        <v>0.201234942807977</v>
      </c>
      <c r="M265" s="215">
        <f>IF(AND(ISNUMBER(M209),ISNUMBER(M105)),IFERROR(M209/M105,""),"")</f>
        <v>0.206548974943052</v>
      </c>
      <c r="N265" s="215">
        <f>IF(AND(ISNUMBER(N209),ISNUMBER(N105)),IFERROR(N209/N105,""),"")</f>
        <v>0.238333333333333</v>
      </c>
      <c r="O265" s="215">
        <f>IF(AND(ISNUMBER(O209),ISNUMBER(O105)),IFERROR(O209/O105,""),"")</f>
        <v>0.230322135750172</v>
      </c>
      <c r="P265" s="215">
        <f>IF(AND(ISNUMBER(P209),ISNUMBER(P105)),IFERROR(P209/P105,""),"")</f>
        <v>0.203556263269639</v>
      </c>
      <c r="Q265" s="215">
        <f>IF(AND(ISNUMBER(Q209),ISNUMBER(Q105)),IFERROR(Q209/Q105,""),"")</f>
        <v>0.19157184997893</v>
      </c>
      <c r="R265" s="215">
        <f>IF(AND(ISNUMBER(R209),ISNUMBER(R105)),IFERROR(R209/R105,""),"")</f>
        <v>0.213978545437361</v>
      </c>
      <c r="S265" s="215">
        <f>IF(AND(ISNUMBER(S209),ISNUMBER(S105)),IFERROR(S209/S105,""),"")</f>
        <v>0.217754434303427</v>
      </c>
      <c r="T265" s="215">
        <f>IF(AND(ISNUMBER(T209),ISNUMBER(T105)),IFERROR(T209/T105,""),"")</f>
        <v>0.217508310907076</v>
      </c>
      <c r="U265" s="256">
        <f>IF(AND(ISNUMBER(U209),ISNUMBER(U105)),IFERROR(U209/U105,""),"")</f>
        <v>0.207683568587632</v>
      </c>
      <c r="V265" s="256">
        <f>IF(AND(ISNUMBER(V209),ISNUMBER(V105)),IFERROR(V209/V105,""),"")</f>
        <v>0.210663507253025</v>
      </c>
      <c r="W265" s="256">
        <f>IF(AND(ISNUMBER(W209),ISNUMBER(W105)),IFERROR(W209/W105,""),"")</f>
        <v>0.213296125988087</v>
      </c>
      <c r="X265" s="256">
        <f>IF(AND(ISNUMBER(X209),ISNUMBER(X105)),IFERROR(X209/X105,""),"")</f>
        <v>0.217548297006046</v>
      </c>
      <c r="Y265" s="256">
        <f>IF(AND(ISNUMBER(Y209),ISNUMBER(Y105)),IFERROR(Y209/Y105,""),"")</f>
        <v>0.220253294317904</v>
      </c>
      <c r="Z265" s="256">
        <f>IF(AND(ISNUMBER(Z209),ISNUMBER(Z105)),IFERROR(Z209/Z105,""),"")</f>
        <v>0.226428760966287</v>
      </c>
      <c r="AA265" s="256">
        <f>IF(AND(ISNUMBER(AA209),ISNUMBER(AA105)),IFERROR(AA209/AA105,""),"")</f>
        <v>0.232162481270399</v>
      </c>
      <c r="AB265" s="256">
        <f>IF(AND(ISNUMBER(AB209),ISNUMBER(AB105)),IFERROR(AB209/AB105,""),"")</f>
        <v>0.235653458006422</v>
      </c>
      <c r="AC265" s="153" t="n"/>
      <c r="AE265" s="37">
        <f>IFERROR(AVERAGE(X265,Y265,Z265,AA265,AB265),"n/m")</f>
        <v>0.226409258313412</v>
      </c>
      <c r="AF265" s="37">
        <f>IFERROR(AVERAGE(H265,M265,R265),"n/m")</f>
        <v>0.198156377690558</v>
      </c>
      <c r="AG265" s="37">
        <f>IFERROR(AVERAGE(M265,R265),"n/m")</f>
        <v>0.210263760190207</v>
      </c>
      <c r="AH265" s="37">
        <f>IFERROR(W265+0,"n/m")</f>
        <v>0.213296125988087</v>
      </c>
    </row>
    <row r="266" ht="15" customHeight="1" s="251">
      <c r="B266" s="25" t="inlineStr">
        <is>
          <t xml:space="preserve">  Incremental operating margin</t>
        </is>
      </c>
      <c r="C266" s="36" t="n"/>
      <c r="D266" s="36" t="n"/>
      <c r="E266" s="36" t="n"/>
      <c r="F266" s="36" t="n"/>
      <c r="G266" s="36" t="n"/>
      <c r="H266" s="215">
        <f>IFERROR((H209-C209)/(H105-C105),"")</f>
      </c>
      <c r="I266" s="215">
        <f>IFERROR((I209-D209)/(I105-D105),"")</f>
        <v>0.296799224054316</v>
      </c>
      <c r="J266" s="215">
        <f>IFERROR((J209-E209)/(J105-E105),"")</f>
        <v>1.61392405063291</v>
      </c>
      <c r="K266" s="215">
        <f>IFERROR((K209-F209)/(K105-F105),"")</f>
        <v>0.467908902691511</v>
      </c>
      <c r="L266" s="215">
        <f>IFERROR((L209-G209)/(L105-G105),"")</f>
        <v>0.491741741741742</v>
      </c>
      <c r="M266" s="215">
        <f>IFERROR((M209-H209)/(M105-H105),"")</f>
        <v>0.536222714330908</v>
      </c>
      <c r="N266" s="215">
        <f>IFERROR((N209-I209)/(N105-I105),"")</f>
        <v>0.643939393939394</v>
      </c>
      <c r="O266" s="215">
        <f>IFERROR((O209-J209)/(O105-J105),"")</f>
        <v>0.228734439834025</v>
      </c>
      <c r="P266" s="215">
        <f>IFERROR((P209-K209)/(P105-K105),"")</f>
        <v>0.204150783566285</v>
      </c>
      <c r="Q266" s="215">
        <f>IFERROR((Q209-L209)/(Q105-L105),"")</f>
        <v>0.143504531722054</v>
      </c>
      <c r="R266" s="215">
        <f>IFERROR((R209-M209)/(R105-M105),"")</f>
        <v>0.250208275479034</v>
      </c>
      <c r="S266" s="215">
        <f>IFERROR((S209-N209)/(S105-N105),"")</f>
        <v>0.1469013006886</v>
      </c>
      <c r="T266" s="215">
        <f>IFERROR((T209-O209)/(T105-O105),"")</f>
        <v>0.165122835279903</v>
      </c>
      <c r="U266" s="256">
        <f>IFERROR((U209-P209)/(U105-P105),"")</f>
        <v>0.24553344239861</v>
      </c>
      <c r="V266" s="256">
        <f>IFERROR((V209-Q209)/(V105-Q105),"")</f>
        <v>0.386218054597213</v>
      </c>
      <c r="W266" s="256">
        <f>IFERROR((W209-R209)/(W105-R105),"")</f>
        <v>0.209504906825449</v>
      </c>
      <c r="X266" s="256">
        <f>IFERROR((X209-W209)/(X105-W105),"")</f>
        <v>0.250699591724421</v>
      </c>
      <c r="Y266" s="256">
        <f>IFERROR((Y209-X209)/(Y105-X105),"")</f>
        <v>0.242851174857253</v>
      </c>
      <c r="Z266" s="256">
        <f>IFERROR((Z209-Y209)/(Z105-Y105),"")</f>
        <v>0.3018225384882</v>
      </c>
      <c r="AA266" s="256">
        <f>IFERROR((AA209-Z209)/(AA105-Z105),"")</f>
        <v>0.309865422150444</v>
      </c>
      <c r="AB266" s="256">
        <f>IFERROR((AB209-AA209)/(AB105-AA105),"")</f>
        <v>0.290188132858228</v>
      </c>
      <c r="AC266" s="153" t="n"/>
    </row>
    <row r="267" ht="15" customHeight="1" s="251">
      <c r="B267" s="25" t="inlineStr">
        <is>
          <t xml:space="preserve">  Adjusted EBITDA margin %</t>
        </is>
      </c>
      <c r="C267" s="215">
        <f>IF(AND(ISNUMBER(C224),ISNUMBER(C105)),IFERROR(C224/C105,""),"")</f>
      </c>
      <c r="D267" s="215">
        <f>IF(AND(ISNUMBER(D224),ISNUMBER(D105)),IFERROR(D224/D105,""),"")</f>
      </c>
      <c r="E267" s="215">
        <f>IF(AND(ISNUMBER(E224),ISNUMBER(E105)),IFERROR(E224/E105,""),"")</f>
      </c>
      <c r="F267" s="215">
        <f>IF(AND(ISNUMBER(F224),ISNUMBER(F105)),IFERROR(F224/F105,""),"")</f>
        <v>0.222813238770686</v>
      </c>
      <c r="G267" s="215">
        <f>IF(AND(ISNUMBER(G224),ISNUMBER(G105)),IFERROR(G224/G105,""),"")</f>
        <v>0.192114192114192</v>
      </c>
      <c r="H267" s="215">
        <f>IF(AND(ISNUMBER(H224),ISNUMBER(H105)),IFERROR(H224/H105,""),"")</f>
        <v>0.210832629306299</v>
      </c>
      <c r="I267" s="215">
        <f>IF(AND(ISNUMBER(I224),ISNUMBER(I105)),IFERROR(I224/I105,""),"")</f>
        <v>0.227835562159485</v>
      </c>
      <c r="J267" s="215">
        <f>IF(AND(ISNUMBER(J224),ISNUMBER(J105)),IFERROR(J224/J105,""),"")</f>
        <v>0.265110057156755</v>
      </c>
      <c r="K267" s="215">
        <f>IF(AND(ISNUMBER(K224),ISNUMBER(K105)),IFERROR(K224/K105,""),"")</f>
        <v>0.23839874762384</v>
      </c>
      <c r="L267" s="215">
        <f>IF(AND(ISNUMBER(L224),ISNUMBER(L105)),IFERROR(L224/L105,""),"")</f>
        <v>0.231399939265108</v>
      </c>
      <c r="M267" s="215">
        <f>IF(AND(ISNUMBER(M224),ISNUMBER(M105)),IFERROR(M224/M105,""),"")</f>
        <v>0.240261958997722</v>
      </c>
      <c r="N267" s="215">
        <f>IF(AND(ISNUMBER(N224),ISNUMBER(N105)),IFERROR(N224/N105,""),"")</f>
        <v>0.271555555555556</v>
      </c>
      <c r="O267" s="215">
        <f>IF(AND(ISNUMBER(O224),ISNUMBER(O105)),IFERROR(O224/O105,""),"")</f>
        <v>0.260959511378189</v>
      </c>
      <c r="P267" s="215">
        <f>IF(AND(ISNUMBER(P224),ISNUMBER(P105)),IFERROR(P224/P105,""),"")</f>
        <v>0.23036093418259</v>
      </c>
      <c r="Q267" s="215">
        <f>IF(AND(ISNUMBER(Q224),ISNUMBER(Q105)),IFERROR(Q224/Q105,""),"")</f>
        <v>0.217446270543616</v>
      </c>
      <c r="R267" s="215">
        <f>IF(AND(ISNUMBER(R224),ISNUMBER(R105)),IFERROR(R224/R105,""),"")</f>
        <v>0.242805160436652</v>
      </c>
      <c r="S267" s="215">
        <f>IF(AND(ISNUMBER(S224),ISNUMBER(S105)),IFERROR(S224/S105,""),"")</f>
        <v>0.244618563802308</v>
      </c>
      <c r="T267" s="215">
        <f>IF(AND(ISNUMBER(T224),ISNUMBER(T105)),IFERROR(T224/T105,""),"")</f>
        <v>0.242282729143581</v>
      </c>
      <c r="U267" s="256">
        <f>IF(AND(ISNUMBER(U224),ISNUMBER(U105)),IFERROR(U224/U105,""),"")</f>
        <v>0.232809929305967</v>
      </c>
      <c r="V267" s="256">
        <f>IF(AND(ISNUMBER(V224),ISNUMBER(V105)),IFERROR(V224/V105,""),"")</f>
        <v>0.234608182691822</v>
      </c>
      <c r="W267" s="256">
        <f>IF(AND(ISNUMBER(W224),ISNUMBER(W105)),IFERROR(W224/W105,""),"")</f>
        <v>0.238426302303806</v>
      </c>
      <c r="X267" s="256">
        <f>IF(AND(ISNUMBER(X224),ISNUMBER(X105)),IFERROR(X224/X105,""),"")</f>
        <v>0.24452659788752</v>
      </c>
      <c r="Y267" s="256">
        <f>IF(AND(ISNUMBER(Y224),ISNUMBER(Y105)),IFERROR(Y224/Y105,""),"")</f>
        <v>0.250969328295852</v>
      </c>
      <c r="Z267" s="256">
        <f>IF(AND(ISNUMBER(Z224),ISNUMBER(Z105)),IFERROR(Z224/Z105,""),"")</f>
        <v>0.256748189513807</v>
      </c>
      <c r="AA267" s="256">
        <f>IF(AND(ISNUMBER(AA224),ISNUMBER(AA105)),IFERROR(AA224/AA105,""),"")</f>
        <v>0.261922312999836</v>
      </c>
      <c r="AB267" s="256">
        <f>IF(AND(ISNUMBER(AB224),ISNUMBER(AB105)),IFERROR(AB224/AB105,""),"")</f>
        <v>0.264903721868273</v>
      </c>
      <c r="AC267" s="153" t="n"/>
      <c r="AE267" s="37">
        <f>IFERROR(AVERAGE(X267,Y267,Z267,AA267,AB267),"n/m")</f>
        <v>0.255814030113058</v>
      </c>
      <c r="AF267" s="37">
        <f>IFERROR(AVERAGE(H267,M267,R267),"n/m")</f>
        <v>0.231299916246891</v>
      </c>
      <c r="AG267" s="37">
        <f>IFERROR(AVERAGE(M267,R267),"n/m")</f>
        <v>0.241533559717187</v>
      </c>
      <c r="AH267" s="37">
        <f>IFERROR(W267+0,"n/m")</f>
        <v>0.238426302303806</v>
      </c>
    </row>
    <row r="268" ht="15" customHeight="1" s="251">
      <c r="B268" s="25" t="inlineStr">
        <is>
          <t xml:space="preserve">  Profit margin (GAAP, pre-tax) %</t>
        </is>
      </c>
      <c r="C268" s="215">
        <f>IF(AND(ISNUMBER(C172),ISNUMBER(C157)),IFERROR(C172/C157,""),"")</f>
        <v>0.052232403308281</v>
      </c>
      <c r="D268" s="215">
        <f>IF(AND(ISNUMBER(D172),ISNUMBER(D157)),IFERROR(D172/D157,""),"")</f>
        <v>0.883486472690148</v>
      </c>
      <c r="E268" s="215">
        <f>IF(AND(ISNUMBER(E172),ISNUMBER(E157)),IFERROR(E172/E157,""),"")</f>
        <v>0.172358652198744</v>
      </c>
      <c r="F268" s="215">
        <f>IF(AND(ISNUMBER(F172),ISNUMBER(F157)),IFERROR(F172/F157,""),"")</f>
        <v>0.0357987529563535</v>
      </c>
      <c r="G268" s="215">
        <f>IF(AND(ISNUMBER(G172),ISNUMBER(G157)),IFERROR(G172/G157,""),"")</f>
        <v>0.177260708619778</v>
      </c>
      <c r="H268" s="215">
        <f>IF(AND(ISNUMBER(H172),ISNUMBER(H157)),IFERROR(H172/H157,""),"")</f>
        <v>0.295377390517144</v>
      </c>
      <c r="I268" s="215">
        <f>IF(AND(ISNUMBER(I172),ISNUMBER(I157)),IFERROR(I172/I157,""),"")</f>
        <v>0.221998883305416</v>
      </c>
      <c r="J268" s="215">
        <f>IF(AND(ISNUMBER(J172),ISNUMBER(J157)),IFERROR(J172/J157,""),"")</f>
        <v>0.159115900593798</v>
      </c>
      <c r="K268" s="215">
        <f>IF(AND(ISNUMBER(K172),ISNUMBER(K157)),IFERROR(K172/K157,""),"")</f>
        <v>0.19233895549685</v>
      </c>
      <c r="L268" s="215">
        <f>IF(AND(ISNUMBER(L172),ISNUMBER(L157)),IFERROR(L172/L157,""),"")</f>
        <v>0.212171661117277</v>
      </c>
      <c r="M268" s="215">
        <f>IF(AND(ISNUMBER(M172),ISNUMBER(M157)),IFERROR(M172/M157,""),"")</f>
        <v>0.196889049661516</v>
      </c>
      <c r="N268" s="215">
        <f>IF(AND(ISNUMBER(N172),ISNUMBER(N157)),IFERROR(N172/N157,""),"")</f>
        <v>0.225968797181681</v>
      </c>
      <c r="O268" s="215">
        <f>IF(AND(ISNUMBER(O172),ISNUMBER(O157)),IFERROR(O172/O157,""),"")</f>
        <v>0.216728658260002</v>
      </c>
      <c r="P268" s="215">
        <f>IF(AND(ISNUMBER(P172),ISNUMBER(P157)),IFERROR(P172/P157,""),"")</f>
        <v>0.206469091207618</v>
      </c>
      <c r="Q268" s="215">
        <f>IF(AND(ISNUMBER(Q172),ISNUMBER(Q157)),IFERROR(Q172/Q157,""),"")</f>
        <v>0.224188094676417</v>
      </c>
      <c r="R268" s="215">
        <f>IF(AND(ISNUMBER(R172),ISNUMBER(R157)),IFERROR(R172/R157,""),"")</f>
        <v>0.218078726420238</v>
      </c>
      <c r="S268" s="215">
        <f>IF(AND(ISNUMBER(S172),ISNUMBER(S157)),IFERROR(S172/S157,""),"")</f>
        <v>0.177372498386056</v>
      </c>
      <c r="T268" s="215">
        <f>IF(AND(ISNUMBER(T172),ISNUMBER(T157)),IFERROR(T172/T157,""),"")</f>
        <v>0.209903363547831</v>
      </c>
      <c r="U268" s="256">
        <f>IF(AND(ISNUMBER(U172),ISNUMBER(U157)),IFERROR(U172/U157,""),"")</f>
        <v>0.193226454996</v>
      </c>
      <c r="V268" s="256">
        <f>IF(AND(ISNUMBER(V172),ISNUMBER(V157)),IFERROR(V172/V157,""),"")</f>
        <v>0.196689780722798</v>
      </c>
      <c r="W268" s="256">
        <f>IF(AND(ISNUMBER(W172),ISNUMBER(W157)),IFERROR(W172/W157,""),"")</f>
        <v>0.194630385542369</v>
      </c>
      <c r="X268" s="256">
        <f>IF(AND(ISNUMBER(X172),ISNUMBER(X157)),IFERROR(X172/X157,""),"")</f>
        <v>0.207041396766964</v>
      </c>
      <c r="Y268" s="256">
        <f>IF(AND(ISNUMBER(Y172),ISNUMBER(Y157)),IFERROR(Y172/Y157,""),"")</f>
        <v>0.205512596548158</v>
      </c>
      <c r="Z268" s="256">
        <f>IF(AND(ISNUMBER(Z172),ISNUMBER(Z157)),IFERROR(Z172/Z157,""),"")</f>
        <v>0.213982244085053</v>
      </c>
      <c r="AA268" s="256">
        <f>IF(AND(ISNUMBER(AA172),ISNUMBER(AA157)),IFERROR(AA172/AA157,""),"")</f>
        <v>0.218763306409547</v>
      </c>
      <c r="AB268" s="256">
        <f>IF(AND(ISNUMBER(AB172),ISNUMBER(AB157)),IFERROR(AB172/AB157,""),"")</f>
        <v>0.221739811557935</v>
      </c>
      <c r="AC268" s="153" t="n"/>
      <c r="AE268" s="37">
        <f>IFERROR(AVERAGE(X268,Y268,Z268,AA268,AB268),"n/m")</f>
        <v>0.213407871073532</v>
      </c>
      <c r="AF268" s="37">
        <f>IFERROR(AVERAGE(H268,M268,R268),"n/m")</f>
        <v>0.236781722199633</v>
      </c>
      <c r="AG268" s="37">
        <f>IFERROR(AVERAGE(M268,R268),"n/m")</f>
        <v>0.207483888040877</v>
      </c>
      <c r="AH268" s="37">
        <f>IFERROR(W268+0,"n/m")</f>
        <v>0.194630385542369</v>
      </c>
    </row>
    <row r="269" ht="15" customHeight="1" s="251">
      <c r="B269" s="25" t="inlineStr">
        <is>
          <t xml:space="preserve">  Net margin (continuing, to common) %</t>
        </is>
      </c>
      <c r="C269" s="215">
        <f>IF(AND(ISNUMBER(C183),ISNUMBER(C157)),IFERROR(C183/C157,""),"")</f>
        <v>0.0365489550087512</v>
      </c>
      <c r="D269" s="215">
        <f>IF(AND(ISNUMBER(D183),ISNUMBER(D157)),IFERROR(D183/D157,""),"")</f>
        <v>0.837161817253701</v>
      </c>
      <c r="E269" s="215">
        <f>IF(AND(ISNUMBER(E183),ISNUMBER(E157)),IFERROR(E183/E157,""),"")</f>
        <v>0.136493432324386</v>
      </c>
      <c r="F269" s="215">
        <f>IF(AND(ISNUMBER(F183),ISNUMBER(F157)),IFERROR(F183/F157,""),"")</f>
        <v>0.0231133089658138</v>
      </c>
      <c r="G269" s="215">
        <f>IF(AND(ISNUMBER(G183),ISNUMBER(G157)),IFERROR(G183/G157,""),"")</f>
        <v>0.125224748810153</v>
      </c>
      <c r="H269" s="215">
        <f>IF(AND(ISNUMBER(H183),ISNUMBER(H157)),IFERROR(H183/H157,""),"")</f>
        <v>0.258883105126174</v>
      </c>
      <c r="I269" s="215">
        <f>IF(AND(ISNUMBER(I183),ISNUMBER(I157)),IFERROR(I183/I157,""),"")</f>
        <v>0.194416527079844</v>
      </c>
      <c r="J269" s="215">
        <f>IF(AND(ISNUMBER(J183),ISNUMBER(J157)),IFERROR(J183/J157,""),"")</f>
        <v>0.145150648779415</v>
      </c>
      <c r="K269" s="215">
        <f>IF(AND(ISNUMBER(K183),ISNUMBER(K157)),IFERROR(K183/K157,""),"")</f>
        <v>0.173237146921357</v>
      </c>
      <c r="L269" s="215">
        <f>IF(AND(ISNUMBER(L183),ISNUMBER(L157)),IFERROR(L183/L157,""),"")</f>
        <v>0.176100628930818</v>
      </c>
      <c r="M269" s="215">
        <f>IF(AND(ISNUMBER(M183),ISNUMBER(M157)),IFERROR(M183/M157,""),"")</f>
        <v>0.172342514598729</v>
      </c>
      <c r="N269" s="215">
        <f>IF(AND(ISNUMBER(N183),ISNUMBER(N157)),IFERROR(N183/N157,""),"")</f>
        <v>0.197986914947157</v>
      </c>
      <c r="O269" s="215">
        <f>IF(AND(ISNUMBER(O183),ISNUMBER(O157)),IFERROR(O183/O157,""),"")</f>
        <v>0.182073845595573</v>
      </c>
      <c r="P269" s="215">
        <f>IF(AND(ISNUMBER(P183),ISNUMBER(P157)),IFERROR(P183/P157,""),"")</f>
        <v>0.178146293407766</v>
      </c>
      <c r="Q269" s="215">
        <f>IF(AND(ISNUMBER(Q183),ISNUMBER(Q157)),IFERROR(Q183/Q157,""),"")</f>
        <v>0.192812770307462</v>
      </c>
      <c r="R269" s="215">
        <f>IF(AND(ISNUMBER(R183),ISNUMBER(R157)),IFERROR(R183/R157,""),"")</f>
        <v>0.18750408897612</v>
      </c>
      <c r="S269" s="215">
        <f>IF(AND(ISNUMBER(S183),ISNUMBER(S157)),IFERROR(S183/S157,""),"")</f>
        <v>0.155745642349903</v>
      </c>
      <c r="T269" s="215">
        <f>IF(AND(ISNUMBER(T183),ISNUMBER(T157)),IFERROR(T183/T157,""),"")</f>
        <v>0.180163308112967</v>
      </c>
      <c r="U269" s="256">
        <f>IF(AND(ISNUMBER(U183),ISNUMBER(U157)),IFERROR(U183/U157,""),"")</f>
        <v>0.165639386345073</v>
      </c>
      <c r="V269" s="256">
        <f>IF(AND(ISNUMBER(V183),ISNUMBER(V157)),IFERROR(V183/V157,""),"")</f>
        <v>0.168340104154814</v>
      </c>
      <c r="W269" s="256">
        <f>IF(AND(ISNUMBER(W183),ISNUMBER(W157)),IFERROR(W183/W157,""),"")</f>
        <v>0.167695493855945</v>
      </c>
      <c r="X269" s="256">
        <f>IF(AND(ISNUMBER(X183),ISNUMBER(X157)),IFERROR(X183/X157,""),"")</f>
        <v>0.17565435321759</v>
      </c>
      <c r="Y269" s="256">
        <f>IF(AND(ISNUMBER(Y183),ISNUMBER(Y157)),IFERROR(Y183/Y157,""),"")</f>
        <v>0.174084972487317</v>
      </c>
      <c r="Z269" s="256">
        <f>IF(AND(ISNUMBER(Z183),ISNUMBER(Z157)),IFERROR(Z183/Z157,""),"")</f>
        <v>0.180800640931944</v>
      </c>
      <c r="AA269" s="256">
        <f>IF(AND(ISNUMBER(AA183),ISNUMBER(AA157)),IFERROR(AA183/AA157,""),"")</f>
        <v>0.184580431509024</v>
      </c>
      <c r="AB269" s="256">
        <f>IF(AND(ISNUMBER(AB183),ISNUMBER(AB157)),IFERROR(AB183/AB157,""),"")</f>
        <v>0.186897343042548</v>
      </c>
      <c r="AC269" s="153" t="n"/>
      <c r="AE269" s="37">
        <f>IFERROR(AVERAGE(X269,Y269,Z269,AA269,AB269),"n/m")</f>
        <v>0.180403548237685</v>
      </c>
      <c r="AF269" s="37">
        <f>IFERROR(AVERAGE(H269,M269,R269),"n/m")</f>
        <v>0.206243236233674</v>
      </c>
      <c r="AG269" s="37">
        <f>IFERROR(AVERAGE(M269,R269),"n/m")</f>
        <v>0.179923301787425</v>
      </c>
      <c r="AH269" s="37">
        <f>IFERROR(W269+0,"n/m")</f>
        <v>0.167695493855945</v>
      </c>
    </row>
    <row r="270" ht="15" customHeight="1" s="251">
      <c r="B270" s="25" t="inlineStr">
        <is>
          <t xml:space="preserve">  SG&amp;A % of adjusted revenue</t>
        </is>
      </c>
      <c r="C270" s="215">
        <f>IF(AND(ISNUMBER(C162),ISNUMBER(C105)),IFERROR(C162/C105,""),"")</f>
        <v>0.14024902604843</v>
      </c>
      <c r="D270" s="215">
        <f>IF(AND(ISNUMBER(D162),ISNUMBER(D105)),IFERROR(D162/D105,""),"")</f>
        <v>0.132292405961675</v>
      </c>
      <c r="E270" s="215">
        <f>IF(AND(ISNUMBER(E162),ISNUMBER(E105)),IFERROR(E162/E105,""),"")</f>
        <v>0.115467307449096</v>
      </c>
      <c r="F270" s="215">
        <f>IF(AND(ISNUMBER(F162),ISNUMBER(F105)),IFERROR(F162/F105,""),"")</f>
        <v>0.118321513002364</v>
      </c>
      <c r="G270" s="215">
        <f>IF(AND(ISNUMBER(G162),ISNUMBER(G105)),IFERROR(G162/G105,""),"")</f>
        <v>0.14028314028314</v>
      </c>
      <c r="H270" s="215">
        <f>IF(AND(ISNUMBER(H162),ISNUMBER(H105)),IFERROR(H162/H105,""),"")</f>
        <v>0.126568415782722</v>
      </c>
      <c r="I270" s="215">
        <f>IF(AND(ISNUMBER(I162),ISNUMBER(I105)),IFERROR(I162/I105,""),"")</f>
        <v>0.12704309063893</v>
      </c>
      <c r="J270" s="215">
        <f>IF(AND(ISNUMBER(J162),ISNUMBER(J105)),IFERROR(J162/J105,""),"")</f>
        <v>0.112367748996717</v>
      </c>
      <c r="K270" s="215">
        <f>IF(AND(ISNUMBER(K162),ISNUMBER(K105)),IFERROR(K162/K105,""),"")</f>
        <v>0.148719669014872</v>
      </c>
      <c r="L270" s="215">
        <f>IF(AND(ISNUMBER(L162),ISNUMBER(L105)),IFERROR(L162/L105,""),"")</f>
        <v>0.117117117117117</v>
      </c>
      <c r="M270" s="215">
        <f>IF(AND(ISNUMBER(M162),ISNUMBER(M105)),IFERROR(M162/M105,""),"")</f>
        <v>0.126338268792711</v>
      </c>
      <c r="N270" s="215">
        <f>IF(AND(ISNUMBER(N162),ISNUMBER(N105)),IFERROR(N162/N105,""),"")</f>
        <v>0.0973333333333333</v>
      </c>
      <c r="O270" s="215">
        <f>IF(AND(ISNUMBER(O162),ISNUMBER(O105)),IFERROR(O162/O105,""),"")</f>
        <v>0.100482711062949</v>
      </c>
      <c r="P270" s="215">
        <f>IF(AND(ISNUMBER(P162),ISNUMBER(P105)),IFERROR(P162/P105,""),"")</f>
        <v>0.105714791224345</v>
      </c>
      <c r="Q270" s="215">
        <f>IF(AND(ISNUMBER(Q162),ISNUMBER(Q105)),IFERROR(Q162/Q105,""),"")</f>
        <v>0.0840286557100716</v>
      </c>
      <c r="R270" s="215">
        <f>IF(AND(ISNUMBER(R162),ISNUMBER(R105)),IFERROR(R162/R105,""),"")</f>
        <v>0.0965927886205756</v>
      </c>
      <c r="S270" s="215">
        <f>IF(AND(ISNUMBER(S162),ISNUMBER(S105)),IFERROR(S162/S105,""),"")</f>
        <v>0.0933356294127777</v>
      </c>
      <c r="T270" s="215">
        <f>IF(AND(ISNUMBER(T162),ISNUMBER(T105)),IFERROR(T162/T105,""),"")</f>
        <v>0.0895203419344626</v>
      </c>
      <c r="U270" s="256">
        <f>IF(AND(ISNUMBER(U162),ISNUMBER(U105)),IFERROR(U162/U105,""),"")</f>
        <v>0.0913477400197955</v>
      </c>
      <c r="V270" s="256">
        <f>IF(AND(ISNUMBER(V162),ISNUMBER(V105)),IFERROR(V162/V105,""),"")</f>
        <v>0.0913477400197955</v>
      </c>
      <c r="W270" s="256">
        <f>IF(AND(ISNUMBER(W162),ISNUMBER(W105)),IFERROR(W162/W105,""),"")</f>
        <v>0.0913477400197955</v>
      </c>
      <c r="X270" s="256">
        <f>IF(AND(ISNUMBER(X162),ISNUMBER(X105)),IFERROR(X162/X105,""),"")</f>
        <v>0.09</v>
      </c>
      <c r="Y270" s="256">
        <f>IF(AND(ISNUMBER(Y162),ISNUMBER(Y105)),IFERROR(Y162/Y105,""),"")</f>
        <v>0.09</v>
      </c>
      <c r="Z270" s="256">
        <f>IF(AND(ISNUMBER(Z162),ISNUMBER(Z105)),IFERROR(Z162/Z105,""),"")</f>
        <v>0.09</v>
      </c>
      <c r="AA270" s="256">
        <f>IF(AND(ISNUMBER(AA162),ISNUMBER(AA105)),IFERROR(AA162/AA105,""),"")</f>
        <v>0.09</v>
      </c>
      <c r="AB270" s="256">
        <f>IF(AND(ISNUMBER(AB162),ISNUMBER(AB105)),IFERROR(AB162/AB105,""),"")</f>
        <v>0.09</v>
      </c>
      <c r="AC270" s="153" t="n"/>
      <c r="AE270" s="37">
        <f>IFERROR(AVERAGE(X270,Y270,Z270,AA270,AB270),"n/m")</f>
        <v>0.09</v>
      </c>
      <c r="AF270" s="37">
        <f>IFERROR(AVERAGE(H270,M270,R270),"n/m")</f>
        <v>0.116499824398669</v>
      </c>
      <c r="AG270" s="37">
        <f>IFERROR(AVERAGE(M270,R270),"n/m")</f>
        <v>0.111465528706643</v>
      </c>
      <c r="AH270" s="37">
        <f>IFERROR(W270+0,"n/m")</f>
        <v>0.0913477400197955</v>
      </c>
    </row>
    <row r="271" ht="15" customHeight="1" s="251">
      <c r="B271" s="25" t="inlineStr">
        <is>
          <t xml:space="preserve">  R&amp;D % of adjusted revenue</t>
        </is>
      </c>
      <c r="C271" s="215">
        <f>IF(AND(ISNUMBER(C166),ISNUMBER(C105)),IFERROR(C166/C105,""),"")</f>
        <v>0.0308608967993278</v>
      </c>
      <c r="D271" s="215">
        <f>IF(AND(ISNUMBER(D166),ISNUMBER(D105)),IFERROR(D166/D105,""),"")</f>
        <v>0.0325053229240596</v>
      </c>
      <c r="E271" s="215">
        <f>IF(AND(ISNUMBER(E166),ISNUMBER(E105)),IFERROR(E166/E105,""),"")</f>
        <v>0.0302263816871127</v>
      </c>
      <c r="F271" s="215">
        <f>IF(AND(ISNUMBER(F166),ISNUMBER(F105)),IFERROR(F166/F105,""),"")</f>
        <v>0.0291962174940898</v>
      </c>
      <c r="G271" s="215">
        <f>IF(AND(ISNUMBER(G166),ISNUMBER(G105)),IFERROR(G166/G105,""),"")</f>
        <v>0.0346320346320346</v>
      </c>
      <c r="H271" s="215">
        <f>IF(AND(ISNUMBER(H166),ISNUMBER(H105)),IFERROR(H166/H105,""),"")</f>
        <v>0.0316342814230733</v>
      </c>
      <c r="I271" s="215">
        <f>IF(AND(ISNUMBER(I166),ISNUMBER(I105)),IFERROR(I166/I105,""),"")</f>
        <v>0.0334323922734027</v>
      </c>
      <c r="J271" s="215">
        <f>IF(AND(ISNUMBER(J166),ISNUMBER(J105)),IFERROR(J166/J105,""),"")</f>
        <v>0.0364830353885443</v>
      </c>
      <c r="K271" s="215">
        <f>IF(AND(ISNUMBER(K166),ISNUMBER(K105)),IFERROR(K166/K105,""),"")</f>
        <v>0.0370121883037012</v>
      </c>
      <c r="L271" s="215">
        <f>IF(AND(ISNUMBER(L166),ISNUMBER(L105)),IFERROR(L166/L105,""),"")</f>
        <v>0.0389715558254884</v>
      </c>
      <c r="M271" s="215">
        <f>IF(AND(ISNUMBER(M166),ISNUMBER(M105)),IFERROR(M166/M105,""),"")</f>
        <v>0.0366173120728929</v>
      </c>
      <c r="N271" s="215">
        <f>IF(AND(ISNUMBER(N166),ISNUMBER(N105)),IFERROR(N166/N105,""),"")</f>
        <v>0.0398888888888889</v>
      </c>
      <c r="O271" s="215">
        <f>IF(AND(ISNUMBER(O166),ISNUMBER(O105)),IFERROR(O166/O105,""),"")</f>
        <v>0.0353659737956852</v>
      </c>
      <c r="P271" s="215">
        <f>IF(AND(ISNUMBER(P166),ISNUMBER(P105)),IFERROR(P166/P105,""),"")</f>
        <v>0.0367126680820948</v>
      </c>
      <c r="Q271" s="215">
        <f>IF(AND(ISNUMBER(Q166),ISNUMBER(Q105)),IFERROR(Q166/Q105,""),"")</f>
        <v>0.0377581120943953</v>
      </c>
      <c r="R271" s="215">
        <f>IF(AND(ISNUMBER(R166),ISNUMBER(R105)),IFERROR(R166/R105,""),"")</f>
        <v>0.0373328292613771</v>
      </c>
      <c r="S271" s="215">
        <f>IF(AND(ISNUMBER(S166),ISNUMBER(S105)),IFERROR(S166/S105,""),"")</f>
        <v>0.0378853108317548</v>
      </c>
      <c r="T271" s="215">
        <f>IF(AND(ISNUMBER(T166),ISNUMBER(T105)),IFERROR(T166/T105,""),"")</f>
        <v>0.0364096881431059</v>
      </c>
      <c r="U271" s="256">
        <f>IF(AND(ISNUMBER(U166),ISNUMBER(U105)),IFERROR(U166/U105,""),"")</f>
        <v>0.0371164632134609</v>
      </c>
      <c r="V271" s="256">
        <f>IF(AND(ISNUMBER(V166),ISNUMBER(V105)),IFERROR(V166/V105,""),"")</f>
        <v>0.0371164632134609</v>
      </c>
      <c r="W271" s="256">
        <f>IF(AND(ISNUMBER(W166),ISNUMBER(W105)),IFERROR(W166/W105,""),"")</f>
        <v>0.0371164632134609</v>
      </c>
      <c r="X271" s="256">
        <f>IF(AND(ISNUMBER(X166),ISNUMBER(X105)),IFERROR(X166/X105,""),"")</f>
        <v>0.037</v>
      </c>
      <c r="Y271" s="256">
        <f>IF(AND(ISNUMBER(Y166),ISNUMBER(Y105)),IFERROR(Y166/Y105,""),"")</f>
        <v>0.037</v>
      </c>
      <c r="Z271" s="256">
        <f>IF(AND(ISNUMBER(Z166),ISNUMBER(Z105)),IFERROR(Z166/Z105,""),"")</f>
        <v>0.037</v>
      </c>
      <c r="AA271" s="256">
        <f>IF(AND(ISNUMBER(AA166),ISNUMBER(AA105)),IFERROR(AA166/AA105,""),"")</f>
        <v>0.037</v>
      </c>
      <c r="AB271" s="256">
        <f>IF(AND(ISNUMBER(AB166),ISNUMBER(AB105)),IFERROR(AB166/AB105,""),"")</f>
        <v>0.037</v>
      </c>
      <c r="AC271" s="153" t="n"/>
      <c r="AE271" s="37">
        <f>IFERROR(AVERAGE(X271,Y271,Z271,AA271,AB271),"n/m")</f>
        <v>0.037</v>
      </c>
      <c r="AF271" s="37">
        <f>IFERROR(AVERAGE(H271,M271,R271),"n/m")</f>
        <v>0.0351948075857811</v>
      </c>
      <c r="AG271" s="37">
        <f>IFERROR(AVERAGE(M271,R271),"n/m")</f>
        <v>0.036975070667135</v>
      </c>
      <c r="AH271" s="37">
        <f>IFERROR(W271+0,"n/m")</f>
        <v>0.0371164632134609</v>
      </c>
    </row>
    <row r="272" ht="15" customHeight="1" s="251">
      <c r="B272" s="22" t="inlineStr">
        <is>
          <t xml:space="preserve">  Contribution to adjusted revenue growth — CES (pp)</t>
        </is>
      </c>
      <c r="C272" s="23" t="n"/>
      <c r="D272" s="23" t="n"/>
      <c r="E272" s="23" t="n"/>
      <c r="F272" s="23" t="n"/>
      <c r="G272" s="23" t="n"/>
      <c r="H272" s="255">
        <f>IFERROR((H21-C21)/C105,"")</f>
        <v>0.192575051562142</v>
      </c>
      <c r="I272" s="255">
        <f>IFERROR((I21-D21)/D105,"")</f>
        <v>0.12264017033357</v>
      </c>
      <c r="J272" s="255">
        <f>IFERROR((J21-E21)/E105,"")</f>
        <v>0.0499557354243076</v>
      </c>
      <c r="K272" s="255">
        <f>IFERROR((K21-F21)/F105,"")</f>
        <v>0.0645390070921986</v>
      </c>
      <c r="L272" s="255">
        <f>IFERROR((L21-G21)/G105,"")</f>
        <v>0.142857142857143</v>
      </c>
      <c r="M272" s="255">
        <f>IFERROR((M21-H21)/H105,"")</f>
        <v>0.0946838136362214</v>
      </c>
      <c r="N272" s="255">
        <f>IFERROR((N21-I21)/I105,"")</f>
        <v>0.108964834076275</v>
      </c>
      <c r="O272" s="255">
        <f>IFERROR((O21-J21)/J105,"")</f>
        <v>0.225951599173051</v>
      </c>
      <c r="P272" s="255">
        <f>IFERROR((P21-K21)/K105,"")</f>
        <v>0.209773006820977</v>
      </c>
      <c r="Q272" s="255">
        <f>IFERROR((Q21-L21)/L105,"")</f>
        <v>0.18392549853224</v>
      </c>
      <c r="R272" s="255">
        <f>IFERROR((R21-M21)/M105,"")</f>
        <v>0.183171981776765</v>
      </c>
      <c r="S272" s="255">
        <f>IFERROR((S21-N21)/N105,"")</f>
        <v>0.215888888888889</v>
      </c>
      <c r="T272" s="255">
        <f>IFERROR((T21-O21)/O105,"")</f>
        <v>0.171510196039799</v>
      </c>
      <c r="U272" s="256">
        <f>IFERROR((U21-P21)/P105,"")</f>
        <v>0.0703179909114984</v>
      </c>
      <c r="V272" s="256">
        <f>IFERROR((V21-Q21)/Q105,"")</f>
        <v>0.0707392554898508</v>
      </c>
      <c r="W272" s="256">
        <f>IFERROR((W21-R21)/R105,"")</f>
        <v>0.125613057881259</v>
      </c>
      <c r="X272" s="256">
        <f>IFERROR((X21-W21)/W105,"")</f>
        <v>0.104607079543703</v>
      </c>
      <c r="Y272" s="256">
        <f>IFERROR((Y21-X21)/X105,"")</f>
        <v>0.0837837989533191</v>
      </c>
      <c r="Z272" s="256">
        <f>IFERROR((Z21-Y21)/Y105,"")</f>
        <v>0.0674957875288607</v>
      </c>
      <c r="AA272" s="256">
        <f>IFERROR((AA21-Z21)/Z105,"")</f>
        <v>0.0583324254835883</v>
      </c>
      <c r="AB272" s="256">
        <f>IFERROR((AB21-AA21)/AA105,"")</f>
        <v>0.0507175768538788</v>
      </c>
      <c r="AC272" s="153" t="n"/>
    </row>
    <row r="273" ht="15" customHeight="1" s="251">
      <c r="B273" s="22" t="inlineStr">
        <is>
          <t xml:space="preserve">  Contribution to adjusted revenue growth — DPT (pp)</t>
        </is>
      </c>
      <c r="C273" s="23" t="n"/>
      <c r="D273" s="23" t="n"/>
      <c r="E273" s="23" t="n"/>
      <c r="F273" s="23" t="n"/>
      <c r="G273" s="23" t="n"/>
      <c r="H273" s="255">
        <f>IFERROR((H41-C41)/C105,"")</f>
        <v>0.0371247421892904</v>
      </c>
      <c r="I273" s="255">
        <f>IFERROR((I41-D41)/D105,"")</f>
        <v>0.0491128459900639</v>
      </c>
      <c r="J273" s="255">
        <f>IFERROR((J41-E41)/E105,"")</f>
        <v>0.00328822562286582</v>
      </c>
      <c r="K273" s="255">
        <f>IFERROR((K41-F41)/F105,"")</f>
        <v>0.00449172576832151</v>
      </c>
      <c r="L273" s="255">
        <f>IFERROR((L41-G41)/G105,"")</f>
        <v>0.0126360126360126</v>
      </c>
      <c r="M273" s="255">
        <f>IFERROR((M41-H41)/H105,"")</f>
        <v>0.0161769767514628</v>
      </c>
      <c r="N273" s="255">
        <f>IFERROR((N41-I41)/I105,"")</f>
        <v>0.00148588410104012</v>
      </c>
      <c r="O273" s="255">
        <f>IFERROR((O41-J41)/J105,"")</f>
        <v>0.0197008391098139</v>
      </c>
      <c r="P273" s="255">
        <f>IFERROR((P41-K41)/K105,"")</f>
        <v>0.0654142905065414</v>
      </c>
      <c r="Q273" s="255">
        <f>IFERROR((Q41-L41)/L105,"")</f>
        <v>0.0319870432229983</v>
      </c>
      <c r="R273" s="255">
        <f>IFERROR((R41-M41)/M105,"")</f>
        <v>0.0306378132118451</v>
      </c>
      <c r="S273" s="255">
        <f>IFERROR((S41-N41)/N105,"")</f>
        <v>0.0988888888888889</v>
      </c>
      <c r="T273" s="255">
        <f>IFERROR((T41-O41)/O105,"")</f>
        <v>0.0866909664072505</v>
      </c>
      <c r="U273" s="256">
        <f>IFERROR((U41-P41)/P105,"")</f>
        <v>0.0515110740941545</v>
      </c>
      <c r="V273" s="256">
        <f>IFERROR((V41-Q41)/Q105,"")</f>
        <v>0.0492664193788368</v>
      </c>
      <c r="W273" s="256">
        <f>IFERROR((W41-R41)/R105,"")</f>
        <v>0.0693924494941218</v>
      </c>
      <c r="X273" s="256">
        <f>IFERROR((X41-W41)/W105,"")</f>
        <v>0.0216112744143011</v>
      </c>
      <c r="Y273" s="256">
        <f>IFERROR((Y41-X41)/X105,"")</f>
        <v>0.0181009277887939</v>
      </c>
      <c r="Z273" s="256">
        <f>IFERROR((Z41-Y41)/Y105,"")</f>
        <v>0.0148263966086797</v>
      </c>
      <c r="AA273" s="256">
        <f>IFERROR((AA41-Z41)/Z105,"")</f>
        <v>0.0145261506620642</v>
      </c>
      <c r="AB273" s="256">
        <f>IFERROR((AB41-AA41)/AA105,"")</f>
        <v>0.0119496642392685</v>
      </c>
      <c r="AC273" s="153" t="n"/>
    </row>
    <row r="274" ht="15" customHeight="1" s="251">
      <c r="AK274" s="11" t="n"/>
      <c r="AL274" s="12" t="n"/>
      <c r="AM274" s="12" t="n"/>
      <c r="AN274" s="12" t="n"/>
      <c r="AO274" s="13" t="n"/>
    </row>
    <row r="275" ht="15" customHeight="1" s="251">
      <c r="B275" s="10" t="inlineStr">
        <is>
          <t>RECONCILIATION: CASH FROM OPERATING ACTIVITIES → FREE CASH FLOW (company definition, as published)</t>
        </is>
      </c>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c r="AA275" s="10" t="n"/>
      <c r="AB275" s="10" t="n"/>
      <c r="AC275" s="10" t="inlineStr">
        <is>
          <t>FCF — CFOA (continuing) − gross additions to PP&amp;E and internal-use software (+ dispositions of PP&amp;E from the Q3-25 definition) + separation and Corporate restructuring cash</t>
        </is>
      </c>
    </row>
    <row r="276" ht="15" customHeight="1" s="251">
      <c r="B276" s="16" t="inlineStr">
        <is>
          <t>Cash from operating activities — continuing operations (GAAP)</t>
        </is>
      </c>
      <c r="C276" s="260">
        <f>C308</f>
        <v>4027</v>
      </c>
      <c r="D276" s="260">
        <f>D308</f>
        <v>0</v>
      </c>
      <c r="E276" s="260">
        <f>E308</f>
        <v>0</v>
      </c>
      <c r="F276" s="260">
        <f>F308</f>
        <v>1790</v>
      </c>
      <c r="G276" s="260">
        <f>G308</f>
        <v>1255</v>
      </c>
      <c r="H276" s="260">
        <f>H308</f>
        <v>4609</v>
      </c>
      <c r="I276" s="260">
        <f>I308</f>
        <v>1629</v>
      </c>
      <c r="J276" s="260">
        <f>J308</f>
        <v>957</v>
      </c>
      <c r="K276" s="260">
        <f>K308</f>
        <v>1913</v>
      </c>
      <c r="L276" s="260">
        <f>L308</f>
        <v>1318</v>
      </c>
      <c r="M276" s="260">
        <f>M308</f>
        <v>5817</v>
      </c>
      <c r="N276" s="260">
        <f>N308</f>
        <v>1543</v>
      </c>
      <c r="O276" s="260">
        <f>O308</f>
        <v>2348</v>
      </c>
      <c r="P276" s="260">
        <f>P308</f>
        <v>2556</v>
      </c>
      <c r="Q276" s="260">
        <f>Q308</f>
        <v>2096</v>
      </c>
      <c r="R276" s="260">
        <f>R308</f>
        <v>8543</v>
      </c>
      <c r="S276" s="260">
        <f>S308</f>
        <v>1868</v>
      </c>
      <c r="T276" s="260">
        <f>T308</f>
        <v>3258</v>
      </c>
      <c r="U276" s="32" t="n"/>
      <c r="V276" s="32" t="n"/>
      <c r="W276" s="261">
        <f>W308</f>
        <v>10069.37488</v>
      </c>
      <c r="X276" s="261">
        <f>X308</f>
        <v>12599.1812980353</v>
      </c>
      <c r="Y276" s="261">
        <f>Y308</f>
        <v>14161.9993431702</v>
      </c>
      <c r="Z276" s="261">
        <f>Z308</f>
        <v>15392.7580428127</v>
      </c>
      <c r="AA276" s="261">
        <f>AA308</f>
        <v>16673.3468907637</v>
      </c>
      <c r="AB276" s="261">
        <f>AB308</f>
        <v>17753.8532046252</v>
      </c>
      <c r="AC276" s="153" t="n"/>
    </row>
    <row r="277" ht="15" customHeight="1" s="251">
      <c r="B277" s="25" t="inlineStr">
        <is>
          <t xml:space="preserve">  (+) Gross additions to PP&amp;E and internal-use software</t>
        </is>
      </c>
      <c r="C277" s="211">
        <f>C309</f>
        <v>-662</v>
      </c>
      <c r="D277" s="211">
        <f>D309</f>
        <v>0</v>
      </c>
      <c r="E277" s="211">
        <f>E309</f>
        <v>0</v>
      </c>
      <c r="F277" s="211">
        <f>F309</f>
        <v>-222</v>
      </c>
      <c r="G277" s="211">
        <f>G309</f>
        <v>-250</v>
      </c>
      <c r="H277" s="211">
        <f>H309</f>
        <v>-862</v>
      </c>
      <c r="I277" s="211">
        <f>I309</f>
        <v>-204</v>
      </c>
      <c r="J277" s="211">
        <f>J309</f>
        <v>-295</v>
      </c>
      <c r="K277" s="211">
        <f>K309</f>
        <v>-266</v>
      </c>
      <c r="L277" s="211">
        <f>L309</f>
        <v>-267</v>
      </c>
      <c r="M277" s="211">
        <f>M309</f>
        <v>-1032</v>
      </c>
      <c r="N277" s="211">
        <f>N309</f>
        <v>-208</v>
      </c>
      <c r="O277" s="211">
        <f>O309</f>
        <v>-327</v>
      </c>
      <c r="P277" s="211">
        <f>P309</f>
        <v>-307</v>
      </c>
      <c r="Q277" s="211">
        <f>Q309</f>
        <v>-431</v>
      </c>
      <c r="R277" s="211">
        <f>R309</f>
        <v>-1273</v>
      </c>
      <c r="S277" s="211">
        <f>S309</f>
        <v>-331</v>
      </c>
      <c r="T277" s="211">
        <f>T309</f>
        <v>-335</v>
      </c>
      <c r="U277" s="35" t="n"/>
      <c r="V277" s="35" t="n"/>
      <c r="W277" s="254">
        <f>W309</f>
        <v>-1385.37488</v>
      </c>
      <c r="X277" s="254">
        <f>X309</f>
        <v>-1690.36618201694</v>
      </c>
      <c r="Y277" s="254">
        <f>Y309</f>
        <v>-2018.8856892915</v>
      </c>
      <c r="Z277" s="254">
        <f>Z309</f>
        <v>-2115.99374468852</v>
      </c>
      <c r="AA277" s="254">
        <f>AA309</f>
        <v>-2198.83884756973</v>
      </c>
      <c r="AB277" s="254">
        <f>AB309</f>
        <v>-2339.59507805956</v>
      </c>
      <c r="AC277" s="19" t="n"/>
    </row>
    <row r="278" ht="15" customHeight="1" s="251">
      <c r="B278" s="25" t="inlineStr">
        <is>
          <t xml:space="preserve">  (+) Dispositions of PP&amp;E (in the definition from the Q3-25 release)</t>
        </is>
      </c>
      <c r="C278" s="34" t="n"/>
      <c r="D278" s="253" t="n">
        <v>0</v>
      </c>
      <c r="E278" s="253" t="n">
        <v>0</v>
      </c>
      <c r="F278" s="253" t="n">
        <v>0</v>
      </c>
      <c r="G278" s="253" t="n">
        <v>0</v>
      </c>
      <c r="H278" s="253" t="n">
        <v>0</v>
      </c>
      <c r="I278" s="253" t="n">
        <v>0</v>
      </c>
      <c r="J278" s="253" t="n">
        <v>0</v>
      </c>
      <c r="K278" s="253" t="n">
        <v>0</v>
      </c>
      <c r="L278" s="253" t="n">
        <v>0</v>
      </c>
      <c r="M278" s="253" t="n">
        <v>0</v>
      </c>
      <c r="N278" s="253" t="n">
        <v>0</v>
      </c>
      <c r="O278" s="253" t="n">
        <v>0</v>
      </c>
      <c r="P278" s="253" t="n">
        <v>51</v>
      </c>
      <c r="Q278" s="253" t="n">
        <v>47</v>
      </c>
      <c r="R278" s="253" t="n">
        <v>123</v>
      </c>
      <c r="S278" s="253" t="n">
        <v>13</v>
      </c>
      <c r="T278" s="253" t="n">
        <v>44</v>
      </c>
      <c r="U278" s="35" t="n"/>
      <c r="V278" s="35" t="n"/>
      <c r="W278" s="254">
        <f>W310</f>
        <v>58</v>
      </c>
      <c r="X278" s="254">
        <f>X310</f>
        <v>0</v>
      </c>
      <c r="Y278" s="254">
        <f>Y310</f>
        <v>0</v>
      </c>
      <c r="Z278" s="254">
        <f>Z310</f>
        <v>0</v>
      </c>
      <c r="AA278" s="254">
        <f>AA310</f>
        <v>0</v>
      </c>
      <c r="AB278" s="254">
        <f>AB310</f>
        <v>0</v>
      </c>
      <c r="AC278" s="19" t="n"/>
    </row>
    <row r="279" ht="15" customHeight="1" s="251">
      <c r="B279" s="25" t="inlineStr">
        <is>
          <t xml:space="preserve">  (+) Separation cash expenditures (added back)</t>
        </is>
      </c>
      <c r="C279" s="211">
        <f>IF(ISNUMBER(C282),-C284,"")</f>
      </c>
      <c r="D279" s="211">
        <f>IF(ISNUMBER(D282),-D284,"")</f>
        <v>170</v>
      </c>
      <c r="E279" s="211">
        <f>IF(ISNUMBER(E282),-E284,"")</f>
        <v>319</v>
      </c>
      <c r="F279" s="211">
        <f>IF(ISNUMBER(F282),-F284,"")</f>
        <v>127</v>
      </c>
      <c r="G279" s="211">
        <f>IF(ISNUMBER(G282),-G284,"")</f>
        <v>204</v>
      </c>
      <c r="H279" s="211">
        <f>IF(ISNUMBER(H282),-H284,"")</f>
        <v>820</v>
      </c>
      <c r="I279" s="211">
        <f>IF(ISNUMBER(I282),-I284,"")</f>
        <v>165</v>
      </c>
      <c r="J279" s="211">
        <f>IF(ISNUMBER(J282),-J284,"")</f>
        <v>407</v>
      </c>
      <c r="K279" s="211">
        <f>IF(ISNUMBER(K282),-K284,"")</f>
        <v>144</v>
      </c>
      <c r="L279" s="211">
        <f>IF(ISNUMBER(L282),-L284,"")</f>
        <v>85</v>
      </c>
      <c r="M279" s="211">
        <f>IF(ISNUMBER(M282),-M284,"")</f>
        <v>800</v>
      </c>
      <c r="N279" s="211">
        <f>IF(ISNUMBER(N282),-N284,"")</f>
        <v>76</v>
      </c>
      <c r="O279" s="211">
        <f>IF(ISNUMBER(O282),-O284,"")</f>
        <v>70</v>
      </c>
      <c r="P279" s="211">
        <f>IF(ISNUMBER(P282),-P284,"")</f>
        <v>56</v>
      </c>
      <c r="Q279" s="211">
        <f>IF(ISNUMBER(Q282),-Q284,"")</f>
        <v>43</v>
      </c>
      <c r="R279" s="211">
        <f>IF(ISNUMBER(R282),-R284,"")</f>
        <v>245</v>
      </c>
      <c r="S279" s="211">
        <f>IF(ISNUMBER(S282),-S284,"")</f>
        <v>83</v>
      </c>
      <c r="T279" s="211">
        <f>IF(ISNUMBER(T282),-T284,"")</f>
        <v>33</v>
      </c>
      <c r="U279" s="35" t="n"/>
      <c r="V279" s="35" t="n"/>
      <c r="W279" s="254">
        <f>-SUM(S284:T284)+SUM(U146:V146)</f>
        <v>205</v>
      </c>
      <c r="X279" s="254">
        <f>X146</f>
        <v>50</v>
      </c>
      <c r="Y279" s="254">
        <f>Y146</f>
        <v>0</v>
      </c>
      <c r="Z279" s="254">
        <f>Z146</f>
        <v>0</v>
      </c>
      <c r="AA279" s="254">
        <f>AA146</f>
        <v>0</v>
      </c>
      <c r="AB279" s="254">
        <f>AB146</f>
        <v>0</v>
      </c>
      <c r="AC279" s="19" t="inlineStr">
        <is>
          <t>Forecast: separation and restructuring cash = expense (assumption).</t>
        </is>
      </c>
    </row>
    <row r="280" ht="15" customHeight="1" s="251">
      <c r="B280" s="25" t="inlineStr">
        <is>
          <t xml:space="preserve">  (+) Corporate &amp; Other restructuring cash expenditures (added back)</t>
        </is>
      </c>
      <c r="C280" s="211">
        <f>IF(ISNUMBER(C282),-C285,"")</f>
      </c>
      <c r="D280" s="211">
        <f>IF(ISNUMBER(D282),-D285,"")</f>
        <v>33</v>
      </c>
      <c r="E280" s="211">
        <f>IF(ISNUMBER(E282),-E285,"")</f>
        <v>75</v>
      </c>
      <c r="F280" s="211">
        <f>IF(ISNUMBER(F282),-F285,"")</f>
        <v>21</v>
      </c>
      <c r="G280" s="211">
        <f>IF(ISNUMBER(G282),-G285,"")</f>
        <v>49</v>
      </c>
      <c r="H280" s="211">
        <f>IF(ISNUMBER(H282),-H285,"")</f>
        <v>177</v>
      </c>
      <c r="I280" s="211">
        <f>IF(ISNUMBER(I282),-I285,"")</f>
        <v>79</v>
      </c>
      <c r="J280" s="211">
        <f>IF(ISNUMBER(J282),-J285,"")</f>
        <v>29</v>
      </c>
      <c r="K280" s="211">
        <f>IF(ISNUMBER(K282),-K285,"")</f>
        <v>14</v>
      </c>
      <c r="L280" s="211">
        <f>IF(ISNUMBER(L282),-L285,"")</f>
        <v>381</v>
      </c>
      <c r="M280" s="211">
        <f>IF(ISNUMBER(M282),-M285,"")</f>
        <v>504</v>
      </c>
      <c r="N280" s="211">
        <f>IF(ISNUMBER(N282),-N285,"")</f>
        <v>31</v>
      </c>
      <c r="O280" s="211">
        <f>IF(ISNUMBER(O282),-O285,"")</f>
        <v>14</v>
      </c>
      <c r="P280" s="211">
        <f>IF(ISNUMBER(P282),-P285,"")</f>
        <v>6</v>
      </c>
      <c r="Q280" s="211">
        <f>IF(ISNUMBER(Q282),-Q285,"")</f>
        <v>5</v>
      </c>
      <c r="R280" s="211">
        <f>IF(ISNUMBER(R282),-R285,"")</f>
        <v>56</v>
      </c>
      <c r="S280" s="211">
        <f>IF(ISNUMBER(S282),-S285,"")</f>
        <v>26</v>
      </c>
      <c r="T280" s="211">
        <f>IF(ISNUMBER(T282),-T285,"")</f>
        <v>26</v>
      </c>
      <c r="U280" s="35" t="n"/>
      <c r="V280" s="35" t="n"/>
      <c r="W280" s="254">
        <f>-SUM(S285:T285)+SUM(U145:V145)</f>
        <v>103</v>
      </c>
      <c r="X280" s="254">
        <f>MAX(0,X145)</f>
        <v>100</v>
      </c>
      <c r="Y280" s="254">
        <f>MAX(0,Y145)</f>
        <v>250</v>
      </c>
      <c r="Z280" s="254">
        <f>MAX(0,Z145)</f>
        <v>100</v>
      </c>
      <c r="AA280" s="254">
        <f>MAX(0,AA145)</f>
        <v>100</v>
      </c>
      <c r="AB280" s="254">
        <f>MAX(0,AB145)</f>
        <v>100</v>
      </c>
      <c r="AC280" s="19" t="n"/>
    </row>
    <row r="281" ht="15" customHeight="1" s="251">
      <c r="B281" s="55" t="inlineStr">
        <is>
          <t xml:space="preserve">  = Free cash flow (model bridge)</t>
        </is>
      </c>
      <c r="C281" s="273">
        <f>IF(AND(ISNUMBER(C276),ISNUMBER(C279)),C276+C277+N(C278)+C279+C280,"")</f>
      </c>
      <c r="D281" s="273">
        <f>IF(AND(ISNUMBER(D276),ISNUMBER(D279)),D276+D277+N(D278)+D279+D280,"")</f>
      </c>
      <c r="E281" s="273">
        <f>IF(AND(ISNUMBER(E276),ISNUMBER(E279)),E276+E277+N(E278)+E279+E280,"")</f>
      </c>
      <c r="F281" s="273">
        <f>IF(AND(ISNUMBER(F276),ISNUMBER(F279)),F276+F277+N(F278)+F279+F280,"")</f>
        <v>1716</v>
      </c>
      <c r="G281" s="273">
        <f>IF(AND(ISNUMBER(G276),ISNUMBER(G279)),G276+G277+N(G278)+G279+G280,"")</f>
        <v>1258</v>
      </c>
      <c r="H281" s="273">
        <f>IF(AND(ISNUMBER(H276),ISNUMBER(H279)),H276+H277+N(H278)+H279+H280,"")</f>
        <v>4744</v>
      </c>
      <c r="I281" s="273">
        <f>IF(AND(ISNUMBER(I276),ISNUMBER(I279)),I276+I277+N(I278)+I279+I280,"")</f>
        <v>1669</v>
      </c>
      <c r="J281" s="273">
        <f>IF(AND(ISNUMBER(J276),ISNUMBER(J279)),J276+J277+N(J278)+J279+J280,"")</f>
        <v>1098</v>
      </c>
      <c r="K281" s="273">
        <f>IF(AND(ISNUMBER(K276),ISNUMBER(K279)),K276+K277+N(K278)+K279+K280,"")</f>
        <v>1805</v>
      </c>
      <c r="L281" s="273">
        <f>IF(AND(ISNUMBER(L276),ISNUMBER(L279)),L276+L277+N(L278)+L279+L280,"")</f>
        <v>1517</v>
      </c>
      <c r="M281" s="273">
        <f>IF(AND(ISNUMBER(M276),ISNUMBER(M279)),M276+M277+N(M278)+M279+M280,"")</f>
        <v>6089</v>
      </c>
      <c r="N281" s="273">
        <f>IF(AND(ISNUMBER(N276),ISNUMBER(N279)),N276+N277+N(N278)+N279+N280,"")</f>
        <v>1442</v>
      </c>
      <c r="O281" s="273">
        <f>IF(AND(ISNUMBER(O276),ISNUMBER(O279)),O276+O277+N(O278)+O279+O280,"")</f>
        <v>2105</v>
      </c>
      <c r="P281" s="273">
        <f>IF(AND(ISNUMBER(P276),ISNUMBER(P279)),P276+P277+N(P278)+P279+P280,"")</f>
        <v>2362</v>
      </c>
      <c r="Q281" s="273">
        <f>IF(AND(ISNUMBER(Q276),ISNUMBER(Q279)),Q276+Q277+N(Q278)+Q279+Q280,"")</f>
        <v>1760</v>
      </c>
      <c r="R281" s="273">
        <f>IF(AND(ISNUMBER(R276),ISNUMBER(R279)),R276+R277+N(R278)+R279+R280,"")</f>
        <v>7694</v>
      </c>
      <c r="S281" s="273">
        <f>IF(AND(ISNUMBER(S276),ISNUMBER(S279)),S276+S277+N(S278)+S279+S280,"")</f>
        <v>1659</v>
      </c>
      <c r="T281" s="273">
        <f>IF(AND(ISNUMBER(T276),ISNUMBER(T279)),T276+T277+N(T278)+T279+T280,"")</f>
        <v>3026</v>
      </c>
      <c r="U281" s="56" t="n"/>
      <c r="V281" s="56" t="n"/>
      <c r="W281" s="273">
        <f>IF(AND(ISNUMBER(W276),ISNUMBER(W279)),W276+W277+N(W278)+W279+W280,"")</f>
        <v>9050</v>
      </c>
      <c r="X281" s="273">
        <f>IF(AND(ISNUMBER(X276),ISNUMBER(X279)),X276+X277+N(X278)+X279+X280,"")</f>
        <v>11058.8151160183</v>
      </c>
      <c r="Y281" s="273">
        <f>IF(AND(ISNUMBER(Y276),ISNUMBER(Y279)),Y276+Y277+N(Y278)+Y279+Y280,"")</f>
        <v>12393.1136538787</v>
      </c>
      <c r="Z281" s="273">
        <f>IF(AND(ISNUMBER(Z276),ISNUMBER(Z279)),Z276+Z277+N(Z278)+Z279+Z280,"")</f>
        <v>13376.7642981241</v>
      </c>
      <c r="AA281" s="273">
        <f>IF(AND(ISNUMBER(AA276),ISNUMBER(AA279)),AA276+AA277+N(AA278)+AA279+AA280,"")</f>
        <v>14574.508043194</v>
      </c>
      <c r="AB281" s="273">
        <f>IF(AND(ISNUMBER(AB276),ISNUMBER(AB279)),AB276+AB277+N(AB278)+AB279+AB280,"")</f>
        <v>15514.2581265656</v>
      </c>
      <c r="AC281" s="153" t="inlineStr">
        <is>
          <t>Company definition in force each period (dispositions of PP&amp;E added from the Q3-25 release, which re-presented 2024: FY2024 $6,203m vs $6,089m originally).</t>
        </is>
      </c>
      <c r="AE281" s="20">
        <f>IFERROR((AB281/W281)^(1/5)-1,"n/m")</f>
        <v>0.113823782479047</v>
      </c>
      <c r="AF281" s="20" t="str">
        <f>IFERROR((R281/C281)^(1/3)-1,"n/m")</f>
        <v>n/m</v>
      </c>
      <c r="AG281" s="20">
        <f>IFERROR((R281/H281)^(1/2)-1,"n/m")</f>
        <v>0.273514079740967</v>
      </c>
      <c r="AH281" s="20">
        <f>IFERROR(W281/R281-1,"n/m")</f>
        <v>0.176241226930076</v>
      </c>
    </row>
    <row r="282" ht="15" customHeight="1" s="251">
      <c r="B282" s="156" t="inlineStr">
        <is>
          <t xml:space="preserve">  Company-published free cash flow</t>
        </is>
      </c>
      <c r="C282" s="34" t="n"/>
      <c r="D282" s="253" t="n">
        <v>828</v>
      </c>
      <c r="E282" s="253" t="n">
        <v>942</v>
      </c>
      <c r="F282" s="253" t="n">
        <v>1716</v>
      </c>
      <c r="G282" s="253" t="n">
        <v>1258</v>
      </c>
      <c r="H282" s="253" t="n">
        <v>4744</v>
      </c>
      <c r="I282" s="253" t="n">
        <v>1669</v>
      </c>
      <c r="J282" s="253" t="n">
        <v>1098</v>
      </c>
      <c r="K282" s="253" t="n">
        <v>1805</v>
      </c>
      <c r="L282" s="253" t="n">
        <v>1517</v>
      </c>
      <c r="M282" s="253" t="n">
        <v>6089</v>
      </c>
      <c r="N282" s="253" t="n">
        <v>1441</v>
      </c>
      <c r="O282" s="253" t="n">
        <v>2105</v>
      </c>
      <c r="P282" s="253" t="n">
        <v>2362</v>
      </c>
      <c r="Q282" s="253" t="n">
        <v>1760</v>
      </c>
      <c r="R282" s="253" t="n">
        <v>7694</v>
      </c>
      <c r="S282" s="253" t="n">
        <v>1658</v>
      </c>
      <c r="T282" s="253" t="n">
        <v>3027</v>
      </c>
      <c r="U282" s="153" t="n"/>
      <c r="V282" s="153" t="n"/>
      <c r="W282" s="153" t="n"/>
      <c r="X282" s="153" t="n"/>
      <c r="Y282" s="153" t="n"/>
      <c r="Z282" s="153" t="n"/>
      <c r="AA282" s="153" t="n"/>
      <c r="AB282" s="153" t="n"/>
      <c r="AC282" s="153" t="n"/>
    </row>
    <row r="283" ht="15" customHeight="1" s="251">
      <c r="B283" s="57" t="inlineStr">
        <is>
          <t xml:space="preserve">  Check: model bridge vs company-published (should be 0; ±2 rounding)</t>
        </is>
      </c>
      <c r="C283" s="211" t="str">
        <f>IF(AND(ISNUMBER(C282),ISNUMBER(C281)),IF(ABS(C281-C282)&lt;=2.01,0,ROUND(C281-C282,0)),"n/p")</f>
        <v>n/p</v>
      </c>
      <c r="D283" s="211" t="str">
        <f>IF(AND(ISNUMBER(D282),ISNUMBER(D281)),IF(ABS(D281-D282)&lt;=2.01,0,ROUND(D281-D282,0)),"n/p")</f>
        <v>n/p</v>
      </c>
      <c r="E283" s="211" t="str">
        <f>IF(AND(ISNUMBER(E282),ISNUMBER(E281)),IF(ABS(E281-E282)&lt;=2.01,0,ROUND(E281-E282,0)),"n/p")</f>
        <v>n/p</v>
      </c>
      <c r="F283" s="211">
        <f>IF(AND(ISNUMBER(F282),ISNUMBER(F281)),IF(ABS(F281-F282)&lt;=2.01,0,ROUND(F281-F282,0)),"n/p")</f>
        <v>0</v>
      </c>
      <c r="G283" s="211">
        <f>IF(AND(ISNUMBER(G282),ISNUMBER(G281)),IF(ABS(G281-G282)&lt;=2.01,0,ROUND(G281-G282,0)),"n/p")</f>
        <v>0</v>
      </c>
      <c r="H283" s="211">
        <f>IF(AND(ISNUMBER(H282),ISNUMBER(H281)),IF(ABS(H281-H282)&lt;=2.01,0,ROUND(H281-H282,0)),"n/p")</f>
        <v>0</v>
      </c>
      <c r="I283" s="211">
        <f>IF(AND(ISNUMBER(I282),ISNUMBER(I281)),IF(ABS(I281-I282)&lt;=2.01,0,ROUND(I281-I282,0)),"n/p")</f>
        <v>0</v>
      </c>
      <c r="J283" s="211">
        <f>IF(AND(ISNUMBER(J282),ISNUMBER(J281)),IF(ABS(J281-J282)&lt;=2.01,0,ROUND(J281-J282,0)),"n/p")</f>
        <v>0</v>
      </c>
      <c r="K283" s="211">
        <f>IF(AND(ISNUMBER(K282),ISNUMBER(K281)),IF(ABS(K281-K282)&lt;=2.01,0,ROUND(K281-K282,0)),"n/p")</f>
        <v>0</v>
      </c>
      <c r="L283" s="211">
        <f>IF(AND(ISNUMBER(L282),ISNUMBER(L281)),IF(ABS(L281-L282)&lt;=2.01,0,ROUND(L281-L282,0)),"n/p")</f>
        <v>0</v>
      </c>
      <c r="M283" s="211">
        <f>IF(AND(ISNUMBER(M282),ISNUMBER(M281)),IF(ABS(M281-M282)&lt;=2.01,0,ROUND(M281-M282,0)),"n/p")</f>
        <v>0</v>
      </c>
      <c r="N283" s="211">
        <f>IF(AND(ISNUMBER(N282),ISNUMBER(N281)),IF(ABS(N281-N282)&lt;=2.01,0,ROUND(N281-N282,0)),"n/p")</f>
        <v>0</v>
      </c>
      <c r="O283" s="211">
        <f>IF(AND(ISNUMBER(O282),ISNUMBER(O281)),IF(ABS(O281-O282)&lt;=2.01,0,ROUND(O281-O282,0)),"n/p")</f>
        <v>0</v>
      </c>
      <c r="P283" s="211">
        <f>IF(AND(ISNUMBER(P282),ISNUMBER(P281)),IF(ABS(P281-P282)&lt;=2.01,0,ROUND(P281-P282,0)),"n/p")</f>
        <v>0</v>
      </c>
      <c r="Q283" s="211">
        <f>IF(AND(ISNUMBER(Q282),ISNUMBER(Q281)),IF(ABS(Q281-Q282)&lt;=2.01,0,ROUND(Q281-Q282,0)),"n/p")</f>
        <v>0</v>
      </c>
      <c r="R283" s="211">
        <f>IF(AND(ISNUMBER(R282),ISNUMBER(R281)),IF(ABS(R281-R282)&lt;=2.01,0,ROUND(R281-R282,0)),"n/p")</f>
        <v>0</v>
      </c>
      <c r="S283" s="211">
        <f>IF(AND(ISNUMBER(S282),ISNUMBER(S281)),IF(ABS(S281-S282)&lt;=2.01,0,ROUND(S281-S282,0)),"n/p")</f>
        <v>0</v>
      </c>
      <c r="T283" s="211">
        <f>IF(AND(ISNUMBER(T282),ISNUMBER(T281)),IF(ABS(T281-T282)&lt;=2.01,0,ROUND(T281-T282,0)),"n/p")</f>
        <v>0</v>
      </c>
      <c r="U283" s="153" t="n"/>
      <c r="V283" s="153" t="n"/>
      <c r="W283" s="153" t="n"/>
      <c r="X283" s="153" t="n"/>
      <c r="Y283" s="153" t="n"/>
      <c r="Z283" s="153" t="n"/>
      <c r="AA283" s="153" t="n"/>
      <c r="AB283" s="153" t="n"/>
      <c r="AC283" s="153" t="n"/>
    </row>
    <row r="284" ht="15" customHeight="1" s="251">
      <c r="B284" s="156" t="inlineStr">
        <is>
          <t xml:space="preserve">  Memo: separation cash expenditures (release, negative)</t>
        </is>
      </c>
      <c r="C284" s="34" t="n"/>
      <c r="D284" s="253" t="n">
        <v>-170</v>
      </c>
      <c r="E284" s="253" t="n">
        <v>-319</v>
      </c>
      <c r="F284" s="253" t="n">
        <v>-127</v>
      </c>
      <c r="G284" s="253" t="n">
        <v>-204</v>
      </c>
      <c r="H284" s="253" t="n">
        <v>-820</v>
      </c>
      <c r="I284" s="253" t="n">
        <v>-165</v>
      </c>
      <c r="J284" s="253" t="n">
        <v>-407</v>
      </c>
      <c r="K284" s="253" t="n">
        <v>-144</v>
      </c>
      <c r="L284" s="253" t="n">
        <v>-85</v>
      </c>
      <c r="M284" s="253" t="n">
        <v>-800</v>
      </c>
      <c r="N284" s="253" t="n">
        <v>-76</v>
      </c>
      <c r="O284" s="253" t="n">
        <v>-70</v>
      </c>
      <c r="P284" s="253" t="n">
        <v>-56</v>
      </c>
      <c r="Q284" s="253" t="n">
        <v>-43</v>
      </c>
      <c r="R284" s="253" t="n">
        <v>-245</v>
      </c>
      <c r="S284" s="253" t="n">
        <v>-83</v>
      </c>
      <c r="T284" s="253" t="n">
        <v>-33</v>
      </c>
      <c r="U284" s="153" t="n"/>
      <c r="V284" s="153" t="n"/>
      <c r="W284" s="153" t="n"/>
      <c r="X284" s="153" t="n"/>
      <c r="Y284" s="153" t="n"/>
      <c r="Z284" s="153" t="n"/>
      <c r="AA284" s="153" t="n"/>
      <c r="AB284" s="153" t="n"/>
      <c r="AC284" s="153" t="n"/>
    </row>
    <row r="285" ht="15" customHeight="1" s="251">
      <c r="B285" s="156" t="inlineStr">
        <is>
          <t xml:space="preserve">  Memo: Corporate &amp; Other restructuring cash expenditures (release, negative)</t>
        </is>
      </c>
      <c r="C285" s="34" t="n"/>
      <c r="D285" s="253" t="n">
        <v>-33</v>
      </c>
      <c r="E285" s="253" t="n">
        <v>-75</v>
      </c>
      <c r="F285" s="253" t="n">
        <v>-21</v>
      </c>
      <c r="G285" s="253" t="n">
        <v>-49</v>
      </c>
      <c r="H285" s="253" t="n">
        <v>-177</v>
      </c>
      <c r="I285" s="253" t="n">
        <v>-79</v>
      </c>
      <c r="J285" s="253" t="n">
        <v>-29</v>
      </c>
      <c r="K285" s="253" t="n">
        <v>-14</v>
      </c>
      <c r="L285" s="253" t="n">
        <v>-381</v>
      </c>
      <c r="M285" s="253" t="n">
        <v>-504</v>
      </c>
      <c r="N285" s="253" t="n">
        <v>-31</v>
      </c>
      <c r="O285" s="253" t="n">
        <v>-14</v>
      </c>
      <c r="P285" s="253" t="n">
        <v>-6</v>
      </c>
      <c r="Q285" s="253" t="n">
        <v>-5</v>
      </c>
      <c r="R285" s="253" t="n">
        <v>-56</v>
      </c>
      <c r="S285" s="253" t="n">
        <v>-26</v>
      </c>
      <c r="T285" s="253" t="n">
        <v>-26</v>
      </c>
      <c r="U285" s="153" t="n"/>
      <c r="V285" s="153" t="n"/>
      <c r="W285" s="153" t="n"/>
      <c r="X285" s="153" t="n"/>
      <c r="Y285" s="153" t="n"/>
      <c r="Z285" s="153" t="n"/>
      <c r="AA285" s="153" t="n"/>
      <c r="AB285" s="153" t="n"/>
      <c r="AC285" s="153" t="n"/>
    </row>
    <row r="286" ht="15" customHeight="1" s="251">
      <c r="B286" s="158" t="inlineStr">
        <is>
          <t xml:space="preserve">  Definition / basis (company FCF definition in force)</t>
        </is>
      </c>
      <c r="F286" s="284" t="inlineStr">
        <is>
          <t>2023 (re-presented in the 2024 releases): CFOA − gross PP&amp;E additions + separation and Corporate restructuring cash</t>
        </is>
      </c>
      <c r="P286" s="284" t="inlineStr">
        <is>
          <t>Q3-25+: + dispositions of PP&amp;E (incl. sale-leasebacks); prior periods re-presented in that release (FY2024 $6,203m vs $6,089m)</t>
        </is>
      </c>
      <c r="U286" s="153" t="n"/>
      <c r="V286" s="153" t="n"/>
      <c r="W286" s="153" t="n"/>
      <c r="X286" s="153" t="n"/>
      <c r="Y286" s="153" t="n"/>
      <c r="Z286" s="153" t="n"/>
      <c r="AA286" s="153" t="n"/>
      <c r="AB286" s="153" t="n"/>
      <c r="AC286" s="19" t="n"/>
    </row>
    <row r="287" ht="15" customHeight="1" s="251">
      <c r="B287" s="25" t="inlineStr">
        <is>
          <t xml:space="preserve">  FY26 FCF guidance calibration (working capital):</t>
        </is>
      </c>
      <c r="AC287" s="153" t="n"/>
    </row>
    <row r="288" ht="15" customHeight="1" s="251">
      <c r="B288" s="156" t="inlineStr">
        <is>
          <t xml:space="preserve">  FY26 free cash flow guidance end-point (scenario)</t>
        </is>
      </c>
      <c r="C288" s="34" t="n"/>
      <c r="D288" s="34" t="n"/>
      <c r="E288" s="34" t="n"/>
      <c r="F288" s="34" t="n"/>
      <c r="G288" s="34" t="n"/>
      <c r="H288" s="34" t="n"/>
      <c r="I288" s="34" t="n"/>
      <c r="J288" s="34" t="n"/>
      <c r="K288" s="34" t="n"/>
      <c r="L288" s="34" t="n"/>
      <c r="M288" s="34" t="n"/>
      <c r="N288" s="34" t="n"/>
      <c r="O288" s="34" t="n"/>
      <c r="P288" s="34" t="n"/>
      <c r="Q288" s="34" t="n"/>
      <c r="R288" s="34" t="n"/>
      <c r="S288" s="34" t="n"/>
      <c r="T288" s="34" t="n"/>
      <c r="U288" s="153" t="n"/>
      <c r="V288" s="153" t="n"/>
      <c r="W288" s="274">
        <f>CHOOSE(MATCH($AC$2,{"Bull","Base","Bear"},0),$AL$15,$AM$15,$AN$15)</f>
        <v>9050</v>
      </c>
      <c r="X288" s="153" t="n"/>
      <c r="Y288" s="153" t="n"/>
      <c r="Z288" s="153" t="n"/>
      <c r="AA288" s="153" t="n"/>
      <c r="AB288" s="153" t="n"/>
      <c r="AC288" s="153" t="inlineStr">
        <is>
          <t>Company FY26 FCF guidance $8.9–9.2B (raised 16-Jul-2026).</t>
        </is>
      </c>
    </row>
    <row r="289" ht="15" customHeight="1" s="251">
      <c r="B289" s="25" t="inlineStr">
        <is>
          <t xml:space="preserve">  FY26E FCF before the customer-advances plug (advances held at 30-Jun-2026)</t>
        </is>
      </c>
      <c r="C289" s="34" t="n"/>
      <c r="D289" s="34" t="n"/>
      <c r="E289" s="34" t="n"/>
      <c r="F289" s="34" t="n"/>
      <c r="G289" s="34" t="n"/>
      <c r="H289" s="34" t="n"/>
      <c r="I289" s="34" t="n"/>
      <c r="J289" s="34" t="n"/>
      <c r="K289" s="34" t="n"/>
      <c r="L289" s="34" t="n"/>
      <c r="M289" s="34" t="n"/>
      <c r="N289" s="34" t="n"/>
      <c r="O289" s="34" t="n"/>
      <c r="P289" s="34" t="n"/>
      <c r="Q289" s="34" t="n"/>
      <c r="R289" s="34" t="n"/>
      <c r="S289" s="34" t="n"/>
      <c r="T289" s="34" t="n"/>
      <c r="U289" s="35" t="n"/>
      <c r="V289" s="35" t="n"/>
      <c r="W289" s="254">
        <f>SUM(S308:T308)+SUM(S309:T309)+SUM(S310:T310)+SUM(S279:T279)+SUM(S280:T280)+SUM(U186:V186)+SUM(U133:V133)+SUM(U135:V135)-SUM(U143:V143)-$AM$30/2+$AM$29-(W350-T350)-(W351-T351)-(W352-T352)+(W366-T366)+(W368-T368)+(W369-T369)-SUM(U105:V105)*$AM$28+SUM(U146:V146)+SUM(U145:V145)</f>
        <v>6089.06316035812</v>
      </c>
      <c r="X289" s="35" t="n"/>
      <c r="Y289" s="35" t="n"/>
      <c r="Z289" s="35" t="n"/>
      <c r="AA289" s="35" t="n"/>
      <c r="AB289" s="35" t="n"/>
      <c r="AC289" s="19" t="n"/>
    </row>
    <row r="290" ht="15" customHeight="1" s="251">
      <c r="B290" s="25" t="inlineStr">
        <is>
          <t xml:space="preserve">  FCF calibration: change in customer advances 30-Jun → 31-Dec-2026 (solved)</t>
        </is>
      </c>
      <c r="C290" s="36" t="n"/>
      <c r="D290" s="36" t="n"/>
      <c r="E290" s="36" t="n"/>
      <c r="F290" s="36" t="n"/>
      <c r="G290" s="36" t="n"/>
      <c r="H290" s="36" t="n"/>
      <c r="I290" s="36" t="n"/>
      <c r="J290" s="36" t="n"/>
      <c r="K290" s="36" t="n"/>
      <c r="L290" s="36" t="n"/>
      <c r="M290" s="36" t="n"/>
      <c r="N290" s="36" t="n"/>
      <c r="O290" s="36" t="n"/>
      <c r="P290" s="36" t="n"/>
      <c r="Q290" s="36" t="n"/>
      <c r="R290" s="36" t="n"/>
      <c r="S290" s="36" t="n"/>
      <c r="T290" s="36" t="n"/>
      <c r="U290" s="24" t="n"/>
      <c r="V290" s="24" t="n"/>
      <c r="W290" s="254">
        <f>W288-W289</f>
        <v>2960.93683964188</v>
      </c>
      <c r="X290" s="46" t="n"/>
      <c r="Y290" s="46" t="n"/>
      <c r="Z290" s="46" t="n"/>
      <c r="AA290" s="46" t="n"/>
      <c r="AB290" s="46" t="n"/>
      <c r="AC290" s="19" t="inlineStr">
        <is>
          <t>Solves the 2H change in customer advances so that FY26 FCF = the guidance end-point for the active scenario (one designated plug; HII / CW / WCN precedent).</t>
        </is>
      </c>
    </row>
    <row r="291" ht="15" customHeight="1" s="251">
      <c r="B291" s="57" t="inlineStr">
        <is>
          <t xml:space="preserve">  Check: FY26 FCF vs guidance end-point (should be 0)</t>
        </is>
      </c>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153" t="n"/>
      <c r="V291" s="153" t="n"/>
      <c r="W291" s="274">
        <f>ROUND(W281-W288,0)</f>
        <v>0</v>
      </c>
      <c r="X291" s="153" t="n"/>
      <c r="Y291" s="153" t="n"/>
      <c r="Z291" s="153" t="n"/>
      <c r="AA291" s="153" t="n"/>
      <c r="AB291" s="153" t="n"/>
      <c r="AC291" s="153" t="n"/>
    </row>
    <row r="292" ht="15" customHeight="1" s="251">
      <c r="B292" s="22" t="inlineStr">
        <is>
          <t xml:space="preserve">  FCF y/y %</t>
        </is>
      </c>
      <c r="C292" s="23" t="n"/>
      <c r="D292" s="23" t="n"/>
      <c r="E292" s="23" t="n"/>
      <c r="F292" s="23" t="n"/>
      <c r="G292" s="23" t="n"/>
      <c r="H292" s="255">
        <f>IF(AND(ISNUMBER(H281),ISNUMBER(C281)),IFERROR(H281/C281-1,""),"")</f>
      </c>
      <c r="I292" s="255">
        <f>IF(AND(ISNUMBER(I281),ISNUMBER(D281)),IFERROR(I281/D281-1,""),"")</f>
      </c>
      <c r="J292" s="255">
        <f>IF(AND(ISNUMBER(J281),ISNUMBER(E281)),IFERROR(J281/E281-1,""),"")</f>
      </c>
      <c r="K292" s="255">
        <f>IF(AND(ISNUMBER(K281),ISNUMBER(F281)),IFERROR(K281/F281-1,""),"")</f>
        <v>0.0518648018648018</v>
      </c>
      <c r="L292" s="255">
        <f>IF(AND(ISNUMBER(L281),ISNUMBER(G281)),IFERROR(L281/G281-1,""),"")</f>
        <v>0.205882352941176</v>
      </c>
      <c r="M292" s="255">
        <f>IF(AND(ISNUMBER(M281),ISNUMBER(H281)),IFERROR(M281/H281-1,""),"")</f>
        <v>0.283516020236088</v>
      </c>
      <c r="N292" s="255">
        <f>IF(AND(ISNUMBER(N281),ISNUMBER(I281)),IFERROR(N281/I281-1,""),"")</f>
        <v>-0.13600958657879</v>
      </c>
      <c r="O292" s="255">
        <f>IF(AND(ISNUMBER(O281),ISNUMBER(J281)),IFERROR(O281/J281-1,""),"")</f>
        <v>0.91712204007286</v>
      </c>
      <c r="P292" s="255">
        <f>IF(AND(ISNUMBER(P281),ISNUMBER(K281)),IFERROR(P281/K281-1,""),"")</f>
        <v>0.308587257617728</v>
      </c>
      <c r="Q292" s="255">
        <f>IF(AND(ISNUMBER(Q281),ISNUMBER(L281)),IFERROR(Q281/L281-1,""),"")</f>
        <v>0.160184574818721</v>
      </c>
      <c r="R292" s="255">
        <f>IF(AND(ISNUMBER(R281),ISNUMBER(M281)),IFERROR(R281/M281-1,""),"")</f>
        <v>0.263590080472984</v>
      </c>
      <c r="S292" s="255">
        <f>IF(AND(ISNUMBER(S281),ISNUMBER(N281)),IFERROR(S281/N281-1,""),"")</f>
        <v>0.150485436893204</v>
      </c>
      <c r="T292" s="255">
        <f>IF(AND(ISNUMBER(T281),ISNUMBER(O281)),IFERROR(T281/O281-1,""),"")</f>
        <v>0.437529691211402</v>
      </c>
      <c r="U292" s="24" t="n"/>
      <c r="V292" s="24" t="n"/>
      <c r="W292" s="256">
        <f>IF(AND(ISNUMBER(W281),ISNUMBER(R281)),IFERROR(W281/R281-1,""),"")</f>
        <v>0.176241226930076</v>
      </c>
      <c r="X292" s="256">
        <f>IF(AND(ISNUMBER(X281),ISNUMBER(W281)),IFERROR(X281/W281-1,""),"")</f>
        <v>0.221968521106997</v>
      </c>
      <c r="Y292" s="256">
        <f>IF(AND(ISNUMBER(Y281),ISNUMBER(X281)),IFERROR(Y281/X281-1,""),"")</f>
        <v>0.120654746811684</v>
      </c>
      <c r="Z292" s="256">
        <f>IF(AND(ISNUMBER(Z281),ISNUMBER(Y281)),IFERROR(Z281/Y281-1,""),"")</f>
        <v>0.0793707434400519</v>
      </c>
      <c r="AA292" s="256">
        <f>IF(AND(ISNUMBER(AA281),ISNUMBER(Z281)),IFERROR(AA281/Z281-1,""),"")</f>
        <v>0.0895391230925535</v>
      </c>
      <c r="AB292" s="256">
        <f>IF(AND(ISNUMBER(AB281),ISNUMBER(AA281)),IFERROR(AB281/AA281-1,""),"")</f>
        <v>0.0644790260217747</v>
      </c>
      <c r="AC292" s="153" t="n"/>
    </row>
    <row r="293" ht="15" customHeight="1" s="251">
      <c r="B293" s="25" t="inlineStr">
        <is>
          <t xml:space="preserve">  FCF % of adjusted revenue</t>
        </is>
      </c>
      <c r="C293" s="215">
        <f>IF(AND(ISNUMBER(C281),ISNUMBER(C105)),IFERROR(C281/C105,""),"")</f>
      </c>
      <c r="D293" s="215">
        <f>IF(AND(ISNUMBER(D281),ISNUMBER(D105)),IFERROR(D281/D105,""),"")</f>
      </c>
      <c r="E293" s="215">
        <f>IF(AND(ISNUMBER(E281),ISNUMBER(E105)),IFERROR(E281/E105,""),"")</f>
      </c>
      <c r="F293" s="215">
        <f>IF(AND(ISNUMBER(F281),ISNUMBER(F105)),IFERROR(F281/F105,""),"")</f>
        <v>0.202836879432624</v>
      </c>
      <c r="G293" s="215">
        <f>IF(AND(ISNUMBER(G281),ISNUMBER(G105)),IFERROR(G281/G105,""),"")</f>
        <v>0.147186147186147</v>
      </c>
      <c r="H293" s="215">
        <f>IF(AND(ISNUMBER(H281),ISNUMBER(H105)),IFERROR(H281/H105,""),"")</f>
        <v>0.148440188992146</v>
      </c>
      <c r="I293" s="215">
        <f>IF(AND(ISNUMBER(I281),ISNUMBER(I105)),IFERROR(I281/I105,""),"")</f>
        <v>0.206661713719663</v>
      </c>
      <c r="J293" s="215">
        <f>IF(AND(ISNUMBER(J281),ISNUMBER(J105)),IFERROR(J281/J105,""),"")</f>
        <v>0.133527909522072</v>
      </c>
      <c r="K293" s="215">
        <f>IF(AND(ISNUMBER(K281),ISNUMBER(K105)),IFERROR(K281/K105,""),"")</f>
        <v>0.201833836520183</v>
      </c>
      <c r="L293" s="215">
        <f>IF(AND(ISNUMBER(L281),ISNUMBER(L105)),IFERROR(L281/L105,""),"")</f>
        <v>0.153558052434457</v>
      </c>
      <c r="M293" s="215">
        <f>IF(AND(ISNUMBER(M281),ISNUMBER(M105)),IFERROR(M281/M105,""),"")</f>
        <v>0.173376993166287</v>
      </c>
      <c r="N293" s="215">
        <f>IF(AND(ISNUMBER(N281),ISNUMBER(N105)),IFERROR(N281/N105,""),"")</f>
        <v>0.160222222222222</v>
      </c>
      <c r="O293" s="215">
        <f>IF(AND(ISNUMBER(O281),ISNUMBER(O105)),IFERROR(O281/O105,""),"")</f>
        <v>0.207368732144616</v>
      </c>
      <c r="P293" s="215">
        <f>IF(AND(ISNUMBER(P281),ISNUMBER(P105)),IFERROR(P281/P105,""),"")</f>
        <v>0.208952583156405</v>
      </c>
      <c r="Q293" s="215">
        <f>IF(AND(ISNUMBER(Q281),ISNUMBER(Q105)),IFERROR(Q281/Q105,""),"")</f>
        <v>0.148335440370839</v>
      </c>
      <c r="R293" s="215">
        <f>IF(AND(ISNUMBER(R281),ISNUMBER(R105)),IFERROR(R281/R105,""),"")</f>
        <v>0.181796701479136</v>
      </c>
      <c r="S293" s="215">
        <f>IF(AND(ISNUMBER(S281),ISNUMBER(S105)),IFERROR(S281/S105,""),"")</f>
        <v>0.142844842431548</v>
      </c>
      <c r="T293" s="215">
        <f>IF(AND(ISNUMBER(T281),ISNUMBER(T105)),IFERROR(T281/T105,""),"")</f>
        <v>0.239512426784866</v>
      </c>
      <c r="U293" s="24" t="n"/>
      <c r="V293" s="24" t="n"/>
      <c r="W293" s="256">
        <f>IF(AND(ISNUMBER(W281),ISNUMBER(W105)),IFERROR(W281/W105,""),"")</f>
        <v>0.181217606101407</v>
      </c>
      <c r="X293" s="256">
        <f>IF(AND(ISNUMBER(X281),ISNUMBER(X105)),IFERROR(X281/X105,""),"")</f>
        <v>0.19626780103036</v>
      </c>
      <c r="Y293" s="256">
        <f>IF(AND(ISNUMBER(Y281),ISNUMBER(Y105)),IFERROR(Y281/Y105,""),"")</f>
        <v>0.19643491408535</v>
      </c>
      <c r="Z293" s="256">
        <f>IF(AND(ISNUMBER(Z281),ISNUMBER(Z105)),IFERROR(Z281/Z105,""),"")</f>
        <v>0.195973969338406</v>
      </c>
      <c r="AA293" s="256">
        <f>IF(AND(ISNUMBER(AA281),ISNUMBER(AA105)),IFERROR(AA281/AA105,""),"")</f>
        <v>0.198848242916517</v>
      </c>
      <c r="AB293" s="256">
        <f>IF(AND(ISNUMBER(AB281),ISNUMBER(AB105)),IFERROR(AB281/AB105,""),"")</f>
        <v>0.198935169663201</v>
      </c>
      <c r="AC293" s="153" t="n"/>
      <c r="AE293" s="37">
        <f>IFERROR(AVERAGE(X293,Y293,Z293,AA293,AB293),"n/m")</f>
        <v>0.197292019406767</v>
      </c>
      <c r="AF293" s="37">
        <f>IFERROR(AVERAGE(H293,M293,R293),"n/m")</f>
        <v>0.167871294545856</v>
      </c>
      <c r="AG293" s="37">
        <f>IFERROR(AVERAGE(M293,R293),"n/m")</f>
        <v>0.177586847322712</v>
      </c>
      <c r="AH293" s="37">
        <f>IFERROR(W293+0,"n/m")</f>
        <v>0.181217606101407</v>
      </c>
    </row>
    <row r="294" ht="15" customHeight="1" s="251">
      <c r="B294" s="25" t="inlineStr">
        <is>
          <t xml:space="preserve">  FCF conversion (FCF / adjusted net income; company metric)</t>
        </is>
      </c>
      <c r="C294" s="215">
        <f>IF(AND(ISNUMBER(C281),ISNUMBER(C243)),IFERROR(C281/C243,""),"")</f>
      </c>
      <c r="D294" s="215">
        <f>IF(AND(ISNUMBER(D281),ISNUMBER(D243)),IFERROR(D281/D243,""),"")</f>
      </c>
      <c r="E294" s="215">
        <f>IF(AND(ISNUMBER(E281),ISNUMBER(E243)),IFERROR(E281/E243,""),"")</f>
      </c>
      <c r="F294" s="215">
        <f>IF(AND(ISNUMBER(F281),ISNUMBER(F243)),IFERROR(F281/F243,""),"")</f>
        <v>1.68731563421829</v>
      </c>
      <c r="G294" s="215">
        <f>IF(AND(ISNUMBER(G281),ISNUMBER(G243)),IFERROR(G281/G243,""),"")</f>
        <v>1.75453277545328</v>
      </c>
      <c r="H294" s="215">
        <f>IF(AND(ISNUMBER(H281),ISNUMBER(H243)),IFERROR(H281/H243,""),"")</f>
        <v>1.46464958320469</v>
      </c>
      <c r="I294" s="215">
        <f>IF(AND(ISNUMBER(I281),ISNUMBER(I243)),IFERROR(I281/I243,""),"")</f>
        <v>1.62670565302144</v>
      </c>
      <c r="J294" s="215">
        <f>IF(AND(ISNUMBER(J281),ISNUMBER(J243)),IFERROR(J281/J243,""),"")</f>
        <v>0.831818181818182</v>
      </c>
      <c r="K294" s="215">
        <f>IF(AND(ISNUMBER(K281),ISNUMBER(K243)),IFERROR(K281/K243,""),"")</f>
        <v>1.43824701195219</v>
      </c>
      <c r="L294" s="215">
        <f>IF(AND(ISNUMBER(L281),ISNUMBER(L243)),IFERROR(L281/L243,""),"")</f>
        <v>1.05788005578801</v>
      </c>
      <c r="M294" s="215">
        <f>IF(AND(ISNUMBER(M281),ISNUMBER(M243)),IFERROR(M281/M243,""),"")</f>
        <v>1.20909451945989</v>
      </c>
      <c r="N294" s="215">
        <f>IF(AND(ISNUMBER(N281),ISNUMBER(N243)),IFERROR(N281/N243,""),"")</f>
        <v>0.90125</v>
      </c>
      <c r="O294" s="215">
        <f>IF(AND(ISNUMBER(O281),ISNUMBER(O243)),IFERROR(O281/O243,""),"")</f>
        <v>1.18391451068616</v>
      </c>
      <c r="P294" s="215">
        <f>IF(AND(ISNUMBER(P281),ISNUMBER(P243)),IFERROR(P281/P243,""),"")</f>
        <v>1.33672891907187</v>
      </c>
      <c r="Q294" s="215">
        <f>IF(AND(ISNUMBER(Q281),ISNUMBER(Q243)),IFERROR(Q281/Q243,""),"")</f>
        <v>1.05452366686639</v>
      </c>
      <c r="R294" s="215">
        <f>IF(AND(ISNUMBER(R281),ISNUMBER(R243)),IFERROR(R281/R243,""),"")</f>
        <v>1.12964322419615</v>
      </c>
      <c r="S294" s="215">
        <f>IF(AND(ISNUMBER(S281),ISNUMBER(S243)),IFERROR(S281/S243,""),"")</f>
        <v>0.844704684317719</v>
      </c>
      <c r="T294" s="215">
        <f>IF(AND(ISNUMBER(T281),ISNUMBER(T243)),IFERROR(T281/T243,""),"")</f>
        <v>1.43208707998107</v>
      </c>
      <c r="U294" s="24" t="n"/>
      <c r="V294" s="24" t="n"/>
      <c r="W294" s="256">
        <f>IF(AND(ISNUMBER(W281),ISNUMBER(W243)),IFERROR(W281/W243,""),"")</f>
        <v>1.10441479134798</v>
      </c>
      <c r="X294" s="256">
        <f>IF(AND(ISNUMBER(X281),ISNUMBER(X243)),IFERROR(X281/X243,""),"")</f>
        <v>1.17098719767479</v>
      </c>
      <c r="Y294" s="256">
        <f>IF(AND(ISNUMBER(Y281),ISNUMBER(Y243)),IFERROR(Y281/Y243,""),"")</f>
        <v>1.16696507357582</v>
      </c>
      <c r="Z294" s="256">
        <f>IF(AND(ISNUMBER(Z281),ISNUMBER(Z243)),IFERROR(Z281/Z243,""),"")</f>
        <v>1.12470803981617</v>
      </c>
      <c r="AA294" s="256">
        <f>IF(AND(ISNUMBER(AA281),ISNUMBER(AA243)),IFERROR(AA281/AA243,""),"")</f>
        <v>1.11201017864972</v>
      </c>
      <c r="AB294" s="256">
        <f>IF(AND(ISNUMBER(AB281),ISNUMBER(AB243)),IFERROR(AB281/AB243,""),"")</f>
        <v>1.09455333299818</v>
      </c>
      <c r="AC294" s="153" t="n"/>
      <c r="AE294" s="37">
        <f>IFERROR(AVERAGE(X294,Y294,Z294,AA294,AB294),"n/m")</f>
        <v>1.13384476454294</v>
      </c>
      <c r="AF294" s="37">
        <f>IFERROR(AVERAGE(H294,M294,R294),"n/m")</f>
        <v>1.26779577562025</v>
      </c>
      <c r="AG294" s="37">
        <f>IFERROR(AVERAGE(M294,R294),"n/m")</f>
        <v>1.16936887182802</v>
      </c>
      <c r="AH294" s="37">
        <f>IFERROR(W294+0,"n/m")</f>
        <v>1.10441479134798</v>
      </c>
    </row>
    <row r="295" ht="15" customHeight="1" s="251">
      <c r="B295" s="25" t="inlineStr">
        <is>
          <t xml:space="preserve">  FCF per diluted share ($)</t>
        </is>
      </c>
      <c r="C295" s="282">
        <f>IF(AND(ISNUMBER(C281),ISNUMBER(C190)),IFERROR(C281/C190,""),"")</f>
      </c>
      <c r="D295" s="282">
        <f>IF(AND(ISNUMBER(D281),ISNUMBER(D190)),IFERROR(D281/D190,""),"")</f>
      </c>
      <c r="E295" s="282">
        <f>IF(AND(ISNUMBER(E281),ISNUMBER(E190)),IFERROR(E281/E190,""),"")</f>
      </c>
      <c r="F295" s="282">
        <f>IF(AND(ISNUMBER(F281),ISNUMBER(F190)),IFERROR(F281/F190,""),"")</f>
        <v>1.5614194722475</v>
      </c>
      <c r="G295" s="282">
        <f>IF(AND(ISNUMBER(G281),ISNUMBER(G190)),IFERROR(G281/G190,""),"")</f>
        <v>1.14156079854809</v>
      </c>
      <c r="H295" s="282">
        <f>IF(AND(ISNUMBER(H281),ISNUMBER(H190)),IFERROR(H281/H190,""),"")</f>
        <v>4.31665150136488</v>
      </c>
      <c r="I295" s="282">
        <f>IF(AND(ISNUMBER(I281),ISNUMBER(I190)),IFERROR(I281/I190,""),"")</f>
        <v>1.5131459655485</v>
      </c>
      <c r="J295" s="282">
        <f>IF(AND(ISNUMBER(J281),ISNUMBER(J190)),IFERROR(J281/J190,""),"")</f>
        <v>0.998181818181818</v>
      </c>
      <c r="K295" s="282">
        <f>IF(AND(ISNUMBER(K281),ISNUMBER(K190)),IFERROR(K281/K190,""),"")</f>
        <v>1.65141811527905</v>
      </c>
      <c r="L295" s="282">
        <f>IF(AND(ISNUMBER(L281),ISNUMBER(L190)),IFERROR(L281/L190,""),"")</f>
        <v>1.40462962962963</v>
      </c>
      <c r="M295" s="282">
        <f>IF(AND(ISNUMBER(M281),ISNUMBER(M190)),IFERROR(M281/M190,""),"")</f>
        <v>5.56581352833638</v>
      </c>
      <c r="N295" s="282">
        <f>IF(AND(ISNUMBER(N281),ISNUMBER(N190)),IFERROR(N281/N190,""),"")</f>
        <v>1.33766233766234</v>
      </c>
      <c r="O295" s="282">
        <f>IF(AND(ISNUMBER(O281),ISNUMBER(O190)),IFERROR(O281/O190,""),"")</f>
        <v>1.96545284780579</v>
      </c>
      <c r="P295" s="282">
        <f>IF(AND(ISNUMBER(P281),ISNUMBER(P190)),IFERROR(P281/P190,""),"")</f>
        <v>2.21784037558685</v>
      </c>
      <c r="Q295" s="282">
        <f>IF(AND(ISNUMBER(Q281),ISNUMBER(Q190)),IFERROR(Q281/Q190,""),"")</f>
        <v>1.66351606805293</v>
      </c>
      <c r="R295" s="282">
        <f>IF(AND(ISNUMBER(R281),ISNUMBER(R190)),IFERROR(R281/R190,""),"")</f>
        <v>7.20411985018727</v>
      </c>
      <c r="S295" s="282">
        <f>IF(AND(ISNUMBER(S281),ISNUMBER(S190)),IFERROR(S281/S190,""),"")</f>
        <v>1.57400379506641</v>
      </c>
      <c r="T295" s="282">
        <f>IF(AND(ISNUMBER(T281),ISNUMBER(T190)),IFERROR(T281/T190,""),"")</f>
        <v>2.8901623686724</v>
      </c>
      <c r="U295" s="35" t="n"/>
      <c r="V295" s="35" t="n"/>
      <c r="W295" s="276">
        <f>IF(AND(ISNUMBER(W281),ISNUMBER(W190)),IFERROR(W281/W190,""),"")</f>
        <v>8.66207334796806</v>
      </c>
      <c r="X295" s="276">
        <f>IF(AND(ISNUMBER(X281),ISNUMBER(X190)),IFERROR(X281/X190,""),"")</f>
        <v>10.6866354382752</v>
      </c>
      <c r="Y295" s="276">
        <f>IF(AND(ISNUMBER(Y281),ISNUMBER(Y190)),IFERROR(Y281/Y190,""),"")</f>
        <v>12.1221956828029</v>
      </c>
      <c r="Z295" s="276">
        <f>IF(AND(ISNUMBER(Z281),ISNUMBER(Z190)),IFERROR(Z281/Z190,""),"")</f>
        <v>13.4349948893006</v>
      </c>
      <c r="AA295" s="276">
        <f>IF(AND(ISNUMBER(AA281),ISNUMBER(AA190)),IFERROR(AA281/AA190,""),"")</f>
        <v>15.0272911534775</v>
      </c>
      <c r="AB295" s="276">
        <f>IF(AND(ISNUMBER(AB281),ISNUMBER(AB190)),IFERROR(AB281/AB190,""),"")</f>
        <v>16.4188797174749</v>
      </c>
      <c r="AC295" s="19" t="n"/>
    </row>
    <row r="296" ht="15" customHeight="1" s="251">
      <c r="AK296" s="11" t="n"/>
      <c r="AL296" s="12" t="n"/>
      <c r="AM296" s="12" t="n"/>
      <c r="AN296" s="12" t="n"/>
      <c r="AO296" s="13" t="n"/>
    </row>
    <row r="297" ht="15" customHeight="1" s="251">
      <c r="B297" s="10" t="inlineStr">
        <is>
          <t>STATEMENT OF CASH FLOWS (condensed; continuing operations + discontinued operations)</t>
        </is>
      </c>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c r="AA297" s="10" t="n"/>
      <c r="AB297" s="10" t="n"/>
      <c r="AC297" s="10" t="inlineStr">
        <is>
          <t>CASH FLOW — forecast logic (annual; 2026E = H1-26 actual + 2H estimate; quarters = discrete, derived from year-to-date statements; Q1/Q2-23 not presented on the GE Aerospace basis)</t>
        </is>
      </c>
    </row>
    <row r="298" ht="15" customHeight="1" s="251">
      <c r="B298" s="25" t="inlineStr">
        <is>
          <t>Net income (incl. discontinued operations)</t>
        </is>
      </c>
      <c r="C298" s="253" t="n">
        <v>403</v>
      </c>
      <c r="D298" s="34" t="n"/>
      <c r="E298" s="34" t="n"/>
      <c r="F298" s="253" t="n">
        <v>339</v>
      </c>
      <c r="G298" s="253" t="n">
        <v>1588</v>
      </c>
      <c r="H298" s="253" t="n">
        <v>9445</v>
      </c>
      <c r="I298" s="253" t="n">
        <v>1565</v>
      </c>
      <c r="J298" s="253" t="n">
        <v>1268</v>
      </c>
      <c r="K298" s="253" t="n">
        <v>1843</v>
      </c>
      <c r="L298" s="253" t="n">
        <v>1890</v>
      </c>
      <c r="M298" s="253" t="n">
        <v>6566</v>
      </c>
      <c r="N298" s="253" t="n">
        <v>1972</v>
      </c>
      <c r="O298" s="253" t="n">
        <v>2021</v>
      </c>
      <c r="P298" s="253" t="n">
        <v>2154</v>
      </c>
      <c r="Q298" s="253" t="n">
        <v>2551</v>
      </c>
      <c r="R298" s="253" t="n">
        <v>8698</v>
      </c>
      <c r="S298" s="253" t="n">
        <v>1920</v>
      </c>
      <c r="T298" s="253" t="n">
        <v>2356</v>
      </c>
      <c r="U298" s="35" t="n"/>
      <c r="V298" s="35" t="n"/>
      <c r="W298" s="254">
        <f>SUM(S298:T298)+SUM(U186:V186)</f>
        <v>8816.445</v>
      </c>
      <c r="X298" s="254">
        <f>X186</f>
        <v>10406.1080618489</v>
      </c>
      <c r="Y298" s="254">
        <f>Y186</f>
        <v>11472.148364986</v>
      </c>
      <c r="Z298" s="254">
        <f>Z186</f>
        <v>12833.7907545668</v>
      </c>
      <c r="AA298" s="254">
        <f>AA186</f>
        <v>14016.689588548</v>
      </c>
      <c r="AB298" s="254">
        <f>AB186</f>
        <v>15054.7085213336</v>
      </c>
      <c r="AC298" s="19" t="n"/>
    </row>
    <row r="299" ht="15" customHeight="1" s="251">
      <c r="B299" s="25" t="inlineStr">
        <is>
          <t xml:space="preserve">  (Income) loss from discontinued operations</t>
        </is>
      </c>
      <c r="C299" s="253" t="n">
        <v>949</v>
      </c>
      <c r="D299" s="34" t="n"/>
      <c r="E299" s="34" t="n"/>
      <c r="F299" s="253" t="n">
        <v>-32</v>
      </c>
      <c r="G299" s="253" t="n">
        <v>-412</v>
      </c>
      <c r="H299" s="253" t="n">
        <v>3</v>
      </c>
      <c r="I299" s="253" t="n">
        <v>178</v>
      </c>
      <c r="J299" s="253" t="n">
        <v>54</v>
      </c>
      <c r="K299" s="253" t="n">
        <v>-147</v>
      </c>
      <c r="L299" s="253" t="n">
        <v>6</v>
      </c>
      <c r="M299" s="253" t="n">
        <v>91</v>
      </c>
      <c r="N299" s="253" t="n">
        <v>-10</v>
      </c>
      <c r="O299" s="253" t="n">
        <v>-21</v>
      </c>
      <c r="P299" s="253" t="n">
        <v>17</v>
      </c>
      <c r="Q299" s="253" t="n">
        <v>-89</v>
      </c>
      <c r="R299" s="253" t="n">
        <v>-103</v>
      </c>
      <c r="S299" s="253" t="n">
        <v>26</v>
      </c>
      <c r="T299" s="253" t="n">
        <v>39</v>
      </c>
      <c r="U299" s="35" t="n"/>
      <c r="V299" s="35" t="n"/>
      <c r="W299" s="254">
        <f>SUM(S299:T299)</f>
        <v>65</v>
      </c>
      <c r="X299" s="254">
        <f>-X185</f>
        <v>0</v>
      </c>
      <c r="Y299" s="254">
        <f>-Y185</f>
        <v>0</v>
      </c>
      <c r="Z299" s="254">
        <f>-Z185</f>
        <v>0</v>
      </c>
      <c r="AA299" s="254">
        <f>-AA185</f>
        <v>0</v>
      </c>
      <c r="AB299" s="254">
        <f>-AB185</f>
        <v>0</v>
      </c>
      <c r="AC299" s="19" t="n"/>
    </row>
    <row r="300" ht="15" customHeight="1" s="251">
      <c r="B300" s="25" t="inlineStr">
        <is>
          <t xml:space="preserve">  Depreciation &amp; amortization of PP&amp;E</t>
        </is>
      </c>
      <c r="C300" s="253" t="n">
        <v>846</v>
      </c>
      <c r="D300" s="34" t="n"/>
      <c r="E300" s="34" t="n"/>
      <c r="F300" s="253" t="n">
        <v>198</v>
      </c>
      <c r="G300" s="253" t="n">
        <v>205</v>
      </c>
      <c r="H300" s="253" t="n">
        <v>797</v>
      </c>
      <c r="I300" s="253" t="n">
        <v>202</v>
      </c>
      <c r="J300" s="253" t="n">
        <v>199</v>
      </c>
      <c r="K300" s="253" t="n">
        <v>224</v>
      </c>
      <c r="L300" s="253" t="n">
        <v>209</v>
      </c>
      <c r="M300" s="253" t="n">
        <v>834</v>
      </c>
      <c r="N300" s="253" t="n">
        <v>210</v>
      </c>
      <c r="O300" s="253" t="n">
        <v>218</v>
      </c>
      <c r="P300" s="253" t="n">
        <v>215</v>
      </c>
      <c r="Q300" s="253" t="n">
        <v>220</v>
      </c>
      <c r="R300" s="253" t="n">
        <v>863</v>
      </c>
      <c r="S300" s="253" t="n">
        <v>227</v>
      </c>
      <c r="T300" s="253" t="n">
        <v>225</v>
      </c>
      <c r="U300" s="35" t="n"/>
      <c r="V300" s="35" t="n"/>
      <c r="W300" s="254">
        <f>SUM(S300:T300)+SUM(U133:V133)</f>
        <v>904</v>
      </c>
      <c r="X300" s="254">
        <f>X133</f>
        <v>1095.56524861073</v>
      </c>
      <c r="Y300" s="254">
        <f>Y133</f>
        <v>1306.71337801683</v>
      </c>
      <c r="Z300" s="254">
        <f>Z133</f>
        <v>1413.53939190587</v>
      </c>
      <c r="AA300" s="254">
        <f>AA133</f>
        <v>1518.56913679416</v>
      </c>
      <c r="AB300" s="254">
        <f>AB133</f>
        <v>1617.79244543772</v>
      </c>
      <c r="AC300" s="19" t="n"/>
    </row>
    <row r="301" ht="15" customHeight="1" s="251">
      <c r="B301" s="25" t="inlineStr">
        <is>
          <t xml:space="preserve">  Amortization of intangible assets</t>
        </is>
      </c>
      <c r="C301" s="253" t="n">
        <v>338</v>
      </c>
      <c r="D301" s="34" t="n"/>
      <c r="E301" s="34" t="n"/>
      <c r="F301" s="253" t="n">
        <v>94</v>
      </c>
      <c r="G301" s="253" t="n">
        <v>104</v>
      </c>
      <c r="H301" s="253" t="n">
        <v>382</v>
      </c>
      <c r="I301" s="253" t="n">
        <v>88</v>
      </c>
      <c r="J301" s="253" t="n">
        <v>84</v>
      </c>
      <c r="K301" s="253" t="n">
        <v>89</v>
      </c>
      <c r="L301" s="253" t="n">
        <v>89</v>
      </c>
      <c r="M301" s="253" t="n">
        <v>350</v>
      </c>
      <c r="N301" s="253" t="n">
        <v>89</v>
      </c>
      <c r="O301" s="253" t="n">
        <v>93</v>
      </c>
      <c r="P301" s="253" t="n">
        <v>88</v>
      </c>
      <c r="Q301" s="253" t="n">
        <v>87</v>
      </c>
      <c r="R301" s="253" t="n">
        <v>357</v>
      </c>
      <c r="S301" s="253" t="n">
        <v>85</v>
      </c>
      <c r="T301" s="253" t="n">
        <v>88</v>
      </c>
      <c r="U301" s="35" t="n"/>
      <c r="V301" s="35" t="n"/>
      <c r="W301" s="254">
        <f>SUM(S301:T301)+SUM(U135:V135)</f>
        <v>351</v>
      </c>
      <c r="X301" s="254">
        <f>X135</f>
        <v>424.541666666667</v>
      </c>
      <c r="Y301" s="254">
        <f>Y135</f>
        <v>631.166666666667</v>
      </c>
      <c r="Z301" s="254">
        <f>Z135</f>
        <v>656</v>
      </c>
      <c r="AA301" s="254">
        <f>AA135</f>
        <v>662.666666666667</v>
      </c>
      <c r="AB301" s="254">
        <f>AB135</f>
        <v>663.333333333333</v>
      </c>
      <c r="AC301" s="19" t="n"/>
    </row>
    <row r="302" ht="15" customHeight="1" s="251">
      <c r="B302" s="25" t="inlineStr">
        <is>
          <t xml:space="preserve">  Goodwill impairments</t>
        </is>
      </c>
      <c r="C302" s="253" t="n">
        <v>0</v>
      </c>
      <c r="D302" s="34" t="n"/>
      <c r="E302" s="34" t="n"/>
      <c r="F302" s="253" t="n">
        <v>0</v>
      </c>
      <c r="G302" s="253" t="n">
        <v>0</v>
      </c>
      <c r="H302" s="253" t="n">
        <v>0</v>
      </c>
      <c r="I302" s="253" t="n">
        <v>0</v>
      </c>
      <c r="J302" s="253" t="n">
        <v>0</v>
      </c>
      <c r="K302" s="253" t="n">
        <v>251</v>
      </c>
      <c r="L302" s="253" t="n">
        <v>0</v>
      </c>
      <c r="M302" s="253" t="n">
        <v>251</v>
      </c>
      <c r="N302" s="253" t="n">
        <v>0</v>
      </c>
      <c r="O302" s="253" t="n">
        <v>0</v>
      </c>
      <c r="P302" s="253" t="n">
        <v>0</v>
      </c>
      <c r="Q302" s="253" t="n">
        <v>0</v>
      </c>
      <c r="R302" s="253" t="n">
        <v>0</v>
      </c>
      <c r="S302" s="253" t="n">
        <v>0</v>
      </c>
      <c r="T302" s="253" t="n">
        <v>0</v>
      </c>
      <c r="U302" s="35" t="n"/>
      <c r="V302" s="35" t="n"/>
      <c r="W302" s="254">
        <f>SUM(S302:T302)</f>
        <v>0</v>
      </c>
      <c r="X302" s="254">
        <f>X147</f>
        <v>0</v>
      </c>
      <c r="Y302" s="254">
        <f>Y147</f>
        <v>0</v>
      </c>
      <c r="Z302" s="254">
        <f>Z147</f>
        <v>0</v>
      </c>
      <c r="AA302" s="254">
        <f>AA147</f>
        <v>0</v>
      </c>
      <c r="AB302" s="254">
        <f>AB147</f>
        <v>0</v>
      </c>
      <c r="AC302" s="19" t="n"/>
    </row>
    <row r="303" ht="15" customHeight="1" s="251">
      <c r="B303" s="25" t="inlineStr">
        <is>
          <t xml:space="preserve">  (Gains) losses on equity securities</t>
        </is>
      </c>
      <c r="C303" s="253" t="n">
        <v>56</v>
      </c>
      <c r="D303" s="34" t="n"/>
      <c r="E303" s="34" t="n"/>
      <c r="F303" s="253" t="n">
        <v>1101</v>
      </c>
      <c r="G303" s="253" t="n">
        <v>-661</v>
      </c>
      <c r="H303" s="253" t="n">
        <v>-5846</v>
      </c>
      <c r="I303" s="253" t="n">
        <v>-675</v>
      </c>
      <c r="J303" s="253" t="n">
        <v>361</v>
      </c>
      <c r="K303" s="253" t="n">
        <v>-409</v>
      </c>
      <c r="L303" s="253" t="n">
        <v>4</v>
      </c>
      <c r="M303" s="253" t="n">
        <v>-719</v>
      </c>
      <c r="N303" s="253" t="n">
        <v>-43</v>
      </c>
      <c r="O303" s="253" t="n">
        <v>-66</v>
      </c>
      <c r="P303" s="253" t="n">
        <v>-68</v>
      </c>
      <c r="Q303" s="253" t="n">
        <v>-331</v>
      </c>
      <c r="R303" s="253" t="n">
        <v>-508</v>
      </c>
      <c r="S303" s="253" t="n">
        <v>271</v>
      </c>
      <c r="T303" s="253" t="n">
        <v>-98</v>
      </c>
      <c r="U303" s="35" t="n"/>
      <c r="V303" s="35" t="n"/>
      <c r="W303" s="254">
        <f>SUM(S303:T303)</f>
        <v>173</v>
      </c>
      <c r="X303" s="254">
        <f>-X148</f>
        <v>0</v>
      </c>
      <c r="Y303" s="254">
        <f>-Y148</f>
        <v>0</v>
      </c>
      <c r="Z303" s="254">
        <f>-Z148</f>
        <v>0</v>
      </c>
      <c r="AA303" s="254">
        <f>-AA148</f>
        <v>0</v>
      </c>
      <c r="AB303" s="254">
        <f>-AB148</f>
        <v>0</v>
      </c>
      <c r="AC303" s="19" t="n"/>
    </row>
    <row r="304" ht="15" customHeight="1" s="251">
      <c r="B304" s="25" t="inlineStr">
        <is>
          <t xml:space="preserve">  Principal pension / postretirement plans (non-cash benefit income reversed; employer contributions &amp; benefit payments)</t>
        </is>
      </c>
      <c r="C304" s="253" t="n">
        <v>-200</v>
      </c>
      <c r="D304" s="34" t="n"/>
      <c r="E304" s="34" t="n"/>
      <c r="F304" s="253" t="n">
        <v>-318</v>
      </c>
      <c r="G304" s="253" t="n">
        <v>-310</v>
      </c>
      <c r="H304" s="253" t="n">
        <v>-1287</v>
      </c>
      <c r="I304" s="253" t="n">
        <v>-309</v>
      </c>
      <c r="J304" s="253" t="n">
        <v>-268</v>
      </c>
      <c r="K304" s="253" t="n">
        <v>-277</v>
      </c>
      <c r="L304" s="253" t="n">
        <v>-308</v>
      </c>
      <c r="M304" s="253" t="n">
        <v>-1162</v>
      </c>
      <c r="N304" s="253" t="n">
        <v>-283</v>
      </c>
      <c r="O304" s="253" t="n">
        <v>-269</v>
      </c>
      <c r="P304" s="253" t="n">
        <v>-274</v>
      </c>
      <c r="Q304" s="253" t="n">
        <v>-270</v>
      </c>
      <c r="R304" s="253" t="n">
        <v>-1096</v>
      </c>
      <c r="S304" s="253" t="n">
        <v>-275</v>
      </c>
      <c r="T304" s="253" t="n">
        <v>-251</v>
      </c>
      <c r="U304" s="35" t="n"/>
      <c r="V304" s="35" t="n"/>
      <c r="W304" s="254">
        <f>SUM(S304:T304)+(-SUM(U143:V143)-$AM$30/2)</f>
        <v>-1054</v>
      </c>
      <c r="X304" s="254">
        <f>-X143-X331</f>
        <v>-1030</v>
      </c>
      <c r="Y304" s="254">
        <f>-Y143-Y331</f>
        <v>-1010</v>
      </c>
      <c r="Z304" s="254">
        <f>-Z143-Z331</f>
        <v>-990</v>
      </c>
      <c r="AA304" s="254">
        <f>-AA143-AA331</f>
        <v>-970</v>
      </c>
      <c r="AB304" s="254">
        <f>-AB143-AB331</f>
        <v>-950</v>
      </c>
      <c r="AC304" s="19" t="inlineStr">
        <is>
          <t>Non-operating benefit income is non-cash (reversed here and reduces the net benefit liability); plus cash contributions / payments (input).</t>
        </is>
      </c>
    </row>
    <row r="305" ht="15" customHeight="1" s="251">
      <c r="B305" s="25" t="inlineStr">
        <is>
          <t xml:space="preserve">  Provision for income taxes less cash taxes paid</t>
        </is>
      </c>
      <c r="C305" s="253" t="n">
        <v>-378</v>
      </c>
      <c r="D305" s="34" t="n"/>
      <c r="E305" s="34" t="n"/>
      <c r="F305" s="253" t="n">
        <v>-191</v>
      </c>
      <c r="G305" s="253" t="n">
        <v>163</v>
      </c>
      <c r="H305" s="253" t="n">
        <v>-47</v>
      </c>
      <c r="I305" s="253" t="n">
        <v>492</v>
      </c>
      <c r="J305" s="253" t="n">
        <v>-32</v>
      </c>
      <c r="K305" s="253" t="n">
        <v>65</v>
      </c>
      <c r="L305" s="253" t="n">
        <v>103</v>
      </c>
      <c r="M305" s="253" t="n">
        <v>628</v>
      </c>
      <c r="N305" s="253" t="n">
        <v>171</v>
      </c>
      <c r="O305" s="253" t="n">
        <v>247</v>
      </c>
      <c r="P305" s="253" t="n">
        <v>160</v>
      </c>
      <c r="Q305" s="253" t="n">
        <v>88</v>
      </c>
      <c r="R305" s="253" t="n">
        <v>666</v>
      </c>
      <c r="S305" s="253" t="n">
        <v>218</v>
      </c>
      <c r="T305" s="253" t="n">
        <v>299</v>
      </c>
      <c r="U305" s="35" t="n"/>
      <c r="V305" s="35" t="n"/>
      <c r="W305" s="254">
        <f>SUM(S305:T305)+$AM$29</f>
        <v>917</v>
      </c>
      <c r="X305" s="270" t="n">
        <v>400</v>
      </c>
      <c r="Y305" s="270" t="n">
        <v>400</v>
      </c>
      <c r="Z305" s="270" t="n">
        <v>400</v>
      </c>
      <c r="AA305" s="270" t="n">
        <v>400</v>
      </c>
      <c r="AB305" s="270" t="n">
        <v>400</v>
      </c>
      <c r="AC305" s="19" t="inlineStr">
        <is>
          <t>Cash taxes below the provision (tax attributes); input, offset in deferred income taxes (BS).</t>
        </is>
      </c>
    </row>
    <row r="306" ht="15" customHeight="1" s="251">
      <c r="B306" s="25" t="inlineStr">
        <is>
          <t xml:space="preserve">  Changes in operating working capital (receivables, inventories, contract assets / liabilities, progress collections, payables, SD&amp;A)</t>
        </is>
      </c>
      <c r="C306" s="253" t="n">
        <v>1129</v>
      </c>
      <c r="D306" s="34" t="n"/>
      <c r="E306" s="34" t="n"/>
      <c r="F306" s="253" t="n">
        <v>200</v>
      </c>
      <c r="G306" s="253" t="n">
        <v>278</v>
      </c>
      <c r="H306" s="253" t="n">
        <v>420</v>
      </c>
      <c r="I306" s="253" t="n">
        <v>148</v>
      </c>
      <c r="J306" s="253" t="n">
        <v>-241</v>
      </c>
      <c r="K306" s="253" t="n">
        <v>-147</v>
      </c>
      <c r="L306" s="253" t="n">
        <v>-457</v>
      </c>
      <c r="M306" s="253" t="n">
        <v>-697</v>
      </c>
      <c r="N306" s="253" t="n">
        <v>184</v>
      </c>
      <c r="O306" s="253" t="n">
        <v>-205</v>
      </c>
      <c r="P306" s="253" t="n">
        <v>-334</v>
      </c>
      <c r="Q306" s="253" t="n">
        <v>-115</v>
      </c>
      <c r="R306" s="253" t="n">
        <v>-470</v>
      </c>
      <c r="S306" s="253" t="n">
        <v>457</v>
      </c>
      <c r="T306" s="253" t="n">
        <v>196</v>
      </c>
      <c r="U306" s="35" t="n"/>
      <c r="V306" s="35" t="n"/>
      <c r="W306" s="254">
        <f>SUM(S306:T306)-(W350-T350)-(W351-T351)-(W352-T352)+(W366-T366)+(W367-T367)+(W368-T368)+(W369-T369)</f>
        <v>553.92988</v>
      </c>
      <c r="X306" s="254">
        <f>-(X350-W350)-(X351-W351)-(X352-W352)+(X366-W366)+(X367-W367)+(X368-W368)+(X369-W369)</f>
        <v>1302.96632090899</v>
      </c>
      <c r="Y306" s="254">
        <f>-(Y350-X350)-(Y351-X351)-(Y352-X352)+(Y366-X366)+(Y367-X367)+(Y368-X368)+(Y369-X369)</f>
        <v>1361.97093350072</v>
      </c>
      <c r="Z306" s="254">
        <f>-(Z350-Y350)-(Z351-Y351)-(Z352-Y352)+(Z366-Y366)+(Z367-Y367)+(Z368-Y368)+(Z369-Y369)</f>
        <v>1079.42789634003</v>
      </c>
      <c r="AA306" s="254">
        <f>-(AA350-Z350)-(AA351-Z351)-(AA352-Z352)+(AA366-Z366)+(AA367-Z367)+(AA368-Z368)+(AA369-Z369)</f>
        <v>1045.42149875481</v>
      </c>
      <c r="AB306" s="254">
        <f>-(AB350-AA350)-(AB351-AA351)-(AB352-AA352)+(AB366-AA366)+(AB367-AA367)+(AB368-AA368)+(AB369-AA369)</f>
        <v>968.018904520577</v>
      </c>
      <c r="AC306" s="19" t="inlineStr">
        <is>
          <t>Forecast linked to the balance sheet (other current liabilities included).</t>
        </is>
      </c>
    </row>
    <row r="307" ht="15" customHeight="1" s="251">
      <c r="B307" s="25" t="inlineStr">
        <is>
          <t xml:space="preserve">  All other operating activities (derived)</t>
        </is>
      </c>
      <c r="C307" s="253" t="n">
        <v>884</v>
      </c>
      <c r="D307" s="34" t="n"/>
      <c r="E307" s="34" t="n"/>
      <c r="F307" s="253" t="n">
        <v>399</v>
      </c>
      <c r="G307" s="253" t="n">
        <v>300</v>
      </c>
      <c r="H307" s="253" t="n">
        <v>742</v>
      </c>
      <c r="I307" s="253" t="n">
        <v>-60</v>
      </c>
      <c r="J307" s="253" t="n">
        <v>-468</v>
      </c>
      <c r="K307" s="253" t="n">
        <v>421</v>
      </c>
      <c r="L307" s="253" t="n">
        <v>-218</v>
      </c>
      <c r="M307" s="253" t="n">
        <v>-325</v>
      </c>
      <c r="N307" s="253" t="n">
        <v>-747</v>
      </c>
      <c r="O307" s="253" t="n">
        <v>330</v>
      </c>
      <c r="P307" s="253" t="n">
        <v>598</v>
      </c>
      <c r="Q307" s="253" t="n">
        <v>-45</v>
      </c>
      <c r="R307" s="253" t="n">
        <v>136</v>
      </c>
      <c r="S307" s="253" t="n">
        <v>-1061</v>
      </c>
      <c r="T307" s="253" t="n">
        <v>404</v>
      </c>
      <c r="U307" s="35" t="n"/>
      <c r="V307" s="35" t="n"/>
      <c r="W307" s="254">
        <f>SUM(S307:T307)</f>
        <v>-657</v>
      </c>
      <c r="X307" s="270" t="n">
        <v>0</v>
      </c>
      <c r="Y307" s="270" t="n">
        <v>0</v>
      </c>
      <c r="Z307" s="270" t="n">
        <v>0</v>
      </c>
      <c r="AA307" s="270" t="n">
        <v>0</v>
      </c>
      <c r="AB307" s="270" t="n">
        <v>0</v>
      </c>
      <c r="AC307" s="19" t="n"/>
    </row>
    <row r="308" ht="15" customHeight="1" s="251">
      <c r="B308" s="16" t="inlineStr">
        <is>
          <t>Cash from operating activities — continuing operations</t>
        </is>
      </c>
      <c r="C308" s="266" t="n">
        <v>4027</v>
      </c>
      <c r="D308" s="43" t="n"/>
      <c r="E308" s="43" t="n"/>
      <c r="F308" s="266" t="n">
        <v>1790</v>
      </c>
      <c r="G308" s="266" t="n">
        <v>1255</v>
      </c>
      <c r="H308" s="266" t="n">
        <v>4609</v>
      </c>
      <c r="I308" s="266" t="n">
        <v>1629</v>
      </c>
      <c r="J308" s="266" t="n">
        <v>957</v>
      </c>
      <c r="K308" s="266" t="n">
        <v>1913</v>
      </c>
      <c r="L308" s="266" t="n">
        <v>1318</v>
      </c>
      <c r="M308" s="266" t="n">
        <v>5817</v>
      </c>
      <c r="N308" s="266" t="n">
        <v>1543</v>
      </c>
      <c r="O308" s="266" t="n">
        <v>2348</v>
      </c>
      <c r="P308" s="266" t="n">
        <v>2556</v>
      </c>
      <c r="Q308" s="266" t="n">
        <v>2096</v>
      </c>
      <c r="R308" s="266" t="n">
        <v>8543</v>
      </c>
      <c r="S308" s="266" t="n">
        <v>1868</v>
      </c>
      <c r="T308" s="266" t="n">
        <v>3258</v>
      </c>
      <c r="U308" s="32" t="n"/>
      <c r="V308" s="32" t="n"/>
      <c r="W308" s="261">
        <f>SUM(W298:W307)</f>
        <v>10069.37488</v>
      </c>
      <c r="X308" s="261">
        <f>SUM(X298:X307)</f>
        <v>12599.1812980353</v>
      </c>
      <c r="Y308" s="261">
        <f>SUM(Y298:Y307)</f>
        <v>14161.9993431702</v>
      </c>
      <c r="Z308" s="261">
        <f>SUM(Z298:Z307)</f>
        <v>15392.7580428127</v>
      </c>
      <c r="AA308" s="261">
        <f>SUM(AA298:AA307)</f>
        <v>16673.3468907637</v>
      </c>
      <c r="AB308" s="261">
        <f>SUM(AB298:AB307)</f>
        <v>17753.8532046252</v>
      </c>
      <c r="AC308" s="153" t="n"/>
      <c r="AE308" s="20">
        <f>IFERROR((AB308/W308)^(1/5)-1,"n/m")</f>
        <v>0.120103161327587</v>
      </c>
      <c r="AF308" s="20">
        <f>IFERROR((R308/C308)^(1/3)-1,"n/m")</f>
        <v>0.284920502618288</v>
      </c>
      <c r="AG308" s="20">
        <f>IFERROR((R308/H308)^(1/2)-1,"n/m")</f>
        <v>0.361450479175314</v>
      </c>
      <c r="AH308" s="20">
        <f>IFERROR(W308/R308-1,"n/m")</f>
        <v>0.178669657029147</v>
      </c>
    </row>
    <row r="309" ht="15" customHeight="1" s="251">
      <c r="B309" s="25" t="inlineStr">
        <is>
          <t>Additions to PP&amp;E and internal-use software</t>
        </is>
      </c>
      <c r="C309" s="253" t="n">
        <v>-662</v>
      </c>
      <c r="D309" s="34" t="n"/>
      <c r="E309" s="34" t="n"/>
      <c r="F309" s="253" t="n">
        <v>-222</v>
      </c>
      <c r="G309" s="253" t="n">
        <v>-250</v>
      </c>
      <c r="H309" s="253" t="n">
        <v>-862</v>
      </c>
      <c r="I309" s="253" t="n">
        <v>-204</v>
      </c>
      <c r="J309" s="253" t="n">
        <v>-295</v>
      </c>
      <c r="K309" s="253" t="n">
        <v>-266</v>
      </c>
      <c r="L309" s="253" t="n">
        <v>-267</v>
      </c>
      <c r="M309" s="253" t="n">
        <v>-1032</v>
      </c>
      <c r="N309" s="253" t="n">
        <v>-208</v>
      </c>
      <c r="O309" s="253" t="n">
        <v>-327</v>
      </c>
      <c r="P309" s="253" t="n">
        <v>-307</v>
      </c>
      <c r="Q309" s="253" t="n">
        <v>-431</v>
      </c>
      <c r="R309" s="253" t="n">
        <v>-1273</v>
      </c>
      <c r="S309" s="253" t="n">
        <v>-331</v>
      </c>
      <c r="T309" s="253" t="n">
        <v>-335</v>
      </c>
      <c r="U309" s="35" t="n"/>
      <c r="V309" s="35" t="n"/>
      <c r="W309" s="254">
        <f>SUM(S309:T309)-SUM(U105:V105)*$AM$28</f>
        <v>-1385.37488</v>
      </c>
      <c r="X309" s="254">
        <f>-X105*X333</f>
        <v>-1690.36618201694</v>
      </c>
      <c r="Y309" s="254">
        <f>-Y105*Y333</f>
        <v>-2018.8856892915</v>
      </c>
      <c r="Z309" s="254">
        <f>-Z105*Z333</f>
        <v>-2115.99374468852</v>
      </c>
      <c r="AA309" s="254">
        <f>-AA105*AA333</f>
        <v>-2198.83884756973</v>
      </c>
      <c r="AB309" s="254">
        <f>-AB105*AB333</f>
        <v>-2339.59507805956</v>
      </c>
      <c r="AC309" s="19" t="inlineStr">
        <is>
          <t>2H-26E and 2027E+: adjusted revenue × capex % (input; capex is not guided in the releases).</t>
        </is>
      </c>
    </row>
    <row r="310" ht="15" customHeight="1" s="251">
      <c r="B310" s="25" t="inlineStr">
        <is>
          <t>Dispositions of PP&amp;E</t>
        </is>
      </c>
      <c r="C310" s="253" t="n">
        <v>153</v>
      </c>
      <c r="D310" s="34" t="n"/>
      <c r="E310" s="34" t="n"/>
      <c r="F310" s="253" t="n">
        <v>6</v>
      </c>
      <c r="G310" s="253" t="n">
        <v>6</v>
      </c>
      <c r="H310" s="253" t="n">
        <v>60</v>
      </c>
      <c r="I310" s="253" t="n">
        <v>38</v>
      </c>
      <c r="J310" s="253" t="n">
        <v>49</v>
      </c>
      <c r="K310" s="253" t="n">
        <v>15</v>
      </c>
      <c r="L310" s="253" t="n">
        <v>12</v>
      </c>
      <c r="M310" s="253" t="n">
        <v>114</v>
      </c>
      <c r="N310" s="253" t="n">
        <v>10</v>
      </c>
      <c r="O310" s="253" t="n">
        <v>15</v>
      </c>
      <c r="P310" s="253" t="n">
        <v>51</v>
      </c>
      <c r="Q310" s="253" t="n">
        <v>47</v>
      </c>
      <c r="R310" s="253" t="n">
        <v>123</v>
      </c>
      <c r="S310" s="253" t="n">
        <v>13</v>
      </c>
      <c r="T310" s="253" t="n">
        <v>45</v>
      </c>
      <c r="U310" s="35" t="n"/>
      <c r="V310" s="35" t="n"/>
      <c r="W310" s="254">
        <f>SUM(S310:T310)</f>
        <v>58</v>
      </c>
      <c r="X310" s="270" t="n">
        <v>0</v>
      </c>
      <c r="Y310" s="270" t="n">
        <v>0</v>
      </c>
      <c r="Z310" s="270" t="n">
        <v>0</v>
      </c>
      <c r="AA310" s="270" t="n">
        <v>0</v>
      </c>
      <c r="AB310" s="270" t="n">
        <v>0</v>
      </c>
      <c r="AC310" s="19" t="n"/>
    </row>
    <row r="311" ht="15" customHeight="1" s="251">
      <c r="B311" s="25" t="inlineStr">
        <is>
          <t>Business acquisitions (net of cash acquired)</t>
        </is>
      </c>
      <c r="C311" s="253" t="n">
        <v>-30</v>
      </c>
      <c r="D311" s="34" t="n"/>
      <c r="E311" s="34" t="n"/>
      <c r="F311" s="253" t="n">
        <v>0</v>
      </c>
      <c r="G311" s="253" t="n">
        <v>0</v>
      </c>
      <c r="H311" s="253" t="n">
        <v>-41</v>
      </c>
      <c r="I311" s="253" t="n">
        <v>0</v>
      </c>
      <c r="J311" s="253" t="n">
        <v>0</v>
      </c>
      <c r="K311" s="253" t="n">
        <v>-126</v>
      </c>
      <c r="L311" s="253" t="n">
        <v>-9</v>
      </c>
      <c r="M311" s="253" t="n">
        <v>-135</v>
      </c>
      <c r="N311" s="253" t="n">
        <v>-100</v>
      </c>
      <c r="O311" s="253" t="n">
        <v>-254</v>
      </c>
      <c r="P311" s="253" t="n">
        <v>-6</v>
      </c>
      <c r="Q311" s="253" t="n">
        <v>0</v>
      </c>
      <c r="R311" s="253" t="n">
        <v>-360</v>
      </c>
      <c r="S311" s="253" t="n">
        <v>0</v>
      </c>
      <c r="T311" s="253" t="n">
        <v>-1</v>
      </c>
      <c r="U311" s="35" t="n"/>
      <c r="V311" s="35" t="n"/>
      <c r="W311" s="254">
        <f>SUM(S311:T311)</f>
        <v>-1</v>
      </c>
      <c r="X311" s="254">
        <f>-IF(X76&gt;0,X75*11750.0,0)-X90</f>
        <v>-11750</v>
      </c>
      <c r="Y311" s="254">
        <f>-IF(Y76&gt;0,Y75*11750.0,0)-Y90</f>
        <v>0</v>
      </c>
      <c r="Z311" s="254">
        <f>-IF(Z76&gt;0,Z75*11750.0,0)-Z90</f>
        <v>-500</v>
      </c>
      <c r="AA311" s="254">
        <f>-IF(AA76&gt;0,AA75*11750.0,0)-AA90</f>
        <v>-500</v>
      </c>
      <c r="AB311" s="254">
        <f>-IF(AB76&gt;0,AB75*11750.0,0)-AB90</f>
        <v>-500</v>
      </c>
      <c r="AC311" s="19" t="inlineStr">
        <is>
          <t>2027E: CPP $11.75bn at closing (toggle); plus the M&amp;A lever.</t>
        </is>
      </c>
    </row>
    <row r="312" ht="15" customHeight="1" s="251">
      <c r="B312" s="25" t="inlineStr">
        <is>
          <t>Business dispositions &amp; sales of retained ownership interests (GE HealthCare, AerCap)</t>
        </is>
      </c>
      <c r="C312" s="253" t="n">
        <v>4732</v>
      </c>
      <c r="D312" s="34" t="n"/>
      <c r="E312" s="34" t="n"/>
      <c r="F312" s="253" t="n">
        <v>2733</v>
      </c>
      <c r="G312" s="253" t="n">
        <v>1967</v>
      </c>
      <c r="H312" s="253" t="n">
        <v>9004</v>
      </c>
      <c r="I312" s="253" t="n">
        <v>2610</v>
      </c>
      <c r="J312" s="253" t="n">
        <v>74</v>
      </c>
      <c r="K312" s="253" t="n">
        <v>1903</v>
      </c>
      <c r="L312" s="253" t="n">
        <v>1162</v>
      </c>
      <c r="M312" s="253" t="n">
        <v>5749</v>
      </c>
      <c r="N312" s="253" t="n">
        <v>0</v>
      </c>
      <c r="O312" s="253" t="n">
        <v>0</v>
      </c>
      <c r="P312" s="253" t="n">
        <v>0</v>
      </c>
      <c r="Q312" s="253" t="n">
        <v>0</v>
      </c>
      <c r="R312" s="253" t="n">
        <v>0</v>
      </c>
      <c r="S312" s="253" t="n">
        <v>0</v>
      </c>
      <c r="T312" s="253" t="n">
        <v>0</v>
      </c>
      <c r="U312" s="35" t="n"/>
      <c r="V312" s="35" t="n"/>
      <c r="W312" s="254">
        <f>SUM(S312:T312)</f>
        <v>0</v>
      </c>
      <c r="X312" s="270" t="n">
        <v>0</v>
      </c>
      <c r="Y312" s="270" t="n">
        <v>0</v>
      </c>
      <c r="Z312" s="270" t="n">
        <v>0</v>
      </c>
      <c r="AA312" s="270" t="n">
        <v>0</v>
      </c>
      <c r="AB312" s="270" t="n">
        <v>0</v>
      </c>
      <c r="AC312" s="19" t="n"/>
    </row>
    <row r="313" ht="15" customHeight="1" s="251">
      <c r="B313" s="25" t="inlineStr">
        <is>
          <t>Net (purchases) dispositions of insurance investment securities</t>
        </is>
      </c>
      <c r="C313" s="253" t="n">
        <v>-876</v>
      </c>
      <c r="D313" s="34" t="n"/>
      <c r="E313" s="34" t="n"/>
      <c r="F313" s="253" t="n">
        <v>141</v>
      </c>
      <c r="G313" s="253" t="n">
        <v>254</v>
      </c>
      <c r="H313" s="253" t="n">
        <v>-986</v>
      </c>
      <c r="I313" s="253" t="n">
        <v>-1141</v>
      </c>
      <c r="J313" s="253" t="n">
        <v>176</v>
      </c>
      <c r="K313" s="253" t="n">
        <v>267</v>
      </c>
      <c r="L313" s="253" t="n">
        <v>-265</v>
      </c>
      <c r="M313" s="253" t="n">
        <v>-963</v>
      </c>
      <c r="N313" s="253" t="n">
        <v>99</v>
      </c>
      <c r="O313" s="253" t="n">
        <v>262</v>
      </c>
      <c r="P313" s="253" t="n">
        <v>234</v>
      </c>
      <c r="Q313" s="253" t="n">
        <v>-170</v>
      </c>
      <c r="R313" s="253" t="n">
        <v>425</v>
      </c>
      <c r="S313" s="253" t="n">
        <v>-351</v>
      </c>
      <c r="T313" s="253" t="n">
        <v>344</v>
      </c>
      <c r="U313" s="35" t="n"/>
      <c r="V313" s="35" t="n"/>
      <c r="W313" s="254">
        <f>SUM(S313:T313)</f>
        <v>-7</v>
      </c>
      <c r="X313" s="270" t="n">
        <v>0</v>
      </c>
      <c r="Y313" s="270" t="n">
        <v>0</v>
      </c>
      <c r="Z313" s="270" t="n">
        <v>0</v>
      </c>
      <c r="AA313" s="270" t="n">
        <v>0</v>
      </c>
      <c r="AB313" s="270" t="n">
        <v>0</v>
      </c>
      <c r="AC313" s="19" t="n"/>
    </row>
    <row r="314" ht="15" customHeight="1" s="251">
      <c r="B314" s="25" t="inlineStr">
        <is>
          <t>All other investing activities (incl. time deposits; derived)</t>
        </is>
      </c>
      <c r="C314" s="253" t="n">
        <v>7052</v>
      </c>
      <c r="D314" s="34" t="n"/>
      <c r="E314" s="34" t="n"/>
      <c r="F314" s="253" t="n">
        <v>-60</v>
      </c>
      <c r="G314" s="253" t="n">
        <v>837</v>
      </c>
      <c r="H314" s="253" t="n">
        <v>518</v>
      </c>
      <c r="I314" s="253" t="n">
        <v>-2409</v>
      </c>
      <c r="J314" s="253" t="n">
        <v>-885</v>
      </c>
      <c r="K314" s="253" t="n">
        <v>-704</v>
      </c>
      <c r="L314" s="253" t="n">
        <v>-291</v>
      </c>
      <c r="M314" s="253" t="n">
        <v>-4289</v>
      </c>
      <c r="N314" s="253" t="n">
        <v>-121</v>
      </c>
      <c r="O314" s="253" t="n">
        <v>-310</v>
      </c>
      <c r="P314" s="253" t="n">
        <v>-364</v>
      </c>
      <c r="Q314" s="253" t="n">
        <v>1104</v>
      </c>
      <c r="R314" s="253" t="n">
        <v>309</v>
      </c>
      <c r="S314" s="253" t="n">
        <v>-206</v>
      </c>
      <c r="T314" s="253" t="n">
        <v>-1041</v>
      </c>
      <c r="U314" s="35" t="n"/>
      <c r="V314" s="35" t="n"/>
      <c r="W314" s="254">
        <f>SUM(S314:T314)</f>
        <v>-1247</v>
      </c>
      <c r="X314" s="270" t="n">
        <v>0</v>
      </c>
      <c r="Y314" s="270" t="n">
        <v>0</v>
      </c>
      <c r="Z314" s="270" t="n">
        <v>0</v>
      </c>
      <c r="AA314" s="270" t="n">
        <v>0</v>
      </c>
      <c r="AB314" s="270" t="n">
        <v>0</v>
      </c>
      <c r="AC314" s="19" t="n"/>
    </row>
    <row r="315" ht="15" customHeight="1" s="251">
      <c r="B315" s="16" t="inlineStr">
        <is>
          <t>Cash from investing activities — continuing operations</t>
        </is>
      </c>
      <c r="C315" s="266" t="n">
        <v>10369</v>
      </c>
      <c r="D315" s="43" t="n"/>
      <c r="E315" s="43" t="n"/>
      <c r="F315" s="266" t="n">
        <v>2598</v>
      </c>
      <c r="G315" s="266" t="n">
        <v>2814</v>
      </c>
      <c r="H315" s="266" t="n">
        <v>7693</v>
      </c>
      <c r="I315" s="266" t="n">
        <v>-1106</v>
      </c>
      <c r="J315" s="266" t="n">
        <v>-881</v>
      </c>
      <c r="K315" s="266" t="n">
        <v>1089</v>
      </c>
      <c r="L315" s="266" t="n">
        <v>342</v>
      </c>
      <c r="M315" s="266" t="n">
        <v>-556</v>
      </c>
      <c r="N315" s="266" t="n">
        <v>-320</v>
      </c>
      <c r="O315" s="266" t="n">
        <v>-614</v>
      </c>
      <c r="P315" s="266" t="n">
        <v>-392</v>
      </c>
      <c r="Q315" s="266" t="n">
        <v>550</v>
      </c>
      <c r="R315" s="266" t="n">
        <v>-776</v>
      </c>
      <c r="S315" s="266" t="n">
        <v>-875</v>
      </c>
      <c r="T315" s="266" t="n">
        <v>-988</v>
      </c>
      <c r="U315" s="32" t="n"/>
      <c r="V315" s="32" t="n"/>
      <c r="W315" s="261">
        <f>SUM(W309:W314)</f>
        <v>-2582.37488</v>
      </c>
      <c r="X315" s="261">
        <f>SUM(X309:X314)</f>
        <v>-13440.3661820169</v>
      </c>
      <c r="Y315" s="261">
        <f>SUM(Y309:Y314)</f>
        <v>-2018.8856892915</v>
      </c>
      <c r="Z315" s="261">
        <f>SUM(Z309:Z314)</f>
        <v>-2615.99374468852</v>
      </c>
      <c r="AA315" s="261">
        <f>SUM(AA309:AA314)</f>
        <v>-2698.83884756973</v>
      </c>
      <c r="AB315" s="261">
        <f>SUM(AB309:AB314)</f>
        <v>-2839.59507805956</v>
      </c>
      <c r="AC315" s="153" t="n"/>
    </row>
    <row r="316" ht="15" customHeight="1" s="251">
      <c r="B316" s="25" t="inlineStr">
        <is>
          <t>Net borrowings / (repayments) (short-term net, new issues, repayments)</t>
        </is>
      </c>
      <c r="C316" s="253" t="n">
        <v>-11046</v>
      </c>
      <c r="D316" s="34" t="n"/>
      <c r="E316" s="34" t="n"/>
      <c r="F316" s="253" t="n">
        <v>-635</v>
      </c>
      <c r="G316" s="253" t="n">
        <v>-132</v>
      </c>
      <c r="H316" s="253" t="n">
        <v>-3353</v>
      </c>
      <c r="I316" s="253" t="n">
        <v>-250</v>
      </c>
      <c r="J316" s="253" t="n">
        <v>-364</v>
      </c>
      <c r="K316" s="253" t="n">
        <v>-116</v>
      </c>
      <c r="L316" s="253" t="n">
        <v>-56</v>
      </c>
      <c r="M316" s="253" t="n">
        <v>-786</v>
      </c>
      <c r="N316" s="253" t="n">
        <v>-56</v>
      </c>
      <c r="O316" s="253" t="n">
        <v>-1172</v>
      </c>
      <c r="P316" s="253" t="n">
        <v>1926</v>
      </c>
      <c r="Q316" s="253" t="n">
        <v>-499</v>
      </c>
      <c r="R316" s="253" t="n">
        <v>199</v>
      </c>
      <c r="S316" s="253" t="n">
        <v>-60</v>
      </c>
      <c r="T316" s="253" t="n">
        <v>-986</v>
      </c>
      <c r="U316" s="35" t="n"/>
      <c r="V316" s="35" t="n"/>
      <c r="W316" s="254">
        <f>SUM(S316:T316)+(W417-T417)</f>
        <v>-1644.8551338839</v>
      </c>
      <c r="X316" s="254">
        <f>X426</f>
        <v>4713.8551338839</v>
      </c>
      <c r="Y316" s="254">
        <f>Y426</f>
        <v>561.699542112438</v>
      </c>
      <c r="Z316" s="254">
        <f>Z426</f>
        <v>1691.38313438171</v>
      </c>
      <c r="AA316" s="254">
        <f>AA426</f>
        <v>1672.41588581776</v>
      </c>
      <c r="AB316" s="254">
        <f>AB426</f>
        <v>1461.41623244379</v>
      </c>
      <c r="AC316" s="19" t="n"/>
    </row>
    <row r="317" ht="15" customHeight="1" s="251">
      <c r="B317" s="25" t="inlineStr">
        <is>
          <t>Dividends paid to shareholders</t>
        </is>
      </c>
      <c r="C317" s="253" t="n">
        <v>-639</v>
      </c>
      <c r="D317" s="34" t="n"/>
      <c r="E317" s="34" t="n"/>
      <c r="F317" s="253" t="n">
        <v>-151</v>
      </c>
      <c r="G317" s="253" t="n">
        <v>-88</v>
      </c>
      <c r="H317" s="253" t="n">
        <v>-589</v>
      </c>
      <c r="I317" s="253" t="n">
        <v>-86</v>
      </c>
      <c r="J317" s="253" t="n">
        <v>-308</v>
      </c>
      <c r="K317" s="253" t="n">
        <v>-308</v>
      </c>
      <c r="L317" s="253" t="n">
        <v>-306</v>
      </c>
      <c r="M317" s="253" t="n">
        <v>-1008</v>
      </c>
      <c r="N317" s="253" t="n">
        <v>-302</v>
      </c>
      <c r="O317" s="253" t="n">
        <v>-386</v>
      </c>
      <c r="P317" s="253" t="n">
        <v>-383</v>
      </c>
      <c r="Q317" s="253" t="n">
        <v>-381</v>
      </c>
      <c r="R317" s="253" t="n">
        <v>-1452</v>
      </c>
      <c r="S317" s="253" t="n">
        <v>-381</v>
      </c>
      <c r="T317" s="253" t="n">
        <v>-492</v>
      </c>
      <c r="U317" s="35" t="n"/>
      <c r="V317" s="35" t="n"/>
      <c r="W317" s="254">
        <f>SUM(S317:T317)-U195*U189-V195*V189</f>
        <v>-1843.1448661161</v>
      </c>
      <c r="X317" s="254">
        <f>-X195*X341</f>
        <v>-2219.45623102808</v>
      </c>
      <c r="Y317" s="254">
        <f>-Y195*Y341</f>
        <v>-2558.59611812741</v>
      </c>
      <c r="Z317" s="254">
        <f>-Z195*Z341</f>
        <v>-2863.87710474827</v>
      </c>
      <c r="AA317" s="254">
        <f>-AA195*AA341</f>
        <v>-3208.26783230347</v>
      </c>
      <c r="AB317" s="254">
        <f>-AB195*AB341</f>
        <v>-3592.38640527004</v>
      </c>
      <c r="AC317" s="19" t="inlineStr">
        <is>
          <t>Dividends = DPS × shares (2027E+: beginning shares, avoiding circularity with plug-driven buybacks).</t>
        </is>
      </c>
    </row>
    <row r="318" ht="15" customHeight="1" s="251">
      <c r="B318" s="25" t="inlineStr">
        <is>
          <t>Redemption of preferred stock (2023)</t>
        </is>
      </c>
      <c r="C318" s="253" t="n">
        <v>-144</v>
      </c>
      <c r="D318" s="34" t="n"/>
      <c r="E318" s="34" t="n"/>
      <c r="F318" s="253" t="n">
        <v>-2795</v>
      </c>
      <c r="G318" s="253" t="n">
        <v>0</v>
      </c>
      <c r="H318" s="253" t="n">
        <v>-5795</v>
      </c>
      <c r="I318" s="253" t="n">
        <v>0</v>
      </c>
      <c r="J318" s="253" t="n">
        <v>0</v>
      </c>
      <c r="K318" s="253" t="n">
        <v>0</v>
      </c>
      <c r="L318" s="253" t="n">
        <v>0</v>
      </c>
      <c r="M318" s="253" t="n">
        <v>0</v>
      </c>
      <c r="N318" s="253" t="n">
        <v>0</v>
      </c>
      <c r="O318" s="253" t="n">
        <v>0</v>
      </c>
      <c r="P318" s="253" t="n">
        <v>0</v>
      </c>
      <c r="Q318" s="253" t="n">
        <v>0</v>
      </c>
      <c r="R318" s="253" t="n">
        <v>0</v>
      </c>
      <c r="S318" s="253" t="n">
        <v>0</v>
      </c>
      <c r="T318" s="253" t="n">
        <v>0</v>
      </c>
      <c r="U318" s="35" t="n"/>
      <c r="V318" s="35" t="n"/>
      <c r="W318" s="254">
        <f>SUM(S318:T318)</f>
        <v>0</v>
      </c>
      <c r="X318" s="270" t="n">
        <v>0</v>
      </c>
      <c r="Y318" s="270" t="n">
        <v>0</v>
      </c>
      <c r="Z318" s="270" t="n">
        <v>0</v>
      </c>
      <c r="AA318" s="270" t="n">
        <v>0</v>
      </c>
      <c r="AB318" s="270" t="n">
        <v>0</v>
      </c>
      <c r="AC318" s="19" t="n"/>
    </row>
    <row r="319" ht="15" customHeight="1" s="251">
      <c r="B319" s="25" t="inlineStr">
        <is>
          <t>Purchases of common stock for treasury</t>
        </is>
      </c>
      <c r="C319" s="253" t="n">
        <v>-1048</v>
      </c>
      <c r="D319" s="34" t="n"/>
      <c r="E319" s="34" t="n"/>
      <c r="F319" s="253" t="n">
        <v>-313</v>
      </c>
      <c r="G319" s="253" t="n">
        <v>-288</v>
      </c>
      <c r="H319" s="253" t="n">
        <v>-1233</v>
      </c>
      <c r="I319" s="253" t="n">
        <v>-322</v>
      </c>
      <c r="J319" s="253" t="n">
        <v>-2301</v>
      </c>
      <c r="K319" s="253" t="n">
        <v>-1536</v>
      </c>
      <c r="L319" s="253" t="n">
        <v>-1668</v>
      </c>
      <c r="M319" s="253" t="n">
        <v>-5827</v>
      </c>
      <c r="N319" s="253" t="n">
        <v>-1965</v>
      </c>
      <c r="O319" s="253" t="n">
        <v>-1745</v>
      </c>
      <c r="P319" s="253" t="n">
        <v>-1844</v>
      </c>
      <c r="Q319" s="253" t="n">
        <v>-1997</v>
      </c>
      <c r="R319" s="253" t="n">
        <v>-7551</v>
      </c>
      <c r="S319" s="253" t="n">
        <v>-2399</v>
      </c>
      <c r="T319" s="253" t="n">
        <v>-2128</v>
      </c>
      <c r="U319" s="35" t="n"/>
      <c r="V319" s="35" t="n"/>
      <c r="W319" s="254">
        <f>SUM(S319:T319)-CHOOSE(MATCH($AC$2,{"Bull","Base","Bear"},0),$AL$22,$AM$22,$AN$22)</f>
        <v>-8527</v>
      </c>
      <c r="X319" s="254">
        <f>-X434</f>
        <v>-498.197074631416</v>
      </c>
      <c r="Y319" s="254">
        <f>-Y434</f>
        <v>-11301.2340221065</v>
      </c>
      <c r="Z319" s="254">
        <f>-Z434</f>
        <v>-11604.2703277576</v>
      </c>
      <c r="AA319" s="254">
        <f>-AA434</f>
        <v>-12438.6560967082</v>
      </c>
      <c r="AB319" s="254">
        <f>-AB434</f>
        <v>-12783.2879537394</v>
      </c>
      <c r="AC319" s="19" t="inlineStr">
        <is>
          <t>2026E: H1 actual + 2H scenario input ($20bn authorization, Dec-2025; ~$18.0bn remaining at 30-Jun-2026). 2027E+ = leverage plug.</t>
        </is>
      </c>
    </row>
    <row r="320" ht="15" customHeight="1" s="251">
      <c r="B320" s="25" t="inlineStr">
        <is>
          <t>All other financing activities (derived)</t>
        </is>
      </c>
      <c r="C320" s="253" t="n">
        <v>-663</v>
      </c>
      <c r="D320" s="34" t="n"/>
      <c r="E320" s="34" t="n"/>
      <c r="F320" s="253" t="n">
        <v>80</v>
      </c>
      <c r="G320" s="253" t="n">
        <v>160</v>
      </c>
      <c r="H320" s="253" t="n">
        <v>459</v>
      </c>
      <c r="I320" s="253" t="n">
        <v>553</v>
      </c>
      <c r="J320" s="253" t="n">
        <v>84</v>
      </c>
      <c r="K320" s="253" t="n">
        <v>501</v>
      </c>
      <c r="L320" s="253" t="n">
        <v>-145</v>
      </c>
      <c r="M320" s="253" t="n">
        <v>993</v>
      </c>
      <c r="N320" s="253" t="n">
        <v>39</v>
      </c>
      <c r="O320" s="253" t="n">
        <v>97</v>
      </c>
      <c r="P320" s="253" t="n">
        <v>-65</v>
      </c>
      <c r="Q320" s="253" t="n">
        <v>51</v>
      </c>
      <c r="R320" s="253" t="n">
        <v>122</v>
      </c>
      <c r="S320" s="253" t="n">
        <v>9</v>
      </c>
      <c r="T320" s="253" t="n">
        <v>45</v>
      </c>
      <c r="U320" s="35" t="n"/>
      <c r="V320" s="35" t="n"/>
      <c r="W320" s="254">
        <f>SUM(S320:T320)</f>
        <v>54</v>
      </c>
      <c r="X320" s="270" t="n">
        <v>0</v>
      </c>
      <c r="Y320" s="270" t="n">
        <v>0</v>
      </c>
      <c r="Z320" s="270" t="n">
        <v>0</v>
      </c>
      <c r="AA320" s="270" t="n">
        <v>0</v>
      </c>
      <c r="AB320" s="270" t="n">
        <v>0</v>
      </c>
      <c r="AC320" s="19" t="n"/>
    </row>
    <row r="321" ht="15" customHeight="1" s="251">
      <c r="B321" s="16" t="inlineStr">
        <is>
          <t>Cash from financing activities — continuing operations</t>
        </is>
      </c>
      <c r="C321" s="266" t="n">
        <v>-13540</v>
      </c>
      <c r="D321" s="43" t="n"/>
      <c r="E321" s="43" t="n"/>
      <c r="F321" s="266" t="n">
        <v>-3814</v>
      </c>
      <c r="G321" s="266" t="n">
        <v>-348</v>
      </c>
      <c r="H321" s="266" t="n">
        <v>-10511</v>
      </c>
      <c r="I321" s="266" t="n">
        <v>-105</v>
      </c>
      <c r="J321" s="266" t="n">
        <v>-2889</v>
      </c>
      <c r="K321" s="266" t="n">
        <v>-1459</v>
      </c>
      <c r="L321" s="266" t="n">
        <v>-2175</v>
      </c>
      <c r="M321" s="266" t="n">
        <v>-6628</v>
      </c>
      <c r="N321" s="266" t="n">
        <v>-2284</v>
      </c>
      <c r="O321" s="266" t="n">
        <v>-3206</v>
      </c>
      <c r="P321" s="266" t="n">
        <v>-366</v>
      </c>
      <c r="Q321" s="266" t="n">
        <v>-2826</v>
      </c>
      <c r="R321" s="266" t="n">
        <v>-8682</v>
      </c>
      <c r="S321" s="266" t="n">
        <v>-2831</v>
      </c>
      <c r="T321" s="266" t="n">
        <v>-3561</v>
      </c>
      <c r="U321" s="32" t="n"/>
      <c r="V321" s="32" t="n"/>
      <c r="W321" s="261">
        <f>SUM(W316:W320)</f>
        <v>-11961</v>
      </c>
      <c r="X321" s="261">
        <f>SUM(X316:X320)</f>
        <v>1996.2018282244</v>
      </c>
      <c r="Y321" s="261">
        <f>SUM(Y316:Y320)</f>
        <v>-13298.1305981215</v>
      </c>
      <c r="Z321" s="261">
        <f>SUM(Z316:Z320)</f>
        <v>-12776.7642981241</v>
      </c>
      <c r="AA321" s="261">
        <f>SUM(AA316:AA320)</f>
        <v>-13974.508043194</v>
      </c>
      <c r="AB321" s="261">
        <f>SUM(AB316:AB320)</f>
        <v>-14914.2581265656</v>
      </c>
      <c r="AC321" s="153" t="n"/>
    </row>
    <row r="322" ht="15" customHeight="1" s="251">
      <c r="B322" s="25" t="inlineStr">
        <is>
          <t>Cash from discontinued operations (operating + investing + financing)</t>
        </is>
      </c>
      <c r="C322" s="253" t="n">
        <v>1745</v>
      </c>
      <c r="D322" s="34" t="n"/>
      <c r="E322" s="34" t="n"/>
      <c r="F322" s="253" t="n">
        <v>-121</v>
      </c>
      <c r="G322" s="253" t="n">
        <v>709</v>
      </c>
      <c r="H322" s="253" t="n">
        <v>-1247</v>
      </c>
      <c r="I322" s="253" t="n">
        <v>1177</v>
      </c>
      <c r="J322" s="253" t="n">
        <v>-3447</v>
      </c>
      <c r="K322" s="253" t="n">
        <v>-4</v>
      </c>
      <c r="L322" s="253" t="n">
        <v>-41</v>
      </c>
      <c r="M322" s="253" t="n">
        <v>-2315</v>
      </c>
      <c r="N322" s="253" t="n">
        <v>-30</v>
      </c>
      <c r="O322" s="253" t="n">
        <v>-24</v>
      </c>
      <c r="P322" s="253" t="n">
        <v>-268</v>
      </c>
      <c r="Q322" s="253" t="n">
        <v>-61</v>
      </c>
      <c r="R322" s="253" t="n">
        <v>-383</v>
      </c>
      <c r="S322" s="253" t="n">
        <v>-88</v>
      </c>
      <c r="T322" s="253" t="n">
        <v>-130</v>
      </c>
      <c r="U322" s="35" t="n"/>
      <c r="V322" s="35" t="n"/>
      <c r="W322" s="254">
        <f>SUM(S322:T322)</f>
        <v>-218</v>
      </c>
      <c r="X322" s="270" t="n">
        <v>0</v>
      </c>
      <c r="Y322" s="270" t="n">
        <v>0</v>
      </c>
      <c r="Z322" s="270" t="n">
        <v>0</v>
      </c>
      <c r="AA322" s="270" t="n">
        <v>0</v>
      </c>
      <c r="AB322" s="270" t="n">
        <v>0</v>
      </c>
      <c r="AC322" s="19" t="n"/>
    </row>
    <row r="323" ht="15" customHeight="1" s="251">
      <c r="B323" s="25" t="inlineStr">
        <is>
          <t>Effect of currency exchange rate changes</t>
        </is>
      </c>
      <c r="C323" s="253" t="n">
        <v>-369</v>
      </c>
      <c r="D323" s="34" t="n"/>
      <c r="E323" s="34" t="n"/>
      <c r="F323" s="253" t="n">
        <v>-170</v>
      </c>
      <c r="G323" s="253" t="n">
        <v>211</v>
      </c>
      <c r="H323" s="253" t="n">
        <v>120</v>
      </c>
      <c r="I323" s="253" t="n">
        <v>-61</v>
      </c>
      <c r="J323" s="253" t="n">
        <v>-82</v>
      </c>
      <c r="K323" s="253" t="n">
        <v>85</v>
      </c>
      <c r="L323" s="253" t="n">
        <v>-135</v>
      </c>
      <c r="M323" s="253" t="n">
        <v>-193</v>
      </c>
      <c r="N323" s="253" t="n">
        <v>84</v>
      </c>
      <c r="O323" s="253" t="n">
        <v>104</v>
      </c>
      <c r="P323" s="253" t="n">
        <v>1</v>
      </c>
      <c r="Q323" s="253" t="n">
        <v>12</v>
      </c>
      <c r="R323" s="253" t="n">
        <v>201</v>
      </c>
      <c r="S323" s="253" t="n">
        <v>-57</v>
      </c>
      <c r="T323" s="253" t="n">
        <v>-11</v>
      </c>
      <c r="U323" s="35" t="n"/>
      <c r="V323" s="35" t="n"/>
      <c r="W323" s="254">
        <f>SUM(S323:T323)</f>
        <v>-68</v>
      </c>
      <c r="X323" s="270" t="n">
        <v>0</v>
      </c>
      <c r="Y323" s="270" t="n">
        <v>0</v>
      </c>
      <c r="Z323" s="270" t="n">
        <v>0</v>
      </c>
      <c r="AA323" s="270" t="n">
        <v>0</v>
      </c>
      <c r="AB323" s="270" t="n">
        <v>0</v>
      </c>
      <c r="AC323" s="19" t="n"/>
    </row>
    <row r="324" ht="15" customHeight="1" s="251">
      <c r="B324" s="25" t="inlineStr">
        <is>
          <t>Increase (decrease) in cash, cash equivalents and restricted cash</t>
        </is>
      </c>
      <c r="C324" s="253" t="n">
        <v>2232</v>
      </c>
      <c r="D324" s="211">
        <f>IF(ISNUMBER(D308),D308+D315+D321+D322+D323,"")</f>
      </c>
      <c r="E324" s="211">
        <f>IF(ISNUMBER(E308),E308+E315+E321+E322+E323,"")</f>
      </c>
      <c r="F324" s="253" t="n">
        <v>283</v>
      </c>
      <c r="G324" s="253" t="n">
        <v>4641</v>
      </c>
      <c r="H324" s="253" t="n">
        <v>664</v>
      </c>
      <c r="I324" s="253" t="n">
        <v>1534</v>
      </c>
      <c r="J324" s="253" t="n">
        <v>-6342</v>
      </c>
      <c r="K324" s="253" t="n">
        <v>1624</v>
      </c>
      <c r="L324" s="253" t="n">
        <v>-691</v>
      </c>
      <c r="M324" s="253" t="n">
        <v>-3875</v>
      </c>
      <c r="N324" s="253" t="n">
        <v>-1007</v>
      </c>
      <c r="O324" s="253" t="n">
        <v>-1392</v>
      </c>
      <c r="P324" s="253" t="n">
        <v>1531</v>
      </c>
      <c r="Q324" s="253" t="n">
        <v>-229</v>
      </c>
      <c r="R324" s="253" t="n">
        <v>-1097</v>
      </c>
      <c r="S324" s="253" t="n">
        <v>-1983</v>
      </c>
      <c r="T324" s="253" t="n">
        <v>-1432</v>
      </c>
      <c r="U324" s="35" t="n"/>
      <c r="V324" s="35" t="n"/>
      <c r="W324" s="254">
        <f>W308+W315+W321+W322+W323</f>
        <v>-4760</v>
      </c>
      <c r="X324" s="254">
        <f>X308+X315+X321+X322+X323</f>
        <v>1155.01694424272</v>
      </c>
      <c r="Y324" s="254">
        <f>Y308+Y315+Y321+Y322+Y323</f>
        <v>-1155.01694424272</v>
      </c>
      <c r="Z324" s="254">
        <f>Z308+Z315+Z321+Z322+Z323</f>
        <v>0</v>
      </c>
      <c r="AA324" s="254">
        <f>AA308+AA315+AA321+AA322+AA323</f>
        <v>0</v>
      </c>
      <c r="AB324" s="254">
        <f>AB308+AB315+AB321+AB322+AB323</f>
        <v>0</v>
      </c>
      <c r="AC324" s="19" t="n"/>
    </row>
    <row r="325" ht="15" customHeight="1" s="251">
      <c r="B325" s="25" t="inlineStr">
        <is>
          <t>Cash, cash equivalents and restricted cash — beginning (incl. discontinued operations)</t>
        </is>
      </c>
      <c r="C325" s="253" t="n">
        <v>16859</v>
      </c>
      <c r="D325" s="34" t="n"/>
      <c r="E325" s="34" t="n"/>
      <c r="F325" s="253" t="n">
        <v>14832</v>
      </c>
      <c r="G325" s="253" t="n">
        <v>15114</v>
      </c>
      <c r="H325" s="253" t="n">
        <v>19092</v>
      </c>
      <c r="I325" s="253" t="n">
        <v>19755</v>
      </c>
      <c r="J325" s="253" t="n">
        <v>21290</v>
      </c>
      <c r="K325" s="253" t="n">
        <v>14947</v>
      </c>
      <c r="L325" s="253" t="n">
        <v>16572</v>
      </c>
      <c r="M325" s="253" t="n">
        <v>19755</v>
      </c>
      <c r="N325" s="253" t="n">
        <v>15880</v>
      </c>
      <c r="O325" s="253" t="n">
        <v>14872</v>
      </c>
      <c r="P325" s="253" t="n">
        <v>13482</v>
      </c>
      <c r="Q325" s="253" t="n">
        <v>15012</v>
      </c>
      <c r="R325" s="253" t="n">
        <v>15880</v>
      </c>
      <c r="S325" s="253" t="n">
        <v>14782</v>
      </c>
      <c r="T325" s="253" t="n">
        <v>12799</v>
      </c>
      <c r="U325" s="35" t="n"/>
      <c r="V325" s="35" t="n"/>
      <c r="W325" s="254">
        <f>R326</f>
        <v>14782</v>
      </c>
      <c r="X325" s="254">
        <f>W326</f>
        <v>10022</v>
      </c>
      <c r="Y325" s="254">
        <f>X326</f>
        <v>11177.0169442427</v>
      </c>
      <c r="Z325" s="254">
        <f>Y326</f>
        <v>10022</v>
      </c>
      <c r="AA325" s="254">
        <f>Z326</f>
        <v>10022</v>
      </c>
      <c r="AB325" s="254">
        <f>AA326</f>
        <v>10022</v>
      </c>
      <c r="AC325" s="19" t="n"/>
    </row>
    <row r="326" ht="15" customHeight="1" s="251">
      <c r="B326" s="16" t="inlineStr">
        <is>
          <t>Cash, cash equivalents and restricted cash — end (incl. discontinued operations)</t>
        </is>
      </c>
      <c r="C326" s="266" t="n">
        <v>19092</v>
      </c>
      <c r="D326" s="43" t="n"/>
      <c r="E326" s="43" t="n"/>
      <c r="F326" s="266" t="n">
        <v>15114</v>
      </c>
      <c r="G326" s="266" t="n">
        <v>19755</v>
      </c>
      <c r="H326" s="266" t="n">
        <v>19755</v>
      </c>
      <c r="I326" s="266" t="n">
        <v>21290</v>
      </c>
      <c r="J326" s="266" t="n">
        <v>14947</v>
      </c>
      <c r="K326" s="266" t="n">
        <v>16572</v>
      </c>
      <c r="L326" s="266" t="n">
        <v>15880</v>
      </c>
      <c r="M326" s="266" t="n">
        <v>15880</v>
      </c>
      <c r="N326" s="266" t="n">
        <v>14872</v>
      </c>
      <c r="O326" s="266" t="n">
        <v>13482</v>
      </c>
      <c r="P326" s="266" t="n">
        <v>15012</v>
      </c>
      <c r="Q326" s="266" t="n">
        <v>14782</v>
      </c>
      <c r="R326" s="266" t="n">
        <v>14782</v>
      </c>
      <c r="S326" s="266" t="n">
        <v>12799</v>
      </c>
      <c r="T326" s="266" t="n">
        <v>11367</v>
      </c>
      <c r="U326" s="32" t="n"/>
      <c r="V326" s="32" t="n"/>
      <c r="W326" s="261">
        <f>W325+W324</f>
        <v>10022</v>
      </c>
      <c r="X326" s="261">
        <f>X325+X324</f>
        <v>11177.0169442427</v>
      </c>
      <c r="Y326" s="261">
        <f>Y325+Y324</f>
        <v>10022</v>
      </c>
      <c r="Z326" s="261">
        <f>Z325+Z324</f>
        <v>10022</v>
      </c>
      <c r="AA326" s="261">
        <f>AA325+AA324</f>
        <v>10022</v>
      </c>
      <c r="AB326" s="261">
        <f>AB325+AB324</f>
        <v>10022</v>
      </c>
      <c r="AC326" s="153" t="n"/>
    </row>
    <row r="327" ht="15" customHeight="1" s="251">
      <c r="B327" s="25" t="inlineStr">
        <is>
          <t xml:space="preserve">  Less: cash of discontinued operations</t>
        </is>
      </c>
      <c r="C327" s="253" t="n">
        <v>4868</v>
      </c>
      <c r="D327" s="34" t="n"/>
      <c r="E327" s="34" t="n"/>
      <c r="F327" s="253" t="n">
        <v>2880</v>
      </c>
      <c r="G327" s="253" t="n">
        <v>3762</v>
      </c>
      <c r="H327" s="253" t="n">
        <v>3762</v>
      </c>
      <c r="I327" s="253" t="n">
        <v>4896</v>
      </c>
      <c r="J327" s="253" t="n">
        <v>1398</v>
      </c>
      <c r="K327" s="253" t="n">
        <v>1468</v>
      </c>
      <c r="L327" s="253" t="n">
        <v>1327</v>
      </c>
      <c r="M327" s="253" t="n">
        <v>1327</v>
      </c>
      <c r="N327" s="253" t="n">
        <v>1372</v>
      </c>
      <c r="O327" s="253" t="n">
        <v>1429</v>
      </c>
      <c r="P327" s="253" t="n">
        <v>1171</v>
      </c>
      <c r="Q327" s="253" t="n">
        <v>1126</v>
      </c>
      <c r="R327" s="253" t="n">
        <v>1126</v>
      </c>
      <c r="S327" s="253" t="n">
        <v>1000</v>
      </c>
      <c r="T327" s="253" t="n">
        <v>854</v>
      </c>
      <c r="U327" s="35" t="n"/>
      <c r="V327" s="35" t="n"/>
      <c r="W327" s="254">
        <f>T327</f>
        <v>854</v>
      </c>
      <c r="X327" s="254">
        <f>W327</f>
        <v>854</v>
      </c>
      <c r="Y327" s="254">
        <f>X327</f>
        <v>854</v>
      </c>
      <c r="Z327" s="254">
        <f>Y327</f>
        <v>854</v>
      </c>
      <c r="AA327" s="254">
        <f>Z327</f>
        <v>854</v>
      </c>
      <c r="AB327" s="254">
        <f>AA327</f>
        <v>854</v>
      </c>
      <c r="AC327" s="19" t="n"/>
    </row>
    <row r="328" ht="15" customHeight="1" s="251">
      <c r="B328" s="16" t="inlineStr">
        <is>
          <t>Cash, cash equivalents and restricted cash — continuing operations</t>
        </is>
      </c>
      <c r="C328" s="266" t="n">
        <v>14223</v>
      </c>
      <c r="D328" s="43" t="n"/>
      <c r="E328" s="43" t="n"/>
      <c r="F328" s="266" t="n">
        <v>12233</v>
      </c>
      <c r="G328" s="266" t="n">
        <v>15993</v>
      </c>
      <c r="H328" s="266" t="n">
        <v>15993</v>
      </c>
      <c r="I328" s="266" t="n">
        <v>16394</v>
      </c>
      <c r="J328" s="266" t="n">
        <v>13549</v>
      </c>
      <c r="K328" s="266" t="n">
        <v>15104</v>
      </c>
      <c r="L328" s="266" t="n">
        <v>14553</v>
      </c>
      <c r="M328" s="266" t="n">
        <v>14553</v>
      </c>
      <c r="N328" s="266" t="n">
        <v>13500</v>
      </c>
      <c r="O328" s="266" t="n">
        <v>12052</v>
      </c>
      <c r="P328" s="266" t="n">
        <v>13841</v>
      </c>
      <c r="Q328" s="266" t="n">
        <v>13657</v>
      </c>
      <c r="R328" s="266" t="n">
        <v>13657</v>
      </c>
      <c r="S328" s="266" t="n">
        <v>11799</v>
      </c>
      <c r="T328" s="266" t="n">
        <v>10513</v>
      </c>
      <c r="U328" s="32" t="n"/>
      <c r="V328" s="32" t="n"/>
      <c r="W328" s="261">
        <f>W326-W327</f>
        <v>9168</v>
      </c>
      <c r="X328" s="261">
        <f>X326-X327</f>
        <v>10323.0169442427</v>
      </c>
      <c r="Y328" s="261">
        <f>Y326-Y327</f>
        <v>9168</v>
      </c>
      <c r="Z328" s="261">
        <f>Z326-Z327</f>
        <v>9168</v>
      </c>
      <c r="AA328" s="261">
        <f>AA326-AA327</f>
        <v>9168</v>
      </c>
      <c r="AB328" s="261">
        <f>AB326-AB327</f>
        <v>9168</v>
      </c>
      <c r="AC328" s="153" t="n"/>
    </row>
    <row r="329" ht="15" customHeight="1" s="251">
      <c r="B329" s="57" t="inlineStr">
        <is>
          <t xml:space="preserve">  Check: beginning + change = ending cash (should be 0; ±2 rounding in derived quarters)</t>
        </is>
      </c>
      <c r="C329" s="211">
        <f>IF(AND(ISNUMBER(C325),ISNUMBER(C308)),IF(ABS(C325+C324-C326)&lt;=2.01,0,ROUND(C325+C324-C326,0)),"")</f>
        <v>0</v>
      </c>
      <c r="D329" s="211">
        <f>IF(AND(ISNUMBER(D325),ISNUMBER(D308)),IF(ABS(D325+D324-D326)&lt;=2.01,0,ROUND(D325+D324-D326,0)),"")</f>
      </c>
      <c r="E329" s="211">
        <f>IF(AND(ISNUMBER(E325),ISNUMBER(E308)),IF(ABS(E325+E324-E326)&lt;=2.01,0,ROUND(E325+E324-E326,0)),"")</f>
      </c>
      <c r="F329" s="211">
        <f>IF(AND(ISNUMBER(F325),ISNUMBER(F308)),IF(ABS(F325+F324-F326)&lt;=2.01,0,ROUND(F325+F324-F326,0)),"")</f>
        <v>0</v>
      </c>
      <c r="G329" s="211">
        <f>IF(AND(ISNUMBER(G325),ISNUMBER(G308)),IF(ABS(G325+G324-G326)&lt;=2.01,0,ROUND(G325+G324-G326,0)),"")</f>
        <v>0</v>
      </c>
      <c r="H329" s="211">
        <f>IF(AND(ISNUMBER(H325),ISNUMBER(H308)),IF(ABS(H325+H324-H326)&lt;=2.01,0,ROUND(H325+H324-H326,0)),"")</f>
        <v>0</v>
      </c>
      <c r="I329" s="211">
        <f>IF(AND(ISNUMBER(I325),ISNUMBER(I308)),IF(ABS(I325+I324-I326)&lt;=2.01,0,ROUND(I325+I324-I326,0)),"")</f>
        <v>0</v>
      </c>
      <c r="J329" s="211">
        <f>IF(AND(ISNUMBER(J325),ISNUMBER(J308)),IF(ABS(J325+J324-J326)&lt;=2.01,0,ROUND(J325+J324-J326,0)),"")</f>
        <v>0</v>
      </c>
      <c r="K329" s="211">
        <f>IF(AND(ISNUMBER(K325),ISNUMBER(K308)),IF(ABS(K325+K324-K326)&lt;=2.01,0,ROUND(K325+K324-K326,0)),"")</f>
        <v>0</v>
      </c>
      <c r="L329" s="211">
        <f>IF(AND(ISNUMBER(L325),ISNUMBER(L308)),IF(ABS(L325+L324-L326)&lt;=2.01,0,ROUND(L325+L324-L326,0)),"")</f>
        <v>0</v>
      </c>
      <c r="M329" s="211">
        <f>IF(AND(ISNUMBER(M325),ISNUMBER(M308)),IF(ABS(M325+M324-M326)&lt;=2.01,0,ROUND(M325+M324-M326,0)),"")</f>
        <v>0</v>
      </c>
      <c r="N329" s="211">
        <f>IF(AND(ISNUMBER(N325),ISNUMBER(N308)),IF(ABS(N325+N324-N326)&lt;=2.01,0,ROUND(N325+N324-N326,0)),"")</f>
        <v>0</v>
      </c>
      <c r="O329" s="211">
        <f>IF(AND(ISNUMBER(O325),ISNUMBER(O308)),IF(ABS(O325+O324-O326)&lt;=2.01,0,ROUND(O325+O324-O326,0)),"")</f>
        <v>0</v>
      </c>
      <c r="P329" s="211">
        <f>IF(AND(ISNUMBER(P325),ISNUMBER(P308)),IF(ABS(P325+P324-P326)&lt;=2.01,0,ROUND(P325+P324-P326,0)),"")</f>
        <v>0</v>
      </c>
      <c r="Q329" s="211">
        <f>IF(AND(ISNUMBER(Q325),ISNUMBER(Q308)),IF(ABS(Q325+Q324-Q326)&lt;=2.01,0,ROUND(Q325+Q324-Q326,0)),"")</f>
        <v>0</v>
      </c>
      <c r="R329" s="211">
        <f>IF(AND(ISNUMBER(R325),ISNUMBER(R308)),IF(ABS(R325+R324-R326)&lt;=2.01,0,ROUND(R325+R324-R326,0)),"")</f>
        <v>0</v>
      </c>
      <c r="S329" s="211">
        <f>IF(AND(ISNUMBER(S325),ISNUMBER(S308)),IF(ABS(S325+S324-S326)&lt;=2.01,0,ROUND(S325+S324-S326,0)),"")</f>
        <v>0</v>
      </c>
      <c r="T329" s="211">
        <f>IF(AND(ISNUMBER(T325),ISNUMBER(T308)),IF(ABS(T325+T324-T326)&lt;=2.01,0,ROUND(T325+T324-T326,0)),"")</f>
        <v>0</v>
      </c>
      <c r="U329" s="153" t="n"/>
      <c r="V329" s="153" t="n"/>
      <c r="W329" s="274">
        <f>IF(AND(ISNUMBER(W325),ISNUMBER(W308)),IF(ABS(W325+W324-W326)&lt;=2.01,0,ROUND(W325+W324-W326,0)),"")</f>
        <v>0</v>
      </c>
      <c r="X329" s="274">
        <f>IF(AND(ISNUMBER(X325),ISNUMBER(X308)),IF(ABS(X325+X324-X326)&lt;=2.01,0,ROUND(X325+X324-X326,0)),"")</f>
        <v>0</v>
      </c>
      <c r="Y329" s="274">
        <f>IF(AND(ISNUMBER(Y325),ISNUMBER(Y308)),IF(ABS(Y325+Y324-Y326)&lt;=2.01,0,ROUND(Y325+Y324-Y326,0)),"")</f>
        <v>0</v>
      </c>
      <c r="Z329" s="274">
        <f>IF(AND(ISNUMBER(Z325),ISNUMBER(Z308)),IF(ABS(Z325+Z324-Z326)&lt;=2.01,0,ROUND(Z325+Z324-Z326,0)),"")</f>
        <v>0</v>
      </c>
      <c r="AA329" s="274">
        <f>IF(AND(ISNUMBER(AA325),ISNUMBER(AA308)),IF(ABS(AA325+AA324-AA326)&lt;=2.01,0,ROUND(AA325+AA324-AA326,0)),"")</f>
        <v>0</v>
      </c>
      <c r="AB329" s="274">
        <f>IF(AND(ISNUMBER(AB325),ISNUMBER(AB308)),IF(ABS(AB325+AB324-AB326)&lt;=2.01,0,ROUND(AB325+AB324-AB326,0)),"")</f>
        <v>0</v>
      </c>
      <c r="AC329" s="153" t="n"/>
    </row>
    <row r="330" ht="15" customHeight="1" s="251">
      <c r="B330" s="57" t="inlineStr">
        <is>
          <t xml:space="preserve">  Check: CFO = sum of operating lines (should be 0)</t>
        </is>
      </c>
      <c r="C330" s="211">
        <f>IF(ISNUMBER(C298),IF(ABS(SUM(C298:C307)-C308)&lt;=1.01,0,ROUND(SUM(C298:C307)-C308,0)),"")</f>
        <v>0</v>
      </c>
      <c r="D330" s="211">
        <f>IF(ISNUMBER(D298),IF(ABS(SUM(D298:D307)-D308)&lt;=1.01,0,ROUND(SUM(D298:D307)-D308,0)),"")</f>
      </c>
      <c r="E330" s="211">
        <f>IF(ISNUMBER(E298),IF(ABS(SUM(E298:E307)-E308)&lt;=1.01,0,ROUND(SUM(E298:E307)-E308,0)),"")</f>
      </c>
      <c r="F330" s="211">
        <f>IF(ISNUMBER(F298),IF(ABS(SUM(F298:F307)-F308)&lt;=1.01,0,ROUND(SUM(F298:F307)-F308,0)),"")</f>
        <v>0</v>
      </c>
      <c r="G330" s="211">
        <f>IF(ISNUMBER(G298),IF(ABS(SUM(G298:G307)-G308)&lt;=1.01,0,ROUND(SUM(G298:G307)-G308,0)),"")</f>
        <v>0</v>
      </c>
      <c r="H330" s="211">
        <f>IF(ISNUMBER(H298),IF(ABS(SUM(H298:H307)-H308)&lt;=1.01,0,ROUND(SUM(H298:H307)-H308,0)),"")</f>
        <v>0</v>
      </c>
      <c r="I330" s="211">
        <f>IF(ISNUMBER(I298),IF(ABS(SUM(I298:I307)-I308)&lt;=1.01,0,ROUND(SUM(I298:I307)-I308,0)),"")</f>
        <v>0</v>
      </c>
      <c r="J330" s="211">
        <f>IF(ISNUMBER(J298),IF(ABS(SUM(J298:J307)-J308)&lt;=1.01,0,ROUND(SUM(J298:J307)-J308,0)),"")</f>
        <v>0</v>
      </c>
      <c r="K330" s="211">
        <f>IF(ISNUMBER(K298),IF(ABS(SUM(K298:K307)-K308)&lt;=1.01,0,ROUND(SUM(K298:K307)-K308,0)),"")</f>
        <v>0</v>
      </c>
      <c r="L330" s="211">
        <f>IF(ISNUMBER(L298),IF(ABS(SUM(L298:L307)-L308)&lt;=1.01,0,ROUND(SUM(L298:L307)-L308,0)),"")</f>
        <v>0</v>
      </c>
      <c r="M330" s="211">
        <f>IF(ISNUMBER(M298),IF(ABS(SUM(M298:M307)-M308)&lt;=1.01,0,ROUND(SUM(M298:M307)-M308,0)),"")</f>
        <v>0</v>
      </c>
      <c r="N330" s="211">
        <f>IF(ISNUMBER(N298),IF(ABS(SUM(N298:N307)-N308)&lt;=1.01,0,ROUND(SUM(N298:N307)-N308,0)),"")</f>
        <v>0</v>
      </c>
      <c r="O330" s="211">
        <f>IF(ISNUMBER(O298),IF(ABS(SUM(O298:O307)-O308)&lt;=1.01,0,ROUND(SUM(O298:O307)-O308,0)),"")</f>
        <v>0</v>
      </c>
      <c r="P330" s="211">
        <f>IF(ISNUMBER(P298),IF(ABS(SUM(P298:P307)-P308)&lt;=1.01,0,ROUND(SUM(P298:P307)-P308,0)),"")</f>
        <v>0</v>
      </c>
      <c r="Q330" s="211">
        <f>IF(ISNUMBER(Q298),IF(ABS(SUM(Q298:Q307)-Q308)&lt;=1.01,0,ROUND(SUM(Q298:Q307)-Q308,0)),"")</f>
        <v>0</v>
      </c>
      <c r="R330" s="211">
        <f>IF(ISNUMBER(R298),IF(ABS(SUM(R298:R307)-R308)&lt;=1.01,0,ROUND(SUM(R298:R307)-R308,0)),"")</f>
        <v>0</v>
      </c>
      <c r="S330" s="211">
        <f>IF(ISNUMBER(S298),IF(ABS(SUM(S298:S307)-S308)&lt;=1.01,0,ROUND(SUM(S298:S307)-S308,0)),"")</f>
        <v>0</v>
      </c>
      <c r="T330" s="211">
        <f>IF(ISNUMBER(T298),IF(ABS(SUM(T298:T307)-T308)&lt;=1.01,0,ROUND(SUM(T298:T307)-T308,0)),"")</f>
        <v>0</v>
      </c>
      <c r="U330" s="153" t="n"/>
      <c r="V330" s="153" t="n"/>
      <c r="W330" s="274">
        <f>IF(ISNUMBER(W298),IF(ABS(SUM(W298:W307)-W308)&lt;=1.01,0,ROUND(SUM(W298:W307)-W308,0)),"")</f>
        <v>0</v>
      </c>
      <c r="X330" s="274">
        <f>IF(ISNUMBER(X298),IF(ABS(SUM(X298:X307)-X308)&lt;=1.01,0,ROUND(SUM(X298:X307)-X308,0)),"")</f>
        <v>0</v>
      </c>
      <c r="Y330" s="274">
        <f>IF(ISNUMBER(Y298),IF(ABS(SUM(Y298:Y307)-Y308)&lt;=1.01,0,ROUND(SUM(Y298:Y307)-Y308,0)),"")</f>
        <v>0</v>
      </c>
      <c r="Z330" s="274">
        <f>IF(ISNUMBER(Z298),IF(ABS(SUM(Z298:Z307)-Z308)&lt;=1.01,0,ROUND(SUM(Z298:Z307)-Z308,0)),"")</f>
        <v>0</v>
      </c>
      <c r="AA330" s="274">
        <f>IF(ISNUMBER(AA298),IF(ABS(SUM(AA298:AA307)-AA308)&lt;=1.01,0,ROUND(SUM(AA298:AA307)-AA308,0)),"")</f>
        <v>0</v>
      </c>
      <c r="AB330" s="274">
        <f>IF(ISNUMBER(AB298),IF(ABS(SUM(AB298:AB307)-AB308)&lt;=1.01,0,ROUND(SUM(AB298:AB307)-AB308,0)),"")</f>
        <v>0</v>
      </c>
      <c r="AC330" s="153" t="n"/>
    </row>
    <row r="331" ht="15" customHeight="1" s="251">
      <c r="B331" s="25" t="inlineStr">
        <is>
          <t xml:space="preserve">  Memo: pension / OPEB cash contributions &amp; benefit payments (input, positive; drives the pension line above)</t>
        </is>
      </c>
      <c r="C331" s="36" t="n"/>
      <c r="D331" s="36" t="n"/>
      <c r="E331" s="36" t="n"/>
      <c r="F331" s="36" t="n"/>
      <c r="G331" s="36" t="n"/>
      <c r="H331" s="36" t="n"/>
      <c r="I331" s="36" t="n"/>
      <c r="J331" s="36" t="n"/>
      <c r="K331" s="36" t="n"/>
      <c r="L331" s="36" t="n"/>
      <c r="M331" s="36" t="n"/>
      <c r="N331" s="36" t="n"/>
      <c r="O331" s="36" t="n"/>
      <c r="P331" s="36" t="n"/>
      <c r="Q331" s="36" t="n"/>
      <c r="R331" s="36" t="n"/>
      <c r="S331" s="36" t="n"/>
      <c r="T331" s="36" t="n"/>
      <c r="U331" s="24" t="n"/>
      <c r="V331" s="24" t="n"/>
      <c r="W331" s="24" t="n"/>
      <c r="X331" s="270" t="n">
        <v>350</v>
      </c>
      <c r="Y331" s="270" t="n">
        <v>350</v>
      </c>
      <c r="Z331" s="270" t="n">
        <v>350</v>
      </c>
      <c r="AA331" s="270" t="n">
        <v>350</v>
      </c>
      <c r="AB331" s="270" t="n">
        <v>350</v>
      </c>
      <c r="AC331" s="19" t="n"/>
    </row>
    <row r="332" ht="15" customHeight="1" s="251">
      <c r="B332" s="25" t="inlineStr">
        <is>
          <t>Capex ratios</t>
        </is>
      </c>
      <c r="AC332" s="153" t="n"/>
    </row>
    <row r="333" ht="15" customHeight="1" s="251">
      <c r="B333" s="25" t="inlineStr">
        <is>
          <t xml:space="preserve">  Capex % of adjusted revenue</t>
        </is>
      </c>
      <c r="C333" s="215">
        <f>IF(ISNUMBER(C309),IFERROR(-C309/C105,""),"")</f>
        <v>0.0252845466350928</v>
      </c>
      <c r="D333" s="215">
        <f>IF(ISNUMBER(D309),IFERROR(-D309/D105,""),"")</f>
      </c>
      <c r="E333" s="215">
        <f>IF(ISNUMBER(E309),IFERROR(-E309/E105,""),"")</f>
      </c>
      <c r="F333" s="215">
        <f>IF(ISNUMBER(F309),IFERROR(-F309/F105,""),"")</f>
        <v>0.0262411347517731</v>
      </c>
      <c r="G333" s="215">
        <f>IF(ISNUMBER(G309),IFERROR(-G309/G105,""),"")</f>
        <v>0.0292500292500293</v>
      </c>
      <c r="H333" s="215">
        <f>IF(ISNUMBER(H309),IFERROR(-H309/H105,""),"")</f>
        <v>0.0269720579492475</v>
      </c>
      <c r="I333" s="215">
        <f>IF(ISNUMBER(I309),IFERROR(-I309/I105,""),"")</f>
        <v>0.025260029717682</v>
      </c>
      <c r="J333" s="215">
        <f>IF(ISNUMBER(J309),IFERROR(-J309/J105,""),"")</f>
        <v>0.0358749847987353</v>
      </c>
      <c r="K333" s="215">
        <f>IF(ISNUMBER(K309),IFERROR(-K309/K105,""),"")</f>
        <v>0.0297439338029744</v>
      </c>
      <c r="L333" s="215">
        <f>IF(ISNUMBER(L309),IFERROR(-L309/L105,""),"")</f>
        <v>0.027027027027027</v>
      </c>
      <c r="M333" s="215">
        <f>IF(ISNUMBER(M309),IFERROR(-M309/M105,""),"")</f>
        <v>0.0293849658314351</v>
      </c>
      <c r="N333" s="215">
        <f>IF(ISNUMBER(N309),IFERROR(-N309/N105,""),"")</f>
        <v>0.0231111111111111</v>
      </c>
      <c r="O333" s="215">
        <f>IF(ISNUMBER(O309),IFERROR(-O309/O105,""),"")</f>
        <v>0.0322135750172397</v>
      </c>
      <c r="P333" s="215">
        <f>IF(ISNUMBER(P309),IFERROR(-P309/P105,""),"")</f>
        <v>0.0271585279547063</v>
      </c>
      <c r="Q333" s="215">
        <f>IF(ISNUMBER(Q309),IFERROR(-Q309/Q105,""),"")</f>
        <v>0.0363253265908133</v>
      </c>
      <c r="R333" s="215">
        <f>IF(ISNUMBER(R309),IFERROR(-R309/R105,""),"")</f>
        <v>0.0300789187656538</v>
      </c>
      <c r="S333" s="215">
        <f>IF(ISNUMBER(S309),IFERROR(-S309/S105,""),"")</f>
        <v>0.0285000861029792</v>
      </c>
      <c r="T333" s="215">
        <f>IF(ISNUMBER(T309),IFERROR(-T309/T105,""),"")</f>
        <v>0.0265157511476967</v>
      </c>
      <c r="U333" s="24" t="n"/>
      <c r="V333" s="24" t="n"/>
      <c r="W333" s="256">
        <f>IF(ISNUMBER(W309),IFERROR(-W309/W105,""),"")</f>
        <v>0.0277408087631628</v>
      </c>
      <c r="X333" s="267" t="n">
        <v>0.03</v>
      </c>
      <c r="Y333" s="267" t="n">
        <v>0.032</v>
      </c>
      <c r="Z333" s="267" t="n">
        <v>0.031</v>
      </c>
      <c r="AA333" s="267" t="n">
        <v>0.03</v>
      </c>
      <c r="AB333" s="267" t="n">
        <v>0.03</v>
      </c>
      <c r="AC333" s="153" t="inlineStr">
        <is>
          <t>GE Aerospace capex 2.7–3.0% of adjusted revenue 2024–H1-26; 2027E+ includes CPP capacity investment (deck) — input.</t>
        </is>
      </c>
      <c r="AE333" s="37">
        <f>IFERROR(AVERAGE(X333,Y333,Z333,AA333,AB333),"n/m")</f>
        <v>0.0306</v>
      </c>
      <c r="AF333" s="37">
        <f>IFERROR(AVERAGE(H333,M333,R333),"n/m")</f>
        <v>0.0288119808487788</v>
      </c>
      <c r="AG333" s="37">
        <f>IFERROR(AVERAGE(M333,R333),"n/m")</f>
        <v>0.0297319422985444</v>
      </c>
      <c r="AH333" s="37">
        <f>IFERROR(W333+0,"n/m")</f>
        <v>0.0277408087631628</v>
      </c>
    </row>
    <row r="334" ht="15" customHeight="1" s="251">
      <c r="B334" s="25" t="inlineStr">
        <is>
          <t xml:space="preserve">  Capex / depreciation (x)</t>
        </is>
      </c>
      <c r="C334" s="265">
        <f>IF(ISNUMBER(C309),IFERROR(-C309/C133,""),"")</f>
        <v>0.782505910165485</v>
      </c>
      <c r="D334" s="265">
        <f>IF(ISNUMBER(D309),IFERROR(-D309/D133,""),"")</f>
      </c>
      <c r="E334" s="265">
        <f>IF(ISNUMBER(E309),IFERROR(-E309/E133,""),"")</f>
      </c>
      <c r="F334" s="265">
        <f>IF(ISNUMBER(F309),IFERROR(-F309/F133,""),"")</f>
        <v>1.12121212121212</v>
      </c>
      <c r="G334" s="265">
        <f>IF(ISNUMBER(G309),IFERROR(-G309/G133,""),"")</f>
        <v>1.21951219512195</v>
      </c>
      <c r="H334" s="265">
        <f>IF(ISNUMBER(H309),IFERROR(-H309/H133,""),"")</f>
        <v>1.08155583437892</v>
      </c>
      <c r="I334" s="265">
        <f>IF(ISNUMBER(I309),IFERROR(-I309/I133,""),"")</f>
        <v>1.00990099009901</v>
      </c>
      <c r="J334" s="265">
        <f>IF(ISNUMBER(J309),IFERROR(-J309/J133,""),"")</f>
        <v>1.48241206030151</v>
      </c>
      <c r="K334" s="265">
        <f>IF(ISNUMBER(K309),IFERROR(-K309/K133,""),"")</f>
        <v>1.1875</v>
      </c>
      <c r="L334" s="265">
        <f>IF(ISNUMBER(L309),IFERROR(-L309/L133,""),"")</f>
        <v>1.27751196172249</v>
      </c>
      <c r="M334" s="265">
        <f>IF(ISNUMBER(M309),IFERROR(-M309/M133,""),"")</f>
        <v>1.23741007194245</v>
      </c>
      <c r="N334" s="265">
        <f>IF(ISNUMBER(N309),IFERROR(-N309/N133,""),"")</f>
        <v>0.990476190476191</v>
      </c>
      <c r="O334" s="265">
        <f>IF(ISNUMBER(O309),IFERROR(-O309/O133,""),"")</f>
        <v>1.5</v>
      </c>
      <c r="P334" s="265">
        <f>IF(ISNUMBER(P309),IFERROR(-P309/P133,""),"")</f>
        <v>1.42790697674419</v>
      </c>
      <c r="Q334" s="265">
        <f>IF(ISNUMBER(Q309),IFERROR(-Q309/Q133,""),"")</f>
        <v>1.95909090909091</v>
      </c>
      <c r="R334" s="265">
        <f>IF(ISNUMBER(R309),IFERROR(-R309/R133,""),"")</f>
        <v>1.47508690614137</v>
      </c>
      <c r="S334" s="265">
        <f>IF(ISNUMBER(S309),IFERROR(-S309/S133,""),"")</f>
        <v>1.45814977973568</v>
      </c>
      <c r="T334" s="265">
        <f>IF(ISNUMBER(T309),IFERROR(-T309/T133,""),"")</f>
        <v>1.48888888888889</v>
      </c>
      <c r="U334" s="35" t="n"/>
      <c r="V334" s="35" t="n"/>
      <c r="W334" s="286">
        <f>IF(ISNUMBER(W309),IFERROR(-W309/W133,""),"")</f>
        <v>1.53249433628319</v>
      </c>
      <c r="X334" s="286">
        <f>IF(ISNUMBER(X309),IFERROR(-X309/X133,""),"")</f>
        <v>1.54291694096766</v>
      </c>
      <c r="Y334" s="286">
        <f>IF(ISNUMBER(Y309),IFERROR(-Y309/Y133,""),"")</f>
        <v>1.54501034676443</v>
      </c>
      <c r="Z334" s="286">
        <f>IF(ISNUMBER(Z309),IFERROR(-Z309/Z133,""),"")</f>
        <v>1.49694713624891</v>
      </c>
      <c r="AA334" s="286">
        <f>IF(ISNUMBER(AA309),IFERROR(-AA309/AA133,""),"")</f>
        <v>1.44796755991741</v>
      </c>
      <c r="AB334" s="286">
        <f>IF(ISNUMBER(AB309),IFERROR(-AB309/AB133,""),"")</f>
        <v>1.44616516454714</v>
      </c>
      <c r="AC334" s="19" t="n"/>
    </row>
    <row r="335" ht="15" customHeight="1" s="251">
      <c r="AK335" s="11" t="n"/>
      <c r="AL335" s="12" t="n"/>
      <c r="AM335" s="12" t="n"/>
      <c r="AN335" s="12" t="n"/>
      <c r="AO335" s="13" t="n"/>
    </row>
    <row r="336" ht="15" customHeight="1" s="251">
      <c r="B336" s="10" t="inlineStr">
        <is>
          <t>SHARE BUYBACK SCHEDULE</t>
        </is>
      </c>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c r="AA336" s="10" t="n"/>
      <c r="AB336" s="10" t="n"/>
      <c r="AC336" s="10" t="inlineStr">
        <is>
          <t>SHARES — 2026E = 2H from shares outstanding at 30-Jun-2026; 2027E+ buybacks via the leverage plug</t>
        </is>
      </c>
    </row>
    <row r="337" ht="15" customHeight="1" s="251">
      <c r="B337" s="25" t="inlineStr">
        <is>
          <t xml:space="preserve">  Avg buyback price ($)</t>
        </is>
      </c>
      <c r="C337" s="34" t="n"/>
      <c r="D337" s="34" t="n"/>
      <c r="E337" s="34" t="n"/>
      <c r="F337" s="34" t="n"/>
      <c r="G337" s="34" t="n"/>
      <c r="H337" s="34" t="n"/>
      <c r="I337" s="34" t="n"/>
      <c r="J337" s="34" t="n"/>
      <c r="K337" s="34" t="n"/>
      <c r="L337" s="34" t="n"/>
      <c r="M337" s="34" t="n"/>
      <c r="N337" s="34" t="n"/>
      <c r="O337" s="34" t="n"/>
      <c r="P337" s="34" t="n"/>
      <c r="Q337" s="34" t="n"/>
      <c r="R337" s="34" t="n"/>
      <c r="S337" s="34" t="n"/>
      <c r="T337" s="34" t="n"/>
      <c r="U337" s="35" t="n"/>
      <c r="V337" s="35" t="n"/>
      <c r="W337" s="287">
        <f>W471</f>
        <v>308</v>
      </c>
      <c r="X337" s="287">
        <f>W337*(1+X415)</f>
        <v>332.64</v>
      </c>
      <c r="Y337" s="287">
        <f>X337*(1+Y415)</f>
        <v>359.2512</v>
      </c>
      <c r="Z337" s="287">
        <f>Y337*(1+Z415)</f>
        <v>387.991296</v>
      </c>
      <c r="AA337" s="287">
        <f>Z337*(1+AA415)</f>
        <v>419.03059968</v>
      </c>
      <c r="AB337" s="287">
        <f>AA337*(1+AB415)</f>
        <v>452.5530476544</v>
      </c>
      <c r="AC337" s="19" t="n"/>
    </row>
    <row r="338" ht="15" customHeight="1" s="251">
      <c r="B338" s="25" t="inlineStr">
        <is>
          <t xml:space="preserve">  Buyback cash deployed (USDm; 2026E = 2H)</t>
        </is>
      </c>
      <c r="C338" s="34" t="n"/>
      <c r="D338" s="34" t="n"/>
      <c r="E338" s="34" t="n"/>
      <c r="F338" s="34" t="n"/>
      <c r="G338" s="34" t="n"/>
      <c r="H338" s="34" t="n"/>
      <c r="I338" s="34" t="n"/>
      <c r="J338" s="34" t="n"/>
      <c r="K338" s="34" t="n"/>
      <c r="L338" s="34" t="n"/>
      <c r="M338" s="34" t="n"/>
      <c r="N338" s="34" t="n"/>
      <c r="O338" s="34" t="n"/>
      <c r="P338" s="34" t="n"/>
      <c r="Q338" s="34" t="n"/>
      <c r="R338" s="34" t="n"/>
      <c r="S338" s="34" t="n"/>
      <c r="T338" s="34" t="n"/>
      <c r="U338" s="35" t="n"/>
      <c r="V338" s="35" t="n"/>
      <c r="W338" s="254">
        <f>CHOOSE(MATCH($AC$2,{"Bull","Base","Bear"},0),$AL$22,$AM$22,$AN$22)</f>
        <v>4000</v>
      </c>
      <c r="X338" s="254">
        <f>-X319</f>
        <v>498.197074631416</v>
      </c>
      <c r="Y338" s="254">
        <f>-Y319</f>
        <v>11301.2340221065</v>
      </c>
      <c r="Z338" s="254">
        <f>-Z319</f>
        <v>11604.2703277576</v>
      </c>
      <c r="AA338" s="254">
        <f>-AA319</f>
        <v>12438.6560967082</v>
      </c>
      <c r="AB338" s="254">
        <f>-AB319</f>
        <v>12783.2879537394</v>
      </c>
      <c r="AC338" s="19" t="n"/>
    </row>
    <row r="339" ht="15" customHeight="1" s="251">
      <c r="B339" s="25" t="inlineStr">
        <is>
          <t xml:space="preserve">  Implied shares repurchased (m)</t>
        </is>
      </c>
      <c r="C339" s="34" t="n"/>
      <c r="D339" s="34" t="n"/>
      <c r="E339" s="34" t="n"/>
      <c r="F339" s="34" t="n"/>
      <c r="G339" s="34" t="n"/>
      <c r="H339" s="34" t="n"/>
      <c r="I339" s="34" t="n"/>
      <c r="J339" s="34" t="n"/>
      <c r="K339" s="34" t="n"/>
      <c r="L339" s="34" t="n"/>
      <c r="M339" s="34" t="n"/>
      <c r="N339" s="34" t="n"/>
      <c r="O339" s="34" t="n"/>
      <c r="P339" s="34" t="n"/>
      <c r="Q339" s="34" t="n"/>
      <c r="R339" s="34" t="n"/>
      <c r="S339" s="34" t="n"/>
      <c r="T339" s="34" t="n"/>
      <c r="U339" s="35" t="n"/>
      <c r="V339" s="35" t="n"/>
      <c r="W339" s="287">
        <f>IFERROR(W338/W337,0)</f>
        <v>12.987012987013</v>
      </c>
      <c r="X339" s="287">
        <f>IFERROR(X338/X337,0)</f>
        <v>1.49770645331715</v>
      </c>
      <c r="Y339" s="287">
        <f>IFERROR(Y338/Y337,0)</f>
        <v>31.4577488456726</v>
      </c>
      <c r="Z339" s="287">
        <f>IFERROR(Z338/Z337,0)</f>
        <v>29.9085841548301</v>
      </c>
      <c r="AA339" s="287">
        <f>IFERROR(AA338/AA337,0)</f>
        <v>29.6843622069778</v>
      </c>
      <c r="AB339" s="287">
        <f>IFERROR(AB338/AB337,0)</f>
        <v>28.2470486498669</v>
      </c>
      <c r="AC339" s="19" t="n"/>
    </row>
    <row r="340" ht="15" customHeight="1" s="251">
      <c r="B340" s="25" t="inlineStr">
        <is>
          <t xml:space="preserve">  Shares issued under equity plans (m)</t>
        </is>
      </c>
      <c r="C340" s="36" t="n"/>
      <c r="D340" s="36" t="n"/>
      <c r="E340" s="36" t="n"/>
      <c r="F340" s="36" t="n"/>
      <c r="G340" s="36" t="n"/>
      <c r="H340" s="36" t="n"/>
      <c r="I340" s="36" t="n"/>
      <c r="J340" s="36" t="n"/>
      <c r="K340" s="36" t="n"/>
      <c r="L340" s="36" t="n"/>
      <c r="M340" s="36" t="n"/>
      <c r="N340" s="36" t="n"/>
      <c r="O340" s="36" t="n"/>
      <c r="P340" s="36" t="n"/>
      <c r="Q340" s="36" t="n"/>
      <c r="R340" s="36" t="n"/>
      <c r="S340" s="36" t="n"/>
      <c r="T340" s="36" t="n"/>
      <c r="U340" s="24" t="n"/>
      <c r="V340" s="24" t="n"/>
      <c r="W340" s="288" t="n">
        <v>2</v>
      </c>
      <c r="X340" s="288" t="n">
        <v>4</v>
      </c>
      <c r="Y340" s="288" t="n">
        <v>4</v>
      </c>
      <c r="Z340" s="288" t="n">
        <v>4</v>
      </c>
      <c r="AA340" s="288" t="n">
        <v>4</v>
      </c>
      <c r="AB340" s="288" t="n">
        <v>4</v>
      </c>
      <c r="AC340" s="19" t="n"/>
    </row>
    <row r="341" ht="15" customHeight="1" s="251">
      <c r="B341" s="25" t="inlineStr">
        <is>
          <t xml:space="preserve">  Beginning shares outstanding (m)</t>
        </is>
      </c>
      <c r="C341" s="34" t="n"/>
      <c r="D341" s="34" t="n"/>
      <c r="E341" s="34" t="n"/>
      <c r="F341" s="34" t="n"/>
      <c r="G341" s="34" t="n"/>
      <c r="H341" s="34" t="n"/>
      <c r="I341" s="34" t="n"/>
      <c r="J341" s="34" t="n"/>
      <c r="K341" s="34" t="n"/>
      <c r="L341" s="34" t="n"/>
      <c r="M341" s="34" t="n"/>
      <c r="N341" s="34" t="n"/>
      <c r="O341" s="34" t="n"/>
      <c r="P341" s="34" t="n"/>
      <c r="Q341" s="34" t="n"/>
      <c r="R341" s="34" t="n"/>
      <c r="S341" s="34" t="n"/>
      <c r="T341" s="34" t="n"/>
      <c r="U341" s="35" t="n"/>
      <c r="V341" s="35" t="n"/>
      <c r="W341" s="279">
        <f>T389</f>
        <v>1037.562513</v>
      </c>
      <c r="X341" s="279">
        <f>W342</f>
        <v>1026.57550001299</v>
      </c>
      <c r="Y341" s="279">
        <f>X342</f>
        <v>1029.07779355967</v>
      </c>
      <c r="Z341" s="279">
        <f>Y342</f>
        <v>1001.620044714</v>
      </c>
      <c r="AA341" s="279">
        <f>Z342</f>
        <v>975.711460559167</v>
      </c>
      <c r="AB341" s="279">
        <f>AA342</f>
        <v>950.02709835219</v>
      </c>
      <c r="AC341" s="19" t="inlineStr">
        <is>
          <t>2026E begins from shares outstanding at 30-Jun-2026 (balance-sheet caption, Q2-26 10-Q).</t>
        </is>
      </c>
    </row>
    <row r="342" ht="15" customHeight="1" s="251">
      <c r="B342" s="25" t="inlineStr">
        <is>
          <t xml:space="preserve">  Ending shares outstanding (m)</t>
        </is>
      </c>
      <c r="C342" s="34" t="n"/>
      <c r="D342" s="34" t="n"/>
      <c r="E342" s="34" t="n"/>
      <c r="F342" s="34" t="n"/>
      <c r="G342" s="34" t="n"/>
      <c r="H342" s="34" t="n"/>
      <c r="I342" s="34" t="n"/>
      <c r="J342" s="34" t="n"/>
      <c r="K342" s="34" t="n"/>
      <c r="L342" s="34" t="n"/>
      <c r="M342" s="34" t="n"/>
      <c r="N342" s="34" t="n"/>
      <c r="O342" s="34" t="n"/>
      <c r="P342" s="34" t="n"/>
      <c r="Q342" s="34" t="n"/>
      <c r="R342" s="34" t="n"/>
      <c r="S342" s="34" t="n"/>
      <c r="T342" s="34" t="n"/>
      <c r="U342" s="35" t="n"/>
      <c r="V342" s="35" t="n"/>
      <c r="W342" s="279">
        <f>W341-W339+W340</f>
        <v>1026.57550001299</v>
      </c>
      <c r="X342" s="279">
        <f>X341-X339+X340</f>
        <v>1029.07779355967</v>
      </c>
      <c r="Y342" s="279">
        <f>Y341-Y339+Y340</f>
        <v>1001.620044714</v>
      </c>
      <c r="Z342" s="279">
        <f>Z341-Z339+Z340</f>
        <v>975.711460559167</v>
      </c>
      <c r="AA342" s="279">
        <f>AA341-AA339+AA340</f>
        <v>950.02709835219</v>
      </c>
      <c r="AB342" s="279">
        <f>AB341-AB339+AB340</f>
        <v>925.780049702323</v>
      </c>
      <c r="AC342" s="19" t="n"/>
    </row>
    <row r="343" ht="15" customHeight="1" s="251">
      <c r="B343" s="25" t="inlineStr">
        <is>
          <t xml:space="preserve">  % of shares repurchased</t>
        </is>
      </c>
      <c r="C343" s="36" t="n"/>
      <c r="D343" s="36" t="n"/>
      <c r="E343" s="36" t="n"/>
      <c r="F343" s="36" t="n"/>
      <c r="G343" s="36" t="n"/>
      <c r="H343" s="36" t="n"/>
      <c r="I343" s="36" t="n"/>
      <c r="J343" s="36" t="n"/>
      <c r="K343" s="36" t="n"/>
      <c r="L343" s="36" t="n"/>
      <c r="M343" s="36" t="n"/>
      <c r="N343" s="36" t="n"/>
      <c r="O343" s="36" t="n"/>
      <c r="P343" s="36" t="n"/>
      <c r="Q343" s="36" t="n"/>
      <c r="R343" s="36" t="n"/>
      <c r="S343" s="36" t="n"/>
      <c r="T343" s="36" t="n"/>
      <c r="U343" s="24" t="n"/>
      <c r="V343" s="24" t="n"/>
      <c r="W343" s="256">
        <f>IF(AND(ISNUMBER(W339),ISNUMBER(W341)),IFERROR(W339/W341,""),"")</f>
        <v>0.0125168486951812</v>
      </c>
      <c r="X343" s="256">
        <f>IF(AND(ISNUMBER(X339),ISNUMBER(X341)),IFERROR(X339/X341,""),"")</f>
        <v>0.00145893453847106</v>
      </c>
      <c r="Y343" s="256">
        <f>IF(AND(ISNUMBER(Y339),ISNUMBER(Y341)),IFERROR(Y339/Y341,""),"")</f>
        <v>0.0305688734540248</v>
      </c>
      <c r="Z343" s="256">
        <f>IF(AND(ISNUMBER(Z339),ISNUMBER(Z341)),IFERROR(Z339/Z341,""),"")</f>
        <v>0.0298602092806261</v>
      </c>
      <c r="AA343" s="256">
        <f>IF(AND(ISNUMBER(AA339),ISNUMBER(AA341)),IFERROR(AA339/AA341,""),"")</f>
        <v>0.0304232997222008</v>
      </c>
      <c r="AB343" s="256">
        <f>IF(AND(ISNUMBER(AB339),ISNUMBER(AB341)),IFERROR(AB339/AB341,""),"")</f>
        <v>0.0297328873027528</v>
      </c>
      <c r="AC343" s="153" t="n"/>
    </row>
    <row r="344" ht="15" customHeight="1" s="251">
      <c r="B344" s="156" t="inlineStr">
        <is>
          <t xml:space="preserve">  Memo: cumulative shares repurchased since 30-Jun-2026 (m)</t>
        </is>
      </c>
      <c r="C344" s="34" t="n"/>
      <c r="D344" s="34" t="n"/>
      <c r="E344" s="34" t="n"/>
      <c r="F344" s="34" t="n"/>
      <c r="G344" s="34" t="n"/>
      <c r="H344" s="34" t="n"/>
      <c r="I344" s="34" t="n"/>
      <c r="J344" s="34" t="n"/>
      <c r="K344" s="34" t="n"/>
      <c r="L344" s="34" t="n"/>
      <c r="M344" s="34" t="n"/>
      <c r="N344" s="34" t="n"/>
      <c r="O344" s="34" t="n"/>
      <c r="P344" s="34" t="n"/>
      <c r="Q344" s="34" t="n"/>
      <c r="R344" s="34" t="n"/>
      <c r="S344" s="34" t="n"/>
      <c r="T344" s="34" t="n"/>
      <c r="U344" s="153" t="n"/>
      <c r="V344" s="153" t="n"/>
      <c r="W344" s="289">
        <f>W339</f>
        <v>12.987012987013</v>
      </c>
      <c r="X344" s="289">
        <f>W344+X339</f>
        <v>14.4847194403301</v>
      </c>
      <c r="Y344" s="289">
        <f>X344+Y339</f>
        <v>45.9424682860027</v>
      </c>
      <c r="Z344" s="289">
        <f>Y344+Z339</f>
        <v>75.8510524408328</v>
      </c>
      <c r="AA344" s="289">
        <f>Z344+AA339</f>
        <v>105.535414647811</v>
      </c>
      <c r="AB344" s="289">
        <f>AA344+AB339</f>
        <v>133.782463297677</v>
      </c>
      <c r="AC344" s="153" t="n"/>
    </row>
    <row r="345" ht="15" customHeight="1" s="251">
      <c r="AK345" s="11" t="n"/>
      <c r="AL345" s="12" t="n"/>
      <c r="AM345" s="12" t="n"/>
      <c r="AN345" s="12" t="n"/>
      <c r="AO345" s="13" t="n"/>
    </row>
    <row r="346" ht="15" customHeight="1" s="251">
      <c r="B346" s="10" t="inlineStr">
        <is>
          <t>STATEMENT OF FINANCIAL POSITION (condensed; first GE Aerospace balance sheet 31-Dec-2023)</t>
        </is>
      </c>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c r="AA346" s="10" t="n"/>
      <c r="AB346" s="10" t="n"/>
      <c r="AC346" s="10" t="inlineStr">
        <is>
          <t>BS FORECAST — 2026E rolled forward from the 30-Jun-2026 balance sheet + 2H flows; 2027E+ from prior year end</t>
        </is>
      </c>
    </row>
    <row r="347" ht="15" customHeight="1" s="251">
      <c r="B347" s="25" t="inlineStr">
        <is>
          <t>ASSETS</t>
        </is>
      </c>
      <c r="AC347" s="153" t="n"/>
    </row>
    <row r="348" ht="15" customHeight="1" s="251">
      <c r="B348" s="25" t="inlineStr">
        <is>
          <t xml:space="preserve">  Cash, cash equivalents and restricted cash</t>
        </is>
      </c>
      <c r="C348" s="34" t="n"/>
      <c r="D348" s="34" t="n"/>
      <c r="E348" s="34" t="n"/>
      <c r="F348" s="34" t="n"/>
      <c r="G348" s="253" t="n">
        <v>15204</v>
      </c>
      <c r="H348" s="253" t="n">
        <v>15204</v>
      </c>
      <c r="I348" s="34" t="n"/>
      <c r="J348" s="253" t="n">
        <v>12107</v>
      </c>
      <c r="K348" s="253" t="n">
        <v>13724</v>
      </c>
      <c r="L348" s="253" t="n">
        <v>13619</v>
      </c>
      <c r="M348" s="253" t="n">
        <v>13619</v>
      </c>
      <c r="N348" s="253" t="n">
        <v>12405</v>
      </c>
      <c r="O348" s="253" t="n">
        <v>10861</v>
      </c>
      <c r="P348" s="253" t="n">
        <v>12501</v>
      </c>
      <c r="Q348" s="253" t="n">
        <v>12392</v>
      </c>
      <c r="R348" s="253" t="n">
        <v>12392</v>
      </c>
      <c r="S348" s="253" t="n">
        <v>10981</v>
      </c>
      <c r="T348" s="253" t="n">
        <v>9345</v>
      </c>
      <c r="U348" s="35" t="n"/>
      <c r="V348" s="35" t="n"/>
      <c r="W348" s="254">
        <f>W328-W386</f>
        <v>8000</v>
      </c>
      <c r="X348" s="254">
        <f>X328-X386</f>
        <v>9155.01694424272</v>
      </c>
      <c r="Y348" s="254">
        <f>Y328-Y386</f>
        <v>8000</v>
      </c>
      <c r="Z348" s="254">
        <f>Z328-Z386</f>
        <v>8000</v>
      </c>
      <c r="AA348" s="254">
        <f>AA328-AA386</f>
        <v>8000</v>
      </c>
      <c r="AB348" s="254">
        <f>AB328-AB386</f>
        <v>8000</v>
      </c>
      <c r="AC348" s="19" t="n"/>
    </row>
    <row r="349" ht="15" customHeight="1" s="251">
      <c r="B349" s="25" t="inlineStr">
        <is>
          <t xml:space="preserve">  Investment securities — current (equity stakes: GE HealthCare / AerCap 2023–24)</t>
        </is>
      </c>
      <c r="C349" s="34" t="n"/>
      <c r="D349" s="34" t="n"/>
      <c r="E349" s="34" t="n"/>
      <c r="F349" s="34" t="n"/>
      <c r="G349" s="253" t="n">
        <v>5706</v>
      </c>
      <c r="H349" s="253" t="n">
        <v>5706</v>
      </c>
      <c r="I349" s="34" t="n"/>
      <c r="J349" s="253" t="n">
        <v>3338</v>
      </c>
      <c r="K349" s="253" t="n">
        <v>2232</v>
      </c>
      <c r="L349" s="253" t="n">
        <v>982</v>
      </c>
      <c r="M349" s="253" t="n">
        <v>982</v>
      </c>
      <c r="N349" s="253" t="n">
        <v>1000</v>
      </c>
      <c r="O349" s="253" t="n">
        <v>998</v>
      </c>
      <c r="P349" s="253" t="n">
        <v>1008</v>
      </c>
      <c r="Q349" s="253" t="n">
        <v>0</v>
      </c>
      <c r="R349" s="253" t="n">
        <v>0</v>
      </c>
      <c r="S349" s="253" t="n">
        <v>0</v>
      </c>
      <c r="T349" s="253" t="n">
        <v>0</v>
      </c>
      <c r="U349" s="35" t="n"/>
      <c r="V349" s="35" t="n"/>
      <c r="W349" s="254">
        <f>T349</f>
        <v>0</v>
      </c>
      <c r="X349" s="254">
        <f>W349</f>
        <v>0</v>
      </c>
      <c r="Y349" s="254">
        <f>X349</f>
        <v>0</v>
      </c>
      <c r="Z349" s="254">
        <f>Y349</f>
        <v>0</v>
      </c>
      <c r="AA349" s="254">
        <f>Z349</f>
        <v>0</v>
      </c>
      <c r="AB349" s="254">
        <f>AA349</f>
        <v>0</v>
      </c>
      <c r="AC349" s="19" t="n"/>
    </row>
    <row r="350" ht="15" customHeight="1" s="251">
      <c r="B350" s="25" t="inlineStr">
        <is>
          <t xml:space="preserve">  Current receivables</t>
        </is>
      </c>
      <c r="C350" s="34" t="n"/>
      <c r="D350" s="34" t="n"/>
      <c r="E350" s="34" t="n"/>
      <c r="F350" s="34" t="n"/>
      <c r="G350" s="253" t="n">
        <v>8703</v>
      </c>
      <c r="H350" s="253" t="n">
        <v>8703</v>
      </c>
      <c r="I350" s="34" t="n"/>
      <c r="J350" s="253" t="n">
        <v>8370</v>
      </c>
      <c r="K350" s="253" t="n">
        <v>8936</v>
      </c>
      <c r="L350" s="253" t="n">
        <v>9327</v>
      </c>
      <c r="M350" s="253" t="n">
        <v>9327</v>
      </c>
      <c r="N350" s="253" t="n">
        <v>9653</v>
      </c>
      <c r="O350" s="253" t="n">
        <v>10512</v>
      </c>
      <c r="P350" s="253" t="n">
        <v>10671</v>
      </c>
      <c r="Q350" s="253" t="n">
        <v>11773</v>
      </c>
      <c r="R350" s="253" t="n">
        <v>11773</v>
      </c>
      <c r="S350" s="253" t="n">
        <v>12466</v>
      </c>
      <c r="T350" s="253" t="n">
        <v>12360</v>
      </c>
      <c r="U350" s="35" t="n"/>
      <c r="V350" s="35" t="n"/>
      <c r="W350" s="254">
        <f>W392*W394/365</f>
        <v>13955.8244383562</v>
      </c>
      <c r="X350" s="254">
        <f>X392*X394/365</f>
        <v>15745.8767639934</v>
      </c>
      <c r="Y350" s="254">
        <f>Y392*Y394/365</f>
        <v>17630.6798208676</v>
      </c>
      <c r="Z350" s="254">
        <f>Z392*Z394/365</f>
        <v>19074.7999963084</v>
      </c>
      <c r="AA350" s="254">
        <f>AA392*AA394/365</f>
        <v>20482.3344705125</v>
      </c>
      <c r="AB350" s="254">
        <f>AB392*AB394/365</f>
        <v>21793.488398363</v>
      </c>
      <c r="AC350" s="19" t="n"/>
    </row>
    <row r="351" ht="15" customHeight="1" s="251">
      <c r="B351" s="25" t="inlineStr">
        <is>
          <t xml:space="preserve">  Inventories, including deferred inventory costs</t>
        </is>
      </c>
      <c r="C351" s="34" t="n"/>
      <c r="D351" s="34" t="n"/>
      <c r="E351" s="34" t="n"/>
      <c r="F351" s="34" t="n"/>
      <c r="G351" s="253" t="n">
        <v>8284</v>
      </c>
      <c r="H351" s="253" t="n">
        <v>8284</v>
      </c>
      <c r="I351" s="34" t="n"/>
      <c r="J351" s="253" t="n">
        <v>9469</v>
      </c>
      <c r="K351" s="253" t="n">
        <v>9718</v>
      </c>
      <c r="L351" s="253" t="n">
        <v>9763</v>
      </c>
      <c r="M351" s="253" t="n">
        <v>9763</v>
      </c>
      <c r="N351" s="253" t="n">
        <v>10504</v>
      </c>
      <c r="O351" s="253" t="n">
        <v>11297</v>
      </c>
      <c r="P351" s="253" t="n">
        <v>11667</v>
      </c>
      <c r="Q351" s="253" t="n">
        <v>11868</v>
      </c>
      <c r="R351" s="253" t="n">
        <v>11868</v>
      </c>
      <c r="S351" s="253" t="n">
        <v>12367</v>
      </c>
      <c r="T351" s="253" t="n">
        <v>12440</v>
      </c>
      <c r="U351" s="35" t="n"/>
      <c r="V351" s="35" t="n"/>
      <c r="W351" s="254">
        <f>W393*W395/365</f>
        <v>14096.4915736025</v>
      </c>
      <c r="X351" s="254">
        <f>X393*X395/365</f>
        <v>15820.5878550524</v>
      </c>
      <c r="Y351" s="254">
        <f>Y393*Y395/365</f>
        <v>17700.9247956593</v>
      </c>
      <c r="Z351" s="254">
        <f>Z393*Z395/365</f>
        <v>18907.5104019366</v>
      </c>
      <c r="AA351" s="254">
        <f>AA393*AA395/365</f>
        <v>20126.9622082144</v>
      </c>
      <c r="AB351" s="254">
        <f>AB393*AB395/365</f>
        <v>21300.8534889864</v>
      </c>
      <c r="AC351" s="19" t="n"/>
    </row>
    <row r="352" ht="15" customHeight="1" s="251">
      <c r="B352" s="25" t="inlineStr">
        <is>
          <t xml:space="preserve">  Current contract assets</t>
        </is>
      </c>
      <c r="C352" s="34" t="n"/>
      <c r="D352" s="34" t="n"/>
      <c r="E352" s="34" t="n"/>
      <c r="F352" s="34" t="n"/>
      <c r="G352" s="253" t="n">
        <v>2875</v>
      </c>
      <c r="H352" s="253" t="n">
        <v>2875</v>
      </c>
      <c r="I352" s="34" t="n"/>
      <c r="J352" s="253" t="n">
        <v>2719</v>
      </c>
      <c r="K352" s="253" t="n">
        <v>2884</v>
      </c>
      <c r="L352" s="253" t="n">
        <v>2982</v>
      </c>
      <c r="M352" s="253" t="n">
        <v>2982</v>
      </c>
      <c r="N352" s="253" t="n">
        <v>2940</v>
      </c>
      <c r="O352" s="253" t="n">
        <v>3059</v>
      </c>
      <c r="P352" s="253" t="n">
        <v>3111</v>
      </c>
      <c r="Q352" s="253" t="n">
        <v>3511</v>
      </c>
      <c r="R352" s="253" t="n">
        <v>3511</v>
      </c>
      <c r="S352" s="253" t="n">
        <v>3439</v>
      </c>
      <c r="T352" s="253" t="n">
        <v>3473</v>
      </c>
      <c r="U352" s="35" t="n"/>
      <c r="V352" s="35" t="n"/>
      <c r="W352" s="254">
        <f>W392*W397</f>
        <v>4145.01668</v>
      </c>
      <c r="X352" s="254">
        <f>X392*X397</f>
        <v>4676.67977024685</v>
      </c>
      <c r="Y352" s="254">
        <f>Y392*Y397</f>
        <v>5236.48475659984</v>
      </c>
      <c r="Z352" s="254">
        <f>Z392*Z397</f>
        <v>5665.4026067467</v>
      </c>
      <c r="AA352" s="254">
        <f>AA392*AA397</f>
        <v>6083.45414494291</v>
      </c>
      <c r="AB352" s="254">
        <f>AB392*AB397</f>
        <v>6472.87971596478</v>
      </c>
      <c r="AC352" s="19" t="n"/>
    </row>
    <row r="353" ht="15" customHeight="1" s="251">
      <c r="B353" s="25" t="inlineStr">
        <is>
          <t xml:space="preserve">  All other current assets &amp; businesses held for sale (incl. time deposits &gt;3 months)</t>
        </is>
      </c>
      <c r="C353" s="34" t="n"/>
      <c r="D353" s="34" t="n"/>
      <c r="E353" s="34" t="n"/>
      <c r="F353" s="34" t="n"/>
      <c r="G353" s="253" t="n">
        <v>1784</v>
      </c>
      <c r="H353" s="253" t="n">
        <v>1784</v>
      </c>
      <c r="I353" s="34" t="n"/>
      <c r="J353" s="253" t="n">
        <v>1349</v>
      </c>
      <c r="K353" s="253" t="n">
        <v>1155</v>
      </c>
      <c r="L353" s="253" t="n">
        <v>962</v>
      </c>
      <c r="M353" s="253" t="n">
        <v>962</v>
      </c>
      <c r="N353" s="253" t="n">
        <v>1073</v>
      </c>
      <c r="O353" s="253" t="n">
        <v>1074</v>
      </c>
      <c r="P353" s="253" t="n">
        <v>1116</v>
      </c>
      <c r="Q353" s="253" t="n">
        <v>1052</v>
      </c>
      <c r="R353" s="253" t="n">
        <v>1052</v>
      </c>
      <c r="S353" s="253" t="n">
        <v>1108</v>
      </c>
      <c r="T353" s="253" t="n">
        <v>2079</v>
      </c>
      <c r="U353" s="35" t="n"/>
      <c r="V353" s="35" t="n"/>
      <c r="W353" s="254">
        <f>T353</f>
        <v>2079</v>
      </c>
      <c r="X353" s="254">
        <f>W353+X407</f>
        <v>2666.5</v>
      </c>
      <c r="Y353" s="254">
        <f>X353+Y407</f>
        <v>2666.5</v>
      </c>
      <c r="Z353" s="254">
        <f>Y353+Z407</f>
        <v>2666.5</v>
      </c>
      <c r="AA353" s="254">
        <f>Z353+AA407</f>
        <v>2666.5</v>
      </c>
      <c r="AB353" s="254">
        <f>AA353+AB407</f>
        <v>2666.5</v>
      </c>
      <c r="AC353" s="19" t="n"/>
    </row>
    <row r="354" ht="15" customHeight="1" s="251">
      <c r="B354" s="16" t="inlineStr">
        <is>
          <t>Current assets</t>
        </is>
      </c>
      <c r="C354" s="260">
        <f>IF(ISNUMBER(C348),SUM(C348:C353),"")</f>
      </c>
      <c r="D354" s="260">
        <f>IF(ISNUMBER(D348),SUM(D348:D353),"")</f>
      </c>
      <c r="E354" s="260">
        <f>IF(ISNUMBER(E348),SUM(E348:E353),"")</f>
      </c>
      <c r="F354" s="260">
        <f>IF(ISNUMBER(F348),SUM(F348:F353),"")</f>
      </c>
      <c r="G354" s="260">
        <f>IF(ISNUMBER(G348),SUM(G348:G353),"")</f>
        <v>42556</v>
      </c>
      <c r="H354" s="260">
        <f>IF(ISNUMBER(H348),SUM(H348:H353),"")</f>
        <v>42556</v>
      </c>
      <c r="I354" s="260">
        <f>IF(ISNUMBER(I348),SUM(I348:I353),"")</f>
      </c>
      <c r="J354" s="260">
        <f>IF(ISNUMBER(J348),SUM(J348:J353),"")</f>
        <v>37352</v>
      </c>
      <c r="K354" s="260">
        <f>IF(ISNUMBER(K348),SUM(K348:K353),"")</f>
        <v>38649</v>
      </c>
      <c r="L354" s="260">
        <f>IF(ISNUMBER(L348),SUM(L348:L353),"")</f>
        <v>37635</v>
      </c>
      <c r="M354" s="260">
        <f>IF(ISNUMBER(M348),SUM(M348:M353),"")</f>
        <v>37635</v>
      </c>
      <c r="N354" s="260">
        <f>IF(ISNUMBER(N348),SUM(N348:N353),"")</f>
        <v>37575</v>
      </c>
      <c r="O354" s="260">
        <f>IF(ISNUMBER(O348),SUM(O348:O353),"")</f>
        <v>37801</v>
      </c>
      <c r="P354" s="260">
        <f>IF(ISNUMBER(P348),SUM(P348:P353),"")</f>
        <v>40074</v>
      </c>
      <c r="Q354" s="260">
        <f>IF(ISNUMBER(Q348),SUM(Q348:Q353),"")</f>
        <v>40596</v>
      </c>
      <c r="R354" s="260">
        <f>IF(ISNUMBER(R348),SUM(R348:R353),"")</f>
        <v>40596</v>
      </c>
      <c r="S354" s="260">
        <f>IF(ISNUMBER(S348),SUM(S348:S353),"")</f>
        <v>40361</v>
      </c>
      <c r="T354" s="260">
        <f>IF(ISNUMBER(T348),SUM(T348:T353),"")</f>
        <v>39697</v>
      </c>
      <c r="U354" s="32" t="n"/>
      <c r="V354" s="32" t="n"/>
      <c r="W354" s="261">
        <f>IF(ISNUMBER(W348),SUM(W348:W353),"")</f>
        <v>42276.3326919586</v>
      </c>
      <c r="X354" s="261">
        <f>IF(ISNUMBER(X348),SUM(X348:X353),"")</f>
        <v>48064.6613335354</v>
      </c>
      <c r="Y354" s="261">
        <f>IF(ISNUMBER(Y348),SUM(Y348:Y353),"")</f>
        <v>51234.5893731267</v>
      </c>
      <c r="Z354" s="261">
        <f>IF(ISNUMBER(Z348),SUM(Z348:Z353),"")</f>
        <v>54314.2130049916</v>
      </c>
      <c r="AA354" s="261">
        <f>IF(ISNUMBER(AA348),SUM(AA348:AA353),"")</f>
        <v>57359.2508236698</v>
      </c>
      <c r="AB354" s="261">
        <f>IF(ISNUMBER(AB348),SUM(AB348:AB353),"")</f>
        <v>60233.7216033142</v>
      </c>
      <c r="AC354" s="153" t="n"/>
    </row>
    <row r="355" ht="15" customHeight="1" s="251">
      <c r="B355" s="25" t="inlineStr">
        <is>
          <t xml:space="preserve">  Investment securities (run-off insurance portfolio)</t>
        </is>
      </c>
      <c r="C355" s="34" t="n"/>
      <c r="D355" s="34" t="n"/>
      <c r="E355" s="34" t="n"/>
      <c r="F355" s="34" t="n"/>
      <c r="G355" s="253" t="n">
        <v>38000</v>
      </c>
      <c r="H355" s="253" t="n">
        <v>38000</v>
      </c>
      <c r="I355" s="34" t="n"/>
      <c r="J355" s="253" t="n">
        <v>38129</v>
      </c>
      <c r="K355" s="253" t="n">
        <v>39514</v>
      </c>
      <c r="L355" s="253" t="n">
        <v>37741</v>
      </c>
      <c r="M355" s="253" t="n">
        <v>37741</v>
      </c>
      <c r="N355" s="253" t="n">
        <v>38010</v>
      </c>
      <c r="O355" s="253" t="n">
        <v>37887</v>
      </c>
      <c r="P355" s="253" t="n">
        <v>38158</v>
      </c>
      <c r="Q355" s="253" t="n">
        <v>38788</v>
      </c>
      <c r="R355" s="253" t="n">
        <v>38788</v>
      </c>
      <c r="S355" s="253" t="n">
        <v>38193</v>
      </c>
      <c r="T355" s="253" t="n">
        <v>37910</v>
      </c>
      <c r="U355" s="35" t="n"/>
      <c r="V355" s="35" t="n"/>
      <c r="W355" s="254">
        <f>T355</f>
        <v>37910</v>
      </c>
      <c r="X355" s="254">
        <f>W355</f>
        <v>37910</v>
      </c>
      <c r="Y355" s="254">
        <f>X355</f>
        <v>37910</v>
      </c>
      <c r="Z355" s="254">
        <f>Y355</f>
        <v>37910</v>
      </c>
      <c r="AA355" s="254">
        <f>Z355</f>
        <v>37910</v>
      </c>
      <c r="AB355" s="254">
        <f>AA355</f>
        <v>37910</v>
      </c>
      <c r="AC355" s="19" t="n"/>
    </row>
    <row r="356" ht="15" customHeight="1" s="251">
      <c r="B356" s="25" t="inlineStr">
        <is>
          <t xml:space="preserve">  Property, plant and equipment – net (incl. operating-lease ROU)</t>
        </is>
      </c>
      <c r="C356" s="34" t="n"/>
      <c r="D356" s="34" t="n"/>
      <c r="E356" s="34" t="n"/>
      <c r="F356" s="34" t="n"/>
      <c r="G356" s="253" t="n">
        <v>7246</v>
      </c>
      <c r="H356" s="253" t="n">
        <v>7246</v>
      </c>
      <c r="I356" s="34" t="n"/>
      <c r="J356" s="253" t="n">
        <v>7095</v>
      </c>
      <c r="K356" s="253" t="n">
        <v>7254</v>
      </c>
      <c r="L356" s="253" t="n">
        <v>7277</v>
      </c>
      <c r="M356" s="253" t="n">
        <v>7277</v>
      </c>
      <c r="N356" s="253" t="n">
        <v>7426</v>
      </c>
      <c r="O356" s="253" t="n">
        <v>7523</v>
      </c>
      <c r="P356" s="253" t="n">
        <v>7608</v>
      </c>
      <c r="Q356" s="253" t="n">
        <v>7987</v>
      </c>
      <c r="R356" s="253" t="n">
        <v>7987</v>
      </c>
      <c r="S356" s="253" t="n">
        <v>7973</v>
      </c>
      <c r="T356" s="253" t="n">
        <v>8135</v>
      </c>
      <c r="U356" s="35" t="n"/>
      <c r="V356" s="35" t="n"/>
      <c r="W356" s="254">
        <f>T356-(W309-SUM(S309:T309))-SUM(U133:V133)</f>
        <v>8402.37488</v>
      </c>
      <c r="X356" s="254">
        <f>W356-X309-X133-X310+X408</f>
        <v>10759.6758134062</v>
      </c>
      <c r="Y356" s="254">
        <f>X356-Y309-Y133-Y310+Y408</f>
        <v>11471.8481246809</v>
      </c>
      <c r="Z356" s="254">
        <f>Y356-Z309-Z133-Z310+Z408</f>
        <v>12249.3024774635</v>
      </c>
      <c r="AA356" s="254">
        <f>Z356-AA309-AA133-AA310+AA408</f>
        <v>13004.5721882391</v>
      </c>
      <c r="AB356" s="254">
        <f>AA356-AB309-AB133-AB310+AB408</f>
        <v>13801.3748208609</v>
      </c>
      <c r="AC356" s="19" t="inlineStr">
        <is>
          <t>Roll-forward: prior − capex (negative cash flow) − depreciation − disposals + acquired PP&amp;E (CPP, M&amp;A lever).</t>
        </is>
      </c>
    </row>
    <row r="357" ht="15" customHeight="1" s="251">
      <c r="B357" s="25" t="inlineStr">
        <is>
          <t xml:space="preserve">  Goodwill</t>
        </is>
      </c>
      <c r="C357" s="34" t="n"/>
      <c r="D357" s="34" t="n"/>
      <c r="E357" s="34" t="n"/>
      <c r="F357" s="34" t="n"/>
      <c r="G357" s="253" t="n">
        <v>8948</v>
      </c>
      <c r="H357" s="253" t="n">
        <v>8948</v>
      </c>
      <c r="I357" s="34" t="n"/>
      <c r="J357" s="253" t="n">
        <v>8859</v>
      </c>
      <c r="K357" s="253" t="n">
        <v>8754</v>
      </c>
      <c r="L357" s="253" t="n">
        <v>8538</v>
      </c>
      <c r="M357" s="253" t="n">
        <v>8538</v>
      </c>
      <c r="N357" s="253" t="n">
        <v>8696</v>
      </c>
      <c r="O357" s="253" t="n">
        <v>9006</v>
      </c>
      <c r="P357" s="253" t="n">
        <v>9041</v>
      </c>
      <c r="Q357" s="253" t="n">
        <v>9060</v>
      </c>
      <c r="R357" s="253" t="n">
        <v>9060</v>
      </c>
      <c r="S357" s="253" t="n">
        <v>9003</v>
      </c>
      <c r="T357" s="253" t="n">
        <v>8954</v>
      </c>
      <c r="U357" s="35" t="n"/>
      <c r="V357" s="35" t="n"/>
      <c r="W357" s="254">
        <f>T357</f>
        <v>8954</v>
      </c>
      <c r="X357" s="254">
        <f>W357+X410</f>
        <v>14241.5</v>
      </c>
      <c r="Y357" s="254">
        <f>X357+Y410</f>
        <v>14241.5</v>
      </c>
      <c r="Z357" s="254">
        <f>Y357+Z410</f>
        <v>14491.5</v>
      </c>
      <c r="AA357" s="254">
        <f>Z357+AA410</f>
        <v>14741.5</v>
      </c>
      <c r="AB357" s="254">
        <f>AA357+AB410</f>
        <v>14991.5</v>
      </c>
      <c r="AC357" s="19" t="n"/>
    </row>
    <row r="358" ht="15" customHeight="1" s="251">
      <c r="B358" s="25" t="inlineStr">
        <is>
          <t xml:space="preserve">  Other intangible assets – net</t>
        </is>
      </c>
      <c r="C358" s="34" t="n"/>
      <c r="D358" s="34" t="n"/>
      <c r="E358" s="34" t="n"/>
      <c r="F358" s="34" t="n"/>
      <c r="G358" s="253" t="n">
        <v>4642</v>
      </c>
      <c r="H358" s="253" t="n">
        <v>4642</v>
      </c>
      <c r="I358" s="34" t="n"/>
      <c r="J358" s="253" t="n">
        <v>4394</v>
      </c>
      <c r="K358" s="253" t="n">
        <v>4371</v>
      </c>
      <c r="L358" s="253" t="n">
        <v>4257</v>
      </c>
      <c r="M358" s="253" t="n">
        <v>4257</v>
      </c>
      <c r="N358" s="253" t="n">
        <v>4277</v>
      </c>
      <c r="O358" s="253" t="n">
        <v>4336</v>
      </c>
      <c r="P358" s="253" t="n">
        <v>4283</v>
      </c>
      <c r="Q358" s="253" t="n">
        <v>4225</v>
      </c>
      <c r="R358" s="253" t="n">
        <v>4225</v>
      </c>
      <c r="S358" s="253" t="n">
        <v>4151</v>
      </c>
      <c r="T358" s="253" t="n">
        <v>4085</v>
      </c>
      <c r="U358" s="35" t="n"/>
      <c r="V358" s="35" t="n"/>
      <c r="W358" s="254">
        <f>T358-SUM(U135:V135)</f>
        <v>3907</v>
      </c>
      <c r="X358" s="254">
        <f>W358-X135+X409</f>
        <v>7594.95833333333</v>
      </c>
      <c r="Y358" s="254">
        <f>X358-Y135+Y409</f>
        <v>6963.79166666667</v>
      </c>
      <c r="Z358" s="254">
        <f>Y358-Z135+Z409</f>
        <v>6482.79166666667</v>
      </c>
      <c r="AA358" s="254">
        <f>Z358-AA135+AA409</f>
        <v>5995.125</v>
      </c>
      <c r="AB358" s="254">
        <f>AA358-AB135+AB409</f>
        <v>5506.79166666667</v>
      </c>
      <c r="AC358" s="19" t="n"/>
    </row>
    <row r="359" ht="15" customHeight="1" s="251">
      <c r="B359" s="25" t="inlineStr">
        <is>
          <t xml:space="preserve">  Contract and other deferred assets</t>
        </is>
      </c>
      <c r="C359" s="34" t="n"/>
      <c r="D359" s="34" t="n"/>
      <c r="E359" s="34" t="n"/>
      <c r="F359" s="34" t="n"/>
      <c r="G359" s="253" t="n">
        <v>4785</v>
      </c>
      <c r="H359" s="253" t="n">
        <v>4785</v>
      </c>
      <c r="I359" s="34" t="n"/>
      <c r="J359" s="253" t="n">
        <v>4801</v>
      </c>
      <c r="K359" s="253" t="n">
        <v>4823</v>
      </c>
      <c r="L359" s="253" t="n">
        <v>4831</v>
      </c>
      <c r="M359" s="253" t="n">
        <v>4831</v>
      </c>
      <c r="N359" s="253" t="n">
        <v>4835</v>
      </c>
      <c r="O359" s="253" t="n">
        <v>4803</v>
      </c>
      <c r="P359" s="253" t="n">
        <v>4720</v>
      </c>
      <c r="Q359" s="253" t="n">
        <v>4920</v>
      </c>
      <c r="R359" s="253" t="n">
        <v>4920</v>
      </c>
      <c r="S359" s="253" t="n">
        <v>4966</v>
      </c>
      <c r="T359" s="253" t="n">
        <v>4976</v>
      </c>
      <c r="U359" s="35" t="n"/>
      <c r="V359" s="35" t="n"/>
      <c r="W359" s="254">
        <f>T359</f>
        <v>4976</v>
      </c>
      <c r="X359" s="254">
        <f>W359</f>
        <v>4976</v>
      </c>
      <c r="Y359" s="254">
        <f>X359</f>
        <v>4976</v>
      </c>
      <c r="Z359" s="254">
        <f>Y359</f>
        <v>4976</v>
      </c>
      <c r="AA359" s="254">
        <f>Z359</f>
        <v>4976</v>
      </c>
      <c r="AB359" s="254">
        <f>AA359</f>
        <v>4976</v>
      </c>
      <c r="AC359" s="19" t="n"/>
    </row>
    <row r="360" ht="15" customHeight="1" s="251">
      <c r="B360" s="25" t="inlineStr">
        <is>
          <t xml:space="preserve">  All other assets (incl. restricted cash, equity-method investments, prepaid pension; derived)</t>
        </is>
      </c>
      <c r="C360" s="34" t="n"/>
      <c r="D360" s="34" t="n"/>
      <c r="E360" s="34" t="n"/>
      <c r="F360" s="34" t="n"/>
      <c r="G360" s="253" t="n">
        <v>11694</v>
      </c>
      <c r="H360" s="253" t="n">
        <v>11694</v>
      </c>
      <c r="I360" s="34" t="n"/>
      <c r="J360" s="253" t="n">
        <v>13405</v>
      </c>
      <c r="K360" s="253" t="n">
        <v>13836</v>
      </c>
      <c r="L360" s="253" t="n">
        <v>13909</v>
      </c>
      <c r="M360" s="253" t="n">
        <v>13909</v>
      </c>
      <c r="N360" s="253" t="n">
        <v>14453</v>
      </c>
      <c r="O360" s="253" t="n">
        <v>15003</v>
      </c>
      <c r="P360" s="253" t="n">
        <v>15557</v>
      </c>
      <c r="Q360" s="253" t="n">
        <v>15279</v>
      </c>
      <c r="R360" s="253" t="n">
        <v>15279</v>
      </c>
      <c r="S360" s="253" t="n">
        <v>15159</v>
      </c>
      <c r="T360" s="253" t="n">
        <v>15469</v>
      </c>
      <c r="U360" s="35" t="n"/>
      <c r="V360" s="35" t="n"/>
      <c r="W360" s="254">
        <f>T360</f>
        <v>15469</v>
      </c>
      <c r="X360" s="254">
        <f>W360</f>
        <v>15469</v>
      </c>
      <c r="Y360" s="254">
        <f>X360</f>
        <v>15469</v>
      </c>
      <c r="Z360" s="254">
        <f>Y360</f>
        <v>15469</v>
      </c>
      <c r="AA360" s="254">
        <f>Z360</f>
        <v>15469</v>
      </c>
      <c r="AB360" s="254">
        <f>AA360</f>
        <v>15469</v>
      </c>
      <c r="AC360" s="19" t="n"/>
    </row>
    <row r="361" ht="15" customHeight="1" s="251">
      <c r="B361" s="25" t="inlineStr">
        <is>
          <t xml:space="preserve">  Deferred income taxes</t>
        </is>
      </c>
      <c r="C361" s="34" t="n"/>
      <c r="D361" s="34" t="n"/>
      <c r="E361" s="34" t="n"/>
      <c r="F361" s="34" t="n"/>
      <c r="G361" s="253" t="n">
        <v>7502</v>
      </c>
      <c r="H361" s="253" t="n">
        <v>7502</v>
      </c>
      <c r="I361" s="34" t="n"/>
      <c r="J361" s="253" t="n">
        <v>7338</v>
      </c>
      <c r="K361" s="253" t="n">
        <v>7491</v>
      </c>
      <c r="L361" s="253" t="n">
        <v>7111</v>
      </c>
      <c r="M361" s="253" t="n">
        <v>7111</v>
      </c>
      <c r="N361" s="253" t="n">
        <v>6956</v>
      </c>
      <c r="O361" s="253" t="n">
        <v>6890</v>
      </c>
      <c r="P361" s="253" t="n">
        <v>6845</v>
      </c>
      <c r="Q361" s="253" t="n">
        <v>7459</v>
      </c>
      <c r="R361" s="253" t="n">
        <v>7459</v>
      </c>
      <c r="S361" s="253" t="n">
        <v>6973</v>
      </c>
      <c r="T361" s="253" t="n">
        <v>6929</v>
      </c>
      <c r="U361" s="35" t="n"/>
      <c r="V361" s="35" t="n"/>
      <c r="W361" s="254">
        <f>T361-$AM$29</f>
        <v>6529</v>
      </c>
      <c r="X361" s="254">
        <f>W361-X305</f>
        <v>6129</v>
      </c>
      <c r="Y361" s="254">
        <f>X361-Y305</f>
        <v>5729</v>
      </c>
      <c r="Z361" s="254">
        <f>Y361-Z305</f>
        <v>5329</v>
      </c>
      <c r="AA361" s="254">
        <f>Z361-AA305</f>
        <v>4929</v>
      </c>
      <c r="AB361" s="254">
        <f>AA361-AB305</f>
        <v>4529</v>
      </c>
      <c r="AC361" s="19" t="n"/>
    </row>
    <row r="362" ht="15" customHeight="1" s="251">
      <c r="B362" s="25" t="inlineStr">
        <is>
          <t xml:space="preserve">  Assets of discontinued operations</t>
        </is>
      </c>
      <c r="C362" s="34" t="n"/>
      <c r="D362" s="34" t="n"/>
      <c r="E362" s="34" t="n"/>
      <c r="F362" s="34" t="n"/>
      <c r="G362" s="253" t="n">
        <v>47927</v>
      </c>
      <c r="H362" s="253" t="n">
        <v>47927</v>
      </c>
      <c r="I362" s="34" t="n"/>
      <c r="J362" s="253" t="n">
        <v>1817</v>
      </c>
      <c r="K362" s="253" t="n">
        <v>2006</v>
      </c>
      <c r="L362" s="253" t="n">
        <v>1841</v>
      </c>
      <c r="M362" s="253" t="n">
        <v>1841</v>
      </c>
      <c r="N362" s="253" t="n">
        <v>1895</v>
      </c>
      <c r="O362" s="253" t="n">
        <v>2007</v>
      </c>
      <c r="P362" s="253" t="n">
        <v>1957</v>
      </c>
      <c r="Q362" s="253" t="n">
        <v>1855</v>
      </c>
      <c r="R362" s="253" t="n">
        <v>1855</v>
      </c>
      <c r="S362" s="253" t="n">
        <v>1666</v>
      </c>
      <c r="T362" s="253" t="n">
        <v>1517</v>
      </c>
      <c r="U362" s="35" t="n"/>
      <c r="V362" s="35" t="n"/>
      <c r="W362" s="254">
        <f>T362</f>
        <v>1517</v>
      </c>
      <c r="X362" s="254">
        <f>W362</f>
        <v>1517</v>
      </c>
      <c r="Y362" s="254">
        <f>X362</f>
        <v>1517</v>
      </c>
      <c r="Z362" s="254">
        <f>Y362</f>
        <v>1517</v>
      </c>
      <c r="AA362" s="254">
        <f>Z362</f>
        <v>1517</v>
      </c>
      <c r="AB362" s="254">
        <f>AA362</f>
        <v>1517</v>
      </c>
      <c r="AC362" s="19" t="n"/>
    </row>
    <row r="363" ht="15" customHeight="1" s="251">
      <c r="B363" s="55" t="inlineStr">
        <is>
          <t>TOTAL ASSETS</t>
        </is>
      </c>
      <c r="C363" s="273">
        <f>IF(ISNUMBER(C348),C354+SUM(C355:C362),"")</f>
      </c>
      <c r="D363" s="273">
        <f>IF(ISNUMBER(D348),D354+SUM(D355:D362),"")</f>
      </c>
      <c r="E363" s="273">
        <f>IF(ISNUMBER(E348),E354+SUM(E355:E362),"")</f>
      </c>
      <c r="F363" s="273">
        <f>IF(ISNUMBER(F348),F354+SUM(F355:F362),"")</f>
      </c>
      <c r="G363" s="273">
        <f>IF(ISNUMBER(G348),G354+SUM(G355:G362),"")</f>
        <v>173300</v>
      </c>
      <c r="H363" s="273">
        <f>IF(ISNUMBER(H348),H354+SUM(H355:H362),"")</f>
        <v>173300</v>
      </c>
      <c r="I363" s="273">
        <f>IF(ISNUMBER(I348),I354+SUM(I355:I362),"")</f>
      </c>
      <c r="J363" s="273">
        <f>IF(ISNUMBER(J348),J354+SUM(J355:J362),"")</f>
        <v>123190</v>
      </c>
      <c r="K363" s="273">
        <f>IF(ISNUMBER(K348),K354+SUM(K355:K362),"")</f>
        <v>126698</v>
      </c>
      <c r="L363" s="273">
        <f>IF(ISNUMBER(L348),L354+SUM(L355:L362),"")</f>
        <v>123140</v>
      </c>
      <c r="M363" s="273">
        <f>IF(ISNUMBER(M348),M354+SUM(M355:M362),"")</f>
        <v>123140</v>
      </c>
      <c r="N363" s="273">
        <f>IF(ISNUMBER(N348),N354+SUM(N355:N362),"")</f>
        <v>124123</v>
      </c>
      <c r="O363" s="273">
        <f>IF(ISNUMBER(O348),O354+SUM(O355:O362),"")</f>
        <v>125256</v>
      </c>
      <c r="P363" s="273">
        <f>IF(ISNUMBER(P348),P354+SUM(P355:P362),"")</f>
        <v>128243</v>
      </c>
      <c r="Q363" s="273">
        <f>IF(ISNUMBER(Q348),Q354+SUM(Q355:Q362),"")</f>
        <v>130169</v>
      </c>
      <c r="R363" s="273">
        <f>IF(ISNUMBER(R348),R354+SUM(R355:R362),"")</f>
        <v>130169</v>
      </c>
      <c r="S363" s="273">
        <f>IF(ISNUMBER(S348),S354+SUM(S355:S362),"")</f>
        <v>128445</v>
      </c>
      <c r="T363" s="273">
        <f>IF(ISNUMBER(T348),T354+SUM(T355:T362),"")</f>
        <v>127672</v>
      </c>
      <c r="U363" s="56" t="n"/>
      <c r="V363" s="56" t="n"/>
      <c r="W363" s="273">
        <f>IF(ISNUMBER(W348),W354+SUM(W355:W362),"")</f>
        <v>129940.707571959</v>
      </c>
      <c r="X363" s="273">
        <f>IF(ISNUMBER(X348),X354+SUM(X355:X362),"")</f>
        <v>146661.795480275</v>
      </c>
      <c r="Y363" s="273">
        <f>IF(ISNUMBER(Y348),Y354+SUM(Y355:Y362),"")</f>
        <v>149512.729164474</v>
      </c>
      <c r="Z363" s="273">
        <f>IF(ISNUMBER(Z348),Z354+SUM(Z355:Z362),"")</f>
        <v>152738.807149122</v>
      </c>
      <c r="AA363" s="273">
        <f>IF(ISNUMBER(AA348),AA354+SUM(AA355:AA362),"")</f>
        <v>155901.448011909</v>
      </c>
      <c r="AB363" s="273">
        <f>IF(ISNUMBER(AB348),AB354+SUM(AB355:AB362),"")</f>
        <v>158934.388090842</v>
      </c>
      <c r="AC363" s="153" t="n"/>
      <c r="AE363" s="20">
        <f>IFERROR((AB363/W363)^(1/5)-1,"n/m")</f>
        <v>0.0411049931762433</v>
      </c>
      <c r="AF363" s="20" t="str">
        <f>IFERROR((R363/C363)^(1/3)-1,"n/m")</f>
        <v>n/m</v>
      </c>
      <c r="AG363" s="20">
        <f>IFERROR((R363/H363)^(1/2)-1,"n/m")</f>
        <v>-0.133328524729632</v>
      </c>
      <c r="AH363" s="20">
        <f>IFERROR(W363/R363-1,"n/m")</f>
        <v>-0.00175381563998622</v>
      </c>
    </row>
    <row r="364" ht="15" customHeight="1" s="251">
      <c r="B364" s="25" t="inlineStr">
        <is>
          <t>LIABILITIES AND EQUITY</t>
        </is>
      </c>
      <c r="AC364" s="153" t="n"/>
    </row>
    <row r="365" ht="15" customHeight="1" s="251">
      <c r="B365" s="25" t="inlineStr">
        <is>
          <t xml:space="preserve">  Short-term borrowings (incl. current portion of long-term debt)</t>
        </is>
      </c>
      <c r="C365" s="34" t="n"/>
      <c r="D365" s="34" t="n"/>
      <c r="E365" s="34" t="n"/>
      <c r="F365" s="34" t="n"/>
      <c r="G365" s="253" t="n">
        <v>1108</v>
      </c>
      <c r="H365" s="253" t="n">
        <v>1108</v>
      </c>
      <c r="I365" s="34" t="n"/>
      <c r="J365" s="253" t="n">
        <v>1700</v>
      </c>
      <c r="K365" s="253" t="n">
        <v>1681</v>
      </c>
      <c r="L365" s="253" t="n">
        <v>2039</v>
      </c>
      <c r="M365" s="253" t="n">
        <v>2039</v>
      </c>
      <c r="N365" s="253" t="n">
        <v>2084</v>
      </c>
      <c r="O365" s="253" t="n">
        <v>1889</v>
      </c>
      <c r="P365" s="253" t="n">
        <v>2067</v>
      </c>
      <c r="Q365" s="253" t="n">
        <v>1686</v>
      </c>
      <c r="R365" s="253" t="n">
        <v>1686</v>
      </c>
      <c r="S365" s="253" t="n">
        <v>2103</v>
      </c>
      <c r="T365" s="253" t="n">
        <v>2000</v>
      </c>
      <c r="U365" s="35" t="n"/>
      <c r="V365" s="35" t="n"/>
      <c r="W365" s="254">
        <f>W424+MIN(W418,W421)</f>
        <v>1729.1448661161</v>
      </c>
      <c r="X365" s="254">
        <f>X424+MIN(X418,X421)</f>
        <v>480</v>
      </c>
      <c r="Y365" s="254">
        <f>Y424+MIN(Y418,Y421)</f>
        <v>2200.69954211244</v>
      </c>
      <c r="Z365" s="254">
        <f>Z424+MIN(Z418,Z421)</f>
        <v>3953.08267649415</v>
      </c>
      <c r="AA365" s="254">
        <f>AA424+MIN(AA418,AA421)</f>
        <v>5425.49856231191</v>
      </c>
      <c r="AB365" s="254">
        <f>AB424+MIN(AB418,AB421)</f>
        <v>6886.9147947557</v>
      </c>
      <c r="AC365" s="19" t="inlineStr">
        <is>
          <t>Revolver / commercial paper plug + notes maturing in the following year.</t>
        </is>
      </c>
    </row>
    <row r="366" ht="15" customHeight="1" s="251">
      <c r="B366" s="25" t="inlineStr">
        <is>
          <t xml:space="preserve">  Accounts payable (incl. supply-chain finance, revenue-sharing partners)</t>
        </is>
      </c>
      <c r="C366" s="34" t="n"/>
      <c r="D366" s="34" t="n"/>
      <c r="E366" s="34" t="n"/>
      <c r="F366" s="34" t="n"/>
      <c r="G366" s="253" t="n">
        <v>7516</v>
      </c>
      <c r="H366" s="253" t="n">
        <v>7516</v>
      </c>
      <c r="I366" s="34" t="n"/>
      <c r="J366" s="253" t="n">
        <v>7707</v>
      </c>
      <c r="K366" s="253" t="n">
        <v>7829</v>
      </c>
      <c r="L366" s="253" t="n">
        <v>7909</v>
      </c>
      <c r="M366" s="253" t="n">
        <v>7909</v>
      </c>
      <c r="N366" s="253" t="n">
        <v>8625</v>
      </c>
      <c r="O366" s="253" t="n">
        <v>9495</v>
      </c>
      <c r="P366" s="253" t="n">
        <v>9485</v>
      </c>
      <c r="Q366" s="253" t="n">
        <v>10078</v>
      </c>
      <c r="R366" s="253" t="n">
        <v>10078</v>
      </c>
      <c r="S366" s="253" t="n">
        <v>10683</v>
      </c>
      <c r="T366" s="253" t="n">
        <v>10822</v>
      </c>
      <c r="U366" s="35" t="n"/>
      <c r="V366" s="35" t="n"/>
      <c r="W366" s="254">
        <f>W393*W396/365</f>
        <v>11935.0295323167</v>
      </c>
      <c r="X366" s="254">
        <f>X393*X396/365</f>
        <v>13394.7643839444</v>
      </c>
      <c r="Y366" s="254">
        <f>Y393*Y396/365</f>
        <v>14986.7829936582</v>
      </c>
      <c r="Z366" s="254">
        <f>Z393*Z396/365</f>
        <v>16008.3588069729</v>
      </c>
      <c r="AA366" s="254">
        <f>AA393*AA396/365</f>
        <v>17040.8280029549</v>
      </c>
      <c r="AB366" s="254">
        <f>AB393*AB396/365</f>
        <v>18034.7226206751</v>
      </c>
      <c r="AC366" s="19" t="n"/>
    </row>
    <row r="367" ht="15" customHeight="1" s="251">
      <c r="B367" s="25" t="inlineStr">
        <is>
          <t xml:space="preserve">  Progress collections + contract liabilities and deferred income (customer advances)</t>
        </is>
      </c>
      <c r="C367" s="211">
        <f>IF(ISNUMBER(C383),C383+C384,"")</f>
      </c>
      <c r="D367" s="211">
        <f>IF(ISNUMBER(D383),D383+D384,"")</f>
      </c>
      <c r="E367" s="211">
        <f>IF(ISNUMBER(E383),E383+E384,"")</f>
      </c>
      <c r="F367" s="211">
        <f>IF(ISNUMBER(F383),F383+F384,"")</f>
      </c>
      <c r="G367" s="211">
        <f>IF(ISNUMBER(G383),G383+G384,"")</f>
        <v>14499</v>
      </c>
      <c r="H367" s="211">
        <f>IF(ISNUMBER(H383),H383+H384,"")</f>
        <v>14499</v>
      </c>
      <c r="I367" s="211">
        <f>IF(ISNUMBER(I383),I383+I384,"")</f>
      </c>
      <c r="J367" s="211">
        <f>IF(ISNUMBER(J383),J383+J384,"")</f>
        <v>15136</v>
      </c>
      <c r="K367" s="211">
        <f>IF(ISNUMBER(K383),K383+K384,"")</f>
        <v>15524</v>
      </c>
      <c r="L367" s="211">
        <f>IF(ISNUMBER(L383),L383+L384,"")</f>
        <v>16048</v>
      </c>
      <c r="M367" s="211">
        <f>IF(ISNUMBER(M383),M383+M384,"")</f>
        <v>16048</v>
      </c>
      <c r="N367" s="211">
        <f>IF(ISNUMBER(N383),N383+N384,"")</f>
        <v>16466</v>
      </c>
      <c r="O367" s="211">
        <f>IF(ISNUMBER(O383),O383+O384,"")</f>
        <v>16764</v>
      </c>
      <c r="P367" s="211">
        <f>IF(ISNUMBER(P383),P383+P384,"")</f>
        <v>16834</v>
      </c>
      <c r="Q367" s="211">
        <f>IF(ISNUMBER(Q383),Q383+Q384,"")</f>
        <v>17995</v>
      </c>
      <c r="R367" s="211">
        <f>IF(ISNUMBER(R383),R383+R384,"")</f>
        <v>17995</v>
      </c>
      <c r="S367" s="211">
        <f>IF(ISNUMBER(S383),S383+S384,"")</f>
        <v>17925</v>
      </c>
      <c r="T367" s="211">
        <f>IF(ISNUMBER(T383),T383+T384,"")</f>
        <v>18096</v>
      </c>
      <c r="U367" s="35" t="n"/>
      <c r="V367" s="35" t="n"/>
      <c r="W367" s="254">
        <f>T367+W290</f>
        <v>21056.9368396419</v>
      </c>
      <c r="X367" s="254">
        <f>X392*X398</f>
        <v>23757.8176745284</v>
      </c>
      <c r="Y367" s="254">
        <f>Y392*Y398</f>
        <v>26601.6610532603</v>
      </c>
      <c r="Z367" s="254">
        <f>Z392*Z398</f>
        <v>28780.5898193412</v>
      </c>
      <c r="AA367" s="254">
        <f>AA392*AA398</f>
        <v>30904.3170598099</v>
      </c>
      <c r="AB367" s="254">
        <f>AB392*AB398</f>
        <v>32882.6226459647</v>
      </c>
      <c r="AC367" s="19" t="inlineStr">
        <is>
          <t>FY26E: 30-Jun-2026 level + the FCF-guidance plug (customer advances are the swing working-capital item: LTSA billings, progress collections). 2027E+: FY26E ratio to adjusted revenue.</t>
        </is>
      </c>
    </row>
    <row r="368" ht="15" customHeight="1" s="251">
      <c r="B368" s="25" t="inlineStr">
        <is>
          <t xml:space="preserve">  Sales discounts and allowances</t>
        </is>
      </c>
      <c r="C368" s="34" t="n"/>
      <c r="D368" s="34" t="n"/>
      <c r="E368" s="34" t="n"/>
      <c r="F368" s="34" t="n"/>
      <c r="G368" s="253" t="n">
        <v>3741</v>
      </c>
      <c r="H368" s="253" t="n">
        <v>3741</v>
      </c>
      <c r="I368" s="34" t="n"/>
      <c r="J368" s="253" t="n">
        <v>3639</v>
      </c>
      <c r="K368" s="253" t="n">
        <v>4073</v>
      </c>
      <c r="L368" s="253" t="n">
        <v>3475</v>
      </c>
      <c r="M368" s="253" t="n">
        <v>3475</v>
      </c>
      <c r="N368" s="253" t="n">
        <v>3555</v>
      </c>
      <c r="O368" s="253" t="n">
        <v>3923</v>
      </c>
      <c r="P368" s="253" t="n">
        <v>4029</v>
      </c>
      <c r="Q368" s="253" t="n">
        <v>4037</v>
      </c>
      <c r="R368" s="253" t="n">
        <v>4037</v>
      </c>
      <c r="S368" s="253" t="n">
        <v>5037</v>
      </c>
      <c r="T368" s="253" t="n">
        <v>4993</v>
      </c>
      <c r="U368" s="35" t="n"/>
      <c r="V368" s="35" t="n"/>
      <c r="W368" s="254">
        <f>W392*W399</f>
        <v>4744.2962</v>
      </c>
      <c r="X368" s="254">
        <f>X392*X399</f>
        <v>5352.82624305363</v>
      </c>
      <c r="Y368" s="254">
        <f>Y392*Y399</f>
        <v>5993.56689008416</v>
      </c>
      <c r="Z368" s="254">
        <f>Z392*Z399</f>
        <v>6484.49695952935</v>
      </c>
      <c r="AA368" s="254">
        <f>AA392*AA399</f>
        <v>6962.9896839708</v>
      </c>
      <c r="AB368" s="254">
        <f>AB392*AB399</f>
        <v>7408.71774718861</v>
      </c>
      <c r="AC368" s="19" t="n"/>
    </row>
    <row r="369" ht="15" customHeight="1" s="251">
      <c r="B369" s="25" t="inlineStr">
        <is>
          <t xml:space="preserve">  All other current liabilities &amp; held for sale (derived)</t>
        </is>
      </c>
      <c r="C369" s="34" t="n"/>
      <c r="D369" s="34" t="n"/>
      <c r="E369" s="34" t="n"/>
      <c r="F369" s="34" t="n"/>
      <c r="G369" s="253" t="n">
        <v>5239</v>
      </c>
      <c r="H369" s="253" t="n">
        <v>5239</v>
      </c>
      <c r="I369" s="34" t="n"/>
      <c r="J369" s="253" t="n">
        <v>4568</v>
      </c>
      <c r="K369" s="253" t="n">
        <v>4986</v>
      </c>
      <c r="L369" s="253" t="n">
        <v>4921</v>
      </c>
      <c r="M369" s="253" t="n">
        <v>4921</v>
      </c>
      <c r="N369" s="253" t="n">
        <v>4211</v>
      </c>
      <c r="O369" s="253" t="n">
        <v>4395</v>
      </c>
      <c r="P369" s="253" t="n">
        <v>4788</v>
      </c>
      <c r="Q369" s="253" t="n">
        <v>5184</v>
      </c>
      <c r="R369" s="253" t="n">
        <v>5184</v>
      </c>
      <c r="S369" s="253" t="n">
        <v>4279</v>
      </c>
      <c r="T369" s="253" t="n">
        <v>4519</v>
      </c>
      <c r="U369" s="35" t="n"/>
      <c r="V369" s="35" t="n"/>
      <c r="W369" s="254">
        <f>T369</f>
        <v>4519</v>
      </c>
      <c r="X369" s="254">
        <f>X392*X400</f>
        <v>5098.63228867526</v>
      </c>
      <c r="Y369" s="254">
        <f>Y392*Y400</f>
        <v>5708.94557053379</v>
      </c>
      <c r="Z369" s="254">
        <f>Z392*Z400</f>
        <v>6176.56244989786</v>
      </c>
      <c r="AA369" s="254">
        <f>AA392*AA400</f>
        <v>6632.33260643887</v>
      </c>
      <c r="AB369" s="254">
        <f>AB392*AB400</f>
        <v>7056.89402351087</v>
      </c>
      <c r="AC369" s="19" t="n"/>
    </row>
    <row r="370" ht="15" customHeight="1" s="251">
      <c r="B370" s="16" t="inlineStr">
        <is>
          <t>Current liabilities</t>
        </is>
      </c>
      <c r="C370" s="260">
        <f>IF(ISNUMBER(C365),C365+SUM(C366:C369),"")</f>
      </c>
      <c r="D370" s="260">
        <f>IF(ISNUMBER(D365),D365+SUM(D366:D369),"")</f>
      </c>
      <c r="E370" s="260">
        <f>IF(ISNUMBER(E365),E365+SUM(E366:E369),"")</f>
      </c>
      <c r="F370" s="260">
        <f>IF(ISNUMBER(F365),F365+SUM(F366:F369),"")</f>
      </c>
      <c r="G370" s="260">
        <f>IF(ISNUMBER(G365),G365+SUM(G366:G369),"")</f>
        <v>32103</v>
      </c>
      <c r="H370" s="260">
        <f>IF(ISNUMBER(H365),H365+SUM(H366:H369),"")</f>
        <v>32103</v>
      </c>
      <c r="I370" s="260">
        <f>IF(ISNUMBER(I365),I365+SUM(I366:I369),"")</f>
      </c>
      <c r="J370" s="260">
        <f>IF(ISNUMBER(J365),J365+SUM(J366:J369),"")</f>
        <v>32750</v>
      </c>
      <c r="K370" s="260">
        <f>IF(ISNUMBER(K365),K365+SUM(K366:K369),"")</f>
        <v>34093</v>
      </c>
      <c r="L370" s="260">
        <f>IF(ISNUMBER(L365),L365+SUM(L366:L369),"")</f>
        <v>34392</v>
      </c>
      <c r="M370" s="260">
        <f>IF(ISNUMBER(M365),M365+SUM(M366:M369),"")</f>
        <v>34392</v>
      </c>
      <c r="N370" s="260">
        <f>IF(ISNUMBER(N365),N365+SUM(N366:N369),"")</f>
        <v>34941</v>
      </c>
      <c r="O370" s="260">
        <f>IF(ISNUMBER(O365),O365+SUM(O366:O369),"")</f>
        <v>36466</v>
      </c>
      <c r="P370" s="260">
        <f>IF(ISNUMBER(P365),P365+SUM(P366:P369),"")</f>
        <v>37203</v>
      </c>
      <c r="Q370" s="260">
        <f>IF(ISNUMBER(Q365),Q365+SUM(Q366:Q369),"")</f>
        <v>38980</v>
      </c>
      <c r="R370" s="260">
        <f>IF(ISNUMBER(R365),R365+SUM(R366:R369),"")</f>
        <v>38980</v>
      </c>
      <c r="S370" s="260">
        <f>IF(ISNUMBER(S365),S365+SUM(S366:S369),"")</f>
        <v>40027</v>
      </c>
      <c r="T370" s="260">
        <f>IF(ISNUMBER(T365),T365+SUM(T366:T369),"")</f>
        <v>40430</v>
      </c>
      <c r="U370" s="32" t="n"/>
      <c r="V370" s="32" t="n"/>
      <c r="W370" s="261">
        <f>IF(ISNUMBER(W365),W365+SUM(W366:W369),"")</f>
        <v>43984.4074380747</v>
      </c>
      <c r="X370" s="261">
        <f>IF(ISNUMBER(X365),X365+SUM(X366:X369),"")</f>
        <v>48084.0405902017</v>
      </c>
      <c r="Y370" s="261">
        <f>IF(ISNUMBER(Y365),Y365+SUM(Y366:Y369),"")</f>
        <v>55491.6560496489</v>
      </c>
      <c r="Z370" s="261">
        <f>IF(ISNUMBER(Z365),Z365+SUM(Z366:Z369),"")</f>
        <v>61403.0907122355</v>
      </c>
      <c r="AA370" s="261">
        <f>IF(ISNUMBER(AA365),AA365+SUM(AA366:AA369),"")</f>
        <v>66965.9659154863</v>
      </c>
      <c r="AB370" s="261">
        <f>IF(ISNUMBER(AB365),AB365+SUM(AB366:AB369),"")</f>
        <v>72269.871832095</v>
      </c>
      <c r="AC370" s="153" t="n"/>
    </row>
    <row r="371" ht="15" customHeight="1" s="251">
      <c r="B371" s="25" t="inlineStr">
        <is>
          <t xml:space="preserve">  Long-term borrowings</t>
        </is>
      </c>
      <c r="C371" s="34" t="n"/>
      <c r="D371" s="34" t="n"/>
      <c r="E371" s="34" t="n"/>
      <c r="F371" s="34" t="n"/>
      <c r="G371" s="253" t="n">
        <v>19417</v>
      </c>
      <c r="H371" s="253" t="n">
        <v>19417</v>
      </c>
      <c r="I371" s="34" t="n"/>
      <c r="J371" s="253" t="n">
        <v>17973</v>
      </c>
      <c r="K371" s="253" t="n">
        <v>18240</v>
      </c>
      <c r="L371" s="253" t="n">
        <v>17234</v>
      </c>
      <c r="M371" s="253" t="n">
        <v>17234</v>
      </c>
      <c r="N371" s="253" t="n">
        <v>17487</v>
      </c>
      <c r="O371" s="253" t="n">
        <v>16998</v>
      </c>
      <c r="P371" s="253" t="n">
        <v>18771</v>
      </c>
      <c r="Q371" s="253" t="n">
        <v>18808</v>
      </c>
      <c r="R371" s="253" t="n">
        <v>18808</v>
      </c>
      <c r="S371" s="253" t="n">
        <v>18174</v>
      </c>
      <c r="T371" s="253" t="n">
        <v>17157</v>
      </c>
      <c r="U371" s="35" t="n"/>
      <c r="V371" s="35" t="n"/>
      <c r="W371" s="254">
        <f>W417-W365</f>
        <v>16829</v>
      </c>
      <c r="X371" s="254">
        <f>X417-X365</f>
        <v>22792</v>
      </c>
      <c r="Y371" s="254">
        <f>Y417-Y365</f>
        <v>21633</v>
      </c>
      <c r="Z371" s="254">
        <f>Z417-Z365</f>
        <v>21572</v>
      </c>
      <c r="AA371" s="254">
        <f>AA417-AA365</f>
        <v>21772</v>
      </c>
      <c r="AB371" s="254">
        <f>AB417-AB365</f>
        <v>21772</v>
      </c>
      <c r="AC371" s="19" t="n"/>
    </row>
    <row r="372" ht="15" customHeight="1" s="251">
      <c r="B372" s="25" t="inlineStr">
        <is>
          <t xml:space="preserve">  Insurance liabilities and annuity benefits</t>
        </is>
      </c>
      <c r="C372" s="34" t="n"/>
      <c r="D372" s="34" t="n"/>
      <c r="E372" s="34" t="n"/>
      <c r="F372" s="34" t="n"/>
      <c r="G372" s="253" t="n">
        <v>39576</v>
      </c>
      <c r="H372" s="253" t="n">
        <v>39576</v>
      </c>
      <c r="I372" s="34" t="n"/>
      <c r="J372" s="253" t="n">
        <v>37215</v>
      </c>
      <c r="K372" s="253" t="n">
        <v>39147</v>
      </c>
      <c r="L372" s="253" t="n">
        <v>36209</v>
      </c>
      <c r="M372" s="253" t="n">
        <v>36209</v>
      </c>
      <c r="N372" s="253" t="n">
        <v>36424</v>
      </c>
      <c r="O372" s="253" t="n">
        <v>36745</v>
      </c>
      <c r="P372" s="253" t="n">
        <v>37153</v>
      </c>
      <c r="Q372" s="253" t="n">
        <v>36894</v>
      </c>
      <c r="R372" s="253" t="n">
        <v>36894</v>
      </c>
      <c r="S372" s="253" t="n">
        <v>35699</v>
      </c>
      <c r="T372" s="253" t="n">
        <v>36195</v>
      </c>
      <c r="U372" s="35" t="n"/>
      <c r="V372" s="35" t="n"/>
      <c r="W372" s="254">
        <f>T372</f>
        <v>36195</v>
      </c>
      <c r="X372" s="254">
        <f>W372</f>
        <v>36195</v>
      </c>
      <c r="Y372" s="254">
        <f>X372</f>
        <v>36195</v>
      </c>
      <c r="Z372" s="254">
        <f>Y372</f>
        <v>36195</v>
      </c>
      <c r="AA372" s="254">
        <f>Z372</f>
        <v>36195</v>
      </c>
      <c r="AB372" s="254">
        <f>AA372</f>
        <v>36195</v>
      </c>
      <c r="AC372" s="19" t="n"/>
    </row>
    <row r="373" ht="15" customHeight="1" s="251">
      <c r="B373" s="25" t="inlineStr">
        <is>
          <t xml:space="preserve">  Non-current compensation and benefits (pension / OPEB)</t>
        </is>
      </c>
      <c r="C373" s="34" t="n"/>
      <c r="D373" s="34" t="n"/>
      <c r="E373" s="34" t="n"/>
      <c r="F373" s="34" t="n"/>
      <c r="G373" s="253" t="n">
        <v>7656</v>
      </c>
      <c r="H373" s="253" t="n">
        <v>7656</v>
      </c>
      <c r="I373" s="34" t="n"/>
      <c r="J373" s="253" t="n">
        <v>7248</v>
      </c>
      <c r="K373" s="253" t="n">
        <v>7169</v>
      </c>
      <c r="L373" s="253" t="n">
        <v>7035</v>
      </c>
      <c r="M373" s="253" t="n">
        <v>7035</v>
      </c>
      <c r="N373" s="253" t="n">
        <v>6872</v>
      </c>
      <c r="O373" s="253" t="n">
        <v>6796</v>
      </c>
      <c r="P373" s="253" t="n">
        <v>6725</v>
      </c>
      <c r="Q373" s="253" t="n">
        <v>6833</v>
      </c>
      <c r="R373" s="253" t="n">
        <v>6833</v>
      </c>
      <c r="S373" s="253" t="n">
        <v>6661</v>
      </c>
      <c r="T373" s="253" t="n">
        <v>6537</v>
      </c>
      <c r="U373" s="35" t="n"/>
      <c r="V373" s="35" t="n"/>
      <c r="W373" s="254">
        <f>T373+(W304-SUM(S304:T304))</f>
        <v>6009</v>
      </c>
      <c r="X373" s="254">
        <f>W373+X304</f>
        <v>4979</v>
      </c>
      <c r="Y373" s="254">
        <f>X373+Y304</f>
        <v>3969</v>
      </c>
      <c r="Z373" s="254">
        <f>Y373+Z304</f>
        <v>2979</v>
      </c>
      <c r="AA373" s="254">
        <f>Z373+AA304</f>
        <v>2009</v>
      </c>
      <c r="AB373" s="254">
        <f>AA373+AB304</f>
        <v>1059</v>
      </c>
      <c r="AC373" s="19" t="n"/>
    </row>
    <row r="374" ht="15" customHeight="1" s="251">
      <c r="B374" s="25" t="inlineStr">
        <is>
          <t xml:space="preserve">  Deferred income, all other liabilities &amp; discontinued operations (derived)</t>
        </is>
      </c>
      <c r="C374" s="211">
        <f>IF(ISNUMBER(C385),C385,"")</f>
      </c>
      <c r="D374" s="211">
        <f>IF(ISNUMBER(D385),D385,"")</f>
      </c>
      <c r="E374" s="211">
        <f>IF(ISNUMBER(E385),E385,"")</f>
      </c>
      <c r="F374" s="211">
        <f>IF(ISNUMBER(F385),F385,"")</f>
      </c>
      <c r="G374" s="211">
        <f>IF(ISNUMBER(G385),G385,"")</f>
        <v>45943</v>
      </c>
      <c r="H374" s="211">
        <f>IF(ISNUMBER(H385),H385,"")</f>
        <v>45943</v>
      </c>
      <c r="I374" s="211">
        <f>IF(ISNUMBER(I385),I385,"")</f>
      </c>
      <c r="J374" s="211">
        <f>IF(ISNUMBER(J385),J385,"")</f>
        <v>9161</v>
      </c>
      <c r="K374" s="211">
        <f>IF(ISNUMBER(K385),K385,"")</f>
        <v>8946</v>
      </c>
      <c r="L374" s="211">
        <f>IF(ISNUMBER(L385),L385,"")</f>
        <v>8706</v>
      </c>
      <c r="M374" s="211">
        <f>IF(ISNUMBER(M385),M385,"")</f>
        <v>8706</v>
      </c>
      <c r="N374" s="211">
        <f>IF(ISNUMBER(N385),N385,"")</f>
        <v>8930</v>
      </c>
      <c r="O374" s="211">
        <f>IF(ISNUMBER(O385),O385,"")</f>
        <v>8906</v>
      </c>
      <c r="P374" s="211">
        <f>IF(ISNUMBER(P385),P385,"")</f>
        <v>9370</v>
      </c>
      <c r="Q374" s="211">
        <f>IF(ISNUMBER(Q385),Q385,"")</f>
        <v>9756</v>
      </c>
      <c r="R374" s="211">
        <f>IF(ISNUMBER(R385),R385,"")</f>
        <v>9756</v>
      </c>
      <c r="S374" s="211">
        <f>IF(ISNUMBER(S385),S385,"")</f>
        <v>9587</v>
      </c>
      <c r="T374" s="211">
        <f>IF(ISNUMBER(T385),T385,"")</f>
        <v>9486</v>
      </c>
      <c r="U374" s="35" t="n"/>
      <c r="V374" s="35" t="n"/>
      <c r="W374" s="254">
        <f>T374</f>
        <v>9486</v>
      </c>
      <c r="X374" s="254">
        <f>W374</f>
        <v>9486</v>
      </c>
      <c r="Y374" s="254">
        <f>X374</f>
        <v>9486</v>
      </c>
      <c r="Z374" s="254">
        <f>Y374</f>
        <v>9486</v>
      </c>
      <c r="AA374" s="254">
        <f>Z374</f>
        <v>9486</v>
      </c>
      <c r="AB374" s="254">
        <f>AA374</f>
        <v>9486</v>
      </c>
      <c r="AC374" s="19" t="n"/>
    </row>
    <row r="375" ht="15" customHeight="1" s="251">
      <c r="B375" s="16" t="inlineStr">
        <is>
          <t>Total liabilities</t>
        </is>
      </c>
      <c r="C375" s="260">
        <f>IF(ISNUMBER(C365),C370+SUM(C371:C374),"")</f>
      </c>
      <c r="D375" s="260">
        <f>IF(ISNUMBER(D365),D370+SUM(D371:D374),"")</f>
      </c>
      <c r="E375" s="260">
        <f>IF(ISNUMBER(E365),E370+SUM(E371:E374),"")</f>
      </c>
      <c r="F375" s="260">
        <f>IF(ISNUMBER(F365),F370+SUM(F371:F374),"")</f>
      </c>
      <c r="G375" s="260">
        <f>IF(ISNUMBER(G365),G370+SUM(G371:G374),"")</f>
        <v>144695</v>
      </c>
      <c r="H375" s="260">
        <f>IF(ISNUMBER(H365),H370+SUM(H371:H374),"")</f>
        <v>144695</v>
      </c>
      <c r="I375" s="260">
        <f>IF(ISNUMBER(I365),I370+SUM(I371:I374),"")</f>
      </c>
      <c r="J375" s="260">
        <f>IF(ISNUMBER(J365),J370+SUM(J371:J374),"")</f>
        <v>104347</v>
      </c>
      <c r="K375" s="260">
        <f>IF(ISNUMBER(K365),K370+SUM(K371:K374),"")</f>
        <v>107595</v>
      </c>
      <c r="L375" s="260">
        <f>IF(ISNUMBER(L365),L370+SUM(L371:L374),"")</f>
        <v>103576</v>
      </c>
      <c r="M375" s="260">
        <f>IF(ISNUMBER(M365),M370+SUM(M371:M374),"")</f>
        <v>103576</v>
      </c>
      <c r="N375" s="260">
        <f>IF(ISNUMBER(N365),N370+SUM(N371:N374),"")</f>
        <v>104654</v>
      </c>
      <c r="O375" s="260">
        <f>IF(ISNUMBER(O365),O370+SUM(O371:O374),"")</f>
        <v>105911</v>
      </c>
      <c r="P375" s="260">
        <f>IF(ISNUMBER(P365),P370+SUM(P371:P374),"")</f>
        <v>109222</v>
      </c>
      <c r="Q375" s="260">
        <f>IF(ISNUMBER(Q365),Q370+SUM(Q371:Q374),"")</f>
        <v>111271</v>
      </c>
      <c r="R375" s="260">
        <f>IF(ISNUMBER(R365),R370+SUM(R371:R374),"")</f>
        <v>111271</v>
      </c>
      <c r="S375" s="260">
        <f>IF(ISNUMBER(S365),S370+SUM(S371:S374),"")</f>
        <v>110148</v>
      </c>
      <c r="T375" s="260">
        <f>IF(ISNUMBER(T365),T370+SUM(T371:T374),"")</f>
        <v>109805</v>
      </c>
      <c r="U375" s="32" t="n"/>
      <c r="V375" s="32" t="n"/>
      <c r="W375" s="261">
        <f>IF(ISNUMBER(W365),W370+SUM(W371:W374),"")</f>
        <v>112503.407438075</v>
      </c>
      <c r="X375" s="261">
        <f>IF(ISNUMBER(X365),X370+SUM(X371:X374),"")</f>
        <v>121536.040590202</v>
      </c>
      <c r="Y375" s="261">
        <f>IF(ISNUMBER(Y365),Y370+SUM(Y371:Y374),"")</f>
        <v>126774.656049649</v>
      </c>
      <c r="Z375" s="261">
        <f>IF(ISNUMBER(Z365),Z370+SUM(Z371:Z374),"")</f>
        <v>131635.090712236</v>
      </c>
      <c r="AA375" s="261">
        <f>IF(ISNUMBER(AA365),AA370+SUM(AA371:AA374),"")</f>
        <v>136427.965915486</v>
      </c>
      <c r="AB375" s="261">
        <f>IF(ISNUMBER(AB365),AB370+SUM(AB371:AB374),"")</f>
        <v>140781.871832095</v>
      </c>
      <c r="AC375" s="153" t="n"/>
    </row>
    <row r="376" ht="15" customHeight="1" s="251">
      <c r="B376" s="25" t="inlineStr">
        <is>
          <t xml:space="preserve">  Total shareholders' equity</t>
        </is>
      </c>
      <c r="C376" s="34" t="n"/>
      <c r="D376" s="34" t="n"/>
      <c r="E376" s="34" t="n"/>
      <c r="F376" s="34" t="n"/>
      <c r="G376" s="253" t="n">
        <v>27403</v>
      </c>
      <c r="H376" s="253" t="n">
        <v>27403</v>
      </c>
      <c r="I376" s="34" t="n"/>
      <c r="J376" s="253" t="n">
        <v>18598</v>
      </c>
      <c r="K376" s="253" t="n">
        <v>18874</v>
      </c>
      <c r="L376" s="253" t="n">
        <v>19342</v>
      </c>
      <c r="M376" s="253" t="n">
        <v>19342</v>
      </c>
      <c r="N376" s="253" t="n">
        <v>19251</v>
      </c>
      <c r="O376" s="253" t="n">
        <v>19135</v>
      </c>
      <c r="P376" s="253" t="n">
        <v>18812</v>
      </c>
      <c r="Q376" s="253" t="n">
        <v>18677</v>
      </c>
      <c r="R376" s="253" t="n">
        <v>18677</v>
      </c>
      <c r="S376" s="253" t="n">
        <v>18057</v>
      </c>
      <c r="T376" s="253" t="n">
        <v>17640</v>
      </c>
      <c r="U376" s="35" t="n"/>
      <c r="V376" s="35" t="n"/>
      <c r="W376" s="254">
        <f>T376+SUM(U183:V183)+SUM(U185:V185)+(W317-SUM(S317:T317))+(W319-SUM(S319:T319))+(W320-SUM(S320:T320))</f>
        <v>17210.3001338839</v>
      </c>
      <c r="X376" s="254">
        <f>W376+X183+X185+X317+X319+X320</f>
        <v>24898.7548900733</v>
      </c>
      <c r="Y376" s="254">
        <f>X376+Y183+Y185+Y317+Y319+Y320</f>
        <v>22511.0731148254</v>
      </c>
      <c r="Z376" s="254">
        <f>Y376+Z183+Z185+Z317+Z319+Z320</f>
        <v>20876.7164368863</v>
      </c>
      <c r="AA376" s="254">
        <f>Z376+AA183+AA185+AA317+AA319+AA320</f>
        <v>19246.4820964226</v>
      </c>
      <c r="AB376" s="254">
        <f>AA376+AB183+AB185+AB317+AB319+AB320</f>
        <v>17925.5162587468</v>
      </c>
      <c r="AC376" s="19" t="inlineStr">
        <is>
          <t>+ net income to common (incl. discontinued) − dividends − repurchases (treasury stock) + other financing (AOCI held flat).</t>
        </is>
      </c>
    </row>
    <row r="377" ht="15" customHeight="1" s="251">
      <c r="B377" s="25" t="inlineStr">
        <is>
          <t xml:space="preserve">  Noncontrolling interests</t>
        </is>
      </c>
      <c r="C377" s="34" t="n"/>
      <c r="D377" s="34" t="n"/>
      <c r="E377" s="34" t="n"/>
      <c r="F377" s="34" t="n"/>
      <c r="G377" s="253" t="n">
        <v>1202</v>
      </c>
      <c r="H377" s="253" t="n">
        <v>1202</v>
      </c>
      <c r="I377" s="34" t="n"/>
      <c r="J377" s="253" t="n">
        <v>245</v>
      </c>
      <c r="K377" s="253" t="n">
        <v>229</v>
      </c>
      <c r="L377" s="253" t="n">
        <v>223</v>
      </c>
      <c r="M377" s="253" t="n">
        <v>223</v>
      </c>
      <c r="N377" s="253" t="n">
        <v>217</v>
      </c>
      <c r="O377" s="253" t="n">
        <v>210</v>
      </c>
      <c r="P377" s="253" t="n">
        <v>209</v>
      </c>
      <c r="Q377" s="253" t="n">
        <v>221</v>
      </c>
      <c r="R377" s="253" t="n">
        <v>221</v>
      </c>
      <c r="S377" s="253" t="n">
        <v>240</v>
      </c>
      <c r="T377" s="253" t="n">
        <v>227</v>
      </c>
      <c r="U377" s="35" t="n"/>
      <c r="V377" s="35" t="n"/>
      <c r="W377" s="254">
        <f>T377+SUM(U181:V181)</f>
        <v>227</v>
      </c>
      <c r="X377" s="254">
        <f>W377+X181</f>
        <v>227</v>
      </c>
      <c r="Y377" s="254">
        <f>X377+Y181</f>
        <v>227</v>
      </c>
      <c r="Z377" s="254">
        <f>Y377+Z181</f>
        <v>227</v>
      </c>
      <c r="AA377" s="254">
        <f>Z377+AA181</f>
        <v>227</v>
      </c>
      <c r="AB377" s="254">
        <f>AA377+AB181</f>
        <v>227</v>
      </c>
      <c r="AC377" s="19" t="n"/>
    </row>
    <row r="378" ht="15" customHeight="1" s="251">
      <c r="B378" s="16" t="inlineStr">
        <is>
          <t>Total equity</t>
        </is>
      </c>
      <c r="C378" s="260">
        <f>IF(ISNUMBER(C376),C376+N(C377),"")</f>
      </c>
      <c r="D378" s="260">
        <f>IF(ISNUMBER(D376),D376+N(D377),"")</f>
      </c>
      <c r="E378" s="260">
        <f>IF(ISNUMBER(E376),E376+N(E377),"")</f>
      </c>
      <c r="F378" s="260">
        <f>IF(ISNUMBER(F376),F376+N(F377),"")</f>
      </c>
      <c r="G378" s="260">
        <f>IF(ISNUMBER(G376),G376+N(G377),"")</f>
        <v>28605</v>
      </c>
      <c r="H378" s="260">
        <f>IF(ISNUMBER(H376),H376+N(H377),"")</f>
        <v>28605</v>
      </c>
      <c r="I378" s="260">
        <f>IF(ISNUMBER(I376),I376+N(I377),"")</f>
      </c>
      <c r="J378" s="260">
        <f>IF(ISNUMBER(J376),J376+N(J377),"")</f>
        <v>18843</v>
      </c>
      <c r="K378" s="260">
        <f>IF(ISNUMBER(K376),K376+N(K377),"")</f>
        <v>19103</v>
      </c>
      <c r="L378" s="260">
        <f>IF(ISNUMBER(L376),L376+N(L377),"")</f>
        <v>19565</v>
      </c>
      <c r="M378" s="260">
        <f>IF(ISNUMBER(M376),M376+N(M377),"")</f>
        <v>19565</v>
      </c>
      <c r="N378" s="260">
        <f>IF(ISNUMBER(N376),N376+N(N377),"")</f>
        <v>19468</v>
      </c>
      <c r="O378" s="260">
        <f>IF(ISNUMBER(O376),O376+N(O377),"")</f>
        <v>19345</v>
      </c>
      <c r="P378" s="260">
        <f>IF(ISNUMBER(P376),P376+N(P377),"")</f>
        <v>19021</v>
      </c>
      <c r="Q378" s="260">
        <f>IF(ISNUMBER(Q376),Q376+N(Q377),"")</f>
        <v>18898</v>
      </c>
      <c r="R378" s="260">
        <f>IF(ISNUMBER(R376),R376+N(R377),"")</f>
        <v>18898</v>
      </c>
      <c r="S378" s="260">
        <f>IF(ISNUMBER(S376),S376+N(S377),"")</f>
        <v>18297</v>
      </c>
      <c r="T378" s="260">
        <f>IF(ISNUMBER(T376),T376+N(T377),"")</f>
        <v>17867</v>
      </c>
      <c r="U378" s="32" t="n"/>
      <c r="V378" s="32" t="n"/>
      <c r="W378" s="261">
        <f>IF(ISNUMBER(W376),W376+N(W377),"")</f>
        <v>17437.3001338839</v>
      </c>
      <c r="X378" s="261">
        <f>IF(ISNUMBER(X376),X376+N(X377),"")</f>
        <v>25125.7548900733</v>
      </c>
      <c r="Y378" s="261">
        <f>IF(ISNUMBER(Y376),Y376+N(Y377),"")</f>
        <v>22738.0731148254</v>
      </c>
      <c r="Z378" s="261">
        <f>IF(ISNUMBER(Z376),Z376+N(Z377),"")</f>
        <v>21103.7164368863</v>
      </c>
      <c r="AA378" s="261">
        <f>IF(ISNUMBER(AA376),AA376+N(AA377),"")</f>
        <v>19473.4820964226</v>
      </c>
      <c r="AB378" s="261">
        <f>IF(ISNUMBER(AB376),AB376+N(AB377),"")</f>
        <v>18152.5162587468</v>
      </c>
      <c r="AC378" s="153" t="n"/>
      <c r="AE378" s="20">
        <f>IFERROR((AB378/W378)^(1/5)-1,"n/m")</f>
        <v>0.0080719217612979</v>
      </c>
      <c r="AF378" s="20" t="str">
        <f>IFERROR((R378/C378)^(1/3)-1,"n/m")</f>
        <v>n/m</v>
      </c>
      <c r="AG378" s="20">
        <f>IFERROR((R378/H378)^(1/2)-1,"n/m")</f>
        <v>-0.187193914967993</v>
      </c>
      <c r="AH378" s="20">
        <f>IFERROR(W378/R378-1,"n/m")</f>
        <v>-0.0772938864491536</v>
      </c>
    </row>
    <row r="379" ht="15" customHeight="1" s="251">
      <c r="B379" s="55" t="inlineStr">
        <is>
          <t>TOTAL LIABILITIES AND EQUITY</t>
        </is>
      </c>
      <c r="C379" s="273">
        <f>IF(ISNUMBER(C375),C375+C378,"")</f>
      </c>
      <c r="D379" s="273">
        <f>IF(ISNUMBER(D375),D375+D378,"")</f>
      </c>
      <c r="E379" s="273">
        <f>IF(ISNUMBER(E375),E375+E378,"")</f>
      </c>
      <c r="F379" s="273">
        <f>IF(ISNUMBER(F375),F375+F378,"")</f>
      </c>
      <c r="G379" s="273">
        <f>IF(ISNUMBER(G375),G375+G378,"")</f>
        <v>173300</v>
      </c>
      <c r="H379" s="273">
        <f>IF(ISNUMBER(H375),H375+H378,"")</f>
        <v>173300</v>
      </c>
      <c r="I379" s="273">
        <f>IF(ISNUMBER(I375),I375+I378,"")</f>
      </c>
      <c r="J379" s="273">
        <f>IF(ISNUMBER(J375),J375+J378,"")</f>
        <v>123190</v>
      </c>
      <c r="K379" s="273">
        <f>IF(ISNUMBER(K375),K375+K378,"")</f>
        <v>126698</v>
      </c>
      <c r="L379" s="273">
        <f>IF(ISNUMBER(L375),L375+L378,"")</f>
        <v>123141</v>
      </c>
      <c r="M379" s="273">
        <f>IF(ISNUMBER(M375),M375+M378,"")</f>
        <v>123141</v>
      </c>
      <c r="N379" s="273">
        <f>IF(ISNUMBER(N375),N375+N378,"")</f>
        <v>124122</v>
      </c>
      <c r="O379" s="273">
        <f>IF(ISNUMBER(O375),O375+O378,"")</f>
        <v>125256</v>
      </c>
      <c r="P379" s="273">
        <f>IF(ISNUMBER(P375),P375+P378,"")</f>
        <v>128243</v>
      </c>
      <c r="Q379" s="273">
        <f>IF(ISNUMBER(Q375),Q375+Q378,"")</f>
        <v>130169</v>
      </c>
      <c r="R379" s="273">
        <f>IF(ISNUMBER(R375),R375+R378,"")</f>
        <v>130169</v>
      </c>
      <c r="S379" s="273">
        <f>IF(ISNUMBER(S375),S375+S378,"")</f>
        <v>128445</v>
      </c>
      <c r="T379" s="273">
        <f>IF(ISNUMBER(T375),T375+T378,"")</f>
        <v>127672</v>
      </c>
      <c r="U379" s="56" t="n"/>
      <c r="V379" s="56" t="n"/>
      <c r="W379" s="273">
        <f>IF(ISNUMBER(W375),W375+W378,"")</f>
        <v>129940.707571959</v>
      </c>
      <c r="X379" s="273">
        <f>IF(ISNUMBER(X375),X375+X378,"")</f>
        <v>146661.795480275</v>
      </c>
      <c r="Y379" s="273">
        <f>IF(ISNUMBER(Y375),Y375+Y378,"")</f>
        <v>149512.729164474</v>
      </c>
      <c r="Z379" s="273">
        <f>IF(ISNUMBER(Z375),Z375+Z378,"")</f>
        <v>152738.807149122</v>
      </c>
      <c r="AA379" s="273">
        <f>IF(ISNUMBER(AA375),AA375+AA378,"")</f>
        <v>155901.448011909</v>
      </c>
      <c r="AB379" s="273">
        <f>IF(ISNUMBER(AB375),AB375+AB378,"")</f>
        <v>158934.388090842</v>
      </c>
      <c r="AC379" s="153" t="n"/>
    </row>
    <row r="380" ht="15" customHeight="1" s="251">
      <c r="B380" s="57" t="inlineStr">
        <is>
          <t>BS tie-out check (TA − TL&amp;E)</t>
        </is>
      </c>
      <c r="C380" s="211">
        <f>IF(ISNUMBER(C363),IF(ABS(C363-C379)&lt;=1.01,0,ROUND(C363-C379,0)),"")</f>
      </c>
      <c r="D380" s="211">
        <f>IF(ISNUMBER(D363),IF(ABS(D363-D379)&lt;=1.01,0,ROUND(D363-D379,0)),"")</f>
      </c>
      <c r="E380" s="211">
        <f>IF(ISNUMBER(E363),IF(ABS(E363-E379)&lt;=1.01,0,ROUND(E363-E379,0)),"")</f>
      </c>
      <c r="F380" s="211">
        <f>IF(ISNUMBER(F363),IF(ABS(F363-F379)&lt;=1.01,0,ROUND(F363-F379,0)),"")</f>
      </c>
      <c r="G380" s="211">
        <f>IF(ISNUMBER(G363),IF(ABS(G363-G379)&lt;=1.01,0,ROUND(G363-G379,0)),"")</f>
        <v>0</v>
      </c>
      <c r="H380" s="211">
        <f>IF(ISNUMBER(H363),IF(ABS(H363-H379)&lt;=1.01,0,ROUND(H363-H379,0)),"")</f>
        <v>0</v>
      </c>
      <c r="I380" s="211">
        <f>IF(ISNUMBER(I363),IF(ABS(I363-I379)&lt;=1.01,0,ROUND(I363-I379,0)),"")</f>
      </c>
      <c r="J380" s="211">
        <f>IF(ISNUMBER(J363),IF(ABS(J363-J379)&lt;=1.01,0,ROUND(J363-J379,0)),"")</f>
        <v>0</v>
      </c>
      <c r="K380" s="211">
        <f>IF(ISNUMBER(K363),IF(ABS(K363-K379)&lt;=1.01,0,ROUND(K363-K379,0)),"")</f>
        <v>0</v>
      </c>
      <c r="L380" s="211">
        <f>IF(ISNUMBER(L363),IF(ABS(L363-L379)&lt;=1.01,0,ROUND(L363-L379,0)),"")</f>
        <v>0</v>
      </c>
      <c r="M380" s="211">
        <f>IF(ISNUMBER(M363),IF(ABS(M363-M379)&lt;=1.01,0,ROUND(M363-M379,0)),"")</f>
        <v>0</v>
      </c>
      <c r="N380" s="211">
        <f>IF(ISNUMBER(N363),IF(ABS(N363-N379)&lt;=1.01,0,ROUND(N363-N379,0)),"")</f>
        <v>0</v>
      </c>
      <c r="O380" s="211">
        <f>IF(ISNUMBER(O363),IF(ABS(O363-O379)&lt;=1.01,0,ROUND(O363-O379,0)),"")</f>
        <v>0</v>
      </c>
      <c r="P380" s="211">
        <f>IF(ISNUMBER(P363),IF(ABS(P363-P379)&lt;=1.01,0,ROUND(P363-P379,0)),"")</f>
        <v>0</v>
      </c>
      <c r="Q380" s="211">
        <f>IF(ISNUMBER(Q363),IF(ABS(Q363-Q379)&lt;=1.01,0,ROUND(Q363-Q379,0)),"")</f>
        <v>0</v>
      </c>
      <c r="R380" s="211">
        <f>IF(ISNUMBER(R363),IF(ABS(R363-R379)&lt;=1.01,0,ROUND(R363-R379,0)),"")</f>
        <v>0</v>
      </c>
      <c r="S380" s="211">
        <f>IF(ISNUMBER(S363),IF(ABS(S363-S379)&lt;=1.01,0,ROUND(S363-S379,0)),"")</f>
        <v>0</v>
      </c>
      <c r="T380" s="211">
        <f>IF(ISNUMBER(T363),IF(ABS(T363-T379)&lt;=1.01,0,ROUND(T363-T379,0)),"")</f>
        <v>0</v>
      </c>
      <c r="U380" s="153" t="n"/>
      <c r="V380" s="153" t="n"/>
      <c r="W380" s="274">
        <f>IF(ISNUMBER(W363),IF(ABS(W363-W379)&lt;=1.01,0,ROUND(W363-W379,0)),"")</f>
        <v>0</v>
      </c>
      <c r="X380" s="274">
        <f>IF(ISNUMBER(X363),IF(ABS(X363-X379)&lt;=1.01,0,ROUND(X363-X379,0)),"")</f>
        <v>0</v>
      </c>
      <c r="Y380" s="274">
        <f>IF(ISNUMBER(Y363),IF(ABS(Y363-Y379)&lt;=1.01,0,ROUND(Y363-Y379,0)),"")</f>
        <v>0</v>
      </c>
      <c r="Z380" s="274">
        <f>IF(ISNUMBER(Z363),IF(ABS(Z363-Z379)&lt;=1.01,0,ROUND(Z363-Z379,0)),"")</f>
        <v>0</v>
      </c>
      <c r="AA380" s="274">
        <f>IF(ISNUMBER(AA363),IF(ABS(AA363-AA379)&lt;=1.01,0,ROUND(AA363-AA379,0)),"")</f>
        <v>0</v>
      </c>
      <c r="AB380" s="274">
        <f>IF(ISNUMBER(AB363),IF(ABS(AB363-AB379)&lt;=1.01,0,ROUND(AB363-AB379,0)),"")</f>
        <v>0</v>
      </c>
      <c r="AC380" s="153" t="n"/>
    </row>
    <row r="381" ht="15" customHeight="1" s="251">
      <c r="B381" s="57" t="inlineStr">
        <is>
          <t xml:space="preserve">  Check: model total assets vs reported (should be 0)</t>
        </is>
      </c>
      <c r="C381" s="211">
        <f>IF(ISNUMBER(C382),IF(ABS(C363-C382)&lt;=1.01,0,ROUND(C363-C382,0)),"")</f>
      </c>
      <c r="D381" s="211">
        <f>IF(ISNUMBER(D382),IF(ABS(D363-D382)&lt;=1.01,0,ROUND(D363-D382,0)),"")</f>
      </c>
      <c r="E381" s="211">
        <f>IF(ISNUMBER(E382),IF(ABS(E363-E382)&lt;=1.01,0,ROUND(E363-E382,0)),"")</f>
      </c>
      <c r="F381" s="211">
        <f>IF(ISNUMBER(F382),IF(ABS(F363-F382)&lt;=1.01,0,ROUND(F363-F382,0)),"")</f>
      </c>
      <c r="G381" s="211">
        <f>IF(ISNUMBER(G382),IF(ABS(G363-G382)&lt;=1.01,0,ROUND(G363-G382,0)),"")</f>
        <v>0</v>
      </c>
      <c r="H381" s="211">
        <f>IF(ISNUMBER(H382),IF(ABS(H363-H382)&lt;=1.01,0,ROUND(H363-H382,0)),"")</f>
        <v>0</v>
      </c>
      <c r="I381" s="211">
        <f>IF(ISNUMBER(I382),IF(ABS(I363-I382)&lt;=1.01,0,ROUND(I363-I382,0)),"")</f>
      </c>
      <c r="J381" s="211">
        <f>IF(ISNUMBER(J382),IF(ABS(J363-J382)&lt;=1.01,0,ROUND(J363-J382,0)),"")</f>
        <v>0</v>
      </c>
      <c r="K381" s="211">
        <f>IF(ISNUMBER(K382),IF(ABS(K363-K382)&lt;=1.01,0,ROUND(K363-K382,0)),"")</f>
        <v>0</v>
      </c>
      <c r="L381" s="211">
        <f>IF(ISNUMBER(L382),IF(ABS(L363-L382)&lt;=1.01,0,ROUND(L363-L382,0)),"")</f>
        <v>0</v>
      </c>
      <c r="M381" s="211">
        <f>IF(ISNUMBER(M382),IF(ABS(M363-M382)&lt;=1.01,0,ROUND(M363-M382,0)),"")</f>
        <v>0</v>
      </c>
      <c r="N381" s="211">
        <f>IF(ISNUMBER(N382),IF(ABS(N363-N382)&lt;=1.01,0,ROUND(N363-N382,0)),"")</f>
        <v>0</v>
      </c>
      <c r="O381" s="211">
        <f>IF(ISNUMBER(O382),IF(ABS(O363-O382)&lt;=1.01,0,ROUND(O363-O382,0)),"")</f>
        <v>0</v>
      </c>
      <c r="P381" s="211">
        <f>IF(ISNUMBER(P382),IF(ABS(P363-P382)&lt;=1.01,0,ROUND(P363-P382,0)),"")</f>
        <v>0</v>
      </c>
      <c r="Q381" s="211">
        <f>IF(ISNUMBER(Q382),IF(ABS(Q363-Q382)&lt;=1.01,0,ROUND(Q363-Q382,0)),"")</f>
        <v>0</v>
      </c>
      <c r="R381" s="211">
        <f>IF(ISNUMBER(R382),IF(ABS(R363-R382)&lt;=1.01,0,ROUND(R363-R382,0)),"")</f>
        <v>0</v>
      </c>
      <c r="S381" s="211">
        <f>IF(ISNUMBER(S382),IF(ABS(S363-S382)&lt;=1.01,0,ROUND(S363-S382,0)),"")</f>
        <v>0</v>
      </c>
      <c r="T381" s="211">
        <f>IF(ISNUMBER(T382),IF(ABS(T363-T382)&lt;=1.01,0,ROUND(T363-T382,0)),"")</f>
        <v>0</v>
      </c>
      <c r="U381" s="153" t="n"/>
      <c r="V381" s="153" t="n"/>
      <c r="W381" s="153" t="n"/>
      <c r="X381" s="153" t="n"/>
      <c r="Y381" s="153" t="n"/>
      <c r="Z381" s="153" t="n"/>
      <c r="AA381" s="153" t="n"/>
      <c r="AB381" s="153" t="n"/>
      <c r="AC381" s="153" t="n"/>
    </row>
    <row r="382" ht="15" customHeight="1" s="251">
      <c r="B382" s="156" t="inlineStr">
        <is>
          <t xml:space="preserve">  Memo: total assets as reported</t>
        </is>
      </c>
      <c r="C382" s="34" t="n"/>
      <c r="D382" s="34" t="n"/>
      <c r="E382" s="34" t="n"/>
      <c r="F382" s="34" t="n"/>
      <c r="G382" s="253" t="n">
        <v>173300</v>
      </c>
      <c r="H382" s="253" t="n">
        <v>173300</v>
      </c>
      <c r="I382" s="34" t="n"/>
      <c r="J382" s="253" t="n">
        <v>123190</v>
      </c>
      <c r="K382" s="253" t="n">
        <v>126698</v>
      </c>
      <c r="L382" s="253" t="n">
        <v>123140</v>
      </c>
      <c r="M382" s="253" t="n">
        <v>123140</v>
      </c>
      <c r="N382" s="253" t="n">
        <v>124123</v>
      </c>
      <c r="O382" s="253" t="n">
        <v>125256</v>
      </c>
      <c r="P382" s="253" t="n">
        <v>128243</v>
      </c>
      <c r="Q382" s="253" t="n">
        <v>130169</v>
      </c>
      <c r="R382" s="253" t="n">
        <v>130169</v>
      </c>
      <c r="S382" s="253" t="n">
        <v>128445</v>
      </c>
      <c r="T382" s="253" t="n">
        <v>127672</v>
      </c>
      <c r="U382" s="153" t="n"/>
      <c r="V382" s="153" t="n"/>
      <c r="W382" s="153" t="n"/>
      <c r="X382" s="153" t="n"/>
      <c r="Y382" s="153" t="n"/>
      <c r="Z382" s="153" t="n"/>
      <c r="AA382" s="153" t="n"/>
      <c r="AB382" s="153" t="n"/>
      <c r="AC382" s="153" t="n"/>
    </row>
    <row r="383" ht="15" customHeight="1" s="251">
      <c r="B383" s="156" t="inlineStr">
        <is>
          <t xml:space="preserve">  Memo: progress collections</t>
        </is>
      </c>
      <c r="C383" s="34" t="n"/>
      <c r="D383" s="34" t="n"/>
      <c r="E383" s="34" t="n"/>
      <c r="F383" s="34" t="n"/>
      <c r="G383" s="253" t="n">
        <v>6177</v>
      </c>
      <c r="H383" s="253" t="n">
        <v>6177</v>
      </c>
      <c r="I383" s="34" t="n"/>
      <c r="J383" s="253" t="n">
        <v>6465</v>
      </c>
      <c r="K383" s="253" t="n">
        <v>6477</v>
      </c>
      <c r="L383" s="253" t="n">
        <v>6695</v>
      </c>
      <c r="M383" s="253" t="n">
        <v>6695</v>
      </c>
      <c r="N383" s="253" t="n">
        <v>6842</v>
      </c>
      <c r="O383" s="253" t="n">
        <v>7026</v>
      </c>
      <c r="P383" s="253" t="n">
        <v>6982</v>
      </c>
      <c r="Q383" s="253" t="n">
        <v>7662</v>
      </c>
      <c r="R383" s="253" t="n">
        <v>7662</v>
      </c>
      <c r="S383" s="253" t="n">
        <v>7721</v>
      </c>
      <c r="T383" s="253" t="n">
        <v>7937</v>
      </c>
      <c r="U383" s="153" t="n"/>
      <c r="V383" s="153" t="n"/>
      <c r="W383" s="153" t="n"/>
      <c r="X383" s="153" t="n"/>
      <c r="Y383" s="153" t="n"/>
      <c r="Z383" s="153" t="n"/>
      <c r="AA383" s="153" t="n"/>
      <c r="AB383" s="153" t="n"/>
      <c r="AC383" s="153" t="n"/>
    </row>
    <row r="384" ht="15" customHeight="1" s="251">
      <c r="B384" s="156" t="inlineStr">
        <is>
          <t xml:space="preserve">  Memo: contract liabilities and deferred income (current)</t>
        </is>
      </c>
      <c r="C384" s="34" t="n"/>
      <c r="D384" s="34" t="n"/>
      <c r="E384" s="34" t="n"/>
      <c r="F384" s="34" t="n"/>
      <c r="G384" s="253" t="n">
        <v>8322</v>
      </c>
      <c r="H384" s="253" t="n">
        <v>8322</v>
      </c>
      <c r="I384" s="34" t="n"/>
      <c r="J384" s="253" t="n">
        <v>8671</v>
      </c>
      <c r="K384" s="253" t="n">
        <v>9047</v>
      </c>
      <c r="L384" s="253" t="n">
        <v>9353</v>
      </c>
      <c r="M384" s="253" t="n">
        <v>9353</v>
      </c>
      <c r="N384" s="253" t="n">
        <v>9624</v>
      </c>
      <c r="O384" s="253" t="n">
        <v>9738</v>
      </c>
      <c r="P384" s="253" t="n">
        <v>9852</v>
      </c>
      <c r="Q384" s="253" t="n">
        <v>10333</v>
      </c>
      <c r="R384" s="253" t="n">
        <v>10333</v>
      </c>
      <c r="S384" s="253" t="n">
        <v>10204</v>
      </c>
      <c r="T384" s="253" t="n">
        <v>10159</v>
      </c>
      <c r="U384" s="153" t="n"/>
      <c r="V384" s="153" t="n"/>
      <c r="W384" s="153" t="n"/>
      <c r="X384" s="153" t="n"/>
      <c r="Y384" s="153" t="n"/>
      <c r="Z384" s="153" t="n"/>
      <c r="AA384" s="153" t="n"/>
      <c r="AB384" s="153" t="n"/>
      <c r="AC384" s="153" t="n"/>
    </row>
    <row r="385" ht="15" customHeight="1" s="251">
      <c r="B385" s="156" t="inlineStr">
        <is>
          <t xml:space="preserve">  Memo: deferred income + all other liabilities + liabilities of discontinued operations (as reported)</t>
        </is>
      </c>
      <c r="C385" s="34" t="n"/>
      <c r="D385" s="34" t="n"/>
      <c r="E385" s="34" t="n"/>
      <c r="F385" s="34" t="n"/>
      <c r="G385" s="253" t="n">
        <v>45943</v>
      </c>
      <c r="H385" s="253" t="n">
        <v>45943</v>
      </c>
      <c r="I385" s="34" t="n"/>
      <c r="J385" s="253" t="n">
        <v>9161</v>
      </c>
      <c r="K385" s="253" t="n">
        <v>8946</v>
      </c>
      <c r="L385" s="253" t="n">
        <v>8706</v>
      </c>
      <c r="M385" s="253" t="n">
        <v>8706</v>
      </c>
      <c r="N385" s="253" t="n">
        <v>8930</v>
      </c>
      <c r="O385" s="253" t="n">
        <v>8906</v>
      </c>
      <c r="P385" s="253" t="n">
        <v>9370</v>
      </c>
      <c r="Q385" s="253" t="n">
        <v>9756</v>
      </c>
      <c r="R385" s="253" t="n">
        <v>9756</v>
      </c>
      <c r="S385" s="253" t="n">
        <v>9587</v>
      </c>
      <c r="T385" s="253" t="n">
        <v>9486</v>
      </c>
      <c r="U385" s="153" t="n"/>
      <c r="V385" s="153" t="n"/>
      <c r="W385" s="153" t="n"/>
      <c r="X385" s="153" t="n"/>
      <c r="Y385" s="153" t="n"/>
      <c r="Z385" s="153" t="n"/>
      <c r="AA385" s="153" t="n"/>
      <c r="AB385" s="153" t="n"/>
      <c r="AC385" s="153" t="n"/>
    </row>
    <row r="386" ht="15" customHeight="1" s="251">
      <c r="B386" s="156" t="inlineStr">
        <is>
          <t xml:space="preserve">  Memo: restricted cash outside the BS cash line (CF continuing cash − BS cash; held at 30-Jun-2026)</t>
        </is>
      </c>
      <c r="C386" s="211">
        <f>IF(AND(ISNUMBER(C328),ISNUMBER(C387)),C328-C387,"")</f>
      </c>
      <c r="D386" s="211">
        <f>IF(AND(ISNUMBER(D328),ISNUMBER(D387)),D328-D387,"")</f>
      </c>
      <c r="E386" s="211">
        <f>IF(AND(ISNUMBER(E328),ISNUMBER(E387)),E328-E387,"")</f>
      </c>
      <c r="F386" s="211">
        <f>IF(AND(ISNUMBER(F328),ISNUMBER(F387)),F328-F387,"")</f>
      </c>
      <c r="G386" s="211">
        <f>IF(AND(ISNUMBER(G328),ISNUMBER(G387)),G328-G387,"")</f>
        <v>789</v>
      </c>
      <c r="H386" s="211">
        <f>IF(AND(ISNUMBER(H328),ISNUMBER(H387)),H328-H387,"")</f>
        <v>789</v>
      </c>
      <c r="I386" s="211">
        <f>IF(AND(ISNUMBER(I328),ISNUMBER(I387)),I328-I387,"")</f>
      </c>
      <c r="J386" s="211">
        <f>IF(AND(ISNUMBER(J328),ISNUMBER(J387)),J328-J387,"")</f>
        <v>1442</v>
      </c>
      <c r="K386" s="211">
        <f>IF(AND(ISNUMBER(K328),ISNUMBER(K387)),K328-K387,"")</f>
        <v>1380</v>
      </c>
      <c r="L386" s="211">
        <f>IF(AND(ISNUMBER(L328),ISNUMBER(L387)),L328-L387,"")</f>
        <v>934</v>
      </c>
      <c r="M386" s="211">
        <f>IF(AND(ISNUMBER(M328),ISNUMBER(M387)),M328-M387,"")</f>
        <v>934</v>
      </c>
      <c r="N386" s="211">
        <f>IF(AND(ISNUMBER(N328),ISNUMBER(N387)),N328-N387,"")</f>
        <v>1095</v>
      </c>
      <c r="O386" s="211">
        <f>IF(AND(ISNUMBER(O328),ISNUMBER(O387)),O328-O387,"")</f>
        <v>1191</v>
      </c>
      <c r="P386" s="211">
        <f>IF(AND(ISNUMBER(P328),ISNUMBER(P387)),P328-P387,"")</f>
        <v>1340</v>
      </c>
      <c r="Q386" s="211">
        <f>IF(AND(ISNUMBER(Q328),ISNUMBER(Q387)),Q328-Q387,"")</f>
        <v>1265</v>
      </c>
      <c r="R386" s="211">
        <f>IF(AND(ISNUMBER(R328),ISNUMBER(R387)),R328-R387,"")</f>
        <v>1265</v>
      </c>
      <c r="S386" s="211">
        <f>IF(AND(ISNUMBER(S328),ISNUMBER(S387)),S328-S387,"")</f>
        <v>818</v>
      </c>
      <c r="T386" s="211">
        <f>IF(AND(ISNUMBER(T328),ISNUMBER(T387)),T328-T387,"")</f>
        <v>1168</v>
      </c>
      <c r="U386" s="35" t="n"/>
      <c r="V386" s="35" t="n"/>
      <c r="W386" s="254">
        <f>T386</f>
        <v>1168</v>
      </c>
      <c r="X386" s="254">
        <f>W386</f>
        <v>1168</v>
      </c>
      <c r="Y386" s="254">
        <f>X386</f>
        <v>1168</v>
      </c>
      <c r="Z386" s="254">
        <f>Y386</f>
        <v>1168</v>
      </c>
      <c r="AA386" s="254">
        <f>Z386</f>
        <v>1168</v>
      </c>
      <c r="AB386" s="254">
        <f>AA386</f>
        <v>1168</v>
      </c>
      <c r="AC386" s="153" t="n"/>
    </row>
    <row r="387" ht="15" customHeight="1" s="251">
      <c r="B387" s="156" t="inlineStr">
        <is>
          <t xml:space="preserve">  Memo: BS cash as reported</t>
        </is>
      </c>
      <c r="C387" s="34" t="n"/>
      <c r="D387" s="34" t="n"/>
      <c r="E387" s="34" t="n"/>
      <c r="F387" s="34" t="n"/>
      <c r="G387" s="253" t="n">
        <v>15204</v>
      </c>
      <c r="H387" s="253" t="n">
        <v>15204</v>
      </c>
      <c r="I387" s="34" t="n"/>
      <c r="J387" s="253" t="n">
        <v>12107</v>
      </c>
      <c r="K387" s="253" t="n">
        <v>13724</v>
      </c>
      <c r="L387" s="253" t="n">
        <v>13619</v>
      </c>
      <c r="M387" s="253" t="n">
        <v>13619</v>
      </c>
      <c r="N387" s="253" t="n">
        <v>12405</v>
      </c>
      <c r="O387" s="253" t="n">
        <v>10861</v>
      </c>
      <c r="P387" s="253" t="n">
        <v>12501</v>
      </c>
      <c r="Q387" s="253" t="n">
        <v>12392</v>
      </c>
      <c r="R387" s="253" t="n">
        <v>12392</v>
      </c>
      <c r="S387" s="253" t="n">
        <v>10981</v>
      </c>
      <c r="T387" s="253" t="n">
        <v>9345</v>
      </c>
      <c r="U387" s="153" t="n"/>
      <c r="V387" s="153" t="n"/>
      <c r="W387" s="153" t="n"/>
      <c r="X387" s="153" t="n"/>
      <c r="Y387" s="153" t="n"/>
      <c r="Z387" s="153" t="n"/>
      <c r="AA387" s="153" t="n"/>
      <c r="AB387" s="153" t="n"/>
      <c r="AC387" s="153" t="n"/>
    </row>
    <row r="388" ht="15" customHeight="1" s="251">
      <c r="B388" s="57" t="inlineStr">
        <is>
          <t xml:space="preserve">  Check: BS cash = CF continuing cash − restricted cash memo (should be 0)</t>
        </is>
      </c>
      <c r="C388" s="211">
        <f>IF(AND(ISNUMBER(C348),ISNUMBER(C328),ISNUMBER(C386)),ROUND(C348-C328+C386,0),"")</f>
      </c>
      <c r="D388" s="211">
        <f>IF(AND(ISNUMBER(D348),ISNUMBER(D328),ISNUMBER(D386)),ROUND(D348-D328+D386,0),"")</f>
      </c>
      <c r="E388" s="211">
        <f>IF(AND(ISNUMBER(E348),ISNUMBER(E328),ISNUMBER(E386)),ROUND(E348-E328+E386,0),"")</f>
      </c>
      <c r="F388" s="211">
        <f>IF(AND(ISNUMBER(F348),ISNUMBER(F328),ISNUMBER(F386)),ROUND(F348-F328+F386,0),"")</f>
      </c>
      <c r="G388" s="211">
        <f>IF(AND(ISNUMBER(G348),ISNUMBER(G328),ISNUMBER(G386)),ROUND(G348-G328+G386,0),"")</f>
        <v>0</v>
      </c>
      <c r="H388" s="211">
        <f>IF(AND(ISNUMBER(H348),ISNUMBER(H328),ISNUMBER(H386)),ROUND(H348-H328+H386,0),"")</f>
        <v>0</v>
      </c>
      <c r="I388" s="211">
        <f>IF(AND(ISNUMBER(I348),ISNUMBER(I328),ISNUMBER(I386)),ROUND(I348-I328+I386,0),"")</f>
      </c>
      <c r="J388" s="211">
        <f>IF(AND(ISNUMBER(J348),ISNUMBER(J328),ISNUMBER(J386)),ROUND(J348-J328+J386,0),"")</f>
        <v>0</v>
      </c>
      <c r="K388" s="211">
        <f>IF(AND(ISNUMBER(K348),ISNUMBER(K328),ISNUMBER(K386)),ROUND(K348-K328+K386,0),"")</f>
        <v>0</v>
      </c>
      <c r="L388" s="211">
        <f>IF(AND(ISNUMBER(L348),ISNUMBER(L328),ISNUMBER(L386)),ROUND(L348-L328+L386,0),"")</f>
        <v>0</v>
      </c>
      <c r="M388" s="211">
        <f>IF(AND(ISNUMBER(M348),ISNUMBER(M328),ISNUMBER(M386)),ROUND(M348-M328+M386,0),"")</f>
        <v>0</v>
      </c>
      <c r="N388" s="211">
        <f>IF(AND(ISNUMBER(N348),ISNUMBER(N328),ISNUMBER(N386)),ROUND(N348-N328+N386,0),"")</f>
        <v>0</v>
      </c>
      <c r="O388" s="211">
        <f>IF(AND(ISNUMBER(O348),ISNUMBER(O328),ISNUMBER(O386)),ROUND(O348-O328+O386,0),"")</f>
        <v>0</v>
      </c>
      <c r="P388" s="211">
        <f>IF(AND(ISNUMBER(P348),ISNUMBER(P328),ISNUMBER(P386)),ROUND(P348-P328+P386,0),"")</f>
        <v>0</v>
      </c>
      <c r="Q388" s="211">
        <f>IF(AND(ISNUMBER(Q348),ISNUMBER(Q328),ISNUMBER(Q386)),ROUND(Q348-Q328+Q386,0),"")</f>
        <v>0</v>
      </c>
      <c r="R388" s="211">
        <f>IF(AND(ISNUMBER(R348),ISNUMBER(R328),ISNUMBER(R386)),ROUND(R348-R328+R386,0),"")</f>
        <v>0</v>
      </c>
      <c r="S388" s="211">
        <f>IF(AND(ISNUMBER(S348),ISNUMBER(S328),ISNUMBER(S386)),ROUND(S348-S328+S386,0),"")</f>
        <v>0</v>
      </c>
      <c r="T388" s="211">
        <f>IF(AND(ISNUMBER(T348),ISNUMBER(T328),ISNUMBER(T386)),ROUND(T348-T328+T386,0),"")</f>
        <v>0</v>
      </c>
      <c r="U388" s="153" t="n"/>
      <c r="V388" s="153" t="n"/>
      <c r="W388" s="274">
        <f>IF(AND(ISNUMBER(W348),ISNUMBER(W328),ISNUMBER(W386)),ROUND(W348-W328+W386,0),"")</f>
        <v>0</v>
      </c>
      <c r="X388" s="274">
        <f>IF(AND(ISNUMBER(X348),ISNUMBER(X328),ISNUMBER(X386)),ROUND(X348-X328+X386,0),"")</f>
        <v>0</v>
      </c>
      <c r="Y388" s="274">
        <f>IF(AND(ISNUMBER(Y348),ISNUMBER(Y328),ISNUMBER(Y386)),ROUND(Y348-Y328+Y386,0),"")</f>
        <v>0</v>
      </c>
      <c r="Z388" s="274">
        <f>IF(AND(ISNUMBER(Z348),ISNUMBER(Z328),ISNUMBER(Z386)),ROUND(Z348-Z328+Z386,0),"")</f>
        <v>0</v>
      </c>
      <c r="AA388" s="274">
        <f>IF(AND(ISNUMBER(AA348),ISNUMBER(AA328),ISNUMBER(AA386)),ROUND(AA348-AA328+AA386,0),"")</f>
        <v>0</v>
      </c>
      <c r="AB388" s="274">
        <f>IF(AND(ISNUMBER(AB348),ISNUMBER(AB328),ISNUMBER(AB386)),ROUND(AB348-AB328+AB386,0),"")</f>
        <v>0</v>
      </c>
      <c r="AC388" s="153" t="n"/>
    </row>
    <row r="389" ht="15" customHeight="1" s="251">
      <c r="B389" s="156" t="inlineStr">
        <is>
          <t xml:space="preserve">  Memo: shares outstanding at period end (m; balance-sheet caption)</t>
        </is>
      </c>
      <c r="C389" s="34" t="n"/>
      <c r="D389" s="34" t="n"/>
      <c r="E389" s="34" t="n"/>
      <c r="F389" s="34" t="n"/>
      <c r="G389" s="278" t="n">
        <v>1088.415995</v>
      </c>
      <c r="H389" s="278" t="n">
        <v>1088.415995</v>
      </c>
      <c r="I389" s="34" t="n"/>
      <c r="J389" s="278" t="n">
        <v>1084.311016</v>
      </c>
      <c r="K389" s="278" t="n">
        <v>1082.294004</v>
      </c>
      <c r="L389" s="278" t="n">
        <v>1073.692183</v>
      </c>
      <c r="M389" s="278" t="n">
        <v>1073.692183</v>
      </c>
      <c r="N389" s="278" t="n">
        <v>1066.386643</v>
      </c>
      <c r="O389" s="278" t="n">
        <v>1060.439387</v>
      </c>
      <c r="P389" s="278" t="n">
        <v>1054.813911</v>
      </c>
      <c r="Q389" s="278" t="n">
        <v>1048.766702</v>
      </c>
      <c r="R389" s="278" t="n">
        <v>1048.766702</v>
      </c>
      <c r="S389" s="278" t="n">
        <v>1043.337235</v>
      </c>
      <c r="T389" s="278" t="n">
        <v>1037.562513</v>
      </c>
      <c r="U389" s="153" t="n"/>
      <c r="V389" s="153" t="n"/>
      <c r="W389" s="289">
        <f>W342</f>
        <v>1026.57550001299</v>
      </c>
      <c r="X389" s="289">
        <f>X342</f>
        <v>1029.07779355967</v>
      </c>
      <c r="Y389" s="289">
        <f>Y342</f>
        <v>1001.620044714</v>
      </c>
      <c r="Z389" s="289">
        <f>Z342</f>
        <v>975.711460559167</v>
      </c>
      <c r="AA389" s="289">
        <f>AA342</f>
        <v>950.02709835219</v>
      </c>
      <c r="AB389" s="289">
        <f>AB342</f>
        <v>925.780049702323</v>
      </c>
      <c r="AC389" s="153" t="n"/>
    </row>
    <row r="390" ht="15" customHeight="1" s="251">
      <c r="AK390" s="11" t="n"/>
      <c r="AL390" s="12" t="n"/>
      <c r="AM390" s="12" t="n"/>
      <c r="AN390" s="12" t="n"/>
      <c r="AO390" s="13" t="n"/>
    </row>
    <row r="391" ht="15" customHeight="1" s="251">
      <c r="B391" s="10" t="inlineStr">
        <is>
          <t>WORKING CAPITAL &amp; CASH CONVERSION</t>
        </is>
      </c>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c r="AA391" s="10" t="n"/>
      <c r="AB391" s="10" t="n"/>
      <c r="AC391" s="10" t="inlineStr">
        <is>
          <t>WORKING CAPITAL — forecast drivers (blue = input; fiscal-year-end levels)</t>
        </is>
      </c>
    </row>
    <row r="392" ht="15" customHeight="1" s="251">
      <c r="B392" s="25" t="inlineStr">
        <is>
          <t xml:space="preserve">  Adjusted revenue — annualised (quarters × 4)</t>
        </is>
      </c>
      <c r="C392" s="211">
        <f>IF(ISNUMBER(C105),C105*1,"")</f>
        <v>26182</v>
      </c>
      <c r="D392" s="211">
        <f>IF(ISNUMBER(D105),D105*4,"")</f>
        <v>28180</v>
      </c>
      <c r="E392" s="211">
        <f>IF(ISNUMBER(E105),E105*4,"")</f>
        <v>31628</v>
      </c>
      <c r="F392" s="211">
        <f>IF(ISNUMBER(F105),F105*4,"")</f>
        <v>33840</v>
      </c>
      <c r="G392" s="211">
        <f>IF(ISNUMBER(G105),G105*4,"")</f>
        <v>34188</v>
      </c>
      <c r="H392" s="211">
        <f>IF(ISNUMBER(H105),H105*1,"")</f>
        <v>31959</v>
      </c>
      <c r="I392" s="211">
        <f>IF(ISNUMBER(I105),I105*4,"")</f>
        <v>32304</v>
      </c>
      <c r="J392" s="211">
        <f>IF(ISNUMBER(J105),J105*4,"")</f>
        <v>32892</v>
      </c>
      <c r="K392" s="211">
        <f>IF(ISNUMBER(K105),K105*4,"")</f>
        <v>35772</v>
      </c>
      <c r="L392" s="211">
        <f>IF(ISNUMBER(L105),L105*4,"")</f>
        <v>39516</v>
      </c>
      <c r="M392" s="211">
        <f>IF(ISNUMBER(M105),M105*1,"")</f>
        <v>35120</v>
      </c>
      <c r="N392" s="211">
        <f>IF(ISNUMBER(N105),N105*4,"")</f>
        <v>36000</v>
      </c>
      <c r="O392" s="211">
        <f>IF(ISNUMBER(O105),O105*4,"")</f>
        <v>40604</v>
      </c>
      <c r="P392" s="211">
        <f>IF(ISNUMBER(P105),P105*4,"")</f>
        <v>45216</v>
      </c>
      <c r="Q392" s="211">
        <f>IF(ISNUMBER(Q105),Q105*4,"")</f>
        <v>47460</v>
      </c>
      <c r="R392" s="211">
        <f>IF(ISNUMBER(R105),R105*1,"")</f>
        <v>42322</v>
      </c>
      <c r="S392" s="211">
        <f>IF(ISNUMBER(S105),S105*4,"")</f>
        <v>46456</v>
      </c>
      <c r="T392" s="211">
        <f>IF(ISNUMBER(T105),T105*4,"")</f>
        <v>50536</v>
      </c>
      <c r="U392" s="35" t="n"/>
      <c r="V392" s="35" t="n"/>
      <c r="W392" s="254">
        <f>IF(ISNUMBER(W105),W105*1,"")</f>
        <v>49939.96</v>
      </c>
      <c r="X392" s="254">
        <f>IF(ISNUMBER(X105),X105*1,"")</f>
        <v>56345.5394005645</v>
      </c>
      <c r="Y392" s="254">
        <f>IF(ISNUMBER(Y105),Y105*1,"")</f>
        <v>63090.1777903595</v>
      </c>
      <c r="Z392" s="254">
        <f>IF(ISNUMBER(Z105),Z105*1,"")</f>
        <v>68257.8627318879</v>
      </c>
      <c r="AA392" s="254">
        <f>IF(ISNUMBER(AA105),AA105*1,"")</f>
        <v>73294.6282523242</v>
      </c>
      <c r="AB392" s="254">
        <f>IF(ISNUMBER(AB105),AB105*1,"")</f>
        <v>77986.5026019853</v>
      </c>
      <c r="AC392" s="19" t="n"/>
    </row>
    <row r="393" ht="15" customHeight="1" s="251">
      <c r="B393" s="25" t="inlineStr">
        <is>
          <t xml:space="preserve">  Cost of equipment and services sold — annualised</t>
        </is>
      </c>
      <c r="C393" s="211">
        <f>IF(ISNUMBER(C159),(C159+C160)*1,"")</f>
        <v>18987</v>
      </c>
      <c r="D393" s="211">
        <f>IF(ISNUMBER(D159),(D159+D160)*4,"")</f>
        <v>19996</v>
      </c>
      <c r="E393" s="211">
        <f>IF(ISNUMBER(E159),(E159+E160)*4,"")</f>
        <v>22768</v>
      </c>
      <c r="F393" s="211">
        <f>IF(ISNUMBER(F159),(F159+F160)*4,"")</f>
        <v>23968</v>
      </c>
      <c r="G393" s="211">
        <f>IF(ISNUMBER(G159),(G159+G160)*4,"")</f>
        <v>25024</v>
      </c>
      <c r="H393" s="211">
        <f>IF(ISNUMBER(H159),(H159+H160)*1,"")</f>
        <v>22939</v>
      </c>
      <c r="I393" s="211">
        <f>IF(ISNUMBER(I159),(I159+I160)*4,"")</f>
        <v>22984</v>
      </c>
      <c r="J393" s="211">
        <f>IF(ISNUMBER(J159),(J159+J160)*4,"")</f>
        <v>22300</v>
      </c>
      <c r="K393" s="211">
        <f>IF(ISNUMBER(K159),(K159+K160)*4,"")</f>
        <v>24904</v>
      </c>
      <c r="L393" s="211">
        <f>IF(ISNUMBER(L159),(L159+L160)*4,"")</f>
        <v>27048</v>
      </c>
      <c r="M393" s="211">
        <f>IF(ISNUMBER(M159),(M159+M160)*1,"")</f>
        <v>24308</v>
      </c>
      <c r="N393" s="211">
        <f>IF(ISNUMBER(N159),(N159+N160)*4,"")</f>
        <v>23980</v>
      </c>
      <c r="O393" s="211">
        <f>IF(ISNUMBER(O159),(O159+O160)*4,"")</f>
        <v>27384</v>
      </c>
      <c r="P393" s="211">
        <f>IF(ISNUMBER(P159),(P159+P160)*4,"")</f>
        <v>31048</v>
      </c>
      <c r="Q393" s="211">
        <f>IF(ISNUMBER(Q159),(Q159+Q160)*4,"")</f>
        <v>33452</v>
      </c>
      <c r="R393" s="211">
        <f>IF(ISNUMBER(R159),(R159+R160)*1,"")</f>
        <v>28968</v>
      </c>
      <c r="S393" s="211">
        <f>IF(ISNUMBER(S159),(S159+S160)*4,"")</f>
        <v>31688</v>
      </c>
      <c r="T393" s="211">
        <f>IF(ISNUMBER(T159),(T159+T160)*4,"")</f>
        <v>34692</v>
      </c>
      <c r="U393" s="35" t="n"/>
      <c r="V393" s="35" t="n"/>
      <c r="W393" s="254">
        <f>IF(ISNUMBER(W159),(W159+W160)*1,"")</f>
        <v>34301.4628290993</v>
      </c>
      <c r="X393" s="254">
        <f>IF(ISNUMBER(X159),(X159+X160)*1,"")</f>
        <v>38496.7637806276</v>
      </c>
      <c r="Y393" s="254">
        <f>IF(ISNUMBER(Y159),(Y159+Y160)*1,"")</f>
        <v>43072.2503361043</v>
      </c>
      <c r="Z393" s="254">
        <f>IF(ISNUMBER(Z159),(Z159+Z160)*1,"")</f>
        <v>46008.2753113789</v>
      </c>
      <c r="AA393" s="254">
        <f>IF(ISNUMBER(AA159),(AA159+AA160)*1,"")</f>
        <v>48975.6080399884</v>
      </c>
      <c r="AB393" s="254">
        <f>IF(ISNUMBER(AB159),(AB159+AB160)*1,"")</f>
        <v>51832.0768232002</v>
      </c>
      <c r="AC393" s="19" t="n"/>
    </row>
    <row r="394" ht="15" customHeight="1" s="251">
      <c r="B394" s="25" t="inlineStr">
        <is>
          <t xml:space="preserve">  DSO — receivables / adjusted revenue × 365</t>
        </is>
      </c>
      <c r="C394" s="290">
        <f>IFERROR(C350/C392*365,"")</f>
        <v>0</v>
      </c>
      <c r="D394" s="290">
        <f>IFERROR(D350/D392*365,"")</f>
        <v>0</v>
      </c>
      <c r="E394" s="290">
        <f>IFERROR(E350/E392*365,"")</f>
        <v>0</v>
      </c>
      <c r="F394" s="290">
        <f>IFERROR(F350/F392*365,"")</f>
        <v>0</v>
      </c>
      <c r="G394" s="290">
        <f>IFERROR(G350/G392*365,"")</f>
        <v>92.9154966654967</v>
      </c>
      <c r="H394" s="290">
        <f>IFERROR(H350/H392*365,"")</f>
        <v>99.3959448042805</v>
      </c>
      <c r="I394" s="290">
        <f>IFERROR(I350/I392*365,"")</f>
        <v>0</v>
      </c>
      <c r="J394" s="290">
        <f>IFERROR(J350/J392*365,"")</f>
        <v>92.8812477198103</v>
      </c>
      <c r="K394" s="290">
        <f>IFERROR(K350/K392*365,"")</f>
        <v>91.1785754221179</v>
      </c>
      <c r="L394" s="290">
        <f>IFERROR(L350/L392*365,"")</f>
        <v>86.1513058001822</v>
      </c>
      <c r="M394" s="290">
        <f>IFERROR(M350/M392*365,"")</f>
        <v>96.934937357631</v>
      </c>
      <c r="N394" s="290">
        <f>IFERROR(N350/N392*365,"")</f>
        <v>97.8706944444444</v>
      </c>
      <c r="O394" s="290">
        <f>IFERROR(O350/O392*365,"")</f>
        <v>94.4951236331396</v>
      </c>
      <c r="P394" s="290">
        <f>IFERROR(P350/P392*365,"")</f>
        <v>86.1401937367304</v>
      </c>
      <c r="Q394" s="290">
        <f>IFERROR(Q350/Q392*365,"")</f>
        <v>90.5424568057311</v>
      </c>
      <c r="R394" s="290">
        <f>IFERROR(R350/R392*365,"")</f>
        <v>101.534544681253</v>
      </c>
      <c r="S394" s="290">
        <f>IFERROR(S350/S392*365,"")</f>
        <v>97.9440761150336</v>
      </c>
      <c r="T394" s="290">
        <f>IFERROR(T350/T392*365,"")</f>
        <v>89.2710147221783</v>
      </c>
      <c r="U394" s="35" t="n"/>
      <c r="V394" s="35" t="n"/>
      <c r="W394" s="291" t="n">
        <v>102</v>
      </c>
      <c r="X394" s="291" t="n">
        <v>102</v>
      </c>
      <c r="Y394" s="291" t="n">
        <v>102</v>
      </c>
      <c r="Z394" s="291" t="n">
        <v>102</v>
      </c>
      <c r="AA394" s="291" t="n">
        <v>102</v>
      </c>
      <c r="AB394" s="291" t="n">
        <v>102</v>
      </c>
      <c r="AC394" s="19" t="n"/>
    </row>
    <row r="395" ht="15" customHeight="1" s="251">
      <c r="B395" s="25" t="inlineStr">
        <is>
          <t xml:space="preserve">  Inventory days — inventories / cost of sales × 365</t>
        </is>
      </c>
      <c r="C395" s="290">
        <f>IFERROR(C351/C393*365,"")</f>
        <v>0</v>
      </c>
      <c r="D395" s="290">
        <f>IFERROR(D351/D393*365,"")</f>
        <v>0</v>
      </c>
      <c r="E395" s="290">
        <f>IFERROR(E351/E393*365,"")</f>
        <v>0</v>
      </c>
      <c r="F395" s="290">
        <f>IFERROR(F351/F393*365,"")</f>
        <v>0</v>
      </c>
      <c r="G395" s="290">
        <f>IFERROR(G351/G393*365,"")</f>
        <v>120.830402813299</v>
      </c>
      <c r="H395" s="290">
        <f>IFERROR(H351/H393*365,"")</f>
        <v>131.81306944505</v>
      </c>
      <c r="I395" s="290">
        <f>IFERROR(I351/I393*365,"")</f>
        <v>0</v>
      </c>
      <c r="J395" s="290">
        <f>IFERROR(J351/J393*365,"")</f>
        <v>154.985874439462</v>
      </c>
      <c r="K395" s="290">
        <f>IFERROR(K351/K393*365,"")</f>
        <v>142.429730163829</v>
      </c>
      <c r="L395" s="290">
        <f>IFERROR(L351/L393*365,"")</f>
        <v>131.747079266489</v>
      </c>
      <c r="M395" s="290">
        <f>IFERROR(M351/M393*365,"")</f>
        <v>146.597622181998</v>
      </c>
      <c r="N395" s="290">
        <f>IFERROR(N351/N393*365,"")</f>
        <v>159.881567973311</v>
      </c>
      <c r="O395" s="290">
        <f>IFERROR(O351/O393*365,"")</f>
        <v>150.577161846334</v>
      </c>
      <c r="P395" s="290">
        <f>IFERROR(P351/P393*365,"")</f>
        <v>137.157143777377</v>
      </c>
      <c r="Q395" s="290">
        <f>IFERROR(Q351/Q393*365,"")</f>
        <v>129.493602774124</v>
      </c>
      <c r="R395" s="290">
        <f>IFERROR(R351/R393*365,"")</f>
        <v>149.538111019056</v>
      </c>
      <c r="S395" s="290">
        <f>IFERROR(S351/S393*365,"")</f>
        <v>142.449981065388</v>
      </c>
      <c r="T395" s="290">
        <f>IFERROR(T351/T393*365,"")</f>
        <v>130.883200737922</v>
      </c>
      <c r="U395" s="35" t="n"/>
      <c r="V395" s="35" t="n"/>
      <c r="W395" s="291" t="n">
        <v>150</v>
      </c>
      <c r="X395" s="291" t="n">
        <v>150</v>
      </c>
      <c r="Y395" s="291" t="n">
        <v>150</v>
      </c>
      <c r="Z395" s="291" t="n">
        <v>150</v>
      </c>
      <c r="AA395" s="291" t="n">
        <v>150</v>
      </c>
      <c r="AB395" s="291" t="n">
        <v>150</v>
      </c>
      <c r="AC395" s="19" t="n"/>
    </row>
    <row r="396" ht="15" customHeight="1" s="251">
      <c r="B396" s="25" t="inlineStr">
        <is>
          <t xml:space="preserve">  Payable days — payables / cost of sales × 365</t>
        </is>
      </c>
      <c r="C396" s="290">
        <f>IFERROR(C366/C393*365,"")</f>
        <v>0</v>
      </c>
      <c r="D396" s="290">
        <f>IFERROR(D366/D393*365,"")</f>
        <v>0</v>
      </c>
      <c r="E396" s="290">
        <f>IFERROR(E366/E393*365,"")</f>
        <v>0</v>
      </c>
      <c r="F396" s="290">
        <f>IFERROR(F366/F393*365,"")</f>
        <v>0</v>
      </c>
      <c r="G396" s="290">
        <f>IFERROR(G366/G393*365,"")</f>
        <v>109.628356777494</v>
      </c>
      <c r="H396" s="290">
        <f>IFERROR(H366/H393*365,"")</f>
        <v>119.592833166223</v>
      </c>
      <c r="I396" s="290">
        <f>IFERROR(I366/I393*365,"")</f>
        <v>0</v>
      </c>
      <c r="J396" s="290">
        <f>IFERROR(J366/J393*365,"")</f>
        <v>126.145964125561</v>
      </c>
      <c r="K396" s="290">
        <f>IFERROR(K366/K393*365,"")</f>
        <v>114.744017025377</v>
      </c>
      <c r="L396" s="290">
        <f>IFERROR(L366/L393*365,"")</f>
        <v>106.728223898255</v>
      </c>
      <c r="M396" s="290">
        <f>IFERROR(M366/M393*365,"")</f>
        <v>118.75863913115</v>
      </c>
      <c r="N396" s="290">
        <f>IFERROR(N366/N393*365,"")</f>
        <v>131.281276063386</v>
      </c>
      <c r="O396" s="290">
        <f>IFERROR(O366/O393*365,"")</f>
        <v>126.558391761613</v>
      </c>
      <c r="P396" s="290">
        <f>IFERROR(P366/P393*365,"")</f>
        <v>111.505572017521</v>
      </c>
      <c r="Q396" s="290">
        <f>IFERROR(Q366/Q393*365,"")</f>
        <v>109.962633026426</v>
      </c>
      <c r="R396" s="290">
        <f>IFERROR(R366/R393*365,"")</f>
        <v>126.983913283623</v>
      </c>
      <c r="S396" s="290">
        <f>IFERROR(S366/S393*365,"")</f>
        <v>123.052732895733</v>
      </c>
      <c r="T396" s="290">
        <f>IFERROR(T366/T393*365,"")</f>
        <v>113.8599677159</v>
      </c>
      <c r="U396" s="35" t="n"/>
      <c r="V396" s="35" t="n"/>
      <c r="W396" s="291" t="n">
        <v>127</v>
      </c>
      <c r="X396" s="291" t="n">
        <v>127</v>
      </c>
      <c r="Y396" s="291" t="n">
        <v>127</v>
      </c>
      <c r="Z396" s="291" t="n">
        <v>127</v>
      </c>
      <c r="AA396" s="291" t="n">
        <v>127</v>
      </c>
      <c r="AB396" s="291" t="n">
        <v>127</v>
      </c>
      <c r="AC396" s="19" t="n"/>
    </row>
    <row r="397" ht="15" customHeight="1" s="251">
      <c r="B397" s="25" t="inlineStr">
        <is>
          <t xml:space="preserve">  Current contract assets % of adjusted revenue</t>
        </is>
      </c>
      <c r="C397" s="215">
        <f>IFERROR(C352/C392,"")</f>
        <v>0</v>
      </c>
      <c r="D397" s="215">
        <f>IFERROR(D352/D392,"")</f>
        <v>0</v>
      </c>
      <c r="E397" s="215">
        <f>IFERROR(E352/E392,"")</f>
        <v>0</v>
      </c>
      <c r="F397" s="215">
        <f>IFERROR(F352/F392,"")</f>
        <v>0</v>
      </c>
      <c r="G397" s="215">
        <f>IFERROR(G352/G392,"")</f>
        <v>0.0840938340938341</v>
      </c>
      <c r="H397" s="215">
        <f>IFERROR(H352/H392,"")</f>
        <v>0.0899590099815388</v>
      </c>
      <c r="I397" s="215">
        <f>IFERROR(I352/I392,"")</f>
        <v>0</v>
      </c>
      <c r="J397" s="215">
        <f>IFERROR(J352/J392,"")</f>
        <v>0.0826644776845434</v>
      </c>
      <c r="K397" s="215">
        <f>IFERROR(K352/K392,"")</f>
        <v>0.0806217153080622</v>
      </c>
      <c r="L397" s="215">
        <f>IFERROR(L352/L392,"")</f>
        <v>0.0754631035529912</v>
      </c>
      <c r="M397" s="215">
        <f>IFERROR(M352/M392,"")</f>
        <v>0.0849088838268793</v>
      </c>
      <c r="N397" s="215">
        <f>IFERROR(N352/N392,"")</f>
        <v>0.0816666666666667</v>
      </c>
      <c r="O397" s="215">
        <f>IFERROR(O352/O392,"")</f>
        <v>0.0753374051817555</v>
      </c>
      <c r="P397" s="215">
        <f>IFERROR(P352/P392,"")</f>
        <v>0.0688030785562633</v>
      </c>
      <c r="Q397" s="215">
        <f>IFERROR(Q352/Q392,"")</f>
        <v>0.0739780868099452</v>
      </c>
      <c r="R397" s="215">
        <f>IFERROR(R352/R392,"")</f>
        <v>0.0829592174282879</v>
      </c>
      <c r="S397" s="215">
        <f>IFERROR(S352/S392,"")</f>
        <v>0.0740270363354572</v>
      </c>
      <c r="T397" s="215">
        <f>IFERROR(T352/T392,"")</f>
        <v>0.0687232863701124</v>
      </c>
      <c r="U397" s="24" t="n"/>
      <c r="V397" s="24" t="n"/>
      <c r="W397" s="267" t="n">
        <v>0.083</v>
      </c>
      <c r="X397" s="267" t="n">
        <v>0.083</v>
      </c>
      <c r="Y397" s="267" t="n">
        <v>0.083</v>
      </c>
      <c r="Z397" s="267" t="n">
        <v>0.083</v>
      </c>
      <c r="AA397" s="267" t="n">
        <v>0.083</v>
      </c>
      <c r="AB397" s="267" t="n">
        <v>0.083</v>
      </c>
      <c r="AC397" s="153" t="n"/>
    </row>
    <row r="398" ht="15" customHeight="1" s="251">
      <c r="B398" s="25" t="inlineStr">
        <is>
          <t xml:space="preserve">  Customer advances (progress collections + contract liabilities) % of adjusted revenue</t>
        </is>
      </c>
      <c r="C398" s="215">
        <f>IFERROR(C367/C392,"")</f>
      </c>
      <c r="D398" s="215">
        <f>IFERROR(D367/D392,"")</f>
      </c>
      <c r="E398" s="215">
        <f>IFERROR(E367/E392,"")</f>
      </c>
      <c r="F398" s="215">
        <f>IFERROR(F367/F392,"")</f>
      </c>
      <c r="G398" s="215">
        <f>IFERROR(G367/G392,"")</f>
        <v>0.424096174096174</v>
      </c>
      <c r="H398" s="215">
        <f>IFERROR(H367/H392,"")</f>
        <v>0.453675021120811</v>
      </c>
      <c r="I398" s="215">
        <f>IFERROR(I367/I392,"")</f>
      </c>
      <c r="J398" s="215">
        <f>IFERROR(J367/J392,"")</f>
        <v>0.460172686367506</v>
      </c>
      <c r="K398" s="215">
        <f>IFERROR(K367/K392,"")</f>
        <v>0.433970703343397</v>
      </c>
      <c r="L398" s="215">
        <f>IFERROR(L367/L392,"")</f>
        <v>0.406113979147687</v>
      </c>
      <c r="M398" s="215">
        <f>IFERROR(M367/M392,"")</f>
        <v>0.456947608200456</v>
      </c>
      <c r="N398" s="215">
        <f>IFERROR(N367/N392,"")</f>
        <v>0.457388888888889</v>
      </c>
      <c r="O398" s="215">
        <f>IFERROR(O367/O392,"")</f>
        <v>0.412865727514531</v>
      </c>
      <c r="P398" s="215">
        <f>IFERROR(P367/P392,"")</f>
        <v>0.372301840056617</v>
      </c>
      <c r="Q398" s="215">
        <f>IFERROR(Q367/Q392,"")</f>
        <v>0.379161399072903</v>
      </c>
      <c r="R398" s="215">
        <f>IFERROR(R367/R392,"")</f>
        <v>0.425192571239544</v>
      </c>
      <c r="S398" s="215">
        <f>IFERROR(S367/S392,"")</f>
        <v>0.385848975374548</v>
      </c>
      <c r="T398" s="215">
        <f>IFERROR(T367/T392,"")</f>
        <v>0.35808136773785</v>
      </c>
      <c r="U398" s="24" t="n"/>
      <c r="V398" s="24" t="n"/>
      <c r="W398" s="256">
        <f>IFERROR(W367/W392,"")</f>
        <v>0.421645048166676</v>
      </c>
      <c r="X398" s="256">
        <f>$W$398</f>
        <v>0.421645048166676</v>
      </c>
      <c r="Y398" s="256">
        <f>$W$398</f>
        <v>0.421645048166676</v>
      </c>
      <c r="Z398" s="256">
        <f>$W$398</f>
        <v>0.421645048166676</v>
      </c>
      <c r="AA398" s="256">
        <f>$W$398</f>
        <v>0.421645048166676</v>
      </c>
      <c r="AB398" s="256">
        <f>$W$398</f>
        <v>0.421645048166676</v>
      </c>
      <c r="AC398" s="153" t="inlineStr">
        <is>
          <t>FY26E: output of the FCF calibration; 2027E+: held at the FY26E ratio.</t>
        </is>
      </c>
    </row>
    <row r="399" ht="15" customHeight="1" s="251">
      <c r="B399" s="25" t="inlineStr">
        <is>
          <t xml:space="preserve">  Sales discounts and allowances % of adjusted revenue</t>
        </is>
      </c>
      <c r="C399" s="215">
        <f>IFERROR(C368/C392,"")</f>
        <v>0</v>
      </c>
      <c r="D399" s="215">
        <f>IFERROR(D368/D392,"")</f>
        <v>0</v>
      </c>
      <c r="E399" s="215">
        <f>IFERROR(E368/E392,"")</f>
        <v>0</v>
      </c>
      <c r="F399" s="215">
        <f>IFERROR(F368/F392,"")</f>
        <v>0</v>
      </c>
      <c r="G399" s="215">
        <f>IFERROR(G368/G392,"")</f>
        <v>0.109424359424359</v>
      </c>
      <c r="H399" s="215">
        <f>IFERROR(H368/H392,"")</f>
        <v>0.1170562282925</v>
      </c>
      <c r="I399" s="215">
        <f>IFERROR(I368/I392,"")</f>
        <v>0</v>
      </c>
      <c r="J399" s="215">
        <f>IFERROR(J368/J392,"")</f>
        <v>0.110634804815761</v>
      </c>
      <c r="K399" s="215">
        <f>IFERROR(K368/K392,"")</f>
        <v>0.113860002236386</v>
      </c>
      <c r="L399" s="215">
        <f>IFERROR(L368/L392,"")</f>
        <v>0.0879390626581638</v>
      </c>
      <c r="M399" s="215">
        <f>IFERROR(M368/M392,"")</f>
        <v>0.0989464692482916</v>
      </c>
      <c r="N399" s="215">
        <f>IFERROR(N368/N392,"")</f>
        <v>0.09875</v>
      </c>
      <c r="O399" s="215">
        <f>IFERROR(O368/O392,"")</f>
        <v>0.0966160969362624</v>
      </c>
      <c r="P399" s="215">
        <f>IFERROR(P368/P392,"")</f>
        <v>0.0891056263269639</v>
      </c>
      <c r="Q399" s="215">
        <f>IFERROR(Q368/Q392,"")</f>
        <v>0.0850611040876528</v>
      </c>
      <c r="R399" s="215">
        <f>IFERROR(R368/R392,"")</f>
        <v>0.0953877416001134</v>
      </c>
      <c r="S399" s="215">
        <f>IFERROR(S368/S392,"")</f>
        <v>0.108425176511107</v>
      </c>
      <c r="T399" s="215">
        <f>IFERROR(T368/T392,"")</f>
        <v>0.0988008548361564</v>
      </c>
      <c r="U399" s="24" t="n"/>
      <c r="V399" s="24" t="n"/>
      <c r="W399" s="267" t="n">
        <v>0.095</v>
      </c>
      <c r="X399" s="267" t="n">
        <v>0.095</v>
      </c>
      <c r="Y399" s="267" t="n">
        <v>0.095</v>
      </c>
      <c r="Z399" s="267" t="n">
        <v>0.095</v>
      </c>
      <c r="AA399" s="267" t="n">
        <v>0.095</v>
      </c>
      <c r="AB399" s="267" t="n">
        <v>0.095</v>
      </c>
      <c r="AC399" s="153" t="n"/>
    </row>
    <row r="400" ht="15" customHeight="1" s="251">
      <c r="B400" s="25" t="inlineStr">
        <is>
          <t xml:space="preserve">  Other current liabilities % of adjusted revenue</t>
        </is>
      </c>
      <c r="C400" s="215">
        <f>IFERROR(C369/C392,"")</f>
        <v>0</v>
      </c>
      <c r="D400" s="215">
        <f>IFERROR(D369/D392,"")</f>
        <v>0</v>
      </c>
      <c r="E400" s="215">
        <f>IFERROR(E369/E392,"")</f>
        <v>0</v>
      </c>
      <c r="F400" s="215">
        <f>IFERROR(F369/F392,"")</f>
        <v>0</v>
      </c>
      <c r="G400" s="215">
        <f>IFERROR(G369/G392,"")</f>
        <v>0.153240903240903</v>
      </c>
      <c r="H400" s="215">
        <f>IFERROR(H369/H392,"")</f>
        <v>0.163928783754185</v>
      </c>
      <c r="I400" s="215">
        <f>IFERROR(I369/I392,"")</f>
        <v>0</v>
      </c>
      <c r="J400" s="215">
        <f>IFERROR(J369/J392,"")</f>
        <v>0.138878754712392</v>
      </c>
      <c r="K400" s="215">
        <f>IFERROR(K369/K392,"")</f>
        <v>0.139382757463938</v>
      </c>
      <c r="L400" s="215">
        <f>IFERROR(L369/L392,"")</f>
        <v>0.124531835205993</v>
      </c>
      <c r="M400" s="215">
        <f>IFERROR(M369/M392,"")</f>
        <v>0.140119589977221</v>
      </c>
      <c r="N400" s="215">
        <f>IFERROR(N369/N392,"")</f>
        <v>0.116972222222222</v>
      </c>
      <c r="O400" s="215">
        <f>IFERROR(O369/O392,"")</f>
        <v>0.10824056743178</v>
      </c>
      <c r="P400" s="215">
        <f>IFERROR(P369/P392,"")</f>
        <v>0.105891719745223</v>
      </c>
      <c r="Q400" s="215">
        <f>IFERROR(Q369/Q392,"")</f>
        <v>0.109228824273072</v>
      </c>
      <c r="R400" s="215">
        <f>IFERROR(R369/R392,"")</f>
        <v>0.122489485374037</v>
      </c>
      <c r="S400" s="215">
        <f>IFERROR(S369/S392,"")</f>
        <v>0.0921086619597038</v>
      </c>
      <c r="T400" s="215">
        <f>IFERROR(T369/T392,"")</f>
        <v>0.0894214025645085</v>
      </c>
      <c r="U400" s="24" t="n"/>
      <c r="V400" s="24" t="n"/>
      <c r="W400" s="256">
        <f>IFERROR(W369/W392,"")</f>
        <v>0.0904886587814648</v>
      </c>
      <c r="X400" s="256">
        <f>$W$400</f>
        <v>0.0904886587814648</v>
      </c>
      <c r="Y400" s="256">
        <f>$W$400</f>
        <v>0.0904886587814648</v>
      </c>
      <c r="Z400" s="256">
        <f>$W$400</f>
        <v>0.0904886587814648</v>
      </c>
      <c r="AA400" s="256">
        <f>$W$400</f>
        <v>0.0904886587814648</v>
      </c>
      <c r="AB400" s="256">
        <f>$W$400</f>
        <v>0.0904886587814648</v>
      </c>
      <c r="AC400" s="153" t="inlineStr">
        <is>
          <t>Forecast inputs at the 31-Dec-2025 levels on FY2025 adjusted revenue / cost of equipment and services sold (DSO 102d, inventory 150d, payables 127d, contract assets 8.3%, customer advances 42.5%, SD&amp;A 9.5%, other current liabilities 12.2% of adjusted revenue); year ends are compared with year ends. Other current liabilities: FY26E held at the 30-Jun-2026 level, then the FY26E ratio.</t>
        </is>
      </c>
    </row>
    <row r="401" ht="15" customHeight="1" s="251">
      <c r="B401" s="25" t="inlineStr">
        <is>
          <t xml:space="preserve">  Operating NWC (receivables + inventories + contract assets − payables − advances − SD&amp;A − other current liabilities)</t>
        </is>
      </c>
      <c r="C401" s="211">
        <f>IF(ISNUMBER(C350),C350+C351+C352-C366-C367-C368-C369,"")</f>
      </c>
      <c r="D401" s="211">
        <f>IF(ISNUMBER(D350),D350+D351+D352-D366-D367-D368-D369,"")</f>
      </c>
      <c r="E401" s="211">
        <f>IF(ISNUMBER(E350),E350+E351+E352-E366-E367-E368-E369,"")</f>
      </c>
      <c r="F401" s="211">
        <f>IF(ISNUMBER(F350),F350+F351+F352-F366-F367-F368-F369,"")</f>
      </c>
      <c r="G401" s="211">
        <f>IF(ISNUMBER(G350),G350+G351+G352-G366-G367-G368-G369,"")</f>
        <v>-11133</v>
      </c>
      <c r="H401" s="211">
        <f>IF(ISNUMBER(H350),H350+H351+H352-H366-H367-H368-H369,"")</f>
        <v>-11133</v>
      </c>
      <c r="I401" s="211">
        <f>IF(ISNUMBER(I350),I350+I351+I352-I366-I367-I368-I369,"")</f>
      </c>
      <c r="J401" s="211">
        <f>IF(ISNUMBER(J350),J350+J351+J352-J366-J367-J368-J369,"")</f>
        <v>-10492</v>
      </c>
      <c r="K401" s="211">
        <f>IF(ISNUMBER(K350),K350+K351+K352-K366-K367-K368-K369,"")</f>
        <v>-10874</v>
      </c>
      <c r="L401" s="211">
        <f>IF(ISNUMBER(L350),L350+L351+L352-L366-L367-L368-L369,"")</f>
        <v>-10281</v>
      </c>
      <c r="M401" s="211">
        <f>IF(ISNUMBER(M350),M350+M351+M352-M366-M367-M368-M369,"")</f>
        <v>-10281</v>
      </c>
      <c r="N401" s="211">
        <f>IF(ISNUMBER(N350),N350+N351+N352-N366-N367-N368-N369,"")</f>
        <v>-9760</v>
      </c>
      <c r="O401" s="211">
        <f>IF(ISNUMBER(O350),O350+O351+O352-O366-O367-O368-O369,"")</f>
        <v>-9709</v>
      </c>
      <c r="P401" s="211">
        <f>IF(ISNUMBER(P350),P350+P351+P352-P366-P367-P368-P369,"")</f>
        <v>-9687</v>
      </c>
      <c r="Q401" s="211">
        <f>IF(ISNUMBER(Q350),Q350+Q351+Q352-Q366-Q367-Q368-Q369,"")</f>
        <v>-10142</v>
      </c>
      <c r="R401" s="211">
        <f>IF(ISNUMBER(R350),R350+R351+R352-R366-R367-R368-R369,"")</f>
        <v>-10142</v>
      </c>
      <c r="S401" s="211">
        <f>IF(ISNUMBER(S350),S350+S351+S352-S366-S367-S368-S369,"")</f>
        <v>-9652</v>
      </c>
      <c r="T401" s="211">
        <f>IF(ISNUMBER(T350),T350+T351+T352-T366-T367-T368-T369,"")</f>
        <v>-10157</v>
      </c>
      <c r="U401" s="35" t="n"/>
      <c r="V401" s="35" t="n"/>
      <c r="W401" s="254">
        <f>IF(ISNUMBER(W350),W350+W351+W352-W366-W367-W368-W369,"")</f>
        <v>-10057.92988</v>
      </c>
      <c r="X401" s="254">
        <f>IF(ISNUMBER(X350),X350+X351+X352-X366-X367-X368-X369,"")</f>
        <v>-11360.896200909</v>
      </c>
      <c r="Y401" s="254">
        <f>IF(ISNUMBER(Y350),Y350+Y351+Y352-Y366-Y367-Y368-Y369,"")</f>
        <v>-12722.8671344097</v>
      </c>
      <c r="Z401" s="254">
        <f>IF(ISNUMBER(Z350),Z350+Z351+Z352-Z366-Z367-Z368-Z369,"")</f>
        <v>-13802.2950307497</v>
      </c>
      <c r="AA401" s="254">
        <f>IF(ISNUMBER(AA350),AA350+AA351+AA352-AA366-AA367-AA368-AA369,"")</f>
        <v>-14847.7165295046</v>
      </c>
      <c r="AB401" s="254">
        <f>IF(ISNUMBER(AB350),AB350+AB351+AB352-AB366-AB367-AB368-AB369,"")</f>
        <v>-15815.7354340251</v>
      </c>
      <c r="AC401" s="19" t="n"/>
    </row>
    <row r="402" ht="15" customHeight="1" s="251">
      <c r="B402" s="25" t="inlineStr">
        <is>
          <t xml:space="preserve">  NWC % of adjusted revenue</t>
        </is>
      </c>
      <c r="C402" s="215">
        <f>IF(ISNUMBER(C401),IFERROR(C401/C392,""),"")</f>
      </c>
      <c r="D402" s="215">
        <f>IF(ISNUMBER(D401),IFERROR(D401/D392,""),"")</f>
      </c>
      <c r="E402" s="215">
        <f>IF(ISNUMBER(E401),IFERROR(E401/E392,""),"")</f>
      </c>
      <c r="F402" s="215">
        <f>IF(ISNUMBER(F401),IFERROR(F401/F392,""),"")</f>
      </c>
      <c r="G402" s="215">
        <f>IF(ISNUMBER(G401),IFERROR(G401/G392,""),"")</f>
        <v>-0.325640575640576</v>
      </c>
      <c r="H402" s="215">
        <f>IF(ISNUMBER(H401),IFERROR(H401/H392,""),"")</f>
        <v>-0.348352576738947</v>
      </c>
      <c r="I402" s="215">
        <f>IF(ISNUMBER(I401),IFERROR(I401/I392,""),"")</f>
      </c>
      <c r="J402" s="215">
        <f>IF(ISNUMBER(J401),IFERROR(J401/J392,""),"")</f>
        <v>-0.318983339413839</v>
      </c>
      <c r="K402" s="215">
        <f>IF(ISNUMBER(K401),IFERROR(K401/K392,""),"")</f>
        <v>-0.303980767080398</v>
      </c>
      <c r="L402" s="215">
        <f>IF(ISNUMBER(L401),IFERROR(L401/L392,""),"")</f>
        <v>-0.260173094442757</v>
      </c>
      <c r="M402" s="215">
        <f>IF(ISNUMBER(M401),IFERROR(M401/M392,""),"")</f>
        <v>-0.292739179954442</v>
      </c>
      <c r="N402" s="215">
        <f>IF(ISNUMBER(N401),IFERROR(N401/N392,""),"")</f>
        <v>-0.271111111111111</v>
      </c>
      <c r="O402" s="215">
        <f>IF(ISNUMBER(O401),IFERROR(O401/O392,""),"")</f>
        <v>-0.23911437296818</v>
      </c>
      <c r="P402" s="215">
        <f>IF(ISNUMBER(P401),IFERROR(P401/P392,""),"")</f>
        <v>-0.214238322717622</v>
      </c>
      <c r="Q402" s="215">
        <f>IF(ISNUMBER(Q401),IFERROR(Q401/Q392,""),"")</f>
        <v>-0.213695743784239</v>
      </c>
      <c r="R402" s="215">
        <f>IF(ISNUMBER(R401),IFERROR(R401/R392,""),"")</f>
        <v>-0.23963895846132</v>
      </c>
      <c r="S402" s="215">
        <f>IF(ISNUMBER(S401),IFERROR(S401/S392,""),"")</f>
        <v>-0.20776648872051</v>
      </c>
      <c r="T402" s="215">
        <f>IF(ISNUMBER(T401),IFERROR(T401/T392,""),"")</f>
        <v>-0.200985436124743</v>
      </c>
      <c r="U402" s="24" t="n"/>
      <c r="V402" s="24" t="n"/>
      <c r="W402" s="256">
        <f>IF(ISNUMBER(W401),IFERROR(W401/W392,""),"")</f>
        <v>-0.201400439247448</v>
      </c>
      <c r="X402" s="256">
        <f>IF(ISNUMBER(X401),IFERROR(X401/X392,""),"")</f>
        <v>-0.201629025505348</v>
      </c>
      <c r="Y402" s="256">
        <f>IF(ISNUMBER(Y401),IFERROR(Y401/Y392,""),"")</f>
        <v>-0.20166161485051</v>
      </c>
      <c r="Z402" s="256">
        <f>IF(ISNUMBER(Z401),IFERROR(Z401/Z392,""),"")</f>
        <v>-0.202208133661673</v>
      </c>
      <c r="AA402" s="256">
        <f>IF(ISNUMBER(AA401),IFERROR(AA401/AA392,""),"")</f>
        <v>-0.202575780565934</v>
      </c>
      <c r="AB402" s="256">
        <f>IF(ISNUMBER(AB401),IFERROR(AB401/AB392,""),"")</f>
        <v>-0.202800932293924</v>
      </c>
      <c r="AC402" s="153" t="n"/>
      <c r="AE402" s="37">
        <f>IFERROR(AVERAGE(X402,Y402,Z402,AA402,AB402),"n/m")</f>
        <v>-0.202175097375478</v>
      </c>
      <c r="AF402" s="37">
        <f>IFERROR(AVERAGE(H402,M402,R402),"n/m")</f>
        <v>-0.29357690505157</v>
      </c>
      <c r="AG402" s="37">
        <f>IFERROR(AVERAGE(M402,R402),"n/m")</f>
        <v>-0.266189069207881</v>
      </c>
      <c r="AH402" s="37">
        <f>IFERROR(W402+0,"n/m")</f>
        <v>-0.201400439247448</v>
      </c>
    </row>
    <row r="403" ht="15" customHeight="1" s="251">
      <c r="AK403" s="11" t="n"/>
      <c r="AL403" s="12" t="n"/>
      <c r="AM403" s="12" t="n"/>
      <c r="AN403" s="12" t="n"/>
      <c r="AO403" s="13" t="n"/>
    </row>
    <row r="404" ht="15" customHeight="1" s="251">
      <c r="B404" s="10" t="inlineStr">
        <is>
          <t>BALANCE SHEET FORECAST SCHEDULES</t>
        </is>
      </c>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c r="AA404" s="10" t="n"/>
      <c r="AB404" s="10" t="n"/>
      <c r="AC404" s="10" t="inlineStr">
        <is>
          <t>BS FORECAST SCHEDULES — explicit driver assumptions</t>
        </is>
      </c>
    </row>
    <row r="405" ht="15" customHeight="1" s="251">
      <c r="B405" s="25" t="inlineStr">
        <is>
          <t>Acquisitions — consideration &amp; purchase-price allocation (closing-year column; CPP assumed, M&amp;A lever)</t>
        </is>
      </c>
      <c r="AC405" s="153" t="n"/>
    </row>
    <row r="406" ht="15" customHeight="1" s="251">
      <c r="B406" s="69" t="inlineStr">
        <is>
          <t xml:space="preserve">  Consideration (cash)</t>
        </is>
      </c>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153" t="n"/>
      <c r="V406" s="153" t="n"/>
      <c r="W406" s="35" t="n"/>
      <c r="X406" s="254">
        <f>-X311</f>
        <v>11750</v>
      </c>
      <c r="Y406" s="254">
        <f>-Y311</f>
        <v>0</v>
      </c>
      <c r="Z406" s="254">
        <f>-Z311</f>
        <v>500</v>
      </c>
      <c r="AA406" s="254">
        <f>-AA311</f>
        <v>500</v>
      </c>
      <c r="AB406" s="254">
        <f>-AB311</f>
        <v>500</v>
      </c>
      <c r="AC406" s="19" t="n"/>
    </row>
    <row r="407" ht="15" customHeight="1" s="251">
      <c r="B407" s="69" t="inlineStr">
        <is>
          <t xml:space="preserve">  Net working capital acquired (assumption: 5% of CPP price)</t>
        </is>
      </c>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153" t="n"/>
      <c r="V407" s="153" t="n"/>
      <c r="W407" s="35" t="n"/>
      <c r="X407" s="254">
        <f>IF(X76&gt;0,X75*11750.0*0.05,0)</f>
        <v>587.5</v>
      </c>
      <c r="Y407" s="254">
        <f>IF(Y76&gt;0,Y75*11750.0*0.05,0)</f>
        <v>0</v>
      </c>
      <c r="Z407" s="254">
        <f>IF(Z76&gt;0,Z75*11750.0*0.05,0)</f>
        <v>0</v>
      </c>
      <c r="AA407" s="254">
        <f>IF(AA76&gt;0,AA75*11750.0*0.05,0)</f>
        <v>0</v>
      </c>
      <c r="AB407" s="254">
        <f>IF(AB76&gt;0,AB75*11750.0*0.05,0)</f>
        <v>0</v>
      </c>
      <c r="AC407" s="19" t="n"/>
    </row>
    <row r="408" ht="15" customHeight="1" s="251">
      <c r="B408" s="69" t="inlineStr">
        <is>
          <t xml:space="preserve">  Property, plant &amp; equipment (CPP 15% of price; M&amp;A lever % of spend)</t>
        </is>
      </c>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153" t="n"/>
      <c r="V408" s="153" t="n"/>
      <c r="W408" s="35" t="n"/>
      <c r="X408" s="254">
        <f>IF(X76&gt;0,X75*11750.0*0.15,0)+X90*X98</f>
        <v>1762.5</v>
      </c>
      <c r="Y408" s="254">
        <f>IF(Y76&gt;0,Y75*11750.0*0.15,0)+Y90*Y98</f>
        <v>0</v>
      </c>
      <c r="Z408" s="254">
        <f>IF(Z76&gt;0,Z75*11750.0*0.15,0)+Z90*Z98</f>
        <v>75</v>
      </c>
      <c r="AA408" s="254">
        <f>IF(AA76&gt;0,AA75*11750.0*0.15,0)+AA90*AA98</f>
        <v>75</v>
      </c>
      <c r="AB408" s="254">
        <f>IF(AB76&gt;0,AB75*11750.0*0.15,0)+AB90*AB98</f>
        <v>75</v>
      </c>
      <c r="AC408" s="19" t="n"/>
    </row>
    <row r="409" ht="15" customHeight="1" s="251">
      <c r="B409" s="69" t="inlineStr">
        <is>
          <t xml:space="preserve">  Intangible assets (CPP 35% of price; M&amp;A lever % of spend)</t>
        </is>
      </c>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153" t="n"/>
      <c r="V409" s="153" t="n"/>
      <c r="W409" s="35" t="n"/>
      <c r="X409" s="254">
        <f>IF(X76&gt;0,X75*11750.0*0.35,0)+X90*X99</f>
        <v>4112.5</v>
      </c>
      <c r="Y409" s="254">
        <f>IF(Y76&gt;0,Y75*11750.0*0.35,0)+Y90*Y99</f>
        <v>0</v>
      </c>
      <c r="Z409" s="254">
        <f>IF(Z76&gt;0,Z75*11750.0*0.35,0)+Z90*Z99</f>
        <v>175</v>
      </c>
      <c r="AA409" s="254">
        <f>IF(AA76&gt;0,AA75*11750.0*0.35,0)+AA90*AA99</f>
        <v>175</v>
      </c>
      <c r="AB409" s="254">
        <f>IF(AB76&gt;0,AB75*11750.0*0.35,0)+AB90*AB99</f>
        <v>175</v>
      </c>
      <c r="AC409" s="19" t="n"/>
    </row>
    <row r="410" ht="15" customHeight="1" s="251">
      <c r="B410" s="69" t="inlineStr">
        <is>
          <t xml:space="preserve">  Goodwill (residual)</t>
        </is>
      </c>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153" t="n"/>
      <c r="V410" s="153" t="n"/>
      <c r="W410" s="35" t="n"/>
      <c r="X410" s="254">
        <f>X406-X407-X408-X409</f>
        <v>5287.5</v>
      </c>
      <c r="Y410" s="254">
        <f>Y406-Y407-Y408-Y409</f>
        <v>0</v>
      </c>
      <c r="Z410" s="254">
        <f>Z406-Z407-Z408-Z409</f>
        <v>250</v>
      </c>
      <c r="AA410" s="254">
        <f>AA406-AA407-AA408-AA409</f>
        <v>250</v>
      </c>
      <c r="AB410" s="254">
        <f>AB406-AB407-AB408-AB409</f>
        <v>250</v>
      </c>
      <c r="AC410" s="19" t="n"/>
    </row>
    <row r="411" ht="15" customHeight="1" s="251">
      <c r="B411" s="57" t="inlineStr">
        <is>
          <t xml:space="preserve">  Check: assets acquired − consideration (should be 0)</t>
        </is>
      </c>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153" t="n"/>
      <c r="V411" s="153" t="n"/>
      <c r="W411" s="153" t="n"/>
      <c r="X411" s="274">
        <f>ROUND(X407+X408+X409+X410-X406,0)</f>
        <v>0</v>
      </c>
      <c r="Y411" s="274">
        <f>ROUND(Y407+Y408+Y409+Y410-Y406,0)</f>
        <v>0</v>
      </c>
      <c r="Z411" s="274">
        <f>ROUND(Z407+Z408+Z409+Z410-Z406,0)</f>
        <v>0</v>
      </c>
      <c r="AA411" s="274">
        <f>ROUND(AA407+AA408+AA409+AA410-AA406,0)</f>
        <v>0</v>
      </c>
      <c r="AB411" s="274">
        <f>ROUND(AB407+AB408+AB409+AB410-AB406,0)</f>
        <v>0</v>
      </c>
      <c r="AC411" s="153" t="n"/>
    </row>
    <row r="412" ht="15" customHeight="1" s="251">
      <c r="B412" s="158" t="inlineStr">
        <is>
          <t xml:space="preserve">  Deal</t>
        </is>
      </c>
      <c r="U412" s="153" t="n"/>
      <c r="V412" s="153" t="n"/>
      <c r="W412" s="153" t="n"/>
      <c r="X412" s="292" t="str">
        <f>"CPP (assumed close 30-Sep-2027; PPA illustrative — replace with the 10-Q allocation)"</f>
        <v>CPP (assumed close 30-Sep-2027; PPA illustrative — replace with the 10-Q allocation)</v>
      </c>
      <c r="Y412" s="153" t="n"/>
      <c r="Z412" s="153" t="n"/>
      <c r="AA412" s="153" t="n"/>
      <c r="AB412" s="153" t="n"/>
      <c r="AC412" s="19" t="n"/>
    </row>
    <row r="413" ht="15" customHeight="1" s="251">
      <c r="B413" s="25" t="inlineStr">
        <is>
          <t>Share count &amp; pricing</t>
        </is>
      </c>
      <c r="AC413" s="153" t="n"/>
    </row>
    <row r="414" ht="15" customHeight="1" s="251">
      <c r="B414" s="69" t="inlineStr">
        <is>
          <t xml:space="preserve">  Dilutive securities (m shares; stock options &amp; RSUs)</t>
        </is>
      </c>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153" t="n"/>
      <c r="V414" s="153" t="n"/>
      <c r="W414" s="35" t="n"/>
      <c r="X414" s="293" t="n">
        <v>7</v>
      </c>
      <c r="Y414" s="293" t="n">
        <v>7</v>
      </c>
      <c r="Z414" s="293" t="n">
        <v>7</v>
      </c>
      <c r="AA414" s="293" t="n">
        <v>7</v>
      </c>
      <c r="AB414" s="293" t="n">
        <v>7</v>
      </c>
      <c r="AC414" s="19" t="n"/>
    </row>
    <row r="415" ht="15" customHeight="1" s="251">
      <c r="B415" s="69" t="inlineStr">
        <is>
          <t xml:space="preserve">  Share-price appreciation % (buyback pricing)</t>
        </is>
      </c>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153" t="n"/>
      <c r="V415" s="153" t="n"/>
      <c r="W415" s="35" t="n"/>
      <c r="X415" s="267" t="n">
        <v>0.08</v>
      </c>
      <c r="Y415" s="267" t="n">
        <v>0.08</v>
      </c>
      <c r="Z415" s="267" t="n">
        <v>0.08</v>
      </c>
      <c r="AA415" s="267" t="n">
        <v>0.08</v>
      </c>
      <c r="AB415" s="267" t="n">
        <v>0.08</v>
      </c>
      <c r="AC415" s="19" t="n"/>
    </row>
    <row r="416" ht="15" customHeight="1" s="251">
      <c r="B416" s="25" t="inlineStr">
        <is>
          <t>Debt schedule (senior / subordinated notes repaid or refinanced at maturity; CPP acquisition debt; revolver / CP drawn or repaid to a minimum cash balance)</t>
        </is>
      </c>
      <c r="AC416" s="153" t="n"/>
    </row>
    <row r="417" ht="15" customHeight="1" s="251">
      <c r="B417" s="69" t="inlineStr">
        <is>
          <t xml:space="preserve">  Total borrowings (short-term + long-term)</t>
        </is>
      </c>
      <c r="C417" s="211">
        <f>IF(ISNUMBER(C371),N(C365)+C371,"")</f>
      </c>
      <c r="D417" s="211">
        <f>IF(ISNUMBER(D371),N(D365)+D371,"")</f>
      </c>
      <c r="E417" s="211">
        <f>IF(ISNUMBER(E371),N(E365)+E371,"")</f>
      </c>
      <c r="F417" s="211">
        <f>IF(ISNUMBER(F371),N(F365)+F371,"")</f>
      </c>
      <c r="G417" s="211">
        <f>IF(ISNUMBER(G371),N(G365)+G371,"")</f>
        <v>20525</v>
      </c>
      <c r="H417" s="211">
        <f>IF(ISNUMBER(H371),N(H365)+H371,"")</f>
        <v>20525</v>
      </c>
      <c r="I417" s="211">
        <f>IF(ISNUMBER(I371),N(I365)+I371,"")</f>
      </c>
      <c r="J417" s="211">
        <f>IF(ISNUMBER(J371),N(J365)+J371,"")</f>
        <v>19673</v>
      </c>
      <c r="K417" s="211">
        <f>IF(ISNUMBER(K371),N(K365)+K371,"")</f>
        <v>19921</v>
      </c>
      <c r="L417" s="211">
        <f>IF(ISNUMBER(L371),N(L365)+L371,"")</f>
        <v>19273</v>
      </c>
      <c r="M417" s="211">
        <f>IF(ISNUMBER(M371),N(M365)+M371,"")</f>
        <v>19273</v>
      </c>
      <c r="N417" s="211">
        <f>IF(ISNUMBER(N371),N(N365)+N371,"")</f>
        <v>19571</v>
      </c>
      <c r="O417" s="211">
        <f>IF(ISNUMBER(O371),N(O365)+O371,"")</f>
        <v>18887</v>
      </c>
      <c r="P417" s="211">
        <f>IF(ISNUMBER(P371),N(P365)+P371,"")</f>
        <v>20838</v>
      </c>
      <c r="Q417" s="211">
        <f>IF(ISNUMBER(Q371),N(Q365)+Q371,"")</f>
        <v>20494</v>
      </c>
      <c r="R417" s="211">
        <f>IF(ISNUMBER(R371),N(R365)+R371,"")</f>
        <v>20494</v>
      </c>
      <c r="S417" s="211">
        <f>IF(ISNUMBER(S371),N(S365)+S371,"")</f>
        <v>20277</v>
      </c>
      <c r="T417" s="211">
        <f>IF(ISNUMBER(T371),N(T365)+T371,"")</f>
        <v>19157</v>
      </c>
      <c r="U417" s="153" t="n"/>
      <c r="V417" s="153" t="n"/>
      <c r="W417" s="254">
        <f>W418+W424</f>
        <v>18558.1448661161</v>
      </c>
      <c r="X417" s="254">
        <f>X418+X424</f>
        <v>23272</v>
      </c>
      <c r="Y417" s="254">
        <f>Y418+Y424</f>
        <v>23833.6995421124</v>
      </c>
      <c r="Z417" s="254">
        <f>Z418+Z424</f>
        <v>25525.0826764941</v>
      </c>
      <c r="AA417" s="254">
        <f>AA418+AA424</f>
        <v>27197.4985623119</v>
      </c>
      <c r="AB417" s="254">
        <f>AB418+AB424</f>
        <v>28658.9147947557</v>
      </c>
      <c r="AC417" s="19" t="inlineStr">
        <is>
          <t>Total borrowings $19,157m at 30-Jun-2026 (short-term $2,000m incl. current portion of senior notes $1,786m; long-term $17,157m: senior notes $15,238m, subordinated $1,412m, other $507m). Senior notes average rate 4.00% at 31-Dec-2025 (subordinated 4.40%). $3.0bn five-year revolving credit facility maturing 2029, undrawn at 31-Dec-2025. 2025 issues: $1.0bn 4.3% notes due 2030 and $1.0bn 4.9% notes due 2036.</t>
        </is>
      </c>
    </row>
    <row r="418" ht="15" customHeight="1" s="251">
      <c r="B418" s="69" t="inlineStr">
        <is>
          <t xml:space="preserve">  Notes and other term borrowings</t>
        </is>
      </c>
      <c r="C418" s="44" t="n"/>
      <c r="D418" s="44" t="n"/>
      <c r="E418" s="44" t="n"/>
      <c r="F418" s="44" t="n"/>
      <c r="G418" s="253" t="n">
        <v>20525</v>
      </c>
      <c r="H418" s="253" t="n">
        <v>20525</v>
      </c>
      <c r="I418" s="44" t="n"/>
      <c r="J418" s="253" t="n">
        <v>19673</v>
      </c>
      <c r="K418" s="253" t="n">
        <v>19921</v>
      </c>
      <c r="L418" s="253" t="n">
        <v>19273</v>
      </c>
      <c r="M418" s="253" t="n">
        <v>19273</v>
      </c>
      <c r="N418" s="253" t="n">
        <v>19571</v>
      </c>
      <c r="O418" s="253" t="n">
        <v>18887</v>
      </c>
      <c r="P418" s="253" t="n">
        <v>20838</v>
      </c>
      <c r="Q418" s="253" t="n">
        <v>20494</v>
      </c>
      <c r="R418" s="253" t="n">
        <v>20494</v>
      </c>
      <c r="S418" s="253" t="n">
        <v>20277</v>
      </c>
      <c r="T418" s="253" t="n">
        <v>19157</v>
      </c>
      <c r="U418" s="153" t="n"/>
      <c r="V418" s="153" t="n"/>
      <c r="W418" s="254">
        <f>T418-W420+W419</f>
        <v>18522</v>
      </c>
      <c r="X418" s="254">
        <f>W418-X420+X419</f>
        <v>23272</v>
      </c>
      <c r="Y418" s="254">
        <f>X418-Y420+Y419</f>
        <v>23272</v>
      </c>
      <c r="Z418" s="254">
        <f>Y418-Z420+Z419</f>
        <v>23272</v>
      </c>
      <c r="AA418" s="254">
        <f>Z418-AA420+AA419</f>
        <v>23272</v>
      </c>
      <c r="AB418" s="254">
        <f>AA418-AB420+AB419</f>
        <v>23272</v>
      </c>
      <c r="AC418" s="19" t="n"/>
    </row>
    <row r="419" ht="15" customHeight="1" s="251">
      <c r="B419" s="69" t="inlineStr">
        <is>
          <t xml:space="preserve">  New notes issued (input; 2027E incl. ~$4.75bn CPP acquisition debt)</t>
        </is>
      </c>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153" t="n"/>
      <c r="V419" s="153" t="n"/>
      <c r="W419" s="270" t="n">
        <v>0</v>
      </c>
      <c r="X419" s="254">
        <f>1693.0+IF(X76&gt;0,X75*4750.0,0)</f>
        <v>6443</v>
      </c>
      <c r="Y419" s="254">
        <f>480.0+IF(Y76&gt;0,Y75*4750.0,0)</f>
        <v>480</v>
      </c>
      <c r="Z419" s="254">
        <f>1639.0+IF(Z76&gt;0,Z75*4750.0,0)</f>
        <v>1639</v>
      </c>
      <c r="AA419" s="254">
        <f>1700.0+IF(AA76&gt;0,AA75*4750.0,0)</f>
        <v>1700</v>
      </c>
      <c r="AB419" s="254">
        <f>1500.0+IF(AB76&gt;0,AB75*4750.0,0)</f>
        <v>1500</v>
      </c>
      <c r="AC419" s="19" t="inlineStr">
        <is>
          <t>CPP: $11.75bn financed with $7bn existing cash and new debt (8-K 8-Sep-2026). Maturities assumed refinanced (input).</t>
        </is>
      </c>
    </row>
    <row r="420" ht="15" customHeight="1" s="251">
      <c r="B420" s="69" t="inlineStr">
        <is>
          <t xml:space="preserve">  Notes repaid at maturity (input)</t>
        </is>
      </c>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153" t="n"/>
      <c r="V420" s="153" t="n"/>
      <c r="W420" s="270" t="n">
        <v>635</v>
      </c>
      <c r="X420" s="270" t="n">
        <v>1693</v>
      </c>
      <c r="Y420" s="270" t="n">
        <v>480</v>
      </c>
      <c r="Z420" s="270" t="n">
        <v>1639</v>
      </c>
      <c r="AA420" s="270" t="n">
        <v>1700</v>
      </c>
      <c r="AB420" s="270" t="n">
        <v>1500</v>
      </c>
      <c r="AC420" s="19" t="inlineStr">
        <is>
          <t>FY2025 10-K Note 10 maturities: 2026 $1,661m (H1-26 repayments $1,026m → $635m in 2H), 2027 $1,693m, 2028 $480m, 2029 $1,639m, 2030 $1,700m, thereafter $13,296m (2031E $1.5bn assumed). Maturities 2027E+ assumed refinanced with new notes (input row above).</t>
        </is>
      </c>
    </row>
    <row r="421" ht="15" customHeight="1" s="251">
      <c r="B421" s="69" t="inlineStr">
        <is>
          <t xml:space="preserve">  Maturities in the following year (current portion)</t>
        </is>
      </c>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153" t="n"/>
      <c r="V421" s="153" t="n"/>
      <c r="W421" s="270" t="n">
        <v>1693</v>
      </c>
      <c r="X421" s="270" t="n">
        <v>480</v>
      </c>
      <c r="Y421" s="270" t="n">
        <v>1639</v>
      </c>
      <c r="Z421" s="270" t="n">
        <v>1700</v>
      </c>
      <c r="AA421" s="270" t="n">
        <v>1500</v>
      </c>
      <c r="AB421" s="270" t="n">
        <v>1500</v>
      </c>
      <c r="AC421" s="19" t="n"/>
    </row>
    <row r="422" ht="15" customHeight="1" s="251">
      <c r="B422" s="69" t="inlineStr">
        <is>
          <t xml:space="preserve">  Cash before revolver / CP (opening cash + CFO + CFI + dividends, buybacks, other financing + discontinued + FX − notes repaid + issued − restricted &amp; disc. cash change)</t>
        </is>
      </c>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153" t="n"/>
      <c r="V422" s="153" t="n"/>
      <c r="W422" s="254">
        <f>T328+(W308-SUM(S308:T308))+(W315-SUM(S315:T315))+(W317-SUM(S317:T317))+(W319-SUM(S319:T319))+(W320-SUM(S320:T320))+(W322-SUM(S322:T322))+(W323-SUM(S323:T323))-W420+W419-W386</f>
        <v>7963.8551338839</v>
      </c>
      <c r="X422" s="254">
        <f>W328+X308+X315+X317+X319+X320+X322+X323-X420+X419-X386</f>
        <v>9191.16181035883</v>
      </c>
      <c r="Y422" s="254">
        <f>X328+Y308+Y315+Y317+Y319+Y320+Y322+Y323-Y420+Y419-Y386</f>
        <v>7438.30045788756</v>
      </c>
      <c r="Z422" s="254">
        <f>Y328+Z308+Z315+Z317+Z319+Z320+Z322+Z323-Z420+Z419-Z386</f>
        <v>6308.61686561829</v>
      </c>
      <c r="AA422" s="254">
        <f>Z328+AA308+AA315+AA317+AA319+AA320+AA322+AA323-AA420+AA419-AA386</f>
        <v>6327.58411418224</v>
      </c>
      <c r="AB422" s="254">
        <f>AA328+AB308+AB315+AB317+AB319+AB320+AB322+AB323-AB420+AB419-AB386</f>
        <v>6538.5837675562</v>
      </c>
      <c r="AC422" s="19" t="n"/>
    </row>
    <row r="423" ht="15" customHeight="1" s="251">
      <c r="B423" s="69" t="inlineStr">
        <is>
          <t xml:space="preserve">  Minimum cash balance (BS cash; assumption)</t>
        </is>
      </c>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153" t="n"/>
      <c r="V423" s="153" t="n"/>
      <c r="W423" s="270" t="n">
        <v>8000</v>
      </c>
      <c r="X423" s="270" t="n">
        <v>8000</v>
      </c>
      <c r="Y423" s="270" t="n">
        <v>8000</v>
      </c>
      <c r="Z423" s="270" t="n">
        <v>8000</v>
      </c>
      <c r="AA423" s="270" t="n">
        <v>8000</v>
      </c>
      <c r="AB423" s="270" t="n">
        <v>8000</v>
      </c>
      <c r="AC423" s="19" t="n"/>
    </row>
    <row r="424" ht="15" customHeight="1" s="251">
      <c r="B424" s="69" t="inlineStr">
        <is>
          <t xml:space="preserve">  Revolver / CP / incremental notes drawn (plug, year end)</t>
        </is>
      </c>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153" t="n"/>
      <c r="V424" s="153" t="n"/>
      <c r="W424" s="254">
        <f>MAX(0,W423-W422)</f>
        <v>36.1448661161048</v>
      </c>
      <c r="X424" s="254">
        <f>MAX(0,W424+X423-X422)</f>
        <v>0</v>
      </c>
      <c r="Y424" s="254">
        <f>MAX(0,X424+Y423-Y422)</f>
        <v>561.699542112439</v>
      </c>
      <c r="Z424" s="254">
        <f>MAX(0,Y424+Z423-Z422)</f>
        <v>2253.08267649415</v>
      </c>
      <c r="AA424" s="254">
        <f>MAX(0,Z424+AA423-AA422)</f>
        <v>3925.4985623119</v>
      </c>
      <c r="AB424" s="254">
        <f>MAX(0,AA424+AB423-AB422)</f>
        <v>5386.9147947557</v>
      </c>
      <c r="AC424" s="19" t="inlineStr">
        <is>
          <t>$3.0bn revolving credit facility (2029), undrawn at 31-Dec-2025. Shortfalls below the minimum cash balance are drawn; surplus repays the plug first. Balances above the $3.0bn commitment are a financing assumption (new notes or commercial paper) — see the headroom memo.</t>
        </is>
      </c>
    </row>
    <row r="425" ht="15" customHeight="1" s="251">
      <c r="B425" s="156" t="inlineStr">
        <is>
          <t xml:space="preserve">  Memo: revolver headroom vs the $3.0bn commitment (negative = assumed new notes / CP)</t>
        </is>
      </c>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35" t="n"/>
      <c r="V425" s="35" t="n"/>
      <c r="W425" s="254">
        <f>3000-W424</f>
        <v>2963.8551338839</v>
      </c>
      <c r="X425" s="254">
        <f>3000-X424</f>
        <v>3000</v>
      </c>
      <c r="Y425" s="254">
        <f>3000-Y424</f>
        <v>2438.30045788756</v>
      </c>
      <c r="Z425" s="254">
        <f>3000-Z424</f>
        <v>746.917323505853</v>
      </c>
      <c r="AA425" s="254">
        <f>3000-AA424</f>
        <v>-925.498562311905</v>
      </c>
      <c r="AB425" s="254">
        <f>3000-AB424</f>
        <v>-2386.9147947557</v>
      </c>
      <c r="AC425" s="153" t="n"/>
    </row>
    <row r="426" ht="15" customHeight="1" s="251">
      <c r="B426" s="69" t="inlineStr">
        <is>
          <t xml:space="preserve">  Net issuance / (repayment)</t>
        </is>
      </c>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153" t="n"/>
      <c r="V426" s="153" t="n"/>
      <c r="W426" s="254">
        <f>IFERROR(W417-R417,"")</f>
        <v>-1935.8551338839</v>
      </c>
      <c r="X426" s="254">
        <f>IFERROR(X417-W417,"")</f>
        <v>4713.8551338839</v>
      </c>
      <c r="Y426" s="254">
        <f>IFERROR(Y417-X417,"")</f>
        <v>561.699542112438</v>
      </c>
      <c r="Z426" s="254">
        <f>IFERROR(Z417-Y417,"")</f>
        <v>1691.38313438171</v>
      </c>
      <c r="AA426" s="254">
        <f>IFERROR(AA417-Z417,"")</f>
        <v>1672.41588581776</v>
      </c>
      <c r="AB426" s="254">
        <f>IFERROR(AB417-AA417,"")</f>
        <v>1461.41623244379</v>
      </c>
      <c r="AC426" s="19" t="n"/>
    </row>
    <row r="427" ht="15" customHeight="1" s="251">
      <c r="B427" s="69" t="inlineStr">
        <is>
          <t xml:space="preserve">  Interest rate on opening notes %</t>
        </is>
      </c>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153" t="n"/>
      <c r="V427" s="153" t="n"/>
      <c r="W427" s="35" t="n"/>
      <c r="X427" s="267" t="n">
        <v>0.042</v>
      </c>
      <c r="Y427" s="267" t="n">
        <v>0.043</v>
      </c>
      <c r="Z427" s="267" t="n">
        <v>0.043</v>
      </c>
      <c r="AA427" s="267" t="n">
        <v>0.044</v>
      </c>
      <c r="AB427" s="267" t="n">
        <v>0.044</v>
      </c>
      <c r="AC427" s="19" t="inlineStr">
        <is>
          <t>Senior notes average 4.00% and subordinated 4.40% at 31-Dec-2025 (10-K Note 10); 2025 issues at 4.3% / 4.9%; CPP acquisition debt assumed ~5.0%, refinancing drifts the average up (assumption).</t>
        </is>
      </c>
    </row>
    <row r="428" ht="15" customHeight="1" s="251">
      <c r="B428" s="69" t="inlineStr">
        <is>
          <t xml:space="preserve">  Interest rate on opening revolver / CP %</t>
        </is>
      </c>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153" t="n"/>
      <c r="V428" s="153" t="n"/>
      <c r="W428" s="35" t="n"/>
      <c r="X428" s="267" t="n">
        <v>0.045</v>
      </c>
      <c r="Y428" s="267" t="n">
        <v>0.045</v>
      </c>
      <c r="Z428" s="267" t="n">
        <v>0.045</v>
      </c>
      <c r="AA428" s="267" t="n">
        <v>0.045</v>
      </c>
      <c r="AB428" s="267" t="n">
        <v>0.045</v>
      </c>
      <c r="AC428" s="19" t="n"/>
    </row>
    <row r="429" ht="15" customHeight="1" s="251">
      <c r="B429" s="69" t="inlineStr">
        <is>
          <t xml:space="preserve">  Other financial charges (interest on tax deficiencies, customer advances, fees) ($m)</t>
        </is>
      </c>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153" t="n"/>
      <c r="V429" s="153" t="n"/>
      <c r="W429" s="35" t="n"/>
      <c r="X429" s="270" t="n">
        <v>100</v>
      </c>
      <c r="Y429" s="270" t="n">
        <v>100</v>
      </c>
      <c r="Z429" s="270" t="n">
        <v>100</v>
      </c>
      <c r="AA429" s="270" t="n">
        <v>100</v>
      </c>
      <c r="AB429" s="270" t="n">
        <v>100</v>
      </c>
      <c r="AC429" s="19" t="inlineStr">
        <is>
          <t>Interest and other financial charges were $0.8bn in 2025 on ~$20bn of borrowings; H1-26 $444m.</t>
        </is>
      </c>
    </row>
    <row r="430" ht="15" customHeight="1" s="251">
      <c r="B430" s="25" t="inlineStr">
        <is>
          <t>Leverage-targeted buybacks (repurchases plug to a target net debt / adjusted EBITDA, 2027E+)</t>
        </is>
      </c>
      <c r="AC430" s="153" t="n"/>
    </row>
    <row r="431" ht="15" customHeight="1" s="251">
      <c r="B431" s="69" t="inlineStr">
        <is>
          <t xml:space="preserve">  Target net debt / adjusted EBITDA (x) (scenario)</t>
        </is>
      </c>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153" t="n"/>
      <c r="V431" s="153" t="n"/>
      <c r="W431" s="35" t="n"/>
      <c r="X431" s="294">
        <f>CHOOSE(MATCH($AC$2,{"Bull","Base","Bear"},0),$AL$32,$AM$32,$AN$32)</f>
        <v>1</v>
      </c>
      <c r="Y431" s="294">
        <f>CHOOSE(MATCH($AC$2,{"Bull","Base","Bear"},0),$AL$32,$AM$32,$AN$32)</f>
        <v>1</v>
      </c>
      <c r="Z431" s="294">
        <f>CHOOSE(MATCH($AC$2,{"Bull","Base","Bear"},0),$AL$32,$AM$32,$AN$32)</f>
        <v>1</v>
      </c>
      <c r="AA431" s="294">
        <f>CHOOSE(MATCH($AC$2,{"Bull","Base","Bear"},0),$AL$32,$AM$32,$AN$32)</f>
        <v>1</v>
      </c>
      <c r="AB431" s="294">
        <f>CHOOSE(MATCH($AC$2,{"Bull","Base","Bear"},0),$AL$32,$AM$32,$AN$32)</f>
        <v>1</v>
      </c>
      <c r="AC431" s="19" t="inlineStr">
        <is>
          <t>Net debt ~$9.8bn at 30-Jun-2026 (borrowings $19.2bn − cash $9.3bn) ≈ 0.8x adjusted EBITDA (model definition); ~1.4x pro forma for CPP ($11.75bn, 2H-27). Target = leverage up to which surplus cash is returned via buybacks (assumption; GE publishes no leverage target in its filings).</t>
        </is>
      </c>
    </row>
    <row r="432" ht="15" customHeight="1" s="251">
      <c r="B432" s="69" t="inlineStr">
        <is>
          <t xml:space="preserve">  Net debt before buybacks (year end; BS cash basis)</t>
        </is>
      </c>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153" t="n"/>
      <c r="V432" s="153" t="n"/>
      <c r="W432" s="35" t="n"/>
      <c r="X432" s="254">
        <f>W417-W348-X308-X315-X317-X320-X322-X323</f>
        <v>13618.7859811259</v>
      </c>
      <c r="Y432" s="254">
        <f>X417-X348-Y308-Y315-Y317-Y320-Y322-Y323</f>
        <v>4532.46552000595</v>
      </c>
      <c r="Z432" s="254">
        <f>Y417-Y348-Z308-Z315-Z317-Z320-Z322-Z323</f>
        <v>5920.81234873656</v>
      </c>
      <c r="AA432" s="254">
        <f>Z417-Z348-AA308-AA315-AA317-AA320-AA322-AA323</f>
        <v>6758.84246560366</v>
      </c>
      <c r="AB432" s="254">
        <f>AA417-AA348-AB308-AB315-AB317-AB320-AB322-AB323</f>
        <v>7875.62684101632</v>
      </c>
      <c r="AC432" s="19" t="n"/>
    </row>
    <row r="433" ht="15" customHeight="1" s="251">
      <c r="B433" s="69" t="inlineStr">
        <is>
          <t xml:space="preserve">  Target net debt = target leverage × adjusted EBITDA (pro forma in the CPP closing year)</t>
        </is>
      </c>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153" t="n"/>
      <c r="V433" s="153" t="n"/>
      <c r="W433" s="35" t="n"/>
      <c r="X433" s="254">
        <f>X431*X227</f>
        <v>14116.9830557573</v>
      </c>
      <c r="Y433" s="254">
        <f>Y431*Y227</f>
        <v>15833.6995421124</v>
      </c>
      <c r="Z433" s="254">
        <f>Z431*Z227</f>
        <v>17525.0826764941</v>
      </c>
      <c r="AA433" s="254">
        <f>AA431*AA227</f>
        <v>19197.4985623119</v>
      </c>
      <c r="AB433" s="254">
        <f>AB431*AB227</f>
        <v>20658.9147947557</v>
      </c>
      <c r="AC433" s="19" t="n"/>
    </row>
    <row r="434" ht="15" customHeight="1" s="251">
      <c r="B434" s="69" t="inlineStr">
        <is>
          <t xml:space="preserve">  Share repurchases: plug to target leverage</t>
        </is>
      </c>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153" t="n"/>
      <c r="V434" s="153" t="n"/>
      <c r="W434" s="35" t="n"/>
      <c r="X434" s="254">
        <f>MAX(0,X433-X432)</f>
        <v>498.197074631416</v>
      </c>
      <c r="Y434" s="254">
        <f>MAX(0,Y433-Y432)</f>
        <v>11301.2340221065</v>
      </c>
      <c r="Z434" s="254">
        <f>MAX(0,Z433-Z432)</f>
        <v>11604.2703277576</v>
      </c>
      <c r="AA434" s="254">
        <f>MAX(0,AA433-AA432)</f>
        <v>12438.6560967082</v>
      </c>
      <c r="AB434" s="254">
        <f>MAX(0,AB433-AB432)</f>
        <v>12783.2879537394</v>
      </c>
      <c r="AC434" s="19" t="inlineStr">
        <is>
          <t>Surplus cash beyond the leverage target is returned via buybacks; feeds the cash-flow repurchase line.</t>
        </is>
      </c>
    </row>
    <row r="435" ht="15" customHeight="1" s="251">
      <c r="B435" s="25" t="inlineStr">
        <is>
          <t>Historical reference (driver context)</t>
        </is>
      </c>
      <c r="AC435" s="153" t="n"/>
    </row>
    <row r="436" ht="15" customHeight="1" s="251">
      <c r="B436" s="25" t="inlineStr">
        <is>
          <t xml:space="preserve">  Total D&amp;A % of adjusted revenue</t>
        </is>
      </c>
      <c r="C436" s="215">
        <f>IF(AND(ISNUMBER(C187),ISNUMBER(C105)),IFERROR(C187/C105,""),"")</f>
        <v>0.0452219081811932</v>
      </c>
      <c r="D436" s="215">
        <f>IF(AND(ISNUMBER(D187),ISNUMBER(D105)),IFERROR(D187/D105,""),"")</f>
      </c>
      <c r="E436" s="215">
        <f>IF(AND(ISNUMBER(E187),ISNUMBER(E105)),IFERROR(E187/E105,""),"")</f>
      </c>
      <c r="F436" s="215">
        <f>IF(AND(ISNUMBER(F187),ISNUMBER(F105)),IFERROR(F187/F105,""),"")</f>
        <v>0.0345153664302601</v>
      </c>
      <c r="G436" s="215">
        <f>IF(AND(ISNUMBER(G187),ISNUMBER(G105)),IFERROR(G187/G105,""),"")</f>
        <v>0.0361530361530362</v>
      </c>
      <c r="H436" s="215">
        <f>IF(AND(ISNUMBER(H187),ISNUMBER(H105)),IFERROR(H187/H105,""),"")</f>
        <v>0.036891016615038</v>
      </c>
      <c r="I436" s="215">
        <f>IF(AND(ISNUMBER(I187),ISNUMBER(I105)),IFERROR(I187/I105,""),"")</f>
        <v>0.0359088657751362</v>
      </c>
      <c r="J436" s="215">
        <f>IF(AND(ISNUMBER(J187),ISNUMBER(J105)),IFERROR(J187/J105,""),"")</f>
        <v>0.0344156633831935</v>
      </c>
      <c r="K436" s="215">
        <f>IF(AND(ISNUMBER(K187),ISNUMBER(K105)),IFERROR(K187/K105,""),"")</f>
        <v>0.0349994409034999</v>
      </c>
      <c r="L436" s="215">
        <f>IF(AND(ISNUMBER(L187),ISNUMBER(L105)),IFERROR(L187/L105,""),"")</f>
        <v>0.0301649964571313</v>
      </c>
      <c r="M436" s="215">
        <f>IF(AND(ISNUMBER(M187),ISNUMBER(M105)),IFERROR(M187/M105,""),"")</f>
        <v>0.0337129840546697</v>
      </c>
      <c r="N436" s="215">
        <f>IF(AND(ISNUMBER(N187),ISNUMBER(N105)),IFERROR(N187/N105,""),"")</f>
        <v>0.0332222222222222</v>
      </c>
      <c r="O436" s="215">
        <f>IF(AND(ISNUMBER(O187),ISNUMBER(O105)),IFERROR(O187/O105,""),"")</f>
        <v>0.0306373756280169</v>
      </c>
      <c r="P436" s="215">
        <f>IF(AND(ISNUMBER(P187),ISNUMBER(P105)),IFERROR(P187/P105,""),"")</f>
        <v>0.0268046709129512</v>
      </c>
      <c r="Q436" s="215">
        <f>IF(AND(ISNUMBER(Q187),ISNUMBER(Q105)),IFERROR(Q187/Q105,""),"")</f>
        <v>0.0258744205646861</v>
      </c>
      <c r="R436" s="215">
        <f>IF(AND(ISNUMBER(R187),ISNUMBER(R105)),IFERROR(R187/R105,""),"")</f>
        <v>0.0288266149992912</v>
      </c>
      <c r="S436" s="215">
        <f>IF(AND(ISNUMBER(S187),ISNUMBER(S105)),IFERROR(S187/S105,""),"")</f>
        <v>0.0268641294988807</v>
      </c>
      <c r="T436" s="215">
        <f>IF(AND(ISNUMBER(T187),ISNUMBER(T105)),IFERROR(T187/T105,""),"")</f>
        <v>0.0247744182365047</v>
      </c>
      <c r="U436" s="24" t="n"/>
      <c r="V436" s="24" t="n"/>
      <c r="W436" s="256">
        <f>IF(AND(ISNUMBER(W187),ISNUMBER(W105)),IFERROR(W187/W105,""),"")</f>
        <v>0.0251301763157199</v>
      </c>
      <c r="X436" s="256">
        <f>IF(AND(ISNUMBER(X187),ISNUMBER(X105)),IFERROR(X187/X105,""),"")</f>
        <v>0.0269783008814743</v>
      </c>
      <c r="Y436" s="256">
        <f>IF(AND(ISNUMBER(Y187),ISNUMBER(Y105)),IFERROR(Y187/Y105,""),"")</f>
        <v>0.0307160339779485</v>
      </c>
      <c r="Z436" s="256">
        <f>IF(AND(ISNUMBER(Z187),ISNUMBER(Z105)),IFERROR(Z187/Z105,""),"")</f>
        <v>0.0303194285475195</v>
      </c>
      <c r="AA436" s="256">
        <f>IF(AND(ISNUMBER(AA187),ISNUMBER(AA105)),IFERROR(AA187/AA105,""),"")</f>
        <v>0.0297598317294373</v>
      </c>
      <c r="AB436" s="256">
        <f>IF(AND(ISNUMBER(AB187),ISNUMBER(AB105)),IFERROR(AB187/AB105,""),"")</f>
        <v>0.0292502638618517</v>
      </c>
      <c r="AC436" s="153" t="n"/>
    </row>
    <row r="437" ht="15" customHeight="1" s="251">
      <c r="B437" s="25" t="inlineStr">
        <is>
          <t xml:space="preserve">  Interest and other financial charges ÷ average total borrowings %</t>
        </is>
      </c>
      <c r="C437" s="36" t="n"/>
      <c r="D437" s="36" t="n"/>
      <c r="E437" s="215">
        <f>IFERROR(E167*4/AVERAGE(E417,D417),"")</f>
      </c>
      <c r="F437" s="215">
        <f>IFERROR(F167*4/AVERAGE(F417,E417),"")</f>
      </c>
      <c r="G437" s="215">
        <f>IFERROR(G167*4/AVERAGE(G417,F417),"")</f>
        <v>0.0510596833130329</v>
      </c>
      <c r="H437" s="215">
        <f>IFERROR(H167*1/AVERAGE(H417,C417),"")</f>
        <v>0.0501339829476249</v>
      </c>
      <c r="I437" s="215">
        <f>IFERROR(I167*4/AVERAGE(I417,G417),"")</f>
        <v>0.0512545676004872</v>
      </c>
      <c r="J437" s="215">
        <f>IFERROR(J167*4/AVERAGE(J417,I417),"")</f>
        <v>0.0504244395872516</v>
      </c>
      <c r="K437" s="215">
        <f>IFERROR(K167*4/AVERAGE(K417,J417),"")</f>
        <v>0.0507147547608223</v>
      </c>
      <c r="L437" s="215">
        <f>IFERROR(L167*4/AVERAGE(L417,K417),"")</f>
        <v>0.0457212838699801</v>
      </c>
      <c r="M437" s="215">
        <f>IFERROR(M167*1/AVERAGE(M417,H417),"")</f>
        <v>0.0495502286547063</v>
      </c>
      <c r="N437" s="215">
        <f>IFERROR(N167*4/AVERAGE(N417,L417),"")</f>
        <v>0.0432499227679951</v>
      </c>
      <c r="O437" s="215">
        <f>IFERROR(O167*4/AVERAGE(O417,N417),"")</f>
        <v>0.0328670237661865</v>
      </c>
      <c r="P437" s="215">
        <f>IFERROR(P167*4/AVERAGE(P417,O417),"")</f>
        <v>0.0453115166771554</v>
      </c>
      <c r="Q437" s="215">
        <f>IFERROR(Q167*4/AVERAGE(Q417,P417),"")</f>
        <v>0.0483886576986354</v>
      </c>
      <c r="R437" s="215">
        <f>IFERROR(R167*1/AVERAGE(R417,M417),"")</f>
        <v>0.0423969623054291</v>
      </c>
      <c r="S437" s="215">
        <f>IFERROR(S167*4/AVERAGE(S417,Q417),"")</f>
        <v>0.0451301169949229</v>
      </c>
      <c r="T437" s="215">
        <f>IFERROR(T167*4/AVERAGE(T417,S417),"")</f>
        <v>0.0436171831414515</v>
      </c>
      <c r="U437" s="24" t="n"/>
      <c r="V437" s="24" t="n"/>
      <c r="W437" s="256">
        <f>IFERROR(W167*1/AVERAGE(W417,R417),"")</f>
        <v>0.0455288693129553</v>
      </c>
      <c r="X437" s="256">
        <f>IFERROR(X167*1/AVERAGE(X417,W417),"")</f>
        <v>0.0420534292573149</v>
      </c>
      <c r="Y437" s="256">
        <f>IFERROR(Y167*1/AVERAGE(Y417,X417),"")</f>
        <v>0.0467330285166864</v>
      </c>
      <c r="Z437" s="256">
        <f>IFERROR(Z167*1/AVERAGE(Z417,Y417),"")</f>
        <v>0.0456239975454908</v>
      </c>
      <c r="AA437" s="256">
        <f>IFERROR(AA167*1/AVERAGE(AA417,Z417),"")</f>
        <v>0.0464831839280404</v>
      </c>
      <c r="AB437" s="256">
        <f>IFERROR(AB167*1/AVERAGE(AB417,AA417),"")</f>
        <v>0.0465699588331862</v>
      </c>
      <c r="AC437" s="153" t="n"/>
    </row>
    <row r="438" ht="15" customHeight="1" s="251">
      <c r="AK438" s="11" t="n"/>
      <c r="AL438" s="12" t="n"/>
      <c r="AM438" s="12" t="n"/>
      <c r="AN438" s="12" t="n"/>
      <c r="AO438" s="13" t="n"/>
    </row>
    <row r="439" ht="15" customHeight="1" s="251">
      <c r="B439" s="10" t="inlineStr">
        <is>
          <t>RATIO ANALYSIS</t>
        </is>
      </c>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c r="AA439" s="10" t="n"/>
      <c r="AB439" s="10" t="n"/>
      <c r="AC439" s="10" t="inlineStr">
        <is>
          <t>RETURNS — annual columns (NOPAT on operating profit, full-cost; insurance excluded)</t>
        </is>
      </c>
    </row>
    <row r="440" ht="15" customHeight="1" s="251">
      <c r="B440" s="25" t="inlineStr">
        <is>
          <t>DuPont decomposition of ROIC</t>
        </is>
      </c>
      <c r="AC440" s="153" t="n"/>
    </row>
    <row r="441" ht="15" customHeight="1" s="251">
      <c r="B441" s="25" t="inlineStr">
        <is>
          <t>Operating profit (adjusted EBIT, full-cost)</t>
        </is>
      </c>
      <c r="C441" s="211">
        <f>C229</f>
      </c>
      <c r="D441" s="34" t="n"/>
      <c r="E441" s="34" t="n"/>
      <c r="F441" s="34" t="n"/>
      <c r="G441" s="34" t="n"/>
      <c r="H441" s="211">
        <f>H229</f>
        <v>5559</v>
      </c>
      <c r="I441" s="34" t="n"/>
      <c r="J441" s="34" t="n"/>
      <c r="K441" s="34" t="n"/>
      <c r="L441" s="34" t="n"/>
      <c r="M441" s="211">
        <f>M229</f>
        <v>7254</v>
      </c>
      <c r="N441" s="34" t="n"/>
      <c r="O441" s="34" t="n"/>
      <c r="P441" s="34" t="n"/>
      <c r="Q441" s="34" t="n"/>
      <c r="R441" s="211">
        <f>R229</f>
        <v>9056</v>
      </c>
      <c r="S441" s="34" t="n"/>
      <c r="T441" s="34" t="n"/>
      <c r="U441" s="35" t="n"/>
      <c r="V441" s="35" t="n"/>
      <c r="W441" s="254">
        <f>W229</f>
        <v>10652</v>
      </c>
      <c r="X441" s="254">
        <f>X229</f>
        <v>12257.8761404799</v>
      </c>
      <c r="Y441" s="254">
        <f>Y229</f>
        <v>13895.8194974289</v>
      </c>
      <c r="Z441" s="254">
        <f>Z229</f>
        <v>15455.5432845883</v>
      </c>
      <c r="AA441" s="254">
        <f>AA229</f>
        <v>17016.2627588511</v>
      </c>
      <c r="AB441" s="254">
        <f>AB229</f>
        <v>18377.7890159846</v>
      </c>
      <c r="AC441" s="19" t="n"/>
    </row>
    <row r="442" ht="15" customHeight="1" s="251">
      <c r="B442" s="25" t="inlineStr">
        <is>
          <t>Adjusted effective tax rate</t>
        </is>
      </c>
      <c r="C442" s="215">
        <f>IFERROR(C254+0,0.17)</f>
        <v>0.17</v>
      </c>
      <c r="D442" s="34" t="n"/>
      <c r="E442" s="34" t="n"/>
      <c r="F442" s="34" t="n"/>
      <c r="G442" s="34" t="n"/>
      <c r="H442" s="215">
        <f>IFERROR(H254+0,0.17)</f>
        <v>0.284988962472406</v>
      </c>
      <c r="I442" s="34" t="n"/>
      <c r="J442" s="34" t="n"/>
      <c r="K442" s="34" t="n"/>
      <c r="L442" s="34" t="n"/>
      <c r="M442" s="215">
        <f>IFERROR(M254+0,0.17)</f>
        <v>0.196553924696873</v>
      </c>
      <c r="N442" s="34" t="n"/>
      <c r="O442" s="34" t="n"/>
      <c r="P442" s="34" t="n"/>
      <c r="Q442" s="34" t="n"/>
      <c r="R442" s="215">
        <f>IFERROR(R254+0,0.17)</f>
        <v>0.170704979909899</v>
      </c>
      <c r="S442" s="34" t="n"/>
      <c r="T442" s="34" t="n"/>
      <c r="U442" s="35" t="n"/>
      <c r="V442" s="35" t="n"/>
      <c r="W442" s="256">
        <f>IFERROR(W254+0,0.17)</f>
        <v>0.160669363925023</v>
      </c>
      <c r="X442" s="256">
        <f>IFERROR(X254+0,0.17)</f>
        <v>0.17</v>
      </c>
      <c r="Y442" s="256">
        <f>IFERROR(Y254+0,0.17)</f>
        <v>0.17</v>
      </c>
      <c r="Z442" s="256">
        <f>IFERROR(Z254+0,0.17)</f>
        <v>0.17</v>
      </c>
      <c r="AA442" s="256">
        <f>IFERROR(AA254+0,0.17)</f>
        <v>0.17</v>
      </c>
      <c r="AB442" s="256">
        <f>IFERROR(AB254+0,0.17)</f>
        <v>0.17</v>
      </c>
      <c r="AC442" s="19" t="n"/>
    </row>
    <row r="443" ht="15" customHeight="1" s="251">
      <c r="B443" s="25" t="inlineStr">
        <is>
          <t>NOPAT = Operating profit × (1 − tax rate)</t>
        </is>
      </c>
      <c r="C443" s="211" t="str">
        <f>IFERROR(C441*(1-C442),"n/a")</f>
        <v>n/a</v>
      </c>
      <c r="D443" s="34" t="n"/>
      <c r="E443" s="34" t="n"/>
      <c r="F443" s="34" t="n"/>
      <c r="G443" s="34" t="n"/>
      <c r="H443" s="211">
        <f>IFERROR(H441*(1-H442),"n/a")</f>
        <v>3974.74635761589</v>
      </c>
      <c r="I443" s="34" t="n"/>
      <c r="J443" s="34" t="n"/>
      <c r="K443" s="34" t="n"/>
      <c r="L443" s="34" t="n"/>
      <c r="M443" s="211">
        <f>IFERROR(M441*(1-M442),"n/a")</f>
        <v>5828.19783024888</v>
      </c>
      <c r="N443" s="34" t="n"/>
      <c r="O443" s="34" t="n"/>
      <c r="P443" s="34" t="n"/>
      <c r="Q443" s="34" t="n"/>
      <c r="R443" s="211">
        <f>IFERROR(R441*(1-R442),"n/a")</f>
        <v>7510.09570193596</v>
      </c>
      <c r="S443" s="34" t="n"/>
      <c r="T443" s="34" t="n"/>
      <c r="U443" s="35" t="n"/>
      <c r="V443" s="35" t="n"/>
      <c r="W443" s="254">
        <f>IFERROR(W441*(1-W442),"n/a")</f>
        <v>8940.54993547065</v>
      </c>
      <c r="X443" s="254">
        <f>IFERROR(X441*(1-X442),"n/a")</f>
        <v>10174.0371965983</v>
      </c>
      <c r="Y443" s="254">
        <f>IFERROR(Y441*(1-Y442),"n/a")</f>
        <v>11533.530182866</v>
      </c>
      <c r="Z443" s="254">
        <f>IFERROR(Z441*(1-Z442),"n/a")</f>
        <v>12828.1009262083</v>
      </c>
      <c r="AA443" s="254">
        <f>IFERROR(AA441*(1-AA442),"n/a")</f>
        <v>14123.4980898464</v>
      </c>
      <c r="AB443" s="254">
        <f>IFERROR(AB441*(1-AB442),"n/a")</f>
        <v>15253.5648832673</v>
      </c>
      <c r="AC443" s="19" t="n"/>
    </row>
    <row r="444" ht="15" customHeight="1" s="251">
      <c r="B444" s="25" t="inlineStr">
        <is>
          <t>Invested capital (IC) = Equity + Net debt</t>
        </is>
      </c>
      <c r="C444" s="211" t="str">
        <f>IFERROR(C445+C446,"n/a")</f>
        <v>n/a</v>
      </c>
      <c r="D444" s="34" t="n"/>
      <c r="E444" s="34" t="n"/>
      <c r="F444" s="34" t="n"/>
      <c r="G444" s="34" t="n"/>
      <c r="H444" s="211">
        <f>IFERROR(H445+H446,"n/a")</f>
        <v>33926</v>
      </c>
      <c r="I444" s="34" t="n"/>
      <c r="J444" s="34" t="n"/>
      <c r="K444" s="34" t="n"/>
      <c r="L444" s="34" t="n"/>
      <c r="M444" s="211">
        <f>IFERROR(M445+M446,"n/a")</f>
        <v>25219</v>
      </c>
      <c r="N444" s="34" t="n"/>
      <c r="O444" s="34" t="n"/>
      <c r="P444" s="34" t="n"/>
      <c r="Q444" s="34" t="n"/>
      <c r="R444" s="211">
        <f>IFERROR(R445+R446,"n/a")</f>
        <v>27000</v>
      </c>
      <c r="S444" s="34" t="n"/>
      <c r="T444" s="34" t="n"/>
      <c r="U444" s="35" t="n"/>
      <c r="V444" s="35" t="n"/>
      <c r="W444" s="254">
        <f>IFERROR(W445+W446,"n/a")</f>
        <v>27995.445</v>
      </c>
      <c r="X444" s="254">
        <f>IFERROR(X445+X446,"n/a")</f>
        <v>39242.7379458306</v>
      </c>
      <c r="Y444" s="254">
        <f>IFERROR(Y445+Y446,"n/a")</f>
        <v>38571.7726569378</v>
      </c>
      <c r="Z444" s="254">
        <f>IFERROR(Z445+Z446,"n/a")</f>
        <v>38628.7991133804</v>
      </c>
      <c r="AA444" s="254">
        <f>IFERROR(AA445+AA446,"n/a")</f>
        <v>38670.9806587345</v>
      </c>
      <c r="AB444" s="254">
        <f>IFERROR(AB445+AB446,"n/a")</f>
        <v>38811.4310535025</v>
      </c>
      <c r="AC444" s="19" t="n"/>
    </row>
    <row r="445" ht="15" customHeight="1" s="251">
      <c r="B445" s="25" t="inlineStr">
        <is>
          <t xml:space="preserve">  Total equity</t>
        </is>
      </c>
      <c r="C445" s="211" t="str">
        <f>IF(ISNUMBER(C378),C378,"n/a")</f>
        <v>n/a</v>
      </c>
      <c r="D445" s="34" t="n"/>
      <c r="E445" s="34" t="n"/>
      <c r="F445" s="34" t="n"/>
      <c r="G445" s="34" t="n"/>
      <c r="H445" s="211">
        <f>IF(ISNUMBER(H378),H378,"n/a")</f>
        <v>28605</v>
      </c>
      <c r="I445" s="34" t="n"/>
      <c r="J445" s="34" t="n"/>
      <c r="K445" s="34" t="n"/>
      <c r="L445" s="34" t="n"/>
      <c r="M445" s="211">
        <f>IF(ISNUMBER(M378),M378,"n/a")</f>
        <v>19565</v>
      </c>
      <c r="N445" s="34" t="n"/>
      <c r="O445" s="34" t="n"/>
      <c r="P445" s="34" t="n"/>
      <c r="Q445" s="34" t="n"/>
      <c r="R445" s="211">
        <f>IF(ISNUMBER(R378),R378,"n/a")</f>
        <v>18898</v>
      </c>
      <c r="S445" s="34" t="n"/>
      <c r="T445" s="34" t="n"/>
      <c r="U445" s="35" t="n"/>
      <c r="V445" s="35" t="n"/>
      <c r="W445" s="254">
        <f>IF(ISNUMBER(W378),W378,"n/a")</f>
        <v>17437.3001338839</v>
      </c>
      <c r="X445" s="254">
        <f>IF(ISNUMBER(X378),X378,"n/a")</f>
        <v>25125.7548900733</v>
      </c>
      <c r="Y445" s="254">
        <f>IF(ISNUMBER(Y378),Y378,"n/a")</f>
        <v>22738.0731148254</v>
      </c>
      <c r="Z445" s="254">
        <f>IF(ISNUMBER(Z378),Z378,"n/a")</f>
        <v>21103.7164368863</v>
      </c>
      <c r="AA445" s="254">
        <f>IF(ISNUMBER(AA378),AA378,"n/a")</f>
        <v>19473.4820964226</v>
      </c>
      <c r="AB445" s="254">
        <f>IF(ISNUMBER(AB378),AB378,"n/a")</f>
        <v>18152.5162587468</v>
      </c>
      <c r="AC445" s="19" t="n"/>
    </row>
    <row r="446" ht="15" customHeight="1" s="251">
      <c r="B446" s="25" t="inlineStr">
        <is>
          <t xml:space="preserve">  Net debt = Total borrowings − Cash</t>
        </is>
      </c>
      <c r="C446" s="211" t="str">
        <f>IFERROR(C417-C348,"n/a")</f>
        <v>n/a</v>
      </c>
      <c r="D446" s="34" t="n"/>
      <c r="E446" s="34" t="n"/>
      <c r="F446" s="34" t="n"/>
      <c r="G446" s="34" t="n"/>
      <c r="H446" s="211">
        <f>IFERROR(H417-H348,"n/a")</f>
        <v>5321</v>
      </c>
      <c r="I446" s="34" t="n"/>
      <c r="J446" s="34" t="n"/>
      <c r="K446" s="34" t="n"/>
      <c r="L446" s="34" t="n"/>
      <c r="M446" s="211">
        <f>IFERROR(M417-M348,"n/a")</f>
        <v>5654</v>
      </c>
      <c r="N446" s="34" t="n"/>
      <c r="O446" s="34" t="n"/>
      <c r="P446" s="34" t="n"/>
      <c r="Q446" s="34" t="n"/>
      <c r="R446" s="211">
        <f>IFERROR(R417-R348,"n/a")</f>
        <v>8102</v>
      </c>
      <c r="S446" s="34" t="n"/>
      <c r="T446" s="34" t="n"/>
      <c r="U446" s="35" t="n"/>
      <c r="V446" s="35" t="n"/>
      <c r="W446" s="254">
        <f>IFERROR(W417-W348,"n/a")</f>
        <v>10558.1448661161</v>
      </c>
      <c r="X446" s="254">
        <f>IFERROR(X417-X348,"n/a")</f>
        <v>14116.9830557573</v>
      </c>
      <c r="Y446" s="254">
        <f>IFERROR(Y417-Y348,"n/a")</f>
        <v>15833.6995421124</v>
      </c>
      <c r="Z446" s="254">
        <f>IFERROR(Z417-Z348,"n/a")</f>
        <v>17525.0826764941</v>
      </c>
      <c r="AA446" s="254">
        <f>IFERROR(AA417-AA348,"n/a")</f>
        <v>19197.4985623119</v>
      </c>
      <c r="AB446" s="254">
        <f>IFERROR(AB417-AB348,"n/a")</f>
        <v>20658.9147947557</v>
      </c>
      <c r="AC446" s="19" t="n"/>
    </row>
    <row r="447" ht="15" customHeight="1" s="251">
      <c r="B447" s="55" t="inlineStr">
        <is>
          <t>ROIC = NOPAT / IC</t>
        </is>
      </c>
      <c r="C447" s="295" t="str">
        <f>IFERROR(C443/C444,"n/a")</f>
        <v>n/a</v>
      </c>
      <c r="D447" s="56" t="n"/>
      <c r="E447" s="56" t="n"/>
      <c r="F447" s="56" t="n"/>
      <c r="G447" s="56" t="n"/>
      <c r="H447" s="295">
        <f>IFERROR(H443/H444,"n/a")</f>
        <v>0.117159298402874</v>
      </c>
      <c r="I447" s="56" t="n"/>
      <c r="J447" s="56" t="n"/>
      <c r="K447" s="56" t="n"/>
      <c r="L447" s="56" t="n"/>
      <c r="M447" s="295">
        <f>IFERROR(M443/M444,"n/a")</f>
        <v>0.231103447014112</v>
      </c>
      <c r="N447" s="56" t="n"/>
      <c r="O447" s="56" t="n"/>
      <c r="P447" s="56" t="n"/>
      <c r="Q447" s="56" t="n"/>
      <c r="R447" s="295">
        <f>IFERROR(R443/R444,"n/a")</f>
        <v>0.278151692664295</v>
      </c>
      <c r="S447" s="56" t="n"/>
      <c r="T447" s="56" t="n"/>
      <c r="U447" s="56" t="n"/>
      <c r="V447" s="56" t="n"/>
      <c r="W447" s="295">
        <f>IFERROR(W443/W444,"n/a")</f>
        <v>0.319357307428785</v>
      </c>
      <c r="X447" s="295">
        <f>IFERROR(X443/X444,"n/a")</f>
        <v>0.259259107013436</v>
      </c>
      <c r="Y447" s="295">
        <f>IFERROR(Y443/Y444,"n/a")</f>
        <v>0.299014781753659</v>
      </c>
      <c r="Z447" s="295">
        <f>IFERROR(Z443/Z444,"n/a")</f>
        <v>0.332086454164836</v>
      </c>
      <c r="AA447" s="295">
        <f>IFERROR(AA443/AA444,"n/a")</f>
        <v>0.365222134253178</v>
      </c>
      <c r="AB447" s="295">
        <f>IFERROR(AB443/AB444,"n/a")</f>
        <v>0.393017326834454</v>
      </c>
      <c r="AC447" s="153" t="n"/>
      <c r="AE447" s="37">
        <f>IFERROR(AVERAGE(X447,Y447,Z447,AA447,AB447),"n/m")</f>
        <v>0.329719960803913</v>
      </c>
      <c r="AF447" s="37">
        <f>IFERROR(AVERAGE(H447,M447,R447),"n/m")</f>
        <v>0.20880481269376</v>
      </c>
      <c r="AG447" s="37">
        <f>IFERROR(AVERAGE(M447,R447),"n/m")</f>
        <v>0.254627569839203</v>
      </c>
      <c r="AH447" s="37">
        <f>IFERROR(W447+0,"n/m")</f>
        <v>0.319357307428785</v>
      </c>
    </row>
    <row r="448" ht="15" customHeight="1" s="251">
      <c r="B448" s="25" t="inlineStr">
        <is>
          <t xml:space="preserve">  Margin = Operating profit / Adjusted revenue</t>
        </is>
      </c>
      <c r="C448" s="215" t="str">
        <f>IFERROR(C441/C105,"n/a")</f>
        <v>n/a</v>
      </c>
      <c r="D448" s="34" t="n"/>
      <c r="E448" s="34" t="n"/>
      <c r="F448" s="34" t="n"/>
      <c r="G448" s="34" t="n"/>
      <c r="H448" s="215">
        <f>IFERROR(H441/H105,"n/a")</f>
        <v>0.173941612691261</v>
      </c>
      <c r="I448" s="34" t="n"/>
      <c r="J448" s="34" t="n"/>
      <c r="K448" s="34" t="n"/>
      <c r="L448" s="34" t="n"/>
      <c r="M448" s="215">
        <f>IFERROR(M441/M105,"n/a")</f>
        <v>0.206548974943052</v>
      </c>
      <c r="N448" s="34" t="n"/>
      <c r="O448" s="34" t="n"/>
      <c r="P448" s="34" t="n"/>
      <c r="Q448" s="34" t="n"/>
      <c r="R448" s="215">
        <f>IFERROR(R441/R105,"n/a")</f>
        <v>0.213978545437361</v>
      </c>
      <c r="S448" s="34" t="n"/>
      <c r="T448" s="34" t="n"/>
      <c r="U448" s="35" t="n"/>
      <c r="V448" s="35" t="n"/>
      <c r="W448" s="256">
        <f>IFERROR(W441/W105,"n/a")</f>
        <v>0.213296125988087</v>
      </c>
      <c r="X448" s="256">
        <f>IFERROR(X441/X105,"n/a")</f>
        <v>0.217548297006046</v>
      </c>
      <c r="Y448" s="256">
        <f>IFERROR(Y441/Y105,"n/a")</f>
        <v>0.220253294317904</v>
      </c>
      <c r="Z448" s="256">
        <f>IFERROR(Z441/Z105,"n/a")</f>
        <v>0.226428760966287</v>
      </c>
      <c r="AA448" s="256">
        <f>IFERROR(AA441/AA105,"n/a")</f>
        <v>0.232162481270399</v>
      </c>
      <c r="AB448" s="256">
        <f>IFERROR(AB441/AB105,"n/a")</f>
        <v>0.235653458006422</v>
      </c>
      <c r="AC448" s="19" t="n"/>
    </row>
    <row r="449" ht="15" customHeight="1" s="251">
      <c r="B449" s="25" t="inlineStr">
        <is>
          <t xml:space="preserve">  Capital turnover = Adjusted revenue / IC</t>
        </is>
      </c>
      <c r="C449" s="265" t="str">
        <f>IFERROR(C105/C444,"n/a")</f>
        <v>n/a</v>
      </c>
      <c r="D449" s="34" t="n"/>
      <c r="E449" s="34" t="n"/>
      <c r="F449" s="34" t="n"/>
      <c r="G449" s="34" t="n"/>
      <c r="H449" s="265">
        <f>IFERROR(H105/H444,"n/a")</f>
        <v>0.942020868950068</v>
      </c>
      <c r="I449" s="34" t="n"/>
      <c r="J449" s="34" t="n"/>
      <c r="K449" s="34" t="n"/>
      <c r="L449" s="34" t="n"/>
      <c r="M449" s="265">
        <f>IFERROR(M105/M444,"n/a")</f>
        <v>1.39260081684444</v>
      </c>
      <c r="N449" s="34" t="n"/>
      <c r="O449" s="34" t="n"/>
      <c r="P449" s="34" t="n"/>
      <c r="Q449" s="34" t="n"/>
      <c r="R449" s="265">
        <f>IFERROR(R105/R444,"n/a")</f>
        <v>1.56748148148148</v>
      </c>
      <c r="S449" s="34" t="n"/>
      <c r="T449" s="34" t="n"/>
      <c r="U449" s="35" t="n"/>
      <c r="V449" s="35" t="n"/>
      <c r="W449" s="286">
        <f>IFERROR(W105/W444,"n/a")</f>
        <v>1.78386019582829</v>
      </c>
      <c r="X449" s="286">
        <f>IFERROR(X105/X444,"n/a")</f>
        <v>1.43582080022913</v>
      </c>
      <c r="Y449" s="286">
        <f>IFERROR(Y105/Y444,"n/a")</f>
        <v>1.63565668478583</v>
      </c>
      <c r="Z449" s="286">
        <f>IFERROR(Z105/Z444,"n/a")</f>
        <v>1.76702005494767</v>
      </c>
      <c r="AA449" s="286">
        <f>IFERROR(AA105/AA444,"n/a")</f>
        <v>1.89533927001071</v>
      </c>
      <c r="AB449" s="286">
        <f>IFERROR(AB105/AB444,"n/a")</f>
        <v>2.00936941733684</v>
      </c>
      <c r="AC449" s="19" t="n"/>
    </row>
    <row r="450" ht="15" customHeight="1" s="251">
      <c r="B450" s="25" t="inlineStr">
        <is>
          <t xml:space="preserve">  Tax burden = (1 − tax rate)</t>
        </is>
      </c>
      <c r="C450" s="215">
        <f>IFERROR(1-C442,"n/a")</f>
        <v>0.83</v>
      </c>
      <c r="D450" s="34" t="n"/>
      <c r="E450" s="34" t="n"/>
      <c r="F450" s="34" t="n"/>
      <c r="G450" s="34" t="n"/>
      <c r="H450" s="215">
        <f>IFERROR(1-H442,"n/a")</f>
        <v>0.715011037527594</v>
      </c>
      <c r="I450" s="34" t="n"/>
      <c r="J450" s="34" t="n"/>
      <c r="K450" s="34" t="n"/>
      <c r="L450" s="34" t="n"/>
      <c r="M450" s="215">
        <f>IFERROR(1-M442,"n/a")</f>
        <v>0.803446075303127</v>
      </c>
      <c r="N450" s="34" t="n"/>
      <c r="O450" s="34" t="n"/>
      <c r="P450" s="34" t="n"/>
      <c r="Q450" s="34" t="n"/>
      <c r="R450" s="215">
        <f>IFERROR(1-R442,"n/a")</f>
        <v>0.829295020090101</v>
      </c>
      <c r="S450" s="34" t="n"/>
      <c r="T450" s="34" t="n"/>
      <c r="U450" s="35" t="n"/>
      <c r="V450" s="35" t="n"/>
      <c r="W450" s="256">
        <f>IFERROR(1-W442,"n/a")</f>
        <v>0.839330636074977</v>
      </c>
      <c r="X450" s="256">
        <f>IFERROR(1-X442,"n/a")</f>
        <v>0.83</v>
      </c>
      <c r="Y450" s="256">
        <f>IFERROR(1-Y442,"n/a")</f>
        <v>0.83</v>
      </c>
      <c r="Z450" s="256">
        <f>IFERROR(1-Z442,"n/a")</f>
        <v>0.83</v>
      </c>
      <c r="AA450" s="256">
        <f>IFERROR(1-AA442,"n/a")</f>
        <v>0.83</v>
      </c>
      <c r="AB450" s="256">
        <f>IFERROR(1-AB442,"n/a")</f>
        <v>0.83</v>
      </c>
      <c r="AC450" s="19" t="n"/>
    </row>
    <row r="451" ht="15" customHeight="1" s="251">
      <c r="B451" s="25" t="inlineStr">
        <is>
          <t xml:space="preserve">  Check: Margin × Turnover × Tax burden = ROIC</t>
        </is>
      </c>
      <c r="C451" s="215" t="str">
        <f>IFERROR(C448*C449*C450,"n/a")</f>
        <v>n/a</v>
      </c>
      <c r="D451" s="34" t="n"/>
      <c r="E451" s="34" t="n"/>
      <c r="F451" s="34" t="n"/>
      <c r="G451" s="34" t="n"/>
      <c r="H451" s="215">
        <f>IFERROR(H448*H449*H450,"n/a")</f>
        <v>0.117159298402874</v>
      </c>
      <c r="I451" s="34" t="n"/>
      <c r="J451" s="34" t="n"/>
      <c r="K451" s="34" t="n"/>
      <c r="L451" s="34" t="n"/>
      <c r="M451" s="215">
        <f>IFERROR(M448*M449*M450,"n/a")</f>
        <v>0.231103447014112</v>
      </c>
      <c r="N451" s="34" t="n"/>
      <c r="O451" s="34" t="n"/>
      <c r="P451" s="34" t="n"/>
      <c r="Q451" s="34" t="n"/>
      <c r="R451" s="215">
        <f>IFERROR(R448*R449*R450,"n/a")</f>
        <v>0.278151692664295</v>
      </c>
      <c r="S451" s="34" t="n"/>
      <c r="T451" s="34" t="n"/>
      <c r="U451" s="35" t="n"/>
      <c r="V451" s="35" t="n"/>
      <c r="W451" s="256">
        <f>IFERROR(W448*W449*W450,"n/a")</f>
        <v>0.319357307428785</v>
      </c>
      <c r="X451" s="256">
        <f>IFERROR(X448*X449*X450,"n/a")</f>
        <v>0.259259107013436</v>
      </c>
      <c r="Y451" s="256">
        <f>IFERROR(Y448*Y449*Y450,"n/a")</f>
        <v>0.299014781753659</v>
      </c>
      <c r="Z451" s="256">
        <f>IFERROR(Z448*Z449*Z450,"n/a")</f>
        <v>0.332086454164836</v>
      </c>
      <c r="AA451" s="256">
        <f>IFERROR(AA448*AA449*AA450,"n/a")</f>
        <v>0.365222134253178</v>
      </c>
      <c r="AB451" s="256">
        <f>IFERROR(AB448*AB449*AB450,"n/a")</f>
        <v>0.393017326834454</v>
      </c>
      <c r="AC451" s="19" t="n"/>
    </row>
    <row r="452" ht="15" customHeight="1" s="251">
      <c r="B452" s="25" t="inlineStr">
        <is>
          <t>RONTA decomposition (excl. the run-off insurance balance sheet)</t>
        </is>
      </c>
      <c r="AC452" s="153" t="n"/>
    </row>
    <row r="453" ht="15" customHeight="1" s="251">
      <c r="B453" s="25" t="inlineStr">
        <is>
          <t>NOPAT</t>
        </is>
      </c>
      <c r="C453" s="211" t="str">
        <f>C443</f>
        <v>n/a</v>
      </c>
      <c r="D453" s="34" t="n"/>
      <c r="E453" s="34" t="n"/>
      <c r="F453" s="34" t="n"/>
      <c r="G453" s="34" t="n"/>
      <c r="H453" s="211">
        <f>H443</f>
        <v>3974.74635761589</v>
      </c>
      <c r="I453" s="34" t="n"/>
      <c r="J453" s="34" t="n"/>
      <c r="K453" s="34" t="n"/>
      <c r="L453" s="34" t="n"/>
      <c r="M453" s="211">
        <f>M443</f>
        <v>5828.19783024888</v>
      </c>
      <c r="N453" s="34" t="n"/>
      <c r="O453" s="34" t="n"/>
      <c r="P453" s="34" t="n"/>
      <c r="Q453" s="34" t="n"/>
      <c r="R453" s="211">
        <f>R443</f>
        <v>7510.09570193596</v>
      </c>
      <c r="S453" s="34" t="n"/>
      <c r="T453" s="34" t="n"/>
      <c r="U453" s="35" t="n"/>
      <c r="V453" s="35" t="n"/>
      <c r="W453" s="254">
        <f>W443</f>
        <v>8940.54993547065</v>
      </c>
      <c r="X453" s="254">
        <f>X443</f>
        <v>10174.0371965983</v>
      </c>
      <c r="Y453" s="254">
        <f>Y443</f>
        <v>11533.530182866</v>
      </c>
      <c r="Z453" s="254">
        <f>Z443</f>
        <v>12828.1009262083</v>
      </c>
      <c r="AA453" s="254">
        <f>AA443</f>
        <v>14123.4980898464</v>
      </c>
      <c r="AB453" s="254">
        <f>AB443</f>
        <v>15253.5648832673</v>
      </c>
      <c r="AC453" s="19" t="n"/>
    </row>
    <row r="454" ht="15" customHeight="1" s="251">
      <c r="B454" s="25" t="inlineStr">
        <is>
          <t xml:space="preserve">  Total assets</t>
        </is>
      </c>
      <c r="C454" s="211">
        <f>C363</f>
      </c>
      <c r="D454" s="34" t="n"/>
      <c r="E454" s="34" t="n"/>
      <c r="F454" s="34" t="n"/>
      <c r="G454" s="34" t="n"/>
      <c r="H454" s="211">
        <f>H363</f>
        <v>173300</v>
      </c>
      <c r="I454" s="34" t="n"/>
      <c r="J454" s="34" t="n"/>
      <c r="K454" s="34" t="n"/>
      <c r="L454" s="34" t="n"/>
      <c r="M454" s="211">
        <f>M363</f>
        <v>123140</v>
      </c>
      <c r="N454" s="34" t="n"/>
      <c r="O454" s="34" t="n"/>
      <c r="P454" s="34" t="n"/>
      <c r="Q454" s="34" t="n"/>
      <c r="R454" s="211">
        <f>R363</f>
        <v>130169</v>
      </c>
      <c r="S454" s="34" t="n"/>
      <c r="T454" s="34" t="n"/>
      <c r="U454" s="35" t="n"/>
      <c r="V454" s="35" t="n"/>
      <c r="W454" s="254">
        <f>W363</f>
        <v>129940.707571959</v>
      </c>
      <c r="X454" s="254">
        <f>X363</f>
        <v>146661.795480275</v>
      </c>
      <c r="Y454" s="254">
        <f>Y363</f>
        <v>149512.729164474</v>
      </c>
      <c r="Z454" s="254">
        <f>Z363</f>
        <v>152738.807149122</v>
      </c>
      <c r="AA454" s="254">
        <f>AA363</f>
        <v>155901.448011909</v>
      </c>
      <c r="AB454" s="254">
        <f>AB363</f>
        <v>158934.388090842</v>
      </c>
      <c r="AC454" s="19" t="n"/>
    </row>
    <row r="455" ht="15" customHeight="1" s="251">
      <c r="B455" s="25" t="inlineStr">
        <is>
          <t xml:space="preserve">  − Goodwill &amp; intangible assets</t>
        </is>
      </c>
      <c r="C455" s="211">
        <f>IFERROR(-(C357+C358),"n/a")</f>
        <v>0</v>
      </c>
      <c r="D455" s="34" t="n"/>
      <c r="E455" s="34" t="n"/>
      <c r="F455" s="34" t="n"/>
      <c r="G455" s="34" t="n"/>
      <c r="H455" s="211">
        <f>IFERROR(-(H357+H358),"n/a")</f>
        <v>-13590</v>
      </c>
      <c r="I455" s="34" t="n"/>
      <c r="J455" s="34" t="n"/>
      <c r="K455" s="34" t="n"/>
      <c r="L455" s="34" t="n"/>
      <c r="M455" s="211">
        <f>IFERROR(-(M357+M358),"n/a")</f>
        <v>-12795</v>
      </c>
      <c r="N455" s="34" t="n"/>
      <c r="O455" s="34" t="n"/>
      <c r="P455" s="34" t="n"/>
      <c r="Q455" s="34" t="n"/>
      <c r="R455" s="211">
        <f>IFERROR(-(R357+R358),"n/a")</f>
        <v>-13285</v>
      </c>
      <c r="S455" s="34" t="n"/>
      <c r="T455" s="34" t="n"/>
      <c r="U455" s="35" t="n"/>
      <c r="V455" s="35" t="n"/>
      <c r="W455" s="254">
        <f>IFERROR(-(W357+W358),"n/a")</f>
        <v>-12861</v>
      </c>
      <c r="X455" s="254">
        <f>IFERROR(-(X357+X358),"n/a")</f>
        <v>-21836.4583333333</v>
      </c>
      <c r="Y455" s="254">
        <f>IFERROR(-(Y357+Y358),"n/a")</f>
        <v>-21205.2916666667</v>
      </c>
      <c r="Z455" s="254">
        <f>IFERROR(-(Z357+Z358),"n/a")</f>
        <v>-20974.2916666667</v>
      </c>
      <c r="AA455" s="254">
        <f>IFERROR(-(AA357+AA358),"n/a")</f>
        <v>-20736.625</v>
      </c>
      <c r="AB455" s="254">
        <f>IFERROR(-(AB357+AB358),"n/a")</f>
        <v>-20498.2916666667</v>
      </c>
      <c r="AC455" s="19" t="n"/>
    </row>
    <row r="456" ht="15" customHeight="1" s="251">
      <c r="B456" s="25" t="inlineStr">
        <is>
          <t xml:space="preserve">  − Insurance investment securities, cash, discontinued-operations assets</t>
        </is>
      </c>
      <c r="C456" s="211">
        <f>IFERROR(-(C355+C348+C362),"n/a")</f>
        <v>0</v>
      </c>
      <c r="D456" s="34" t="n"/>
      <c r="E456" s="34" t="n"/>
      <c r="F456" s="34" t="n"/>
      <c r="G456" s="34" t="n"/>
      <c r="H456" s="211">
        <f>IFERROR(-(H355+H348+H362),"n/a")</f>
        <v>-101131</v>
      </c>
      <c r="I456" s="34" t="n"/>
      <c r="J456" s="34" t="n"/>
      <c r="K456" s="34" t="n"/>
      <c r="L456" s="34" t="n"/>
      <c r="M456" s="211">
        <f>IFERROR(-(M355+M348+M362),"n/a")</f>
        <v>-53201</v>
      </c>
      <c r="N456" s="34" t="n"/>
      <c r="O456" s="34" t="n"/>
      <c r="P456" s="34" t="n"/>
      <c r="Q456" s="34" t="n"/>
      <c r="R456" s="211">
        <f>IFERROR(-(R355+R348+R362),"n/a")</f>
        <v>-53035</v>
      </c>
      <c r="S456" s="34" t="n"/>
      <c r="T456" s="34" t="n"/>
      <c r="U456" s="35" t="n"/>
      <c r="V456" s="35" t="n"/>
      <c r="W456" s="254">
        <f>IFERROR(-(W355+W348+W362),"n/a")</f>
        <v>-47427</v>
      </c>
      <c r="X456" s="254">
        <f>IFERROR(-(X355+X348+X362),"n/a")</f>
        <v>-48582.0169442427</v>
      </c>
      <c r="Y456" s="254">
        <f>IFERROR(-(Y355+Y348+Y362),"n/a")</f>
        <v>-47427</v>
      </c>
      <c r="Z456" s="254">
        <f>IFERROR(-(Z355+Z348+Z362),"n/a")</f>
        <v>-47427</v>
      </c>
      <c r="AA456" s="254">
        <f>IFERROR(-(AA355+AA348+AA362),"n/a")</f>
        <v>-47427</v>
      </c>
      <c r="AB456" s="254">
        <f>IFERROR(-(AB355+AB348+AB362),"n/a")</f>
        <v>-47427</v>
      </c>
      <c r="AC456" s="19" t="n"/>
    </row>
    <row r="457" ht="15" customHeight="1" s="251">
      <c r="B457" s="25" t="inlineStr">
        <is>
          <t xml:space="preserve">  − Non-interest-bearing current liabilities (current liabilities excl. borrowings)</t>
        </is>
      </c>
      <c r="C457" s="211" t="str">
        <f>IFERROR(-(C370-N(C365)),"n/a")</f>
        <v>n/a</v>
      </c>
      <c r="D457" s="34" t="n"/>
      <c r="E457" s="34" t="n"/>
      <c r="F457" s="34" t="n"/>
      <c r="G457" s="34" t="n"/>
      <c r="H457" s="211">
        <f>IFERROR(-(H370-N(H365)),"n/a")</f>
        <v>-30995</v>
      </c>
      <c r="I457" s="34" t="n"/>
      <c r="J457" s="34" t="n"/>
      <c r="K457" s="34" t="n"/>
      <c r="L457" s="34" t="n"/>
      <c r="M457" s="211">
        <f>IFERROR(-(M370-N(M365)),"n/a")</f>
        <v>-32353</v>
      </c>
      <c r="N457" s="34" t="n"/>
      <c r="O457" s="34" t="n"/>
      <c r="P457" s="34" t="n"/>
      <c r="Q457" s="34" t="n"/>
      <c r="R457" s="211">
        <f>IFERROR(-(R370-N(R365)),"n/a")</f>
        <v>-37294</v>
      </c>
      <c r="S457" s="34" t="n"/>
      <c r="T457" s="34" t="n"/>
      <c r="U457" s="35" t="n"/>
      <c r="V457" s="35" t="n"/>
      <c r="W457" s="254">
        <f>IFERROR(-(W370-N(W365)),"n/a")</f>
        <v>-42255.2625719586</v>
      </c>
      <c r="X457" s="254">
        <f>IFERROR(-(X370-N(X365)),"n/a")</f>
        <v>-47604.0405902017</v>
      </c>
      <c r="Y457" s="254">
        <f>IFERROR(-(Y370-N(Y365)),"n/a")</f>
        <v>-53290.9565075364</v>
      </c>
      <c r="Z457" s="254">
        <f>IFERROR(-(Z370-N(Z365)),"n/a")</f>
        <v>-57450.0080357414</v>
      </c>
      <c r="AA457" s="254">
        <f>IFERROR(-(AA370-N(AA365)),"n/a")</f>
        <v>-61540.4673531744</v>
      </c>
      <c r="AB457" s="254">
        <f>IFERROR(-(AB370-N(AB365)),"n/a")</f>
        <v>-65382.9570373393</v>
      </c>
      <c r="AC457" s="19" t="n"/>
    </row>
    <row r="458" ht="15" customHeight="1" s="251">
      <c r="B458" s="25" t="inlineStr">
        <is>
          <t xml:space="preserve">  = Net tangible operating assets</t>
        </is>
      </c>
      <c r="C458" s="211">
        <f>IFERROR(SUM(C454:C457),"n/a")</f>
        <v>0</v>
      </c>
      <c r="D458" s="34" t="n"/>
      <c r="E458" s="34" t="n"/>
      <c r="F458" s="34" t="n"/>
      <c r="G458" s="34" t="n"/>
      <c r="H458" s="211">
        <f>IFERROR(SUM(H454:H457),"n/a")</f>
        <v>27584</v>
      </c>
      <c r="I458" s="34" t="n"/>
      <c r="J458" s="34" t="n"/>
      <c r="K458" s="34" t="n"/>
      <c r="L458" s="34" t="n"/>
      <c r="M458" s="211">
        <f>IFERROR(SUM(M454:M457),"n/a")</f>
        <v>24791</v>
      </c>
      <c r="N458" s="34" t="n"/>
      <c r="O458" s="34" t="n"/>
      <c r="P458" s="34" t="n"/>
      <c r="Q458" s="34" t="n"/>
      <c r="R458" s="211">
        <f>IFERROR(SUM(R454:R457),"n/a")</f>
        <v>26555</v>
      </c>
      <c r="S458" s="34" t="n"/>
      <c r="T458" s="34" t="n"/>
      <c r="U458" s="35" t="n"/>
      <c r="V458" s="35" t="n"/>
      <c r="W458" s="254">
        <f>IFERROR(SUM(W454:W457),"n/a")</f>
        <v>27397.445</v>
      </c>
      <c r="X458" s="254">
        <f>IFERROR(SUM(X454:X457),"n/a")</f>
        <v>28639.2796124972</v>
      </c>
      <c r="Y458" s="254">
        <f>IFERROR(SUM(Y454:Y457),"n/a")</f>
        <v>27589.4809902712</v>
      </c>
      <c r="Z458" s="254">
        <f>IFERROR(SUM(Z454:Z457),"n/a")</f>
        <v>26887.5074467138</v>
      </c>
      <c r="AA458" s="254">
        <f>IFERROR(SUM(AA454:AA457),"n/a")</f>
        <v>26197.3556587346</v>
      </c>
      <c r="AB458" s="254">
        <f>IFERROR(SUM(AB454:AB457),"n/a")</f>
        <v>25626.1393868358</v>
      </c>
      <c r="AC458" s="19" t="n"/>
    </row>
    <row r="459" ht="15" customHeight="1" s="251">
      <c r="B459" s="55" t="inlineStr">
        <is>
          <t>RONTA = NOPAT / NTA</t>
        </is>
      </c>
      <c r="C459" s="295" t="str">
        <f>IFERROR(C453/C458,"n/a")</f>
        <v>n/a</v>
      </c>
      <c r="D459" s="56" t="n"/>
      <c r="E459" s="56" t="n"/>
      <c r="F459" s="56" t="n"/>
      <c r="G459" s="56" t="n"/>
      <c r="H459" s="295">
        <f>IFERROR(H453/H458,"n/a")</f>
        <v>0.144096083150228</v>
      </c>
      <c r="I459" s="56" t="n"/>
      <c r="J459" s="56" t="n"/>
      <c r="K459" s="56" t="n"/>
      <c r="L459" s="56" t="n"/>
      <c r="M459" s="295">
        <f>IFERROR(M453/M458,"n/a")</f>
        <v>0.235093293140611</v>
      </c>
      <c r="N459" s="56" t="n"/>
      <c r="O459" s="56" t="n"/>
      <c r="P459" s="56" t="n"/>
      <c r="Q459" s="56" t="n"/>
      <c r="R459" s="295">
        <f>IFERROR(R453/R458,"n/a")</f>
        <v>0.282812867706118</v>
      </c>
      <c r="S459" s="56" t="n"/>
      <c r="T459" s="56" t="n"/>
      <c r="U459" s="56" t="n"/>
      <c r="V459" s="56" t="n"/>
      <c r="W459" s="295">
        <f>IFERROR(W453/W458,"n/a")</f>
        <v>0.326327872378999</v>
      </c>
      <c r="X459" s="295">
        <f>IFERROR(X453/X458,"n/a")</f>
        <v>0.35524766454526</v>
      </c>
      <c r="Y459" s="295">
        <f>IFERROR(Y453/Y458,"n/a")</f>
        <v>0.418040853575066</v>
      </c>
      <c r="Z459" s="295">
        <f>IFERROR(Z453/Z458,"n/a")</f>
        <v>0.477102645220323</v>
      </c>
      <c r="AA459" s="295">
        <f>IFERROR(AA453/AA458,"n/a")</f>
        <v>0.53911922538401</v>
      </c>
      <c r="AB459" s="295">
        <f>IFERROR(AB453/AB458,"n/a")</f>
        <v>0.595234602177457</v>
      </c>
      <c r="AC459" s="153" t="n"/>
      <c r="AE459" s="37">
        <f>IFERROR(AVERAGE(X459,Y459,Z459,AA459,AB459),"n/m")</f>
        <v>0.476948998180423</v>
      </c>
      <c r="AF459" s="37">
        <f>IFERROR(AVERAGE(H459,M459,R459),"n/m")</f>
        <v>0.220667414665652</v>
      </c>
      <c r="AG459" s="37">
        <f>IFERROR(AVERAGE(M459,R459),"n/m")</f>
        <v>0.258953080423364</v>
      </c>
      <c r="AH459" s="37">
        <f>IFERROR(W459+0,"n/m")</f>
        <v>0.326327872378999</v>
      </c>
    </row>
    <row r="460" ht="15" customHeight="1" s="251">
      <c r="B460" s="25" t="inlineStr">
        <is>
          <t>Return on Equity (ROE)</t>
        </is>
      </c>
      <c r="AC460" s="153" t="n"/>
    </row>
    <row r="461" ht="15" customHeight="1" s="251">
      <c r="B461" s="25" t="inlineStr">
        <is>
          <t>Net income from continuing operations to common</t>
        </is>
      </c>
      <c r="C461" s="211">
        <f>C183</f>
        <v>1065</v>
      </c>
      <c r="D461" s="34" t="n"/>
      <c r="E461" s="34" t="n"/>
      <c r="F461" s="34" t="n"/>
      <c r="G461" s="34" t="n"/>
      <c r="H461" s="211">
        <f>H183</f>
        <v>9151</v>
      </c>
      <c r="I461" s="34" t="n"/>
      <c r="J461" s="34" t="n"/>
      <c r="K461" s="34" t="n"/>
      <c r="L461" s="34" t="n"/>
      <c r="M461" s="211">
        <f>M183</f>
        <v>6670</v>
      </c>
      <c r="N461" s="34" t="n"/>
      <c r="O461" s="34" t="n"/>
      <c r="P461" s="34" t="n"/>
      <c r="Q461" s="34" t="n"/>
      <c r="R461" s="211">
        <f>R183</f>
        <v>8598</v>
      </c>
      <c r="S461" s="34" t="n"/>
      <c r="T461" s="34" t="n"/>
      <c r="U461" s="35" t="n"/>
      <c r="V461" s="35" t="n"/>
      <c r="W461" s="254">
        <f>W183</f>
        <v>8875.445</v>
      </c>
      <c r="X461" s="254">
        <f>X183</f>
        <v>10406.1080618489</v>
      </c>
      <c r="Y461" s="254">
        <f>Y183</f>
        <v>11472.148364986</v>
      </c>
      <c r="Z461" s="254">
        <f>Z183</f>
        <v>12833.7907545668</v>
      </c>
      <c r="AA461" s="254">
        <f>AA183</f>
        <v>14016.689588548</v>
      </c>
      <c r="AB461" s="254">
        <f>AB183</f>
        <v>15054.7085213336</v>
      </c>
      <c r="AC461" s="19" t="n"/>
    </row>
    <row r="462" ht="15" customHeight="1" s="251">
      <c r="B462" s="25" t="inlineStr">
        <is>
          <t>Shareholders' equity</t>
        </is>
      </c>
      <c r="C462" s="211">
        <f>C376</f>
        <v>0</v>
      </c>
      <c r="D462" s="34" t="n"/>
      <c r="E462" s="34" t="n"/>
      <c r="F462" s="34" t="n"/>
      <c r="G462" s="34" t="n"/>
      <c r="H462" s="211">
        <f>H376</f>
        <v>27403</v>
      </c>
      <c r="I462" s="34" t="n"/>
      <c r="J462" s="34" t="n"/>
      <c r="K462" s="34" t="n"/>
      <c r="L462" s="34" t="n"/>
      <c r="M462" s="211">
        <f>M376</f>
        <v>19342</v>
      </c>
      <c r="N462" s="34" t="n"/>
      <c r="O462" s="34" t="n"/>
      <c r="P462" s="34" t="n"/>
      <c r="Q462" s="34" t="n"/>
      <c r="R462" s="211">
        <f>R376</f>
        <v>18677</v>
      </c>
      <c r="S462" s="34" t="n"/>
      <c r="T462" s="34" t="n"/>
      <c r="U462" s="35" t="n"/>
      <c r="V462" s="35" t="n"/>
      <c r="W462" s="254">
        <f>W376</f>
        <v>17210.3001338839</v>
      </c>
      <c r="X462" s="254">
        <f>X376</f>
        <v>24898.7548900733</v>
      </c>
      <c r="Y462" s="254">
        <f>Y376</f>
        <v>22511.0731148254</v>
      </c>
      <c r="Z462" s="254">
        <f>Z376</f>
        <v>20876.7164368863</v>
      </c>
      <c r="AA462" s="254">
        <f>AA376</f>
        <v>19246.4820964226</v>
      </c>
      <c r="AB462" s="254">
        <f>AB376</f>
        <v>17925.5162587468</v>
      </c>
      <c r="AC462" s="19" t="n"/>
    </row>
    <row r="463" ht="15" customHeight="1" s="251">
      <c r="B463" s="25" t="inlineStr">
        <is>
          <t>ROE = Net income / Equity</t>
        </is>
      </c>
      <c r="C463" s="215" t="str">
        <f>IFERROR(C461/C462,"n/a")</f>
        <v>n/a</v>
      </c>
      <c r="D463" s="34" t="n"/>
      <c r="E463" s="34" t="n"/>
      <c r="F463" s="34" t="n"/>
      <c r="G463" s="34" t="n"/>
      <c r="H463" s="215">
        <f>IFERROR(H461/H462,"n/a")</f>
        <v>0.333941539247528</v>
      </c>
      <c r="I463" s="34" t="n"/>
      <c r="J463" s="34" t="n"/>
      <c r="K463" s="34" t="n"/>
      <c r="L463" s="34" t="n"/>
      <c r="M463" s="215">
        <f>IFERROR(M461/M462,"n/a")</f>
        <v>0.344845414124703</v>
      </c>
      <c r="N463" s="34" t="n"/>
      <c r="O463" s="34" t="n"/>
      <c r="P463" s="34" t="n"/>
      <c r="Q463" s="34" t="n"/>
      <c r="R463" s="215">
        <f>IFERROR(R461/R462,"n/a")</f>
        <v>0.460352304974032</v>
      </c>
      <c r="S463" s="34" t="n"/>
      <c r="T463" s="34" t="n"/>
      <c r="U463" s="35" t="n"/>
      <c r="V463" s="35" t="n"/>
      <c r="W463" s="256">
        <f>IFERROR(W461/W462,"n/a")</f>
        <v>0.515705416579336</v>
      </c>
      <c r="X463" s="256">
        <f>IFERROR(X461/X462,"n/a")</f>
        <v>0.417936885108966</v>
      </c>
      <c r="Y463" s="256">
        <f>IFERROR(Y461/Y462,"n/a")</f>
        <v>0.509622455867316</v>
      </c>
      <c r="Z463" s="256">
        <f>IFERROR(Z461/Z462,"n/a")</f>
        <v>0.614741824623877</v>
      </c>
      <c r="AA463" s="256">
        <f>IFERROR(AA461/AA462,"n/a")</f>
        <v>0.728272809458168</v>
      </c>
      <c r="AB463" s="256">
        <f>IFERROR(AB461/AB462,"n/a")</f>
        <v>0.839847974475357</v>
      </c>
      <c r="AC463" s="19" t="n"/>
      <c r="AE463" s="37">
        <f>IFERROR(AVERAGE(X463,Y463,Z463,AA463,AB463),"n/m")</f>
        <v>0.622084389906737</v>
      </c>
      <c r="AF463" s="37">
        <f>IFERROR(AVERAGE(H463,M463,R463),"n/m")</f>
        <v>0.379713086115421</v>
      </c>
      <c r="AG463" s="37">
        <f>IFERROR(AVERAGE(M463,R463),"n/m")</f>
        <v>0.402598859549367</v>
      </c>
      <c r="AH463" s="37">
        <f>IFERROR(W463+0,"n/m")</f>
        <v>0.515705416579336</v>
      </c>
    </row>
    <row r="464" ht="15" customHeight="1" s="251">
      <c r="B464" s="25" t="inlineStr">
        <is>
          <t>Leverage</t>
        </is>
      </c>
      <c r="AC464" s="153" t="n"/>
    </row>
    <row r="465" ht="15" customHeight="1" s="251">
      <c r="B465" s="25" t="inlineStr">
        <is>
          <t>Net debt = Total borrowings − cash</t>
        </is>
      </c>
      <c r="C465" s="211" t="str">
        <f>C446</f>
        <v>n/a</v>
      </c>
      <c r="D465" s="34" t="n"/>
      <c r="E465" s="34" t="n"/>
      <c r="F465" s="34" t="n"/>
      <c r="G465" s="34" t="n"/>
      <c r="H465" s="211">
        <f>H446</f>
        <v>5321</v>
      </c>
      <c r="I465" s="34" t="n"/>
      <c r="J465" s="34" t="n"/>
      <c r="K465" s="34" t="n"/>
      <c r="L465" s="34" t="n"/>
      <c r="M465" s="211">
        <f>M446</f>
        <v>5654</v>
      </c>
      <c r="N465" s="34" t="n"/>
      <c r="O465" s="34" t="n"/>
      <c r="P465" s="34" t="n"/>
      <c r="Q465" s="34" t="n"/>
      <c r="R465" s="211">
        <f>R446</f>
        <v>8102</v>
      </c>
      <c r="S465" s="34" t="n"/>
      <c r="T465" s="34" t="n"/>
      <c r="U465" s="35" t="n"/>
      <c r="V465" s="35" t="n"/>
      <c r="W465" s="254">
        <f>W446</f>
        <v>10558.1448661161</v>
      </c>
      <c r="X465" s="254">
        <f>X446</f>
        <v>14116.9830557573</v>
      </c>
      <c r="Y465" s="254">
        <f>Y446</f>
        <v>15833.6995421124</v>
      </c>
      <c r="Z465" s="254">
        <f>Z446</f>
        <v>17525.0826764941</v>
      </c>
      <c r="AA465" s="254">
        <f>AA446</f>
        <v>19197.4985623119</v>
      </c>
      <c r="AB465" s="254">
        <f>AB446</f>
        <v>20658.9147947557</v>
      </c>
      <c r="AC465" s="19" t="n"/>
    </row>
    <row r="466" ht="15" customHeight="1" s="251">
      <c r="B466" s="25" t="inlineStr">
        <is>
          <t>Adjusted EBITDA (pro forma in the CPP closing year)</t>
        </is>
      </c>
      <c r="C466" s="211">
        <f>C227</f>
      </c>
      <c r="D466" s="34" t="n"/>
      <c r="E466" s="34" t="n"/>
      <c r="F466" s="34" t="n"/>
      <c r="G466" s="34" t="n"/>
      <c r="H466" s="211">
        <f>H227</f>
        <v>6738</v>
      </c>
      <c r="I466" s="34" t="n"/>
      <c r="J466" s="34" t="n"/>
      <c r="K466" s="34" t="n"/>
      <c r="L466" s="34" t="n"/>
      <c r="M466" s="211">
        <f>M227</f>
        <v>8438</v>
      </c>
      <c r="N466" s="34" t="n"/>
      <c r="O466" s="34" t="n"/>
      <c r="P466" s="34" t="n"/>
      <c r="Q466" s="34" t="n"/>
      <c r="R466" s="211">
        <f>R227</f>
        <v>10276</v>
      </c>
      <c r="S466" s="34" t="n"/>
      <c r="T466" s="34" t="n"/>
      <c r="U466" s="35" t="n"/>
      <c r="V466" s="35" t="n"/>
      <c r="W466" s="254">
        <f>W227</f>
        <v>11907</v>
      </c>
      <c r="X466" s="254">
        <f>X227</f>
        <v>14116.9830557573</v>
      </c>
      <c r="Y466" s="254">
        <f>Y227</f>
        <v>15833.6995421124</v>
      </c>
      <c r="Z466" s="254">
        <f>Z227</f>
        <v>17525.0826764941</v>
      </c>
      <c r="AA466" s="254">
        <f>AA227</f>
        <v>19197.4985623119</v>
      </c>
      <c r="AB466" s="254">
        <f>AB227</f>
        <v>20658.9147947557</v>
      </c>
      <c r="AC466" s="19" t="n"/>
    </row>
    <row r="467" ht="15" customHeight="1" s="251">
      <c r="B467" s="55" t="inlineStr">
        <is>
          <t>Net debt / adjusted EBITDA (x)</t>
        </is>
      </c>
      <c r="C467" s="296" t="str">
        <f>IFERROR(C465/C466,"n/a")</f>
        <v>n/a</v>
      </c>
      <c r="D467" s="56" t="n"/>
      <c r="E467" s="56" t="n"/>
      <c r="F467" s="56" t="n"/>
      <c r="G467" s="56" t="n"/>
      <c r="H467" s="296">
        <f>IFERROR(H465/H466,"n/a")</f>
        <v>0.789700207776788</v>
      </c>
      <c r="I467" s="56" t="n"/>
      <c r="J467" s="56" t="n"/>
      <c r="K467" s="56" t="n"/>
      <c r="L467" s="56" t="n"/>
      <c r="M467" s="296">
        <f>IFERROR(M465/M466,"n/a")</f>
        <v>0.670063996207632</v>
      </c>
      <c r="N467" s="56" t="n"/>
      <c r="O467" s="56" t="n"/>
      <c r="P467" s="56" t="n"/>
      <c r="Q467" s="56" t="n"/>
      <c r="R467" s="296">
        <f>IFERROR(R465/R466,"n/a")</f>
        <v>0.788439081354613</v>
      </c>
      <c r="S467" s="56" t="n"/>
      <c r="T467" s="56" t="n"/>
      <c r="U467" s="56" t="n"/>
      <c r="V467" s="56" t="n"/>
      <c r="W467" s="296">
        <f>IFERROR(W465/W466,"n/a")</f>
        <v>0.886717465870169</v>
      </c>
      <c r="X467" s="296">
        <f>IFERROR(X465/X466,"n/a")</f>
        <v>1</v>
      </c>
      <c r="Y467" s="296">
        <f>IFERROR(Y465/Y466,"n/a")</f>
        <v>1</v>
      </c>
      <c r="Z467" s="296">
        <f>IFERROR(Z465/Z466,"n/a")</f>
        <v>1</v>
      </c>
      <c r="AA467" s="296">
        <f>IFERROR(AA465/AA466,"n/a")</f>
        <v>1</v>
      </c>
      <c r="AB467" s="296">
        <f>IFERROR(AB465/AB466,"n/a")</f>
        <v>1</v>
      </c>
      <c r="AC467" s="153" t="n"/>
      <c r="AE467" s="37">
        <f>IFERROR(AVERAGE(X467,Y467,Z467,AA467,AB467),"n/m")</f>
        <v>1</v>
      </c>
      <c r="AF467" s="37">
        <f>IFERROR(AVERAGE(H467,M467,R467),"n/m")</f>
        <v>0.749401095113011</v>
      </c>
      <c r="AG467" s="37">
        <f>IFERROR(AVERAGE(M467,R467),"n/m")</f>
        <v>0.729251538781123</v>
      </c>
      <c r="AH467" s="37">
        <f>IFERROR(W467+0,"n/m")</f>
        <v>0.886717465870169</v>
      </c>
    </row>
    <row r="468" ht="15" customHeight="1" s="251">
      <c r="B468" s="25" t="inlineStr">
        <is>
          <t>Total borrowings / adjusted EBITDA (x)</t>
        </is>
      </c>
      <c r="C468" s="265" t="str">
        <f>IFERROR(C417/C466,"n/a")</f>
        <v>n/a</v>
      </c>
      <c r="D468" s="34" t="n"/>
      <c r="E468" s="34" t="n"/>
      <c r="F468" s="34" t="n"/>
      <c r="G468" s="34" t="n"/>
      <c r="H468" s="265">
        <f>IFERROR(H417/H466,"n/a")</f>
        <v>3.04615612941526</v>
      </c>
      <c r="I468" s="34" t="n"/>
      <c r="J468" s="34" t="n"/>
      <c r="K468" s="34" t="n"/>
      <c r="L468" s="34" t="n"/>
      <c r="M468" s="265">
        <f>IFERROR(M417/M466,"n/a")</f>
        <v>2.28407205498933</v>
      </c>
      <c r="N468" s="34" t="n"/>
      <c r="O468" s="34" t="n"/>
      <c r="P468" s="34" t="n"/>
      <c r="Q468" s="34" t="n"/>
      <c r="R468" s="265">
        <f>IFERROR(R417/R466,"n/a")</f>
        <v>1.99435578045932</v>
      </c>
      <c r="S468" s="34" t="n"/>
      <c r="T468" s="34" t="n"/>
      <c r="U468" s="35" t="n"/>
      <c r="V468" s="35" t="n"/>
      <c r="W468" s="286">
        <f>IFERROR(W417/W466,"n/a")</f>
        <v>1.55859115361687</v>
      </c>
      <c r="X468" s="286">
        <f>IFERROR(X417/X466,"n/a")</f>
        <v>1.64851086865257</v>
      </c>
      <c r="Y468" s="286">
        <f>IFERROR(Y417/Y466,"n/a")</f>
        <v>1.50525147194581</v>
      </c>
      <c r="Z468" s="286">
        <f>IFERROR(Z417/Z466,"n/a")</f>
        <v>1.45648857398717</v>
      </c>
      <c r="AA468" s="286">
        <f>IFERROR(AA417/AA466,"n/a")</f>
        <v>1.41672095841202</v>
      </c>
      <c r="AB468" s="286">
        <f>IFERROR(AB417/AB466,"n/a")</f>
        <v>1.3872420250279</v>
      </c>
      <c r="AC468" s="19" t="n"/>
    </row>
    <row r="469" ht="15" customHeight="1" s="251">
      <c r="AK469" s="11" t="n"/>
      <c r="AL469" s="12" t="n"/>
      <c r="AM469" s="12" t="n"/>
      <c r="AN469" s="12" t="n"/>
      <c r="AO469" s="13" t="n"/>
    </row>
    <row r="470" ht="15" customHeight="1" s="251">
      <c r="B470" s="10" t="inlineStr">
        <is>
          <t>VALUATION</t>
        </is>
      </c>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c r="AA470" s="10" t="n"/>
      <c r="AB470" s="10" t="n"/>
      <c r="AC470" s="10" t="inlineStr">
        <is>
          <t>VALUATION — share price input $308.00 provided by the user (12-Oct-2026; ~$320bn market cap); the Q2-26 10-Q average repurchase price was $292.17. Update to market.</t>
        </is>
      </c>
    </row>
    <row r="471" ht="15" customHeight="1" s="251">
      <c r="B471" s="69" t="inlineStr">
        <is>
          <t>Share price ($) — current</t>
        </is>
      </c>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153" t="n"/>
      <c r="V471" s="153" t="n"/>
      <c r="W471" s="288" t="n">
        <v>308</v>
      </c>
      <c r="X471" s="287">
        <f>W471</f>
        <v>308</v>
      </c>
      <c r="Y471" s="287">
        <f>X471</f>
        <v>308</v>
      </c>
      <c r="Z471" s="287">
        <f>Y471</f>
        <v>308</v>
      </c>
      <c r="AA471" s="287">
        <f>Z471</f>
        <v>308</v>
      </c>
      <c r="AB471" s="287">
        <f>AA471</f>
        <v>308</v>
      </c>
      <c r="AC471" s="19" t="n"/>
    </row>
    <row r="472" ht="15" customHeight="1" s="251">
      <c r="B472" s="25" t="inlineStr">
        <is>
          <t>Diluted shares at period end (m)</t>
        </is>
      </c>
      <c r="C472" s="34" t="n"/>
      <c r="D472" s="34" t="n"/>
      <c r="E472" s="34" t="n"/>
      <c r="F472" s="34" t="n"/>
      <c r="G472" s="34" t="n"/>
      <c r="H472" s="34" t="n"/>
      <c r="I472" s="34" t="n"/>
      <c r="J472" s="34" t="n"/>
      <c r="K472" s="34" t="n"/>
      <c r="L472" s="34" t="n"/>
      <c r="M472" s="34" t="n"/>
      <c r="N472" s="34" t="n"/>
      <c r="O472" s="34" t="n"/>
      <c r="P472" s="34" t="n"/>
      <c r="Q472" s="34" t="n"/>
      <c r="R472" s="34" t="n"/>
      <c r="S472" s="34" t="n"/>
      <c r="T472" s="34" t="n"/>
      <c r="U472" s="35" t="n"/>
      <c r="V472" s="35" t="n"/>
      <c r="W472" s="279">
        <f>W342+(T190-T189)</f>
        <v>1033.57550001299</v>
      </c>
      <c r="X472" s="279">
        <f>X342+N(X414)</f>
        <v>1036.07779355967</v>
      </c>
      <c r="Y472" s="279">
        <f>Y342+N(Y414)</f>
        <v>1008.620044714</v>
      </c>
      <c r="Z472" s="279">
        <f>Z342+N(Z414)</f>
        <v>982.711460559167</v>
      </c>
      <c r="AA472" s="279">
        <f>AA342+N(AA414)</f>
        <v>957.02709835219</v>
      </c>
      <c r="AB472" s="279">
        <f>AB342+N(AB414)</f>
        <v>932.780049702323</v>
      </c>
      <c r="AC472" s="19" t="n"/>
    </row>
    <row r="473" ht="15" customHeight="1" s="251">
      <c r="B473" s="25" t="inlineStr">
        <is>
          <t>Market capitalisation (USDm)</t>
        </is>
      </c>
      <c r="C473" s="34" t="n"/>
      <c r="D473" s="34" t="n"/>
      <c r="E473" s="34" t="n"/>
      <c r="F473" s="34" t="n"/>
      <c r="G473" s="34" t="n"/>
      <c r="H473" s="34" t="n"/>
      <c r="I473" s="34" t="n"/>
      <c r="J473" s="34" t="n"/>
      <c r="K473" s="34" t="n"/>
      <c r="L473" s="34" t="n"/>
      <c r="M473" s="34" t="n"/>
      <c r="N473" s="34" t="n"/>
      <c r="O473" s="34" t="n"/>
      <c r="P473" s="34" t="n"/>
      <c r="Q473" s="34" t="n"/>
      <c r="R473" s="34" t="n"/>
      <c r="S473" s="34" t="n"/>
      <c r="T473" s="34" t="n"/>
      <c r="U473" s="35" t="n"/>
      <c r="V473" s="35" t="n"/>
      <c r="W473" s="254">
        <f>IFERROR(W471*W472,"n/a")</f>
        <v>318341.254004</v>
      </c>
      <c r="X473" s="254">
        <f>IFERROR(X471*X472,"n/a")</f>
        <v>319111.960416378</v>
      </c>
      <c r="Y473" s="254">
        <f>IFERROR(Y471*Y472,"n/a")</f>
        <v>310654.973771911</v>
      </c>
      <c r="Z473" s="254">
        <f>IFERROR(Z471*Z472,"n/a")</f>
        <v>302675.129852224</v>
      </c>
      <c r="AA473" s="254">
        <f>IFERROR(AA471*AA472,"n/a")</f>
        <v>294764.346292474</v>
      </c>
      <c r="AB473" s="254">
        <f>IFERROR(AB471*AB472,"n/a")</f>
        <v>287296.255308315</v>
      </c>
      <c r="AC473" s="19" t="n"/>
    </row>
    <row r="474" ht="15" customHeight="1" s="251">
      <c r="B474" s="25" t="inlineStr">
        <is>
          <t>Net debt (USDm)</t>
        </is>
      </c>
      <c r="C474" s="34" t="n"/>
      <c r="D474" s="34" t="n"/>
      <c r="E474" s="34" t="n"/>
      <c r="F474" s="34" t="n"/>
      <c r="G474" s="34" t="n"/>
      <c r="H474" s="34" t="n"/>
      <c r="I474" s="34" t="n"/>
      <c r="J474" s="34" t="n"/>
      <c r="K474" s="34" t="n"/>
      <c r="L474" s="34" t="n"/>
      <c r="M474" s="34" t="n"/>
      <c r="N474" s="34" t="n"/>
      <c r="O474" s="34" t="n"/>
      <c r="P474" s="34" t="n"/>
      <c r="Q474" s="34" t="n"/>
      <c r="R474" s="34" t="n"/>
      <c r="S474" s="34" t="n"/>
      <c r="T474" s="34" t="n"/>
      <c r="U474" s="35" t="n"/>
      <c r="V474" s="35" t="n"/>
      <c r="W474" s="254">
        <f>W465</f>
        <v>10558.1448661161</v>
      </c>
      <c r="X474" s="254">
        <f>X465</f>
        <v>14116.9830557573</v>
      </c>
      <c r="Y474" s="254">
        <f>Y465</f>
        <v>15833.6995421124</v>
      </c>
      <c r="Z474" s="254">
        <f>Z465</f>
        <v>17525.0826764941</v>
      </c>
      <c r="AA474" s="254">
        <f>AA465</f>
        <v>19197.4985623119</v>
      </c>
      <c r="AB474" s="254">
        <f>AB465</f>
        <v>20658.9147947557</v>
      </c>
      <c r="AC474" s="19" t="n"/>
    </row>
    <row r="475" ht="15" customHeight="1" s="251">
      <c r="B475" s="25" t="inlineStr">
        <is>
          <t>Noncontrolling interests (USDm)</t>
        </is>
      </c>
      <c r="C475" s="34" t="n"/>
      <c r="D475" s="34" t="n"/>
      <c r="E475" s="34" t="n"/>
      <c r="F475" s="34" t="n"/>
      <c r="G475" s="34" t="n"/>
      <c r="H475" s="34" t="n"/>
      <c r="I475" s="34" t="n"/>
      <c r="J475" s="34" t="n"/>
      <c r="K475" s="34" t="n"/>
      <c r="L475" s="34" t="n"/>
      <c r="M475" s="34" t="n"/>
      <c r="N475" s="34" t="n"/>
      <c r="O475" s="34" t="n"/>
      <c r="P475" s="34" t="n"/>
      <c r="Q475" s="34" t="n"/>
      <c r="R475" s="34" t="n"/>
      <c r="S475" s="34" t="n"/>
      <c r="T475" s="34" t="n"/>
      <c r="U475" s="35" t="n"/>
      <c r="V475" s="35" t="n"/>
      <c r="W475" s="254">
        <f>W377</f>
        <v>227</v>
      </c>
      <c r="X475" s="254">
        <f>X377</f>
        <v>227</v>
      </c>
      <c r="Y475" s="254">
        <f>Y377</f>
        <v>227</v>
      </c>
      <c r="Z475" s="254">
        <f>Z377</f>
        <v>227</v>
      </c>
      <c r="AA475" s="254">
        <f>AA377</f>
        <v>227</v>
      </c>
      <c r="AB475" s="254">
        <f>AB377</f>
        <v>227</v>
      </c>
      <c r="AC475" s="19" t="n"/>
    </row>
    <row r="476" ht="15" customHeight="1" s="251">
      <c r="B476" s="16" t="inlineStr">
        <is>
          <t>Enterprise value (USDm)</t>
        </is>
      </c>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32" t="n"/>
      <c r="V476" s="32" t="n"/>
      <c r="W476" s="261">
        <f>IFERROR(W473+W474+W475,"n/a")</f>
        <v>329126.398870116</v>
      </c>
      <c r="X476" s="261">
        <f>IFERROR(X473+X474+X475,"n/a")</f>
        <v>333455.943472136</v>
      </c>
      <c r="Y476" s="261">
        <f>IFERROR(Y473+Y474+Y475,"n/a")</f>
        <v>326715.673314024</v>
      </c>
      <c r="Z476" s="261">
        <f>IFERROR(Z473+Z474+Z475,"n/a")</f>
        <v>320427.212528718</v>
      </c>
      <c r="AA476" s="261">
        <f>IFERROR(AA473+AA474+AA475,"n/a")</f>
        <v>314188.844854786</v>
      </c>
      <c r="AB476" s="261">
        <f>IFERROR(AB473+AB474+AB475,"n/a")</f>
        <v>308182.170103071</v>
      </c>
      <c r="AC476" s="153" t="inlineStr">
        <is>
          <t>Run-off insurance (investment securities vs insurance liabilities and annuity benefits) is excluded from net debt and from NOPAT (assumed self-funding; no capital contributions modelled).</t>
        </is>
      </c>
    </row>
    <row r="477" ht="15" customHeight="1" s="251">
      <c r="B477" s="25" t="inlineStr">
        <is>
          <t>Multiples</t>
        </is>
      </c>
      <c r="AC477" s="153" t="n"/>
    </row>
    <row r="478" ht="15" customHeight="1" s="251">
      <c r="B478" s="25" t="inlineStr">
        <is>
          <t xml:space="preserve">  EV / Adjusted revenue</t>
        </is>
      </c>
      <c r="C478" s="34" t="n"/>
      <c r="D478" s="34" t="n"/>
      <c r="E478" s="34" t="n"/>
      <c r="F478" s="34" t="n"/>
      <c r="G478" s="34" t="n"/>
      <c r="H478" s="34" t="n"/>
      <c r="I478" s="34" t="n"/>
      <c r="J478" s="34" t="n"/>
      <c r="K478" s="34" t="n"/>
      <c r="L478" s="34" t="n"/>
      <c r="M478" s="34" t="n"/>
      <c r="N478" s="34" t="n"/>
      <c r="O478" s="34" t="n"/>
      <c r="P478" s="34" t="n"/>
      <c r="Q478" s="34" t="n"/>
      <c r="R478" s="34" t="n"/>
      <c r="S478" s="34" t="n"/>
      <c r="T478" s="34" t="n"/>
      <c r="U478" s="35" t="n"/>
      <c r="V478" s="35" t="n"/>
      <c r="W478" s="294">
        <f>IFERROR(W476/W105,"n/a")</f>
        <v>6.59044177989162</v>
      </c>
      <c r="X478" s="294">
        <f>IFERROR(X476/X105,"n/a")</f>
        <v>5.91805397587151</v>
      </c>
      <c r="Y478" s="294">
        <f>IFERROR(Y476/Y105,"n/a")</f>
        <v>5.17855052492731</v>
      </c>
      <c r="Z478" s="294">
        <f>IFERROR(Z476/Z105,"n/a")</f>
        <v>4.6943633993835</v>
      </c>
      <c r="AA478" s="294">
        <f>IFERROR(AA476/AA105,"n/a")</f>
        <v>4.28665582112183</v>
      </c>
      <c r="AB478" s="294">
        <f>IFERROR(AB476/AB105,"n/a")</f>
        <v>3.95173728556492</v>
      </c>
      <c r="AC478" s="19" t="n"/>
    </row>
    <row r="479" ht="15" customHeight="1" s="251">
      <c r="B479" s="25" t="inlineStr">
        <is>
          <t xml:space="preserve">  EV / Adjusted EBITDA (pro forma)</t>
        </is>
      </c>
      <c r="C479" s="34" t="n"/>
      <c r="D479" s="34" t="n"/>
      <c r="E479" s="34" t="n"/>
      <c r="F479" s="34" t="n"/>
      <c r="G479" s="34" t="n"/>
      <c r="H479" s="34" t="n"/>
      <c r="I479" s="34" t="n"/>
      <c r="J479" s="34" t="n"/>
      <c r="K479" s="34" t="n"/>
      <c r="L479" s="34" t="n"/>
      <c r="M479" s="34" t="n"/>
      <c r="N479" s="34" t="n"/>
      <c r="O479" s="34" t="n"/>
      <c r="P479" s="34" t="n"/>
      <c r="Q479" s="34" t="n"/>
      <c r="R479" s="34" t="n"/>
      <c r="S479" s="34" t="n"/>
      <c r="T479" s="34" t="n"/>
      <c r="U479" s="35" t="n"/>
      <c r="V479" s="35" t="n"/>
      <c r="W479" s="294">
        <f>IFERROR(W476/W227,"n/a")</f>
        <v>27.6414209179572</v>
      </c>
      <c r="X479" s="294">
        <f>IFERROR(X476/X227,"n/a")</f>
        <v>23.6209069710644</v>
      </c>
      <c r="Y479" s="294">
        <f>IFERROR(Y476/Y227,"n/a")</f>
        <v>20.6341968562096</v>
      </c>
      <c r="Z479" s="294">
        <f>IFERROR(Z476/Z227,"n/a")</f>
        <v>18.2839201642396</v>
      </c>
      <c r="AA479" s="294">
        <f>IFERROR(AA476/AA227,"n/a")</f>
        <v>16.3661345687815</v>
      </c>
      <c r="AB479" s="294">
        <f>IFERROR(AB476/AB227,"n/a")</f>
        <v>14.9176359535257</v>
      </c>
      <c r="AC479" s="19" t="n"/>
    </row>
    <row r="480" ht="15" customHeight="1" s="251">
      <c r="B480" s="25" t="inlineStr">
        <is>
          <t xml:space="preserve">  EV / Operating profit</t>
        </is>
      </c>
      <c r="C480" s="34" t="n"/>
      <c r="D480" s="34" t="n"/>
      <c r="E480" s="34" t="n"/>
      <c r="F480" s="34" t="n"/>
      <c r="G480" s="34" t="n"/>
      <c r="H480" s="34" t="n"/>
      <c r="I480" s="34" t="n"/>
      <c r="J480" s="34" t="n"/>
      <c r="K480" s="34" t="n"/>
      <c r="L480" s="34" t="n"/>
      <c r="M480" s="34" t="n"/>
      <c r="N480" s="34" t="n"/>
      <c r="O480" s="34" t="n"/>
      <c r="P480" s="34" t="n"/>
      <c r="Q480" s="34" t="n"/>
      <c r="R480" s="34" t="n"/>
      <c r="S480" s="34" t="n"/>
      <c r="T480" s="34" t="n"/>
      <c r="U480" s="35" t="n"/>
      <c r="V480" s="35" t="n"/>
      <c r="W480" s="294">
        <f>IFERROR(W476/W209,"n/a")</f>
        <v>30.8980847606192</v>
      </c>
      <c r="X480" s="294">
        <f>IFERROR(X476/X209,"n/a")</f>
        <v>27.2034029101457</v>
      </c>
      <c r="Y480" s="294">
        <f>IFERROR(Y476/Y209,"n/a")</f>
        <v>23.5117960027096</v>
      </c>
      <c r="Z480" s="294">
        <f>IFERROR(Z476/Z209,"n/a")</f>
        <v>20.732186933101</v>
      </c>
      <c r="AA480" s="294">
        <f>IFERROR(AA476/AA209,"n/a")</f>
        <v>18.4640334547819</v>
      </c>
      <c r="AB480" s="294">
        <f>IFERROR(AB476/AB209,"n/a")</f>
        <v>16.7692734874157</v>
      </c>
      <c r="AC480" s="19" t="n"/>
    </row>
    <row r="481" ht="15" customHeight="1" s="251">
      <c r="B481" s="25" t="inlineStr">
        <is>
          <t xml:space="preserve">  EV / IC</t>
        </is>
      </c>
      <c r="C481" s="34" t="n"/>
      <c r="D481" s="34" t="n"/>
      <c r="E481" s="34" t="n"/>
      <c r="F481" s="34" t="n"/>
      <c r="G481" s="34" t="n"/>
      <c r="H481" s="34" t="n"/>
      <c r="I481" s="34" t="n"/>
      <c r="J481" s="34" t="n"/>
      <c r="K481" s="34" t="n"/>
      <c r="L481" s="34" t="n"/>
      <c r="M481" s="34" t="n"/>
      <c r="N481" s="34" t="n"/>
      <c r="O481" s="34" t="n"/>
      <c r="P481" s="34" t="n"/>
      <c r="Q481" s="34" t="n"/>
      <c r="R481" s="34" t="n"/>
      <c r="S481" s="34" t="n"/>
      <c r="T481" s="34" t="n"/>
      <c r="U481" s="35" t="n"/>
      <c r="V481" s="35" t="n"/>
      <c r="W481" s="294">
        <f>IFERROR(W476/W444,"n/a")</f>
        <v>11.7564267640724</v>
      </c>
      <c r="X481" s="294">
        <f>IFERROR(X476/X444,"n/a")</f>
        <v>8.49726499543502</v>
      </c>
      <c r="Y481" s="294">
        <f>IFERROR(Y476/Y444,"n/a")</f>
        <v>8.47033078359851</v>
      </c>
      <c r="Z481" s="294">
        <f>IFERROR(Z476/Z444,"n/a")</f>
        <v>8.29503427192295</v>
      </c>
      <c r="AA481" s="294">
        <f>IFERROR(AA476/AA444,"n/a")</f>
        <v>8.12466711479222</v>
      </c>
      <c r="AB481" s="294">
        <f>IFERROR(AB476/AB444,"n/a")</f>
        <v>7.94050004696387</v>
      </c>
      <c r="AC481" s="19" t="n"/>
    </row>
    <row r="482" ht="15" customHeight="1" s="251">
      <c r="B482" s="25" t="inlineStr">
        <is>
          <t xml:space="preserve">  P / E (GAAP continuing, diluted)</t>
        </is>
      </c>
      <c r="C482" s="34" t="n"/>
      <c r="D482" s="34" t="n"/>
      <c r="E482" s="34" t="n"/>
      <c r="F482" s="34" t="n"/>
      <c r="G482" s="34" t="n"/>
      <c r="H482" s="34" t="n"/>
      <c r="I482" s="34" t="n"/>
      <c r="J482" s="34" t="n"/>
      <c r="K482" s="34" t="n"/>
      <c r="L482" s="34" t="n"/>
      <c r="M482" s="34" t="n"/>
      <c r="N482" s="34" t="n"/>
      <c r="O482" s="34" t="n"/>
      <c r="P482" s="34" t="n"/>
      <c r="Q482" s="34" t="n"/>
      <c r="R482" s="34" t="n"/>
      <c r="S482" s="34" t="n"/>
      <c r="T482" s="34" t="n"/>
      <c r="U482" s="35" t="n"/>
      <c r="V482" s="35" t="n"/>
      <c r="W482" s="294">
        <f>IFERROR(W471/W191,"n/a")</f>
        <v>36.2566189077843</v>
      </c>
      <c r="X482" s="294">
        <f>IFERROR(X471/X191,"n/a")</f>
        <v>30.6288004425701</v>
      </c>
      <c r="Y482" s="294">
        <f>IFERROR(Y471/Y191,"n/a")</f>
        <v>27.4476459923754</v>
      </c>
      <c r="Z482" s="294">
        <f>IFERROR(Z471/Z191,"n/a")</f>
        <v>23.8951263641994</v>
      </c>
      <c r="AA482" s="294">
        <f>IFERROR(AA471/AA191,"n/a")</f>
        <v>21.3117181617841</v>
      </c>
      <c r="AB482" s="294">
        <f>IFERROR(AB471/AB191,"n/a")</f>
        <v>19.3315134854976</v>
      </c>
      <c r="AC482" s="19" t="n"/>
    </row>
    <row r="483" ht="15" customHeight="1" s="251">
      <c r="B483" s="25" t="inlineStr">
        <is>
          <t xml:space="preserve">  P / E (adjusted EPS)</t>
        </is>
      </c>
      <c r="C483" s="34" t="n"/>
      <c r="D483" s="34" t="n"/>
      <c r="E483" s="34" t="n"/>
      <c r="F483" s="34" t="n"/>
      <c r="G483" s="34" t="n"/>
      <c r="H483" s="34" t="n"/>
      <c r="I483" s="34" t="n"/>
      <c r="J483" s="34" t="n"/>
      <c r="K483" s="34" t="n"/>
      <c r="L483" s="34" t="n"/>
      <c r="M483" s="34" t="n"/>
      <c r="N483" s="34" t="n"/>
      <c r="O483" s="34" t="n"/>
      <c r="P483" s="34" t="n"/>
      <c r="Q483" s="34" t="n"/>
      <c r="R483" s="34" t="n"/>
      <c r="S483" s="34" t="n"/>
      <c r="T483" s="34" t="n"/>
      <c r="U483" s="35" t="n"/>
      <c r="V483" s="35" t="n"/>
      <c r="W483" s="294">
        <f>IFERROR(W471/W248,"n/a")</f>
        <v>39.2700156267981</v>
      </c>
      <c r="X483" s="294">
        <f>IFERROR(X471/X248,"n/a")</f>
        <v>33.749074623813</v>
      </c>
      <c r="Y483" s="294">
        <f>IFERROR(Y471/Y248,"n/a")</f>
        <v>29.6501765906361</v>
      </c>
      <c r="Z483" s="294">
        <f>IFERROR(Z471/Z248,"n/a")</f>
        <v>25.7841613724211</v>
      </c>
      <c r="AA483" s="294">
        <f>IFERROR(AA471/AA248,"n/a")</f>
        <v>22.7918080195615</v>
      </c>
      <c r="AB483" s="294">
        <f>IFERROR(AB471/AB248,"n/a")</f>
        <v>20.5326083365259</v>
      </c>
      <c r="AC483" s="19" t="n"/>
    </row>
    <row r="484" ht="15" customHeight="1" s="251">
      <c r="B484" s="25" t="inlineStr">
        <is>
          <t xml:space="preserve">  FCF yield</t>
        </is>
      </c>
      <c r="C484" s="34" t="n"/>
      <c r="D484" s="34" t="n"/>
      <c r="E484" s="34" t="n"/>
      <c r="F484" s="34" t="n"/>
      <c r="G484" s="34" t="n"/>
      <c r="H484" s="34" t="n"/>
      <c r="I484" s="34" t="n"/>
      <c r="J484" s="34" t="n"/>
      <c r="K484" s="34" t="n"/>
      <c r="L484" s="34" t="n"/>
      <c r="M484" s="34" t="n"/>
      <c r="N484" s="34" t="n"/>
      <c r="O484" s="34" t="n"/>
      <c r="P484" s="34" t="n"/>
      <c r="Q484" s="34" t="n"/>
      <c r="R484" s="34" t="n"/>
      <c r="S484" s="34" t="n"/>
      <c r="T484" s="34" t="n"/>
      <c r="U484" s="35" t="n"/>
      <c r="V484" s="35" t="n"/>
      <c r="W484" s="256">
        <f>IFERROR(W281/W473,"n/a")</f>
        <v>0.0284286120198744</v>
      </c>
      <c r="X484" s="256">
        <f>IFERROR(X281/X473,"n/a")</f>
        <v>0.0346549690634871</v>
      </c>
      <c r="Y484" s="256">
        <f>IFERROR(Y281/Y473,"n/a")</f>
        <v>0.0398934982543624</v>
      </c>
      <c r="Z484" s="256">
        <f>IFERROR(Z281/Z473,"n/a")</f>
        <v>0.0441951220262304</v>
      </c>
      <c r="AA484" s="256">
        <f>IFERROR(AA281/AA473,"n/a")</f>
        <v>0.0494446096568704</v>
      </c>
      <c r="AB484" s="256">
        <f>IFERROR(AB281/AB473,"n/a")</f>
        <v>0.0540009061723283</v>
      </c>
      <c r="AC484" s="19" t="n"/>
    </row>
    <row r="485" ht="15" customHeight="1" s="251">
      <c r="B485" s="25" t="inlineStr">
        <is>
          <t xml:space="preserve">  Dividend yield</t>
        </is>
      </c>
      <c r="C485" s="34" t="n"/>
      <c r="D485" s="34" t="n"/>
      <c r="E485" s="34" t="n"/>
      <c r="F485" s="34" t="n"/>
      <c r="G485" s="34" t="n"/>
      <c r="H485" s="34" t="n"/>
      <c r="I485" s="34" t="n"/>
      <c r="J485" s="34" t="n"/>
      <c r="K485" s="34" t="n"/>
      <c r="L485" s="34" t="n"/>
      <c r="M485" s="34" t="n"/>
      <c r="N485" s="34" t="n"/>
      <c r="O485" s="34" t="n"/>
      <c r="P485" s="34" t="n"/>
      <c r="Q485" s="34" t="n"/>
      <c r="R485" s="34" t="n"/>
      <c r="S485" s="34" t="n"/>
      <c r="T485" s="34" t="n"/>
      <c r="U485" s="35" t="n"/>
      <c r="V485" s="35" t="n"/>
      <c r="W485" s="256">
        <f>IFERROR(W195/W471,"n/a")</f>
        <v>0.0061038961038961</v>
      </c>
      <c r="X485" s="256">
        <f>IFERROR(X195/X471,"n/a")</f>
        <v>0.00701948051948052</v>
      </c>
      <c r="Y485" s="256">
        <f>IFERROR(Y195/Y471,"n/a")</f>
        <v>0.0080724025974026</v>
      </c>
      <c r="Z485" s="256">
        <f>IFERROR(Z195/Z471,"n/a")</f>
        <v>0.00928326298701298</v>
      </c>
      <c r="AA485" s="256">
        <f>IFERROR(AA195/AA471,"n/a")</f>
        <v>0.0106757524350649</v>
      </c>
      <c r="AB485" s="256">
        <f>IFERROR(AB195/AB471,"n/a")</f>
        <v>0.0122771153003247</v>
      </c>
      <c r="AC485" s="19" t="n"/>
    </row>
    <row r="486" ht="15" customHeight="1" s="251"/>
  </sheetData>
  <dataValidations count="1">
    <dataValidation sqref="AC2" showDropDown="0" showInputMessage="0" showErrorMessage="0" allowBlank="0" type="list">
      <formula1>"Bull,Base,Bear"</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AJ50"/>
  <sheetViews>
    <sheetView showGridLines="0" zoomScale="60" zoomScaleNormal="60" workbookViewId="0">
      <selection activeCell="H26" sqref="H26"/>
    </sheetView>
  </sheetViews>
  <sheetFormatPr baseColWidth="8" defaultColWidth="8.5703125" defaultRowHeight="15"/>
  <cols>
    <col width="2.140625" customWidth="1" style="251" min="1" max="1"/>
    <col width="63.85546875" customWidth="1" style="251" min="2" max="2"/>
    <col width="11.85546875" customWidth="1" style="251" min="3" max="8"/>
    <col width="13.28515625" customWidth="1" style="251" min="9" max="9"/>
    <col width="12.5703125" customWidth="1" style="251" min="10" max="12"/>
    <col width="3.85546875" customWidth="1" style="251" min="13" max="13"/>
    <col width="63.85546875" customWidth="1" style="251" min="14" max="14"/>
    <col width="11.85546875" customWidth="1" style="251" min="15" max="20"/>
    <col width="13.28515625" customWidth="1" style="251" min="21" max="21"/>
    <col width="12.5703125" customWidth="1" style="251" min="22" max="24"/>
    <col width="3.85546875" customWidth="1" style="251" min="25" max="25"/>
    <col width="63.85546875" customWidth="1" style="251" min="26" max="26"/>
    <col width="11.85546875" customWidth="1" style="251" min="27" max="32"/>
    <col width="13.28515625" customWidth="1" style="251" min="33" max="33"/>
    <col width="12.5703125" customWidth="1" style="251" min="34" max="36"/>
  </cols>
  <sheetData>
    <row r="2" ht="19.5" customHeight="1" s="251">
      <c r="B2" s="73" t="inlineStr">
        <is>
          <t>General Electric Company, operating as GE Aerospace (GE) — Bull / Base / Bear Case P&amp;L Summary</t>
        </is>
      </c>
      <c r="J2" s="152" t="inlineStr">
        <is>
          <t>Share price ($):</t>
        </is>
      </c>
      <c r="K2" s="74">
        <f>Model!$X$471</f>
        <v>308</v>
      </c>
    </row>
    <row r="3" ht="15" customHeight="1" s="251">
      <c r="B3" s="4" t="inlineStr">
        <is>
          <t>Company non-GAAP definitions (adjusted revenue, operating profit, adjusted EPS, FCF); adjusted EBITDA = operating profit + D&amp;A (model) · USD millions · Live panel linked to Model — toggle scenario via Model!AC2. Bull and Bear panels are value snapshots generated from the Model with the switch set to each case. FY2026E = H1 actual + 2H calibrated to the FY26 guidance (adjusted revenue high-teens, operating profit $10.55–10.75B). CPP ($11.75bn) from 2H-27.</t>
        </is>
      </c>
      <c r="J3" s="152" t="inlineStr">
        <is>
          <t>As of:</t>
        </is>
      </c>
      <c r="K3" s="297" t="str">
        <f>TODAY()</f>
        <v>2026-10-13 00:00:00</v>
      </c>
    </row>
    <row r="5" ht="15" customHeight="1" s="251">
      <c r="B5" s="10" t="inlineStr">
        <is>
          <t>Scenario:</t>
        </is>
      </c>
      <c r="C5" s="75" t="str">
        <f>Model!$AC$2</f>
        <v>Base</v>
      </c>
      <c r="N5" s="76" t="inlineStr">
        <is>
          <t>Scenario:</t>
        </is>
      </c>
      <c r="O5" s="77" t="inlineStr">
        <is>
          <t>Bull</t>
        </is>
      </c>
      <c r="P5" s="4" t="inlineStr">
        <is>
          <t>Snapshot (values) — Model run with switch = Bull</t>
        </is>
      </c>
      <c r="Z5" s="76" t="inlineStr">
        <is>
          <t>Scenario:</t>
        </is>
      </c>
      <c r="AA5" s="77" t="inlineStr">
        <is>
          <t>Bear</t>
        </is>
      </c>
      <c r="AB5" s="4" t="inlineStr">
        <is>
          <t>Snapshot (values) — Model run with switch = Bear</t>
        </is>
      </c>
    </row>
    <row r="7" ht="32.1" customHeight="1" s="251">
      <c r="B7" s="78" t="inlineStr">
        <is>
          <t>(USDm, except EPS and shares)</t>
        </is>
      </c>
      <c r="C7" s="150" t="inlineStr">
        <is>
          <t>2026E</t>
        </is>
      </c>
      <c r="D7" s="150" t="inlineStr">
        <is>
          <t>2027E</t>
        </is>
      </c>
      <c r="E7" s="150" t="inlineStr">
        <is>
          <t>2028E</t>
        </is>
      </c>
      <c r="F7" s="150" t="inlineStr">
        <is>
          <t>2029E</t>
        </is>
      </c>
      <c r="G7" s="150" t="inlineStr">
        <is>
          <t>2030E</t>
        </is>
      </c>
      <c r="H7" s="150" t="inlineStr">
        <is>
          <t>2031E</t>
        </is>
      </c>
      <c r="I7" s="150" t="inlineStr">
        <is>
          <t>26-'31 CAGR</t>
        </is>
      </c>
      <c r="J7" s="151" t="inlineStr">
        <is>
          <t>LT Hist Avg</t>
        </is>
      </c>
      <c r="K7" s="151" t="inlineStr">
        <is>
          <t>LT Hist Min</t>
        </is>
      </c>
      <c r="L7" s="151" t="inlineStr">
        <is>
          <t>LT Hist Max</t>
        </is>
      </c>
      <c r="N7" s="78" t="inlineStr">
        <is>
          <t>(USDm, except EPS and shares)</t>
        </is>
      </c>
      <c r="O7" s="150" t="inlineStr">
        <is>
          <t>2026E</t>
        </is>
      </c>
      <c r="P7" s="150" t="inlineStr">
        <is>
          <t>2027E</t>
        </is>
      </c>
      <c r="Q7" s="150" t="inlineStr">
        <is>
          <t>2028E</t>
        </is>
      </c>
      <c r="R7" s="150" t="inlineStr">
        <is>
          <t>2029E</t>
        </is>
      </c>
      <c r="S7" s="150" t="inlineStr">
        <is>
          <t>2030E</t>
        </is>
      </c>
      <c r="T7" s="150" t="inlineStr">
        <is>
          <t>2031E</t>
        </is>
      </c>
      <c r="U7" s="150" t="inlineStr">
        <is>
          <t>26-'31 CAGR</t>
        </is>
      </c>
      <c r="V7" s="151" t="inlineStr">
        <is>
          <t>LT Hist Avg</t>
        </is>
      </c>
      <c r="W7" s="151" t="inlineStr">
        <is>
          <t>LT Hist Min</t>
        </is>
      </c>
      <c r="X7" s="151" t="inlineStr">
        <is>
          <t>LT Hist Max</t>
        </is>
      </c>
      <c r="Z7" s="78" t="inlineStr">
        <is>
          <t>(USDm, except EPS and shares)</t>
        </is>
      </c>
      <c r="AA7" s="150" t="inlineStr">
        <is>
          <t>2026E</t>
        </is>
      </c>
      <c r="AB7" s="150" t="inlineStr">
        <is>
          <t>2027E</t>
        </is>
      </c>
      <c r="AC7" s="150" t="inlineStr">
        <is>
          <t>2028E</t>
        </is>
      </c>
      <c r="AD7" s="150" t="inlineStr">
        <is>
          <t>2029E</t>
        </is>
      </c>
      <c r="AE7" s="150" t="inlineStr">
        <is>
          <t>2030E</t>
        </is>
      </c>
      <c r="AF7" s="150" t="inlineStr">
        <is>
          <t>2031E</t>
        </is>
      </c>
      <c r="AG7" s="150" t="inlineStr">
        <is>
          <t>26-'31 CAGR</t>
        </is>
      </c>
      <c r="AH7" s="151" t="inlineStr">
        <is>
          <t>LT Hist Avg</t>
        </is>
      </c>
      <c r="AI7" s="151" t="inlineStr">
        <is>
          <t>LT Hist Min</t>
        </is>
      </c>
      <c r="AJ7" s="151" t="inlineStr">
        <is>
          <t>LT Hist Max</t>
        </is>
      </c>
    </row>
    <row r="9" ht="15" customHeight="1" s="251">
      <c r="B9" s="79" t="inlineStr">
        <is>
          <t>Adjusted revenue</t>
        </is>
      </c>
      <c r="C9" s="80">
        <f>Model!W105</f>
        <v>49939.96</v>
      </c>
      <c r="D9" s="81">
        <f>Model!X105</f>
        <v>56345.5394005645</v>
      </c>
      <c r="E9" s="81">
        <f>Model!Y105</f>
        <v>63090.1777903595</v>
      </c>
      <c r="F9" s="81">
        <f>Model!Z105</f>
        <v>68257.8627318879</v>
      </c>
      <c r="G9" s="81">
        <f>Model!AA105</f>
        <v>73294.6282523242</v>
      </c>
      <c r="H9" s="81">
        <f>Model!AB105</f>
        <v>77986.5026019853</v>
      </c>
      <c r="I9" s="298">
        <f>IFERROR((H9/C9)^(1/5)-1,"n/m")</f>
        <v>0.0932368215425474</v>
      </c>
      <c r="N9" s="79" t="inlineStr">
        <is>
          <t>Adjusted revenue</t>
        </is>
      </c>
      <c r="O9" s="80" t="n">
        <v>50363.18</v>
      </c>
      <c r="P9" s="81" t="n">
        <v>58481.5326892187</v>
      </c>
      <c r="Q9" s="81" t="n">
        <v>67406.1646570063</v>
      </c>
      <c r="R9" s="81" t="n">
        <v>75131.952513667</v>
      </c>
      <c r="S9" s="81" t="n">
        <v>83102.7109982368</v>
      </c>
      <c r="T9" s="81" t="n">
        <v>91082.2310874226</v>
      </c>
      <c r="U9" s="298" t="n">
        <v>0.125807410947363</v>
      </c>
      <c r="Z9" s="79" t="inlineStr">
        <is>
          <t>Adjusted revenue</t>
        </is>
      </c>
      <c r="AA9" s="80" t="n">
        <v>49516.74</v>
      </c>
      <c r="AB9" s="81" t="n">
        <v>53261.8667415157</v>
      </c>
      <c r="AC9" s="81" t="n">
        <v>56916.6165024251</v>
      </c>
      <c r="AD9" s="81" t="n">
        <v>58612.5440344371</v>
      </c>
      <c r="AE9" s="81" t="n">
        <v>59854.5204283092</v>
      </c>
      <c r="AF9" s="81" t="n">
        <v>60567.5852284575</v>
      </c>
      <c r="AG9" s="298" t="n">
        <v>0.0411124570507935</v>
      </c>
    </row>
    <row r="10" ht="15" customHeight="1" s="251">
      <c r="B10" s="83" t="inlineStr">
        <is>
          <t xml:space="preserve">   Adjusted revenue y/y %</t>
        </is>
      </c>
      <c r="C10" s="299" t="n"/>
      <c r="D10" s="300">
        <f>IFERROR(D9/C9-1,"")</f>
        <v>0.128265609355004</v>
      </c>
      <c r="E10" s="300">
        <f>IFERROR(E9/D9-1,"")</f>
        <v>0.119701372310005</v>
      </c>
      <c r="F10" s="300">
        <f>IFERROR(F9/E9-1,"")</f>
        <v>0.0819095003773791</v>
      </c>
      <c r="G10" s="300">
        <f>IFERROR(G9/F9-1,"")</f>
        <v>0.0737902612072749</v>
      </c>
      <c r="H10" s="300">
        <f>IFERROR(H9/G9-1,"")</f>
        <v>0.0640138910795598</v>
      </c>
      <c r="N10" s="83" t="inlineStr">
        <is>
          <t xml:space="preserve">   Adjusted revenue y/y %</t>
        </is>
      </c>
      <c r="O10" s="299" t="n"/>
      <c r="P10" s="300" t="n">
        <v>0.161196189144902</v>
      </c>
      <c r="Q10" s="300" t="n">
        <v>0.152605986153178</v>
      </c>
      <c r="R10" s="300" t="n">
        <v>0.114615449432157</v>
      </c>
      <c r="S10" s="300" t="n">
        <v>0.106090128339468</v>
      </c>
      <c r="T10" s="300" t="n">
        <v>0.096019973275663</v>
      </c>
      <c r="Z10" s="83" t="inlineStr">
        <is>
          <t xml:space="preserve">   Adjusted revenue y/y %</t>
        </is>
      </c>
      <c r="AA10" s="299" t="n"/>
      <c r="AB10" s="300" t="n">
        <v>0.0756335482003809</v>
      </c>
      <c r="AC10" s="300" t="n">
        <v>0.0686185067197549</v>
      </c>
      <c r="AD10" s="300" t="n">
        <v>0.0297967032516722</v>
      </c>
      <c r="AE10" s="300" t="n">
        <v>0.0211896005254846</v>
      </c>
      <c r="AF10" s="300" t="n">
        <v>0.0119132990298092</v>
      </c>
    </row>
    <row r="11" ht="15" customHeight="1" s="251">
      <c r="B11" s="79" t="inlineStr">
        <is>
          <t xml:space="preserve">   CES revenue y/y %</t>
        </is>
      </c>
      <c r="C11" s="86">
        <f>Model!W259</f>
        <v>0.210977925882466</v>
      </c>
      <c r="D11" s="87">
        <f>Model!X259</f>
        <v>0.135232898905167</v>
      </c>
      <c r="E11" s="87">
        <f>Model!Y259</f>
        <v>0.107648432655818</v>
      </c>
      <c r="F11" s="87">
        <f>Model!Z259</f>
        <v>0.0876646704835775</v>
      </c>
      <c r="G11" s="87">
        <f>Model!AA259</f>
        <v>0.0753622546614203</v>
      </c>
      <c r="H11" s="87">
        <f>Model!AB259</f>
        <v>0.0654285078934243</v>
      </c>
      <c r="N11" s="79" t="inlineStr">
        <is>
          <t xml:space="preserve">   CES revenue y/y %</t>
        </is>
      </c>
      <c r="O11" s="86" t="n">
        <v>0.220993880201068</v>
      </c>
      <c r="P11" s="87" t="n">
        <v>0.167616201369391</v>
      </c>
      <c r="Q11" s="87" t="n">
        <v>0.14</v>
      </c>
      <c r="R11" s="87" t="n">
        <v>0.12</v>
      </c>
      <c r="S11" s="87" t="n">
        <v>0.107631750563016</v>
      </c>
      <c r="T11" s="87" t="n">
        <v>0.0976480681604168</v>
      </c>
      <c r="Z11" s="79" t="inlineStr">
        <is>
          <t xml:space="preserve">   CES revenue y/y %</t>
        </is>
      </c>
      <c r="AA11" s="86" t="n">
        <v>0.200961971563864</v>
      </c>
      <c r="AB11" s="87" t="n">
        <v>0.0780835083688749</v>
      </c>
      <c r="AC11" s="87" t="n">
        <v>0.050803568591735</v>
      </c>
      <c r="AD11" s="87" t="n">
        <v>0.0310731555194457</v>
      </c>
      <c r="AE11" s="87" t="n">
        <v>0.0191777265842288</v>
      </c>
      <c r="AF11" s="87" t="n">
        <v>0.00959374045290296</v>
      </c>
    </row>
    <row r="12" ht="15" customHeight="1" s="251">
      <c r="B12" s="79" t="inlineStr">
        <is>
          <t>Adjusted EBITDA (operating profit + D&amp;A)</t>
        </is>
      </c>
      <c r="C12" s="80">
        <f>Model!W224</f>
        <v>11907</v>
      </c>
      <c r="D12" s="81">
        <f>Model!X224</f>
        <v>13777.9830557573</v>
      </c>
      <c r="E12" s="81">
        <f>Model!Y224</f>
        <v>15833.6995421124</v>
      </c>
      <c r="F12" s="81">
        <f>Model!Z224</f>
        <v>17525.0826764941</v>
      </c>
      <c r="G12" s="81">
        <f>Model!AA224</f>
        <v>19197.4985623119</v>
      </c>
      <c r="H12" s="81">
        <f>Model!AB224</f>
        <v>20658.9147947557</v>
      </c>
      <c r="I12" s="298">
        <f>IFERROR((H12/C12)^(1/5)-1,"n/m")</f>
        <v>0.116505920028545</v>
      </c>
      <c r="N12" s="79" t="inlineStr">
        <is>
          <t>Adjusted EBITDA (operating profit + D&amp;A)</t>
        </is>
      </c>
      <c r="O12" s="80" t="n">
        <v>12007</v>
      </c>
      <c r="P12" s="81" t="n">
        <v>14892.3769008486</v>
      </c>
      <c r="Q12" s="81" t="n">
        <v>17582.4063940903</v>
      </c>
      <c r="R12" s="81" t="n">
        <v>20025.7849286235</v>
      </c>
      <c r="S12" s="81" t="n">
        <v>22571.5312620519</v>
      </c>
      <c r="T12" s="81" t="n">
        <v>24993.2798844834</v>
      </c>
      <c r="U12" s="298" t="n">
        <v>0.157917848676057</v>
      </c>
      <c r="Z12" s="79" t="inlineStr">
        <is>
          <t>Adjusted EBITDA (operating profit + D&amp;A)</t>
        </is>
      </c>
      <c r="AA12" s="80" t="n">
        <v>11807</v>
      </c>
      <c r="AB12" s="81" t="n">
        <v>11991.2429529947</v>
      </c>
      <c r="AC12" s="81" t="n">
        <v>13184.0223417427</v>
      </c>
      <c r="AD12" s="81" t="n">
        <v>13893.1433168781</v>
      </c>
      <c r="AE12" s="81" t="n">
        <v>14476.0047240013</v>
      </c>
      <c r="AF12" s="81" t="n">
        <v>14826.7371139948</v>
      </c>
      <c r="AG12" s="298" t="n">
        <v>0.0466011432963418</v>
      </c>
    </row>
    <row r="13" ht="15" customHeight="1" s="251">
      <c r="B13" s="83" t="inlineStr">
        <is>
          <t xml:space="preserve">   Adjusted EBITDA margin %</t>
        </is>
      </c>
      <c r="C13" s="88">
        <f>IFERROR(C12/C9,"")</f>
        <v>0.238426302303806</v>
      </c>
      <c r="D13" s="89">
        <f>IFERROR(D12/D9,"")</f>
        <v>0.24452659788752</v>
      </c>
      <c r="E13" s="89">
        <f>IFERROR(E12/E9,"")</f>
        <v>0.250969328295852</v>
      </c>
      <c r="F13" s="89">
        <f>IFERROR(F12/F9,"")</f>
        <v>0.256748189513807</v>
      </c>
      <c r="G13" s="89">
        <f>IFERROR(G12/G9,"")</f>
        <v>0.261922312999836</v>
      </c>
      <c r="H13" s="89">
        <f>IFERROR(H12/H9,"")</f>
        <v>0.264903721868273</v>
      </c>
      <c r="J13" s="90">
        <f>IFERROR(AVERAGE(Model!C225,Model!H225,Model!M225,Model!R225),"")</f>
        <v>0.231299916246891</v>
      </c>
      <c r="K13" s="90">
        <f>IFERROR(MIN(Model!C225,Model!H225,Model!M225,Model!R225),"")</f>
        <v>0.210832629306299</v>
      </c>
      <c r="L13" s="90">
        <f>IFERROR(MAX(Model!C225,Model!H225,Model!M225,Model!R225),"")</f>
        <v>0.242805160436652</v>
      </c>
      <c r="N13" s="83" t="inlineStr">
        <is>
          <t xml:space="preserve">   Adjusted EBITDA margin %</t>
        </is>
      </c>
      <c r="O13" s="88" t="n">
        <v>0.238408297490349</v>
      </c>
      <c r="P13" s="89" t="n">
        <v>0.254650933654378</v>
      </c>
      <c r="Q13" s="89" t="n">
        <v>0.260842706057491</v>
      </c>
      <c r="R13" s="89" t="n">
        <v>0.266541521398378</v>
      </c>
      <c r="S13" s="89" t="n">
        <v>0.271610047264653</v>
      </c>
      <c r="T13" s="89" t="n">
        <v>0.274403465814253</v>
      </c>
      <c r="V13" s="90" t="n">
        <v>0.231299916246891</v>
      </c>
      <c r="W13" s="90" t="n">
        <v>0.210832629306299</v>
      </c>
      <c r="X13" s="90" t="n">
        <v>0.242805160436652</v>
      </c>
      <c r="Z13" s="83" t="inlineStr">
        <is>
          <t xml:space="preserve">   Adjusted EBITDA margin %</t>
        </is>
      </c>
      <c r="AA13" s="88" t="n">
        <v>0.238444614891853</v>
      </c>
      <c r="AB13" s="89" t="n">
        <v>0.225137489288335</v>
      </c>
      <c r="AC13" s="89" t="n">
        <v>0.231637492737835</v>
      </c>
      <c r="AD13" s="89" t="n">
        <v>0.237033617048175</v>
      </c>
      <c r="AE13" s="89" t="n">
        <v>0.241853156961469</v>
      </c>
      <c r="AF13" s="89" t="n">
        <v>0.244796569948582</v>
      </c>
      <c r="AH13" s="90" t="n">
        <v>0.231299916246891</v>
      </c>
      <c r="AI13" s="90" t="n">
        <v>0.210832629306299</v>
      </c>
      <c r="AJ13" s="90" t="n">
        <v>0.242805160436652</v>
      </c>
    </row>
    <row r="15" ht="15" customHeight="1" s="251">
      <c r="B15" s="79" t="inlineStr">
        <is>
          <t>Profit before tax (GAAP)</t>
        </is>
      </c>
      <c r="C15" s="80">
        <f>Model!W172</f>
        <v>10301</v>
      </c>
      <c r="D15" s="81">
        <f>Model!X172</f>
        <v>12265.5380215047</v>
      </c>
      <c r="E15" s="81">
        <f>Model!Y172</f>
        <v>13543.2195254289</v>
      </c>
      <c r="F15" s="81">
        <f>Model!Z172</f>
        <v>15189.1239523532</v>
      </c>
      <c r="G15" s="81">
        <f>Model!AA172</f>
        <v>16612.472591154</v>
      </c>
      <c r="H15" s="81">
        <f>Model!AB172</f>
        <v>17861.2931368435</v>
      </c>
      <c r="I15" s="298">
        <f>IFERROR((H15/C15)^(1/5)-1,"n/m")</f>
        <v>0.116366259687568</v>
      </c>
      <c r="N15" s="79" t="inlineStr">
        <is>
          <t>Profit before tax (GAAP)</t>
        </is>
      </c>
      <c r="O15" s="80" t="n">
        <v>10401</v>
      </c>
      <c r="P15" s="81" t="n">
        <v>13295.3333296094</v>
      </c>
      <c r="Q15" s="81" t="n">
        <v>14851.5446861332</v>
      </c>
      <c r="R15" s="81" t="n">
        <v>17055.7558797561</v>
      </c>
      <c r="S15" s="81" t="n">
        <v>19196.2066231485</v>
      </c>
      <c r="T15" s="81" t="n">
        <v>21234.6484604634</v>
      </c>
      <c r="U15" s="298" t="n">
        <v>0.153437311372291</v>
      </c>
      <c r="Z15" s="79" t="inlineStr">
        <is>
          <t>Profit before tax (GAAP)</t>
        </is>
      </c>
      <c r="AA15" s="80" t="n">
        <v>10201</v>
      </c>
      <c r="AB15" s="81" t="n">
        <v>10539.0142182392</v>
      </c>
      <c r="AC15" s="81" t="n">
        <v>11010.8399895299</v>
      </c>
      <c r="AD15" s="81" t="n">
        <v>11771.5554607171</v>
      </c>
      <c r="AE15" s="81" t="n">
        <v>12265.229521942</v>
      </c>
      <c r="AF15" s="81" t="n">
        <v>12565.8889881503</v>
      </c>
      <c r="AG15" s="298" t="n">
        <v>0.042581691725067</v>
      </c>
    </row>
    <row r="16" ht="15" customHeight="1" s="251">
      <c r="B16" s="83" t="inlineStr">
        <is>
          <t xml:space="preserve">   Profit before tax y/y %</t>
        </is>
      </c>
      <c r="C16" s="299" t="n"/>
      <c r="D16" s="300">
        <f>IFERROR(D15/C15-1,"")</f>
        <v>0.190713330890657</v>
      </c>
      <c r="E16" s="300">
        <f>IFERROR(E15/D15-1,"")</f>
        <v>0.104168402697393</v>
      </c>
      <c r="F16" s="300">
        <f>IFERROR(F15/E15-1,"")</f>
        <v>0.121529775385676</v>
      </c>
      <c r="G16" s="300">
        <f>IFERROR(G15/F15-1,"")</f>
        <v>0.0937084089421962</v>
      </c>
      <c r="H16" s="300">
        <f>IFERROR(H15/G15-1,"")</f>
        <v>0.0751736707968684</v>
      </c>
      <c r="N16" s="83" t="inlineStr">
        <is>
          <t xml:space="preserve">   Profit before tax y/y %</t>
        </is>
      </c>
      <c r="O16" s="299" t="n"/>
      <c r="P16" s="300" t="n">
        <v>0.278274524527389</v>
      </c>
      <c r="Q16" s="300" t="n">
        <v>0.11704944268363</v>
      </c>
      <c r="R16" s="300" t="n">
        <v>0.148416292056197</v>
      </c>
      <c r="S16" s="300" t="n">
        <v>0.125497266640233</v>
      </c>
      <c r="T16" s="300" t="n">
        <v>0.10618982579906</v>
      </c>
      <c r="Z16" s="83" t="inlineStr">
        <is>
          <t xml:space="preserve">   Profit before tax y/y %</t>
        </is>
      </c>
      <c r="AA16" s="299" t="n"/>
      <c r="AB16" s="300" t="n">
        <v>0.0331354002783297</v>
      </c>
      <c r="AC16" s="300" t="n">
        <v>0.0447694406251122</v>
      </c>
      <c r="AD16" s="300" t="n">
        <v>0.0690878690372896</v>
      </c>
      <c r="AE16" s="300" t="n">
        <v>0.0419378783774425</v>
      </c>
      <c r="AF16" s="300" t="n">
        <v>0.0245131544966564</v>
      </c>
    </row>
    <row r="17" ht="15" customHeight="1" s="251">
      <c r="B17" s="83" t="inlineStr">
        <is>
          <t xml:space="preserve">   Profit margin (GAAP) %</t>
        </is>
      </c>
      <c r="C17" s="88">
        <f>IFERROR(C15/C9,"")</f>
        <v>0.206267686237634</v>
      </c>
      <c r="D17" s="89">
        <f>IFERROR(D15/D9,"")</f>
        <v>0.217684277264755</v>
      </c>
      <c r="E17" s="89">
        <f>IFERROR(E15/E9,"")</f>
        <v>0.214664469173495</v>
      </c>
      <c r="F17" s="89">
        <f>IFERROR(F15/F9,"")</f>
        <v>0.22252563066639</v>
      </c>
      <c r="G17" s="89">
        <f>IFERROR(G15/G9,"")</f>
        <v>0.226653344007202</v>
      </c>
      <c r="H17" s="89">
        <f>IFERROR(H15/H9,"")</f>
        <v>0.229030569917989</v>
      </c>
      <c r="J17" s="90">
        <f>IFERROR(AVERAGE(Model!C268,Model!H268,Model!M268,Model!R268),"")</f>
        <v>0.190644392476795</v>
      </c>
      <c r="K17" s="90">
        <f>IFERROR(MIN(Model!C268,Model!H268,Model!M268,Model!R268),"")</f>
        <v>0.052232403308281</v>
      </c>
      <c r="L17" s="90">
        <f>IFERROR(MAX(Model!C268,Model!H268,Model!M268,Model!R268),"")</f>
        <v>0.295377390517144</v>
      </c>
      <c r="N17" s="83" t="inlineStr">
        <is>
          <t xml:space="preserve">   Profit margin (GAAP) %</t>
        </is>
      </c>
      <c r="O17" s="88" t="n">
        <v>0.206519921895321</v>
      </c>
      <c r="P17" s="89" t="n">
        <v>0.227342422782644</v>
      </c>
      <c r="Q17" s="89" t="n">
        <v>0.220329175553968</v>
      </c>
      <c r="R17" s="89" t="n">
        <v>0.227010683326159</v>
      </c>
      <c r="S17" s="89" t="n">
        <v>0.230993747286485</v>
      </c>
      <c r="T17" s="89" t="n">
        <v>0.233137113649335</v>
      </c>
      <c r="V17" s="90" t="n">
        <v>0.190644392476795</v>
      </c>
      <c r="W17" s="90" t="n">
        <v>0.052232403308281</v>
      </c>
      <c r="X17" s="90" t="n">
        <v>0.295377390517144</v>
      </c>
      <c r="Z17" s="83" t="inlineStr">
        <is>
          <t xml:space="preserve">   Profit margin (GAAP) %</t>
        </is>
      </c>
      <c r="AA17" s="88" t="n">
        <v>0.206011138859303</v>
      </c>
      <c r="AB17" s="89" t="n">
        <v>0.19787166434451</v>
      </c>
      <c r="AC17" s="89" t="n">
        <v>0.193455631521258</v>
      </c>
      <c r="AD17" s="89" t="n">
        <v>0.200836794488922</v>
      </c>
      <c r="AE17" s="89" t="n">
        <v>0.204917346829847</v>
      </c>
      <c r="AF17" s="89" t="n">
        <v>0.207468878621337</v>
      </c>
      <c r="AH17" s="90" t="n">
        <v>0.190644392476795</v>
      </c>
      <c r="AI17" s="90" t="n">
        <v>0.052232403308281</v>
      </c>
      <c r="AJ17" s="90" t="n">
        <v>0.295377390517144</v>
      </c>
    </row>
    <row r="19" ht="15" customHeight="1" s="251">
      <c r="B19" s="79" t="inlineStr">
        <is>
          <t>Adjusted Net Income</t>
        </is>
      </c>
      <c r="C19" s="80">
        <f>Model!W243</f>
        <v>8194.385</v>
      </c>
      <c r="D19" s="81">
        <f>Model!X243</f>
        <v>9444.01026584887</v>
      </c>
      <c r="E19" s="81">
        <f>Model!Y243</f>
        <v>10619.952502866</v>
      </c>
      <c r="F19" s="81">
        <f>Model!Z243</f>
        <v>11893.5437683104</v>
      </c>
      <c r="G19" s="81">
        <f>Model!AA243</f>
        <v>13106.4520118793</v>
      </c>
      <c r="H19" s="81">
        <f>Model!AB243</f>
        <v>14174.0540719649</v>
      </c>
      <c r="I19" s="298">
        <f>IFERROR((H19/C19)^(1/5)-1,"n/m")</f>
        <v>0.115823603767715</v>
      </c>
      <c r="N19" s="79" t="inlineStr">
        <is>
          <t>Adjusted Net Income</t>
        </is>
      </c>
      <c r="O19" s="80" t="n">
        <v>8277.885</v>
      </c>
      <c r="P19" s="81" t="n">
        <v>10298.7403715758</v>
      </c>
      <c r="Q19" s="81" t="n">
        <v>11705.8623862506</v>
      </c>
      <c r="R19" s="81" t="n">
        <v>13442.8482680547</v>
      </c>
      <c r="S19" s="81" t="n">
        <v>15250.9512584348</v>
      </c>
      <c r="T19" s="81" t="n">
        <v>16973.9389905695</v>
      </c>
      <c r="U19" s="298" t="n">
        <v>0.154443411769814</v>
      </c>
      <c r="Z19" s="79" t="inlineStr">
        <is>
          <t>Adjusted Net Income</t>
        </is>
      </c>
      <c r="AA19" s="80" t="n">
        <v>8110.885</v>
      </c>
      <c r="AB19" s="81" t="n">
        <v>8010.99550913857</v>
      </c>
      <c r="AC19" s="81" t="n">
        <v>8518.07748806983</v>
      </c>
      <c r="AD19" s="81" t="n">
        <v>9056.961920252401</v>
      </c>
      <c r="AE19" s="81" t="n">
        <v>9498.240264433331</v>
      </c>
      <c r="AF19" s="81" t="n">
        <v>9778.86862854959</v>
      </c>
      <c r="AG19" s="298" t="n">
        <v>0.0381116708853473</v>
      </c>
    </row>
    <row r="21" ht="15" customHeight="1" s="251">
      <c r="B21" s="79" t="inlineStr">
        <is>
          <t>FDSO (m)</t>
        </is>
      </c>
      <c r="C21" s="91">
        <f>Model!W190</f>
        <v>1044.78450325325</v>
      </c>
      <c r="D21" s="92">
        <f>Model!X190</f>
        <v>1034.82664678633</v>
      </c>
      <c r="E21" s="92">
        <f>Model!Y190</f>
        <v>1022.34891913683</v>
      </c>
      <c r="F21" s="92">
        <f>Model!Z190</f>
        <v>995.665752636583</v>
      </c>
      <c r="G21" s="92">
        <f>Model!AA190</f>
        <v>969.869279455679</v>
      </c>
      <c r="H21" s="92">
        <f>Model!AB190</f>
        <v>944.903574027256</v>
      </c>
      <c r="I21" s="298">
        <f>IFERROR((H21/C21)^(1/5)-1,"n/m")</f>
        <v>-0.0198960175309191</v>
      </c>
      <c r="N21" s="79" t="inlineStr">
        <is>
          <t>FDSO (m)</t>
        </is>
      </c>
      <c r="O21" s="91" t="n">
        <v>1043.97281494156</v>
      </c>
      <c r="P21" s="92" t="n">
        <v>1018.64295951461</v>
      </c>
      <c r="Q21" s="92" t="n">
        <v>989.227472330125</v>
      </c>
      <c r="R21" s="92" t="n">
        <v>953.905315543429</v>
      </c>
      <c r="S21" s="92" t="n">
        <v>918.1281396823611</v>
      </c>
      <c r="T21" s="92" t="n">
        <v>881.999463333393</v>
      </c>
      <c r="U21" s="298" t="n">
        <v>-0.0331572917244747</v>
      </c>
      <c r="Z21" s="79" t="inlineStr">
        <is>
          <t>FDSO (m)</t>
        </is>
      </c>
      <c r="AA21" s="91" t="n">
        <v>1045.59619156494</v>
      </c>
      <c r="AB21" s="92" t="n">
        <v>1038.82225325974</v>
      </c>
      <c r="AC21" s="92" t="n">
        <v>1042.82225325974</v>
      </c>
      <c r="AD21" s="92" t="n">
        <v>1039.13972807227</v>
      </c>
      <c r="AE21" s="92" t="n">
        <v>1026.94204014887</v>
      </c>
      <c r="AF21" s="92" t="n">
        <v>1015.01090513804</v>
      </c>
      <c r="AG21" s="298" t="n">
        <v>-0.00591998433904617</v>
      </c>
    </row>
    <row r="23" ht="15" customHeight="1" s="251">
      <c r="B23" s="79" t="inlineStr">
        <is>
          <t>Adjusted EPS — Diluted ($)</t>
        </is>
      </c>
      <c r="C23" s="93">
        <f>Model!W248</f>
        <v>7.84313413386622</v>
      </c>
      <c r="D23" s="94">
        <f>Model!X248</f>
        <v>9.12617615247675</v>
      </c>
      <c r="E23" s="94">
        <f>Model!Y248</f>
        <v>10.3877964793394</v>
      </c>
      <c r="F23" s="94">
        <f>Model!Z248</f>
        <v>11.9453177301876</v>
      </c>
      <c r="G23" s="94">
        <f>Model!AA248</f>
        <v>13.5136273408259</v>
      </c>
      <c r="H23" s="94">
        <f>Model!AB248</f>
        <v>15.000529642992</v>
      </c>
      <c r="I23" s="298">
        <f>IFERROR((H23/C23)^(1/5)-1,"n/m")</f>
        <v>0.138474716689477</v>
      </c>
      <c r="N23" s="79" t="inlineStr">
        <is>
          <t>Adjusted EPS — Diluted ($)</t>
        </is>
      </c>
      <c r="O23" s="93" t="n">
        <v>7.92921509212229</v>
      </c>
      <c r="P23" s="94" t="n">
        <v>10.1102552914941</v>
      </c>
      <c r="Q23" s="94" t="n">
        <v>11.8333373401746</v>
      </c>
      <c r="R23" s="94" t="n">
        <v>14.0924345938847</v>
      </c>
      <c r="S23" s="94" t="n">
        <v>16.6109180181658</v>
      </c>
      <c r="T23" s="94" t="n">
        <v>19.244840497316</v>
      </c>
      <c r="U23" s="298" t="n">
        <v>0.194034357283302</v>
      </c>
      <c r="Z23" s="79" t="inlineStr">
        <is>
          <t>Adjusted EPS — Diluted ($)</t>
        </is>
      </c>
      <c r="AA23" s="93" t="n">
        <v>7.75718682358675</v>
      </c>
      <c r="AB23" s="94" t="n">
        <v>7.71161330439419</v>
      </c>
      <c r="AC23" s="94" t="n">
        <v>8.16829278570084</v>
      </c>
      <c r="AD23" s="94" t="n">
        <v>8.715826828268989</v>
      </c>
      <c r="AE23" s="94" t="n">
        <v>9.249051935839001</v>
      </c>
      <c r="AF23" s="94" t="n">
        <v>9.634249818448691</v>
      </c>
      <c r="AG23" s="298" t="n">
        <v>0.0442938742663659</v>
      </c>
    </row>
    <row r="24" ht="15" customHeight="1" s="251">
      <c r="B24" s="83" t="inlineStr">
        <is>
          <t xml:space="preserve">   EPS y/y %</t>
        </is>
      </c>
      <c r="C24" s="299" t="n"/>
      <c r="D24" s="300">
        <f>IFERROR(D23/C23-1,"")</f>
        <v>0.163587922469721</v>
      </c>
      <c r="E24" s="300">
        <f>IFERROR(E23/D23-1,"")</f>
        <v>0.1382419433708</v>
      </c>
      <c r="F24" s="300">
        <f>IFERROR(F23/E23-1,"")</f>
        <v>0.149937597828957</v>
      </c>
      <c r="G24" s="300">
        <f>IFERROR(G23/F23-1,"")</f>
        <v>0.131290740527972</v>
      </c>
      <c r="H24" s="300">
        <f>IFERROR(H23/G23-1,"")</f>
        <v>0.11002984355459</v>
      </c>
      <c r="N24" s="83" t="inlineStr">
        <is>
          <t xml:space="preserve">   EPS y/y %</t>
        </is>
      </c>
      <c r="O24" s="299" t="n"/>
      <c r="P24" s="300" t="n">
        <v>0.275063820823659</v>
      </c>
      <c r="Q24" s="300" t="n">
        <v>0.170429133488861</v>
      </c>
      <c r="R24" s="300" t="n">
        <v>0.190909562430914</v>
      </c>
      <c r="S24" s="300" t="n">
        <v>0.178711734122502</v>
      </c>
      <c r="T24" s="300" t="n">
        <v>0.158565738285492</v>
      </c>
      <c r="Z24" s="83" t="inlineStr">
        <is>
          <t xml:space="preserve">   EPS y/y %</t>
        </is>
      </c>
      <c r="AA24" s="299" t="n"/>
      <c r="AB24" s="300" t="n">
        <v>-0.00587500600784585</v>
      </c>
      <c r="AC24" s="300" t="n">
        <v>0.0592197071197051</v>
      </c>
      <c r="AD24" s="300" t="n">
        <v>0.0670316376913718</v>
      </c>
      <c r="AE24" s="300" t="n">
        <v>0.0611789469979542</v>
      </c>
      <c r="AF24" s="300" t="n">
        <v>0.0416472829087582</v>
      </c>
    </row>
    <row r="26" ht="15" customHeight="1" s="251">
      <c r="B26" s="83" t="inlineStr">
        <is>
          <t>P / E (x) — assumed (adjusted EPS)</t>
        </is>
      </c>
      <c r="C26" s="301" t="n"/>
      <c r="D26" s="301" t="n"/>
      <c r="E26" s="301" t="n"/>
      <c r="F26" s="301" t="n"/>
      <c r="G26" s="301" t="n">
        <v>36</v>
      </c>
      <c r="H26" s="301" t="n">
        <v>36</v>
      </c>
      <c r="N26" s="83" t="inlineStr">
        <is>
          <t>P / E (x) — assumed (adjusted EPS)</t>
        </is>
      </c>
      <c r="O26" s="301" t="n"/>
      <c r="P26" s="301" t="n"/>
      <c r="Q26" s="301" t="n"/>
      <c r="R26" s="301" t="n"/>
      <c r="S26" s="301" t="n">
        <v>42</v>
      </c>
      <c r="T26" s="301" t="n">
        <v>42</v>
      </c>
      <c r="Z26" s="83" t="inlineStr">
        <is>
          <t>P / E (x) — assumed (adjusted EPS)</t>
        </is>
      </c>
      <c r="AA26" s="301" t="n"/>
      <c r="AB26" s="301" t="n"/>
      <c r="AC26" s="301" t="n"/>
      <c r="AD26" s="301" t="n">
        <v>28</v>
      </c>
      <c r="AE26" s="301" t="n">
        <v>28</v>
      </c>
      <c r="AF26" s="301" t="n">
        <v>28</v>
      </c>
    </row>
    <row r="27" ht="15" customHeight="1" s="251">
      <c r="B27" s="10" t="inlineStr">
        <is>
          <t>Price Target ($)</t>
        </is>
      </c>
      <c r="C27" s="96" t="n"/>
      <c r="D27" s="96" t="n"/>
      <c r="E27" s="96" t="n"/>
      <c r="F27" s="96" t="n"/>
      <c r="G27" s="96">
        <f>G26*G23</f>
        <v>486.490584269731</v>
      </c>
      <c r="H27" s="96">
        <f>H26*H23</f>
        <v>540.019067147711</v>
      </c>
      <c r="N27" s="10" t="inlineStr">
        <is>
          <t>Price Target ($)</t>
        </is>
      </c>
      <c r="O27" s="96" t="n"/>
      <c r="P27" s="96" t="n"/>
      <c r="Q27" s="96" t="n"/>
      <c r="R27" s="96" t="n"/>
      <c r="S27" s="96">
        <f>S26*S23</f>
        <v>697.658556762964</v>
      </c>
      <c r="T27" s="96">
        <f>T26*T23</f>
        <v>808.283300887272</v>
      </c>
      <c r="Z27" s="10" t="inlineStr">
        <is>
          <t>Price Target ($)</t>
        </is>
      </c>
      <c r="AA27" s="96" t="n"/>
      <c r="AB27" s="96" t="n"/>
      <c r="AC27" s="96" t="n"/>
      <c r="AD27" s="96">
        <f>AD26*AD23</f>
        <v>244.043151191532</v>
      </c>
      <c r="AE27" s="96">
        <f>AE26*AE23</f>
        <v>258.973454203492</v>
      </c>
      <c r="AF27" s="96">
        <f>AF26*AF23</f>
        <v>269.758994916563</v>
      </c>
    </row>
    <row r="28" ht="15" customHeight="1" s="251">
      <c r="B28" t="inlineStr">
        <is>
          <t xml:space="preserve">   Upside / (Downside) vs current</t>
        </is>
      </c>
      <c r="E28" s="302" t="n"/>
      <c r="F28" s="302" t="n"/>
      <c r="G28" s="302">
        <f>IFERROR(G27/$K$2-1,"")</f>
        <v>0.579514883992633</v>
      </c>
      <c r="H28" s="302">
        <f>IFERROR(H27/$K$2-1,"")</f>
        <v>0.753308659570489</v>
      </c>
      <c r="N28" t="inlineStr">
        <is>
          <t xml:space="preserve">   Upside / (Downside) vs current</t>
        </is>
      </c>
      <c r="O28" s="302" t="n"/>
      <c r="P28" s="302" t="n"/>
      <c r="Q28" s="302" t="n"/>
      <c r="R28" s="302" t="n"/>
      <c r="S28" s="302">
        <f>IFERROR(S27/$K$2-1,"")</f>
        <v>1.26512518429534</v>
      </c>
      <c r="T28" s="302">
        <f>IFERROR(T27/$K$2-1,"")</f>
        <v>1.62429643145218</v>
      </c>
      <c r="Z28" t="inlineStr">
        <is>
          <t xml:space="preserve">   Upside / (Downside) vs current</t>
        </is>
      </c>
      <c r="AA28" s="302" t="n"/>
      <c r="AB28" s="302" t="n"/>
      <c r="AC28" s="302" t="n"/>
      <c r="AD28" s="302">
        <f>IFERROR(AD27/$K$2-1,"")</f>
        <v>-0.207652106521001</v>
      </c>
      <c r="AE28" s="302">
        <f>IFERROR(AE27/$K$2-1,"")</f>
        <v>-0.159177096741909</v>
      </c>
      <c r="AF28" s="302">
        <f>IFERROR(AF27/$K$2-1,"")</f>
        <v>-0.124159107413755</v>
      </c>
    </row>
    <row r="29" ht="15" customHeight="1" s="251">
      <c r="B29" s="75" t="inlineStr">
        <is>
          <t>IRR (to 31-Dec of Y-1)</t>
        </is>
      </c>
      <c r="C29" s="303" t="n"/>
      <c r="D29" s="303" t="n"/>
      <c r="E29" s="303" t="n"/>
      <c r="F29" s="303" t="n"/>
      <c r="G29" s="303">
        <f>IFERROR((G27/$K$2)^(1/((DATE(2030-1,12,31)-$K$3)/365.25))-1,"")</f>
        <v>0.152686774859149</v>
      </c>
      <c r="H29" s="303">
        <f>IFERROR((H27/$K$2)^(1/((DATE(2031-1,12,31)-$K$3)/365.25))-1,"")</f>
        <v>0.14244996823175</v>
      </c>
      <c r="N29" s="75" t="inlineStr">
        <is>
          <t>IRR (to 31-Dec of Y-1)</t>
        </is>
      </c>
      <c r="O29" s="303" t="n"/>
      <c r="P29" s="303" t="n"/>
      <c r="Q29" s="303" t="n"/>
      <c r="R29" s="303" t="n"/>
      <c r="S29" s="303">
        <f>IFERROR((S27/$K$2)^(1/((DATE(2030-1,12,31)-$K$3)/365.25))-1,"")</f>
        <v>0.289379588488999</v>
      </c>
      <c r="T29" s="303">
        <f>IFERROR((T27/$K$2)^(1/((DATE(2031-1,12,31)-$K$3)/365.25))-1,"")</f>
        <v>0.257128054029847</v>
      </c>
      <c r="Z29" s="75" t="inlineStr">
        <is>
          <t>IRR (to 31-Dec of Y-1)</t>
        </is>
      </c>
      <c r="AA29" s="303" t="n"/>
      <c r="AB29" s="303" t="n"/>
      <c r="AC29" s="303" t="n"/>
      <c r="AD29" s="303">
        <f>IFERROR((AD27/$K$2)^(1/((DATE(2029-1,12,31)-$K$3)/365.25))-1,"")</f>
        <v>-0.0996350875088264</v>
      </c>
      <c r="AE29" s="303">
        <f>IFERROR((AE27/$K$2)^(1/((DATE(2030-1,12,31)-$K$3)/365.25))-1,"")</f>
        <v>-0.0524670441322951</v>
      </c>
      <c r="AF29" s="303">
        <f>IFERROR((AF27/$K$2)^(1/((DATE(2031-1,12,31)-$K$3)/365.25))-1,"")</f>
        <v>-0.030953354616066</v>
      </c>
    </row>
    <row r="31" ht="15" customHeight="1" s="251">
      <c r="B31" s="79" t="inlineStr">
        <is>
          <t>Free Cash Flow</t>
        </is>
      </c>
      <c r="C31" s="80">
        <f>Model!W281</f>
        <v>9050</v>
      </c>
      <c r="D31" s="81">
        <f>Model!X281</f>
        <v>11058.8151160183</v>
      </c>
      <c r="E31" s="81">
        <f>Model!Y281</f>
        <v>12393.1136538787</v>
      </c>
      <c r="F31" s="81">
        <f>Model!Z281</f>
        <v>13376.7642981241</v>
      </c>
      <c r="G31" s="81">
        <f>Model!AA281</f>
        <v>14574.508043194</v>
      </c>
      <c r="H31" s="81">
        <f>Model!AB281</f>
        <v>15514.2581265656</v>
      </c>
      <c r="I31" s="298">
        <f>IFERROR((H31/C31)^(1/5)-1,"n/m")</f>
        <v>0.113823782479047</v>
      </c>
      <c r="N31" s="79" t="inlineStr">
        <is>
          <t>Free Cash Flow</t>
        </is>
      </c>
      <c r="O31" s="80" t="n">
        <v>9200</v>
      </c>
      <c r="P31" s="81" t="n">
        <v>12276.8708340857</v>
      </c>
      <c r="Q31" s="81" t="n">
        <v>13885.4860305763</v>
      </c>
      <c r="R31" s="81" t="n">
        <v>15396.0730845246</v>
      </c>
      <c r="S31" s="81" t="n">
        <v>17253.1134361447</v>
      </c>
      <c r="T31" s="81" t="n">
        <v>18895.3073752821</v>
      </c>
      <c r="U31" s="298" t="n">
        <v>0.1548171549417</v>
      </c>
      <c r="Z31" s="79" t="inlineStr">
        <is>
          <t>Free Cash Flow</t>
        </is>
      </c>
      <c r="AA31" s="80" t="n">
        <v>8900</v>
      </c>
      <c r="AB31" s="81" t="n">
        <v>9058.23122355886</v>
      </c>
      <c r="AC31" s="81" t="n">
        <v>9740.428353893351</v>
      </c>
      <c r="AD31" s="81" t="n">
        <v>9940.20148068078</v>
      </c>
      <c r="AE31" s="81" t="n">
        <v>10319.9233104759</v>
      </c>
      <c r="AF31" s="81" t="n">
        <v>10468.9987693717</v>
      </c>
      <c r="AG31" s="298" t="n">
        <v>0.0330064385772262</v>
      </c>
    </row>
    <row r="32" ht="15" customHeight="1" s="251">
      <c r="B32" s="83" t="inlineStr">
        <is>
          <t xml:space="preserve">   FCF %</t>
        </is>
      </c>
      <c r="C32" s="88">
        <f>IFERROR(C31/C9,"")</f>
        <v>0.181217606101407</v>
      </c>
      <c r="D32" s="89">
        <f>IFERROR(D31/D9,"")</f>
        <v>0.19626780103036</v>
      </c>
      <c r="E32" s="89">
        <f>IFERROR(E31/E9,"")</f>
        <v>0.19643491408535</v>
      </c>
      <c r="F32" s="89">
        <f>IFERROR(F31/F9,"")</f>
        <v>0.195973969338406</v>
      </c>
      <c r="G32" s="89">
        <f>IFERROR(G31/G9,"")</f>
        <v>0.198848242916517</v>
      </c>
      <c r="H32" s="89">
        <f>IFERROR(H31/H9,"")</f>
        <v>0.198935169663201</v>
      </c>
      <c r="J32" s="90">
        <f>IFERROR(AVERAGE(Model!C293,Model!H293,Model!M293,Model!R293),"")</f>
        <v>0.167871294545856</v>
      </c>
      <c r="K32" s="90">
        <f>IFERROR(MIN(Model!C293,Model!H293,Model!M293,Model!R293),"")</f>
        <v>0.148440188992146</v>
      </c>
      <c r="L32" s="90">
        <f>IFERROR(MAX(Model!C293,Model!H293,Model!M293,Model!R293),"")</f>
        <v>0.181796701479136</v>
      </c>
      <c r="N32" s="83" t="inlineStr">
        <is>
          <t xml:space="preserve">   FCF %</t>
        </is>
      </c>
      <c r="O32" s="88" t="n">
        <v>0.18267313541361</v>
      </c>
      <c r="P32" s="89" t="n">
        <v>0.209927309862537</v>
      </c>
      <c r="Q32" s="89" t="n">
        <v>0.205997271929535</v>
      </c>
      <c r="R32" s="89" t="n">
        <v>0.2049204442241</v>
      </c>
      <c r="S32" s="89" t="n">
        <v>0.207611920584767</v>
      </c>
      <c r="T32" s="89" t="n">
        <v>0.207453277655726</v>
      </c>
      <c r="V32" s="90" t="n">
        <v>0.167871294545856</v>
      </c>
      <c r="W32" s="90" t="n">
        <v>0.148440188992146</v>
      </c>
      <c r="X32" s="90" t="n">
        <v>0.181796701479136</v>
      </c>
      <c r="Z32" s="83" t="inlineStr">
        <is>
          <t xml:space="preserve">   FCF %</t>
        </is>
      </c>
      <c r="AA32" s="88" t="n">
        <v>0.17973719594626</v>
      </c>
      <c r="AB32" s="89" t="n">
        <v>0.170069728639426</v>
      </c>
      <c r="AC32" s="89" t="n">
        <v>0.171135056024954</v>
      </c>
      <c r="AD32" s="89" t="n">
        <v>0.169591708471834</v>
      </c>
      <c r="AE32" s="89" t="n">
        <v>0.172416773814712</v>
      </c>
      <c r="AF32" s="89" t="n">
        <v>0.172848211297895</v>
      </c>
      <c r="AH32" s="90" t="n">
        <v>0.167871294545856</v>
      </c>
      <c r="AI32" s="90" t="n">
        <v>0.148440188992146</v>
      </c>
      <c r="AJ32" s="90" t="n">
        <v>0.181796701479136</v>
      </c>
    </row>
    <row r="33" ht="15" customHeight="1" s="251">
      <c r="B33" s="83" t="inlineStr">
        <is>
          <t xml:space="preserve">   FCF / share ($)</t>
        </is>
      </c>
      <c r="C33" s="99">
        <f>IFERROR(C31/C21,"")</f>
        <v>8.66207334796806</v>
      </c>
      <c r="D33" s="100">
        <f>IFERROR(D31/D21,"")</f>
        <v>10.6866354382752</v>
      </c>
      <c r="E33" s="100">
        <f>IFERROR(E31/E21,"")</f>
        <v>12.1221956828029</v>
      </c>
      <c r="F33" s="100">
        <f>IFERROR(F31/F21,"")</f>
        <v>13.4349948893006</v>
      </c>
      <c r="G33" s="100">
        <f>IFERROR(G31/G21,"")</f>
        <v>15.0272911534775</v>
      </c>
      <c r="H33" s="100">
        <f>IFERROR(H31/H21,"")</f>
        <v>16.4188797174749</v>
      </c>
      <c r="N33" s="83" t="inlineStr">
        <is>
          <t xml:space="preserve">   FCF / share ($)</t>
        </is>
      </c>
      <c r="O33" s="99" t="n">
        <v>8.812490007716359</v>
      </c>
      <c r="P33" s="100" t="n">
        <v>12.0521824839743</v>
      </c>
      <c r="Q33" s="100" t="n">
        <v>14.0366967345428</v>
      </c>
      <c r="R33" s="100" t="n">
        <v>16.1400432869521</v>
      </c>
      <c r="S33" s="100" t="n">
        <v>18.7916181744671</v>
      </c>
      <c r="T33" s="100" t="n">
        <v>21.4232640277013</v>
      </c>
      <c r="Z33" s="83" t="inlineStr">
        <is>
          <t xml:space="preserve">   FCF / share ($)</t>
        </is>
      </c>
      <c r="AA33" s="99" t="n">
        <v>8.511890222820581</v>
      </c>
      <c r="AB33" s="100" t="n">
        <v>8.719712342640779</v>
      </c>
      <c r="AC33" s="100" t="n">
        <v>9.34044926970623</v>
      </c>
      <c r="AD33" s="100" t="n">
        <v>9.56579871998648</v>
      </c>
      <c r="AE33" s="100" t="n">
        <v>10.049177954561</v>
      </c>
      <c r="AF33" s="100" t="n">
        <v>10.3141736865851</v>
      </c>
    </row>
    <row r="34" ht="15" customHeight="1" s="251">
      <c r="B34" s="83" t="inlineStr">
        <is>
          <t xml:space="preserve">   FCF Yield (on PT)</t>
        </is>
      </c>
      <c r="E34" s="101" t="n"/>
      <c r="F34" s="101">
        <f>IFERROR(F33/F$27,"")</f>
      </c>
      <c r="G34" s="101">
        <f>IFERROR(G33/G$27,"")</f>
        <v>0.030889171629159</v>
      </c>
      <c r="H34" s="101">
        <f>IFERROR(H33/H$27,"")</f>
        <v>0.0304042592499495</v>
      </c>
      <c r="N34" s="83" t="inlineStr">
        <is>
          <t xml:space="preserve">   FCF Yield (on PT)</t>
        </is>
      </c>
      <c r="Q34" s="101" t="n"/>
      <c r="R34" s="101">
        <f>IFERROR(R33/R$27,"")</f>
      </c>
      <c r="S34" s="101">
        <f>IFERROR(S33/S$27,"")</f>
        <v>0.0269352650982417</v>
      </c>
      <c r="T34" s="101">
        <f>IFERROR(T33/T$27,"")</f>
        <v>0.0265046475711975</v>
      </c>
      <c r="Z34" s="83" t="inlineStr">
        <is>
          <t xml:space="preserve">   FCF Yield (on PT)</t>
        </is>
      </c>
      <c r="AC34" s="101" t="n"/>
      <c r="AD34" s="101">
        <f>IFERROR(AD33/AD$27,"")</f>
        <v>0.039197161130242</v>
      </c>
      <c r="AE34" s="101">
        <f>IFERROR(AE33/AE$27,"")</f>
        <v>0.038803892026187</v>
      </c>
      <c r="AF34" s="101">
        <f>IFERROR(AF33/AF$27,"")</f>
        <v>0.0382347720778515</v>
      </c>
    </row>
    <row r="35" ht="15" customHeight="1" s="251">
      <c r="B35" s="79" t="inlineStr">
        <is>
          <t>Adjusted EBITDA (pro forma CPP full year in 2027E)</t>
        </is>
      </c>
      <c r="C35" s="80">
        <f>Model!W227</f>
        <v>11907</v>
      </c>
      <c r="D35" s="81">
        <f>Model!X227</f>
        <v>14116.9830557573</v>
      </c>
      <c r="E35" s="81">
        <f>Model!Y227</f>
        <v>15833.6995421124</v>
      </c>
      <c r="F35" s="81">
        <f>Model!Z227</f>
        <v>17525.0826764941</v>
      </c>
      <c r="G35" s="81">
        <f>Model!AA227</f>
        <v>19197.4985623119</v>
      </c>
      <c r="H35" s="81">
        <f>Model!AB227</f>
        <v>20658.9147947557</v>
      </c>
      <c r="I35" s="298">
        <f>IFERROR((H35/C35)^(1/5)-1,"n/m")</f>
        <v>0.116505920028545</v>
      </c>
      <c r="N35" s="79" t="inlineStr">
        <is>
          <t>Adjusted EBITDA (pro forma CPP full year in 2027E)</t>
        </is>
      </c>
      <c r="O35" s="80" t="n">
        <v>12007</v>
      </c>
      <c r="P35" s="81" t="n">
        <v>15231.3769008486</v>
      </c>
      <c r="Q35" s="81" t="n">
        <v>17582.4063940903</v>
      </c>
      <c r="R35" s="81" t="n">
        <v>20025.7849286235</v>
      </c>
      <c r="S35" s="81" t="n">
        <v>22571.5312620519</v>
      </c>
      <c r="T35" s="81" t="n">
        <v>24993.2798844834</v>
      </c>
      <c r="U35" s="298" t="n">
        <v>0.157917848676057</v>
      </c>
      <c r="Z35" s="79" t="inlineStr">
        <is>
          <t>Adjusted EBITDA (pro forma CPP full year in 2027E)</t>
        </is>
      </c>
      <c r="AA35" s="80" t="n">
        <v>11807</v>
      </c>
      <c r="AB35" s="81" t="n">
        <v>12330.2429529947</v>
      </c>
      <c r="AC35" s="81" t="n">
        <v>13184.0223417427</v>
      </c>
      <c r="AD35" s="81" t="n">
        <v>13893.1433168781</v>
      </c>
      <c r="AE35" s="81" t="n">
        <v>14476.0047240013</v>
      </c>
      <c r="AF35" s="81" t="n">
        <v>14826.7371139948</v>
      </c>
      <c r="AG35" s="298" t="n">
        <v>0.0466011432963418</v>
      </c>
    </row>
    <row r="36" ht="15" customHeight="1" s="251">
      <c r="B36" s="83" t="inlineStr">
        <is>
          <t xml:space="preserve">   Adjusted EBITDA (pro forma) % of adjusted revenue</t>
        </is>
      </c>
      <c r="C36" s="88">
        <f>IFERROR(C35/C9,"")</f>
        <v>0.238426302303806</v>
      </c>
      <c r="D36" s="89">
        <f>IFERROR(D35/D9,"")</f>
        <v>0.25054304574846</v>
      </c>
      <c r="E36" s="89">
        <f>IFERROR(E35/E9,"")</f>
        <v>0.250969328295852</v>
      </c>
      <c r="F36" s="89">
        <f>IFERROR(F35/F9,"")</f>
        <v>0.256748189513807</v>
      </c>
      <c r="G36" s="89">
        <f>IFERROR(G35/G9,"")</f>
        <v>0.261922312999836</v>
      </c>
      <c r="H36" s="89">
        <f>IFERROR(H35/H9,"")</f>
        <v>0.264903721868273</v>
      </c>
      <c r="J36" s="90">
        <f>IFERROR(AVERAGE(Model!C267,Model!H267,Model!M267,Model!R267),"")</f>
        <v>0.231299916246891</v>
      </c>
      <c r="K36" s="90">
        <f>IFERROR(MIN(Model!C267,Model!H267,Model!M267,Model!R267),"")</f>
        <v>0.210832629306299</v>
      </c>
      <c r="L36" s="90">
        <f>IFERROR(MAX(Model!C267,Model!H267,Model!M267,Model!R267),"")</f>
        <v>0.242805160436652</v>
      </c>
      <c r="N36" s="83" t="inlineStr">
        <is>
          <t xml:space="preserve">   Adjusted EBITDA (pro forma) % of adjusted revenue</t>
        </is>
      </c>
      <c r="O36" s="88" t="n">
        <v>0.238408297490349</v>
      </c>
      <c r="P36" s="89" t="n">
        <v>0.260447635355093</v>
      </c>
      <c r="Q36" s="89" t="n">
        <v>0.260842706057491</v>
      </c>
      <c r="R36" s="89" t="n">
        <v>0.266541521398378</v>
      </c>
      <c r="S36" s="89" t="n">
        <v>0.271610047264653</v>
      </c>
      <c r="T36" s="89" t="n">
        <v>0.274403465814253</v>
      </c>
      <c r="V36" s="90" t="n">
        <v>0.231299916246891</v>
      </c>
      <c r="W36" s="90" t="n">
        <v>0.210832629306299</v>
      </c>
      <c r="X36" s="90" t="n">
        <v>0.242805160436652</v>
      </c>
      <c r="Z36" s="83" t="inlineStr">
        <is>
          <t xml:space="preserve">   Adjusted EBITDA (pro forma) % of adjusted revenue</t>
        </is>
      </c>
      <c r="AA36" s="88" t="n">
        <v>0.238444614891853</v>
      </c>
      <c r="AB36" s="89" t="n">
        <v>0.231502268082987</v>
      </c>
      <c r="AC36" s="89" t="n">
        <v>0.231637492737835</v>
      </c>
      <c r="AD36" s="89" t="n">
        <v>0.237033617048175</v>
      </c>
      <c r="AE36" s="89" t="n">
        <v>0.241853156961469</v>
      </c>
      <c r="AF36" s="89" t="n">
        <v>0.244796569948582</v>
      </c>
      <c r="AH36" s="90" t="n">
        <v>0.231299916246891</v>
      </c>
      <c r="AI36" s="90" t="n">
        <v>0.210832629306299</v>
      </c>
      <c r="AJ36" s="90" t="n">
        <v>0.242805160436652</v>
      </c>
    </row>
    <row r="38" ht="15" customHeight="1" s="251">
      <c r="B38" s="79" t="inlineStr">
        <is>
          <t>Net Debt</t>
        </is>
      </c>
      <c r="C38" s="80">
        <f>Model!W465</f>
        <v>10558.1448661161</v>
      </c>
      <c r="D38" s="81">
        <f>Model!X465</f>
        <v>14116.9830557573</v>
      </c>
      <c r="E38" s="81">
        <f>Model!Y465</f>
        <v>15833.6995421124</v>
      </c>
      <c r="F38" s="81">
        <f>Model!Z465</f>
        <v>17525.0826764941</v>
      </c>
      <c r="G38" s="81">
        <f>Model!AA465</f>
        <v>19197.4985623119</v>
      </c>
      <c r="H38" s="81">
        <f>Model!AB465</f>
        <v>20658.9147947557</v>
      </c>
      <c r="N38" s="79" t="inlineStr">
        <is>
          <t>Net Debt</t>
        </is>
      </c>
      <c r="O38" s="80" t="n">
        <v>11406.6188920901</v>
      </c>
      <c r="P38" s="81" t="n">
        <v>22847.0653512729</v>
      </c>
      <c r="Q38" s="81" t="n">
        <v>26373.6095911355</v>
      </c>
      <c r="R38" s="81" t="n">
        <v>30038.6773929352</v>
      </c>
      <c r="S38" s="81" t="n">
        <v>33857.2968930779</v>
      </c>
      <c r="T38" s="81" t="n">
        <v>37489.9198267252</v>
      </c>
      <c r="Z38" s="79" t="inlineStr">
        <is>
          <t>Net Debt</t>
        </is>
      </c>
      <c r="AA38" s="80" t="n">
        <v>9709.67084014208</v>
      </c>
      <c r="AB38" s="81" t="n">
        <v>14777.9153281308</v>
      </c>
      <c r="AC38" s="81" t="n">
        <v>7857.87924251712</v>
      </c>
      <c r="AD38" s="81" t="n">
        <v>6946.57165843904</v>
      </c>
      <c r="AE38" s="81" t="n">
        <v>7238.00236200066</v>
      </c>
      <c r="AF38" s="81" t="n">
        <v>7413.3685569974</v>
      </c>
    </row>
    <row r="39" ht="15" customHeight="1" s="251">
      <c r="B39" s="83" t="inlineStr">
        <is>
          <t xml:space="preserve">   Net Debt / Adjusted EBITDA (x)</t>
        </is>
      </c>
      <c r="C39" s="102">
        <f>IFERROR(C38/C35,"")</f>
        <v>0.886717465870169</v>
      </c>
      <c r="D39" s="103">
        <f>IFERROR(D38/D35,"")</f>
        <v>1</v>
      </c>
      <c r="E39" s="103">
        <f>IFERROR(E38/E35,"")</f>
        <v>1</v>
      </c>
      <c r="F39" s="103">
        <f>IFERROR(F38/F35,"")</f>
        <v>1</v>
      </c>
      <c r="G39" s="103">
        <f>IFERROR(G38/G35,"")</f>
        <v>1</v>
      </c>
      <c r="H39" s="103">
        <f>IFERROR(H38/H35,"")</f>
        <v>1</v>
      </c>
      <c r="N39" s="83" t="inlineStr">
        <is>
          <t xml:space="preserve">   Net Debt / Adjusted EBITDA (x)</t>
        </is>
      </c>
      <c r="O39" s="102" t="n">
        <v>0.949997409185486</v>
      </c>
      <c r="P39" s="103" t="n">
        <v>1.5</v>
      </c>
      <c r="Q39" s="103" t="n">
        <v>1.5</v>
      </c>
      <c r="R39" s="103" t="n">
        <v>1.5</v>
      </c>
      <c r="S39" s="103" t="n">
        <v>1.5</v>
      </c>
      <c r="T39" s="103" t="n">
        <v>1.5</v>
      </c>
      <c r="Z39" s="83" t="inlineStr">
        <is>
          <t xml:space="preserve">   Net Debt / Adjusted EBITDA (x)</t>
        </is>
      </c>
      <c r="AA39" s="102" t="n">
        <v>0.822365617018894</v>
      </c>
      <c r="AB39" s="103" t="n">
        <v>1.19850966314833</v>
      </c>
      <c r="AC39" s="103" t="n">
        <v>0.596015316026722</v>
      </c>
      <c r="AD39" s="103" t="n">
        <v>0.5</v>
      </c>
      <c r="AE39" s="103" t="n">
        <v>0.5</v>
      </c>
      <c r="AF39" s="103" t="n">
        <v>0.5</v>
      </c>
    </row>
    <row r="40" ht="15" customHeight="1" s="251">
      <c r="B40" s="252" t="inlineStr">
        <is>
          <t xml:space="preserve">   Share repurchases ($m; FY2026E = 2H)</t>
        </is>
      </c>
      <c r="C40" s="102" t="n"/>
      <c r="D40" s="248">
        <f>Model!X338</f>
        <v>498.197074631416</v>
      </c>
      <c r="E40" s="248">
        <f>Model!Y338</f>
        <v>11301.2340221065</v>
      </c>
      <c r="F40" s="248">
        <f>Model!Z338</f>
        <v>11604.2703277576</v>
      </c>
      <c r="G40" s="248">
        <f>Model!AA338</f>
        <v>12438.6560967082</v>
      </c>
      <c r="H40" s="248">
        <f>Model!AB338</f>
        <v>12783.2879537394</v>
      </c>
      <c r="N40" s="252" t="inlineStr">
        <is>
          <t xml:space="preserve">   Share repurchases ($m; FY2026E = 2H)</t>
        </is>
      </c>
      <c r="O40" s="102" t="n"/>
      <c r="P40" s="248" t="n">
        <v>9104.88054275984</v>
      </c>
      <c r="Q40" s="248" t="n">
        <v>14175.8367530415</v>
      </c>
      <c r="R40" s="248" t="n">
        <v>15203.4054530864</v>
      </c>
      <c r="S40" s="248" t="n">
        <v>16916.0298199468</v>
      </c>
      <c r="T40" s="248" t="n">
        <v>18051.3973545826</v>
      </c>
      <c r="Z40" s="83" t="n"/>
      <c r="AA40" s="102" t="n"/>
      <c r="AB40" s="103" t="n">
        <v>0</v>
      </c>
      <c r="AC40" s="103" t="n">
        <v>0</v>
      </c>
      <c r="AD40" s="103" t="n">
        <v>5961.50580808106</v>
      </c>
      <c r="AE40" s="103" t="n">
        <v>7136.22749521581</v>
      </c>
      <c r="AF40" s="103" t="n">
        <v>6712.24170865488</v>
      </c>
    </row>
    <row r="41" ht="15" customHeight="1" s="251">
      <c r="B41" s="252" t="inlineStr">
        <is>
          <t xml:space="preserve">   Implied avg buyback price ($)</t>
        </is>
      </c>
      <c r="C41" s="102" t="n"/>
      <c r="D41" s="249">
        <f>Model!X337</f>
        <v>332.64</v>
      </c>
      <c r="E41" s="249">
        <f>Model!Y337</f>
        <v>359.2512</v>
      </c>
      <c r="F41" s="249">
        <f>Model!Z337</f>
        <v>387.991296</v>
      </c>
      <c r="G41" s="249">
        <f>Model!AA337</f>
        <v>419.03059968</v>
      </c>
      <c r="H41" s="249">
        <f>Model!AB337</f>
        <v>452.5530476544</v>
      </c>
      <c r="N41" s="252" t="inlineStr">
        <is>
          <t xml:space="preserve">   Implied avg buyback price ($)</t>
        </is>
      </c>
      <c r="O41" s="102" t="n"/>
      <c r="P41" s="249" t="n">
        <v>332.64</v>
      </c>
      <c r="Q41" s="249" t="n">
        <v>359.2512</v>
      </c>
      <c r="R41" s="249" t="n">
        <v>387.991296</v>
      </c>
      <c r="S41" s="249" t="n">
        <v>419.03059968</v>
      </c>
      <c r="T41" s="249" t="n">
        <v>452.5530476544</v>
      </c>
      <c r="Z41" s="83" t="n"/>
      <c r="AA41" s="102" t="n"/>
      <c r="AB41" s="103" t="n">
        <v>332.64</v>
      </c>
      <c r="AC41" s="103" t="n">
        <v>359.2512</v>
      </c>
      <c r="AD41" s="103" t="n">
        <v>387.991296</v>
      </c>
      <c r="AE41" s="103" t="n">
        <v>419.03059968</v>
      </c>
      <c r="AF41" s="103" t="n">
        <v>452.5530476544</v>
      </c>
    </row>
    <row r="42" ht="15" customHeight="1" s="251">
      <c r="B42" s="252" t="inlineStr">
        <is>
          <t xml:space="preserve">   Shares repurchased (m)</t>
        </is>
      </c>
      <c r="C42" s="102" t="n"/>
      <c r="D42" s="250">
        <f>Model!X339</f>
        <v>1.49770645331715</v>
      </c>
      <c r="E42" s="250">
        <f>Model!Y339</f>
        <v>31.4577488456726</v>
      </c>
      <c r="F42" s="250">
        <f>Model!Z339</f>
        <v>29.9085841548301</v>
      </c>
      <c r="G42" s="250">
        <f>Model!AA339</f>
        <v>29.6843622069778</v>
      </c>
      <c r="H42" s="250">
        <f>Model!AB339</f>
        <v>28.2470486498669</v>
      </c>
      <c r="N42" s="252" t="inlineStr">
        <is>
          <t xml:space="preserve">   Shares repurchased (m)</t>
        </is>
      </c>
      <c r="O42" s="102" t="n"/>
      <c r="P42" s="250" t="n">
        <v>27.3715745032463</v>
      </c>
      <c r="Q42" s="250" t="n">
        <v>39.4593998657247</v>
      </c>
      <c r="R42" s="250" t="n">
        <v>39.1849137076683</v>
      </c>
      <c r="S42" s="250" t="n">
        <v>40.3694380144673</v>
      </c>
      <c r="T42" s="250" t="n">
        <v>39.887914683469</v>
      </c>
      <c r="Z42" s="83" t="n"/>
      <c r="AA42" s="102" t="n"/>
      <c r="AB42" s="103" t="n">
        <v>0</v>
      </c>
      <c r="AC42" s="103" t="n">
        <v>0</v>
      </c>
      <c r="AD42" s="103" t="n">
        <v>15.3650503749472</v>
      </c>
      <c r="AE42" s="103" t="n">
        <v>17.0303254718522</v>
      </c>
      <c r="AF42" s="103" t="n">
        <v>14.831944549804</v>
      </c>
    </row>
    <row r="44" ht="15" customHeight="1" s="251">
      <c r="B44" s="79" t="inlineStr">
        <is>
          <t>ROIC</t>
        </is>
      </c>
      <c r="C44" s="86">
        <f>Model!W447</f>
        <v>0.319357307428785</v>
      </c>
      <c r="D44" s="87">
        <f>Model!X447</f>
        <v>0.259259107013436</v>
      </c>
      <c r="E44" s="87">
        <f>Model!Y447</f>
        <v>0.299014781753659</v>
      </c>
      <c r="F44" s="87">
        <f>Model!Z447</f>
        <v>0.332086454164836</v>
      </c>
      <c r="G44" s="87">
        <f>Model!AA447</f>
        <v>0.365222134253178</v>
      </c>
      <c r="H44" s="87">
        <f>Model!AB447</f>
        <v>0.393017326834454</v>
      </c>
      <c r="J44" s="90">
        <f>IFERROR(AVERAGE(Model!C447,Model!H447,Model!M447,Model!R447),"")</f>
        <v>0.20880481269376</v>
      </c>
      <c r="K44" s="90">
        <f>IFERROR(MIN(Model!C447,Model!H447,Model!M447,Model!R447),"")</f>
        <v>0.117159298402874</v>
      </c>
      <c r="L44" s="90">
        <f>IFERROR(MAX(Model!C447,Model!H447,Model!M447,Model!R447),"")</f>
        <v>0.278151692664295</v>
      </c>
      <c r="N44" s="79" t="inlineStr">
        <is>
          <t>ROIC</t>
        </is>
      </c>
      <c r="O44" s="86" t="n">
        <v>0.323106042900957</v>
      </c>
      <c r="P44" s="87" t="n">
        <v>0.281344147525115</v>
      </c>
      <c r="Q44" s="87" t="n">
        <v>0.33308912761988</v>
      </c>
      <c r="R44" s="87" t="n">
        <v>0.380477004548155</v>
      </c>
      <c r="S44" s="87" t="n">
        <v>0.430984527796416</v>
      </c>
      <c r="T44" s="87" t="n">
        <v>0.478299211023061</v>
      </c>
      <c r="V44" s="90" t="n">
        <v>0.20880481269376</v>
      </c>
      <c r="W44" s="90" t="n">
        <v>0.117159298402874</v>
      </c>
      <c r="X44" s="90" t="n">
        <v>0.278151692664295</v>
      </c>
      <c r="Z44" s="79" t="inlineStr">
        <is>
          <t>ROIC</t>
        </is>
      </c>
      <c r="AA44" s="86" t="n">
        <v>0.315626367933577</v>
      </c>
      <c r="AB44" s="87" t="n">
        <v>0.219166805688806</v>
      </c>
      <c r="AC44" s="87" t="n">
        <v>0.237234643138333</v>
      </c>
      <c r="AD44" s="87" t="n">
        <v>0.249802692216861</v>
      </c>
      <c r="AE44" s="87" t="n">
        <v>0.260113660944095</v>
      </c>
      <c r="AF44" s="87" t="n">
        <v>0.265190291819831</v>
      </c>
      <c r="AH44" s="90" t="n">
        <v>0.20880481269376</v>
      </c>
      <c r="AI44" s="90" t="n">
        <v>0.117159298402874</v>
      </c>
      <c r="AJ44" s="90" t="n">
        <v>0.278151692664295</v>
      </c>
    </row>
    <row r="45" ht="15" customHeight="1" s="251">
      <c r="B45" s="79" t="inlineStr">
        <is>
          <t>RONTA</t>
        </is>
      </c>
      <c r="C45" s="86">
        <f>Model!W459</f>
        <v>0.326327872378999</v>
      </c>
      <c r="D45" s="87">
        <f>Model!X459</f>
        <v>0.35524766454526</v>
      </c>
      <c r="E45" s="87">
        <f>Model!Y459</f>
        <v>0.418040853575066</v>
      </c>
      <c r="F45" s="87">
        <f>Model!Z459</f>
        <v>0.477102645220323</v>
      </c>
      <c r="G45" s="87">
        <f>Model!AA459</f>
        <v>0.53911922538401</v>
      </c>
      <c r="H45" s="87">
        <f>Model!AB459</f>
        <v>0.595234602177457</v>
      </c>
      <c r="J45" s="90">
        <f>IFERROR(AVERAGE(Model!C459,Model!H459,Model!M459,Model!R459),"")</f>
        <v>0.220667414665652</v>
      </c>
      <c r="K45" s="90">
        <f>IFERROR(MIN(Model!C459,Model!H459,Model!M459,Model!R459),"")</f>
        <v>0.144096083150228</v>
      </c>
      <c r="L45" s="90">
        <f>IFERROR(MAX(Model!C459,Model!H459,Model!M459,Model!R459),"")</f>
        <v>0.282812867706118</v>
      </c>
      <c r="N45" s="79" t="inlineStr">
        <is>
          <t>RONTA</t>
        </is>
      </c>
      <c r="O45" s="86" t="n">
        <v>0.33017559039208</v>
      </c>
      <c r="P45" s="87" t="n">
        <v>0.390963077780478</v>
      </c>
      <c r="Q45" s="87" t="n">
        <v>0.479169449957457</v>
      </c>
      <c r="R45" s="87" t="n">
        <v>0.571222159925842</v>
      </c>
      <c r="S45" s="87" t="n">
        <v>0.676169038524839</v>
      </c>
      <c r="T45" s="87" t="n">
        <v>0.784011462228365</v>
      </c>
      <c r="V45" s="90" t="n">
        <v>0.220667414665652</v>
      </c>
      <c r="W45" s="90" t="n">
        <v>0.144096083150228</v>
      </c>
      <c r="X45" s="90" t="n">
        <v>0.282812867706118</v>
      </c>
      <c r="Z45" s="79" t="inlineStr">
        <is>
          <t>RONTA</t>
        </is>
      </c>
      <c r="AA45" s="86" t="n">
        <v>0.322498817176549</v>
      </c>
      <c r="AB45" s="87" t="n">
        <v>0.298553899804925</v>
      </c>
      <c r="AC45" s="87" t="n">
        <v>0.327779837093984</v>
      </c>
      <c r="AD45" s="87" t="n">
        <v>0.348723486630655</v>
      </c>
      <c r="AE45" s="87" t="n">
        <v>0.366580213301961</v>
      </c>
      <c r="AF45" s="87" t="n">
        <v>0.376777423839244</v>
      </c>
      <c r="AH45" s="90" t="n">
        <v>0.220667414665652</v>
      </c>
      <c r="AI45" s="90" t="n">
        <v>0.144096083150228</v>
      </c>
      <c r="AJ45" s="90" t="n">
        <v>0.282812867706118</v>
      </c>
    </row>
    <row r="47" ht="15" customHeight="1" s="251">
      <c r="B47" s="83" t="inlineStr">
        <is>
          <t>Implied Market Cap (USDm)</t>
        </is>
      </c>
      <c r="E47" s="104" t="n"/>
      <c r="F47" s="104">
        <f>IF(ISNUMBER(F27),F27*F21,"")</f>
      </c>
      <c r="G47" s="104">
        <f>IF(ISNUMBER(G27),G27*G21,"")</f>
        <v>471832.272427656</v>
      </c>
      <c r="H47" s="104">
        <f>IF(ISNUMBER(H27),H27*H21,"")</f>
        <v>510265.946590737</v>
      </c>
      <c r="N47" s="83" t="inlineStr">
        <is>
          <t>Implied Market Cap (USDm)</t>
        </is>
      </c>
      <c r="Q47" s="104" t="n"/>
      <c r="R47" s="104">
        <f>IF(ISNUMBER(R27),R27*R21,"")</f>
      </c>
      <c r="S47" s="104">
        <f>IF(ISNUMBER(S27),S27*S21,"")</f>
        <v>640539.952854261</v>
      </c>
      <c r="T47" s="104">
        <f>IF(ISNUMBER(T27),T27*T21,"")</f>
        <v>712905.437603917</v>
      </c>
      <c r="Z47" s="83" t="inlineStr">
        <is>
          <t>Implied Market Cap (USDm)</t>
        </is>
      </c>
      <c r="AC47" s="104" t="n"/>
      <c r="AD47" s="104">
        <f>IF(ISNUMBER(AD27),AD27*AD21,"")</f>
        <v>253594.933767068</v>
      </c>
      <c r="AE47" s="104">
        <f>IF(ISNUMBER(AE27),AE27*AE21,"")</f>
        <v>265950.727404134</v>
      </c>
      <c r="AF47" s="104">
        <f>IF(ISNUMBER(AF27),AF27*AF21,"")</f>
        <v>273808.321599389</v>
      </c>
    </row>
    <row r="48" ht="15" customHeight="1" s="251">
      <c r="B48" s="83" t="inlineStr">
        <is>
          <t>(+) Net Debt &amp; NCI</t>
        </is>
      </c>
      <c r="E48" s="104" t="n"/>
      <c r="F48" s="104">
        <f>IF(ISNUMBER(F27),F38+Model!Z377,"")</f>
      </c>
      <c r="G48" s="104">
        <f>IF(ISNUMBER(G27),G38+Model!AA377,"")</f>
        <v>19424.4985623119</v>
      </c>
      <c r="H48" s="104">
        <f>IF(ISNUMBER(H27),H38+Model!AB377,"")</f>
        <v>20885.9147947557</v>
      </c>
      <c r="N48" s="83" t="inlineStr">
        <is>
          <t>(+) Net Debt &amp; NCI</t>
        </is>
      </c>
      <c r="Q48" s="104" t="n"/>
      <c r="R48" s="104">
        <f>IF(ISNUMBER(R27),R38+Model!Z377,"")</f>
      </c>
      <c r="S48" s="104">
        <f>IF(ISNUMBER(S27),S38+Model!AA377,"")</f>
        <v>34084.2968930779</v>
      </c>
      <c r="T48" s="104">
        <f>IF(ISNUMBER(T27),T38+Model!AB377,"")</f>
        <v>37716.9198267252</v>
      </c>
      <c r="Z48" s="83" t="inlineStr">
        <is>
          <t>(+) Net Debt &amp; NCI</t>
        </is>
      </c>
      <c r="AC48" s="104" t="n"/>
      <c r="AD48" s="104">
        <f>IF(ISNUMBER(AD27),AD38+Model!Z377,"")</f>
        <v>7173.57165843904</v>
      </c>
      <c r="AE48" s="104">
        <f>IF(ISNUMBER(AE27),AE38+Model!AA377,"")</f>
        <v>7465.00236200066</v>
      </c>
      <c r="AF48" s="104">
        <f>IF(ISNUMBER(AF27),AF38+Model!AB377,"")</f>
        <v>7640.3685569974</v>
      </c>
    </row>
    <row r="49" ht="15" customHeight="1" s="251">
      <c r="B49" s="83" t="inlineStr">
        <is>
          <t>Implied Enterprise Value (USDm)</t>
        </is>
      </c>
      <c r="E49" s="104" t="n"/>
      <c r="F49" s="104">
        <f>IF(ISNUMBER(F27),F47+F48,"")</f>
      </c>
      <c r="G49" s="104">
        <f>IF(ISNUMBER(G27),G47+G48,"")</f>
        <v>491256.770989968</v>
      </c>
      <c r="H49" s="104">
        <f>IF(ISNUMBER(H27),H47+H48,"")</f>
        <v>531151.861385492</v>
      </c>
      <c r="N49" s="83" t="inlineStr">
        <is>
          <t>Implied Enterprise Value (USDm)</t>
        </is>
      </c>
      <c r="Q49" s="104" t="n"/>
      <c r="R49" s="104">
        <f>IF(ISNUMBER(R27),R47+R48,"")</f>
      </c>
      <c r="S49" s="104">
        <f>IF(ISNUMBER(S27),S47+S48,"")</f>
        <v>674624.249747339</v>
      </c>
      <c r="T49" s="104">
        <f>IF(ISNUMBER(T27),T47+T48,"")</f>
        <v>750622.357430643</v>
      </c>
      <c r="Z49" s="83" t="inlineStr">
        <is>
          <t>Implied Enterprise Value (USDm)</t>
        </is>
      </c>
      <c r="AC49" s="104" t="n"/>
      <c r="AD49" s="104">
        <f>IF(ISNUMBER(AD27),AD47+AD48,"")</f>
        <v>260768.505425507</v>
      </c>
      <c r="AE49" s="104">
        <f>IF(ISNUMBER(AE27),AE47+AE48,"")</f>
        <v>273415.729766135</v>
      </c>
      <c r="AF49" s="104">
        <f>IF(ISNUMBER(AF27),AF47+AF48,"")</f>
        <v>281448.690156386</v>
      </c>
    </row>
    <row r="50" ht="15" customHeight="1" s="251">
      <c r="B50" s="83" t="inlineStr">
        <is>
          <t>Implied EV / Adjusted EBITDA (x)</t>
        </is>
      </c>
      <c r="E50" s="105" t="n"/>
      <c r="F50" s="105">
        <f>IFERROR(F49/F35,"")</f>
      </c>
      <c r="G50" s="105">
        <f>IFERROR(G49/G35,"")</f>
        <v>25.5896240541667</v>
      </c>
      <c r="H50" s="105">
        <f>IFERROR(H49/H35,"")</f>
        <v>25.7105403000319</v>
      </c>
      <c r="N50" s="83" t="inlineStr">
        <is>
          <t>Implied EV / Adjusted EBITDA (x)</t>
        </is>
      </c>
      <c r="Q50" s="105" t="n"/>
      <c r="R50" s="105">
        <f>IFERROR(R49/R35,"")</f>
      </c>
      <c r="S50" s="105">
        <f>IFERROR(S49/S35,"")</f>
        <v>29.8882801487882</v>
      </c>
      <c r="T50" s="105">
        <f>IFERROR(T49/T35,"")</f>
        <v>30.0329672976076</v>
      </c>
      <c r="Z50" s="83" t="inlineStr">
        <is>
          <t>Implied EV / Adjusted EBITDA (x)</t>
        </is>
      </c>
      <c r="AC50" s="105" t="n"/>
      <c r="AD50" s="105">
        <f>IFERROR(AD49/AD35,"")</f>
        <v>18.769582914236</v>
      </c>
      <c r="AE50" s="105">
        <f>IFERROR(AE49/AE35,"")</f>
        <v>18.8875131625793</v>
      </c>
      <c r="AF50" s="105">
        <f>IFERROR(AF49/AF35,"")</f>
        <v>18.9825103117752</v>
      </c>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Q130"/>
  <sheetViews>
    <sheetView showGridLines="0" zoomScale="50" zoomScaleNormal="50" workbookViewId="0">
      <selection activeCell="D61" sqref="D61"/>
    </sheetView>
  </sheetViews>
  <sheetFormatPr baseColWidth="8" defaultColWidth="8.5703125" defaultRowHeight="15"/>
  <cols>
    <col width="3.42578125" customWidth="1" style="251" min="1" max="1"/>
    <col width="55.28515625" customWidth="1" style="251" min="2" max="2"/>
    <col width="12.5703125" customWidth="1" style="251" min="3" max="14"/>
    <col width="2.28515625" customWidth="1" style="251" min="15" max="15"/>
    <col width="14.85546875" customWidth="1" style="251" min="16" max="17"/>
  </cols>
  <sheetData>
    <row r="1">
      <c r="A1" s="192" t="n"/>
      <c r="B1" s="192" t="n"/>
      <c r="C1" s="192" t="n"/>
      <c r="D1" s="192" t="n"/>
      <c r="E1" s="192" t="n"/>
      <c r="F1" s="192" t="n"/>
      <c r="G1" s="192" t="n"/>
      <c r="H1" s="192" t="n"/>
      <c r="I1" s="192" t="n"/>
      <c r="J1" s="192" t="n"/>
      <c r="K1" s="192" t="n"/>
      <c r="L1" s="192" t="n"/>
      <c r="M1" s="192" t="n"/>
      <c r="N1" s="192" t="n"/>
      <c r="O1" s="192" t="n"/>
      <c r="P1" s="192" t="n"/>
      <c r="Q1" s="192" t="n"/>
    </row>
    <row r="2" ht="24" customHeight="1" s="251">
      <c r="A2" s="192" t="n"/>
      <c r="B2" s="193" t="inlineStr">
        <is>
          <t>DCF VALUATION — GENERAL ELECTRIC COMPANY, OPERATING AS GE AEROSPACE (GE)</t>
        </is>
      </c>
      <c r="C2" s="194" t="n"/>
      <c r="D2" s="194" t="n"/>
      <c r="E2" s="194" t="n"/>
      <c r="F2" s="194" t="n"/>
      <c r="G2" s="194" t="n"/>
      <c r="H2" s="194" t="n"/>
      <c r="I2" s="194" t="n"/>
      <c r="J2" s="194" t="n"/>
      <c r="K2" s="194" t="n"/>
      <c r="L2" s="194" t="n"/>
      <c r="M2" s="194" t="n"/>
      <c r="N2" s="194" t="n"/>
      <c r="O2" s="192" t="n"/>
      <c r="P2" s="192" t="n"/>
      <c r="Q2" s="192" t="n"/>
    </row>
    <row r="3" ht="15" customHeight="1" s="251">
      <c r="A3" s="192" t="n"/>
      <c r="B3" s="192" t="n"/>
      <c r="C3" s="192" t="n"/>
      <c r="D3" s="192" t="n"/>
      <c r="E3" s="192" t="n"/>
      <c r="F3" s="192" t="n"/>
      <c r="G3" s="192" t="n"/>
      <c r="H3" s="192" t="n"/>
      <c r="I3" s="192" t="n"/>
      <c r="J3" s="192" t="n"/>
      <c r="K3" s="192" t="n"/>
      <c r="L3" s="192" t="n"/>
      <c r="M3" s="192" t="n"/>
      <c r="N3" s="192" t="n"/>
      <c r="O3" s="192" t="n"/>
      <c r="P3" s="192" t="n"/>
      <c r="Q3" s="192" t="n"/>
    </row>
    <row r="4" ht="15.75" customHeight="1" s="251">
      <c r="A4" s="192" t="n"/>
      <c r="B4" s="195" t="inlineStr">
        <is>
          <t>1. WACC BUILD</t>
        </is>
      </c>
      <c r="C4" s="196" t="n"/>
      <c r="D4" s="196" t="n"/>
      <c r="E4" s="196" t="n"/>
      <c r="F4" s="196" t="n"/>
      <c r="G4" s="196" t="n"/>
      <c r="H4" s="196" t="n"/>
      <c r="I4" s="196" t="n"/>
      <c r="J4" s="196" t="n"/>
      <c r="K4" s="196" t="n"/>
      <c r="L4" s="196" t="n"/>
      <c r="M4" s="196" t="n"/>
      <c r="N4" s="196" t="n"/>
      <c r="O4" s="192" t="n"/>
      <c r="P4" s="192" t="n"/>
      <c r="Q4" s="192" t="n"/>
    </row>
    <row r="5" ht="15.75" customHeight="1" s="251">
      <c r="A5" s="192" t="n"/>
      <c r="B5" s="197" t="inlineStr">
        <is>
          <t>Risk-free rate (US 10Y govt)</t>
        </is>
      </c>
      <c r="C5" s="169" t="n">
        <v>0.0425</v>
      </c>
      <c r="D5" s="198" t="inlineStr">
        <is>
          <t>Assumption (~US 10Y Treasury yield, Oct-2026; government rate sources not reachable from the build environment); update to market</t>
        </is>
      </c>
      <c r="E5" s="192" t="n"/>
      <c r="F5" s="192" t="n"/>
      <c r="G5" s="192" t="n"/>
      <c r="H5" s="192" t="n"/>
      <c r="I5" s="192" t="n"/>
      <c r="J5" s="192" t="n"/>
      <c r="K5" s="192" t="n"/>
      <c r="L5" s="192" t="n"/>
      <c r="M5" s="192" t="n"/>
      <c r="N5" s="192" t="n"/>
      <c r="O5" s="192" t="n"/>
      <c r="P5" s="192" t="n"/>
      <c r="Q5" s="192" t="n"/>
    </row>
    <row r="6" ht="15.75" customHeight="1" s="251">
      <c r="A6" s="192" t="n"/>
      <c r="B6" s="197" t="inlineStr">
        <is>
          <t>Equity risk premium</t>
        </is>
      </c>
      <c r="C6" s="169" t="n">
        <v>0.05</v>
      </c>
      <c r="D6" s="198" t="inlineStr">
        <is>
          <t>Assumption: US implied ERP ~4.5–5.5%</t>
        </is>
      </c>
      <c r="E6" s="192" t="n"/>
      <c r="F6" s="192" t="n"/>
      <c r="G6" s="192" t="n"/>
      <c r="H6" s="192" t="n"/>
      <c r="I6" s="192" t="n"/>
      <c r="J6" s="192" t="n"/>
      <c r="K6" s="192" t="n"/>
      <c r="L6" s="192" t="n"/>
      <c r="M6" s="192" t="n"/>
      <c r="N6" s="192" t="n"/>
      <c r="O6" s="192" t="n"/>
      <c r="P6" s="192" t="n"/>
      <c r="Q6" s="192" t="n"/>
    </row>
    <row r="7" ht="15.75" customHeight="1" s="251">
      <c r="A7" s="192" t="n"/>
      <c r="B7" s="197" t="inlineStr">
        <is>
          <t>Levered beta</t>
        </is>
      </c>
      <c r="C7" s="170" t="n">
        <v>1.1</v>
      </c>
      <c r="D7" s="198" t="inlineStr">
        <is>
          <t>Assumption: aero-engine and aerospace peers (RTX, Safran, Rolls-Royce, MTU, HEI, TDG) ~1.0–1.3; long-cycle services annuity vs airline-traffic and production-rate cyclicality</t>
        </is>
      </c>
      <c r="E7" s="192" t="n"/>
      <c r="F7" s="192" t="n"/>
      <c r="G7" s="192" t="n"/>
      <c r="H7" s="192" t="n"/>
      <c r="I7" s="192" t="n"/>
      <c r="J7" s="192" t="n"/>
      <c r="K7" s="192" t="n"/>
      <c r="L7" s="192" t="n"/>
      <c r="M7" s="192" t="n"/>
      <c r="N7" s="192" t="n"/>
      <c r="O7" s="192" t="n"/>
      <c r="P7" s="192" t="n"/>
      <c r="Q7" s="192" t="n"/>
    </row>
    <row r="8" ht="15.75" customHeight="1" s="251">
      <c r="A8" s="192" t="n"/>
      <c r="B8" s="197" t="inlineStr">
        <is>
          <t>Cost of equity</t>
        </is>
      </c>
      <c r="C8" s="171">
        <f>C5+C7*C6</f>
        <v>0.0975</v>
      </c>
      <c r="D8" s="198" t="n"/>
      <c r="E8" s="192" t="n"/>
      <c r="F8" s="192" t="n"/>
      <c r="G8" s="192" t="n"/>
      <c r="H8" s="192" t="n"/>
      <c r="I8" s="192" t="n"/>
      <c r="J8" s="192" t="n"/>
      <c r="K8" s="192" t="n"/>
      <c r="L8" s="192" t="n"/>
      <c r="M8" s="192" t="n"/>
      <c r="N8" s="192" t="n"/>
      <c r="O8" s="192" t="n"/>
      <c r="P8" s="192" t="n"/>
      <c r="Q8" s="192" t="n"/>
    </row>
    <row r="9" ht="15.75" customHeight="1" s="251">
      <c r="A9" s="192" t="n"/>
      <c r="B9" s="197" t="inlineStr">
        <is>
          <t>Pre-tax cost of debt</t>
        </is>
      </c>
      <c r="C9" s="169" t="n">
        <v>0.05</v>
      </c>
      <c r="D9" s="198" t="inlineStr">
        <is>
          <t>A2 / A- ratings (Q2-26 10-Q); 2025 senior notes at 4.3% (2030) and 4.9% (2036); CPP acquisition debt (2027E) assumed ~5%</t>
        </is>
      </c>
      <c r="E9" s="192" t="n"/>
      <c r="F9" s="192" t="n"/>
      <c r="G9" s="192" t="n"/>
      <c r="H9" s="192" t="n"/>
      <c r="I9" s="192" t="n"/>
      <c r="J9" s="192" t="n"/>
      <c r="K9" s="192" t="n"/>
      <c r="L9" s="192" t="n"/>
      <c r="M9" s="192" t="n"/>
      <c r="N9" s="192" t="n"/>
      <c r="O9" s="192" t="n"/>
      <c r="P9" s="192" t="n"/>
      <c r="Q9" s="192" t="n"/>
    </row>
    <row r="10" ht="15.75" customHeight="1" s="251">
      <c r="A10" s="192" t="n"/>
      <c r="B10" s="197" t="inlineStr">
        <is>
          <t>Tax rate</t>
        </is>
      </c>
      <c r="C10" s="169" t="n">
        <v>0.17</v>
      </c>
      <c r="D10" s="198" t="inlineStr">
        <is>
          <t>Model 2027E+ adjusted effective tax rate (FY2025 adjusted 17.3%; H1-26 15.7%)</t>
        </is>
      </c>
      <c r="E10" s="192" t="n"/>
      <c r="F10" s="192" t="n"/>
      <c r="G10" s="192" t="n"/>
      <c r="H10" s="192" t="n"/>
      <c r="I10" s="192" t="n"/>
      <c r="J10" s="192" t="n"/>
      <c r="K10" s="192" t="n"/>
      <c r="L10" s="192" t="n"/>
      <c r="M10" s="192" t="n"/>
      <c r="N10" s="192" t="n"/>
      <c r="O10" s="192" t="n"/>
      <c r="P10" s="192" t="n"/>
      <c r="Q10" s="192" t="n"/>
    </row>
    <row r="11" ht="15.75" customHeight="1" s="251">
      <c r="A11" s="192" t="n"/>
      <c r="B11" s="197" t="inlineStr">
        <is>
          <t>After-tax cost of debt</t>
        </is>
      </c>
      <c r="C11" s="171">
        <f>C9*(1-C10)</f>
        <v>0.0415</v>
      </c>
      <c r="D11" s="198" t="n"/>
      <c r="E11" s="192" t="n"/>
      <c r="F11" s="192" t="n"/>
      <c r="G11" s="192" t="n"/>
      <c r="H11" s="192" t="n"/>
      <c r="I11" s="192" t="n"/>
      <c r="J11" s="192" t="n"/>
      <c r="K11" s="192" t="n"/>
      <c r="L11" s="192" t="n"/>
      <c r="M11" s="192" t="n"/>
      <c r="N11" s="192" t="n"/>
      <c r="O11" s="192" t="n"/>
      <c r="P11" s="192" t="n"/>
      <c r="Q11" s="192" t="n"/>
    </row>
    <row r="12" ht="15.75" customHeight="1" s="251">
      <c r="A12" s="192" t="n"/>
      <c r="B12" s="197" t="inlineStr">
        <is>
          <t>Target D/V</t>
        </is>
      </c>
      <c r="C12" s="169" t="n">
        <v>0.05</v>
      </c>
      <c r="D12" s="198" t="inlineStr">
        <is>
          <t>Net debt ~$10bn at 30-Jun-2026 (~$15bn pro forma for CPP) vs ~$320bn market cap ($308.00 × ~1,043m diluted shares)</t>
        </is>
      </c>
      <c r="E12" s="192" t="n"/>
      <c r="F12" s="192" t="n"/>
      <c r="G12" s="192" t="n"/>
      <c r="H12" s="192" t="n"/>
      <c r="I12" s="192" t="n"/>
      <c r="J12" s="192" t="n"/>
      <c r="K12" s="192" t="n"/>
      <c r="L12" s="192" t="n"/>
      <c r="M12" s="192" t="n"/>
      <c r="N12" s="192" t="n"/>
      <c r="O12" s="192" t="n"/>
      <c r="P12" s="192" t="n"/>
      <c r="Q12" s="192" t="n"/>
    </row>
    <row r="13" ht="15.75" customHeight="1" s="251">
      <c r="A13" s="192" t="n"/>
      <c r="B13" s="199" t="inlineStr">
        <is>
          <t>WACC</t>
        </is>
      </c>
      <c r="C13" s="216">
        <f>C8*(1-C12)+C11*C12</f>
        <v>0.0947</v>
      </c>
      <c r="D13" s="198" t="n"/>
      <c r="E13" s="192" t="n"/>
      <c r="F13" s="192" t="n"/>
      <c r="G13" s="192" t="n"/>
      <c r="H13" s="192" t="n"/>
      <c r="I13" s="192" t="n"/>
      <c r="J13" s="192" t="n"/>
      <c r="K13" s="192" t="n"/>
      <c r="L13" s="192" t="n"/>
      <c r="M13" s="192" t="n"/>
      <c r="N13" s="192" t="n"/>
      <c r="O13" s="192" t="n"/>
      <c r="P13" s="192" t="n"/>
      <c r="Q13" s="192" t="n"/>
    </row>
    <row r="14" ht="15" customHeight="1" s="251">
      <c r="A14" s="192" t="n"/>
      <c r="B14" s="192" t="n"/>
      <c r="C14" s="192" t="n"/>
      <c r="D14" s="198" t="n"/>
      <c r="E14" s="192" t="n"/>
      <c r="F14" s="192" t="n"/>
      <c r="G14" s="192" t="n"/>
      <c r="H14" s="192" t="n"/>
      <c r="I14" s="192" t="n"/>
      <c r="J14" s="192" t="n"/>
      <c r="K14" s="192" t="n"/>
      <c r="L14" s="192" t="n"/>
      <c r="M14" s="192" t="n"/>
      <c r="N14" s="192" t="n"/>
      <c r="O14" s="192" t="n"/>
      <c r="P14" s="192" t="n"/>
      <c r="Q14" s="192" t="n"/>
    </row>
    <row r="15" ht="15.75" customHeight="1" s="251">
      <c r="A15" s="192" t="n"/>
      <c r="B15" s="197" t="inlineStr">
        <is>
          <t>Valuation date (live)</t>
        </is>
      </c>
      <c r="C15" s="172" t="str">
        <f>TODAY()</f>
        <v>2026-10-13 00:00:00</v>
      </c>
      <c r="D15" s="198" t="inlineStr">
        <is>
          <t>Periods = (31-Dec of the fiscal year − today) / 365.25; cash flows assumed at year end; FY2026E (ends 31-Dec-2026, ~3 months after the valuation date) is the base year</t>
        </is>
      </c>
      <c r="E15" s="192" t="n"/>
      <c r="F15" s="192" t="n"/>
      <c r="G15" s="192" t="n"/>
      <c r="H15" s="192" t="n"/>
      <c r="I15" s="192" t="n"/>
      <c r="J15" s="192" t="n"/>
      <c r="K15" s="192" t="n"/>
      <c r="L15" s="192" t="n"/>
      <c r="M15" s="192" t="n"/>
      <c r="N15" s="192" t="n"/>
      <c r="O15" s="192" t="n"/>
      <c r="P15" s="192" t="n"/>
      <c r="Q15" s="192" t="n"/>
    </row>
    <row r="16" ht="15.75" customHeight="1" s="251">
      <c r="A16" s="192" t="n"/>
      <c r="B16" s="195" t="inlineStr">
        <is>
          <t>2. UNLEVERED FREE CASH FLOW BUILD (USDm)</t>
        </is>
      </c>
      <c r="C16" s="196" t="n"/>
      <c r="D16" s="196" t="n"/>
      <c r="E16" s="196" t="n"/>
      <c r="F16" s="196" t="n"/>
      <c r="G16" s="196" t="n"/>
      <c r="H16" s="196" t="n"/>
      <c r="I16" s="196" t="n"/>
      <c r="J16" s="196" t="n"/>
      <c r="K16" s="196" t="n"/>
      <c r="L16" s="196" t="n"/>
      <c r="M16" s="196" t="n"/>
      <c r="N16" s="196" t="n"/>
      <c r="O16" s="192" t="n"/>
      <c r="P16" s="201" t="n"/>
      <c r="Q16" s="201" t="n"/>
    </row>
    <row r="17" ht="15.75" customHeight="1" s="251">
      <c r="A17" s="192" t="n"/>
      <c r="B17" s="194" t="n"/>
      <c r="C17" s="194" t="n"/>
      <c r="D17" s="203" t="inlineStr">
        <is>
          <t>2027E</t>
        </is>
      </c>
      <c r="E17" s="203" t="inlineStr">
        <is>
          <t>2028E</t>
        </is>
      </c>
      <c r="F17" s="203" t="inlineStr">
        <is>
          <t>2029E</t>
        </is>
      </c>
      <c r="G17" s="203" t="inlineStr">
        <is>
          <t>2030E</t>
        </is>
      </c>
      <c r="H17" s="203" t="inlineStr">
        <is>
          <t>2031E</t>
        </is>
      </c>
      <c r="I17" s="203" t="inlineStr">
        <is>
          <t>2032E</t>
        </is>
      </c>
      <c r="J17" s="203" t="inlineStr">
        <is>
          <t>2033E</t>
        </is>
      </c>
      <c r="K17" s="203" t="inlineStr">
        <is>
          <t>2034E</t>
        </is>
      </c>
      <c r="L17" s="203" t="inlineStr">
        <is>
          <t>2035E</t>
        </is>
      </c>
      <c r="M17" s="203" t="inlineStr">
        <is>
          <t>2036E</t>
        </is>
      </c>
      <c r="N17" s="203" t="inlineStr">
        <is>
          <t>Terminal</t>
        </is>
      </c>
      <c r="O17" s="192" t="n"/>
      <c r="P17" s="204" t="inlineStr">
        <is>
          <t>CAGR 27–31E</t>
        </is>
      </c>
      <c r="Q17" s="204" t="inlineStr">
        <is>
          <t>CAGR 27–36E</t>
        </is>
      </c>
    </row>
    <row r="18" ht="15.75" customHeight="1" s="251">
      <c r="A18" s="192" t="n"/>
      <c r="B18" s="197" t="inlineStr">
        <is>
          <t>Operating profit (full-cost) less restructuring &amp; separation costs</t>
        </is>
      </c>
      <c r="C18" s="192" t="n"/>
      <c r="D18" s="173">
        <f>Model!X229-Model!X231</f>
        <v>12107.8761404799</v>
      </c>
      <c r="E18" s="173">
        <f>Model!Y229-Model!Y231</f>
        <v>13645.8194974289</v>
      </c>
      <c r="F18" s="173">
        <f>Model!Z229-Model!Z231</f>
        <v>15355.5432845883</v>
      </c>
      <c r="G18" s="173">
        <f>Model!AA229-Model!AA231</f>
        <v>16916.2627588511</v>
      </c>
      <c r="H18" s="173">
        <f>Model!AB229-Model!AB231</f>
        <v>18277.7890159846</v>
      </c>
      <c r="I18" s="174">
        <f>H18*(1+I$26)</f>
        <v>19922.7900274233</v>
      </c>
      <c r="J18" s="174">
        <f>I18*(1+J$26)</f>
        <v>21516.6132296171</v>
      </c>
      <c r="K18" s="174">
        <f>J18*(1+K$26)</f>
        <v>23022.7761556903</v>
      </c>
      <c r="L18" s="174">
        <f>K18*(1+L$26)</f>
        <v>24404.1427250318</v>
      </c>
      <c r="M18" s="174">
        <f>L18*(1+M$26)</f>
        <v>25624.3498612833</v>
      </c>
      <c r="N18" s="192" t="n"/>
      <c r="O18" s="192" t="n"/>
      <c r="P18" s="176">
        <f>IFERROR((H18/D18)^(1/(COLUMNS(D18:H18)-1))-1,"n/m")</f>
        <v>0.108444422833308</v>
      </c>
      <c r="Q18" s="176">
        <f>IFERROR((M18/D18)^(1/(COLUMNS(D18:M18)-1))-1,"n/m")</f>
        <v>0.0868662385168144</v>
      </c>
    </row>
    <row r="19" ht="15.75" customHeight="1" s="251">
      <c r="A19" s="192" t="n"/>
      <c r="B19" s="197" t="inlineStr">
        <is>
          <t>× (1 − tax rate)</t>
        </is>
      </c>
      <c r="C19" s="192" t="n"/>
      <c r="D19" s="177">
        <f>1-$C$10</f>
        <v>0.83</v>
      </c>
      <c r="E19" s="177">
        <f>1-$C$10</f>
        <v>0.83</v>
      </c>
      <c r="F19" s="177">
        <f>1-$C$10</f>
        <v>0.83</v>
      </c>
      <c r="G19" s="177">
        <f>1-$C$10</f>
        <v>0.83</v>
      </c>
      <c r="H19" s="177">
        <f>1-$C$10</f>
        <v>0.83</v>
      </c>
      <c r="I19" s="177">
        <f>1-$C$10</f>
        <v>0.83</v>
      </c>
      <c r="J19" s="177">
        <f>1-$C$10</f>
        <v>0.83</v>
      </c>
      <c r="K19" s="177">
        <f>1-$C$10</f>
        <v>0.83</v>
      </c>
      <c r="L19" s="177">
        <f>1-$C$10</f>
        <v>0.83</v>
      </c>
      <c r="M19" s="177">
        <f>1-$C$10</f>
        <v>0.83</v>
      </c>
      <c r="N19" s="192" t="n"/>
      <c r="O19" s="192" t="n"/>
      <c r="P19" s="176" t="n"/>
      <c r="Q19" s="176" t="n"/>
    </row>
    <row r="20" ht="15.75" customHeight="1" s="251">
      <c r="A20" s="192" t="n"/>
      <c r="B20" s="199" t="inlineStr">
        <is>
          <t>NOPAT</t>
        </is>
      </c>
      <c r="C20" s="192" t="n"/>
      <c r="D20" s="174">
        <f>D18*D19</f>
        <v>10049.5371965983</v>
      </c>
      <c r="E20" s="174">
        <f>E18*E19</f>
        <v>11326.030182866</v>
      </c>
      <c r="F20" s="174">
        <f>F18*F19</f>
        <v>12745.1009262083</v>
      </c>
      <c r="G20" s="174">
        <f>G18*G19</f>
        <v>14040.4980898464</v>
      </c>
      <c r="H20" s="174">
        <f>H18*H19</f>
        <v>15170.5648832673</v>
      </c>
      <c r="I20" s="174">
        <f>I18*I19</f>
        <v>16535.9157227613</v>
      </c>
      <c r="J20" s="174">
        <f>J18*J19</f>
        <v>17858.7889805822</v>
      </c>
      <c r="K20" s="174">
        <f>K18*K19</f>
        <v>19108.904209223</v>
      </c>
      <c r="L20" s="174">
        <f>L18*L19</f>
        <v>20255.4384617764</v>
      </c>
      <c r="M20" s="174">
        <f>M18*M19</f>
        <v>21268.2103848652</v>
      </c>
      <c r="N20" s="192" t="n"/>
      <c r="O20" s="192" t="n"/>
      <c r="P20" s="176" t="n"/>
      <c r="Q20" s="176" t="n"/>
    </row>
    <row r="21" ht="15.75" customHeight="1" s="251">
      <c r="A21" s="192" t="n"/>
      <c r="B21" s="197" t="inlineStr">
        <is>
          <t>plus D&amp;A (PP&amp;E depreciation + amortization of intangibles, incl. CPP PPA)</t>
        </is>
      </c>
      <c r="C21" s="192" t="n"/>
      <c r="D21" s="173">
        <f>Model!X132</f>
        <v>1520.10691527739</v>
      </c>
      <c r="E21" s="173">
        <f>Model!Y132</f>
        <v>1937.8800446835</v>
      </c>
      <c r="F21" s="173">
        <f>Model!Z132</f>
        <v>2069.53939190587</v>
      </c>
      <c r="G21" s="173">
        <f>Model!AA132</f>
        <v>2181.23580346083</v>
      </c>
      <c r="H21" s="173">
        <f>Model!AB132</f>
        <v>2281.12577877105</v>
      </c>
      <c r="I21" s="174">
        <f>H21*(1+I$26)</f>
        <v>2486.42709886045</v>
      </c>
      <c r="J21" s="174">
        <f>I21*(1+J$26)</f>
        <v>2685.34126676929</v>
      </c>
      <c r="K21" s="174">
        <f>J21*(1+K$26)</f>
        <v>2873.31515544314</v>
      </c>
      <c r="L21" s="174">
        <f>K21*(1+L$26)</f>
        <v>3045.71406476972</v>
      </c>
      <c r="M21" s="174">
        <f>L21*(1+M$26)</f>
        <v>3197.99976800821</v>
      </c>
      <c r="N21" s="192" t="n"/>
      <c r="O21" s="192" t="n"/>
      <c r="P21" s="176" t="n"/>
      <c r="Q21" s="176" t="n"/>
    </row>
    <row r="22" ht="15.75" customHeight="1" s="251">
      <c r="A22" s="192" t="n"/>
      <c r="B22" s="197" t="inlineStr">
        <is>
          <t>− Capex (PP&amp;E) and acquisitions (CPP $11.75bn in 2027E; M&amp;A lever)</t>
        </is>
      </c>
      <c r="C22" s="192" t="n"/>
      <c r="D22" s="173">
        <f>Model!X309+Model!X311</f>
        <v>-13440.3661820169</v>
      </c>
      <c r="E22" s="173">
        <f>Model!Y309+Model!Y311</f>
        <v>-2018.8856892915</v>
      </c>
      <c r="F22" s="173">
        <f>Model!Z309+Model!Z311</f>
        <v>-2615.99374468852</v>
      </c>
      <c r="G22" s="173">
        <f>Model!AA309+Model!AA311</f>
        <v>-2698.83884756973</v>
      </c>
      <c r="H22" s="173">
        <f>Model!AB309+Model!AB311</f>
        <v>-2839.59507805956</v>
      </c>
      <c r="I22" s="174">
        <f>Model!AB309*(1+I$26)</f>
        <v>-2550.15863508492</v>
      </c>
      <c r="J22" s="174">
        <f>I22*(1+J$26)</f>
        <v>-2754.17132589171</v>
      </c>
      <c r="K22" s="174">
        <f>J22*(1+K$26)</f>
        <v>-2946.96331870413</v>
      </c>
      <c r="L22" s="174">
        <f>K22*(1+L$26)</f>
        <v>-3123.78111782638</v>
      </c>
      <c r="M22" s="174">
        <f>L22*(1+M$26)</f>
        <v>-3279.9701737177</v>
      </c>
      <c r="N22" s="192" t="n"/>
      <c r="O22" s="192" t="n"/>
      <c r="P22" s="176" t="n"/>
      <c r="Q22" s="176" t="n"/>
    </row>
    <row r="23" ht="15.75" customHeight="1" s="251">
      <c r="A23" s="192" t="n"/>
      <c r="B23" s="197" t="inlineStr">
        <is>
          <t>− Δ Working capital (CF statement)</t>
        </is>
      </c>
      <c r="C23" s="192" t="n"/>
      <c r="D23" s="173">
        <f>Model!X306</f>
        <v>1302.96632090899</v>
      </c>
      <c r="E23" s="173">
        <f>Model!Y306</f>
        <v>1361.97093350072</v>
      </c>
      <c r="F23" s="173">
        <f>Model!Z306</f>
        <v>1079.42789634003</v>
      </c>
      <c r="G23" s="173">
        <f>Model!AA306</f>
        <v>1045.42149875481</v>
      </c>
      <c r="H23" s="173">
        <f>Model!AB306</f>
        <v>968.018904520577</v>
      </c>
      <c r="I23" s="174">
        <f>H23*(1+I$26)</f>
        <v>1055.14060592743</v>
      </c>
      <c r="J23" s="174">
        <f>I23*(1+J$26)</f>
        <v>1139.55185440162</v>
      </c>
      <c r="K23" s="174">
        <f>J23*(1+K$26)</f>
        <v>1219.32048420974</v>
      </c>
      <c r="L23" s="174">
        <f>K23*(1+L$26)</f>
        <v>1292.47971326232</v>
      </c>
      <c r="M23" s="174">
        <f>L23*(1+M$26)</f>
        <v>1357.10369892544</v>
      </c>
      <c r="N23" s="192" t="n"/>
      <c r="O23" s="192" t="n"/>
      <c r="P23" s="176" t="n"/>
      <c r="Q23" s="176" t="n"/>
    </row>
    <row r="24" ht="15.75" customHeight="1" s="251">
      <c r="A24" s="192" t="n"/>
      <c r="B24" s="217" t="inlineStr">
        <is>
          <t>Unlevered FCF</t>
        </is>
      </c>
      <c r="C24" s="218" t="n"/>
      <c r="D24" s="219">
        <f>D20+D21+D22+D23</f>
        <v>-567.755749232243</v>
      </c>
      <c r="E24" s="219">
        <f>E20+E21+E22+E23</f>
        <v>12606.9954717587</v>
      </c>
      <c r="F24" s="219">
        <f>F20+F21+F22+F23</f>
        <v>13278.0744697656</v>
      </c>
      <c r="G24" s="219">
        <f>G20+G21+G22+G23</f>
        <v>14568.3165444923</v>
      </c>
      <c r="H24" s="219">
        <f>H20+H21+H22+H23</f>
        <v>15580.1144884993</v>
      </c>
      <c r="I24" s="219">
        <f>I20+I21+I22+I23</f>
        <v>17527.3247924643</v>
      </c>
      <c r="J24" s="219">
        <f>J20+J21+J22+J23</f>
        <v>18929.5107758614</v>
      </c>
      <c r="K24" s="219">
        <f>K20+K21+K22+K23</f>
        <v>20254.5765301717</v>
      </c>
      <c r="L24" s="219">
        <f>L20+L21+L22+L23</f>
        <v>21469.851121982</v>
      </c>
      <c r="M24" s="219">
        <f>M20+M21+M22+M23</f>
        <v>22543.3436780811</v>
      </c>
      <c r="N24" s="219">
        <f>M24*(1+$C$27)</f>
        <v>23332.360706814</v>
      </c>
      <c r="O24" s="192" t="n"/>
      <c r="P24" s="181" t="str">
        <f>IFERROR((H24/D24)^(1/(COLUMNS(D24:H24)-1))-1,"n/m")</f>
        <v>n/m</v>
      </c>
      <c r="Q24" s="181">
        <f>IFERROR((M24/D24)^(1/(COLUMNS(D24:M24)-1))-1,"n/m")</f>
        <v>-2.50539598910787</v>
      </c>
    </row>
    <row r="25" ht="15.75" customHeight="1" s="251">
      <c r="A25" s="192" t="n"/>
      <c r="B25" s="199" t="inlineStr">
        <is>
          <t>Terminal Value (Gordon Growth)</t>
        </is>
      </c>
      <c r="C25" s="192" t="n"/>
      <c r="D25" s="192" t="n"/>
      <c r="E25" s="192" t="n"/>
      <c r="F25" s="192" t="n"/>
      <c r="G25" s="192" t="n"/>
      <c r="H25" s="192" t="n"/>
      <c r="I25" s="192" t="n"/>
      <c r="J25" s="192" t="n"/>
      <c r="K25" s="192" t="n"/>
      <c r="L25" s="192" t="n"/>
      <c r="M25" s="192" t="n"/>
      <c r="N25" s="179">
        <f>N24/($C$13-$C$27)</f>
        <v>390826.812509447</v>
      </c>
      <c r="O25" s="192" t="n"/>
      <c r="P25" s="192" t="n"/>
      <c r="Q25" s="192" t="n"/>
    </row>
    <row r="26" ht="15.75" customHeight="1" s="251">
      <c r="A26" s="192" t="n"/>
      <c r="B26" s="197" t="inlineStr">
        <is>
          <t>Fade-period growth (2032E–36E; 9.0% → 5.0% linear)</t>
        </is>
      </c>
      <c r="C26" s="192" t="n"/>
      <c r="D26" s="192" t="n"/>
      <c r="E26" s="192" t="n"/>
      <c r="F26" s="192" t="n"/>
      <c r="G26" s="192" t="n"/>
      <c r="H26" s="192" t="n"/>
      <c r="I26" s="182" t="n">
        <v>0.09</v>
      </c>
      <c r="J26" s="183">
        <f>I26+($M$26-$I$26)/4</f>
        <v>0.08</v>
      </c>
      <c r="K26" s="183">
        <f>J26+($M$26-$I$26)/4</f>
        <v>0.07</v>
      </c>
      <c r="L26" s="183">
        <f>K26+($M$26-$I$26)/4</f>
        <v>0.06</v>
      </c>
      <c r="M26" s="182" t="n">
        <v>0.05</v>
      </c>
      <c r="N26" s="192" t="n"/>
      <c r="O26" s="192" t="n"/>
      <c r="P26" s="192" t="n"/>
      <c r="Q26" s="192" t="n"/>
    </row>
    <row r="27" ht="15.75" customHeight="1" s="251">
      <c r="A27" s="192" t="n"/>
      <c r="B27" s="197" t="inlineStr">
        <is>
          <t>Terminal growth rate</t>
        </is>
      </c>
      <c r="C27" s="184" t="n">
        <v>0.035</v>
      </c>
      <c r="D27" s="192" t="n"/>
      <c r="E27" s="192" t="n"/>
      <c r="F27" s="192" t="n"/>
      <c r="G27" s="192" t="n"/>
      <c r="H27" s="192" t="n"/>
      <c r="I27" s="192" t="n"/>
      <c r="J27" s="192" t="n"/>
      <c r="K27" s="192" t="n"/>
      <c r="L27" s="192" t="n"/>
      <c r="M27" s="192" t="n"/>
      <c r="N27" s="192" t="n"/>
      <c r="O27" s="192" t="n"/>
      <c r="P27" s="192" t="n"/>
      <c r="Q27" s="192" t="n"/>
    </row>
    <row r="28" ht="15" customHeight="1" s="251">
      <c r="A28" s="192" t="n"/>
      <c r="B28" s="192" t="n"/>
      <c r="C28" s="192" t="n"/>
      <c r="D28" s="192" t="n"/>
      <c r="E28" s="192" t="n"/>
      <c r="F28" s="192" t="n"/>
      <c r="G28" s="192" t="n"/>
      <c r="H28" s="192" t="n"/>
      <c r="I28" s="192" t="n"/>
      <c r="J28" s="192" t="n"/>
      <c r="K28" s="192" t="n"/>
      <c r="L28" s="192" t="n"/>
      <c r="M28" s="192" t="n"/>
      <c r="N28" s="192" t="n"/>
      <c r="O28" s="192" t="n"/>
      <c r="P28" s="192" t="n"/>
      <c r="Q28" s="192" t="n"/>
    </row>
    <row r="29" ht="15.75" customHeight="1" s="251">
      <c r="A29" s="192" t="n"/>
      <c r="B29" s="197" t="inlineStr">
        <is>
          <t>Discount period (years)</t>
        </is>
      </c>
      <c r="C29" s="192" t="n"/>
      <c r="D29" s="177">
        <f>(DATE(2027,12,31)-$C$15)/365.25</f>
        <v>1.21560574948665</v>
      </c>
      <c r="E29" s="177">
        <f>(DATE(2028,12,31)-$C$15)/365.25</f>
        <v>2.217659137577</v>
      </c>
      <c r="F29" s="177">
        <f>(DATE(2029,12,31)-$C$15)/365.25</f>
        <v>3.21697467488022</v>
      </c>
      <c r="G29" s="177">
        <f>(DATE(2030,12,31)-$C$15)/365.25</f>
        <v>4.21629021218344</v>
      </c>
      <c r="H29" s="177">
        <f>(DATE(2031,12,31)-$C$15)/365.25</f>
        <v>5.21560574948665</v>
      </c>
      <c r="I29" s="177">
        <f>(DATE(2032,12,31)-$C$15)/365.25</f>
        <v>6.217659137577</v>
      </c>
      <c r="J29" s="177">
        <f>(DATE(2033,12,31)-$C$15)/365.25</f>
        <v>7.21697467488022</v>
      </c>
      <c r="K29" s="177">
        <f>(DATE(2034,12,31)-$C$15)/365.25</f>
        <v>8.21629021218344</v>
      </c>
      <c r="L29" s="177">
        <f>(DATE(2035,12,31)-$C$15)/365.25</f>
        <v>9.21560574948665</v>
      </c>
      <c r="M29" s="177">
        <f>(DATE(2036,12,31)-$C$15)/365.25</f>
        <v>10.217659137577</v>
      </c>
      <c r="N29" s="177">
        <f>M29</f>
        <v>10.217659137577</v>
      </c>
      <c r="O29" s="192" t="n"/>
      <c r="P29" s="192" t="n"/>
      <c r="Q29" s="192" t="n"/>
    </row>
    <row r="30" ht="15.75" customHeight="1" s="251">
      <c r="A30" s="192" t="n"/>
      <c r="B30" s="197" t="inlineStr">
        <is>
          <t>Discount factor</t>
        </is>
      </c>
      <c r="C30" s="192" t="n"/>
      <c r="D30" s="185">
        <f>1/(1+$C$13)^D29</f>
        <v>0.89584449345792</v>
      </c>
      <c r="E30" s="185">
        <f>1/(1+$C$13)^E29</f>
        <v>0.818195002122798</v>
      </c>
      <c r="F30" s="185">
        <f>1/(1+$C$13)^F29</f>
        <v>0.747461107935802</v>
      </c>
      <c r="G30" s="185">
        <f>1/(1+$C$13)^G29</f>
        <v>0.682842239841456</v>
      </c>
      <c r="H30" s="185">
        <f>1/(1+$C$13)^H29</f>
        <v>0.623809746836679</v>
      </c>
      <c r="I30" s="185">
        <f>1/(1+$C$13)^I29</f>
        <v>0.569739526072371</v>
      </c>
      <c r="J30" s="185">
        <f>1/(1+$C$13)^J29</f>
        <v>0.520484892095392</v>
      </c>
      <c r="K30" s="185">
        <f>1/(1+$C$13)^K29</f>
        <v>0.475488377587375</v>
      </c>
      <c r="L30" s="185">
        <f>1/(1+$C$13)^L29</f>
        <v>0.434381863247699</v>
      </c>
      <c r="M30" s="185">
        <f>1/(1+$C$13)^M29</f>
        <v>0.396730763115139</v>
      </c>
      <c r="N30" s="185">
        <f>1/(1+$C$13)^N29</f>
        <v>0.396730763115139</v>
      </c>
      <c r="O30" s="192" t="n"/>
      <c r="P30" s="192" t="n"/>
      <c r="Q30" s="192" t="n"/>
    </row>
    <row r="31" ht="15.75" customHeight="1" s="251">
      <c r="A31" s="192" t="n"/>
      <c r="B31" s="220" t="inlineStr">
        <is>
          <t>PV of UFCF</t>
        </is>
      </c>
      <c r="C31" s="221" t="n"/>
      <c r="D31" s="222">
        <f>D24*D30</f>
        <v>-508.62086157878</v>
      </c>
      <c r="E31" s="222">
        <f>E24*E30</f>
        <v>10314.9806867777</v>
      </c>
      <c r="F31" s="222">
        <f>F24*F30</f>
        <v>9924.84425442511</v>
      </c>
      <c r="G31" s="222">
        <f>G24*G30</f>
        <v>9947.86189996046</v>
      </c>
      <c r="H31" s="222">
        <f>H24*H30</f>
        <v>9719.02727475725</v>
      </c>
      <c r="I31" s="222">
        <f>I24*I30</f>
        <v>9986.00972057512</v>
      </c>
      <c r="J31" s="222">
        <f>J24*J30</f>
        <v>9852.52437359278</v>
      </c>
      <c r="K31" s="222">
        <f>K24*K30</f>
        <v>9630.81573305066</v>
      </c>
      <c r="L31" s="222">
        <f>L24*L30</f>
        <v>9326.11393401724</v>
      </c>
      <c r="M31" s="222">
        <f>M24*M30</f>
        <v>8943.63794057197</v>
      </c>
      <c r="N31" s="222">
        <f>N25*N30</f>
        <v>155053.01957273</v>
      </c>
      <c r="O31" s="192" t="n"/>
      <c r="P31" s="192" t="n"/>
      <c r="Q31" s="192" t="n"/>
    </row>
    <row r="32" ht="15" customHeight="1" s="251">
      <c r="A32" s="192" t="n"/>
      <c r="B32" s="192" t="n"/>
      <c r="C32" s="192" t="n"/>
      <c r="D32" s="198" t="inlineStr">
        <is>
          <t>GE Aerospace operating profit already deducts amortization of intangibles and stock-based compensation (neither is adjusted out); D&amp;A is added back in row 21. Restructuring and separation costs (cash; excluded from operating profit) are deducted in row 18. Run-off insurance, U.S. tax equity and non-operating pension income are excluded from NOPAT, and the insurance balance sheet from net debt. Row 22 includes the $11.75bn CPP consideration in FY2027E (its operating profit is in NOPAT from closing) and bolt-ons from the M&amp;A lever; the fade period and terminal value assume no further acquisitions.</t>
        </is>
      </c>
      <c r="E32" s="192" t="n"/>
      <c r="F32" s="192" t="n"/>
      <c r="G32" s="192" t="n"/>
      <c r="H32" s="192" t="n"/>
      <c r="I32" s="192" t="n"/>
      <c r="J32" s="192" t="n"/>
      <c r="K32" s="192" t="n"/>
      <c r="L32" s="192" t="n"/>
      <c r="M32" s="192" t="n"/>
      <c r="N32" s="192" t="n"/>
      <c r="O32" s="192" t="n"/>
      <c r="P32" s="192" t="n"/>
      <c r="Q32" s="192" t="n"/>
    </row>
    <row r="33" ht="15.75" customHeight="1" s="251">
      <c r="A33" s="192" t="n"/>
      <c r="B33" s="195" t="inlineStr">
        <is>
          <t>IMPLIED ROIC — invested capital roll-forward (USDm)</t>
        </is>
      </c>
      <c r="C33" s="195" t="n"/>
      <c r="D33" s="195" t="n"/>
      <c r="E33" s="195" t="n"/>
      <c r="F33" s="195" t="n"/>
      <c r="G33" s="195" t="n"/>
      <c r="H33" s="195" t="n"/>
      <c r="I33" s="195" t="n"/>
      <c r="J33" s="195" t="n"/>
      <c r="K33" s="195" t="n"/>
      <c r="L33" s="195" t="n"/>
      <c r="M33" s="195" t="n"/>
      <c r="N33" s="195" t="n"/>
      <c r="O33" s="192" t="n"/>
      <c r="P33" s="192" t="n"/>
      <c r="Q33" s="192" t="n"/>
    </row>
    <row r="34" ht="15.75" customHeight="1" s="251">
      <c r="A34" s="192" t="n"/>
      <c r="B34" s="197" t="inlineStr">
        <is>
          <t>Opening invested capital</t>
        </is>
      </c>
      <c r="C34" s="192" t="n"/>
      <c r="D34" s="173">
        <f>Model!W444</f>
        <v>27995.445</v>
      </c>
      <c r="E34" s="174">
        <f>D38</f>
        <v>38612.7379458306</v>
      </c>
      <c r="F34" s="174">
        <f>E38</f>
        <v>37331.7726569378</v>
      </c>
      <c r="G34" s="174">
        <f>F38</f>
        <v>36798.7991133805</v>
      </c>
      <c r="H34" s="174">
        <f>G38</f>
        <v>36270.9806587345</v>
      </c>
      <c r="I34" s="174">
        <f>H38</f>
        <v>35861.4310535025</v>
      </c>
      <c r="J34" s="174">
        <f>I38</f>
        <v>34870.0219837995</v>
      </c>
      <c r="K34" s="174">
        <f>J38</f>
        <v>33799.3001885203</v>
      </c>
      <c r="L34" s="174">
        <f>K38</f>
        <v>32653.6278675716</v>
      </c>
      <c r="M34" s="174">
        <f>L38</f>
        <v>31439.2152073659</v>
      </c>
      <c r="N34" s="174" t="n"/>
      <c r="O34" s="192" t="n"/>
      <c r="P34" s="192" t="n"/>
      <c r="Q34" s="192" t="n"/>
    </row>
    <row r="35" ht="15.75" customHeight="1" s="251">
      <c r="A35" s="192" t="n"/>
      <c r="B35" s="197" t="inlineStr">
        <is>
          <t>plus Capex and acquisitions</t>
        </is>
      </c>
      <c r="C35" s="192" t="n"/>
      <c r="D35" s="174">
        <f>-D22</f>
        <v>13440.3661820169</v>
      </c>
      <c r="E35" s="174">
        <f>-E22</f>
        <v>2018.8856892915</v>
      </c>
      <c r="F35" s="174">
        <f>-F22</f>
        <v>2615.99374468852</v>
      </c>
      <c r="G35" s="174">
        <f>-G22</f>
        <v>2698.83884756973</v>
      </c>
      <c r="H35" s="174">
        <f>-H22</f>
        <v>2839.59507805956</v>
      </c>
      <c r="I35" s="174">
        <f>-I22</f>
        <v>2550.15863508492</v>
      </c>
      <c r="J35" s="174">
        <f>-J22</f>
        <v>2754.17132589171</v>
      </c>
      <c r="K35" s="174">
        <f>-K22</f>
        <v>2946.96331870413</v>
      </c>
      <c r="L35" s="174">
        <f>-L22</f>
        <v>3123.78111782638</v>
      </c>
      <c r="M35" s="174">
        <f>-M22</f>
        <v>3279.9701737177</v>
      </c>
      <c r="N35" s="174" t="n"/>
      <c r="O35" s="192" t="n"/>
      <c r="P35" s="192" t="n"/>
      <c r="Q35" s="192" t="n"/>
    </row>
    <row r="36" ht="15.75" customHeight="1" s="251">
      <c r="A36" s="192" t="n"/>
      <c r="B36" s="197" t="inlineStr">
        <is>
          <t>less DD&amp;A</t>
        </is>
      </c>
      <c r="C36" s="192" t="n"/>
      <c r="D36" s="174">
        <f>-D21</f>
        <v>-1520.10691527739</v>
      </c>
      <c r="E36" s="174">
        <f>-E21</f>
        <v>-1937.8800446835</v>
      </c>
      <c r="F36" s="174">
        <f>-F21</f>
        <v>-2069.53939190587</v>
      </c>
      <c r="G36" s="174">
        <f>-G21</f>
        <v>-2181.23580346083</v>
      </c>
      <c r="H36" s="174">
        <f>-H21</f>
        <v>-2281.12577877105</v>
      </c>
      <c r="I36" s="174">
        <f>-I21</f>
        <v>-2486.42709886045</v>
      </c>
      <c r="J36" s="174">
        <f>-J21</f>
        <v>-2685.34126676929</v>
      </c>
      <c r="K36" s="174">
        <f>-K21</f>
        <v>-2873.31515544314</v>
      </c>
      <c r="L36" s="174">
        <f>-L21</f>
        <v>-3045.71406476972</v>
      </c>
      <c r="M36" s="174">
        <f>-M21</f>
        <v>-3197.99976800821</v>
      </c>
      <c r="N36" s="174" t="n"/>
      <c r="O36" s="192" t="n"/>
      <c r="P36" s="192" t="n"/>
      <c r="Q36" s="192" t="n"/>
    </row>
    <row r="37" ht="15.75" customHeight="1" s="251">
      <c r="A37" s="192" t="n"/>
      <c r="B37" s="197" t="inlineStr">
        <is>
          <t>plus Δ Working capital investment</t>
        </is>
      </c>
      <c r="C37" s="192" t="n"/>
      <c r="D37" s="174">
        <f>-D23</f>
        <v>-1302.96632090899</v>
      </c>
      <c r="E37" s="174">
        <f>-E23</f>
        <v>-1361.97093350072</v>
      </c>
      <c r="F37" s="174">
        <f>-F23</f>
        <v>-1079.42789634003</v>
      </c>
      <c r="G37" s="174">
        <f>-G23</f>
        <v>-1045.42149875481</v>
      </c>
      <c r="H37" s="174">
        <f>-H23</f>
        <v>-968.018904520577</v>
      </c>
      <c r="I37" s="174">
        <f>-I23</f>
        <v>-1055.14060592743</v>
      </c>
      <c r="J37" s="174">
        <f>-J23</f>
        <v>-1139.55185440162</v>
      </c>
      <c r="K37" s="174">
        <f>-K23</f>
        <v>-1219.32048420974</v>
      </c>
      <c r="L37" s="174">
        <f>-L23</f>
        <v>-1292.47971326232</v>
      </c>
      <c r="M37" s="174">
        <f>-M23</f>
        <v>-1357.10369892544</v>
      </c>
      <c r="N37" s="174" t="n"/>
      <c r="O37" s="192" t="n"/>
      <c r="P37" s="192" t="n"/>
      <c r="Q37" s="192" t="n"/>
    </row>
    <row r="38" ht="15.75" customHeight="1" s="251">
      <c r="A38" s="192" t="n"/>
      <c r="B38" s="223" t="inlineStr">
        <is>
          <t>Closing invested capital</t>
        </is>
      </c>
      <c r="C38" s="223" t="n"/>
      <c r="D38" s="224">
        <f>SUM(D34:D37)</f>
        <v>38612.7379458306</v>
      </c>
      <c r="E38" s="224">
        <f>SUM(E34:E37)</f>
        <v>37331.7726569378</v>
      </c>
      <c r="F38" s="224">
        <f>SUM(F34:F37)</f>
        <v>36798.7991133805</v>
      </c>
      <c r="G38" s="224">
        <f>SUM(G34:G37)</f>
        <v>36270.9806587345</v>
      </c>
      <c r="H38" s="224">
        <f>SUM(H34:H37)</f>
        <v>35861.4310535025</v>
      </c>
      <c r="I38" s="224">
        <f>SUM(I34:I37)</f>
        <v>34870.0219837995</v>
      </c>
      <c r="J38" s="224">
        <f>SUM(J34:J37)</f>
        <v>33799.3001885203</v>
      </c>
      <c r="K38" s="224">
        <f>SUM(K34:K37)</f>
        <v>32653.6278675716</v>
      </c>
      <c r="L38" s="224">
        <f>SUM(L34:L37)</f>
        <v>31439.2152073659</v>
      </c>
      <c r="M38" s="224">
        <f>SUM(M34:M37)</f>
        <v>30164.08191415</v>
      </c>
      <c r="N38" s="178" t="n"/>
      <c r="O38" s="192" t="n"/>
      <c r="P38" s="192" t="n"/>
      <c r="Q38" s="192" t="n"/>
    </row>
    <row r="39" ht="15.75" customHeight="1" s="251">
      <c r="A39" s="192" t="n"/>
      <c r="B39" s="197" t="inlineStr">
        <is>
          <t>NOPAT (row 20)</t>
        </is>
      </c>
      <c r="C39" s="192" t="n"/>
      <c r="D39" s="174">
        <f>D20</f>
        <v>10049.5371965983</v>
      </c>
      <c r="E39" s="174">
        <f>E20</f>
        <v>11326.030182866</v>
      </c>
      <c r="F39" s="174">
        <f>F20</f>
        <v>12745.1009262083</v>
      </c>
      <c r="G39" s="174">
        <f>G20</f>
        <v>14040.4980898464</v>
      </c>
      <c r="H39" s="174">
        <f>H20</f>
        <v>15170.5648832673</v>
      </c>
      <c r="I39" s="174">
        <f>I20</f>
        <v>16535.9157227613</v>
      </c>
      <c r="J39" s="174">
        <f>J20</f>
        <v>17858.7889805822</v>
      </c>
      <c r="K39" s="174">
        <f>K20</f>
        <v>19108.904209223</v>
      </c>
      <c r="L39" s="174">
        <f>L20</f>
        <v>20255.4384617764</v>
      </c>
      <c r="M39" s="174">
        <f>M20</f>
        <v>21268.2103848652</v>
      </c>
      <c r="N39" s="174" t="n"/>
      <c r="O39" s="192" t="n"/>
      <c r="P39" s="192" t="n"/>
      <c r="Q39" s="192" t="n"/>
    </row>
    <row r="40" ht="15.75" customHeight="1" s="251">
      <c r="A40" s="192" t="n"/>
      <c r="B40" s="200" t="inlineStr">
        <is>
          <t>Implied ROIC (NOPAT / avg. invested capital)</t>
        </is>
      </c>
      <c r="C40" s="200" t="n"/>
      <c r="D40" s="180">
        <f>IFERROR(D39/AVERAGE(D34,D38),"")</f>
        <v>0.301750828566248</v>
      </c>
      <c r="E40" s="180">
        <f>IFERROR(E39/AVERAGE(E34,E38),"")</f>
        <v>0.298271200721995</v>
      </c>
      <c r="F40" s="180">
        <f>IFERROR(F39/AVERAGE(F34,F38),"")</f>
        <v>0.343855459949693</v>
      </c>
      <c r="G40" s="180">
        <f>IFERROR(G39/AVERAGE(G34,G38),"")</f>
        <v>0.384303829398006</v>
      </c>
      <c r="H40" s="180">
        <f>IFERROR(H39/AVERAGE(H34,H38),"")</f>
        <v>0.420631017961475</v>
      </c>
      <c r="I40" s="180">
        <f>IFERROR(I39/AVERAGE(I34,I38),"")</f>
        <v>0.467568953066486</v>
      </c>
      <c r="J40" s="180">
        <f>IFERROR(J39/AVERAGE(J34,J38),"")</f>
        <v>0.520138787325353</v>
      </c>
      <c r="K40" s="180">
        <f>IFERROR(K39/AVERAGE(K34,K38),"")</f>
        <v>0.575110977595854</v>
      </c>
      <c r="L40" s="180">
        <f>IFERROR(L39/AVERAGE(L34,L38),"")</f>
        <v>0.632065531500722</v>
      </c>
      <c r="M40" s="180">
        <f>IFERROR(M39/AVERAGE(M34,M38),"")</f>
        <v>0.690489352961497</v>
      </c>
      <c r="N40" s="180" t="n"/>
      <c r="O40" s="192" t="n"/>
      <c r="P40" s="192" t="n"/>
      <c r="Q40" s="192" t="n"/>
    </row>
    <row r="41" ht="15.75" customHeight="1" s="251">
      <c r="A41" s="192" t="n"/>
      <c r="B41" s="197" t="inlineStr">
        <is>
          <t>Reinvestment rate (net investment / NOPAT)</t>
        </is>
      </c>
      <c r="C41" s="192" t="n"/>
      <c r="D41" s="175">
        <f>IFERROR(SUM(D35:D37)/D39,"")</f>
        <v>1.0564957110089</v>
      </c>
      <c r="E41" s="175">
        <f>IFERROR(SUM(E35:E37)/E39,"")</f>
        <v>-0.113099229669241</v>
      </c>
      <c r="F41" s="175">
        <f>IFERROR(SUM(F35:F37)/F39,"")</f>
        <v>-0.0418179147143043</v>
      </c>
      <c r="G41" s="175">
        <f>IFERROR(SUM(G35:G37)/G39,"")</f>
        <v>-0.0375925733737049</v>
      </c>
      <c r="H41" s="175">
        <f>IFERROR(SUM(H35:H37)/H39,"")</f>
        <v>-0.0269963319351275</v>
      </c>
      <c r="I41" s="175">
        <f>IFERROR(SUM(I35:I37)/I39,"")</f>
        <v>-0.0599548937189071</v>
      </c>
      <c r="J41" s="175">
        <f>IFERROR(SUM(J35:J37)/J39,"")</f>
        <v>-0.0599548937189071</v>
      </c>
      <c r="K41" s="175">
        <f>IFERROR(SUM(K35:K37)/K39,"")</f>
        <v>-0.0599548937189071</v>
      </c>
      <c r="L41" s="175">
        <f>IFERROR(SUM(L35:L37)/L39,"")</f>
        <v>-0.0599548937189071</v>
      </c>
      <c r="M41" s="175">
        <f>IFERROR(SUM(M35:M37)/M39,"")</f>
        <v>-0.0599548937189071</v>
      </c>
      <c r="N41" s="175" t="n"/>
      <c r="O41" s="192" t="n"/>
      <c r="P41" s="192" t="n"/>
      <c r="Q41" s="192" t="n"/>
    </row>
    <row r="42" ht="15.75" customHeight="1" s="251">
      <c r="A42" s="192" t="n"/>
      <c r="B42" s="197" t="inlineStr">
        <is>
          <t>Implied terminal RONIC (g / reinvestment rate)</t>
        </is>
      </c>
      <c r="C42" s="192" t="n"/>
      <c r="D42" s="175" t="n"/>
      <c r="E42" s="175" t="n"/>
      <c r="F42" s="175" t="n"/>
      <c r="G42" s="175" t="n"/>
      <c r="H42" s="175" t="n"/>
      <c r="I42" s="175" t="n"/>
      <c r="J42" s="175" t="n"/>
      <c r="K42" s="175" t="n"/>
      <c r="L42" s="175" t="n"/>
      <c r="M42" s="175" t="n"/>
      <c r="N42" s="175">
        <f>IFERROR($C$27/M41,"")</f>
        <v>-0.583772196546528</v>
      </c>
      <c r="O42" s="192" t="n"/>
      <c r="P42" s="192" t="n"/>
      <c r="Q42" s="192" t="n"/>
    </row>
    <row r="43" ht="15" customHeight="1" s="251">
      <c r="A43" s="192" t="n"/>
      <c r="B43" s="192" t="n"/>
      <c r="C43" s="192" t="n"/>
      <c r="D43" s="198" t="inlineStr">
        <is>
          <t>Opening IC = Model FY2026E book IC (equity + net debt at 31-Dec-2026E), rolled forward with capex + acquisitions − D&amp;A + ΔWC.</t>
        </is>
      </c>
      <c r="E43" s="192" t="n"/>
      <c r="F43" s="192" t="n"/>
      <c r="G43" s="192" t="n"/>
      <c r="H43" s="192" t="n"/>
      <c r="I43" s="192" t="n"/>
      <c r="J43" s="192" t="n"/>
      <c r="K43" s="192" t="n"/>
      <c r="L43" s="192" t="n"/>
      <c r="M43" s="192" t="n"/>
      <c r="N43" s="192" t="n"/>
      <c r="O43" s="192" t="n"/>
      <c r="P43" s="192" t="n"/>
      <c r="Q43" s="192" t="n"/>
    </row>
    <row r="44" ht="15.75" customHeight="1" s="251">
      <c r="A44" s="192" t="n"/>
      <c r="B44" s="195" t="inlineStr">
        <is>
          <t>3. VALUATION SUMMARY</t>
        </is>
      </c>
      <c r="C44" s="196" t="n"/>
      <c r="D44" s="196" t="n"/>
      <c r="E44" s="196" t="n"/>
      <c r="F44" s="196" t="n"/>
      <c r="G44" s="196" t="n"/>
      <c r="H44" s="196" t="n"/>
      <c r="I44" s="196" t="n"/>
      <c r="J44" s="196" t="n"/>
      <c r="K44" s="196" t="n"/>
      <c r="L44" s="196" t="n"/>
      <c r="M44" s="196" t="n"/>
      <c r="N44" s="196" t="n"/>
      <c r="O44" s="192" t="n"/>
      <c r="P44" s="192" t="n"/>
      <c r="Q44" s="192" t="n"/>
    </row>
    <row r="45" ht="15.75" customHeight="1" s="251">
      <c r="A45" s="192" t="n"/>
      <c r="B45" s="197" t="inlineStr">
        <is>
          <t>Sum of PV (explicit + fade)</t>
        </is>
      </c>
      <c r="C45" s="174">
        <f>SUM(D31:M31)</f>
        <v>87137.1949561496</v>
      </c>
      <c r="D45" s="192" t="n"/>
      <c r="E45" s="192" t="n"/>
      <c r="F45" s="192" t="n"/>
      <c r="G45" s="192" t="n"/>
      <c r="H45" s="192" t="n"/>
      <c r="I45" s="192" t="n"/>
      <c r="J45" s="192" t="n"/>
      <c r="K45" s="192" t="n"/>
      <c r="L45" s="192" t="n"/>
      <c r="M45" s="192" t="n"/>
      <c r="N45" s="192" t="n"/>
      <c r="O45" s="192" t="n"/>
      <c r="P45" s="192" t="n"/>
      <c r="Q45" s="192" t="n"/>
    </row>
    <row r="46" ht="15.75" customHeight="1" s="251">
      <c r="A46" s="192" t="n"/>
      <c r="B46" s="197" t="inlineStr">
        <is>
          <t>PV of Terminal Value</t>
        </is>
      </c>
      <c r="C46" s="174">
        <f>N31</f>
        <v>155053.01957273</v>
      </c>
      <c r="D46" s="192" t="n"/>
      <c r="E46" s="192" t="n"/>
      <c r="F46" s="192" t="n"/>
      <c r="G46" s="192" t="n"/>
      <c r="H46" s="192" t="n"/>
      <c r="I46" s="192" t="n"/>
      <c r="J46" s="192" t="n"/>
      <c r="K46" s="192" t="n"/>
      <c r="L46" s="192" t="n"/>
      <c r="M46" s="192" t="n"/>
      <c r="N46" s="192" t="n"/>
      <c r="O46" s="192" t="n"/>
      <c r="P46" s="192" t="n"/>
      <c r="Q46" s="192" t="n"/>
    </row>
    <row r="47" ht="15.75" customHeight="1" s="251">
      <c r="A47" s="192" t="n"/>
      <c r="B47" s="199" t="inlineStr">
        <is>
          <t>Enterprise Value</t>
        </is>
      </c>
      <c r="C47" s="219">
        <f>C45+C46</f>
        <v>242190.21452888</v>
      </c>
      <c r="D47" s="192" t="n"/>
      <c r="E47" s="192" t="n"/>
      <c r="F47" s="192" t="n"/>
      <c r="G47" s="192" t="n"/>
      <c r="H47" s="192" t="n"/>
      <c r="I47" s="192" t="n"/>
      <c r="J47" s="192" t="n"/>
      <c r="K47" s="192" t="n"/>
      <c r="L47" s="192" t="n"/>
      <c r="M47" s="192" t="n"/>
      <c r="N47" s="192" t="n"/>
      <c r="O47" s="192" t="n"/>
      <c r="P47" s="192" t="n"/>
      <c r="Q47" s="192" t="n"/>
    </row>
    <row r="48" ht="15.75" customHeight="1" s="251">
      <c r="A48" s="192" t="n"/>
      <c r="B48" s="197" t="inlineStr">
        <is>
          <t>Less: Net debt + NCI (Model FY2026E year end, 31-Dec-2026)</t>
        </is>
      </c>
      <c r="C48" s="173">
        <f>Model!W465+Model!W377</f>
        <v>10785.1448661161</v>
      </c>
      <c r="D48" s="198" t="inlineStr">
        <is>
          <t>GE Aerospace: NCI ~$0.2bn; net debt at the base-year end so that FY2027E+ cash flows are not double counted. Run-off insurance (investment securities vs insurance liabilities) not deducted (assumed self-funding).</t>
        </is>
      </c>
      <c r="E48" s="192" t="n"/>
      <c r="F48" s="192" t="n"/>
      <c r="G48" s="192" t="n"/>
      <c r="H48" s="192" t="n"/>
      <c r="I48" s="192" t="n"/>
      <c r="J48" s="192" t="n"/>
      <c r="K48" s="192" t="n"/>
      <c r="L48" s="192" t="n"/>
      <c r="M48" s="192" t="n"/>
      <c r="N48" s="192" t="n"/>
      <c r="O48" s="192" t="n"/>
      <c r="P48" s="192" t="n"/>
      <c r="Q48" s="192" t="n"/>
    </row>
    <row r="49" ht="15.75" customHeight="1" s="251">
      <c r="A49" s="192" t="n"/>
      <c r="B49" s="199" t="inlineStr">
        <is>
          <t>Equity Value</t>
        </is>
      </c>
      <c r="C49" s="178">
        <f>C47-C48</f>
        <v>231405.069662764</v>
      </c>
      <c r="D49" s="192" t="n"/>
      <c r="E49" s="192" t="n"/>
      <c r="F49" s="192" t="n"/>
      <c r="G49" s="192" t="n"/>
      <c r="H49" s="192" t="n"/>
      <c r="I49" s="192" t="n"/>
      <c r="J49" s="192" t="n"/>
      <c r="K49" s="192" t="n"/>
      <c r="L49" s="192" t="n"/>
      <c r="M49" s="192" t="n"/>
      <c r="N49" s="192" t="n"/>
      <c r="O49" s="192" t="n"/>
      <c r="P49" s="192" t="n"/>
      <c r="Q49" s="192" t="n"/>
    </row>
    <row r="50" ht="15.75" customHeight="1" s="251">
      <c r="A50" s="192" t="n"/>
      <c r="B50" s="197" t="inlineStr">
        <is>
          <t>Diluted shares (m, Model FY2026E period end)</t>
        </is>
      </c>
      <c r="C50" s="186">
        <f>Model!W472</f>
        <v>1033.57550001299</v>
      </c>
      <c r="D50" s="192" t="n"/>
      <c r="E50" s="192" t="n"/>
      <c r="F50" s="192" t="n"/>
      <c r="G50" s="192" t="n"/>
      <c r="H50" s="192" t="n"/>
      <c r="I50" s="192" t="n"/>
      <c r="J50" s="192" t="n"/>
      <c r="K50" s="192" t="n"/>
      <c r="L50" s="192" t="n"/>
      <c r="M50" s="192" t="n"/>
      <c r="N50" s="192" t="n"/>
      <c r="O50" s="192" t="n"/>
      <c r="P50" s="192" t="n"/>
      <c r="Q50" s="192" t="n"/>
    </row>
    <row r="51" ht="15.75" customHeight="1" s="251">
      <c r="A51" s="192" t="n"/>
      <c r="B51" s="199" t="inlineStr">
        <is>
          <t>Implied share price ($)</t>
        </is>
      </c>
      <c r="C51" s="187">
        <f>C49/C50</f>
        <v>223.887920775847</v>
      </c>
      <c r="D51" s="192" t="n"/>
      <c r="E51" s="192" t="n"/>
      <c r="F51" s="192" t="n"/>
      <c r="G51" s="192" t="n"/>
      <c r="H51" s="192" t="n"/>
      <c r="I51" s="192" t="n"/>
      <c r="J51" s="192" t="n"/>
      <c r="K51" s="192" t="n"/>
      <c r="L51" s="192" t="n"/>
      <c r="M51" s="192" t="n"/>
      <c r="N51" s="192" t="n"/>
      <c r="O51" s="192" t="n"/>
      <c r="P51" s="192" t="n"/>
      <c r="Q51" s="192" t="n"/>
    </row>
    <row r="52" ht="15.75" customHeight="1" s="251">
      <c r="A52" s="192" t="n"/>
      <c r="B52" s="197" t="inlineStr">
        <is>
          <t>Current share price ($)</t>
        </is>
      </c>
      <c r="C52" s="188">
        <f>Model!W471</f>
        <v>308</v>
      </c>
      <c r="D52" s="192" t="n"/>
      <c r="E52" s="192" t="n"/>
      <c r="F52" s="192" t="n"/>
      <c r="G52" s="192" t="n"/>
      <c r="H52" s="192" t="n"/>
      <c r="I52" s="192" t="n"/>
      <c r="J52" s="192" t="n"/>
      <c r="K52" s="192" t="n"/>
      <c r="L52" s="192" t="n"/>
      <c r="M52" s="192" t="n"/>
      <c r="N52" s="192" t="n"/>
      <c r="O52" s="192" t="n"/>
      <c r="P52" s="192" t="n"/>
      <c r="Q52" s="192" t="n"/>
    </row>
    <row r="53" ht="15.75" customHeight="1" s="251">
      <c r="A53" s="192" t="n"/>
      <c r="B53" s="199" t="inlineStr">
        <is>
          <t>Implied upside / (downside)</t>
        </is>
      </c>
      <c r="C53" s="189">
        <f>C51/C52-1</f>
        <v>-0.273091166312187</v>
      </c>
      <c r="D53" s="192" t="n"/>
      <c r="E53" s="192" t="n"/>
      <c r="F53" s="192" t="n"/>
      <c r="G53" s="192" t="n"/>
      <c r="H53" s="192" t="n"/>
      <c r="I53" s="192" t="n"/>
      <c r="J53" s="192" t="n"/>
      <c r="K53" s="192" t="n"/>
      <c r="L53" s="192" t="n"/>
      <c r="M53" s="192" t="n"/>
      <c r="N53" s="192" t="n"/>
      <c r="O53" s="192" t="n"/>
      <c r="P53" s="192" t="n"/>
      <c r="Q53" s="192" t="n"/>
    </row>
    <row r="54" ht="15.75" customHeight="1" s="251">
      <c r="A54" s="192" t="n"/>
      <c r="B54" s="197" t="inlineStr">
        <is>
          <t>Required discount to DCF value for target IRR</t>
        </is>
      </c>
      <c r="C54" s="175">
        <f>1-((1+C13)/(1+H54))^H55</f>
        <v>0.137434997535629</v>
      </c>
      <c r="D54" s="205" t="inlineStr">
        <is>
          <t>vs. current</t>
        </is>
      </c>
      <c r="E54" s="237" t="inlineStr">
        <is>
          <t>Target IRR</t>
        </is>
      </c>
      <c r="F54" s="192" t="n"/>
      <c r="G54" s="192" t="n"/>
      <c r="H54" s="182" t="n">
        <v>0.15</v>
      </c>
      <c r="I54" s="192" t="n"/>
      <c r="J54" s="192" t="n"/>
      <c r="K54" s="192" t="n"/>
      <c r="L54" s="192" t="n"/>
      <c r="M54" s="192" t="n"/>
      <c r="N54" s="192" t="n"/>
      <c r="O54" s="192" t="n"/>
      <c r="P54" s="192" t="n"/>
      <c r="Q54" s="192" t="n"/>
    </row>
    <row r="55" ht="15.75" customHeight="1" s="251">
      <c r="A55" s="192" t="n"/>
      <c r="B55" s="199" t="inlineStr">
        <is>
          <t>Max entry price for target IRR ($)</t>
        </is>
      </c>
      <c r="C55" s="190">
        <f>C51*(1-C54)</f>
        <v>193.117884935761</v>
      </c>
      <c r="D55" s="175">
        <f>C55/C52-1</f>
        <v>-0.372993880078698</v>
      </c>
      <c r="E55" s="237" t="inlineStr">
        <is>
          <t>Years for discount to close</t>
        </is>
      </c>
      <c r="F55" s="192" t="n"/>
      <c r="G55" s="192" t="n"/>
      <c r="H55" s="191" t="n">
        <v>3</v>
      </c>
      <c r="I55" s="192" t="n"/>
      <c r="J55" s="192" t="n"/>
      <c r="K55" s="192" t="n"/>
      <c r="L55" s="192" t="n"/>
      <c r="M55" s="192" t="n"/>
      <c r="N55" s="192" t="n"/>
      <c r="O55" s="192" t="n"/>
      <c r="P55" s="192" t="n"/>
      <c r="Q55" s="192" t="n"/>
    </row>
    <row r="56" ht="15" customHeight="1" s="251">
      <c r="A56" s="192" t="n"/>
      <c r="B56" s="192" t="n"/>
      <c r="C56" s="192" t="n"/>
      <c r="D56" s="192" t="n"/>
      <c r="E56" s="192" t="n"/>
      <c r="F56" s="192" t="n"/>
      <c r="G56" s="192" t="n"/>
      <c r="H56" s="192" t="n"/>
      <c r="I56" s="192" t="n"/>
      <c r="J56" s="192" t="n"/>
      <c r="K56" s="192" t="n"/>
      <c r="L56" s="192" t="n"/>
      <c r="M56" s="192" t="n"/>
      <c r="N56" s="192" t="n"/>
      <c r="O56" s="192" t="n"/>
      <c r="P56" s="192" t="n"/>
      <c r="Q56" s="192" t="n"/>
    </row>
    <row r="57" ht="15" customHeight="1" s="251">
      <c r="A57" s="192" t="n"/>
      <c r="B57" s="192" t="n"/>
      <c r="C57" s="192" t="n"/>
      <c r="D57" s="192" t="n"/>
      <c r="E57" s="192" t="n"/>
      <c r="F57" s="192" t="n"/>
      <c r="G57" s="192" t="n"/>
      <c r="H57" s="192" t="n"/>
      <c r="I57" s="192" t="n"/>
      <c r="J57" s="192" t="n"/>
      <c r="K57" s="192" t="n"/>
      <c r="L57" s="192" t="n"/>
      <c r="M57" s="192" t="n"/>
      <c r="N57" s="192" t="n"/>
      <c r="O57" s="192" t="n"/>
      <c r="P57" s="192" t="n"/>
      <c r="Q57" s="192" t="n"/>
    </row>
    <row r="58" ht="15.75" customHeight="1" s="251">
      <c r="A58" s="192" t="n"/>
      <c r="B58" s="195" t="inlineStr">
        <is>
          <t>4. SENSITIVITY: IMPLIED PRICE ($) — WACC × Terminal Growth</t>
        </is>
      </c>
      <c r="C58" s="196" t="n"/>
      <c r="D58" s="196" t="n"/>
      <c r="E58" s="196" t="n"/>
      <c r="F58" s="196" t="n"/>
      <c r="G58" s="196" t="n"/>
      <c r="H58" s="196" t="n"/>
      <c r="I58" s="196" t="n"/>
      <c r="J58" s="196" t="n"/>
      <c r="K58" s="196" t="n"/>
      <c r="L58" s="196" t="n"/>
      <c r="M58" s="196" t="n"/>
      <c r="N58" s="196" t="n"/>
      <c r="O58" s="192" t="n"/>
      <c r="P58" s="192" t="n"/>
      <c r="Q58" s="192" t="n"/>
    </row>
    <row r="59" ht="15" customHeight="1" s="251">
      <c r="A59" s="192" t="n"/>
      <c r="B59" s="192" t="n"/>
      <c r="C59" s="192" t="n"/>
      <c r="D59" s="192" t="n"/>
      <c r="E59" s="192" t="n"/>
      <c r="F59" s="192" t="n"/>
      <c r="G59" s="192" t="n"/>
      <c r="H59" s="192" t="n"/>
      <c r="I59" s="192" t="n"/>
      <c r="J59" s="192" t="n"/>
      <c r="K59" s="192" t="n"/>
      <c r="L59" s="192" t="n"/>
      <c r="M59" s="192" t="n"/>
      <c r="N59" s="192" t="n"/>
      <c r="O59" s="192" t="n"/>
      <c r="P59" s="192" t="n"/>
      <c r="Q59" s="192" t="n"/>
    </row>
    <row r="60" ht="15.75" customHeight="1" s="251">
      <c r="A60" s="192" t="n"/>
      <c r="B60" s="199" t="n"/>
      <c r="C60" s="192" t="n"/>
      <c r="D60" s="206" t="inlineStr">
        <is>
          <t>WACC →</t>
        </is>
      </c>
      <c r="E60" s="206" t="n"/>
      <c r="F60" s="206" t="n"/>
      <c r="G60" s="206" t="n"/>
      <c r="H60" s="206" t="n"/>
      <c r="I60" s="192" t="n"/>
      <c r="J60" s="192" t="n"/>
      <c r="K60" s="192" t="n"/>
      <c r="L60" s="192" t="n"/>
      <c r="M60" s="192" t="n"/>
      <c r="N60" s="192" t="n"/>
      <c r="O60" s="192" t="n"/>
      <c r="P60" s="192" t="n"/>
      <c r="Q60" s="192" t="n"/>
    </row>
    <row r="61" ht="15.75" customHeight="1" s="251">
      <c r="A61" s="192" t="n"/>
      <c r="B61" s="231" t="inlineStr">
        <is>
          <t>Terminal growth ↓</t>
        </is>
      </c>
      <c r="C61" s="227" t="n"/>
      <c r="D61" s="228">
        <f>F61-0.01</f>
        <v>0.0847</v>
      </c>
      <c r="E61" s="228">
        <f>F61-0.005</f>
        <v>0.0897</v>
      </c>
      <c r="F61" s="228">
        <f>$C$13</f>
        <v>0.0947</v>
      </c>
      <c r="G61" s="228">
        <f>F61+0.005</f>
        <v>0.0997</v>
      </c>
      <c r="H61" s="234">
        <f>F61+0.01</f>
        <v>0.1047</v>
      </c>
      <c r="I61" s="192" t="n"/>
      <c r="J61" s="192" t="n"/>
      <c r="K61" s="192" t="n"/>
      <c r="L61" s="192" t="n"/>
      <c r="M61" s="192" t="n"/>
      <c r="N61" s="192" t="n"/>
      <c r="O61" s="192" t="n"/>
      <c r="P61" s="192" t="n"/>
      <c r="Q61" s="192" t="n"/>
    </row>
    <row r="62" ht="15.75" customHeight="1" s="251">
      <c r="A62" s="192" t="n"/>
      <c r="B62" s="232">
        <f>B64-0.01</f>
        <v>0.025</v>
      </c>
      <c r="C62" s="192" t="n"/>
      <c r="D62" s="225">
        <f t="array" ref="D62">IFERROR((SUMPRODUCT($D$24:$M$24/(1+D$61)^$D$29:$M$29)+($M$24*(1+$B62)/(D$61-$B62))/(1+D$61)^$M$29-$C$48)/$C$50,"")</f>
        <v>241.967843984591</v>
      </c>
      <c r="E62" s="225">
        <f t="array" ref="E62">IFERROR((SUMPRODUCT($D$24:$M$24/(1+E$61)^$D$29:$M$29)+($M$24*(1+$B62)/(E$61-$B62))/(1+E$61)^$M$29-$C$48)/$C$50,"")</f>
        <v>219.937746675622</v>
      </c>
      <c r="F62" s="225">
        <f t="array" ref="F62">IFERROR((SUMPRODUCT($D$24:$M$24/(1+F$61)^$D$29:$M$29)+($M$24*(1+$B62)/(F$61-$B62))/(1+F$61)^$M$29-$C$48)/$C$50,"")</f>
        <v>201.123321372047</v>
      </c>
      <c r="G62" s="225">
        <f t="array" ref="G62">IFERROR((SUMPRODUCT($D$24:$M$24/(1+G$61)^$D$29:$M$29)+($M$24*(1+$B62)/(G$61-$B62))/(1+G$61)^$M$29-$C$48)/$C$50,"")</f>
        <v>184.877079937693</v>
      </c>
      <c r="H62" s="235">
        <f t="array" ref="H62">IFERROR((SUMPRODUCT($D$24:$M$24/(1+H$61)^$D$29:$M$29)+($M$24*(1+$B62)/(H$61-$B62))/(1+H$61)^$M$29-$C$48)/$C$50,"")</f>
        <v>170.714086477877</v>
      </c>
      <c r="I62" s="192" t="n"/>
      <c r="J62" s="192" t="n"/>
      <c r="K62" s="192" t="n"/>
      <c r="L62" s="192" t="n"/>
      <c r="M62" s="192" t="n"/>
      <c r="N62" s="192" t="n"/>
      <c r="O62" s="192" t="n"/>
      <c r="P62" s="192" t="n"/>
      <c r="Q62" s="192" t="n"/>
    </row>
    <row r="63" ht="15.75" customHeight="1" s="251">
      <c r="A63" s="192" t="n"/>
      <c r="B63" s="232">
        <f>B64-0.005</f>
        <v>0.03</v>
      </c>
      <c r="C63" s="192" t="n"/>
      <c r="D63" s="225">
        <f t="array" ref="D63">IFERROR((SUMPRODUCT($D$24:$M$24/(1+D$61)^$D$29:$M$29)+($M$24*(1+$B63)/(D$61-$B63))/(1+D$61)^$M$29-$C$48)/$C$50,"")</f>
        <v>257.751668559609</v>
      </c>
      <c r="E63" s="225">
        <f t="array" ref="E63">IFERROR((SUMPRODUCT($D$24:$M$24/(1+E$61)^$D$29:$M$29)+($M$24*(1+$B63)/(E$61-$B63))/(1+E$61)^$M$29-$C$48)/$C$50,"")</f>
        <v>232.728165374452</v>
      </c>
      <c r="F63" s="225">
        <f t="array" ref="F63">IFERROR((SUMPRODUCT($D$24:$M$24/(1+F$61)^$D$29:$M$29)+($M$24*(1+$B63)/(F$61-$B63))/(1+F$61)^$M$29-$C$48)/$C$50,"")</f>
        <v>211.625999767772</v>
      </c>
      <c r="G63" s="225">
        <f t="array" ref="G63">IFERROR((SUMPRODUCT($D$24:$M$24/(1+G$61)^$D$29:$M$29)+($M$24*(1+$B63)/(G$61-$B63))/(1+G$61)^$M$29-$C$48)/$C$50,"")</f>
        <v>193.599580628027</v>
      </c>
      <c r="H63" s="235">
        <f t="array" ref="H63">IFERROR((SUMPRODUCT($D$24:$M$24/(1+H$61)^$D$29:$M$29)+($M$24*(1+$B63)/(H$61-$B63))/(1+H$61)^$M$29-$C$48)/$C$50,"")</f>
        <v>178.029779812018</v>
      </c>
      <c r="I63" s="192" t="n"/>
      <c r="J63" s="192" t="n"/>
      <c r="K63" s="192" t="n"/>
      <c r="L63" s="192" t="n"/>
      <c r="M63" s="192" t="n"/>
      <c r="N63" s="192" t="n"/>
      <c r="O63" s="192" t="n"/>
      <c r="P63" s="192" t="n"/>
      <c r="Q63" s="192" t="n"/>
    </row>
    <row r="64" ht="15.75" customHeight="1" s="251">
      <c r="A64" s="192" t="n"/>
      <c r="B64" s="232">
        <f>$C$27</f>
        <v>0.035</v>
      </c>
      <c r="C64" s="192" t="n"/>
      <c r="D64" s="225">
        <f t="array" ref="D64">IFERROR((SUMPRODUCT($D$24:$M$24/(1+D$61)^$D$29:$M$29)+($M$24*(1+$B64)/(D$61-$B64))/(1+D$61)^$M$29-$C$48)/$C$50,"")</f>
        <v>276.711312968634</v>
      </c>
      <c r="E64" s="225">
        <f t="array" ref="E64">IFERROR((SUMPRODUCT($D$24:$M$24/(1+E$61)^$D$29:$M$29)+($M$24*(1+$B64)/(E$61-$B64))/(1+E$61)^$M$29-$C$48)/$C$50,"")</f>
        <v>247.856869027365</v>
      </c>
      <c r="F64" s="226">
        <f t="array" ref="F64">IFERROR((SUMPRODUCT($D$24:$M$24/(1+F$61)^$D$29:$M$29)+($M$24*(1+$B64)/(F$61-$B64))/(1+F$61)^$M$29-$C$48)/$C$50,"")</f>
        <v>223.887920775847</v>
      </c>
      <c r="G64" s="225">
        <f t="array" ref="G64">IFERROR((SUMPRODUCT($D$24:$M$24/(1+G$61)^$D$29:$M$29)+($M$24*(1+$B64)/(G$61-$B64))/(1+G$61)^$M$29-$C$48)/$C$50,"")</f>
        <v>203.670226710994</v>
      </c>
      <c r="H64" s="235">
        <f t="array" ref="H64">IFERROR((SUMPRODUCT($D$24:$M$24/(1+H$61)^$D$29:$M$29)+($M$24*(1+$B64)/(H$61-$B64))/(1+H$61)^$M$29-$C$48)/$C$50,"")</f>
        <v>186.39507046813</v>
      </c>
      <c r="I64" s="192" t="n"/>
      <c r="J64" s="192" t="n"/>
      <c r="K64" s="192" t="n"/>
      <c r="L64" s="192" t="n"/>
      <c r="M64" s="192" t="n"/>
      <c r="N64" s="192" t="n"/>
      <c r="O64" s="192" t="n"/>
      <c r="P64" s="192" t="n"/>
      <c r="Q64" s="192" t="n"/>
    </row>
    <row r="65" ht="15.75" customHeight="1" s="251">
      <c r="A65" s="192" t="n"/>
      <c r="B65" s="232">
        <f>B64+0.005</f>
        <v>0.04</v>
      </c>
      <c r="C65" s="192" t="n"/>
      <c r="D65" s="225">
        <f t="array" ref="D65">IFERROR((SUMPRODUCT($D$24:$M$24/(1+D$61)^$D$29:$M$29)+($M$24*(1+$B65)/(D$61-$B65))/(1+D$61)^$M$29-$C$48)/$C$50,"")</f>
        <v>299.91248856536</v>
      </c>
      <c r="E65" s="225">
        <f t="array" ref="E65">IFERROR((SUMPRODUCT($D$24:$M$24/(1+E$61)^$D$29:$M$29)+($M$24*(1+$B65)/(E$61-$B65))/(1+E$61)^$M$29-$C$48)/$C$50,"")</f>
        <v>266.029577439416</v>
      </c>
      <c r="F65" s="225">
        <f t="array" ref="F65">IFERROR((SUMPRODUCT($D$24:$M$24/(1+F$61)^$D$29:$M$29)+($M$24*(1+$B65)/(F$61-$B65))/(1+F$61)^$M$29-$C$48)/$C$50,"")</f>
        <v>238.391509244264</v>
      </c>
      <c r="G65" s="225">
        <f t="array" ref="G65">IFERROR((SUMPRODUCT($D$24:$M$24/(1+G$61)^$D$29:$M$29)+($M$24*(1+$B65)/(G$61-$B65))/(1+G$61)^$M$29-$C$48)/$C$50,"")</f>
        <v>215.427748184743</v>
      </c>
      <c r="H65" s="235">
        <f t="array" ref="H65">IFERROR((SUMPRODUCT($D$24:$M$24/(1+H$61)^$D$29:$M$29)+($M$24*(1+$B65)/(H$61-$B65))/(1+H$61)^$M$29-$C$48)/$C$50,"")</f>
        <v>196.053296310659</v>
      </c>
      <c r="I65" s="192" t="n"/>
      <c r="J65" s="192" t="n"/>
      <c r="K65" s="192" t="n"/>
      <c r="L65" s="192" t="n"/>
      <c r="M65" s="192" t="n"/>
      <c r="N65" s="192" t="n"/>
      <c r="O65" s="192" t="n"/>
      <c r="P65" s="192" t="n"/>
      <c r="Q65" s="192" t="n"/>
    </row>
    <row r="66" ht="15.75" customHeight="1" s="251">
      <c r="A66" s="192" t="n"/>
      <c r="B66" s="233">
        <f>B64+0.01</f>
        <v>0.045</v>
      </c>
      <c r="C66" s="229" t="n"/>
      <c r="D66" s="230">
        <f t="array" ref="D66">IFERROR((SUMPRODUCT($D$24:$M$24/(1+D$61)^$D$29:$M$29)+($M$24*(1+$B66)/(D$61-$B66))/(1+D$61)^$M$29-$C$48)/$C$50,"")</f>
        <v>328.957788997534</v>
      </c>
      <c r="E66" s="230">
        <f t="array" ref="E66">IFERROR((SUMPRODUCT($D$24:$M$24/(1+E$61)^$D$29:$M$29)+($M$24*(1+$B66)/(E$61-$B66))/(1+E$61)^$M$29-$C$48)/$C$50,"")</f>
        <v>288.267768717697</v>
      </c>
      <c r="F66" s="230">
        <f t="array" ref="F66">IFERROR((SUMPRODUCT($D$24:$M$24/(1+F$61)^$D$29:$M$29)+($M$24*(1+$B66)/(F$61-$B66))/(1+F$61)^$M$29-$C$48)/$C$50,"")</f>
        <v>255.813324768701</v>
      </c>
      <c r="G66" s="230">
        <f t="array" ref="G66">IFERROR((SUMPRODUCT($D$24:$M$24/(1+G$61)^$D$29:$M$29)+($M$24*(1+$B66)/(G$61-$B66))/(1+G$61)^$M$29-$C$48)/$C$50,"")</f>
        <v>229.334725138154</v>
      </c>
      <c r="H66" s="236">
        <f t="array" ref="H66">IFERROR((SUMPRODUCT($D$24:$M$24/(1+H$61)^$D$29:$M$29)+($M$24*(1+$B66)/(H$61-$B66))/(1+H$61)^$M$29-$C$48)/$C$50,"")</f>
        <v>207.329315426643</v>
      </c>
      <c r="I66" s="192" t="n"/>
      <c r="J66" s="192" t="n"/>
      <c r="K66" s="192" t="n"/>
      <c r="L66" s="192" t="n"/>
      <c r="M66" s="192" t="n"/>
      <c r="N66" s="192" t="n"/>
      <c r="O66" s="192" t="n"/>
      <c r="P66" s="192" t="n"/>
      <c r="Q66" s="192" t="n"/>
    </row>
    <row r="67" ht="15" customHeight="1" s="251">
      <c r="A67" s="192" t="n"/>
      <c r="B67" s="192" t="n"/>
      <c r="C67" s="192" t="n"/>
      <c r="D67" s="192" t="n"/>
      <c r="E67" s="192" t="n"/>
      <c r="F67" s="192" t="n"/>
      <c r="G67" s="192" t="n"/>
      <c r="H67" s="192" t="n"/>
      <c r="I67" s="192" t="n"/>
      <c r="J67" s="192" t="n"/>
      <c r="K67" s="192" t="n"/>
      <c r="L67" s="192" t="n"/>
      <c r="M67" s="192" t="n"/>
      <c r="N67" s="192" t="n"/>
      <c r="O67" s="192" t="n"/>
      <c r="P67" s="192" t="n"/>
      <c r="Q67" s="192" t="n"/>
    </row>
    <row r="68" ht="15" customHeight="1" s="251">
      <c r="A68" s="192" t="n"/>
      <c r="B68" s="192" t="n"/>
      <c r="C68" s="192" t="n"/>
      <c r="D68" s="192" t="n"/>
      <c r="E68" s="192" t="n"/>
      <c r="F68" s="192" t="n"/>
      <c r="G68" s="192" t="n"/>
      <c r="H68" s="192" t="n"/>
      <c r="I68" s="192" t="n"/>
      <c r="J68" s="192" t="n"/>
      <c r="K68" s="192" t="n"/>
      <c r="L68" s="192" t="n"/>
      <c r="M68" s="192" t="n"/>
      <c r="N68" s="192" t="n"/>
      <c r="O68" s="192" t="n"/>
      <c r="P68" s="192" t="n"/>
      <c r="Q68" s="192" t="n"/>
    </row>
    <row r="69" ht="15.75" customHeight="1" s="251">
      <c r="A69" s="192" t="n"/>
      <c r="B69" s="195" t="inlineStr">
        <is>
          <t>5. REVERSE DCF</t>
        </is>
      </c>
      <c r="C69" s="196" t="n"/>
      <c r="D69" s="196" t="n"/>
      <c r="E69" s="196" t="n"/>
      <c r="F69" s="196" t="n"/>
      <c r="G69" s="196" t="n"/>
      <c r="H69" s="196" t="n"/>
      <c r="I69" s="196" t="n"/>
      <c r="J69" s="196" t="n"/>
      <c r="K69" s="196" t="n"/>
      <c r="L69" s="196" t="n"/>
      <c r="M69" s="196" t="n"/>
      <c r="N69" s="196" t="n"/>
      <c r="O69" s="192" t="n"/>
      <c r="P69" s="192" t="n"/>
      <c r="Q69" s="192" t="n"/>
    </row>
    <row r="70" ht="15" customHeight="1" s="251">
      <c r="A70" s="192" t="n"/>
      <c r="B70" s="198" t="inlineStr">
        <is>
          <t>To solve for the market-implied path: Data ▸ What-If Analysis ▸ Goal Seek — set C51 to the current price (C52) by changing C27 (terminal growth) or the fade-period growth inputs (I26:M26).</t>
        </is>
      </c>
      <c r="C70" s="192" t="n"/>
      <c r="D70" s="192" t="n"/>
      <c r="E70" s="192" t="n"/>
      <c r="F70" s="192" t="n"/>
      <c r="G70" s="192" t="n"/>
      <c r="H70" s="192" t="n"/>
      <c r="I70" s="192" t="n"/>
      <c r="J70" s="192" t="n"/>
      <c r="K70" s="192" t="n"/>
      <c r="L70" s="192" t="n"/>
      <c r="M70" s="192" t="n"/>
      <c r="N70" s="192" t="n"/>
      <c r="O70" s="192" t="n"/>
      <c r="P70" s="192" t="n"/>
      <c r="Q70" s="192" t="n"/>
    </row>
    <row r="71" ht="15" customHeight="1" s="251">
      <c r="A71" s="192" t="n"/>
      <c r="B71" s="192" t="n"/>
      <c r="C71" s="192" t="n"/>
      <c r="D71" s="192" t="n"/>
      <c r="E71" s="192" t="n"/>
      <c r="F71" s="192" t="n"/>
      <c r="G71" s="192" t="n"/>
      <c r="H71" s="192" t="n"/>
      <c r="I71" s="192" t="n"/>
      <c r="J71" s="192" t="n"/>
      <c r="K71" s="192" t="n"/>
      <c r="L71" s="192" t="n"/>
      <c r="M71" s="192" t="n"/>
      <c r="N71" s="192" t="n"/>
      <c r="O71" s="192" t="n"/>
      <c r="P71" s="192" t="n"/>
      <c r="Q71" s="192" t="n"/>
    </row>
    <row r="72" ht="15.75" customHeight="1" s="251">
      <c r="A72" s="192" t="n"/>
      <c r="B72" s="195" t="inlineStr">
        <is>
          <t>6. MAUBOUSSIN EV / NOPAT — TWO-STAGE FRAMEWORK</t>
        </is>
      </c>
      <c r="C72" s="196" t="n"/>
      <c r="D72" s="196" t="n"/>
      <c r="E72" s="196" t="n"/>
      <c r="F72" s="196" t="n"/>
      <c r="G72" s="196" t="n"/>
      <c r="H72" s="196" t="n"/>
      <c r="I72" s="196" t="n"/>
      <c r="J72" s="196" t="n"/>
      <c r="K72" s="196" t="n"/>
      <c r="L72" s="196" t="n"/>
      <c r="M72" s="196" t="n"/>
      <c r="N72" s="196" t="n"/>
      <c r="O72" s="192" t="n"/>
      <c r="P72" s="192" t="n"/>
      <c r="Q72" s="192" t="n"/>
    </row>
    <row r="73" ht="15" customHeight="1" s="251">
      <c r="A73" s="192" t="n"/>
      <c r="B73" s="198" t="inlineStr">
        <is>
          <t>EV/NOPAT  =  1/r  +  [g × (1 − r/ROIIC) / (r × (r − g))] × [1 − ((1+g)/(1+r))^N]</t>
        </is>
      </c>
      <c r="C73" s="192" t="n"/>
      <c r="D73" s="192" t="n"/>
      <c r="E73" s="192" t="n"/>
      <c r="F73" s="192" t="n"/>
      <c r="G73" s="192" t="n"/>
      <c r="H73" s="192" t="n"/>
      <c r="I73" s="192" t="n"/>
      <c r="J73" s="192" t="n"/>
      <c r="K73" s="192" t="n"/>
      <c r="L73" s="192" t="n"/>
      <c r="M73" s="192" t="n"/>
      <c r="N73" s="192" t="n"/>
      <c r="O73" s="192" t="n"/>
      <c r="P73" s="192" t="n"/>
      <c r="Q73" s="192" t="n"/>
    </row>
    <row r="74" ht="15" customHeight="1" s="251">
      <c r="A74" s="192" t="n"/>
      <c r="B74" s="198" t="inlineStr">
        <is>
          <t>Formula source: Mauboussin &amp; Rappaport, "Expectations Investing" (2021); Counterpoint Global, "What Does a Price-Earnings Multiple Mean?" (2020).</t>
        </is>
      </c>
      <c r="C74" s="192" t="n"/>
      <c r="D74" s="192" t="n"/>
      <c r="E74" s="192" t="n"/>
      <c r="F74" s="192" t="n"/>
      <c r="G74" s="192" t="n"/>
      <c r="H74" s="192" t="n"/>
      <c r="I74" s="192" t="n"/>
      <c r="J74" s="192" t="n"/>
      <c r="K74" s="192" t="n"/>
      <c r="L74" s="192" t="n"/>
      <c r="M74" s="192" t="n"/>
      <c r="N74" s="192" t="n"/>
      <c r="O74" s="192" t="n"/>
      <c r="P74" s="192" t="n"/>
      <c r="Q74" s="192" t="n"/>
    </row>
    <row r="75" ht="15" customHeight="1" s="251">
      <c r="A75" s="192" t="n"/>
      <c r="B75" s="192" t="n"/>
      <c r="C75" s="192" t="n"/>
      <c r="D75" s="192" t="n"/>
      <c r="E75" s="192" t="n"/>
      <c r="F75" s="192" t="n"/>
      <c r="G75" s="192" t="n"/>
      <c r="H75" s="192" t="n"/>
      <c r="I75" s="192" t="n"/>
      <c r="J75" s="192" t="n"/>
      <c r="K75" s="192" t="n"/>
      <c r="L75" s="192" t="n"/>
      <c r="M75" s="192" t="n"/>
      <c r="N75" s="192" t="n"/>
      <c r="O75" s="192" t="n"/>
      <c r="P75" s="192" t="n"/>
      <c r="Q75" s="192" t="n"/>
    </row>
    <row r="76" ht="15.75" customHeight="1" s="251">
      <c r="A76" s="192" t="n"/>
      <c r="B76" s="195" t="inlineStr">
        <is>
          <t>Input</t>
        </is>
      </c>
      <c r="C76" s="207" t="inlineStr">
        <is>
          <t>Value</t>
        </is>
      </c>
      <c r="D76" s="195" t="inlineStr">
        <is>
          <t>Rationale (GE Aerospace characteristics)</t>
        </is>
      </c>
      <c r="E76" s="196" t="n"/>
      <c r="F76" s="196" t="n"/>
      <c r="G76" s="196" t="n"/>
      <c r="H76" s="196" t="n"/>
      <c r="I76" s="196" t="n"/>
      <c r="J76" s="196" t="n"/>
      <c r="K76" s="196" t="n"/>
      <c r="L76" s="196" t="n"/>
      <c r="M76" s="196" t="n"/>
      <c r="N76" s="196" t="n"/>
      <c r="O76" s="192" t="n"/>
      <c r="P76" s="192" t="n"/>
      <c r="Q76" s="192" t="n"/>
    </row>
    <row r="77" ht="15.75" customHeight="1" s="251">
      <c r="A77" s="192" t="n"/>
      <c r="B77" s="197" t="inlineStr">
        <is>
          <t>r  (Cost of capital / WACC)</t>
        </is>
      </c>
      <c r="C77" s="238">
        <f>$C$13</f>
        <v>0.0947</v>
      </c>
      <c r="D77" s="198" t="inlineStr">
        <is>
          <t>Linked from Section 1 WACC build</t>
        </is>
      </c>
      <c r="E77" s="192" t="n"/>
      <c r="F77" s="192" t="n"/>
      <c r="G77" s="192" t="n"/>
      <c r="H77" s="192" t="n"/>
      <c r="I77" s="192" t="n"/>
      <c r="J77" s="192" t="n"/>
      <c r="K77" s="192" t="n"/>
      <c r="L77" s="192" t="n"/>
      <c r="M77" s="192" t="n"/>
      <c r="N77" s="192" t="n"/>
      <c r="O77" s="192" t="n"/>
      <c r="P77" s="192" t="n"/>
      <c r="Q77" s="192" t="n"/>
    </row>
    <row r="78" ht="15.75" customHeight="1" s="251">
      <c r="A78" s="192" t="n"/>
      <c r="B78" s="197" t="inlineStr">
        <is>
          <t>g  (NOPAT growth, Stage 1)</t>
        </is>
      </c>
      <c r="C78" s="239" t="n">
        <v>0.11</v>
      </c>
      <c r="D78" s="198" t="inlineStr">
        <is>
          <t>Model operating profit CAGR FY2026–31E: services growth on a ~50,000-engine commercial installed base, LEAP shop-visit ramp, DPT, plus CPP → ~11% NOPAT growth</t>
        </is>
      </c>
      <c r="E78" s="192" t="n"/>
      <c r="F78" s="192" t="n"/>
      <c r="G78" s="192" t="n"/>
      <c r="H78" s="192" t="n"/>
      <c r="I78" s="192" t="n"/>
      <c r="J78" s="192" t="n"/>
      <c r="K78" s="192" t="n"/>
      <c r="L78" s="192" t="n"/>
      <c r="M78" s="192" t="n"/>
      <c r="N78" s="192" t="n"/>
      <c r="O78" s="192" t="n"/>
      <c r="P78" s="192" t="n"/>
      <c r="Q78" s="192" t="n"/>
    </row>
    <row r="79" ht="15.75" customHeight="1" s="251">
      <c r="A79" s="192" t="n"/>
      <c r="B79" s="197" t="inlineStr">
        <is>
          <t>ROIIC  (Return on incremental invested capital)</t>
        </is>
      </c>
      <c r="C79" s="239" t="n">
        <v>0.35</v>
      </c>
      <c r="D79" s="198" t="inlineStr">
        <is>
          <t>Installed-base aftermarket (CES services ~60% of revenue) earns very high incremental returns; new engines are sold near cost and repaid by decades of services</t>
        </is>
      </c>
      <c r="E79" s="192" t="n"/>
      <c r="F79" s="192" t="n"/>
      <c r="G79" s="192" t="n"/>
      <c r="H79" s="192" t="n"/>
      <c r="I79" s="192" t="n"/>
      <c r="J79" s="192" t="n"/>
      <c r="K79" s="192" t="n"/>
      <c r="L79" s="192" t="n"/>
      <c r="M79" s="192" t="n"/>
      <c r="N79" s="192" t="n"/>
      <c r="O79" s="192" t="n"/>
      <c r="P79" s="192" t="n"/>
      <c r="Q79" s="192" t="n"/>
    </row>
    <row r="80" ht="15.75" customHeight="1" s="251">
      <c r="A80" s="192" t="n"/>
      <c r="B80" s="197" t="inlineStr">
        <is>
          <t>N  (Years of value creation / CAP)</t>
        </is>
      </c>
      <c r="C80" s="208" t="n">
        <v>20</v>
      </c>
      <c r="D80" s="198" t="inlineStr">
        <is>
          <t>Duopoly / joint-venture positions (CFM with Safran) on narrowbody and widebody platforms, certification barriers and 25–30-year engine lives sustain a long competitive-advantage period</t>
        </is>
      </c>
      <c r="E80" s="192" t="n"/>
      <c r="F80" s="192" t="n"/>
      <c r="G80" s="192" t="n"/>
      <c r="H80" s="192" t="n"/>
      <c r="I80" s="192" t="n"/>
      <c r="J80" s="192" t="n"/>
      <c r="K80" s="192" t="n"/>
      <c r="L80" s="192" t="n"/>
      <c r="M80" s="192" t="n"/>
      <c r="N80" s="192" t="n"/>
      <c r="O80" s="192" t="n"/>
      <c r="P80" s="192" t="n"/>
      <c r="Q80" s="192" t="n"/>
    </row>
    <row r="81" ht="15" customHeight="1" s="251">
      <c r="A81" s="192" t="n"/>
      <c r="B81" s="192" t="n"/>
      <c r="C81" s="192" t="n"/>
      <c r="D81" s="192" t="n"/>
      <c r="E81" s="192" t="n"/>
      <c r="F81" s="192" t="n"/>
      <c r="G81" s="192" t="n"/>
      <c r="H81" s="192" t="n"/>
      <c r="I81" s="192" t="n"/>
      <c r="J81" s="192" t="n"/>
      <c r="K81" s="192" t="n"/>
      <c r="L81" s="192" t="n"/>
      <c r="M81" s="192" t="n"/>
      <c r="N81" s="192" t="n"/>
      <c r="O81" s="192" t="n"/>
      <c r="P81" s="192" t="n"/>
      <c r="Q81" s="192" t="n"/>
    </row>
    <row r="82" ht="15.75" customHeight="1" s="251">
      <c r="A82" s="192" t="n"/>
      <c r="B82" s="195" t="inlineStr">
        <is>
          <t>Calculation</t>
        </is>
      </c>
      <c r="C82" s="207" t="inlineStr">
        <is>
          <t>Value</t>
        </is>
      </c>
      <c r="D82" s="192" t="n"/>
      <c r="E82" s="192" t="n"/>
      <c r="F82" s="192" t="n"/>
      <c r="G82" s="192" t="n"/>
      <c r="H82" s="192" t="n"/>
      <c r="I82" s="192" t="n"/>
      <c r="J82" s="192" t="n"/>
      <c r="K82" s="192" t="n"/>
      <c r="L82" s="192" t="n"/>
      <c r="M82" s="192" t="n"/>
      <c r="N82" s="192" t="n"/>
      <c r="O82" s="192" t="n"/>
      <c r="P82" s="192" t="n"/>
      <c r="Q82" s="192" t="n"/>
    </row>
    <row r="83" ht="15.75" customHeight="1" s="251">
      <c r="A83" s="192" t="n"/>
      <c r="B83" s="197" t="inlineStr">
        <is>
          <t>Steady-state component:  1 / r</t>
        </is>
      </c>
      <c r="C83" s="240">
        <f>1/C77</f>
        <v>10.5596620908131</v>
      </c>
      <c r="D83" s="192" t="n"/>
      <c r="E83" s="192" t="n"/>
      <c r="F83" s="192" t="n"/>
      <c r="G83" s="192" t="n"/>
      <c r="H83" s="192" t="n"/>
      <c r="I83" s="192" t="n"/>
      <c r="J83" s="192" t="n"/>
      <c r="K83" s="192" t="n"/>
      <c r="L83" s="192" t="n"/>
      <c r="M83" s="192" t="n"/>
      <c r="N83" s="192" t="n"/>
      <c r="O83" s="192" t="n"/>
      <c r="P83" s="192" t="n"/>
      <c r="Q83" s="192" t="n"/>
    </row>
    <row r="84" ht="15.75" customHeight="1" s="251">
      <c r="A84" s="192" t="n"/>
      <c r="B84" s="197" t="inlineStr">
        <is>
          <t>Value-creation factor: 1 − r / ROIIC</t>
        </is>
      </c>
      <c r="C84" s="241">
        <f>1-C77/C79</f>
        <v>0.729428571428571</v>
      </c>
      <c r="D84" s="192" t="n"/>
      <c r="E84" s="192" t="n"/>
      <c r="F84" s="192" t="n"/>
      <c r="G84" s="192" t="n"/>
      <c r="H84" s="192" t="n"/>
      <c r="I84" s="192" t="n"/>
      <c r="J84" s="192" t="n"/>
      <c r="K84" s="192" t="n"/>
      <c r="L84" s="192" t="n"/>
      <c r="M84" s="192" t="n"/>
      <c r="N84" s="192" t="n"/>
      <c r="O84" s="192" t="n"/>
      <c r="P84" s="192" t="n"/>
      <c r="Q84" s="192" t="n"/>
    </row>
    <row r="85" ht="15.75" customHeight="1" s="251">
      <c r="A85" s="192" t="n"/>
      <c r="B85" s="197" t="inlineStr">
        <is>
          <t>Growth multiplier: g × (1 − r/ROIIC) / (r × (r − g))</t>
        </is>
      </c>
      <c r="C85" s="241">
        <f>C78*C84/(C77*(C77-C78))</f>
        <v>-55.3775892616814</v>
      </c>
      <c r="D85" s="192" t="n"/>
      <c r="E85" s="192" t="n"/>
      <c r="F85" s="192" t="n"/>
      <c r="G85" s="192" t="n"/>
      <c r="H85" s="192" t="n"/>
      <c r="I85" s="192" t="n"/>
      <c r="J85" s="192" t="n"/>
      <c r="K85" s="192" t="n"/>
      <c r="L85" s="192" t="n"/>
      <c r="M85" s="192" t="n"/>
      <c r="N85" s="192" t="n"/>
      <c r="O85" s="192" t="n"/>
      <c r="P85" s="192" t="n"/>
      <c r="Q85" s="192" t="n"/>
    </row>
    <row r="86" ht="15.75" customHeight="1" s="251">
      <c r="A86" s="192" t="n"/>
      <c r="B86" s="197" t="inlineStr">
        <is>
          <t>Time decay: 1 − ((1+g)/(1+r))^N</t>
        </is>
      </c>
      <c r="C86" s="242">
        <f>1-((1+C78)/(1+C77))^C80</f>
        <v>-0.319949190639091</v>
      </c>
      <c r="D86" s="192" t="n"/>
      <c r="E86" s="192" t="n"/>
      <c r="F86" s="192" t="n"/>
      <c r="G86" s="192" t="n"/>
      <c r="H86" s="192" t="n"/>
      <c r="I86" s="192" t="n"/>
      <c r="J86" s="192" t="n"/>
      <c r="K86" s="192" t="n"/>
      <c r="L86" s="192" t="n"/>
      <c r="M86" s="192" t="n"/>
      <c r="N86" s="192" t="n"/>
      <c r="O86" s="192" t="n"/>
      <c r="P86" s="192" t="n"/>
      <c r="Q86" s="192" t="n"/>
    </row>
    <row r="87" ht="15.75" customHeight="1" s="251">
      <c r="A87" s="192" t="n"/>
      <c r="B87" s="197" t="inlineStr">
        <is>
          <t>PVGO component (growth value)</t>
        </is>
      </c>
      <c r="C87" s="240">
        <f>C85*C86</f>
        <v>17.718014863819</v>
      </c>
      <c r="D87" s="192" t="n"/>
      <c r="E87" s="192" t="n"/>
      <c r="F87" s="192" t="n"/>
      <c r="G87" s="192" t="n"/>
      <c r="H87" s="192" t="n"/>
      <c r="I87" s="192" t="n"/>
      <c r="J87" s="192" t="n"/>
      <c r="K87" s="192" t="n"/>
      <c r="L87" s="192" t="n"/>
      <c r="M87" s="192" t="n"/>
      <c r="N87" s="192" t="n"/>
      <c r="O87" s="192" t="n"/>
      <c r="P87" s="192" t="n"/>
      <c r="Q87" s="192" t="n"/>
    </row>
    <row r="88" ht="15.75" customHeight="1" s="251">
      <c r="A88" s="192" t="n"/>
      <c r="B88" s="202" t="inlineStr">
        <is>
          <t>Mauboussin EV / NOPAT (steady-state + PVGO)</t>
        </is>
      </c>
      <c r="C88" s="304">
        <f>C83+C87</f>
        <v>28.2776769546321</v>
      </c>
      <c r="D88" s="192" t="n"/>
      <c r="E88" s="192" t="n"/>
      <c r="F88" s="192" t="n"/>
      <c r="G88" s="192" t="n"/>
      <c r="H88" s="192" t="n"/>
      <c r="I88" s="192" t="n"/>
      <c r="J88" s="192" t="n"/>
      <c r="K88" s="192" t="n"/>
      <c r="L88" s="192" t="n"/>
      <c r="M88" s="192" t="n"/>
      <c r="N88" s="192" t="n"/>
      <c r="O88" s="192" t="n"/>
      <c r="P88" s="192" t="n"/>
      <c r="Q88" s="192" t="n"/>
    </row>
    <row r="89" ht="15" customHeight="1" s="251">
      <c r="A89" s="192" t="n"/>
      <c r="B89" s="192" t="n"/>
      <c r="C89" s="192" t="n"/>
      <c r="D89" s="192" t="n"/>
      <c r="E89" s="192" t="n"/>
      <c r="F89" s="192" t="n"/>
      <c r="G89" s="192" t="n"/>
      <c r="H89" s="192" t="n"/>
      <c r="I89" s="192" t="n"/>
      <c r="J89" s="192" t="n"/>
      <c r="K89" s="192" t="n"/>
      <c r="L89" s="192" t="n"/>
      <c r="M89" s="192" t="n"/>
      <c r="N89" s="192" t="n"/>
      <c r="O89" s="192" t="n"/>
      <c r="P89" s="192" t="n"/>
      <c r="Q89" s="192" t="n"/>
    </row>
    <row r="90" ht="15.75" customHeight="1" s="251">
      <c r="A90" s="192" t="n"/>
      <c r="B90" s="195" t="inlineStr">
        <is>
          <t>VALUATION  —  Applied to FY2029E NOPAT</t>
        </is>
      </c>
      <c r="C90" s="207" t="inlineStr">
        <is>
          <t>USDm</t>
        </is>
      </c>
      <c r="D90" s="192" t="n"/>
      <c r="E90" s="192" t="n"/>
      <c r="F90" s="192" t="n"/>
      <c r="G90" s="192" t="n"/>
      <c r="H90" s="192" t="n"/>
      <c r="I90" s="192" t="n"/>
      <c r="J90" s="192" t="n"/>
      <c r="K90" s="192" t="n"/>
      <c r="L90" s="192" t="n"/>
      <c r="M90" s="192" t="n"/>
      <c r="N90" s="192" t="n"/>
      <c r="O90" s="192" t="n"/>
      <c r="P90" s="192" t="n"/>
      <c r="Q90" s="192" t="n"/>
    </row>
    <row r="91" ht="15.75" customHeight="1" s="251">
      <c r="A91" s="192" t="n"/>
      <c r="B91" s="197" t="inlineStr">
        <is>
          <t>FY2029E operating profit less restructuring &amp; separation costs</t>
        </is>
      </c>
      <c r="C91" s="209">
        <f>Model!Z229-Model!Z231</f>
        <v>15355.5432845883</v>
      </c>
      <c r="D91" s="192" t="n"/>
      <c r="E91" s="192" t="n"/>
      <c r="F91" s="192" t="n"/>
      <c r="G91" s="192" t="n"/>
      <c r="H91" s="192" t="n"/>
      <c r="I91" s="192" t="n"/>
      <c r="J91" s="192" t="n"/>
      <c r="K91" s="192" t="n"/>
      <c r="L91" s="192" t="n"/>
      <c r="M91" s="192" t="n"/>
      <c r="N91" s="192" t="n"/>
      <c r="O91" s="192" t="n"/>
      <c r="P91" s="192" t="n"/>
      <c r="Q91" s="192" t="n"/>
    </row>
    <row r="92" ht="15.75" customHeight="1" s="251">
      <c r="A92" s="192" t="n"/>
      <c r="B92" s="197" t="inlineStr">
        <is>
          <t>Tax rate (from WACC build)</t>
        </is>
      </c>
      <c r="C92" s="210">
        <f>$C$10</f>
        <v>0.17</v>
      </c>
      <c r="D92" s="192" t="n"/>
      <c r="E92" s="192" t="n"/>
      <c r="F92" s="192" t="n"/>
      <c r="G92" s="192" t="n"/>
      <c r="H92" s="192" t="n"/>
      <c r="I92" s="192" t="n"/>
      <c r="J92" s="192" t="n"/>
      <c r="K92" s="192" t="n"/>
      <c r="L92" s="192" t="n"/>
      <c r="M92" s="192" t="n"/>
      <c r="N92" s="192" t="n"/>
      <c r="O92" s="192" t="n"/>
      <c r="P92" s="192" t="n"/>
      <c r="Q92" s="192" t="n"/>
    </row>
    <row r="93" ht="15.75" customHeight="1" s="251">
      <c r="A93" s="192" t="n"/>
      <c r="B93" s="197" t="inlineStr">
        <is>
          <t>FY2029E NOPAT</t>
        </is>
      </c>
      <c r="C93" s="211">
        <f>C91*(1-C92)</f>
        <v>12745.1009262083</v>
      </c>
      <c r="D93" s="192" t="n"/>
      <c r="E93" s="192" t="n"/>
      <c r="F93" s="192" t="n"/>
      <c r="G93" s="192" t="n"/>
      <c r="H93" s="192" t="n"/>
      <c r="I93" s="192" t="n"/>
      <c r="J93" s="192" t="n"/>
      <c r="K93" s="192" t="n"/>
      <c r="L93" s="192" t="n"/>
      <c r="M93" s="192" t="n"/>
      <c r="N93" s="192" t="n"/>
      <c r="O93" s="192" t="n"/>
      <c r="P93" s="192" t="n"/>
      <c r="Q93" s="192" t="n"/>
    </row>
    <row r="94" ht="15.75" customHeight="1" s="251">
      <c r="A94" s="192" t="n"/>
      <c r="B94" s="197" t="inlineStr">
        <is>
          <t>× Mauboussin EV/NOPAT multiple</t>
        </is>
      </c>
      <c r="C94" s="305">
        <f>C88</f>
        <v>28.2776769546321</v>
      </c>
      <c r="D94" s="192" t="n"/>
      <c r="E94" s="192" t="n"/>
      <c r="F94" s="192" t="n"/>
      <c r="G94" s="192" t="n"/>
      <c r="H94" s="192" t="n"/>
      <c r="I94" s="192" t="n"/>
      <c r="J94" s="192" t="n"/>
      <c r="K94" s="192" t="n"/>
      <c r="L94" s="192" t="n"/>
      <c r="M94" s="192" t="n"/>
      <c r="N94" s="192" t="n"/>
      <c r="O94" s="192" t="n"/>
      <c r="P94" s="192" t="n"/>
      <c r="Q94" s="192" t="n"/>
    </row>
    <row r="95" ht="15.75" customHeight="1" s="251">
      <c r="A95" s="192" t="n"/>
      <c r="B95" s="197" t="inlineStr">
        <is>
          <t>Implied Enterprise Value (FY2029E basis)</t>
        </is>
      </c>
      <c r="C95" s="211">
        <f>C93*C94</f>
        <v>360401.846745499</v>
      </c>
      <c r="D95" s="192" t="n"/>
      <c r="E95" s="192" t="n"/>
      <c r="F95" s="192" t="n"/>
      <c r="G95" s="192" t="n"/>
      <c r="H95" s="192" t="n"/>
      <c r="I95" s="192" t="n"/>
      <c r="J95" s="192" t="n"/>
      <c r="K95" s="192" t="n"/>
      <c r="L95" s="192" t="n"/>
      <c r="M95" s="192" t="n"/>
      <c r="N95" s="192" t="n"/>
      <c r="O95" s="192" t="n"/>
      <c r="P95" s="192" t="n"/>
      <c r="Q95" s="192" t="n"/>
    </row>
    <row r="96" ht="15.75" customHeight="1" s="251">
      <c r="A96" s="192" t="n"/>
      <c r="B96" s="197" t="inlineStr">
        <is>
          <t>Less: FY2028E year-end net debt + NCI (Model)</t>
        </is>
      </c>
      <c r="C96" s="209">
        <f>Model!Y465+Model!Y377</f>
        <v>16060.6995421124</v>
      </c>
      <c r="D96" s="192" t="n"/>
      <c r="E96" s="192" t="n"/>
      <c r="F96" s="192" t="n"/>
      <c r="G96" s="192" t="n"/>
      <c r="H96" s="192" t="n"/>
      <c r="I96" s="192" t="n"/>
      <c r="J96" s="192" t="n"/>
      <c r="K96" s="192" t="n"/>
      <c r="L96" s="192" t="n"/>
      <c r="M96" s="192" t="n"/>
      <c r="N96" s="192" t="n"/>
      <c r="O96" s="192" t="n"/>
      <c r="P96" s="192" t="n"/>
      <c r="Q96" s="192" t="n"/>
    </row>
    <row r="97" ht="15.75" customHeight="1" s="251">
      <c r="A97" s="192" t="n"/>
      <c r="B97" s="197" t="inlineStr">
        <is>
          <t>Implied Equity Value</t>
        </is>
      </c>
      <c r="C97" s="211">
        <f>C95-C96</f>
        <v>344341.147203387</v>
      </c>
      <c r="D97" s="192" t="n"/>
      <c r="E97" s="192" t="n"/>
      <c r="F97" s="192" t="n"/>
      <c r="G97" s="192" t="n"/>
      <c r="H97" s="192" t="n"/>
      <c r="I97" s="192" t="n"/>
      <c r="J97" s="192" t="n"/>
      <c r="K97" s="192" t="n"/>
      <c r="L97" s="192" t="n"/>
      <c r="M97" s="192" t="n"/>
      <c r="N97" s="192" t="n"/>
      <c r="O97" s="192" t="n"/>
      <c r="P97" s="192" t="n"/>
      <c r="Q97" s="192" t="n"/>
    </row>
    <row r="98" ht="15.75" customHeight="1" s="251">
      <c r="A98" s="192" t="n"/>
      <c r="B98" s="197" t="inlineStr">
        <is>
          <t>Diluted shares FY2029E (m, Model)</t>
        </is>
      </c>
      <c r="C98" s="212">
        <f>Model!Z472</f>
        <v>982.711460559167</v>
      </c>
      <c r="D98" s="192" t="n"/>
      <c r="E98" s="192" t="n"/>
      <c r="F98" s="192" t="n"/>
      <c r="G98" s="192" t="n"/>
      <c r="H98" s="192" t="n"/>
      <c r="I98" s="192" t="n"/>
      <c r="J98" s="192" t="n"/>
      <c r="K98" s="192" t="n"/>
      <c r="L98" s="192" t="n"/>
      <c r="M98" s="192" t="n"/>
      <c r="N98" s="192" t="n"/>
      <c r="O98" s="192" t="n"/>
      <c r="P98" s="192" t="n"/>
      <c r="Q98" s="192" t="n"/>
    </row>
    <row r="99" ht="15.75" customHeight="1" s="251">
      <c r="A99" s="192" t="n"/>
      <c r="B99" s="202" t="inlineStr">
        <is>
          <t>Implied share price FY2029 ($)</t>
        </is>
      </c>
      <c r="C99" s="213">
        <f>C97/C98</f>
        <v>350.39903473544</v>
      </c>
      <c r="D99" s="192" t="n"/>
      <c r="E99" s="192" t="n"/>
      <c r="F99" s="192" t="n"/>
      <c r="G99" s="192" t="n"/>
      <c r="H99" s="192" t="n"/>
      <c r="I99" s="192" t="n"/>
      <c r="J99" s="192" t="n"/>
      <c r="K99" s="192" t="n"/>
      <c r="L99" s="192" t="n"/>
      <c r="M99" s="192" t="n"/>
      <c r="N99" s="192" t="n"/>
      <c r="O99" s="192" t="n"/>
      <c r="P99" s="192" t="n"/>
      <c r="Q99" s="192" t="n"/>
    </row>
    <row r="100" ht="15" customHeight="1" s="251">
      <c r="A100" s="192" t="n"/>
      <c r="B100" s="192" t="n"/>
      <c r="C100" s="192" t="n"/>
      <c r="D100" s="192" t="n"/>
      <c r="E100" s="192" t="n"/>
      <c r="F100" s="192" t="n"/>
      <c r="G100" s="192" t="n"/>
      <c r="H100" s="192" t="n"/>
      <c r="I100" s="192" t="n"/>
      <c r="J100" s="192" t="n"/>
      <c r="K100" s="192" t="n"/>
      <c r="L100" s="192" t="n"/>
      <c r="M100" s="192" t="n"/>
      <c r="N100" s="192" t="n"/>
      <c r="O100" s="192" t="n"/>
      <c r="P100" s="192" t="n"/>
      <c r="Q100" s="192" t="n"/>
    </row>
    <row r="101" ht="15.75" customHeight="1" s="251">
      <c r="A101" s="192" t="n"/>
      <c r="B101" s="197" t="inlineStr">
        <is>
          <t>Current share price ($)</t>
        </is>
      </c>
      <c r="C101" s="214">
        <f>C52</f>
        <v>308</v>
      </c>
      <c r="D101" s="192" t="n"/>
      <c r="E101" s="192" t="n"/>
      <c r="F101" s="192" t="n"/>
      <c r="G101" s="192" t="n"/>
      <c r="H101" s="192" t="n"/>
      <c r="I101" s="192" t="n"/>
      <c r="J101" s="192" t="n"/>
      <c r="K101" s="192" t="n"/>
      <c r="L101" s="192" t="n"/>
      <c r="M101" s="192" t="n"/>
      <c r="N101" s="192" t="n"/>
      <c r="O101" s="192" t="n"/>
      <c r="P101" s="192" t="n"/>
      <c r="Q101" s="192" t="n"/>
    </row>
    <row r="102" ht="15.75" customHeight="1" s="251">
      <c r="A102" s="192" t="n"/>
      <c r="B102" s="199" t="inlineStr">
        <is>
          <t>Implied upside / (downside)</t>
        </is>
      </c>
      <c r="C102" s="245">
        <f>C99/C101-1</f>
        <v>0.137659203686494</v>
      </c>
      <c r="D102" s="192" t="n"/>
      <c r="E102" s="192" t="n"/>
      <c r="F102" s="192" t="n"/>
      <c r="G102" s="192" t="n"/>
      <c r="H102" s="192" t="n"/>
      <c r="I102" s="192" t="n"/>
      <c r="J102" s="192" t="n"/>
      <c r="K102" s="192" t="n"/>
      <c r="L102" s="192" t="n"/>
      <c r="M102" s="192" t="n"/>
      <c r="N102" s="192" t="n"/>
      <c r="O102" s="192" t="n"/>
      <c r="P102" s="192" t="n"/>
      <c r="Q102" s="192" t="n"/>
    </row>
    <row r="103" ht="15" customHeight="1" s="251">
      <c r="A103" s="192" t="n"/>
      <c r="B103" s="192" t="n"/>
      <c r="C103" s="192" t="n"/>
      <c r="D103" s="192" t="n"/>
      <c r="E103" s="192" t="n"/>
      <c r="F103" s="192" t="n"/>
      <c r="G103" s="192" t="n"/>
      <c r="H103" s="192" t="n"/>
      <c r="I103" s="192" t="n"/>
      <c r="J103" s="192" t="n"/>
      <c r="K103" s="192" t="n"/>
      <c r="L103" s="192" t="n"/>
      <c r="M103" s="192" t="n"/>
      <c r="N103" s="192" t="n"/>
      <c r="O103" s="192" t="n"/>
      <c r="P103" s="192" t="n"/>
      <c r="Q103" s="192" t="n"/>
    </row>
    <row r="104" ht="15.75" customHeight="1" s="251">
      <c r="A104" s="192" t="n"/>
      <c r="B104" s="195" t="inlineStr">
        <is>
          <t>MARKET-IMPLIED EV/NOPAT TODAY</t>
        </is>
      </c>
      <c r="C104" s="207" t="inlineStr">
        <is>
          <t>USDm</t>
        </is>
      </c>
      <c r="D104" s="192" t="n"/>
      <c r="E104" s="192" t="n"/>
      <c r="F104" s="192" t="n"/>
      <c r="G104" s="192" t="n"/>
      <c r="H104" s="192" t="n"/>
      <c r="I104" s="192" t="n"/>
      <c r="J104" s="192" t="n"/>
      <c r="K104" s="192" t="n"/>
      <c r="L104" s="192" t="n"/>
      <c r="M104" s="192" t="n"/>
      <c r="N104" s="192" t="n"/>
      <c r="O104" s="192" t="n"/>
      <c r="P104" s="192" t="n"/>
      <c r="Q104" s="192" t="n"/>
    </row>
    <row r="105" ht="15.75" customHeight="1" s="251">
      <c r="A105" s="192" t="n"/>
      <c r="B105" s="197" t="inlineStr">
        <is>
          <t>Current market cap (spot × diluted shares)</t>
        </is>
      </c>
      <c r="C105" s="211">
        <f>C52*C50</f>
        <v>318341.254004</v>
      </c>
      <c r="D105" s="192" t="n"/>
      <c r="E105" s="192" t="n"/>
      <c r="F105" s="192" t="n"/>
      <c r="G105" s="192" t="n"/>
      <c r="H105" s="192" t="n"/>
      <c r="I105" s="192" t="n"/>
      <c r="J105" s="192" t="n"/>
      <c r="K105" s="192" t="n"/>
      <c r="L105" s="192" t="n"/>
      <c r="M105" s="192" t="n"/>
      <c r="N105" s="192" t="n"/>
      <c r="O105" s="192" t="n"/>
      <c r="P105" s="192" t="n"/>
      <c r="Q105" s="192" t="n"/>
    </row>
    <row r="106" ht="15.75" customHeight="1" s="251">
      <c r="A106" s="192" t="n"/>
      <c r="B106" s="197" t="inlineStr">
        <is>
          <t>Plus: FY2026E year-end net debt + NCI</t>
        </is>
      </c>
      <c r="C106" s="211">
        <f>C48</f>
        <v>10785.1448661161</v>
      </c>
      <c r="D106" s="192" t="n"/>
      <c r="E106" s="192" t="n"/>
      <c r="F106" s="192" t="n"/>
      <c r="G106" s="192" t="n"/>
      <c r="H106" s="192" t="n"/>
      <c r="I106" s="192" t="n"/>
      <c r="J106" s="192" t="n"/>
      <c r="K106" s="192" t="n"/>
      <c r="L106" s="192" t="n"/>
      <c r="M106" s="192" t="n"/>
      <c r="N106" s="192" t="n"/>
      <c r="O106" s="192" t="n"/>
      <c r="P106" s="192" t="n"/>
      <c r="Q106" s="192" t="n"/>
    </row>
    <row r="107" ht="15.75" customHeight="1" s="251">
      <c r="A107" s="192" t="n"/>
      <c r="B107" s="197" t="inlineStr">
        <is>
          <t>Implied Enterprise Value (today)</t>
        </is>
      </c>
      <c r="C107" s="211">
        <f>C105+C106</f>
        <v>329126.398870116</v>
      </c>
      <c r="D107" s="192" t="n"/>
      <c r="E107" s="192" t="n"/>
      <c r="F107" s="192" t="n"/>
      <c r="G107" s="192" t="n"/>
      <c r="H107" s="192" t="n"/>
      <c r="I107" s="192" t="n"/>
      <c r="J107" s="192" t="n"/>
      <c r="K107" s="192" t="n"/>
      <c r="L107" s="192" t="n"/>
      <c r="M107" s="192" t="n"/>
      <c r="N107" s="192" t="n"/>
      <c r="O107" s="192" t="n"/>
      <c r="P107" s="192" t="n"/>
      <c r="Q107" s="192" t="n"/>
    </row>
    <row r="108" ht="15.75" customHeight="1" s="251">
      <c r="A108" s="192" t="n"/>
      <c r="B108" s="202" t="inlineStr">
        <is>
          <t>GE market-implied EV/NOPAT (on FY2029E NOPAT)</t>
        </is>
      </c>
      <c r="C108" s="306">
        <f>C107/C93</f>
        <v>25.8237577541124</v>
      </c>
      <c r="D108" s="192" t="n"/>
      <c r="E108" s="192" t="n"/>
      <c r="F108" s="192" t="n"/>
      <c r="G108" s="192" t="n"/>
      <c r="H108" s="192" t="n"/>
      <c r="I108" s="192" t="n"/>
      <c r="J108" s="192" t="n"/>
      <c r="K108" s="192" t="n"/>
      <c r="L108" s="192" t="n"/>
      <c r="M108" s="192" t="n"/>
      <c r="N108" s="192" t="n"/>
      <c r="O108" s="192" t="n"/>
      <c r="P108" s="192" t="n"/>
      <c r="Q108" s="192" t="n"/>
    </row>
    <row r="109" ht="15" customHeight="1" s="251">
      <c r="A109" s="192" t="n"/>
      <c r="B109" s="192" t="n"/>
      <c r="C109" s="192" t="n"/>
      <c r="D109" s="192" t="n"/>
      <c r="E109" s="192" t="n"/>
      <c r="F109" s="192" t="n"/>
      <c r="G109" s="192" t="n"/>
      <c r="H109" s="192" t="n"/>
      <c r="I109" s="192" t="n"/>
      <c r="J109" s="192" t="n"/>
      <c r="K109" s="192" t="n"/>
      <c r="L109" s="192" t="n"/>
      <c r="M109" s="192" t="n"/>
      <c r="N109" s="192" t="n"/>
      <c r="O109" s="192" t="n"/>
      <c r="P109" s="192" t="n"/>
      <c r="Q109" s="192" t="n"/>
    </row>
    <row r="110" ht="15.75" customHeight="1" s="251">
      <c r="A110" s="192" t="n"/>
      <c r="B110" s="199" t="inlineStr">
        <is>
          <t>Multiple gap (Mauboussin − Market)</t>
        </is>
      </c>
      <c r="C110" s="247">
        <f>C88-C108</f>
        <v>2.45391920051965</v>
      </c>
      <c r="D110" s="192" t="n"/>
      <c r="E110" s="192" t="n"/>
      <c r="F110" s="192" t="n"/>
      <c r="G110" s="192" t="n"/>
      <c r="H110" s="192" t="n"/>
      <c r="I110" s="192" t="n"/>
      <c r="J110" s="192" t="n"/>
      <c r="K110" s="192" t="n"/>
      <c r="L110" s="192" t="n"/>
      <c r="M110" s="192" t="n"/>
      <c r="N110" s="192" t="n"/>
      <c r="O110" s="192" t="n"/>
      <c r="P110" s="192" t="n"/>
      <c r="Q110" s="192" t="n"/>
    </row>
    <row r="111" ht="15.75" customHeight="1" s="251">
      <c r="A111" s="192" t="n"/>
      <c r="B111" s="197" t="inlineStr">
        <is>
          <t>Implied re-rating headroom</t>
        </is>
      </c>
      <c r="C111" s="215">
        <f>C88/C108-1</f>
        <v>0.0950256435908854</v>
      </c>
      <c r="D111" s="192" t="n"/>
      <c r="E111" s="192" t="n"/>
      <c r="F111" s="192" t="n"/>
      <c r="G111" s="192" t="n"/>
      <c r="H111" s="192" t="n"/>
      <c r="I111" s="192" t="n"/>
      <c r="J111" s="192" t="n"/>
      <c r="K111" s="192" t="n"/>
      <c r="L111" s="192" t="n"/>
      <c r="M111" s="192" t="n"/>
      <c r="N111" s="192" t="n"/>
      <c r="O111" s="192" t="n"/>
      <c r="P111" s="192" t="n"/>
      <c r="Q111" s="192" t="n"/>
    </row>
    <row r="112" ht="15" customHeight="1" s="251">
      <c r="A112" s="192" t="n"/>
      <c r="B112" s="192" t="n"/>
      <c r="C112" s="192" t="n"/>
      <c r="D112" s="192" t="n"/>
      <c r="E112" s="192" t="n"/>
      <c r="F112" s="192" t="n"/>
      <c r="G112" s="192" t="n"/>
      <c r="H112" s="192" t="n"/>
      <c r="I112" s="192" t="n"/>
      <c r="J112" s="192" t="n"/>
      <c r="K112" s="192" t="n"/>
      <c r="L112" s="192" t="n"/>
      <c r="M112" s="192" t="n"/>
      <c r="N112" s="192" t="n"/>
      <c r="O112" s="192" t="n"/>
      <c r="P112" s="192" t="n"/>
      <c r="Q112" s="192" t="n"/>
    </row>
    <row r="113" ht="15" customHeight="1" s="251">
      <c r="A113" s="192" t="n"/>
      <c r="B113" s="192" t="n"/>
      <c r="C113" s="192" t="n"/>
      <c r="D113" s="192" t="n"/>
      <c r="E113" s="192" t="n"/>
      <c r="F113" s="192" t="n"/>
      <c r="G113" s="192" t="n"/>
      <c r="H113" s="192" t="n"/>
      <c r="I113" s="192" t="n"/>
      <c r="J113" s="192" t="n"/>
      <c r="K113" s="192" t="n"/>
      <c r="L113" s="192" t="n"/>
      <c r="M113" s="192" t="n"/>
      <c r="N113" s="192" t="n"/>
      <c r="O113" s="192" t="n"/>
      <c r="P113" s="192" t="n"/>
      <c r="Q113" s="192" t="n"/>
    </row>
    <row r="114" ht="15" customHeight="1" s="251">
      <c r="A114" s="192" t="n"/>
      <c r="B114" s="192" t="n"/>
      <c r="C114" s="192" t="n"/>
      <c r="D114" s="192" t="n"/>
      <c r="E114" s="192" t="n"/>
      <c r="F114" s="192" t="n"/>
      <c r="G114" s="192" t="n"/>
      <c r="H114" s="192" t="n"/>
      <c r="I114" s="192" t="n"/>
      <c r="J114" s="192" t="n"/>
      <c r="K114" s="192" t="n"/>
      <c r="L114" s="192" t="n"/>
      <c r="M114" s="192" t="n"/>
      <c r="N114" s="192" t="n"/>
      <c r="O114" s="192" t="n"/>
      <c r="P114" s="192" t="n"/>
      <c r="Q114" s="192" t="n"/>
    </row>
    <row r="115" ht="15" customHeight="1" s="251">
      <c r="A115" s="192" t="n"/>
      <c r="B115" s="192" t="n"/>
      <c r="C115" s="192" t="n"/>
      <c r="D115" s="192" t="n"/>
      <c r="E115" s="192" t="n"/>
      <c r="F115" s="192" t="n"/>
      <c r="G115" s="192" t="n"/>
      <c r="H115" s="192" t="n"/>
      <c r="I115" s="192" t="n"/>
      <c r="J115" s="192" t="n"/>
      <c r="K115" s="192" t="n"/>
      <c r="L115" s="192" t="n"/>
      <c r="M115" s="192" t="n"/>
      <c r="N115" s="192" t="n"/>
      <c r="O115" s="192" t="n"/>
      <c r="P115" s="192" t="n"/>
      <c r="Q115" s="192" t="n"/>
    </row>
    <row r="116">
      <c r="A116" s="192" t="n"/>
      <c r="B116" s="192" t="n"/>
      <c r="C116" s="192" t="n"/>
      <c r="D116" s="192" t="n"/>
      <c r="E116" s="192" t="n"/>
      <c r="F116" s="192" t="n"/>
      <c r="G116" s="192" t="n"/>
      <c r="H116" s="192" t="n"/>
      <c r="I116" s="192" t="n"/>
      <c r="J116" s="192" t="n"/>
      <c r="K116" s="192" t="n"/>
      <c r="L116" s="192" t="n"/>
      <c r="M116" s="192" t="n"/>
      <c r="N116" s="192" t="n"/>
      <c r="O116" s="192" t="n"/>
      <c r="P116" s="192" t="n"/>
      <c r="Q116" s="192" t="n"/>
    </row>
    <row r="117" ht="15" customHeight="1" s="251">
      <c r="A117" s="192" t="n"/>
      <c r="B117" s="192" t="n"/>
      <c r="C117" s="192" t="n"/>
      <c r="D117" s="192" t="n"/>
      <c r="E117" s="192" t="n"/>
      <c r="F117" s="192" t="n"/>
      <c r="G117" s="192" t="n"/>
      <c r="H117" s="192" t="n"/>
      <c r="I117" s="192" t="n"/>
      <c r="J117" s="192" t="n"/>
      <c r="K117" s="192" t="n"/>
      <c r="L117" s="192" t="n"/>
      <c r="M117" s="192" t="n"/>
      <c r="N117" s="192" t="n"/>
      <c r="O117" s="192" t="n"/>
      <c r="P117" s="192" t="n"/>
      <c r="Q117" s="192" t="n"/>
    </row>
    <row r="118" ht="15" customHeight="1" s="251">
      <c r="A118" s="192" t="n"/>
      <c r="B118" s="192" t="n"/>
      <c r="C118" s="192" t="n"/>
      <c r="D118" s="192" t="n"/>
      <c r="E118" s="192" t="n"/>
      <c r="F118" s="192" t="n"/>
      <c r="G118" s="192" t="n"/>
      <c r="H118" s="192" t="n"/>
      <c r="I118" s="192" t="n"/>
      <c r="J118" s="192" t="n"/>
      <c r="K118" s="192" t="n"/>
      <c r="L118" s="192" t="n"/>
      <c r="M118" s="192" t="n"/>
      <c r="N118" s="192" t="n"/>
      <c r="O118" s="192" t="n"/>
      <c r="P118" s="192" t="n"/>
      <c r="Q118" s="192" t="n"/>
    </row>
    <row r="119">
      <c r="A119" s="192" t="n"/>
      <c r="B119" s="192" t="n"/>
      <c r="C119" s="192" t="n"/>
      <c r="D119" s="192" t="n"/>
      <c r="E119" s="192" t="n"/>
      <c r="F119" s="192" t="n"/>
      <c r="G119" s="192" t="n"/>
      <c r="H119" s="192" t="n"/>
      <c r="I119" s="192" t="n"/>
      <c r="J119" s="192" t="n"/>
      <c r="K119" s="192" t="n"/>
      <c r="L119" s="192" t="n"/>
      <c r="M119" s="192" t="n"/>
      <c r="N119" s="192" t="n"/>
      <c r="O119" s="192" t="n"/>
      <c r="P119" s="192" t="n"/>
      <c r="Q119" s="192" t="n"/>
    </row>
    <row r="120">
      <c r="A120" s="192" t="n"/>
      <c r="B120" s="192" t="n"/>
      <c r="C120" s="192" t="n"/>
      <c r="D120" s="192" t="n"/>
      <c r="E120" s="192" t="n"/>
      <c r="F120" s="192" t="n"/>
      <c r="G120" s="192" t="n"/>
      <c r="H120" s="192" t="n"/>
      <c r="I120" s="192" t="n"/>
      <c r="J120" s="192" t="n"/>
      <c r="K120" s="192" t="n"/>
      <c r="L120" s="192" t="n"/>
      <c r="M120" s="192" t="n"/>
      <c r="N120" s="192" t="n"/>
      <c r="O120" s="192" t="n"/>
      <c r="P120" s="192" t="n"/>
      <c r="Q120" s="192" t="n"/>
    </row>
    <row r="121">
      <c r="A121" s="192" t="n"/>
      <c r="B121" s="192" t="n"/>
      <c r="C121" s="192" t="n"/>
      <c r="D121" s="192" t="n"/>
      <c r="E121" s="192" t="n"/>
      <c r="F121" s="192" t="n"/>
      <c r="G121" s="192" t="n"/>
      <c r="H121" s="192" t="n"/>
      <c r="I121" s="192" t="n"/>
      <c r="J121" s="192" t="n"/>
      <c r="K121" s="192" t="n"/>
      <c r="L121" s="192" t="n"/>
      <c r="M121" s="192" t="n"/>
      <c r="N121" s="192" t="n"/>
      <c r="O121" s="192" t="n"/>
      <c r="P121" s="192" t="n"/>
      <c r="Q121" s="192" t="n"/>
    </row>
    <row r="122">
      <c r="A122" s="192" t="n"/>
      <c r="B122" s="192" t="n"/>
      <c r="C122" s="192" t="n"/>
      <c r="D122" s="192" t="n"/>
      <c r="E122" s="192" t="n"/>
      <c r="F122" s="192" t="n"/>
      <c r="G122" s="192" t="n"/>
      <c r="H122" s="192" t="n"/>
      <c r="I122" s="192" t="n"/>
      <c r="J122" s="192" t="n"/>
      <c r="K122" s="192" t="n"/>
      <c r="L122" s="192" t="n"/>
      <c r="M122" s="192" t="n"/>
      <c r="N122" s="192" t="n"/>
      <c r="O122" s="192" t="n"/>
      <c r="P122" s="192" t="n"/>
      <c r="Q122" s="192" t="n"/>
    </row>
    <row r="123">
      <c r="A123" s="192" t="n"/>
      <c r="B123" s="192" t="n"/>
      <c r="C123" s="192" t="n"/>
      <c r="D123" s="192" t="n"/>
      <c r="E123" s="192" t="n"/>
      <c r="F123" s="192" t="n"/>
      <c r="G123" s="192" t="n"/>
      <c r="H123" s="192" t="n"/>
      <c r="I123" s="192" t="n"/>
      <c r="J123" s="192" t="n"/>
      <c r="K123" s="192" t="n"/>
      <c r="L123" s="192" t="n"/>
      <c r="M123" s="192" t="n"/>
      <c r="N123" s="192" t="n"/>
      <c r="O123" s="192" t="n"/>
      <c r="P123" s="192" t="n"/>
      <c r="Q123" s="192" t="n"/>
    </row>
    <row r="124">
      <c r="A124" s="192" t="n"/>
      <c r="B124" s="192" t="n"/>
      <c r="C124" s="192" t="n"/>
      <c r="D124" s="192" t="n"/>
      <c r="E124" s="192" t="n"/>
      <c r="F124" s="192" t="n"/>
      <c r="G124" s="192" t="n"/>
      <c r="H124" s="192" t="n"/>
      <c r="I124" s="192" t="n"/>
      <c r="J124" s="192" t="n"/>
      <c r="K124" s="192" t="n"/>
      <c r="L124" s="192" t="n"/>
      <c r="M124" s="192" t="n"/>
      <c r="N124" s="192" t="n"/>
      <c r="O124" s="192" t="n"/>
      <c r="P124" s="192" t="n"/>
      <c r="Q124" s="192" t="n"/>
    </row>
    <row r="125">
      <c r="A125" s="192" t="n"/>
      <c r="B125" s="192" t="n"/>
      <c r="C125" s="192" t="n"/>
      <c r="D125" s="192" t="n"/>
      <c r="E125" s="192" t="n"/>
      <c r="F125" s="192" t="n"/>
      <c r="G125" s="192" t="n"/>
      <c r="H125" s="192" t="n"/>
      <c r="I125" s="192" t="n"/>
      <c r="J125" s="192" t="n"/>
      <c r="K125" s="192" t="n"/>
      <c r="L125" s="192" t="n"/>
      <c r="M125" s="192" t="n"/>
      <c r="N125" s="192" t="n"/>
      <c r="O125" s="192" t="n"/>
      <c r="P125" s="192" t="n"/>
      <c r="Q125" s="192" t="n"/>
    </row>
    <row r="126">
      <c r="A126" s="192" t="n"/>
      <c r="B126" s="192" t="n"/>
      <c r="C126" s="192" t="n"/>
      <c r="D126" s="192" t="n"/>
      <c r="E126" s="192" t="n"/>
      <c r="F126" s="192" t="n"/>
      <c r="G126" s="192" t="n"/>
      <c r="H126" s="192" t="n"/>
      <c r="I126" s="192" t="n"/>
      <c r="J126" s="192" t="n"/>
      <c r="K126" s="192" t="n"/>
      <c r="L126" s="192" t="n"/>
      <c r="M126" s="192" t="n"/>
      <c r="N126" s="192" t="n"/>
      <c r="O126" s="192" t="n"/>
      <c r="P126" s="192" t="n"/>
      <c r="Q126" s="192" t="n"/>
    </row>
    <row r="127">
      <c r="A127" s="192" t="n"/>
      <c r="B127" s="192" t="n"/>
      <c r="C127" s="192" t="n"/>
      <c r="D127" s="192" t="n"/>
      <c r="E127" s="192" t="n"/>
      <c r="F127" s="192" t="n"/>
      <c r="G127" s="192" t="n"/>
      <c r="H127" s="192" t="n"/>
      <c r="I127" s="192" t="n"/>
      <c r="J127" s="192" t="n"/>
      <c r="K127" s="192" t="n"/>
      <c r="L127" s="192" t="n"/>
      <c r="M127" s="192" t="n"/>
      <c r="N127" s="192" t="n"/>
      <c r="O127" s="192" t="n"/>
      <c r="P127" s="192" t="n"/>
      <c r="Q127" s="192" t="n"/>
    </row>
    <row r="128">
      <c r="A128" s="192" t="n"/>
      <c r="B128" s="192" t="n"/>
      <c r="C128" s="192" t="n"/>
      <c r="D128" s="192" t="n"/>
      <c r="E128" s="192" t="n"/>
      <c r="F128" s="192" t="n"/>
      <c r="G128" s="192" t="n"/>
      <c r="H128" s="192" t="n"/>
      <c r="I128" s="192" t="n"/>
      <c r="J128" s="192" t="n"/>
      <c r="K128" s="192" t="n"/>
      <c r="L128" s="192" t="n"/>
      <c r="M128" s="192" t="n"/>
      <c r="N128" s="192" t="n"/>
      <c r="O128" s="192" t="n"/>
      <c r="P128" s="192" t="n"/>
      <c r="Q128" s="192" t="n"/>
    </row>
    <row r="129">
      <c r="A129" s="192" t="n"/>
      <c r="B129" s="192" t="n"/>
      <c r="C129" s="192" t="n"/>
      <c r="D129" s="192" t="n"/>
      <c r="E129" s="192" t="n"/>
      <c r="F129" s="192" t="n"/>
      <c r="G129" s="192" t="n"/>
      <c r="H129" s="192" t="n"/>
      <c r="I129" s="192" t="n"/>
      <c r="J129" s="192" t="n"/>
      <c r="K129" s="192" t="n"/>
      <c r="L129" s="192" t="n"/>
      <c r="M129" s="192" t="n"/>
      <c r="N129" s="192" t="n"/>
      <c r="O129" s="192" t="n"/>
      <c r="P129" s="192" t="n"/>
      <c r="Q129" s="192" t="n"/>
    </row>
    <row r="130">
      <c r="A130" s="192" t="n"/>
      <c r="B130" s="192" t="n"/>
      <c r="C130" s="192" t="n"/>
      <c r="D130" s="192" t="n"/>
      <c r="E130" s="192" t="n"/>
      <c r="F130" s="192" t="n"/>
      <c r="G130" s="192" t="n"/>
      <c r="H130" s="192" t="n"/>
      <c r="I130" s="192" t="n"/>
      <c r="J130" s="192" t="n"/>
      <c r="K130" s="192" t="n"/>
      <c r="L130" s="192" t="n"/>
      <c r="M130" s="192" t="n"/>
      <c r="N130" s="192" t="n"/>
      <c r="O130" s="192" t="n"/>
      <c r="P130" s="192" t="n"/>
      <c r="Q130" s="192" t="n"/>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V21"/>
  <sheetViews>
    <sheetView zoomScale="70" zoomScaleNormal="70" workbookViewId="0">
      <selection activeCell="A1" sqref="A1"/>
    </sheetView>
  </sheetViews>
  <sheetFormatPr baseColWidth="8" defaultColWidth="8.5703125" defaultRowHeight="15"/>
  <cols>
    <col width="30" customWidth="1" style="251" min="2" max="2"/>
  </cols>
  <sheetData>
    <row r="2" ht="17.25" customHeight="1" s="251">
      <c r="B2" s="107" t="inlineStr">
        <is>
          <t>General Electric Company (GE Aerospace) — Operating Performance (FY2023–FY2025) and Model Forecast (FY2026E–FY2031E)</t>
        </is>
      </c>
    </row>
    <row r="3" ht="15" customHeight="1" s="251">
      <c r="B3" s="4" t="inlineStr">
        <is>
          <t>USDm · calendar years · Linked to Model. Bars = contribution of each segment to adjusted revenue growth (pp; segments as reported in each year, Jan-2026 structure from 2026). Adjusted EBITDA = operating profit + D&amp;A (model). ROIC / RONTA on operating profit (full-cost); charts start in 2023, the first year with a GE Aerospace balance sheet.</t>
        </is>
      </c>
    </row>
    <row r="7" ht="15" customHeight="1" s="251">
      <c r="C7" s="10" t="n">
        <v>2023</v>
      </c>
      <c r="D7" s="10" t="n">
        <v>2024</v>
      </c>
      <c r="E7" s="10" t="n">
        <v>2025</v>
      </c>
      <c r="F7" s="10" t="inlineStr">
        <is>
          <t>2026E</t>
        </is>
      </c>
      <c r="G7" s="10" t="inlineStr">
        <is>
          <t>2027E</t>
        </is>
      </c>
      <c r="H7" s="10" t="inlineStr">
        <is>
          <t>2028E</t>
        </is>
      </c>
      <c r="I7" s="10" t="inlineStr">
        <is>
          <t>2029E</t>
        </is>
      </c>
      <c r="J7" s="10" t="inlineStr">
        <is>
          <t>2030E</t>
        </is>
      </c>
      <c r="K7" s="10" t="inlineStr">
        <is>
          <t>2031E</t>
        </is>
      </c>
      <c r="L7" s="10" t="n"/>
      <c r="M7" s="10" t="n"/>
      <c r="N7" s="10" t="n"/>
      <c r="O7" s="10" t="n"/>
      <c r="P7" s="10" t="n"/>
      <c r="Q7" s="10" t="n"/>
      <c r="R7" s="10" t="n"/>
      <c r="S7" s="10" t="n"/>
      <c r="T7" s="10" t="n"/>
      <c r="U7" s="10" t="n"/>
      <c r="V7" s="10" t="n"/>
    </row>
    <row r="8" ht="15" customHeight="1" s="251">
      <c r="B8" t="inlineStr">
        <is>
          <t>CES contribution to growth (pp)</t>
        </is>
      </c>
      <c r="C8" s="108">
        <f>IFERROR(Model!H272+0,0)</f>
        <v>0.192575051562142</v>
      </c>
      <c r="D8" s="108">
        <f>IFERROR(Model!M272+0,0)</f>
        <v>0.0946838136362214</v>
      </c>
      <c r="E8" s="108">
        <f>IFERROR(Model!R272+0,0)</f>
        <v>0.183171981776765</v>
      </c>
      <c r="F8" s="108">
        <f>IFERROR(Model!W272+0,0)</f>
        <v>0.125613057881259</v>
      </c>
      <c r="G8" s="108">
        <f>IFERROR(Model!X272+0,0)</f>
        <v>0.104607079543703</v>
      </c>
      <c r="H8" s="108">
        <f>IFERROR(Model!Y272+0,0)</f>
        <v>0.0837837989533191</v>
      </c>
      <c r="I8" s="108">
        <f>IFERROR(Model!Z272+0,0)</f>
        <v>0.0674957875288607</v>
      </c>
      <c r="J8" s="108">
        <f>IFERROR(Model!AA272+0,0)</f>
        <v>0.0583324254835883</v>
      </c>
      <c r="K8" s="108">
        <f>IFERROR(Model!AB272+0,0)</f>
        <v>0.0507175768538788</v>
      </c>
      <c r="L8" s="108" t="n"/>
      <c r="M8" s="108" t="n"/>
      <c r="N8" s="108" t="n"/>
      <c r="O8" s="108" t="n"/>
      <c r="P8" s="108" t="n"/>
      <c r="Q8" s="108" t="n"/>
      <c r="R8" s="108" t="n"/>
      <c r="S8" s="108" t="n"/>
      <c r="T8" s="108" t="n"/>
      <c r="U8" s="108" t="n"/>
      <c r="V8" s="108" t="n"/>
    </row>
    <row r="9" ht="15" customHeight="1" s="251">
      <c r="B9" t="inlineStr">
        <is>
          <t>DPT contribution to growth (pp)</t>
        </is>
      </c>
      <c r="C9" s="108">
        <f>IFERROR(Model!H273+0,0)</f>
        <v>0.0371247421892904</v>
      </c>
      <c r="D9" s="108">
        <f>IFERROR(Model!M273+0,0)</f>
        <v>0.0161769767514628</v>
      </c>
      <c r="E9" s="108">
        <f>IFERROR(Model!R273+0,0)</f>
        <v>0.0306378132118451</v>
      </c>
      <c r="F9" s="108">
        <f>IFERROR(Model!W273+0,0)</f>
        <v>0.0693924494941218</v>
      </c>
      <c r="G9" s="108">
        <f>IFERROR(Model!X273+0,0)</f>
        <v>0.0216112744143011</v>
      </c>
      <c r="H9" s="108">
        <f>IFERROR(Model!Y273+0,0)</f>
        <v>0.0181009277887939</v>
      </c>
      <c r="I9" s="108">
        <f>IFERROR(Model!Z273+0,0)</f>
        <v>0.0148263966086797</v>
      </c>
      <c r="J9" s="108">
        <f>IFERROR(Model!AA273+0,0)</f>
        <v>0.0145261506620642</v>
      </c>
      <c r="K9" s="108">
        <f>IFERROR(Model!AB273+0,0)</f>
        <v>0.0119496642392685</v>
      </c>
      <c r="L9" s="108" t="n"/>
      <c r="M9" s="108" t="n"/>
      <c r="N9" s="108" t="n"/>
      <c r="O9" s="108" t="n"/>
      <c r="P9" s="108" t="n"/>
      <c r="Q9" s="108" t="n"/>
      <c r="R9" s="108" t="n"/>
      <c r="S9" s="108" t="n"/>
      <c r="T9" s="108" t="n"/>
      <c r="U9" s="108" t="n"/>
      <c r="V9" s="108" t="n"/>
    </row>
    <row r="11" ht="15" customHeight="1" s="251">
      <c r="C11" s="10">
        <f>C7</f>
        <v>2023</v>
      </c>
      <c r="D11" s="10">
        <f>D7</f>
        <v>2024</v>
      </c>
      <c r="E11" s="10">
        <f>E7</f>
        <v>2025</v>
      </c>
      <c r="F11" s="10" t="str">
        <f>F7</f>
        <v>2026E</v>
      </c>
      <c r="G11" s="10" t="str">
        <f>G7</f>
        <v>2027E</v>
      </c>
      <c r="H11" s="10" t="str">
        <f>H7</f>
        <v>2028E</v>
      </c>
      <c r="I11" s="10" t="str">
        <f>I7</f>
        <v>2029E</v>
      </c>
      <c r="J11" s="10" t="str">
        <f>J7</f>
        <v>2030E</v>
      </c>
      <c r="K11" s="10" t="str">
        <f>K7</f>
        <v>2031E</v>
      </c>
      <c r="L11" s="10" t="n"/>
      <c r="M11" s="10" t="n"/>
      <c r="N11" s="10" t="n"/>
      <c r="O11" s="10" t="n"/>
      <c r="P11" s="10" t="n"/>
      <c r="Q11" s="10" t="n"/>
      <c r="R11" s="10" t="n"/>
      <c r="S11" s="10" t="n"/>
      <c r="T11" s="10" t="n"/>
      <c r="U11" s="10" t="n"/>
      <c r="V11" s="10" t="n"/>
    </row>
    <row r="12" ht="15" customHeight="1" s="251">
      <c r="B12" t="inlineStr">
        <is>
          <t>Adjusted EBITDA</t>
        </is>
      </c>
      <c r="C12" s="106">
        <f>Model!H224</f>
        <v>6738</v>
      </c>
      <c r="D12" s="106">
        <f>Model!M224</f>
        <v>8438</v>
      </c>
      <c r="E12" s="106">
        <f>Model!R224</f>
        <v>10276</v>
      </c>
      <c r="F12" s="106">
        <f>Model!W224</f>
        <v>11907</v>
      </c>
      <c r="G12" s="106">
        <f>Model!X224</f>
        <v>13777.9830557573</v>
      </c>
      <c r="H12" s="106">
        <f>Model!Y224</f>
        <v>15833.6995421124</v>
      </c>
      <c r="I12" s="106">
        <f>Model!Z224</f>
        <v>17525.0826764941</v>
      </c>
      <c r="J12" s="106">
        <f>Model!AA224</f>
        <v>19197.4985623119</v>
      </c>
      <c r="K12" s="106">
        <f>Model!AB224</f>
        <v>20658.9147947557</v>
      </c>
      <c r="L12" s="106" t="n"/>
      <c r="M12" s="106" t="n"/>
      <c r="N12" s="106" t="n"/>
      <c r="O12" s="106" t="n"/>
      <c r="P12" s="106" t="n"/>
      <c r="Q12" s="106" t="n"/>
      <c r="R12" s="106" t="n"/>
      <c r="S12" s="106" t="n"/>
      <c r="T12" s="106" t="n"/>
      <c r="U12" s="106" t="n"/>
      <c r="V12" s="106" t="n"/>
    </row>
    <row r="13" ht="15" customHeight="1" s="251">
      <c r="B13" t="inlineStr">
        <is>
          <t>Profit before tax (GAAP)</t>
        </is>
      </c>
      <c r="C13" s="106">
        <f>Model!H172</f>
        <v>10441</v>
      </c>
      <c r="D13" s="106">
        <f>Model!M172</f>
        <v>7620</v>
      </c>
      <c r="E13" s="106">
        <f>Model!R172</f>
        <v>10000</v>
      </c>
      <c r="F13" s="106">
        <f>Model!W172</f>
        <v>10301</v>
      </c>
      <c r="G13" s="106">
        <f>Model!X172</f>
        <v>12265.5380215047</v>
      </c>
      <c r="H13" s="106">
        <f>Model!Y172</f>
        <v>13543.2195254289</v>
      </c>
      <c r="I13" s="106">
        <f>Model!Z172</f>
        <v>15189.1239523532</v>
      </c>
      <c r="J13" s="106">
        <f>Model!AA172</f>
        <v>16612.472591154</v>
      </c>
      <c r="K13" s="106">
        <f>Model!AB172</f>
        <v>17861.2931368435</v>
      </c>
      <c r="L13" s="106" t="n"/>
      <c r="M13" s="106" t="n"/>
      <c r="N13" s="106" t="n"/>
      <c r="O13" s="106" t="n"/>
      <c r="P13" s="106" t="n"/>
      <c r="Q13" s="106" t="n"/>
      <c r="R13" s="106" t="n"/>
      <c r="S13" s="106" t="n"/>
      <c r="T13" s="106" t="n"/>
      <c r="U13" s="106" t="n"/>
      <c r="V13" s="106" t="n"/>
    </row>
    <row r="14" ht="15" customHeight="1" s="251">
      <c r="B14" t="inlineStr">
        <is>
          <t>Adj. EBITDA Margin %</t>
        </is>
      </c>
      <c r="C14" s="108">
        <f>Model!H267</f>
        <v>0.210832629306299</v>
      </c>
      <c r="D14" s="108">
        <f>Model!M267</f>
        <v>0.240261958997722</v>
      </c>
      <c r="E14" s="108">
        <f>Model!R267</f>
        <v>0.242805160436652</v>
      </c>
      <c r="F14" s="108">
        <f>Model!W267</f>
        <v>0.238426302303806</v>
      </c>
      <c r="G14" s="108">
        <f>Model!X267</f>
        <v>0.24452659788752</v>
      </c>
      <c r="H14" s="108">
        <f>Model!Y267</f>
        <v>0.250969328295852</v>
      </c>
      <c r="I14" s="108">
        <f>Model!Z267</f>
        <v>0.256748189513807</v>
      </c>
      <c r="J14" s="108">
        <f>Model!AA267</f>
        <v>0.261922312999836</v>
      </c>
      <c r="K14" s="108">
        <f>Model!AB267</f>
        <v>0.264903721868273</v>
      </c>
      <c r="L14" s="108" t="n"/>
      <c r="M14" s="108" t="n"/>
      <c r="N14" s="108" t="n"/>
      <c r="O14" s="108" t="n"/>
      <c r="P14" s="108" t="n"/>
      <c r="Q14" s="108" t="n"/>
      <c r="R14" s="108" t="n"/>
      <c r="S14" s="108" t="n"/>
      <c r="T14" s="108" t="n"/>
      <c r="U14" s="108" t="n"/>
      <c r="V14" s="108" t="n"/>
    </row>
    <row r="15" ht="15" customHeight="1" s="251">
      <c r="B15" t="inlineStr">
        <is>
          <t>Profit Margin (GAAP) %</t>
        </is>
      </c>
      <c r="C15" s="108">
        <f>Model!H268</f>
        <v>0.295377390517144</v>
      </c>
      <c r="D15" s="108">
        <f>Model!M268</f>
        <v>0.196889049661516</v>
      </c>
      <c r="E15" s="108">
        <f>Model!R268</f>
        <v>0.218078726420238</v>
      </c>
      <c r="F15" s="108">
        <f>Model!W268</f>
        <v>0.194630385542369</v>
      </c>
      <c r="G15" s="108">
        <f>Model!X268</f>
        <v>0.207041396766964</v>
      </c>
      <c r="H15" s="108">
        <f>Model!Y268</f>
        <v>0.205512596548158</v>
      </c>
      <c r="I15" s="108">
        <f>Model!Z268</f>
        <v>0.213982244085053</v>
      </c>
      <c r="J15" s="108">
        <f>Model!AA268</f>
        <v>0.218763306409547</v>
      </c>
      <c r="K15" s="108">
        <f>Model!AB268</f>
        <v>0.221739811557935</v>
      </c>
      <c r="L15" s="108" t="n"/>
      <c r="M15" s="108" t="n"/>
      <c r="N15" s="108" t="n"/>
      <c r="O15" s="108" t="n"/>
      <c r="P15" s="108" t="n"/>
      <c r="Q15" s="108" t="n"/>
      <c r="R15" s="108" t="n"/>
      <c r="S15" s="108" t="n"/>
      <c r="T15" s="108" t="n"/>
      <c r="U15" s="108" t="n"/>
      <c r="V15" s="108" t="n"/>
    </row>
    <row r="17" ht="15" customHeight="1" s="251">
      <c r="C17" s="10">
        <f>C7</f>
        <v>2023</v>
      </c>
      <c r="D17" s="10">
        <f>D7</f>
        <v>2024</v>
      </c>
      <c r="E17" s="10">
        <f>E7</f>
        <v>2025</v>
      </c>
      <c r="F17" s="10" t="str">
        <f>F7</f>
        <v>2026E</v>
      </c>
      <c r="G17" s="10" t="str">
        <f>G7</f>
        <v>2027E</v>
      </c>
      <c r="H17" s="10" t="str">
        <f>H7</f>
        <v>2028E</v>
      </c>
      <c r="I17" s="10" t="str">
        <f>I7</f>
        <v>2029E</v>
      </c>
      <c r="J17" s="10" t="str">
        <f>J7</f>
        <v>2030E</v>
      </c>
      <c r="K17" s="10" t="str">
        <f>K7</f>
        <v>2031E</v>
      </c>
      <c r="L17" s="10" t="n"/>
      <c r="M17" s="10" t="n"/>
      <c r="N17" s="10" t="n"/>
      <c r="O17" s="10" t="n"/>
      <c r="P17" s="10" t="n"/>
      <c r="Q17" s="10" t="n"/>
      <c r="R17" s="10" t="n"/>
      <c r="S17" s="10" t="n"/>
      <c r="T17" s="10" t="n"/>
      <c r="U17" s="10" t="n"/>
      <c r="V17" s="10" t="n"/>
    </row>
    <row r="18" ht="15" customHeight="1" s="251">
      <c r="B18" t="inlineStr">
        <is>
          <t>ROIC</t>
        </is>
      </c>
      <c r="C18" s="108">
        <f>IFERROR(Model!H447+0,NA())</f>
        <v>0.117159298402874</v>
      </c>
      <c r="D18" s="108">
        <f>IFERROR(Model!M447+0,NA())</f>
        <v>0.231103447014112</v>
      </c>
      <c r="E18" s="108">
        <f>IFERROR(Model!R447+0,NA())</f>
        <v>0.278151692664295</v>
      </c>
      <c r="F18" s="108">
        <f>IFERROR(Model!W447+0,NA())</f>
        <v>0.319357307428785</v>
      </c>
      <c r="G18" s="108">
        <f>IFERROR(Model!X447+0,NA())</f>
        <v>0.259259107013436</v>
      </c>
      <c r="H18" s="108">
        <f>IFERROR(Model!Y447+0,NA())</f>
        <v>0.299014781753659</v>
      </c>
      <c r="I18" s="108">
        <f>IFERROR(Model!Z447+0,NA())</f>
        <v>0.332086454164836</v>
      </c>
      <c r="J18" s="108">
        <f>IFERROR(Model!AA447+0,NA())</f>
        <v>0.365222134253178</v>
      </c>
      <c r="K18" s="108">
        <f>IFERROR(Model!AB447+0,NA())</f>
        <v>0.393017326834454</v>
      </c>
      <c r="L18" s="108" t="n"/>
      <c r="M18" s="108" t="n"/>
      <c r="N18" s="108" t="n"/>
      <c r="O18" s="108" t="n"/>
      <c r="P18" s="108" t="n"/>
      <c r="Q18" s="108" t="n"/>
      <c r="R18" s="108" t="n"/>
      <c r="S18" s="108" t="n"/>
      <c r="T18" s="108" t="n"/>
      <c r="U18" s="108" t="n"/>
      <c r="V18" s="108" t="n"/>
    </row>
    <row r="19" ht="15" customHeight="1" s="251">
      <c r="B19" t="inlineStr">
        <is>
          <t>RONTA</t>
        </is>
      </c>
      <c r="C19" s="108">
        <f>IFERROR(Model!H459+0,NA())</f>
        <v>0.144096083150228</v>
      </c>
      <c r="D19" s="108">
        <f>IFERROR(Model!M459+0,NA())</f>
        <v>0.235093293140611</v>
      </c>
      <c r="E19" s="108">
        <f>IFERROR(Model!R459+0,NA())</f>
        <v>0.282812867706118</v>
      </c>
      <c r="F19" s="108">
        <f>IFERROR(Model!W459+0,NA())</f>
        <v>0.326327872378999</v>
      </c>
      <c r="G19" s="108">
        <f>IFERROR(Model!X459+0,NA())</f>
        <v>0.35524766454526</v>
      </c>
      <c r="H19" s="108">
        <f>IFERROR(Model!Y459+0,NA())</f>
        <v>0.418040853575066</v>
      </c>
      <c r="I19" s="108">
        <f>IFERROR(Model!Z459+0,NA())</f>
        <v>0.477102645220323</v>
      </c>
      <c r="J19" s="108">
        <f>IFERROR(Model!AA459+0,NA())</f>
        <v>0.53911922538401</v>
      </c>
      <c r="K19" s="108">
        <f>IFERROR(Model!AB459+0,NA())</f>
        <v>0.595234602177457</v>
      </c>
      <c r="L19" s="108" t="n"/>
      <c r="M19" s="108" t="n"/>
      <c r="N19" s="108" t="n"/>
      <c r="O19" s="108" t="n"/>
      <c r="P19" s="108" t="n"/>
      <c r="Q19" s="108" t="n"/>
      <c r="R19" s="108" t="n"/>
      <c r="S19" s="108" t="n"/>
      <c r="T19" s="108" t="n"/>
      <c r="U19" s="108" t="n"/>
      <c r="V19" s="108" t="n"/>
    </row>
    <row r="20" ht="15" customHeight="1" s="251">
      <c r="B20" t="inlineStr">
        <is>
          <t>Adj. EBITDA margin %</t>
        </is>
      </c>
      <c r="C20" s="108">
        <f>IFERROR(Model!H267+0,NA())</f>
        <v>0.210832629306299</v>
      </c>
      <c r="D20" s="108">
        <f>IFERROR(Model!M267+0,NA())</f>
        <v>0.240261958997722</v>
      </c>
      <c r="E20" s="108">
        <f>IFERROR(Model!R267+0,NA())</f>
        <v>0.242805160436652</v>
      </c>
      <c r="F20" s="108">
        <f>IFERROR(Model!W267+0,NA())</f>
        <v>0.238426302303806</v>
      </c>
      <c r="G20" s="108">
        <f>IFERROR(Model!X267+0,NA())</f>
        <v>0.24452659788752</v>
      </c>
      <c r="H20" s="108">
        <f>IFERROR(Model!Y267+0,NA())</f>
        <v>0.250969328295852</v>
      </c>
      <c r="I20" s="108">
        <f>IFERROR(Model!Z267+0,NA())</f>
        <v>0.256748189513807</v>
      </c>
      <c r="J20" s="108">
        <f>IFERROR(Model!AA267+0,NA())</f>
        <v>0.261922312999836</v>
      </c>
      <c r="K20" s="108">
        <f>IFERROR(Model!AB267+0,NA())</f>
        <v>0.264903721868273</v>
      </c>
      <c r="L20" s="108" t="n"/>
      <c r="M20" s="108" t="n"/>
      <c r="N20" s="108" t="n"/>
      <c r="O20" s="108" t="n"/>
      <c r="P20" s="108" t="n"/>
      <c r="Q20" s="108" t="n"/>
      <c r="R20" s="108" t="n"/>
      <c r="S20" s="108" t="n"/>
      <c r="T20" s="108" t="n"/>
      <c r="U20" s="108" t="n"/>
      <c r="V20" s="108" t="n"/>
    </row>
    <row r="21" ht="15" customHeight="1" s="251">
      <c r="B21" t="inlineStr">
        <is>
          <t>FCF margin %</t>
        </is>
      </c>
      <c r="C21" s="108">
        <f>IFERROR(Model!H293+0,NA())</f>
        <v>0.148440188992146</v>
      </c>
      <c r="D21" s="108">
        <f>IFERROR(Model!M293+0,NA())</f>
        <v>0.173376993166287</v>
      </c>
      <c r="E21" s="108">
        <f>IFERROR(Model!R293+0,NA())</f>
        <v>0.181796701479136</v>
      </c>
      <c r="F21" s="108">
        <f>IFERROR(Model!W293+0,NA())</f>
        <v>0.181217606101407</v>
      </c>
      <c r="G21" s="108">
        <f>IFERROR(Model!X293+0,NA())</f>
        <v>0.19626780103036</v>
      </c>
      <c r="H21" s="108">
        <f>IFERROR(Model!Y293+0,NA())</f>
        <v>0.19643491408535</v>
      </c>
      <c r="I21" s="108">
        <f>IFERROR(Model!Z293+0,NA())</f>
        <v>0.195973969338406</v>
      </c>
      <c r="J21" s="108">
        <f>IFERROR(Model!AA293+0,NA())</f>
        <v>0.198848242916517</v>
      </c>
      <c r="K21" s="108">
        <f>IFERROR(Model!AB293+0,NA())</f>
        <v>0.198935169663201</v>
      </c>
      <c r="L21" s="108" t="n"/>
      <c r="M21" s="108" t="n"/>
      <c r="N21" s="108" t="n"/>
      <c r="O21" s="108" t="n"/>
      <c r="P21" s="108" t="n"/>
      <c r="Q21" s="108" t="n"/>
      <c r="R21" s="108" t="n"/>
      <c r="S21" s="108" t="n"/>
      <c r="T21" s="108" t="n"/>
      <c r="U21" s="108" t="n"/>
      <c r="V21" s="108" t="n"/>
    </row>
  </sheetData>
  <pageMargins left="0.75" right="0.75" top="1" bottom="1"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2026-10-04T02:35:31Z</dcterms:created>
  <dcterms:modified xmlns:dcterms="http://purl.org/dc/terms/" xmlns:xsi="http://www.w3.org/2001/XMLSchema-instance" xsi:type="dcterms:W3CDTF">2026-10-13T11:01:35Z</dcterms:modified>
  <cp:lastModifiedBy>Payton Liske</cp:lastModifiedBy>
  <cp:revision>3</cp:revision>
</cp:coreProperties>
</file>